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7" i="3" l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F7" i="3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BI6" i="3" s="1"/>
  <c r="EY14" i="4"/>
  <c r="EX14" i="4"/>
  <c r="EW14" i="4"/>
  <c r="EV14" i="4"/>
  <c r="EU14" i="4"/>
  <c r="ET14" i="4"/>
  <c r="BG6" i="3" s="1"/>
  <c r="ER14" i="4"/>
  <c r="EQ14" i="4"/>
  <c r="EP14" i="4"/>
  <c r="EO14" i="4"/>
  <c r="EN14" i="4"/>
  <c r="EM14" i="4"/>
  <c r="BE6" i="3" s="1"/>
  <c r="EL14" i="4"/>
  <c r="EK14" i="4"/>
  <c r="EJ14" i="4"/>
  <c r="EI14" i="4"/>
  <c r="EH14" i="4"/>
  <c r="EG14" i="4"/>
  <c r="BA6" i="3" s="1"/>
  <c r="EE14" i="4"/>
  <c r="ED14" i="4"/>
  <c r="EC14" i="4"/>
  <c r="EB14" i="4"/>
  <c r="EA14" i="4"/>
  <c r="DZ14" i="4"/>
  <c r="AX6" i="3" s="1"/>
  <c r="DY14" i="4"/>
  <c r="DX14" i="4"/>
  <c r="DW14" i="4"/>
  <c r="DV14" i="4"/>
  <c r="DU14" i="4"/>
  <c r="DT14" i="4"/>
  <c r="AU6" i="3" s="1"/>
  <c r="DR14" i="4"/>
  <c r="DQ14" i="4"/>
  <c r="DP14" i="4"/>
  <c r="DO14" i="4"/>
  <c r="DN14" i="4"/>
  <c r="DM14" i="4"/>
  <c r="AS6" i="3" s="1"/>
  <c r="DL14" i="4"/>
  <c r="DK14" i="4"/>
  <c r="DJ14" i="4"/>
  <c r="DI14" i="4"/>
  <c r="DH14" i="4"/>
  <c r="DG14" i="4"/>
  <c r="AN6" i="3" s="1"/>
  <c r="DF14" i="4"/>
  <c r="DE14" i="4"/>
  <c r="DD14" i="4"/>
  <c r="DC14" i="4"/>
  <c r="DB14" i="4"/>
  <c r="DA14" i="4"/>
  <c r="AM6" i="3" s="1"/>
  <c r="CZ14" i="4"/>
  <c r="CY14" i="4"/>
  <c r="CX14" i="4"/>
  <c r="CW14" i="4"/>
  <c r="CU14" i="4"/>
  <c r="CT14" i="4"/>
  <c r="AC6" i="3" s="1"/>
  <c r="CS14" i="4"/>
  <c r="CR14" i="4"/>
  <c r="CQ14" i="4"/>
  <c r="CP14" i="4"/>
  <c r="CO14" i="4"/>
  <c r="CN14" i="4"/>
  <c r="AA6" i="3" s="1"/>
  <c r="CM14" i="4"/>
  <c r="CL14" i="4"/>
  <c r="CK14" i="4"/>
  <c r="CJ14" i="4"/>
  <c r="CI14" i="4"/>
  <c r="AI6" i="3" s="1"/>
  <c r="CH14" i="4"/>
  <c r="CG14" i="4"/>
  <c r="AH6" i="3" s="1"/>
  <c r="CF14" i="4"/>
  <c r="CE14" i="4"/>
  <c r="CD14" i="4"/>
  <c r="CC14" i="4"/>
  <c r="AF6" i="3" s="1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Y6" i="3" s="1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U6" i="3" s="1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Q6" i="3" s="1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M6" i="3" s="1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Z5" i="3" s="1"/>
  <c r="CJ13" i="4"/>
  <c r="CI13" i="4"/>
  <c r="CH13" i="4"/>
  <c r="CG13" i="4"/>
  <c r="CF13" i="4"/>
  <c r="CE13" i="4"/>
  <c r="AG5" i="3" s="1"/>
  <c r="CD13" i="4"/>
  <c r="CC13" i="4"/>
  <c r="CB13" i="4"/>
  <c r="CA13" i="4"/>
  <c r="BZ13" i="4"/>
  <c r="BY13" i="4"/>
  <c r="AD5" i="3" s="1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BI4" i="3" s="1"/>
  <c r="EY12" i="4"/>
  <c r="EX12" i="4"/>
  <c r="EW12" i="4"/>
  <c r="EV12" i="4"/>
  <c r="EU12" i="4"/>
  <c r="ET12" i="4"/>
  <c r="BG4" i="3" s="1"/>
  <c r="ER12" i="4"/>
  <c r="EQ12" i="4"/>
  <c r="EP12" i="4"/>
  <c r="EO12" i="4"/>
  <c r="EN12" i="4"/>
  <c r="EM12" i="4"/>
  <c r="BE4" i="3" s="1"/>
  <c r="EL12" i="4"/>
  <c r="EK12" i="4"/>
  <c r="EJ12" i="4"/>
  <c r="EI12" i="4"/>
  <c r="EH12" i="4"/>
  <c r="EG12" i="4"/>
  <c r="BA4" i="3" s="1"/>
  <c r="EE12" i="4"/>
  <c r="ED12" i="4"/>
  <c r="EC12" i="4"/>
  <c r="EB12" i="4"/>
  <c r="EA12" i="4"/>
  <c r="DZ12" i="4"/>
  <c r="AX4" i="3" s="1"/>
  <c r="DY12" i="4"/>
  <c r="DX12" i="4"/>
  <c r="DW12" i="4"/>
  <c r="DV12" i="4"/>
  <c r="DU12" i="4"/>
  <c r="DT12" i="4"/>
  <c r="AU4" i="3" s="1"/>
  <c r="DR12" i="4"/>
  <c r="DQ12" i="4"/>
  <c r="DP12" i="4"/>
  <c r="DO12" i="4"/>
  <c r="DN12" i="4"/>
  <c r="DM12" i="4"/>
  <c r="AS4" i="3" s="1"/>
  <c r="DL12" i="4"/>
  <c r="DK12" i="4"/>
  <c r="DJ12" i="4"/>
  <c r="DI12" i="4"/>
  <c r="DH12" i="4"/>
  <c r="DG12" i="4"/>
  <c r="AN4" i="3" s="1"/>
  <c r="DF12" i="4"/>
  <c r="DE12" i="4"/>
  <c r="DD12" i="4"/>
  <c r="DC12" i="4"/>
  <c r="DB12" i="4"/>
  <c r="DA12" i="4"/>
  <c r="AM4" i="3" s="1"/>
  <c r="CZ12" i="4"/>
  <c r="CY12" i="4"/>
  <c r="CX12" i="4"/>
  <c r="CW12" i="4"/>
  <c r="CU12" i="4"/>
  <c r="CT12" i="4"/>
  <c r="AC4" i="3" s="1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AB3" i="3" s="1"/>
  <c r="CP11" i="4"/>
  <c r="CO11" i="4"/>
  <c r="CN11" i="4"/>
  <c r="CM11" i="4"/>
  <c r="CL11" i="4"/>
  <c r="CK11" i="4"/>
  <c r="Z3" i="3" s="1"/>
  <c r="CJ11" i="4"/>
  <c r="CI11" i="4"/>
  <c r="CH11" i="4"/>
  <c r="CG11" i="4"/>
  <c r="CF11" i="4"/>
  <c r="CE11" i="4"/>
  <c r="CD11" i="4"/>
  <c r="CC11" i="4"/>
  <c r="CB11" i="4"/>
  <c r="CA11" i="4"/>
  <c r="BZ11" i="4"/>
  <c r="BY11" i="4"/>
  <c r="AD3" i="3" s="1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6" i="3" l="1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<sst xmlns="http://schemas.openxmlformats.org/spreadsheetml/2006/main" count="410" uniqueCount="203">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</sst>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Y11">
            <v>0</v>
          </cell>
          <cell r="DA11">
            <v>0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0</v>
          </cell>
          <cell r="FD11">
            <v>0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5622</v>
          </cell>
          <cell r="CZ12">
            <v>3192</v>
          </cell>
          <cell r="DA12">
            <v>3192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52403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Y14">
            <v>-5628</v>
          </cell>
          <cell r="DA14">
            <v>-3197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D14">
            <v>-52419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5635</v>
          </cell>
          <cell r="CZ15">
            <v>3203</v>
          </cell>
          <cell r="DA15">
            <v>3203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52458</v>
          </cell>
          <cell r="FE15">
            <v>34872</v>
          </cell>
          <cell r="FF15">
            <v>21</v>
          </cell>
        </row>
        <row r="16">
          <cell r="F16">
            <v>-852625</v>
          </cell>
          <cell r="G16">
            <v>499</v>
          </cell>
          <cell r="I16">
            <v>-53455</v>
          </cell>
          <cell r="J16">
            <v>253</v>
          </cell>
          <cell r="L16">
            <v>-164625</v>
          </cell>
          <cell r="O16">
            <v>-790330</v>
          </cell>
          <cell r="R16">
            <v>-178925</v>
          </cell>
          <cell r="T16">
            <v>-35343.360000000001</v>
          </cell>
          <cell r="U16">
            <v>177</v>
          </cell>
          <cell r="W16">
            <v>-1148</v>
          </cell>
          <cell r="AD16">
            <v>-6899434.0800000001</v>
          </cell>
          <cell r="AG16">
            <v>-13307137.199999999</v>
          </cell>
          <cell r="AJ16">
            <v>-13078884</v>
          </cell>
          <cell r="AM16">
            <v>-16104054.960000001</v>
          </cell>
          <cell r="AP16">
            <v>-16508528.4</v>
          </cell>
          <cell r="AS16">
            <v>-14931803.039999999</v>
          </cell>
          <cell r="AV16">
            <v>-12735554.16</v>
          </cell>
          <cell r="AY16">
            <v>-12271301.280000001</v>
          </cell>
          <cell r="BB16">
            <v>-9789358.3199999984</v>
          </cell>
          <cell r="BE16">
            <v>-15089022.48</v>
          </cell>
          <cell r="BL16">
            <v>-64976100</v>
          </cell>
          <cell r="BO16">
            <v>-67554200</v>
          </cell>
          <cell r="BR16">
            <v>-62423900</v>
          </cell>
          <cell r="BU16">
            <v>-7067160</v>
          </cell>
          <cell r="BX16">
            <v>0.61</v>
          </cell>
          <cell r="CA16">
            <v>-55350</v>
          </cell>
          <cell r="CC16">
            <v>-46863</v>
          </cell>
          <cell r="CE16">
            <v>-16192</v>
          </cell>
          <cell r="CG16">
            <v>-21087</v>
          </cell>
          <cell r="CI16">
            <v>-22849</v>
          </cell>
          <cell r="CK16">
            <v>-50944</v>
          </cell>
          <cell r="CM16">
            <v>-225119</v>
          </cell>
          <cell r="CP16">
            <v>-171331</v>
          </cell>
          <cell r="CS16">
            <v>-308195</v>
          </cell>
          <cell r="CV16">
            <v>-599167</v>
          </cell>
          <cell r="CY16">
            <v>-5635</v>
          </cell>
          <cell r="DA16">
            <v>-3203</v>
          </cell>
          <cell r="DC16">
            <v>-25346</v>
          </cell>
          <cell r="DE16">
            <v>-26012</v>
          </cell>
          <cell r="DG16">
            <v>-17902</v>
          </cell>
          <cell r="DI16">
            <v>-20976</v>
          </cell>
          <cell r="DK16">
            <v>-2424</v>
          </cell>
          <cell r="DM16">
            <v>-5610</v>
          </cell>
          <cell r="DO16">
            <v>-1310</v>
          </cell>
          <cell r="DQ16">
            <v>-2919</v>
          </cell>
          <cell r="DS16">
            <v>-25858</v>
          </cell>
          <cell r="DV16">
            <v>-2216.1999999999998</v>
          </cell>
          <cell r="DX16">
            <v>-7474.9</v>
          </cell>
          <cell r="DZ16">
            <v>-1668.7</v>
          </cell>
          <cell r="EB16">
            <v>-1555.8</v>
          </cell>
          <cell r="ED16">
            <v>-808237</v>
          </cell>
          <cell r="EH16">
            <v>-161960.79999999999</v>
          </cell>
          <cell r="EK16">
            <v>-9869700</v>
          </cell>
          <cell r="EM16">
            <v>-791940</v>
          </cell>
          <cell r="EO16">
            <v>-6155000</v>
          </cell>
          <cell r="EQ16">
            <v>-2175400</v>
          </cell>
          <cell r="ES16">
            <v>-919340</v>
          </cell>
          <cell r="EU16">
            <v>-13673000</v>
          </cell>
          <cell r="EX16">
            <v>-36098</v>
          </cell>
          <cell r="EZ16">
            <v>-31210</v>
          </cell>
          <cell r="FA16">
            <v>0</v>
          </cell>
          <cell r="FB16">
            <v>0</v>
          </cell>
          <cell r="FD16">
            <v>-52458</v>
          </cell>
          <cell r="FF16">
            <v>-34872</v>
          </cell>
        </row>
        <row r="17">
          <cell r="F17">
            <v>0</v>
          </cell>
          <cell r="G17">
            <v>584</v>
          </cell>
          <cell r="I17">
            <v>0</v>
          </cell>
          <cell r="J17">
            <v>278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179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607</v>
          </cell>
          <cell r="I18">
            <v>0</v>
          </cell>
          <cell r="J18">
            <v>274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177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561</v>
          </cell>
          <cell r="I19">
            <v>0</v>
          </cell>
          <cell r="J19">
            <v>276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189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580</v>
          </cell>
          <cell r="I20">
            <v>0</v>
          </cell>
          <cell r="J20">
            <v>326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185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541</v>
          </cell>
          <cell r="I21">
            <v>0</v>
          </cell>
          <cell r="J21">
            <v>272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172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502</v>
          </cell>
          <cell r="I22">
            <v>0</v>
          </cell>
          <cell r="J22">
            <v>296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165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581</v>
          </cell>
          <cell r="I23">
            <v>0</v>
          </cell>
          <cell r="J23">
            <v>241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145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516</v>
          </cell>
          <cell r="I24">
            <v>0</v>
          </cell>
          <cell r="J24">
            <v>237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148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676</v>
          </cell>
          <cell r="I25">
            <v>0</v>
          </cell>
          <cell r="J25">
            <v>395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170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590</v>
          </cell>
          <cell r="I26">
            <v>0</v>
          </cell>
          <cell r="J26">
            <v>384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554</v>
          </cell>
          <cell r="I27">
            <v>0</v>
          </cell>
          <cell r="J27">
            <v>243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170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657</v>
          </cell>
          <cell r="I28">
            <v>0</v>
          </cell>
          <cell r="J28">
            <v>366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177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548</v>
          </cell>
          <cell r="I29">
            <v>0</v>
          </cell>
          <cell r="J29">
            <v>283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182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533</v>
          </cell>
          <cell r="I30">
            <v>0</v>
          </cell>
          <cell r="J30">
            <v>257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177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F14" sqref="F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0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0</v>
      </c>
      <c r="F8" s="276">
        <v>0.44447999999999999</v>
      </c>
      <c r="G8" s="275">
        <f>Submetering!Z8+Submetering!AA8+Submetering!AB8</f>
        <v>0</v>
      </c>
      <c r="H8" s="238">
        <f t="shared" si="0"/>
        <v>3.25</v>
      </c>
      <c r="I8" s="275">
        <f>Submetering!G8</f>
        <v>0</v>
      </c>
      <c r="J8" s="276">
        <v>13.83</v>
      </c>
      <c r="K8" s="275">
        <f>Submetering!I8</f>
        <v>0</v>
      </c>
      <c r="L8" s="276">
        <v>1.2</v>
      </c>
      <c r="M8" s="277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-3177</v>
      </c>
      <c r="AK2" s="81">
        <f>'DJB Daily Readings'!CW10-'DJB Daily Readings'!CW9</f>
        <v>-5602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-98941.5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0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3192</v>
      </c>
      <c r="AK4" s="81">
        <f>'DJB Daily Readings'!CW12-'DJB Daily Readings'!CW11</f>
        <v>5622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99041.67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-3197</v>
      </c>
      <c r="AK6" s="81">
        <f>'DJB Daily Readings'!CW14-'DJB Daily Readings'!CW13</f>
        <v>-5628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-99071.909999999989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/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3203</v>
      </c>
      <c r="AK7" s="81">
        <f>'DJB Daily Readings'!CW15-'DJB Daily Readings'!CW14</f>
        <v>5635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99145.62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9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9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9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9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6" t="s">
        <v>105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6"/>
      <c r="AZ1" s="496"/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496"/>
      <c r="BT1" s="496"/>
      <c r="BU1" s="496"/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6"/>
      <c r="CZ1" s="496"/>
      <c r="DA1" s="496"/>
      <c r="DB1" s="496"/>
      <c r="DC1" s="496"/>
      <c r="DD1" s="496"/>
      <c r="DE1" s="496"/>
      <c r="DF1" s="496"/>
      <c r="DG1" s="496"/>
      <c r="DH1" s="496"/>
      <c r="DI1" s="496"/>
      <c r="DJ1" s="496"/>
      <c r="DK1" s="496"/>
      <c r="DL1" s="496"/>
      <c r="DM1" s="496"/>
      <c r="DN1" s="496"/>
      <c r="DO1" s="496"/>
      <c r="DP1" s="496"/>
      <c r="DQ1" s="496"/>
      <c r="DR1" s="496"/>
      <c r="DS1" s="496"/>
      <c r="DT1" s="496"/>
      <c r="DU1" s="496"/>
      <c r="DV1" s="496"/>
      <c r="DW1" s="496"/>
      <c r="DX1" s="496"/>
      <c r="DY1" s="496"/>
      <c r="DZ1" s="496"/>
      <c r="EA1" s="496"/>
      <c r="EB1" s="496"/>
      <c r="EC1" s="496"/>
      <c r="ED1" s="496"/>
      <c r="EE1" s="496"/>
      <c r="EF1" s="496"/>
      <c r="EG1" s="496"/>
      <c r="EH1" s="496"/>
      <c r="EI1" s="496"/>
      <c r="EJ1" s="496"/>
      <c r="EK1" s="496"/>
      <c r="EL1" s="496"/>
      <c r="EM1" s="496"/>
      <c r="EN1" s="496"/>
      <c r="EO1" s="496"/>
      <c r="EP1" s="496"/>
      <c r="EQ1" s="496"/>
      <c r="ER1" s="496"/>
      <c r="ES1" s="496"/>
      <c r="ET1" s="496"/>
      <c r="EU1" s="496"/>
      <c r="EV1" s="496"/>
      <c r="EW1" s="496"/>
      <c r="EX1" s="496"/>
      <c r="EY1" s="496"/>
      <c r="EZ1" s="496"/>
      <c r="FA1" s="496"/>
      <c r="FB1" s="496"/>
      <c r="FC1" s="496"/>
    </row>
    <row r="2" spans="1:159" ht="16.5" customHeight="1" x14ac:dyDescent="0.25">
      <c r="A2" s="496"/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  <c r="BI2" s="496"/>
      <c r="BJ2" s="496"/>
      <c r="BK2" s="496"/>
      <c r="BL2" s="496"/>
      <c r="BM2" s="496"/>
      <c r="BN2" s="496"/>
      <c r="BO2" s="496"/>
      <c r="BP2" s="496"/>
      <c r="BQ2" s="496"/>
      <c r="BR2" s="496"/>
      <c r="BS2" s="496"/>
      <c r="BT2" s="496"/>
      <c r="BU2" s="496"/>
      <c r="BV2" s="496"/>
      <c r="BW2" s="496"/>
      <c r="BX2" s="496"/>
      <c r="BY2" s="496"/>
      <c r="BZ2" s="496"/>
      <c r="CA2" s="496"/>
      <c r="CB2" s="496"/>
      <c r="CC2" s="496"/>
      <c r="CD2" s="496"/>
      <c r="CE2" s="496"/>
      <c r="CF2" s="496"/>
      <c r="CG2" s="496"/>
      <c r="CH2" s="496"/>
      <c r="CI2" s="496"/>
      <c r="CJ2" s="496"/>
      <c r="CK2" s="496"/>
      <c r="CL2" s="496"/>
      <c r="CM2" s="496"/>
      <c r="CN2" s="496"/>
      <c r="CO2" s="496"/>
      <c r="CP2" s="496"/>
      <c r="CQ2" s="496"/>
      <c r="CR2" s="496"/>
      <c r="CS2" s="496"/>
      <c r="CT2" s="496"/>
      <c r="CU2" s="496"/>
      <c r="CV2" s="496"/>
      <c r="CW2" s="496"/>
      <c r="CX2" s="496"/>
      <c r="CY2" s="496"/>
      <c r="CZ2" s="496"/>
      <c r="DA2" s="496"/>
      <c r="DB2" s="496"/>
      <c r="DC2" s="496"/>
      <c r="DD2" s="496"/>
      <c r="DE2" s="496"/>
      <c r="DF2" s="496"/>
      <c r="DG2" s="496"/>
      <c r="DH2" s="496"/>
      <c r="DI2" s="496"/>
      <c r="DJ2" s="496"/>
      <c r="DK2" s="496"/>
      <c r="DL2" s="496"/>
      <c r="DM2" s="496"/>
      <c r="DN2" s="496"/>
      <c r="DO2" s="496"/>
      <c r="DP2" s="496"/>
      <c r="DQ2" s="496"/>
      <c r="DR2" s="496"/>
      <c r="DS2" s="496"/>
      <c r="DT2" s="496"/>
      <c r="DU2" s="496"/>
      <c r="DV2" s="496"/>
      <c r="DW2" s="496"/>
      <c r="DX2" s="496"/>
      <c r="DY2" s="496"/>
      <c r="DZ2" s="496"/>
      <c r="EA2" s="496"/>
      <c r="EB2" s="496"/>
      <c r="EC2" s="496"/>
      <c r="ED2" s="496"/>
      <c r="EE2" s="496"/>
      <c r="EF2" s="496"/>
      <c r="EG2" s="496"/>
      <c r="EH2" s="496"/>
      <c r="EI2" s="496"/>
      <c r="EJ2" s="496"/>
      <c r="EK2" s="496"/>
      <c r="EL2" s="496"/>
      <c r="EM2" s="496"/>
      <c r="EN2" s="496"/>
      <c r="EO2" s="496"/>
      <c r="EP2" s="496"/>
      <c r="EQ2" s="496"/>
      <c r="ER2" s="496"/>
      <c r="ES2" s="496"/>
      <c r="ET2" s="496"/>
      <c r="EU2" s="496"/>
      <c r="EV2" s="496"/>
      <c r="EW2" s="496"/>
      <c r="EX2" s="496"/>
      <c r="EY2" s="496"/>
      <c r="EZ2" s="496"/>
      <c r="FA2" s="496"/>
      <c r="FB2" s="496"/>
      <c r="FC2" s="496"/>
    </row>
    <row r="3" spans="1:159" ht="45" customHeight="1" x14ac:dyDescent="0.2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6"/>
      <c r="BO3" s="496"/>
      <c r="BP3" s="496"/>
      <c r="BQ3" s="496"/>
      <c r="BR3" s="496"/>
      <c r="BS3" s="496"/>
      <c r="BT3" s="496"/>
      <c r="BU3" s="496"/>
      <c r="BV3" s="496"/>
      <c r="BW3" s="496"/>
      <c r="BX3" s="496"/>
      <c r="BY3" s="496"/>
      <c r="BZ3" s="496"/>
      <c r="CA3" s="496"/>
      <c r="CB3" s="496"/>
      <c r="CC3" s="496"/>
      <c r="CD3" s="496"/>
      <c r="CE3" s="496"/>
      <c r="CF3" s="496"/>
      <c r="CG3" s="496"/>
      <c r="CH3" s="496"/>
      <c r="CI3" s="496"/>
      <c r="CJ3" s="496"/>
      <c r="CK3" s="496"/>
      <c r="CL3" s="496"/>
      <c r="CM3" s="496"/>
      <c r="CN3" s="496"/>
      <c r="CO3" s="496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CZ3" s="496"/>
      <c r="DA3" s="496"/>
      <c r="DB3" s="496"/>
      <c r="DC3" s="496"/>
      <c r="DD3" s="496"/>
      <c r="DE3" s="496"/>
      <c r="DF3" s="496"/>
      <c r="DG3" s="496"/>
      <c r="DH3" s="496"/>
      <c r="DI3" s="496"/>
      <c r="DJ3" s="496"/>
      <c r="DK3" s="496"/>
      <c r="DL3" s="496"/>
      <c r="DM3" s="496"/>
      <c r="DN3" s="496"/>
      <c r="DO3" s="496"/>
      <c r="DP3" s="496"/>
      <c r="DQ3" s="496"/>
      <c r="DR3" s="496"/>
      <c r="DS3" s="496"/>
      <c r="DT3" s="496"/>
      <c r="DU3" s="496"/>
      <c r="DV3" s="496"/>
      <c r="DW3" s="496"/>
      <c r="DX3" s="496"/>
      <c r="DY3" s="496"/>
      <c r="DZ3" s="496"/>
      <c r="EA3" s="496"/>
      <c r="EB3" s="496"/>
      <c r="EC3" s="496"/>
      <c r="ED3" s="496"/>
      <c r="EE3" s="496"/>
      <c r="EF3" s="496"/>
      <c r="EG3" s="496"/>
      <c r="EH3" s="496"/>
      <c r="EI3" s="496"/>
      <c r="EJ3" s="496"/>
      <c r="EK3" s="496"/>
      <c r="EL3" s="496"/>
      <c r="EM3" s="496"/>
      <c r="EN3" s="496"/>
      <c r="EO3" s="496"/>
      <c r="EP3" s="496"/>
      <c r="EQ3" s="496"/>
      <c r="ER3" s="496"/>
      <c r="ES3" s="496"/>
      <c r="ET3" s="496"/>
      <c r="EU3" s="496"/>
      <c r="EV3" s="496"/>
      <c r="EW3" s="496"/>
      <c r="EX3" s="496"/>
      <c r="EY3" s="496"/>
      <c r="EZ3" s="496"/>
      <c r="FA3" s="496"/>
      <c r="FB3" s="496"/>
      <c r="FC3" s="496"/>
    </row>
    <row r="4" spans="1:159" ht="16.5" customHeight="1" x14ac:dyDescent="0.2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6"/>
      <c r="AP4" s="496"/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6"/>
      <c r="BL4" s="496"/>
      <c r="BM4" s="496"/>
      <c r="BN4" s="496"/>
      <c r="BO4" s="496"/>
      <c r="BP4" s="496"/>
      <c r="BQ4" s="496"/>
      <c r="BR4" s="496"/>
      <c r="BS4" s="496"/>
      <c r="BT4" s="496"/>
      <c r="BU4" s="496"/>
      <c r="BV4" s="496"/>
      <c r="BW4" s="496"/>
      <c r="BX4" s="496"/>
      <c r="BY4" s="496"/>
      <c r="BZ4" s="496"/>
      <c r="CA4" s="496"/>
      <c r="CB4" s="496"/>
      <c r="CC4" s="496"/>
      <c r="CD4" s="496"/>
      <c r="CE4" s="496"/>
      <c r="CF4" s="496"/>
      <c r="CG4" s="496"/>
      <c r="CH4" s="496"/>
      <c r="CI4" s="496"/>
      <c r="CJ4" s="496"/>
      <c r="CK4" s="496"/>
      <c r="CL4" s="496"/>
      <c r="CM4" s="496"/>
      <c r="CN4" s="496"/>
      <c r="CO4" s="496"/>
      <c r="CP4" s="496"/>
      <c r="CQ4" s="496"/>
      <c r="CR4" s="496"/>
      <c r="CS4" s="496"/>
      <c r="CT4" s="496"/>
      <c r="CU4" s="496"/>
      <c r="CV4" s="496"/>
      <c r="CW4" s="496"/>
      <c r="CX4" s="496"/>
      <c r="CY4" s="496"/>
      <c r="CZ4" s="496"/>
      <c r="DA4" s="496"/>
      <c r="DB4" s="496"/>
      <c r="DC4" s="496"/>
      <c r="DD4" s="496"/>
      <c r="DE4" s="496"/>
      <c r="DF4" s="496"/>
      <c r="DG4" s="496"/>
      <c r="DH4" s="496"/>
      <c r="DI4" s="496"/>
      <c r="DJ4" s="496"/>
      <c r="DK4" s="496"/>
      <c r="DL4" s="496"/>
      <c r="DM4" s="496"/>
      <c r="DN4" s="496"/>
      <c r="DO4" s="496"/>
      <c r="DP4" s="496"/>
      <c r="DQ4" s="496"/>
      <c r="DR4" s="496"/>
      <c r="DS4" s="496"/>
      <c r="DT4" s="496"/>
      <c r="DU4" s="496"/>
      <c r="DV4" s="496"/>
      <c r="DW4" s="496"/>
      <c r="DX4" s="496"/>
      <c r="DY4" s="496"/>
      <c r="DZ4" s="496"/>
      <c r="EA4" s="496"/>
      <c r="EB4" s="496"/>
      <c r="EC4" s="496"/>
      <c r="ED4" s="496"/>
      <c r="EE4" s="496"/>
      <c r="EF4" s="496"/>
      <c r="EG4" s="496"/>
      <c r="EH4" s="496"/>
      <c r="EI4" s="496"/>
      <c r="EJ4" s="496"/>
      <c r="EK4" s="496"/>
      <c r="EL4" s="496"/>
      <c r="EM4" s="496"/>
      <c r="EN4" s="496"/>
      <c r="EO4" s="496"/>
      <c r="EP4" s="496"/>
      <c r="EQ4" s="496"/>
      <c r="ER4" s="496"/>
      <c r="ES4" s="496"/>
      <c r="ET4" s="496"/>
      <c r="EU4" s="496"/>
      <c r="EV4" s="496"/>
      <c r="EW4" s="496"/>
      <c r="EX4" s="496"/>
      <c r="EY4" s="496"/>
      <c r="EZ4" s="496"/>
      <c r="FA4" s="496"/>
      <c r="FB4" s="496"/>
      <c r="FC4" s="496"/>
    </row>
    <row r="5" spans="1:159" ht="10.5" customHeight="1" thickBot="1" x14ac:dyDescent="0.3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6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6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6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6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6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6"/>
      <c r="ET5" s="497"/>
      <c r="EU5" s="497"/>
      <c r="EV5" s="497"/>
      <c r="EW5" s="497"/>
      <c r="EX5" s="497"/>
      <c r="EY5" s="497"/>
      <c r="EZ5" s="497"/>
      <c r="FA5" s="497"/>
      <c r="FB5" s="497"/>
      <c r="FC5" s="497"/>
    </row>
    <row r="6" spans="1:159" ht="24.75" customHeight="1" thickBot="1" x14ac:dyDescent="0.3">
      <c r="A6" s="498" t="s">
        <v>191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500"/>
      <c r="T6" s="522"/>
      <c r="U6" s="501" t="s">
        <v>192</v>
      </c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3"/>
      <c r="AY6" s="429"/>
      <c r="AZ6" s="501" t="s">
        <v>193</v>
      </c>
      <c r="BA6" s="502"/>
      <c r="BB6" s="502"/>
      <c r="BC6" s="502"/>
      <c r="BD6" s="502"/>
      <c r="BE6" s="502"/>
      <c r="BF6" s="502"/>
      <c r="BG6" s="502"/>
      <c r="BH6" s="502"/>
      <c r="BI6" s="502"/>
      <c r="BJ6" s="502"/>
      <c r="BK6" s="502"/>
      <c r="BL6" s="502"/>
      <c r="BM6" s="502"/>
      <c r="BN6" s="502"/>
      <c r="BO6" s="502"/>
      <c r="BP6" s="502"/>
      <c r="BQ6" s="502"/>
      <c r="BR6" s="502"/>
      <c r="BS6" s="502"/>
      <c r="BT6" s="503"/>
      <c r="BU6" s="395"/>
      <c r="BV6" s="504" t="s">
        <v>194</v>
      </c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6"/>
      <c r="CV6" s="455"/>
      <c r="CW6" s="514" t="s">
        <v>195</v>
      </c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5"/>
      <c r="DS6" s="440"/>
      <c r="DT6" s="405" t="s">
        <v>196</v>
      </c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7"/>
      <c r="EF6" s="379"/>
      <c r="EG6" s="405" t="s">
        <v>197</v>
      </c>
      <c r="EH6" s="406"/>
      <c r="EI6" s="406"/>
      <c r="EJ6" s="406"/>
      <c r="EK6" s="406"/>
      <c r="EL6" s="406"/>
      <c r="EM6" s="406"/>
      <c r="EN6" s="406"/>
      <c r="EO6" s="406"/>
      <c r="EP6" s="406"/>
      <c r="EQ6" s="406"/>
      <c r="ER6" s="407"/>
      <c r="ES6" s="428"/>
      <c r="ET6" s="425" t="s">
        <v>198</v>
      </c>
      <c r="EU6" s="426"/>
      <c r="EV6" s="426"/>
      <c r="EW6" s="426"/>
      <c r="EX6" s="426"/>
      <c r="EY6" s="426"/>
      <c r="EZ6" s="426"/>
      <c r="FA6" s="426"/>
      <c r="FB6" s="426"/>
      <c r="FC6" s="427"/>
    </row>
    <row r="7" spans="1:159" ht="45" customHeight="1" thickBot="1" x14ac:dyDescent="0.3">
      <c r="A7" s="507" t="s">
        <v>18</v>
      </c>
      <c r="B7" s="509" t="s">
        <v>108</v>
      </c>
      <c r="C7" s="468" t="s">
        <v>109</v>
      </c>
      <c r="D7" s="466"/>
      <c r="E7" s="469"/>
      <c r="F7" s="511" t="s">
        <v>0</v>
      </c>
      <c r="G7" s="512"/>
      <c r="H7" s="513"/>
      <c r="I7" s="516" t="s">
        <v>1</v>
      </c>
      <c r="J7" s="516"/>
      <c r="K7" s="517" t="s">
        <v>110</v>
      </c>
      <c r="L7" s="518"/>
      <c r="M7" s="519" t="s">
        <v>111</v>
      </c>
      <c r="N7" s="513"/>
      <c r="O7" s="519" t="s">
        <v>2</v>
      </c>
      <c r="P7" s="512"/>
      <c r="Q7" s="513"/>
      <c r="R7" s="517" t="s">
        <v>112</v>
      </c>
      <c r="S7" s="520"/>
      <c r="T7" s="522"/>
      <c r="U7" s="521" t="s">
        <v>3</v>
      </c>
      <c r="V7" s="481"/>
      <c r="W7" s="482"/>
      <c r="X7" s="480" t="s">
        <v>4</v>
      </c>
      <c r="Y7" s="481"/>
      <c r="Z7" s="482"/>
      <c r="AA7" s="480" t="s">
        <v>5</v>
      </c>
      <c r="AB7" s="481"/>
      <c r="AC7" s="482"/>
      <c r="AD7" s="480" t="s">
        <v>6</v>
      </c>
      <c r="AE7" s="481"/>
      <c r="AF7" s="482"/>
      <c r="AG7" s="480" t="s">
        <v>7</v>
      </c>
      <c r="AH7" s="481"/>
      <c r="AI7" s="482"/>
      <c r="AJ7" s="477" t="s">
        <v>113</v>
      </c>
      <c r="AK7" s="478"/>
      <c r="AL7" s="479"/>
      <c r="AM7" s="477" t="s">
        <v>114</v>
      </c>
      <c r="AN7" s="478"/>
      <c r="AO7" s="479"/>
      <c r="AP7" s="480" t="s">
        <v>8</v>
      </c>
      <c r="AQ7" s="481"/>
      <c r="AR7" s="482"/>
      <c r="AS7" s="477" t="s">
        <v>115</v>
      </c>
      <c r="AT7" s="478"/>
      <c r="AU7" s="479"/>
      <c r="AV7" s="483" t="s">
        <v>9</v>
      </c>
      <c r="AW7" s="484"/>
      <c r="AX7" s="485"/>
      <c r="AY7" s="42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72" t="s">
        <v>116</v>
      </c>
      <c r="BJ7" s="472"/>
      <c r="BK7" s="472" t="s">
        <v>117</v>
      </c>
      <c r="BL7" s="472"/>
      <c r="BM7" s="472" t="s">
        <v>118</v>
      </c>
      <c r="BN7" s="472"/>
      <c r="BO7" s="472" t="s">
        <v>119</v>
      </c>
      <c r="BP7" s="472"/>
      <c r="BQ7" s="473" t="s">
        <v>120</v>
      </c>
      <c r="BR7" s="474"/>
      <c r="BS7" s="475" t="s">
        <v>121</v>
      </c>
      <c r="BT7" s="476"/>
      <c r="BU7" s="396"/>
      <c r="BV7" s="398" t="s">
        <v>13</v>
      </c>
      <c r="BW7" s="399"/>
      <c r="BX7" s="400"/>
      <c r="BY7" s="401" t="s">
        <v>122</v>
      </c>
      <c r="BZ7" s="401"/>
      <c r="CA7" s="402" t="s">
        <v>123</v>
      </c>
      <c r="CB7" s="403"/>
      <c r="CC7" s="402" t="s">
        <v>124</v>
      </c>
      <c r="CD7" s="403"/>
      <c r="CE7" s="402" t="s">
        <v>125</v>
      </c>
      <c r="CF7" s="403"/>
      <c r="CG7" s="402" t="s">
        <v>126</v>
      </c>
      <c r="CH7" s="403"/>
      <c r="CI7" s="402" t="s">
        <v>127</v>
      </c>
      <c r="CJ7" s="403"/>
      <c r="CK7" s="452" t="s">
        <v>14</v>
      </c>
      <c r="CL7" s="399"/>
      <c r="CM7" s="400"/>
      <c r="CN7" s="452" t="s">
        <v>15</v>
      </c>
      <c r="CO7" s="399"/>
      <c r="CP7" s="400"/>
      <c r="CQ7" s="452" t="s">
        <v>16</v>
      </c>
      <c r="CR7" s="399"/>
      <c r="CS7" s="400"/>
      <c r="CT7" s="453" t="s">
        <v>17</v>
      </c>
      <c r="CU7" s="454"/>
      <c r="CV7" s="456"/>
      <c r="CW7" s="423" t="s">
        <v>199</v>
      </c>
      <c r="CX7" s="424"/>
      <c r="CY7" s="424"/>
      <c r="CZ7" s="424"/>
      <c r="DA7" s="465" t="s">
        <v>187</v>
      </c>
      <c r="DB7" s="466"/>
      <c r="DC7" s="466"/>
      <c r="DD7" s="467"/>
      <c r="DE7" s="465" t="s">
        <v>82</v>
      </c>
      <c r="DF7" s="466"/>
      <c r="DG7" s="466"/>
      <c r="DH7" s="466"/>
      <c r="DI7" s="423" t="s">
        <v>83</v>
      </c>
      <c r="DJ7" s="465"/>
      <c r="DK7" s="465"/>
      <c r="DL7" s="431"/>
      <c r="DM7" s="468" t="s">
        <v>84</v>
      </c>
      <c r="DN7" s="466"/>
      <c r="DO7" s="466"/>
      <c r="DP7" s="469"/>
      <c r="DQ7" s="468" t="s">
        <v>85</v>
      </c>
      <c r="DR7" s="469"/>
      <c r="DS7" s="441"/>
      <c r="DT7" s="438" t="s">
        <v>86</v>
      </c>
      <c r="DU7" s="439"/>
      <c r="DV7" s="446" t="s">
        <v>202</v>
      </c>
      <c r="DW7" s="439"/>
      <c r="DX7" s="404" t="s">
        <v>87</v>
      </c>
      <c r="DY7" s="446"/>
      <c r="DZ7" s="446" t="s">
        <v>88</v>
      </c>
      <c r="EA7" s="439"/>
      <c r="EB7" s="446" t="s">
        <v>89</v>
      </c>
      <c r="EC7" s="439"/>
      <c r="ED7" s="446" t="s">
        <v>90</v>
      </c>
      <c r="EE7" s="447"/>
      <c r="EF7" s="380"/>
      <c r="EG7" s="421" t="s">
        <v>91</v>
      </c>
      <c r="EH7" s="404"/>
      <c r="EI7" s="404" t="s">
        <v>92</v>
      </c>
      <c r="EJ7" s="404"/>
      <c r="EK7" s="404" t="s">
        <v>93</v>
      </c>
      <c r="EL7" s="404"/>
      <c r="EM7" s="404" t="s">
        <v>94</v>
      </c>
      <c r="EN7" s="404"/>
      <c r="EO7" s="404" t="s">
        <v>95</v>
      </c>
      <c r="EP7" s="404"/>
      <c r="EQ7" s="404" t="s">
        <v>201</v>
      </c>
      <c r="ER7" s="422"/>
      <c r="ES7" s="428"/>
      <c r="ET7" s="423" t="s">
        <v>96</v>
      </c>
      <c r="EU7" s="424"/>
      <c r="EV7" s="424" t="s">
        <v>97</v>
      </c>
      <c r="EW7" s="424"/>
      <c r="EX7" s="424" t="s">
        <v>98</v>
      </c>
      <c r="EY7" s="424"/>
      <c r="EZ7" s="424" t="s">
        <v>200</v>
      </c>
      <c r="FA7" s="424"/>
      <c r="FB7" s="424" t="s">
        <v>99</v>
      </c>
      <c r="FC7" s="431"/>
    </row>
    <row r="8" spans="1:159" s="4" customFormat="1" ht="44.25" customHeight="1" thickBot="1" x14ac:dyDescent="0.3">
      <c r="A8" s="508"/>
      <c r="B8" s="51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4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413">
        <f>C10-C9</f>
        <v>243</v>
      </c>
      <c r="E9" s="415">
        <f>'[1]September - 2021'!G9</f>
        <v>555</v>
      </c>
      <c r="F9" s="168">
        <f>'[1]September - 2021'!H9</f>
        <v>51809</v>
      </c>
      <c r="G9" s="371">
        <f>F10-F9</f>
        <v>260</v>
      </c>
      <c r="H9" s="415">
        <f>'[1]September - 2021'!J9</f>
        <v>287</v>
      </c>
      <c r="I9" s="264">
        <f>'[1]September - 2021'!K9</f>
        <v>164625</v>
      </c>
      <c r="J9" s="371">
        <f>I10-I9</f>
        <v>0</v>
      </c>
      <c r="K9" s="264">
        <f>'[1]September - 2021'!N9</f>
        <v>788173</v>
      </c>
      <c r="L9" s="370">
        <f>K10-K9</f>
        <v>274</v>
      </c>
      <c r="M9" s="264">
        <f>'[1]September - 2021'!Q9</f>
        <v>177923</v>
      </c>
      <c r="N9" s="370">
        <f>M10-M9</f>
        <v>141</v>
      </c>
      <c r="O9" s="264">
        <f>'[1]September - 2021'!S9</f>
        <v>33875</v>
      </c>
      <c r="P9" s="371">
        <f>O10-O9</f>
        <v>236.33000000000175</v>
      </c>
      <c r="Q9" s="415">
        <f>'[1]September - 2021'!U9</f>
        <v>194</v>
      </c>
      <c r="R9" s="264">
        <f>'[1]September - 2021'!V9</f>
        <v>938</v>
      </c>
      <c r="S9" s="417">
        <f>R10-R9</f>
        <v>31</v>
      </c>
      <c r="T9" s="523"/>
      <c r="U9" s="269">
        <f>'[1]September - 2021'!AC9</f>
        <v>6885841.2000000002</v>
      </c>
      <c r="V9" s="419">
        <f>U10-U9</f>
        <v>2241.1200000001118</v>
      </c>
      <c r="W9" s="411">
        <f>'[1]September - 2021'!AD9</f>
        <v>2241.1200000001118</v>
      </c>
      <c r="X9" s="255">
        <f>'[1]September - 2021'!AF9</f>
        <v>13279902.719999999</v>
      </c>
      <c r="Y9" s="371">
        <f>X10-X9</f>
        <v>4677.1200000010431</v>
      </c>
      <c r="Z9" s="411">
        <f>'[1]September - 2021'!AG9</f>
        <v>4677.1200000010431</v>
      </c>
      <c r="AA9" s="255">
        <f>'[1]September - 2021'!AI9</f>
        <v>13037423.280000001</v>
      </c>
      <c r="AB9" s="371">
        <f>AA10-AA9</f>
        <v>1315.4399999976158</v>
      </c>
      <c r="AC9" s="411">
        <f>'[1]September - 2021'!AJ9</f>
        <v>1315.4399999976158</v>
      </c>
      <c r="AD9" s="255">
        <f>'[1]September - 2021'!AL9</f>
        <v>16072435.68</v>
      </c>
      <c r="AE9" s="371">
        <f>AD10-AD9</f>
        <v>8526</v>
      </c>
      <c r="AF9" s="411">
        <f>'[1]September - 2021'!AM9</f>
        <v>8526</v>
      </c>
      <c r="AG9" s="255">
        <f>'[1]September - 2021'!AO9</f>
        <v>16436568.960000001</v>
      </c>
      <c r="AH9" s="371">
        <f>AG10-AG9</f>
        <v>13056.959999997169</v>
      </c>
      <c r="AI9" s="411">
        <f>'[1]September - 2021'!AP9</f>
        <v>13056.959999997169</v>
      </c>
      <c r="AJ9" s="255">
        <f>'[1]September - 2021'!AR9</f>
        <v>14899355.52</v>
      </c>
      <c r="AK9" s="371">
        <f>AJ10-AJ9</f>
        <v>4969.4399999994785</v>
      </c>
      <c r="AL9" s="411">
        <f>'[1]September - 2021'!AS9</f>
        <v>4969.4399999994785</v>
      </c>
      <c r="AM9" s="255">
        <f>'[1]September - 2021'!AU9</f>
        <v>12710901.84</v>
      </c>
      <c r="AN9" s="371">
        <f>AM10-AM9</f>
        <v>2679.5999999996275</v>
      </c>
      <c r="AO9" s="411">
        <f>'[1]September - 2021'!AV9</f>
        <v>2679.5999999996275</v>
      </c>
      <c r="AP9" s="255">
        <f>'[1]September - 2021'!AX9</f>
        <v>12247866.959999999</v>
      </c>
      <c r="AQ9" s="371">
        <f>AP10-AP9</f>
        <v>3800.160000000149</v>
      </c>
      <c r="AR9" s="411">
        <f>'[1]September - 2021'!AY9</f>
        <v>3800.160000000149</v>
      </c>
      <c r="AS9" s="255">
        <f>'[1]September - 2021'!BA9</f>
        <v>9772208.8800000008</v>
      </c>
      <c r="AT9" s="371">
        <f>AS10-AS9</f>
        <v>2679.5999999996275</v>
      </c>
      <c r="AU9" s="411">
        <f>'[1]September - 2021'!BB9</f>
        <v>2679.5999999996275</v>
      </c>
      <c r="AV9" s="255">
        <f>'[1]September - 2021'!BD9</f>
        <v>15050679.84</v>
      </c>
      <c r="AW9" s="371">
        <f>AV10-AV9</f>
        <v>6284.8799999989569</v>
      </c>
      <c r="AX9" s="492">
        <f>'[1]September - 2021'!BE9</f>
        <v>6284.8799999989569</v>
      </c>
      <c r="AY9" s="489"/>
      <c r="AZ9" s="272">
        <f>'[1]September - 2021'!BK9</f>
        <v>64792000</v>
      </c>
      <c r="BA9" s="494">
        <f>AZ10-AZ9</f>
        <v>-1800</v>
      </c>
      <c r="BB9" s="490">
        <f>'[1]September - 2021'!BL9</f>
        <v>-1800</v>
      </c>
      <c r="BC9" s="272">
        <f>'[1]September - 2021'!BN9</f>
        <v>67422300</v>
      </c>
      <c r="BD9" s="494">
        <f>BC10-BC9</f>
        <v>38900</v>
      </c>
      <c r="BE9" s="490">
        <f>'[1]September - 2021'!BO9</f>
        <v>38900</v>
      </c>
      <c r="BF9" s="272">
        <f>'[1]September - 2021'!BQ9</f>
        <v>62099800</v>
      </c>
      <c r="BG9" s="494">
        <f>BF10-BF9</f>
        <v>62000</v>
      </c>
      <c r="BH9" s="490">
        <f>'[1]September - 2021'!BR9</f>
        <v>62000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388">
        <f>BS10-BS9</f>
        <v>5290</v>
      </c>
      <c r="BU9" s="396"/>
      <c r="BV9" s="300">
        <f>'[1]September - 2021'!BW9</f>
        <v>0.69</v>
      </c>
      <c r="BW9" s="390">
        <f>BV10-BV9</f>
        <v>0.10000000000000009</v>
      </c>
      <c r="BX9" s="392">
        <f>'[1]September - 2021'!$BX$9:$BX$10</f>
        <v>-0.10000000000000009</v>
      </c>
      <c r="BY9" s="89">
        <f>'[1]September - 2021'!BZ9</f>
        <v>55249</v>
      </c>
      <c r="BZ9" s="394">
        <f>BY10-BY9</f>
        <v>16</v>
      </c>
      <c r="CA9" s="89">
        <f>'[1]September - 2021'!CB9</f>
        <v>46769</v>
      </c>
      <c r="CB9" s="394">
        <f>CA10-CA9</f>
        <v>16</v>
      </c>
      <c r="CC9" s="89">
        <f>'[1]September - 2021'!CD9</f>
        <v>16161</v>
      </c>
      <c r="CD9" s="394">
        <f>CC10-CC9</f>
        <v>4</v>
      </c>
      <c r="CE9" s="89">
        <f>'[1]September - 2021'!CF9</f>
        <v>21026</v>
      </c>
      <c r="CF9" s="394">
        <f>CE10-CE9</f>
        <v>10</v>
      </c>
      <c r="CG9" s="89">
        <f>'[1]September - 2021'!CH9</f>
        <v>22787</v>
      </c>
      <c r="CH9" s="394">
        <f>CG10-CG9</f>
        <v>6</v>
      </c>
      <c r="CI9" s="89">
        <f>'[1]September - 2021'!CJ9</f>
        <v>50815</v>
      </c>
      <c r="CJ9" s="394">
        <f>CI10-CI9</f>
        <v>7</v>
      </c>
      <c r="CK9" s="89">
        <f>'[1]September - 2021'!CL9</f>
        <v>224565</v>
      </c>
      <c r="CL9" s="394">
        <f>CK10-CK9</f>
        <v>91</v>
      </c>
      <c r="CM9" s="408">
        <f>'[1]September - 2021'!CM9</f>
        <v>91</v>
      </c>
      <c r="CN9" s="89">
        <f>'[1]September - 2021'!CO9</f>
        <v>170936</v>
      </c>
      <c r="CO9" s="394">
        <f>CN10-CN9</f>
        <v>63</v>
      </c>
      <c r="CP9" s="408">
        <f>'[1]September - 2021'!CP9</f>
        <v>63</v>
      </c>
      <c r="CQ9" s="89">
        <f>'[1]September - 2021'!CR9</f>
        <v>308195</v>
      </c>
      <c r="CR9" s="394">
        <f>CQ10-CQ9</f>
        <v>0</v>
      </c>
      <c r="CS9" s="408">
        <f>'[1]September - 2021'!CS9</f>
        <v>0</v>
      </c>
      <c r="CT9" s="89">
        <f>'[1]September - 2021'!CU9</f>
        <v>597754</v>
      </c>
      <c r="CU9" s="470">
        <f>CT10-CT9</f>
        <v>234</v>
      </c>
      <c r="CV9" s="456"/>
      <c r="CW9" s="256">
        <f>'[1]September - 2021'!CX9</f>
        <v>5602</v>
      </c>
      <c r="CX9" s="382">
        <f>CW10-CW9</f>
        <v>-5602</v>
      </c>
      <c r="CY9" s="257">
        <f>'[1]September - 2021'!CZ9</f>
        <v>3177</v>
      </c>
      <c r="CZ9" s="382">
        <f>CY10-CY9</f>
        <v>-3177</v>
      </c>
      <c r="DA9" s="257">
        <f>'[1]September - 2021'!DB9</f>
        <v>25277</v>
      </c>
      <c r="DB9" s="382">
        <f>DA10-DA9</f>
        <v>11</v>
      </c>
      <c r="DC9" s="257">
        <f>'[1]September - 2021'!DD9</f>
        <v>25923</v>
      </c>
      <c r="DD9" s="382">
        <f>DC10-DC9</f>
        <v>14</v>
      </c>
      <c r="DE9" s="257">
        <f>'[1]September - 2021'!DF9</f>
        <v>17864</v>
      </c>
      <c r="DF9" s="382">
        <f>DE10-DE9</f>
        <v>6</v>
      </c>
      <c r="DG9" s="257">
        <f>'[1]September - 2021'!DH9</f>
        <v>20921</v>
      </c>
      <c r="DH9" s="382">
        <f>DG10-DG9</f>
        <v>7</v>
      </c>
      <c r="DI9" s="257">
        <f>'[1]September - 2021'!DJ9</f>
        <v>2364</v>
      </c>
      <c r="DJ9" s="382">
        <f>DI10-DI9</f>
        <v>10</v>
      </c>
      <c r="DK9" s="257">
        <f>'[1]September - 2021'!DL9</f>
        <v>5528</v>
      </c>
      <c r="DL9" s="382">
        <f>DK10-DK9</f>
        <v>13</v>
      </c>
      <c r="DM9" s="257">
        <f>'[1]September - 2021'!DN9</f>
        <v>1268</v>
      </c>
      <c r="DN9" s="382">
        <f>DM10-DM9</f>
        <v>4</v>
      </c>
      <c r="DO9" s="257">
        <f>'[1]September - 2021'!DP9</f>
        <v>2892</v>
      </c>
      <c r="DP9" s="382">
        <f>DO10-DO9</f>
        <v>6</v>
      </c>
      <c r="DQ9" s="257">
        <f>'[1]September - 2021'!DR9</f>
        <v>25850</v>
      </c>
      <c r="DR9" s="384">
        <f>DQ10-DQ9</f>
        <v>8</v>
      </c>
      <c r="DS9" s="441"/>
      <c r="DT9" s="210">
        <f>'[1]September - 2021'!DU9</f>
        <v>2156.4</v>
      </c>
      <c r="DU9" s="386">
        <f>DT10-DT9</f>
        <v>10</v>
      </c>
      <c r="DV9" s="91">
        <f>'[1]September - 2021'!DW9</f>
        <v>7426.5</v>
      </c>
      <c r="DW9" s="448">
        <f>DV10-DV9</f>
        <v>8</v>
      </c>
      <c r="DX9" s="91">
        <f>'[1]September - 2021'!DY9</f>
        <v>1627.4</v>
      </c>
      <c r="DY9" s="386">
        <f>DX10-DX9</f>
        <v>6.3999999999998636</v>
      </c>
      <c r="DZ9" s="91">
        <f>'[1]September - 2021'!EA9</f>
        <v>1487.8</v>
      </c>
      <c r="EA9" s="386">
        <f>DZ10-DZ9</f>
        <v>11.600000000000136</v>
      </c>
      <c r="EB9" s="91">
        <f>'[1]September - 2021'!EC9</f>
        <v>803473</v>
      </c>
      <c r="EC9" s="386">
        <f>EB10-EB9</f>
        <v>790</v>
      </c>
      <c r="ED9" s="91">
        <f>'[1]September - 2021'!EG9</f>
        <v>161042.6</v>
      </c>
      <c r="EE9" s="450">
        <f>ED10-ED9</f>
        <v>153.10000000000582</v>
      </c>
      <c r="EF9" s="380"/>
      <c r="EG9" s="235">
        <f>'[1]September - 2021'!EJ9</f>
        <v>9824000</v>
      </c>
      <c r="EH9" s="372">
        <f>EG10-EG9</f>
        <v>8200</v>
      </c>
      <c r="EI9" s="90">
        <f>'[1]September - 2021'!EL9</f>
        <v>789420</v>
      </c>
      <c r="EJ9" s="372">
        <f>EI10-EI9</f>
        <v>460</v>
      </c>
      <c r="EK9" s="90">
        <f>'[1]September - 2021'!EN9</f>
        <v>6136300</v>
      </c>
      <c r="EL9" s="372">
        <f>EK10-EK9</f>
        <v>3300</v>
      </c>
      <c r="EM9" s="90">
        <f>'[1]September - 2021'!EP9</f>
        <v>2167200</v>
      </c>
      <c r="EN9" s="372">
        <f>EM10-EM9</f>
        <v>1200</v>
      </c>
      <c r="EO9" s="90">
        <f>'[1]September - 2021'!ER9</f>
        <v>913870</v>
      </c>
      <c r="EP9" s="372">
        <f>EO10-EO9</f>
        <v>990</v>
      </c>
      <c r="EQ9" s="90">
        <f>'[1]September - 2021'!ET9</f>
        <v>13625600</v>
      </c>
      <c r="ER9" s="436">
        <f>EQ10-EQ9</f>
        <v>7300</v>
      </c>
      <c r="ES9" s="428"/>
      <c r="ET9" s="284">
        <f>'[1]September - 2021'!EW9</f>
        <v>36015</v>
      </c>
      <c r="EU9" s="383">
        <f>ET10-ET9</f>
        <v>14</v>
      </c>
      <c r="EV9" s="285">
        <f>'[1]September - 2021'!EY9</f>
        <v>31132</v>
      </c>
      <c r="EW9" s="383">
        <f>EV10-EV9</f>
        <v>12</v>
      </c>
      <c r="EX9" s="285">
        <f>'[1]September - 2021'!FA9</f>
        <v>2247</v>
      </c>
      <c r="EY9" s="383">
        <v>0</v>
      </c>
      <c r="EZ9" s="285">
        <f>'[1]September - 2021'!FC9</f>
        <v>52350</v>
      </c>
      <c r="FA9" s="383">
        <f>EZ10-EZ9</f>
        <v>-52350</v>
      </c>
      <c r="FB9" s="285">
        <f>'[1]September - 2021'!FE9</f>
        <v>34727</v>
      </c>
      <c r="FC9" s="385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414"/>
      <c r="E10" s="416"/>
      <c r="F10" s="168">
        <f>'[1]September - 2021'!H10</f>
        <v>52069</v>
      </c>
      <c r="G10" s="410"/>
      <c r="H10" s="416"/>
      <c r="I10" s="168">
        <f>'[1]September - 2021'!K10</f>
        <v>164625</v>
      </c>
      <c r="J10" s="410"/>
      <c r="K10" s="168">
        <f>'[1]September - 2021'!N10</f>
        <v>788447</v>
      </c>
      <c r="L10" s="371"/>
      <c r="M10" s="168">
        <f>'[1]September - 2021'!Q10</f>
        <v>178064</v>
      </c>
      <c r="N10" s="371"/>
      <c r="O10" s="168">
        <f>'[1]September - 2021'!S10</f>
        <v>34111.33</v>
      </c>
      <c r="P10" s="410"/>
      <c r="Q10" s="416"/>
      <c r="R10" s="168">
        <f>'[1]September - 2021'!V10</f>
        <v>969</v>
      </c>
      <c r="S10" s="418"/>
      <c r="T10" s="523"/>
      <c r="U10" s="269">
        <f>'[1]September - 2021'!AC10</f>
        <v>6888082.3200000003</v>
      </c>
      <c r="V10" s="420"/>
      <c r="W10" s="412"/>
      <c r="X10" s="290">
        <f>'[1]September - 2021'!AF10</f>
        <v>13284579.84</v>
      </c>
      <c r="Y10" s="410"/>
      <c r="Z10" s="412"/>
      <c r="AA10" s="290">
        <f>'[1]September - 2021'!AI10</f>
        <v>13038738.719999999</v>
      </c>
      <c r="AB10" s="410"/>
      <c r="AC10" s="412"/>
      <c r="AD10" s="290">
        <f>'[1]September - 2021'!AL10</f>
        <v>16080961.68</v>
      </c>
      <c r="AE10" s="410"/>
      <c r="AF10" s="412"/>
      <c r="AG10" s="290">
        <f>'[1]September - 2021'!AO10</f>
        <v>16449625.919999998</v>
      </c>
      <c r="AH10" s="410"/>
      <c r="AI10" s="412"/>
      <c r="AJ10" s="290">
        <f>'[1]September - 2021'!AR10</f>
        <v>14904324.959999999</v>
      </c>
      <c r="AK10" s="410"/>
      <c r="AL10" s="412"/>
      <c r="AM10" s="290">
        <f>'[1]September - 2021'!AU10</f>
        <v>12713581.439999999</v>
      </c>
      <c r="AN10" s="410"/>
      <c r="AO10" s="412"/>
      <c r="AP10" s="290">
        <f>'[1]September - 2021'!AX10</f>
        <v>12251667.119999999</v>
      </c>
      <c r="AQ10" s="410"/>
      <c r="AR10" s="412"/>
      <c r="AS10" s="290">
        <f>'[1]September - 2021'!BA10</f>
        <v>9774888.4800000004</v>
      </c>
      <c r="AT10" s="410"/>
      <c r="AU10" s="412"/>
      <c r="AV10" s="290">
        <f>'[1]September - 2021'!BD10</f>
        <v>15056964.719999999</v>
      </c>
      <c r="AW10" s="410"/>
      <c r="AX10" s="493"/>
      <c r="AY10" s="489"/>
      <c r="AZ10" s="272">
        <f>'[1]September - 2021'!BK10</f>
        <v>64790200</v>
      </c>
      <c r="BA10" s="495"/>
      <c r="BB10" s="491"/>
      <c r="BC10" s="272">
        <f>'[1]September - 2021'!BN10</f>
        <v>67461200</v>
      </c>
      <c r="BD10" s="495"/>
      <c r="BE10" s="491"/>
      <c r="BF10" s="272">
        <f>'[1]September - 2021'!BQ10</f>
        <v>62161800</v>
      </c>
      <c r="BG10" s="495"/>
      <c r="BH10" s="491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389"/>
      <c r="BU10" s="396"/>
      <c r="BV10" s="88">
        <f>'[1]September - 2021'!BW10</f>
        <v>0.79</v>
      </c>
      <c r="BW10" s="391"/>
      <c r="BX10" s="393"/>
      <c r="BY10" s="89">
        <f>'[1]September - 2021'!BZ10</f>
        <v>55265</v>
      </c>
      <c r="BZ10" s="388"/>
      <c r="CA10" s="89">
        <f>'[1]September - 2021'!CB10</f>
        <v>46785</v>
      </c>
      <c r="CB10" s="388"/>
      <c r="CC10" s="89">
        <f>'[1]September - 2021'!CD10</f>
        <v>16165</v>
      </c>
      <c r="CD10" s="388"/>
      <c r="CE10" s="89">
        <f>'[1]September - 2021'!CF10</f>
        <v>21036</v>
      </c>
      <c r="CF10" s="388"/>
      <c r="CG10" s="89">
        <f>'[1]September - 2021'!CH10</f>
        <v>22793</v>
      </c>
      <c r="CH10" s="388"/>
      <c r="CI10" s="89">
        <f>'[1]September - 2021'!CJ10</f>
        <v>50822</v>
      </c>
      <c r="CJ10" s="388"/>
      <c r="CK10" s="89">
        <f>'[1]September - 2021'!CL10</f>
        <v>224656</v>
      </c>
      <c r="CL10" s="388"/>
      <c r="CM10" s="409"/>
      <c r="CN10" s="89">
        <f>'[1]September - 2021'!CO10</f>
        <v>170999</v>
      </c>
      <c r="CO10" s="388"/>
      <c r="CP10" s="409"/>
      <c r="CQ10" s="89">
        <f>'[1]September - 2021'!CR10</f>
        <v>308195</v>
      </c>
      <c r="CR10" s="388"/>
      <c r="CS10" s="409"/>
      <c r="CT10" s="89">
        <f>'[1]September - 2021'!CU10</f>
        <v>597988</v>
      </c>
      <c r="CU10" s="471"/>
      <c r="CV10" s="456"/>
      <c r="CW10" s="256">
        <f>'[1]September - 2021'!CX10</f>
        <v>0</v>
      </c>
      <c r="CX10" s="383"/>
      <c r="CY10" s="257">
        <f>'[1]September - 2021'!CZ10</f>
        <v>0</v>
      </c>
      <c r="CZ10" s="383"/>
      <c r="DA10" s="257">
        <f>'[1]September - 2021'!DB10</f>
        <v>25288</v>
      </c>
      <c r="DB10" s="383"/>
      <c r="DC10" s="257">
        <f>'[1]September - 2021'!DD10</f>
        <v>25937</v>
      </c>
      <c r="DD10" s="383"/>
      <c r="DE10" s="257">
        <f>'[1]September - 2021'!DF10</f>
        <v>17870</v>
      </c>
      <c r="DF10" s="383"/>
      <c r="DG10" s="257">
        <f>'[1]September - 2021'!DH10</f>
        <v>20928</v>
      </c>
      <c r="DH10" s="383"/>
      <c r="DI10" s="257">
        <f>'[1]September - 2021'!DJ10</f>
        <v>2374</v>
      </c>
      <c r="DJ10" s="383"/>
      <c r="DK10" s="257">
        <f>'[1]September - 2021'!DL10</f>
        <v>5541</v>
      </c>
      <c r="DL10" s="383"/>
      <c r="DM10" s="257">
        <f>'[1]September - 2021'!DN10</f>
        <v>1272</v>
      </c>
      <c r="DN10" s="383"/>
      <c r="DO10" s="257">
        <f>'[1]September - 2021'!DP10</f>
        <v>2898</v>
      </c>
      <c r="DP10" s="383"/>
      <c r="DQ10" s="257">
        <f>'[1]September - 2021'!DR10</f>
        <v>25858</v>
      </c>
      <c r="DR10" s="385"/>
      <c r="DS10" s="441"/>
      <c r="DT10" s="210">
        <f>'[1]September - 2021'!DU10</f>
        <v>2166.4</v>
      </c>
      <c r="DU10" s="387"/>
      <c r="DV10" s="91">
        <f>'[1]September - 2021'!DW10</f>
        <v>7434.5</v>
      </c>
      <c r="DW10" s="449"/>
      <c r="DX10" s="91">
        <f>'[1]September - 2021'!DY10</f>
        <v>1633.8</v>
      </c>
      <c r="DY10" s="387"/>
      <c r="DZ10" s="91">
        <f>'[1]September - 2021'!EA10</f>
        <v>1499.4</v>
      </c>
      <c r="EA10" s="387"/>
      <c r="EB10" s="91">
        <f>'[1]September - 2021'!EC10</f>
        <v>804263</v>
      </c>
      <c r="EC10" s="387"/>
      <c r="ED10" s="91">
        <f>'[1]September - 2021'!EG10</f>
        <v>161195.70000000001</v>
      </c>
      <c r="EE10" s="451"/>
      <c r="EF10" s="380"/>
      <c r="EG10" s="235">
        <f>'[1]September - 2021'!EJ10</f>
        <v>9832200</v>
      </c>
      <c r="EH10" s="373"/>
      <c r="EI10" s="90">
        <f>'[1]September - 2021'!EL10</f>
        <v>789880</v>
      </c>
      <c r="EJ10" s="373"/>
      <c r="EK10" s="90">
        <f>'[1]September - 2021'!EN10</f>
        <v>6139600</v>
      </c>
      <c r="EL10" s="373"/>
      <c r="EM10" s="90">
        <f>'[1]September - 2021'!EP10</f>
        <v>2168400</v>
      </c>
      <c r="EN10" s="373"/>
      <c r="EO10" s="90">
        <f>'[1]September - 2021'!ER10</f>
        <v>914860</v>
      </c>
      <c r="EP10" s="373"/>
      <c r="EQ10" s="90">
        <f>'[1]September - 2021'!ET10</f>
        <v>13632900</v>
      </c>
      <c r="ER10" s="437"/>
      <c r="ES10" s="428"/>
      <c r="ET10" s="284">
        <f>'[1]September - 2021'!EW10</f>
        <v>36029</v>
      </c>
      <c r="EU10" s="432"/>
      <c r="EV10" s="285">
        <f>'[1]September - 2021'!EY10</f>
        <v>31144</v>
      </c>
      <c r="EW10" s="432"/>
      <c r="EX10" s="285">
        <f>'[1]September - 2021'!FA10</f>
        <v>2260</v>
      </c>
      <c r="EY10" s="432"/>
      <c r="EZ10" s="285">
        <f>'[1]September - 2021'!FC10</f>
        <v>0</v>
      </c>
      <c r="FA10" s="432"/>
      <c r="FB10" s="285">
        <f>'[1]September - 2021'!FE10</f>
        <v>34751</v>
      </c>
      <c r="FC10" s="433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523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89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396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456"/>
      <c r="CW11" s="256">
        <f>'[1]September - 2021'!CX11</f>
        <v>0</v>
      </c>
      <c r="CX11" s="198">
        <f>'[1]September - 2021'!CY11</f>
        <v>0</v>
      </c>
      <c r="CY11" s="257">
        <f>'[1]September - 2021'!CZ11</f>
        <v>0</v>
      </c>
      <c r="CZ11" s="198">
        <f>'[1]September - 2021'!DA11</f>
        <v>0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441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380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42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0</v>
      </c>
      <c r="FA11" s="278">
        <f>'[1]September - 2021'!FD11</f>
        <v>0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523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89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396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456"/>
      <c r="CW12" s="256">
        <f>'[1]September - 2021'!CX12</f>
        <v>5622</v>
      </c>
      <c r="CX12" s="198">
        <f>'[1]September - 2021'!CY12</f>
        <v>5622</v>
      </c>
      <c r="CY12" s="257">
        <f>'[1]September - 2021'!CZ12</f>
        <v>3192</v>
      </c>
      <c r="CZ12" s="198">
        <f>'[1]September - 2021'!DA12</f>
        <v>3192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441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380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42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52403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523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89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396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456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441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380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42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523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89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396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456"/>
      <c r="CW14" s="256">
        <f>'[1]September - 2021'!CX14</f>
        <v>0</v>
      </c>
      <c r="CX14" s="198">
        <f>'[1]September - 2021'!CY14</f>
        <v>-5628</v>
      </c>
      <c r="CY14" s="257">
        <f>'[1]September - 2021'!CZ14</f>
        <v>0</v>
      </c>
      <c r="CZ14" s="198">
        <f>'[1]September - 2021'!DA14</f>
        <v>-3197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441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380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42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0</v>
      </c>
      <c r="FA14" s="278">
        <f>'[1]September - 2021'!FD14</f>
        <v>-52419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523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89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396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456"/>
      <c r="CW15" s="256">
        <f>'[1]September - 2021'!CX15</f>
        <v>5635</v>
      </c>
      <c r="CX15" s="198">
        <f>'[1]September - 2021'!CY15</f>
        <v>5635</v>
      </c>
      <c r="CY15" s="257">
        <f>'[1]September - 2021'!CZ15</f>
        <v>3203</v>
      </c>
      <c r="CZ15" s="198">
        <f>'[1]September - 2021'!DA15</f>
        <v>3203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441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380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42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52458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</v>
      </c>
      <c r="C16" s="250">
        <f>'[1]September - 2021'!E16</f>
        <v>0</v>
      </c>
      <c r="D16" s="170">
        <f>'[1]September - 2021'!F16</f>
        <v>-852625</v>
      </c>
      <c r="E16" s="168">
        <f>'[1]September - 2021'!G16</f>
        <v>499</v>
      </c>
      <c r="F16" s="168">
        <f>'[1]September - 2021'!H16</f>
        <v>0</v>
      </c>
      <c r="G16" s="170">
        <f>'[1]September - 2021'!I16</f>
        <v>-53455</v>
      </c>
      <c r="H16" s="168">
        <f>'[1]September - 2021'!J16</f>
        <v>253</v>
      </c>
      <c r="I16" s="168">
        <f>'[1]September - 2021'!K16</f>
        <v>0</v>
      </c>
      <c r="J16" s="170">
        <f>'[1]September - 2021'!L16</f>
        <v>-164625</v>
      </c>
      <c r="K16" s="168">
        <f>'[1]September - 2021'!N16</f>
        <v>0</v>
      </c>
      <c r="L16" s="170">
        <f>'[1]September - 2021'!O16</f>
        <v>-790330</v>
      </c>
      <c r="M16" s="168">
        <f>'[1]September - 2021'!Q16</f>
        <v>0</v>
      </c>
      <c r="N16" s="170">
        <f>'[1]September - 2021'!R16</f>
        <v>-178925</v>
      </c>
      <c r="O16" s="168">
        <f>'[1]September - 2021'!S16</f>
        <v>0</v>
      </c>
      <c r="P16" s="170">
        <f>'[1]September - 2021'!T16</f>
        <v>-35343.360000000001</v>
      </c>
      <c r="Q16" s="168">
        <f>'[1]September - 2021'!U16</f>
        <v>177</v>
      </c>
      <c r="R16" s="168">
        <f>'[1]September - 2021'!V16</f>
        <v>0</v>
      </c>
      <c r="S16" s="208">
        <f>'[1]September - 2021'!W16</f>
        <v>-1148</v>
      </c>
      <c r="T16" s="523"/>
      <c r="U16" s="269">
        <f>'[1]September - 2021'!AC16</f>
        <v>0</v>
      </c>
      <c r="V16" s="291">
        <f>'[1]September - 2021'!AD16</f>
        <v>-6899434.0800000001</v>
      </c>
      <c r="W16" s="92">
        <f>'[1]September - 2021'!AD16</f>
        <v>-6899434.0800000001</v>
      </c>
      <c r="X16" s="290">
        <f>'[1]September - 2021'!AF16</f>
        <v>0</v>
      </c>
      <c r="Y16" s="291">
        <f>'[1]September - 2021'!AG16</f>
        <v>-13307137.199999999</v>
      </c>
      <c r="Z16" s="92">
        <f>'[1]September - 2021'!AG16</f>
        <v>-13307137.199999999</v>
      </c>
      <c r="AA16" s="290">
        <f>'[1]September - 2021'!AI16</f>
        <v>0</v>
      </c>
      <c r="AB16" s="291">
        <f>'[1]September - 2021'!AJ16</f>
        <v>-13078884</v>
      </c>
      <c r="AC16" s="92">
        <f>'[1]September - 2021'!AJ16</f>
        <v>-13078884</v>
      </c>
      <c r="AD16" s="290">
        <f>'[1]September - 2021'!AL16</f>
        <v>0</v>
      </c>
      <c r="AE16" s="291">
        <f>'[1]September - 2021'!AM16</f>
        <v>-16104054.960000001</v>
      </c>
      <c r="AF16" s="92">
        <f>'[1]September - 2021'!AM16</f>
        <v>-16104054.960000001</v>
      </c>
      <c r="AG16" s="290">
        <f>'[1]September - 2021'!AO16</f>
        <v>0</v>
      </c>
      <c r="AH16" s="291">
        <f>'[1]September - 2021'!AP16</f>
        <v>-16508528.4</v>
      </c>
      <c r="AI16" s="92">
        <f>'[1]September - 2021'!AP16</f>
        <v>-16508528.4</v>
      </c>
      <c r="AJ16" s="290">
        <f>'[1]September - 2021'!AR16</f>
        <v>0</v>
      </c>
      <c r="AK16" s="291">
        <f>'[1]September - 2021'!AS16</f>
        <v>-14931803.039999999</v>
      </c>
      <c r="AL16" s="92">
        <f>'[1]September - 2021'!AS16</f>
        <v>-14931803.039999999</v>
      </c>
      <c r="AM16" s="290">
        <f>'[1]September - 2021'!AU16</f>
        <v>0</v>
      </c>
      <c r="AN16" s="291">
        <f>'[1]September - 2021'!AV16</f>
        <v>-12735554.16</v>
      </c>
      <c r="AO16" s="92">
        <f>'[1]September - 2021'!AV16</f>
        <v>-12735554.16</v>
      </c>
      <c r="AP16" s="290">
        <f>'[1]September - 2021'!AX16</f>
        <v>0</v>
      </c>
      <c r="AQ16" s="291">
        <f>'[1]September - 2021'!AY16</f>
        <v>-12271301.280000001</v>
      </c>
      <c r="AR16" s="92">
        <f>'[1]September - 2021'!AY16</f>
        <v>-12271301.280000001</v>
      </c>
      <c r="AS16" s="290">
        <f>'[1]September - 2021'!BA16</f>
        <v>0</v>
      </c>
      <c r="AT16" s="291">
        <f>'[1]September - 2021'!BB16</f>
        <v>-9789358.3199999984</v>
      </c>
      <c r="AU16" s="92">
        <f>'[1]September - 2021'!BB16</f>
        <v>-9789358.3199999984</v>
      </c>
      <c r="AV16" s="290">
        <f>'[1]September - 2021'!BD16</f>
        <v>0</v>
      </c>
      <c r="AW16" s="252">
        <f>'[1]September - 2021'!BE16</f>
        <v>-15089022.48</v>
      </c>
      <c r="AX16" s="253">
        <f>'[1]September - 2021'!BE16</f>
        <v>-15089022.48</v>
      </c>
      <c r="AY16" s="489"/>
      <c r="AZ16" s="272">
        <f>'[1]September - 2021'!BK16</f>
        <v>0</v>
      </c>
      <c r="BA16" s="179">
        <f>'[1]September - 2021'!BL16</f>
        <v>-64976100</v>
      </c>
      <c r="BB16" s="93">
        <f>'[1]September - 2021'!BL16</f>
        <v>-64976100</v>
      </c>
      <c r="BC16" s="272">
        <f>'[1]September - 2021'!BN16</f>
        <v>0</v>
      </c>
      <c r="BD16" s="245">
        <f>'[1]September - 2021'!BO16</f>
        <v>-67554200</v>
      </c>
      <c r="BE16" s="93">
        <f>'[1]September - 2021'!BO16</f>
        <v>-67554200</v>
      </c>
      <c r="BF16" s="272">
        <f>'[1]September - 2021'!BQ16</f>
        <v>0</v>
      </c>
      <c r="BG16" s="245">
        <f>'[1]September - 2021'!BR16</f>
        <v>-62423900</v>
      </c>
      <c r="BH16" s="93">
        <f>'[1]September - 2021'!BR16</f>
        <v>-62423900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0</v>
      </c>
      <c r="BT16" s="185">
        <f>'[1]September - 2021'!BU16</f>
        <v>-7067160</v>
      </c>
      <c r="BU16" s="396"/>
      <c r="BV16" s="88">
        <f>'[1]September - 2021'!BW16</f>
        <v>0</v>
      </c>
      <c r="BW16" s="241">
        <f>'[1]September - 2021'!BX16</f>
        <v>0.61</v>
      </c>
      <c r="BX16" s="88">
        <f>'[1]September - 2021'!BX16</f>
        <v>0.61</v>
      </c>
      <c r="BY16" s="89">
        <f>'[1]September - 2021'!BZ16</f>
        <v>0</v>
      </c>
      <c r="BZ16" s="191">
        <f>'[1]September - 2021'!CA16</f>
        <v>-55350</v>
      </c>
      <c r="CA16" s="89">
        <f>'[1]September - 2021'!CB16</f>
        <v>0</v>
      </c>
      <c r="CB16" s="191">
        <f>'[1]September - 2021'!CC16</f>
        <v>-46863</v>
      </c>
      <c r="CC16" s="89">
        <f>'[1]September - 2021'!CD16</f>
        <v>0</v>
      </c>
      <c r="CD16" s="191">
        <f>'[1]September - 2021'!CE16</f>
        <v>-16192</v>
      </c>
      <c r="CE16" s="89">
        <f>'[1]September - 2021'!CF16</f>
        <v>0</v>
      </c>
      <c r="CF16" s="191">
        <f>'[1]September - 2021'!CG16</f>
        <v>-21087</v>
      </c>
      <c r="CG16" s="89">
        <f>'[1]September - 2021'!CH16</f>
        <v>0</v>
      </c>
      <c r="CH16" s="191">
        <f>'[1]September - 2021'!CI16</f>
        <v>-22849</v>
      </c>
      <c r="CI16" s="89">
        <f>'[1]September - 2021'!CJ16</f>
        <v>0</v>
      </c>
      <c r="CJ16" s="191">
        <f>'[1]September - 2021'!CK16</f>
        <v>-50944</v>
      </c>
      <c r="CK16" s="89">
        <f>'[1]September - 2021'!CL16</f>
        <v>0</v>
      </c>
      <c r="CL16" s="246">
        <f>'[1]September - 2021'!CM16</f>
        <v>-225119</v>
      </c>
      <c r="CM16" s="89">
        <f>'[1]September - 2021'!CM16</f>
        <v>-225119</v>
      </c>
      <c r="CN16" s="89">
        <f>'[1]September - 2021'!CO16</f>
        <v>0</v>
      </c>
      <c r="CO16" s="246">
        <f>'[1]September - 2021'!CP16</f>
        <v>-171331</v>
      </c>
      <c r="CP16" s="89">
        <f>'[1]September - 2021'!CP16</f>
        <v>-171331</v>
      </c>
      <c r="CQ16" s="89">
        <f>'[1]September - 2021'!CR16</f>
        <v>0</v>
      </c>
      <c r="CR16" s="246">
        <f>'[1]September - 2021'!CS16</f>
        <v>-308195</v>
      </c>
      <c r="CS16" s="89">
        <f>'[1]September - 2021'!CS16</f>
        <v>-308195</v>
      </c>
      <c r="CT16" s="89">
        <f>'[1]September - 2021'!CU16</f>
        <v>0</v>
      </c>
      <c r="CU16" s="191">
        <f>'[1]September - 2021'!CV16</f>
        <v>-599167</v>
      </c>
      <c r="CV16" s="456"/>
      <c r="CW16" s="256">
        <f>'[1]September - 2021'!CX16</f>
        <v>0</v>
      </c>
      <c r="CX16" s="198">
        <f>'[1]September - 2021'!CY16</f>
        <v>-5635</v>
      </c>
      <c r="CY16" s="257">
        <f>'[1]September - 2021'!CZ16</f>
        <v>0</v>
      </c>
      <c r="CZ16" s="198">
        <f>'[1]September - 2021'!DA16</f>
        <v>-3203</v>
      </c>
      <c r="DA16" s="257">
        <f>'[1]September - 2021'!DB16</f>
        <v>0</v>
      </c>
      <c r="DB16" s="198">
        <f>'[1]September - 2021'!DC16</f>
        <v>-25346</v>
      </c>
      <c r="DC16" s="257">
        <f>'[1]September - 2021'!DD16</f>
        <v>0</v>
      </c>
      <c r="DD16" s="198">
        <f>'[1]September - 2021'!DE16</f>
        <v>-26012</v>
      </c>
      <c r="DE16" s="257">
        <f>'[1]September - 2021'!DF16</f>
        <v>0</v>
      </c>
      <c r="DF16" s="198">
        <f>'[1]September - 2021'!DG16</f>
        <v>-17902</v>
      </c>
      <c r="DG16" s="257">
        <f>'[1]September - 2021'!DH16</f>
        <v>0</v>
      </c>
      <c r="DH16" s="198">
        <f>'[1]September - 2021'!DI16</f>
        <v>-20976</v>
      </c>
      <c r="DI16" s="257">
        <f>'[1]September - 2021'!DJ16</f>
        <v>0</v>
      </c>
      <c r="DJ16" s="198">
        <f>'[1]September - 2021'!DK16</f>
        <v>-2424</v>
      </c>
      <c r="DK16" s="257">
        <f>'[1]September - 2021'!DL16</f>
        <v>0</v>
      </c>
      <c r="DL16" s="198">
        <f>'[1]September - 2021'!DM16</f>
        <v>-5610</v>
      </c>
      <c r="DM16" s="257">
        <f>'[1]September - 2021'!DN16</f>
        <v>0</v>
      </c>
      <c r="DN16" s="198">
        <f>'[1]September - 2021'!DO16</f>
        <v>-1310</v>
      </c>
      <c r="DO16" s="257">
        <f>'[1]September - 2021'!DP16</f>
        <v>0</v>
      </c>
      <c r="DP16" s="198">
        <f>'[1]September - 2021'!DQ16</f>
        <v>-2919</v>
      </c>
      <c r="DQ16" s="257">
        <f>'[1]September - 2021'!DR16</f>
        <v>0</v>
      </c>
      <c r="DR16" s="206">
        <f>'[1]September - 2021'!DS16</f>
        <v>-25858</v>
      </c>
      <c r="DS16" s="441"/>
      <c r="DT16" s="210">
        <f>'[1]September - 2021'!DU16</f>
        <v>0</v>
      </c>
      <c r="DU16" s="221">
        <f>'[1]September - 2021'!DV16</f>
        <v>-2216.1999999999998</v>
      </c>
      <c r="DV16" s="91">
        <f>'[1]September - 2021'!DW16</f>
        <v>0</v>
      </c>
      <c r="DW16" s="215">
        <f>'[1]September - 2021'!DX16</f>
        <v>-7474.9</v>
      </c>
      <c r="DX16" s="91">
        <f>'[1]September - 2021'!DY16</f>
        <v>0</v>
      </c>
      <c r="DY16" s="215">
        <f>'[1]September - 2021'!DZ16</f>
        <v>-1668.7</v>
      </c>
      <c r="DZ16" s="91">
        <f>'[1]September - 2021'!EA16</f>
        <v>0</v>
      </c>
      <c r="EA16" s="215">
        <f>'[1]September - 2021'!EB16</f>
        <v>-1555.8</v>
      </c>
      <c r="EB16" s="91">
        <f>'[1]September - 2021'!EC16</f>
        <v>0</v>
      </c>
      <c r="EC16" s="215">
        <f>'[1]September - 2021'!ED16</f>
        <v>-808237</v>
      </c>
      <c r="ED16" s="91">
        <f>'[1]September - 2021'!EG16</f>
        <v>0</v>
      </c>
      <c r="EE16" s="229">
        <f>'[1]September - 2021'!EH16</f>
        <v>-161960.79999999999</v>
      </c>
      <c r="EF16" s="380"/>
      <c r="EG16" s="235">
        <f>'[1]September - 2021'!EJ16</f>
        <v>0</v>
      </c>
      <c r="EH16" s="230">
        <f>'[1]September - 2021'!EK16</f>
        <v>-9869700</v>
      </c>
      <c r="EI16" s="90">
        <f>'[1]September - 2021'!EL16</f>
        <v>0</v>
      </c>
      <c r="EJ16" s="230">
        <f>'[1]September - 2021'!EM16</f>
        <v>-791940</v>
      </c>
      <c r="EK16" s="90">
        <f>'[1]September - 2021'!EN16</f>
        <v>0</v>
      </c>
      <c r="EL16" s="230">
        <f>'[1]September - 2021'!EO16</f>
        <v>-6155000</v>
      </c>
      <c r="EM16" s="90">
        <f>'[1]September - 2021'!EP16</f>
        <v>0</v>
      </c>
      <c r="EN16" s="230">
        <f>'[1]September - 2021'!EQ16</f>
        <v>-2175400</v>
      </c>
      <c r="EO16" s="90">
        <f>'[1]September - 2021'!ER16</f>
        <v>0</v>
      </c>
      <c r="EP16" s="230">
        <f>'[1]September - 2021'!ES16</f>
        <v>-919340</v>
      </c>
      <c r="EQ16" s="90">
        <f>'[1]September - 2021'!ET16</f>
        <v>0</v>
      </c>
      <c r="ER16" s="230">
        <f>'[1]September - 2021'!EU16</f>
        <v>-13673000</v>
      </c>
      <c r="ES16" s="428"/>
      <c r="ET16" s="284">
        <f>'[1]September - 2021'!EW16</f>
        <v>0</v>
      </c>
      <c r="EU16" s="278">
        <f>'[1]September - 2021'!EX16</f>
        <v>-36098</v>
      </c>
      <c r="EV16" s="285">
        <f>'[1]September - 2021'!EY16</f>
        <v>0</v>
      </c>
      <c r="EW16" s="278">
        <f>'[1]September - 2021'!EZ16</f>
        <v>-31210</v>
      </c>
      <c r="EX16" s="285">
        <f>'[1]September - 2021'!FA16</f>
        <v>0</v>
      </c>
      <c r="EY16" s="278">
        <f>'[1]September - 2021'!FB16</f>
        <v>0</v>
      </c>
      <c r="EZ16" s="285">
        <f>'[1]September - 2021'!FC16</f>
        <v>0</v>
      </c>
      <c r="FA16" s="278">
        <f>'[1]September - 2021'!FD16</f>
        <v>-52458</v>
      </c>
      <c r="FB16" s="285">
        <f>'[1]September - 2021'!FE16</f>
        <v>0</v>
      </c>
      <c r="FC16" s="279">
        <f>'[1]September - 2021'!FF16</f>
        <v>-34872</v>
      </c>
    </row>
    <row r="17" spans="1:159" ht="30" customHeight="1" x14ac:dyDescent="0.25">
      <c r="A17" s="207">
        <v>43838</v>
      </c>
      <c r="B17" s="209">
        <f>'[1]September - 2021'!B17</f>
        <v>0</v>
      </c>
      <c r="C17" s="250">
        <f>'[1]September - 2021'!E17</f>
        <v>0</v>
      </c>
      <c r="D17" s="170">
        <f>'[1]September - 2021'!F17</f>
        <v>0</v>
      </c>
      <c r="E17" s="168">
        <f>'[1]September - 2021'!G17</f>
        <v>584</v>
      </c>
      <c r="F17" s="168">
        <f>'[1]September - 2021'!H17</f>
        <v>0</v>
      </c>
      <c r="G17" s="170">
        <f>'[1]September - 2021'!I17</f>
        <v>0</v>
      </c>
      <c r="H17" s="168">
        <f>'[1]September - 2021'!J17</f>
        <v>278</v>
      </c>
      <c r="I17" s="168">
        <f>'[1]September - 2021'!K17</f>
        <v>0</v>
      </c>
      <c r="J17" s="170">
        <f>'[1]September - 2021'!L17</f>
        <v>0</v>
      </c>
      <c r="K17" s="168">
        <f>'[1]September - 2021'!N17</f>
        <v>0</v>
      </c>
      <c r="L17" s="170">
        <f>'[1]September - 2021'!O17</f>
        <v>0</v>
      </c>
      <c r="M17" s="168">
        <f>'[1]September - 2021'!Q17</f>
        <v>0</v>
      </c>
      <c r="N17" s="170">
        <f>'[1]September - 2021'!R17</f>
        <v>0</v>
      </c>
      <c r="O17" s="168">
        <f>'[1]September - 2021'!S17</f>
        <v>0</v>
      </c>
      <c r="P17" s="170">
        <f>'[1]September - 2021'!T17</f>
        <v>0</v>
      </c>
      <c r="Q17" s="168">
        <f>'[1]September - 2021'!U17</f>
        <v>179</v>
      </c>
      <c r="R17" s="168">
        <f>'[1]September - 2021'!V17</f>
        <v>0</v>
      </c>
      <c r="S17" s="208">
        <f>'[1]September - 2021'!W17</f>
        <v>0</v>
      </c>
      <c r="T17" s="523"/>
      <c r="U17" s="269">
        <f>'[1]September - 2021'!AC17</f>
        <v>0</v>
      </c>
      <c r="V17" s="291">
        <f>'[1]September - 2021'!AD17</f>
        <v>0</v>
      </c>
      <c r="W17" s="92">
        <f>'[1]September - 2021'!AD17</f>
        <v>0</v>
      </c>
      <c r="X17" s="290">
        <f>'[1]September - 2021'!AF17</f>
        <v>0</v>
      </c>
      <c r="Y17" s="291">
        <f>'[1]September - 2021'!AG17</f>
        <v>0</v>
      </c>
      <c r="Z17" s="92">
        <f>'[1]September - 2021'!AG17</f>
        <v>0</v>
      </c>
      <c r="AA17" s="290">
        <f>'[1]September - 2021'!AI17</f>
        <v>0</v>
      </c>
      <c r="AB17" s="291">
        <f>'[1]September - 2021'!AJ17</f>
        <v>0</v>
      </c>
      <c r="AC17" s="92">
        <f>'[1]September - 2021'!AJ17</f>
        <v>0</v>
      </c>
      <c r="AD17" s="290">
        <f>'[1]September - 2021'!AL17</f>
        <v>0</v>
      </c>
      <c r="AE17" s="291">
        <f>'[1]September - 2021'!AM17</f>
        <v>0</v>
      </c>
      <c r="AF17" s="92">
        <f>'[1]September - 2021'!AM17</f>
        <v>0</v>
      </c>
      <c r="AG17" s="290">
        <f>'[1]September - 2021'!AO17</f>
        <v>0</v>
      </c>
      <c r="AH17" s="291">
        <f>'[1]September - 2021'!AP17</f>
        <v>0</v>
      </c>
      <c r="AI17" s="92">
        <f>'[1]September - 2021'!AP17</f>
        <v>0</v>
      </c>
      <c r="AJ17" s="290">
        <f>'[1]September - 2021'!AR17</f>
        <v>0</v>
      </c>
      <c r="AK17" s="291">
        <f>'[1]September - 2021'!AS17</f>
        <v>0</v>
      </c>
      <c r="AL17" s="92">
        <f>'[1]September - 2021'!AS17</f>
        <v>0</v>
      </c>
      <c r="AM17" s="290">
        <f>'[1]September - 2021'!AU17</f>
        <v>0</v>
      </c>
      <c r="AN17" s="291">
        <f>'[1]September - 2021'!AV17</f>
        <v>0</v>
      </c>
      <c r="AO17" s="92">
        <f>'[1]September - 2021'!AV17</f>
        <v>0</v>
      </c>
      <c r="AP17" s="290">
        <f>'[1]September - 2021'!AX17</f>
        <v>0</v>
      </c>
      <c r="AQ17" s="291">
        <f>'[1]September - 2021'!AY17</f>
        <v>0</v>
      </c>
      <c r="AR17" s="92">
        <f>'[1]September - 2021'!AY17</f>
        <v>0</v>
      </c>
      <c r="AS17" s="290">
        <f>'[1]September - 2021'!BA17</f>
        <v>0</v>
      </c>
      <c r="AT17" s="291">
        <f>'[1]September - 2021'!BB17</f>
        <v>0</v>
      </c>
      <c r="AU17" s="92">
        <f>'[1]September - 2021'!BB17</f>
        <v>0</v>
      </c>
      <c r="AV17" s="290">
        <f>'[1]September - 2021'!BD17</f>
        <v>0</v>
      </c>
      <c r="AW17" s="252">
        <f>'[1]September - 2021'!BE17</f>
        <v>0</v>
      </c>
      <c r="AX17" s="253">
        <f>'[1]September - 2021'!BE17</f>
        <v>0</v>
      </c>
      <c r="AY17" s="489"/>
      <c r="AZ17" s="272">
        <f>'[1]September - 2021'!BK17</f>
        <v>0</v>
      </c>
      <c r="BA17" s="179">
        <f>'[1]September - 2021'!BL17</f>
        <v>0</v>
      </c>
      <c r="BB17" s="93">
        <f>'[1]September - 2021'!BL17</f>
        <v>0</v>
      </c>
      <c r="BC17" s="272">
        <f>'[1]September - 2021'!BN17</f>
        <v>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0</v>
      </c>
      <c r="BG17" s="245">
        <f>'[1]September - 2021'!BR17</f>
        <v>0</v>
      </c>
      <c r="BH17" s="93">
        <f>'[1]September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0</v>
      </c>
      <c r="BT17" s="185">
        <f>'[1]September - 2021'!BU17</f>
        <v>0</v>
      </c>
      <c r="BU17" s="396"/>
      <c r="BV17" s="88">
        <f>'[1]September - 2021'!BW17</f>
        <v>0</v>
      </c>
      <c r="BW17" s="241">
        <f>'[1]September - 2021'!BX17</f>
        <v>0</v>
      </c>
      <c r="BX17" s="88">
        <f>'[1]September - 2021'!BX17</f>
        <v>0</v>
      </c>
      <c r="BY17" s="89">
        <f>'[1]September - 2021'!BZ17</f>
        <v>0</v>
      </c>
      <c r="BZ17" s="191">
        <f>'[1]September - 2021'!CA17</f>
        <v>0</v>
      </c>
      <c r="CA17" s="89">
        <f>'[1]September - 2021'!CB17</f>
        <v>0</v>
      </c>
      <c r="CB17" s="191">
        <f>'[1]September - 2021'!CC17</f>
        <v>0</v>
      </c>
      <c r="CC17" s="89">
        <f>'[1]September - 2021'!CD17</f>
        <v>0</v>
      </c>
      <c r="CD17" s="191">
        <f>'[1]September - 2021'!CE17</f>
        <v>0</v>
      </c>
      <c r="CE17" s="89">
        <f>'[1]September - 2021'!CF17</f>
        <v>0</v>
      </c>
      <c r="CF17" s="191">
        <f>'[1]September - 2021'!CG17</f>
        <v>0</v>
      </c>
      <c r="CG17" s="89">
        <f>'[1]September - 2021'!CH17</f>
        <v>0</v>
      </c>
      <c r="CH17" s="191">
        <f>'[1]September - 2021'!CI17</f>
        <v>0</v>
      </c>
      <c r="CI17" s="89">
        <f>'[1]September - 2021'!CJ17</f>
        <v>0</v>
      </c>
      <c r="CJ17" s="191">
        <f>'[1]September - 2021'!CK17</f>
        <v>0</v>
      </c>
      <c r="CK17" s="89">
        <f>'[1]September - 2021'!CL17</f>
        <v>0</v>
      </c>
      <c r="CL17" s="246">
        <f>'[1]September - 2021'!CM17</f>
        <v>0</v>
      </c>
      <c r="CM17" s="89">
        <f>'[1]September - 2021'!CM17</f>
        <v>0</v>
      </c>
      <c r="CN17" s="89">
        <f>'[1]September - 2021'!CO17</f>
        <v>0</v>
      </c>
      <c r="CO17" s="246">
        <f>'[1]September - 2021'!CP17</f>
        <v>0</v>
      </c>
      <c r="CP17" s="89">
        <f>'[1]September - 2021'!CP17</f>
        <v>0</v>
      </c>
      <c r="CQ17" s="89">
        <f>'[1]September - 2021'!CR17</f>
        <v>0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0</v>
      </c>
      <c r="CU17" s="191">
        <f>'[1]September - 2021'!CV17</f>
        <v>0</v>
      </c>
      <c r="CV17" s="456"/>
      <c r="CW17" s="256">
        <f>'[1]September - 2021'!CX17</f>
        <v>0</v>
      </c>
      <c r="CX17" s="198">
        <f>'[1]September - 2021'!CY17</f>
        <v>0</v>
      </c>
      <c r="CY17" s="257">
        <f>'[1]September - 2021'!CZ17</f>
        <v>0</v>
      </c>
      <c r="CZ17" s="198">
        <f>'[1]September - 2021'!DA17</f>
        <v>0</v>
      </c>
      <c r="DA17" s="257">
        <f>'[1]September - 2021'!DB17</f>
        <v>0</v>
      </c>
      <c r="DB17" s="198">
        <f>'[1]September - 2021'!DC17</f>
        <v>0</v>
      </c>
      <c r="DC17" s="257">
        <f>'[1]September - 2021'!DD17</f>
        <v>0</v>
      </c>
      <c r="DD17" s="198">
        <f>'[1]September - 2021'!DE17</f>
        <v>0</v>
      </c>
      <c r="DE17" s="257">
        <f>'[1]September - 2021'!DF17</f>
        <v>0</v>
      </c>
      <c r="DF17" s="198">
        <f>'[1]September - 2021'!DG17</f>
        <v>0</v>
      </c>
      <c r="DG17" s="257">
        <f>'[1]September - 2021'!DH17</f>
        <v>0</v>
      </c>
      <c r="DH17" s="198">
        <f>'[1]September - 2021'!DI17</f>
        <v>0</v>
      </c>
      <c r="DI17" s="257">
        <f>'[1]September - 2021'!DJ17</f>
        <v>0</v>
      </c>
      <c r="DJ17" s="198">
        <f>'[1]September - 2021'!DK17</f>
        <v>0</v>
      </c>
      <c r="DK17" s="257">
        <f>'[1]September - 2021'!DL17</f>
        <v>0</v>
      </c>
      <c r="DL17" s="198">
        <f>'[1]September - 2021'!DM17</f>
        <v>0</v>
      </c>
      <c r="DM17" s="257">
        <f>'[1]September - 2021'!DN17</f>
        <v>0</v>
      </c>
      <c r="DN17" s="198">
        <f>'[1]September - 2021'!DO17</f>
        <v>0</v>
      </c>
      <c r="DO17" s="257">
        <f>'[1]September - 2021'!DP17</f>
        <v>0</v>
      </c>
      <c r="DP17" s="198">
        <f>'[1]September - 2021'!DQ17</f>
        <v>0</v>
      </c>
      <c r="DQ17" s="257">
        <f>'[1]September - 2021'!DR17</f>
        <v>0</v>
      </c>
      <c r="DR17" s="206">
        <f>'[1]September - 2021'!DS17</f>
        <v>0</v>
      </c>
      <c r="DS17" s="441"/>
      <c r="DT17" s="210">
        <f>'[1]September - 2021'!DU17</f>
        <v>0</v>
      </c>
      <c r="DU17" s="221">
        <f>'[1]September - 2021'!DV17</f>
        <v>0</v>
      </c>
      <c r="DV17" s="91">
        <f>'[1]September - 2021'!DW17</f>
        <v>0</v>
      </c>
      <c r="DW17" s="215">
        <f>'[1]September - 2021'!DX17</f>
        <v>0</v>
      </c>
      <c r="DX17" s="91">
        <f>'[1]September - 2021'!DY17</f>
        <v>0</v>
      </c>
      <c r="DY17" s="215">
        <f>'[1]September - 2021'!DZ17</f>
        <v>0</v>
      </c>
      <c r="DZ17" s="91">
        <f>'[1]September - 2021'!EA17</f>
        <v>0</v>
      </c>
      <c r="EA17" s="215">
        <f>'[1]September - 2021'!EB17</f>
        <v>0</v>
      </c>
      <c r="EB17" s="91">
        <f>'[1]September - 2021'!EC17</f>
        <v>0</v>
      </c>
      <c r="EC17" s="215">
        <f>'[1]September - 2021'!ED17</f>
        <v>0</v>
      </c>
      <c r="ED17" s="91">
        <f>'[1]September - 2021'!EG17</f>
        <v>0</v>
      </c>
      <c r="EE17" s="229">
        <f>'[1]September - 2021'!EH17</f>
        <v>0</v>
      </c>
      <c r="EF17" s="380"/>
      <c r="EG17" s="235">
        <f>'[1]September - 2021'!EJ17</f>
        <v>0</v>
      </c>
      <c r="EH17" s="230">
        <f>'[1]September - 2021'!EK17</f>
        <v>0</v>
      </c>
      <c r="EI17" s="90">
        <f>'[1]September - 2021'!EL17</f>
        <v>0</v>
      </c>
      <c r="EJ17" s="230">
        <f>'[1]September - 2021'!EM17</f>
        <v>0</v>
      </c>
      <c r="EK17" s="90">
        <f>'[1]September - 2021'!EN17</f>
        <v>0</v>
      </c>
      <c r="EL17" s="230">
        <f>'[1]September - 2021'!EO17</f>
        <v>0</v>
      </c>
      <c r="EM17" s="90">
        <f>'[1]September - 2021'!EP17</f>
        <v>0</v>
      </c>
      <c r="EN17" s="230">
        <f>'[1]September - 2021'!EQ17</f>
        <v>0</v>
      </c>
      <c r="EO17" s="90">
        <f>'[1]September - 2021'!ER17</f>
        <v>0</v>
      </c>
      <c r="EP17" s="230">
        <f>'[1]September - 2021'!ES17</f>
        <v>0</v>
      </c>
      <c r="EQ17" s="90">
        <f>'[1]September - 2021'!ET17</f>
        <v>0</v>
      </c>
      <c r="ER17" s="230">
        <f>'[1]September - 2021'!EU17</f>
        <v>0</v>
      </c>
      <c r="ES17" s="428"/>
      <c r="ET17" s="284">
        <f>'[1]September - 2021'!EW17</f>
        <v>0</v>
      </c>
      <c r="EU17" s="278">
        <f>'[1]September - 2021'!EX17</f>
        <v>0</v>
      </c>
      <c r="EV17" s="285">
        <f>'[1]September - 2021'!EY17</f>
        <v>0</v>
      </c>
      <c r="EW17" s="278">
        <f>'[1]September - 2021'!EZ17</f>
        <v>0</v>
      </c>
      <c r="EX17" s="285">
        <f>'[1]September - 2021'!FA17</f>
        <v>0</v>
      </c>
      <c r="EY17" s="278">
        <f>'[1]September - 2021'!FB17</f>
        <v>0</v>
      </c>
      <c r="EZ17" s="285">
        <f>'[1]September - 2021'!FC17</f>
        <v>0</v>
      </c>
      <c r="FA17" s="278">
        <f>'[1]September - 2021'!FD17</f>
        <v>0</v>
      </c>
      <c r="FB17" s="285">
        <f>'[1]September - 2021'!FE17</f>
        <v>0</v>
      </c>
      <c r="FC17" s="279">
        <f>'[1]September - 2021'!FF17</f>
        <v>0</v>
      </c>
    </row>
    <row r="18" spans="1:159" ht="30" customHeight="1" x14ac:dyDescent="0.25">
      <c r="A18" s="207">
        <v>43839</v>
      </c>
      <c r="B18" s="209">
        <f>'[1]September - 2021'!B18</f>
        <v>0</v>
      </c>
      <c r="C18" s="250">
        <f>'[1]September - 2021'!E18</f>
        <v>0</v>
      </c>
      <c r="D18" s="170">
        <f>'[1]September - 2021'!F18</f>
        <v>0</v>
      </c>
      <c r="E18" s="168">
        <f>'[1]September - 2021'!G18</f>
        <v>607</v>
      </c>
      <c r="F18" s="168">
        <f>'[1]September - 2021'!H18</f>
        <v>0</v>
      </c>
      <c r="G18" s="170">
        <f>'[1]September - 2021'!I18</f>
        <v>0</v>
      </c>
      <c r="H18" s="168">
        <f>'[1]September - 2021'!J18</f>
        <v>274</v>
      </c>
      <c r="I18" s="168">
        <f>'[1]September - 2021'!K18</f>
        <v>0</v>
      </c>
      <c r="J18" s="170">
        <f>'[1]September - 2021'!L18</f>
        <v>0</v>
      </c>
      <c r="K18" s="168">
        <f>'[1]September - 2021'!N18</f>
        <v>0</v>
      </c>
      <c r="L18" s="170">
        <f>'[1]September - 2021'!O18</f>
        <v>0</v>
      </c>
      <c r="M18" s="168">
        <f>'[1]September - 2021'!Q18</f>
        <v>0</v>
      </c>
      <c r="N18" s="170">
        <f>'[1]September - 2021'!R18</f>
        <v>0</v>
      </c>
      <c r="O18" s="168">
        <f>'[1]September - 2021'!S18</f>
        <v>0</v>
      </c>
      <c r="P18" s="170">
        <f>'[1]September - 2021'!T18</f>
        <v>0</v>
      </c>
      <c r="Q18" s="168">
        <f>'[1]September - 2021'!U18</f>
        <v>177</v>
      </c>
      <c r="R18" s="168">
        <f>'[1]September - 2021'!V18</f>
        <v>0</v>
      </c>
      <c r="S18" s="208">
        <f>'[1]September - 2021'!W18</f>
        <v>0</v>
      </c>
      <c r="T18" s="523"/>
      <c r="U18" s="269">
        <f>'[1]September - 2021'!AC18</f>
        <v>0</v>
      </c>
      <c r="V18" s="291">
        <f>'[1]September - 2021'!AD18</f>
        <v>0</v>
      </c>
      <c r="W18" s="92">
        <f>'[1]September - 2021'!AD18</f>
        <v>0</v>
      </c>
      <c r="X18" s="290">
        <f>'[1]September - 2021'!AF18</f>
        <v>0</v>
      </c>
      <c r="Y18" s="291">
        <f>'[1]September - 2021'!AG18</f>
        <v>0</v>
      </c>
      <c r="Z18" s="92">
        <f>'[1]September - 2021'!AG18</f>
        <v>0</v>
      </c>
      <c r="AA18" s="290">
        <f>'[1]September - 2021'!AI18</f>
        <v>0</v>
      </c>
      <c r="AB18" s="291">
        <f>'[1]September - 2021'!AJ18</f>
        <v>0</v>
      </c>
      <c r="AC18" s="92">
        <f>'[1]September - 2021'!AJ18</f>
        <v>0</v>
      </c>
      <c r="AD18" s="290">
        <f>'[1]September - 2021'!AL18</f>
        <v>0</v>
      </c>
      <c r="AE18" s="291">
        <f>'[1]September - 2021'!AM18</f>
        <v>0</v>
      </c>
      <c r="AF18" s="92">
        <f>'[1]September - 2021'!AM18</f>
        <v>0</v>
      </c>
      <c r="AG18" s="290">
        <f>'[1]September - 2021'!AO18</f>
        <v>0</v>
      </c>
      <c r="AH18" s="291">
        <f>'[1]September - 2021'!AP18</f>
        <v>0</v>
      </c>
      <c r="AI18" s="92">
        <f>'[1]September - 2021'!AP18</f>
        <v>0</v>
      </c>
      <c r="AJ18" s="290">
        <f>'[1]September - 2021'!AR18</f>
        <v>0</v>
      </c>
      <c r="AK18" s="291">
        <f>'[1]September - 2021'!AS18</f>
        <v>0</v>
      </c>
      <c r="AL18" s="92">
        <f>'[1]September - 2021'!AS18</f>
        <v>0</v>
      </c>
      <c r="AM18" s="290">
        <f>'[1]September - 2021'!AU18</f>
        <v>0</v>
      </c>
      <c r="AN18" s="291">
        <f>'[1]September - 2021'!AV18</f>
        <v>0</v>
      </c>
      <c r="AO18" s="92">
        <f>'[1]September - 2021'!AV18</f>
        <v>0</v>
      </c>
      <c r="AP18" s="290">
        <f>'[1]September - 2021'!AX18</f>
        <v>0</v>
      </c>
      <c r="AQ18" s="291">
        <f>'[1]September - 2021'!AY18</f>
        <v>0</v>
      </c>
      <c r="AR18" s="92">
        <f>'[1]September - 2021'!AY18</f>
        <v>0</v>
      </c>
      <c r="AS18" s="290">
        <f>'[1]September - 2021'!BA18</f>
        <v>0</v>
      </c>
      <c r="AT18" s="291">
        <f>'[1]September - 2021'!BB18</f>
        <v>0</v>
      </c>
      <c r="AU18" s="92">
        <f>'[1]September - 2021'!BB18</f>
        <v>0</v>
      </c>
      <c r="AV18" s="290">
        <f>'[1]September - 2021'!BD18</f>
        <v>0</v>
      </c>
      <c r="AW18" s="252">
        <f>'[1]September - 2021'!BE18</f>
        <v>0</v>
      </c>
      <c r="AX18" s="253">
        <f>'[1]September - 2021'!BE18</f>
        <v>0</v>
      </c>
      <c r="AY18" s="489"/>
      <c r="AZ18" s="272">
        <f>'[1]September - 2021'!BK18</f>
        <v>0</v>
      </c>
      <c r="BA18" s="179">
        <f>'[1]September - 2021'!BL18</f>
        <v>0</v>
      </c>
      <c r="BB18" s="93">
        <f>'[1]September - 2021'!BL18</f>
        <v>0</v>
      </c>
      <c r="BC18" s="272">
        <f>'[1]September - 2021'!BN18</f>
        <v>0</v>
      </c>
      <c r="BD18" s="245">
        <f>'[1]September - 2021'!BO18</f>
        <v>0</v>
      </c>
      <c r="BE18" s="93">
        <f>'[1]September - 2021'!BO18</f>
        <v>0</v>
      </c>
      <c r="BF18" s="272">
        <f>'[1]September - 2021'!BQ18</f>
        <v>0</v>
      </c>
      <c r="BG18" s="245">
        <f>'[1]September - 2021'!BR18</f>
        <v>0</v>
      </c>
      <c r="BH18" s="93">
        <f>'[1]September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0</v>
      </c>
      <c r="BT18" s="185">
        <f>'[1]September - 2021'!BU18</f>
        <v>0</v>
      </c>
      <c r="BU18" s="396"/>
      <c r="BV18" s="88">
        <f>'[1]September - 2021'!BW18</f>
        <v>0</v>
      </c>
      <c r="BW18" s="241">
        <f>'[1]September - 2021'!BX18</f>
        <v>0</v>
      </c>
      <c r="BX18" s="88">
        <f>'[1]September - 2021'!BX18</f>
        <v>0</v>
      </c>
      <c r="BY18" s="89">
        <f>'[1]September - 2021'!BZ18</f>
        <v>0</v>
      </c>
      <c r="BZ18" s="191">
        <f>'[1]September - 2021'!CA18</f>
        <v>0</v>
      </c>
      <c r="CA18" s="89">
        <f>'[1]September - 2021'!CB18</f>
        <v>0</v>
      </c>
      <c r="CB18" s="191">
        <f>'[1]September - 2021'!CC18</f>
        <v>0</v>
      </c>
      <c r="CC18" s="89">
        <f>'[1]September - 2021'!CD18</f>
        <v>0</v>
      </c>
      <c r="CD18" s="191">
        <f>'[1]September - 2021'!CE18</f>
        <v>0</v>
      </c>
      <c r="CE18" s="89">
        <f>'[1]September - 2021'!CF18</f>
        <v>0</v>
      </c>
      <c r="CF18" s="191">
        <f>'[1]September - 2021'!CG18</f>
        <v>0</v>
      </c>
      <c r="CG18" s="89">
        <f>'[1]September - 2021'!CH18</f>
        <v>0</v>
      </c>
      <c r="CH18" s="191">
        <f>'[1]September - 2021'!CI18</f>
        <v>0</v>
      </c>
      <c r="CI18" s="89">
        <f>'[1]September - 2021'!CJ18</f>
        <v>0</v>
      </c>
      <c r="CJ18" s="191">
        <f>'[1]September - 2021'!CK18</f>
        <v>0</v>
      </c>
      <c r="CK18" s="89">
        <f>'[1]September - 2021'!CL18</f>
        <v>0</v>
      </c>
      <c r="CL18" s="246">
        <f>'[1]September - 2021'!CM18</f>
        <v>0</v>
      </c>
      <c r="CM18" s="89">
        <f>'[1]September - 2021'!CM18</f>
        <v>0</v>
      </c>
      <c r="CN18" s="89">
        <f>'[1]September - 2021'!CO18</f>
        <v>0</v>
      </c>
      <c r="CO18" s="246">
        <f>'[1]September - 2021'!CP18</f>
        <v>0</v>
      </c>
      <c r="CP18" s="89">
        <f>'[1]September - 2021'!CP18</f>
        <v>0</v>
      </c>
      <c r="CQ18" s="89">
        <f>'[1]September - 2021'!CR18</f>
        <v>0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0</v>
      </c>
      <c r="CU18" s="191">
        <f>'[1]September - 2021'!CV18</f>
        <v>0</v>
      </c>
      <c r="CV18" s="456"/>
      <c r="CW18" s="256">
        <f>'[1]September - 2021'!CX18</f>
        <v>0</v>
      </c>
      <c r="CX18" s="198">
        <f>'[1]September - 2021'!CY18</f>
        <v>0</v>
      </c>
      <c r="CY18" s="257">
        <f>'[1]September - 2021'!CZ18</f>
        <v>0</v>
      </c>
      <c r="CZ18" s="198">
        <f>'[1]September - 2021'!DA18</f>
        <v>0</v>
      </c>
      <c r="DA18" s="257">
        <f>'[1]September - 2021'!DB18</f>
        <v>0</v>
      </c>
      <c r="DB18" s="198">
        <f>'[1]September - 2021'!DC18</f>
        <v>0</v>
      </c>
      <c r="DC18" s="257">
        <f>'[1]September - 2021'!DD18</f>
        <v>0</v>
      </c>
      <c r="DD18" s="198">
        <f>'[1]September - 2021'!DE18</f>
        <v>0</v>
      </c>
      <c r="DE18" s="257">
        <f>'[1]September - 2021'!DF18</f>
        <v>0</v>
      </c>
      <c r="DF18" s="198">
        <f>'[1]September - 2021'!DG18</f>
        <v>0</v>
      </c>
      <c r="DG18" s="257">
        <f>'[1]September - 2021'!DH18</f>
        <v>0</v>
      </c>
      <c r="DH18" s="198">
        <f>'[1]September - 2021'!DI18</f>
        <v>0</v>
      </c>
      <c r="DI18" s="257">
        <f>'[1]September - 2021'!DJ18</f>
        <v>0</v>
      </c>
      <c r="DJ18" s="198">
        <f>'[1]September - 2021'!DK18</f>
        <v>0</v>
      </c>
      <c r="DK18" s="257">
        <f>'[1]September - 2021'!DL18</f>
        <v>0</v>
      </c>
      <c r="DL18" s="198">
        <f>'[1]September - 2021'!DM18</f>
        <v>0</v>
      </c>
      <c r="DM18" s="257">
        <f>'[1]September - 2021'!DN18</f>
        <v>0</v>
      </c>
      <c r="DN18" s="198">
        <f>'[1]September - 2021'!DO18</f>
        <v>0</v>
      </c>
      <c r="DO18" s="257">
        <f>'[1]September - 2021'!DP18</f>
        <v>0</v>
      </c>
      <c r="DP18" s="198">
        <f>'[1]September - 2021'!DQ18</f>
        <v>0</v>
      </c>
      <c r="DQ18" s="257">
        <f>'[1]September - 2021'!DR18</f>
        <v>0</v>
      </c>
      <c r="DR18" s="206">
        <f>'[1]September - 2021'!DS18</f>
        <v>0</v>
      </c>
      <c r="DS18" s="441"/>
      <c r="DT18" s="210">
        <f>'[1]September - 2021'!DU18</f>
        <v>0</v>
      </c>
      <c r="DU18" s="221">
        <f>'[1]September - 2021'!DV18</f>
        <v>0</v>
      </c>
      <c r="DV18" s="91">
        <f>'[1]September - 2021'!DW18</f>
        <v>0</v>
      </c>
      <c r="DW18" s="215">
        <f>'[1]September - 2021'!DX18</f>
        <v>0</v>
      </c>
      <c r="DX18" s="91">
        <f>'[1]September - 2021'!DY18</f>
        <v>0</v>
      </c>
      <c r="DY18" s="215">
        <f>'[1]September - 2021'!DZ18</f>
        <v>0</v>
      </c>
      <c r="DZ18" s="91">
        <f>'[1]September - 2021'!EA18</f>
        <v>0</v>
      </c>
      <c r="EA18" s="215">
        <f>'[1]September - 2021'!EB18</f>
        <v>0</v>
      </c>
      <c r="EB18" s="91">
        <f>'[1]September - 2021'!EC18</f>
        <v>0</v>
      </c>
      <c r="EC18" s="215">
        <f>'[1]September - 2021'!ED18</f>
        <v>0</v>
      </c>
      <c r="ED18" s="91">
        <f>'[1]September - 2021'!EG18</f>
        <v>0</v>
      </c>
      <c r="EE18" s="229">
        <f>'[1]September - 2021'!EH18</f>
        <v>0</v>
      </c>
      <c r="EF18" s="380"/>
      <c r="EG18" s="235">
        <f>'[1]September - 2021'!EJ18</f>
        <v>0</v>
      </c>
      <c r="EH18" s="230">
        <f>'[1]September - 2021'!EK18</f>
        <v>0</v>
      </c>
      <c r="EI18" s="90">
        <f>'[1]September - 2021'!EL18</f>
        <v>0</v>
      </c>
      <c r="EJ18" s="230">
        <f>'[1]September - 2021'!EM18</f>
        <v>0</v>
      </c>
      <c r="EK18" s="90">
        <f>'[1]September - 2021'!EN18</f>
        <v>0</v>
      </c>
      <c r="EL18" s="230">
        <f>'[1]September - 2021'!EO18</f>
        <v>0</v>
      </c>
      <c r="EM18" s="90">
        <f>'[1]September - 2021'!EP18</f>
        <v>0</v>
      </c>
      <c r="EN18" s="230">
        <f>'[1]September - 2021'!EQ18</f>
        <v>0</v>
      </c>
      <c r="EO18" s="90">
        <f>'[1]September - 2021'!ER18</f>
        <v>0</v>
      </c>
      <c r="EP18" s="230">
        <f>'[1]September - 2021'!ES18</f>
        <v>0</v>
      </c>
      <c r="EQ18" s="90">
        <f>'[1]September - 2021'!ET18</f>
        <v>0</v>
      </c>
      <c r="ER18" s="230">
        <f>'[1]September - 2021'!EU18</f>
        <v>0</v>
      </c>
      <c r="ES18" s="428"/>
      <c r="ET18" s="284">
        <f>'[1]September - 2021'!EW18</f>
        <v>0</v>
      </c>
      <c r="EU18" s="278">
        <f>'[1]September - 2021'!EX18</f>
        <v>0</v>
      </c>
      <c r="EV18" s="285">
        <f>'[1]September - 2021'!EY18</f>
        <v>0</v>
      </c>
      <c r="EW18" s="278">
        <f>'[1]September - 2021'!EZ18</f>
        <v>0</v>
      </c>
      <c r="EX18" s="285">
        <f>'[1]September - 2021'!FA18</f>
        <v>0</v>
      </c>
      <c r="EY18" s="278">
        <f>'[1]September - 2021'!FB18</f>
        <v>0</v>
      </c>
      <c r="EZ18" s="285">
        <f>'[1]September - 2021'!FC18</f>
        <v>0</v>
      </c>
      <c r="FA18" s="278">
        <f>'[1]September - 2021'!FD18</f>
        <v>0</v>
      </c>
      <c r="FB18" s="285">
        <f>'[1]September - 2021'!FE18</f>
        <v>0</v>
      </c>
      <c r="FC18" s="279">
        <f>'[1]September - 2021'!FF18</f>
        <v>0</v>
      </c>
    </row>
    <row r="19" spans="1:159" ht="30" customHeight="1" x14ac:dyDescent="0.25">
      <c r="A19" s="207">
        <v>43840</v>
      </c>
      <c r="B19" s="209">
        <f>'[1]September - 2021'!B19</f>
        <v>0</v>
      </c>
      <c r="C19" s="250">
        <f>'[1]September - 2021'!E19</f>
        <v>0</v>
      </c>
      <c r="D19" s="170">
        <f>'[1]September - 2021'!F19</f>
        <v>0</v>
      </c>
      <c r="E19" s="168">
        <f>'[1]September - 2021'!G19</f>
        <v>561</v>
      </c>
      <c r="F19" s="168">
        <f>'[1]September - 2021'!H19</f>
        <v>0</v>
      </c>
      <c r="G19" s="170">
        <f>'[1]September - 2021'!I19</f>
        <v>0</v>
      </c>
      <c r="H19" s="168">
        <f>'[1]September - 2021'!J19</f>
        <v>276</v>
      </c>
      <c r="I19" s="168">
        <f>'[1]September - 2021'!K19</f>
        <v>0</v>
      </c>
      <c r="J19" s="170">
        <f>'[1]September - 2021'!L19</f>
        <v>0</v>
      </c>
      <c r="K19" s="168">
        <f>'[1]September - 2021'!N19</f>
        <v>0</v>
      </c>
      <c r="L19" s="170">
        <f>'[1]September - 2021'!O19</f>
        <v>0</v>
      </c>
      <c r="M19" s="168">
        <f>'[1]September - 2021'!Q19</f>
        <v>0</v>
      </c>
      <c r="N19" s="170">
        <f>'[1]September - 2021'!R19</f>
        <v>0</v>
      </c>
      <c r="O19" s="168">
        <f>'[1]September - 2021'!S19</f>
        <v>0</v>
      </c>
      <c r="P19" s="170">
        <f>'[1]September - 2021'!T19</f>
        <v>0</v>
      </c>
      <c r="Q19" s="168">
        <f>'[1]September - 2021'!U19</f>
        <v>189</v>
      </c>
      <c r="R19" s="168">
        <f>'[1]September - 2021'!V19</f>
        <v>0</v>
      </c>
      <c r="S19" s="208">
        <f>'[1]September - 2021'!W19</f>
        <v>0</v>
      </c>
      <c r="T19" s="523"/>
      <c r="U19" s="169">
        <f>'[1]September - 2021'!AC19</f>
        <v>0</v>
      </c>
      <c r="V19" s="291">
        <f>'[1]September - 2021'!AD19</f>
        <v>0</v>
      </c>
      <c r="W19" s="92">
        <f>'[1]September - 2021'!AD19</f>
        <v>0</v>
      </c>
      <c r="X19" s="290">
        <f>'[1]September - 2021'!AF19</f>
        <v>0</v>
      </c>
      <c r="Y19" s="291">
        <f>'[1]September - 2021'!AG19</f>
        <v>0</v>
      </c>
      <c r="Z19" s="92">
        <f>'[1]September - 2021'!AG19</f>
        <v>0</v>
      </c>
      <c r="AA19" s="290">
        <f>'[1]September - 2021'!AI19</f>
        <v>0</v>
      </c>
      <c r="AB19" s="291">
        <f>'[1]September - 2021'!AJ19</f>
        <v>0</v>
      </c>
      <c r="AC19" s="92">
        <f>'[1]September - 2021'!AJ19</f>
        <v>0</v>
      </c>
      <c r="AD19" s="290">
        <f>'[1]September - 2021'!AL19</f>
        <v>0</v>
      </c>
      <c r="AE19" s="291">
        <f>'[1]September - 2021'!AM19</f>
        <v>0</v>
      </c>
      <c r="AF19" s="92">
        <f>'[1]September - 2021'!AM19</f>
        <v>0</v>
      </c>
      <c r="AG19" s="290">
        <f>'[1]September - 2021'!AO19</f>
        <v>0</v>
      </c>
      <c r="AH19" s="291">
        <f>'[1]September - 2021'!AP19</f>
        <v>0</v>
      </c>
      <c r="AI19" s="92">
        <f>'[1]September - 2021'!AP19</f>
        <v>0</v>
      </c>
      <c r="AJ19" s="290">
        <f>'[1]September - 2021'!AR19</f>
        <v>0</v>
      </c>
      <c r="AK19" s="291">
        <f>'[1]September - 2021'!AS19</f>
        <v>0</v>
      </c>
      <c r="AL19" s="92">
        <f>'[1]September - 2021'!AS19</f>
        <v>0</v>
      </c>
      <c r="AM19" s="290">
        <f>'[1]September - 2021'!AU19</f>
        <v>0</v>
      </c>
      <c r="AN19" s="291">
        <f>'[1]September - 2021'!AV19</f>
        <v>0</v>
      </c>
      <c r="AO19" s="92">
        <f>'[1]September - 2021'!AV19</f>
        <v>0</v>
      </c>
      <c r="AP19" s="290">
        <f>'[1]September - 2021'!AX19</f>
        <v>0</v>
      </c>
      <c r="AQ19" s="291">
        <f>'[1]September - 2021'!AY19</f>
        <v>0</v>
      </c>
      <c r="AR19" s="92">
        <f>'[1]September - 2021'!AY19</f>
        <v>0</v>
      </c>
      <c r="AS19" s="290">
        <f>'[1]September - 2021'!BA19</f>
        <v>0</v>
      </c>
      <c r="AT19" s="291">
        <f>'[1]September - 2021'!BB19</f>
        <v>0</v>
      </c>
      <c r="AU19" s="92">
        <f>'[1]September - 2021'!BB19</f>
        <v>0</v>
      </c>
      <c r="AV19" s="290">
        <f>'[1]September - 2021'!BD19</f>
        <v>0</v>
      </c>
      <c r="AW19" s="252">
        <f>'[1]September - 2021'!BE19</f>
        <v>0</v>
      </c>
      <c r="AX19" s="253">
        <f>'[1]September - 2021'!BE19</f>
        <v>0</v>
      </c>
      <c r="AY19" s="489"/>
      <c r="AZ19" s="272">
        <f>'[1]September - 2021'!BK19</f>
        <v>0</v>
      </c>
      <c r="BA19" s="179">
        <f>'[1]September - 2021'!BL19</f>
        <v>0</v>
      </c>
      <c r="BB19" s="93">
        <f>'[1]September - 2021'!BL19</f>
        <v>0</v>
      </c>
      <c r="BC19" s="272">
        <f>'[1]September - 2021'!BN19</f>
        <v>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0</v>
      </c>
      <c r="BG19" s="245">
        <f>'[1]September - 2021'!BR19</f>
        <v>0</v>
      </c>
      <c r="BH19" s="93">
        <f>'[1]September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0</v>
      </c>
      <c r="BT19" s="185">
        <f>'[1]September - 2021'!BU19</f>
        <v>0</v>
      </c>
      <c r="BU19" s="396"/>
      <c r="BV19" s="88">
        <f>'[1]September - 2021'!BW19</f>
        <v>0</v>
      </c>
      <c r="BW19" s="241">
        <f>'[1]September - 2021'!BX19</f>
        <v>0</v>
      </c>
      <c r="BX19" s="88">
        <f>'[1]September - 2021'!BX19</f>
        <v>0</v>
      </c>
      <c r="BY19" s="89">
        <f>'[1]September - 2021'!BZ19</f>
        <v>0</v>
      </c>
      <c r="BZ19" s="191">
        <f>'[1]September - 2021'!CA19</f>
        <v>0</v>
      </c>
      <c r="CA19" s="89">
        <f>'[1]September - 2021'!CB19</f>
        <v>0</v>
      </c>
      <c r="CB19" s="191">
        <f>'[1]September - 2021'!CC19</f>
        <v>0</v>
      </c>
      <c r="CC19" s="89">
        <f>'[1]September - 2021'!CD19</f>
        <v>0</v>
      </c>
      <c r="CD19" s="191">
        <f>'[1]September - 2021'!CE19</f>
        <v>0</v>
      </c>
      <c r="CE19" s="89">
        <f>'[1]September - 2021'!CF19</f>
        <v>0</v>
      </c>
      <c r="CF19" s="191">
        <f>'[1]September - 2021'!CG19</f>
        <v>0</v>
      </c>
      <c r="CG19" s="89">
        <f>'[1]September - 2021'!CH19</f>
        <v>0</v>
      </c>
      <c r="CH19" s="191">
        <f>'[1]September - 2021'!CI19</f>
        <v>0</v>
      </c>
      <c r="CI19" s="89">
        <f>'[1]September - 2021'!CJ19</f>
        <v>0</v>
      </c>
      <c r="CJ19" s="191">
        <f>'[1]September - 2021'!CK19</f>
        <v>0</v>
      </c>
      <c r="CK19" s="89">
        <f>'[1]September - 2021'!CL19</f>
        <v>0</v>
      </c>
      <c r="CL19" s="246">
        <f>'[1]September - 2021'!CM19</f>
        <v>0</v>
      </c>
      <c r="CM19" s="89">
        <f>'[1]September - 2021'!CM19</f>
        <v>0</v>
      </c>
      <c r="CN19" s="89">
        <f>'[1]September - 2021'!CO19</f>
        <v>0</v>
      </c>
      <c r="CO19" s="246">
        <f>'[1]September - 2021'!CP19</f>
        <v>0</v>
      </c>
      <c r="CP19" s="89">
        <f>'[1]September - 2021'!CP19</f>
        <v>0</v>
      </c>
      <c r="CQ19" s="89">
        <f>'[1]September - 2021'!CR19</f>
        <v>0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0</v>
      </c>
      <c r="CU19" s="191">
        <f>'[1]September - 2021'!CV19</f>
        <v>0</v>
      </c>
      <c r="CV19" s="456"/>
      <c r="CW19" s="256">
        <f>'[1]September - 2021'!CX19</f>
        <v>0</v>
      </c>
      <c r="CX19" s="198">
        <f>'[1]September - 2021'!CY19</f>
        <v>0</v>
      </c>
      <c r="CY19" s="257">
        <f>'[1]September - 2021'!CZ19</f>
        <v>0</v>
      </c>
      <c r="CZ19" s="198">
        <f>'[1]September - 2021'!DA19</f>
        <v>0</v>
      </c>
      <c r="DA19" s="257">
        <f>'[1]September - 2021'!DB19</f>
        <v>0</v>
      </c>
      <c r="DB19" s="198">
        <f>'[1]September - 2021'!DC19</f>
        <v>0</v>
      </c>
      <c r="DC19" s="257">
        <f>'[1]September - 2021'!DD19</f>
        <v>0</v>
      </c>
      <c r="DD19" s="198">
        <f>'[1]September - 2021'!DE19</f>
        <v>0</v>
      </c>
      <c r="DE19" s="257">
        <f>'[1]September - 2021'!DF19</f>
        <v>0</v>
      </c>
      <c r="DF19" s="198">
        <f>'[1]September - 2021'!DG19</f>
        <v>0</v>
      </c>
      <c r="DG19" s="257">
        <f>'[1]September - 2021'!DH19</f>
        <v>0</v>
      </c>
      <c r="DH19" s="198">
        <f>'[1]September - 2021'!DI19</f>
        <v>0</v>
      </c>
      <c r="DI19" s="257">
        <f>'[1]September - 2021'!DJ19</f>
        <v>0</v>
      </c>
      <c r="DJ19" s="198">
        <f>'[1]September - 2021'!DK19</f>
        <v>0</v>
      </c>
      <c r="DK19" s="257">
        <f>'[1]September - 2021'!DL19</f>
        <v>0</v>
      </c>
      <c r="DL19" s="198">
        <f>'[1]September - 2021'!DM19</f>
        <v>0</v>
      </c>
      <c r="DM19" s="257">
        <f>'[1]September - 2021'!DN19</f>
        <v>0</v>
      </c>
      <c r="DN19" s="198">
        <f>'[1]September - 2021'!DO19</f>
        <v>0</v>
      </c>
      <c r="DO19" s="257">
        <f>'[1]September - 2021'!DP19</f>
        <v>0</v>
      </c>
      <c r="DP19" s="198">
        <f>'[1]September - 2021'!DQ19</f>
        <v>0</v>
      </c>
      <c r="DQ19" s="257">
        <f>'[1]September - 2021'!DR19</f>
        <v>0</v>
      </c>
      <c r="DR19" s="206">
        <f>'[1]September - 2021'!DS19</f>
        <v>0</v>
      </c>
      <c r="DS19" s="441"/>
      <c r="DT19" s="210">
        <f>'[1]September - 2021'!DU19</f>
        <v>0</v>
      </c>
      <c r="DU19" s="221">
        <f>'[1]September - 2021'!DV19</f>
        <v>0</v>
      </c>
      <c r="DV19" s="91">
        <f>'[1]September - 2021'!DW19</f>
        <v>0</v>
      </c>
      <c r="DW19" s="215">
        <f>'[1]September - 2021'!DX19</f>
        <v>0</v>
      </c>
      <c r="DX19" s="91">
        <f>'[1]September - 2021'!DY19</f>
        <v>0</v>
      </c>
      <c r="DY19" s="215">
        <f>'[1]September - 2021'!DZ19</f>
        <v>0</v>
      </c>
      <c r="DZ19" s="91">
        <f>'[1]September - 2021'!EA19</f>
        <v>0</v>
      </c>
      <c r="EA19" s="215">
        <f>'[1]September - 2021'!EB19</f>
        <v>0</v>
      </c>
      <c r="EB19" s="91">
        <f>'[1]September - 2021'!EC19</f>
        <v>0</v>
      </c>
      <c r="EC19" s="215">
        <f>'[1]September - 2021'!ED19</f>
        <v>0</v>
      </c>
      <c r="ED19" s="91">
        <f>'[1]September - 2021'!EG19</f>
        <v>0</v>
      </c>
      <c r="EE19" s="229">
        <f>'[1]September - 2021'!EH19</f>
        <v>0</v>
      </c>
      <c r="EF19" s="380"/>
      <c r="EG19" s="235">
        <f>'[1]September - 2021'!EJ19</f>
        <v>0</v>
      </c>
      <c r="EH19" s="230">
        <f>'[1]September - 2021'!EK19</f>
        <v>0</v>
      </c>
      <c r="EI19" s="90">
        <f>'[1]September - 2021'!EL19</f>
        <v>0</v>
      </c>
      <c r="EJ19" s="230">
        <f>'[1]September - 2021'!EM19</f>
        <v>0</v>
      </c>
      <c r="EK19" s="90">
        <f>'[1]September - 2021'!EN19</f>
        <v>0</v>
      </c>
      <c r="EL19" s="230">
        <f>'[1]September - 2021'!EO19</f>
        <v>0</v>
      </c>
      <c r="EM19" s="90">
        <f>'[1]September - 2021'!EP19</f>
        <v>0</v>
      </c>
      <c r="EN19" s="230">
        <f>'[1]September - 2021'!EQ19</f>
        <v>0</v>
      </c>
      <c r="EO19" s="90">
        <f>'[1]September - 2021'!ER19</f>
        <v>0</v>
      </c>
      <c r="EP19" s="230">
        <f>'[1]September - 2021'!ES19</f>
        <v>0</v>
      </c>
      <c r="EQ19" s="90">
        <f>'[1]September - 2021'!ET19</f>
        <v>0</v>
      </c>
      <c r="ER19" s="230">
        <f>'[1]September - 2021'!EU19</f>
        <v>0</v>
      </c>
      <c r="ES19" s="428"/>
      <c r="ET19" s="284">
        <f>'[1]September - 2021'!EW19</f>
        <v>0</v>
      </c>
      <c r="EU19" s="278">
        <f>'[1]September - 2021'!EX19</f>
        <v>0</v>
      </c>
      <c r="EV19" s="285">
        <f>'[1]September - 2021'!EY19</f>
        <v>0</v>
      </c>
      <c r="EW19" s="278">
        <f>'[1]September - 2021'!EZ19</f>
        <v>0</v>
      </c>
      <c r="EX19" s="285">
        <f>'[1]September - 2021'!FA19</f>
        <v>0</v>
      </c>
      <c r="EY19" s="278">
        <f>'[1]September - 2021'!FB19</f>
        <v>0</v>
      </c>
      <c r="EZ19" s="285">
        <f>'[1]September - 2021'!FC19</f>
        <v>0</v>
      </c>
      <c r="FA19" s="278">
        <f>'[1]September - 2021'!FD19</f>
        <v>0</v>
      </c>
      <c r="FB19" s="285">
        <f>'[1]September - 2021'!FE19</f>
        <v>0</v>
      </c>
      <c r="FC19" s="279">
        <f>'[1]September - 2021'!FF19</f>
        <v>0</v>
      </c>
    </row>
    <row r="20" spans="1:159" ht="30" customHeight="1" x14ac:dyDescent="0.25">
      <c r="A20" s="207">
        <v>43841</v>
      </c>
      <c r="B20" s="209">
        <f>'[1]September - 2021'!B20</f>
        <v>0</v>
      </c>
      <c r="C20" s="250">
        <f>'[1]September - 2021'!E20</f>
        <v>0</v>
      </c>
      <c r="D20" s="170">
        <f>'[1]September - 2021'!F20</f>
        <v>0</v>
      </c>
      <c r="E20" s="168">
        <f>'[1]September - 2021'!G20</f>
        <v>580</v>
      </c>
      <c r="F20" s="168">
        <f>'[1]September - 2021'!H20</f>
        <v>0</v>
      </c>
      <c r="G20" s="170">
        <f>'[1]September - 2021'!I20</f>
        <v>0</v>
      </c>
      <c r="H20" s="168">
        <f>'[1]September - 2021'!J20</f>
        <v>326</v>
      </c>
      <c r="I20" s="168">
        <f>'[1]September - 2021'!K20</f>
        <v>0</v>
      </c>
      <c r="J20" s="170">
        <f>'[1]September - 2021'!L20</f>
        <v>0</v>
      </c>
      <c r="K20" s="168">
        <f>'[1]September - 2021'!N20</f>
        <v>0</v>
      </c>
      <c r="L20" s="170">
        <f>'[1]September - 2021'!O20</f>
        <v>0</v>
      </c>
      <c r="M20" s="168">
        <f>'[1]September - 2021'!Q20</f>
        <v>0</v>
      </c>
      <c r="N20" s="170">
        <f>'[1]September - 2021'!R20</f>
        <v>0</v>
      </c>
      <c r="O20" s="168">
        <f>'[1]September - 2021'!S20</f>
        <v>0</v>
      </c>
      <c r="P20" s="170">
        <f>'[1]September - 2021'!T20</f>
        <v>0</v>
      </c>
      <c r="Q20" s="168">
        <f>'[1]September - 2021'!U20</f>
        <v>185</v>
      </c>
      <c r="R20" s="168">
        <f>'[1]September - 2021'!V20</f>
        <v>0</v>
      </c>
      <c r="S20" s="208">
        <f>'[1]September - 2021'!W20</f>
        <v>0</v>
      </c>
      <c r="T20" s="523"/>
      <c r="U20" s="169">
        <f>'[1]September - 2021'!AC20</f>
        <v>0</v>
      </c>
      <c r="V20" s="291">
        <f>'[1]September - 2021'!AD20</f>
        <v>0</v>
      </c>
      <c r="W20" s="92">
        <f>'[1]September - 2021'!AD20</f>
        <v>0</v>
      </c>
      <c r="X20" s="290">
        <f>'[1]September - 2021'!AF20</f>
        <v>0</v>
      </c>
      <c r="Y20" s="291">
        <f>'[1]September - 2021'!AG20</f>
        <v>0</v>
      </c>
      <c r="Z20" s="92">
        <f>'[1]September - 2021'!AG20</f>
        <v>0</v>
      </c>
      <c r="AA20" s="290">
        <f>'[1]September - 2021'!AI20</f>
        <v>0</v>
      </c>
      <c r="AB20" s="291">
        <f>'[1]September - 2021'!AJ20</f>
        <v>0</v>
      </c>
      <c r="AC20" s="92">
        <f>'[1]September - 2021'!AJ20</f>
        <v>0</v>
      </c>
      <c r="AD20" s="290">
        <f>'[1]September - 2021'!AL20</f>
        <v>0</v>
      </c>
      <c r="AE20" s="291">
        <f>'[1]September - 2021'!AM20</f>
        <v>0</v>
      </c>
      <c r="AF20" s="92">
        <f>'[1]September - 2021'!AM20</f>
        <v>0</v>
      </c>
      <c r="AG20" s="290">
        <f>'[1]September - 2021'!AO20</f>
        <v>0</v>
      </c>
      <c r="AH20" s="291">
        <f>'[1]September - 2021'!AP20</f>
        <v>0</v>
      </c>
      <c r="AI20" s="92">
        <f>'[1]September - 2021'!AP20</f>
        <v>0</v>
      </c>
      <c r="AJ20" s="290">
        <f>'[1]September - 2021'!AR20</f>
        <v>0</v>
      </c>
      <c r="AK20" s="291">
        <f>'[1]September - 2021'!AS20</f>
        <v>0</v>
      </c>
      <c r="AL20" s="92">
        <f>'[1]September - 2021'!AS20</f>
        <v>0</v>
      </c>
      <c r="AM20" s="290">
        <f>'[1]September - 2021'!AU20</f>
        <v>0</v>
      </c>
      <c r="AN20" s="291">
        <f>'[1]September - 2021'!AV20</f>
        <v>0</v>
      </c>
      <c r="AO20" s="92">
        <f>'[1]September - 2021'!AV20</f>
        <v>0</v>
      </c>
      <c r="AP20" s="290">
        <f>'[1]September - 2021'!AX20</f>
        <v>0</v>
      </c>
      <c r="AQ20" s="291">
        <f>'[1]September - 2021'!AY20</f>
        <v>0</v>
      </c>
      <c r="AR20" s="92">
        <f>'[1]September - 2021'!AY20</f>
        <v>0</v>
      </c>
      <c r="AS20" s="290">
        <f>'[1]September - 2021'!BA20</f>
        <v>0</v>
      </c>
      <c r="AT20" s="292">
        <f>'[1]September - 2021'!BB20</f>
        <v>0</v>
      </c>
      <c r="AU20" s="92">
        <f>'[1]September - 2021'!BB20</f>
        <v>0</v>
      </c>
      <c r="AV20" s="290">
        <f>'[1]September - 2021'!BD20</f>
        <v>0</v>
      </c>
      <c r="AW20" s="252">
        <f>'[1]September - 2021'!BE20</f>
        <v>0</v>
      </c>
      <c r="AX20" s="253">
        <f>'[1]September - 2021'!BE20</f>
        <v>0</v>
      </c>
      <c r="AY20" s="489"/>
      <c r="AZ20" s="272">
        <f>'[1]September - 2021'!BK20</f>
        <v>0</v>
      </c>
      <c r="BA20" s="179">
        <f>'[1]September - 2021'!BL20</f>
        <v>0</v>
      </c>
      <c r="BB20" s="93">
        <f>'[1]September - 2021'!BL20</f>
        <v>0</v>
      </c>
      <c r="BC20" s="272">
        <f>'[1]September - 2021'!BN20</f>
        <v>0</v>
      </c>
      <c r="BD20" s="245">
        <f>'[1]September - 2021'!BO20</f>
        <v>0</v>
      </c>
      <c r="BE20" s="93">
        <f>'[1]September - 2021'!BO20</f>
        <v>0</v>
      </c>
      <c r="BF20" s="272">
        <f>'[1]September - 2021'!BQ20</f>
        <v>0</v>
      </c>
      <c r="BG20" s="245">
        <f>'[1]September - 2021'!BR20</f>
        <v>0</v>
      </c>
      <c r="BH20" s="93">
        <f>'[1]September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0</v>
      </c>
      <c r="BT20" s="185">
        <f>'[1]September - 2021'!BU20</f>
        <v>0</v>
      </c>
      <c r="BU20" s="396"/>
      <c r="BV20" s="88">
        <f>'[1]September - 2021'!BW20</f>
        <v>0</v>
      </c>
      <c r="BW20" s="241">
        <f>'[1]September - 2021'!BX20</f>
        <v>0</v>
      </c>
      <c r="BX20" s="88">
        <f>'[1]September - 2021'!BX20</f>
        <v>0</v>
      </c>
      <c r="BY20" s="89">
        <f>'[1]September - 2021'!BZ20</f>
        <v>0</v>
      </c>
      <c r="BZ20" s="191">
        <f>'[1]September - 2021'!CA20</f>
        <v>0</v>
      </c>
      <c r="CA20" s="89">
        <f>'[1]September - 2021'!CB20</f>
        <v>0</v>
      </c>
      <c r="CB20" s="191">
        <f>'[1]September - 2021'!CC20</f>
        <v>0</v>
      </c>
      <c r="CC20" s="89">
        <f>'[1]September - 2021'!CD20</f>
        <v>0</v>
      </c>
      <c r="CD20" s="191">
        <f>'[1]September - 2021'!CE20</f>
        <v>0</v>
      </c>
      <c r="CE20" s="89">
        <f>'[1]September - 2021'!CF20</f>
        <v>0</v>
      </c>
      <c r="CF20" s="191">
        <f>'[1]September - 2021'!CG20</f>
        <v>0</v>
      </c>
      <c r="CG20" s="89">
        <f>'[1]September - 2021'!CH20</f>
        <v>0</v>
      </c>
      <c r="CH20" s="191">
        <f>'[1]September - 2021'!CI20</f>
        <v>0</v>
      </c>
      <c r="CI20" s="89">
        <f>'[1]September - 2021'!CJ20</f>
        <v>0</v>
      </c>
      <c r="CJ20" s="191">
        <f>'[1]September - 2021'!CK20</f>
        <v>0</v>
      </c>
      <c r="CK20" s="89">
        <f>'[1]September - 2021'!CL20</f>
        <v>0</v>
      </c>
      <c r="CL20" s="246">
        <f>'[1]September - 2021'!CM20</f>
        <v>0</v>
      </c>
      <c r="CM20" s="89">
        <f>'[1]September - 2021'!CM20</f>
        <v>0</v>
      </c>
      <c r="CN20" s="89">
        <f>'[1]September - 2021'!CO20</f>
        <v>0</v>
      </c>
      <c r="CO20" s="246">
        <f>'[1]September - 2021'!CP20</f>
        <v>0</v>
      </c>
      <c r="CP20" s="89">
        <f>'[1]September - 2021'!CP20</f>
        <v>0</v>
      </c>
      <c r="CQ20" s="89">
        <f>'[1]September - 2021'!CR20</f>
        <v>0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0</v>
      </c>
      <c r="CU20" s="191">
        <f>'[1]September - 2021'!CV20</f>
        <v>0</v>
      </c>
      <c r="CV20" s="456"/>
      <c r="CW20" s="256">
        <f>'[1]September - 2021'!CX20</f>
        <v>0</v>
      </c>
      <c r="CX20" s="198">
        <f>'[1]September - 2021'!CY20</f>
        <v>0</v>
      </c>
      <c r="CY20" s="257">
        <f>'[1]September - 2021'!CZ20</f>
        <v>0</v>
      </c>
      <c r="CZ20" s="198">
        <f>'[1]September - 2021'!DA20</f>
        <v>0</v>
      </c>
      <c r="DA20" s="257">
        <f>'[1]September - 2021'!DB20</f>
        <v>0</v>
      </c>
      <c r="DB20" s="198">
        <f>'[1]September - 2021'!DC20</f>
        <v>0</v>
      </c>
      <c r="DC20" s="257">
        <f>'[1]September - 2021'!DD20</f>
        <v>0</v>
      </c>
      <c r="DD20" s="198">
        <f>'[1]September - 2021'!DE20</f>
        <v>0</v>
      </c>
      <c r="DE20" s="257">
        <f>'[1]September - 2021'!DF20</f>
        <v>0</v>
      </c>
      <c r="DF20" s="198">
        <f>'[1]September - 2021'!DG20</f>
        <v>0</v>
      </c>
      <c r="DG20" s="257">
        <f>'[1]September - 2021'!DH20</f>
        <v>0</v>
      </c>
      <c r="DH20" s="198">
        <f>'[1]September - 2021'!DI20</f>
        <v>0</v>
      </c>
      <c r="DI20" s="257">
        <f>'[1]September - 2021'!DJ20</f>
        <v>0</v>
      </c>
      <c r="DJ20" s="198">
        <f>'[1]September - 2021'!DK20</f>
        <v>0</v>
      </c>
      <c r="DK20" s="257">
        <f>'[1]September - 2021'!DL20</f>
        <v>0</v>
      </c>
      <c r="DL20" s="198">
        <f>'[1]September - 2021'!DM20</f>
        <v>0</v>
      </c>
      <c r="DM20" s="257">
        <f>'[1]September - 2021'!DN20</f>
        <v>0</v>
      </c>
      <c r="DN20" s="198">
        <f>'[1]September - 2021'!DO20</f>
        <v>0</v>
      </c>
      <c r="DO20" s="257">
        <f>'[1]September - 2021'!DP20</f>
        <v>0</v>
      </c>
      <c r="DP20" s="198">
        <f>'[1]September - 2021'!DQ20</f>
        <v>0</v>
      </c>
      <c r="DQ20" s="257">
        <f>'[1]September - 2021'!DR20</f>
        <v>0</v>
      </c>
      <c r="DR20" s="206">
        <f>'[1]September - 2021'!DS20</f>
        <v>0</v>
      </c>
      <c r="DS20" s="441"/>
      <c r="DT20" s="210">
        <f>'[1]September - 2021'!DU20</f>
        <v>0</v>
      </c>
      <c r="DU20" s="221">
        <f>'[1]September - 2021'!DV20</f>
        <v>0</v>
      </c>
      <c r="DV20" s="91">
        <f>'[1]September - 2021'!DW20</f>
        <v>0</v>
      </c>
      <c r="DW20" s="215">
        <f>'[1]September - 2021'!DX20</f>
        <v>0</v>
      </c>
      <c r="DX20" s="91">
        <f>'[1]September - 2021'!DY20</f>
        <v>0</v>
      </c>
      <c r="DY20" s="215">
        <f>'[1]September - 2021'!DZ20</f>
        <v>0</v>
      </c>
      <c r="DZ20" s="91">
        <f>'[1]September - 2021'!EA20</f>
        <v>0</v>
      </c>
      <c r="EA20" s="215">
        <f>'[1]September - 2021'!EB20</f>
        <v>0</v>
      </c>
      <c r="EB20" s="91">
        <f>'[1]September - 2021'!EC20</f>
        <v>0</v>
      </c>
      <c r="EC20" s="215">
        <f>'[1]September - 2021'!ED20</f>
        <v>0</v>
      </c>
      <c r="ED20" s="91">
        <f>'[1]September - 2021'!EG20</f>
        <v>0</v>
      </c>
      <c r="EE20" s="229">
        <f>'[1]September - 2021'!EH20</f>
        <v>0</v>
      </c>
      <c r="EF20" s="380"/>
      <c r="EG20" s="235">
        <f>'[1]September - 2021'!EJ20</f>
        <v>0</v>
      </c>
      <c r="EH20" s="230">
        <f>'[1]September - 2021'!EK20</f>
        <v>0</v>
      </c>
      <c r="EI20" s="90">
        <f>'[1]September - 2021'!EL20</f>
        <v>0</v>
      </c>
      <c r="EJ20" s="230">
        <f>'[1]September - 2021'!EM20</f>
        <v>0</v>
      </c>
      <c r="EK20" s="90">
        <f>'[1]September - 2021'!EN20</f>
        <v>0</v>
      </c>
      <c r="EL20" s="230">
        <f>'[1]September - 2021'!EO20</f>
        <v>0</v>
      </c>
      <c r="EM20" s="90">
        <f>'[1]September - 2021'!EP20</f>
        <v>0</v>
      </c>
      <c r="EN20" s="230">
        <f>'[1]September - 2021'!EQ20</f>
        <v>0</v>
      </c>
      <c r="EO20" s="90">
        <f>'[1]September - 2021'!ER20</f>
        <v>0</v>
      </c>
      <c r="EP20" s="230">
        <f>'[1]September - 2021'!ES20</f>
        <v>0</v>
      </c>
      <c r="EQ20" s="90">
        <f>'[1]September - 2021'!ET20</f>
        <v>0</v>
      </c>
      <c r="ER20" s="230">
        <f>'[1]September - 2021'!EU20</f>
        <v>0</v>
      </c>
      <c r="ES20" s="428"/>
      <c r="ET20" s="284">
        <f>'[1]September - 2021'!EW20</f>
        <v>0</v>
      </c>
      <c r="EU20" s="278">
        <f>'[1]September - 2021'!EX20</f>
        <v>0</v>
      </c>
      <c r="EV20" s="285">
        <f>'[1]September - 2021'!EY20</f>
        <v>0</v>
      </c>
      <c r="EW20" s="278">
        <f>'[1]September - 2021'!EZ20</f>
        <v>0</v>
      </c>
      <c r="EX20" s="285">
        <f>'[1]September - 2021'!FA20</f>
        <v>0</v>
      </c>
      <c r="EY20" s="278">
        <f>'[1]September - 2021'!FB20</f>
        <v>0</v>
      </c>
      <c r="EZ20" s="285">
        <f>'[1]September - 2021'!FC20</f>
        <v>0</v>
      </c>
      <c r="FA20" s="278">
        <f>'[1]September - 2021'!FD20</f>
        <v>0</v>
      </c>
      <c r="FB20" s="285">
        <f>'[1]September - 2021'!FE20</f>
        <v>0</v>
      </c>
      <c r="FC20" s="279">
        <f>'[1]September - 2021'!FF20</f>
        <v>0</v>
      </c>
    </row>
    <row r="21" spans="1:159" ht="30" customHeight="1" x14ac:dyDescent="0.25">
      <c r="A21" s="207">
        <v>43842</v>
      </c>
      <c r="B21" s="209">
        <f>'[1]September - 2021'!B21</f>
        <v>0</v>
      </c>
      <c r="C21" s="250">
        <f>'[1]September - 2021'!E21</f>
        <v>0</v>
      </c>
      <c r="D21" s="170">
        <f>'[1]September - 2021'!F21</f>
        <v>0</v>
      </c>
      <c r="E21" s="168">
        <f>'[1]September - 2021'!G21</f>
        <v>541</v>
      </c>
      <c r="F21" s="168">
        <f>'[1]September - 2021'!H21</f>
        <v>0</v>
      </c>
      <c r="G21" s="170">
        <f>'[1]September - 2021'!I21</f>
        <v>0</v>
      </c>
      <c r="H21" s="168">
        <f>'[1]September - 2021'!J21</f>
        <v>272</v>
      </c>
      <c r="I21" s="168">
        <f>'[1]September - 2021'!K21</f>
        <v>0</v>
      </c>
      <c r="J21" s="170">
        <f>'[1]September - 2021'!L21</f>
        <v>0</v>
      </c>
      <c r="K21" s="168">
        <f>'[1]September - 2021'!N21</f>
        <v>0</v>
      </c>
      <c r="L21" s="170">
        <f>'[1]September - 2021'!O21</f>
        <v>0</v>
      </c>
      <c r="M21" s="168">
        <f>'[1]September - 2021'!Q21</f>
        <v>0</v>
      </c>
      <c r="N21" s="170">
        <f>'[1]September - 2021'!R21</f>
        <v>0</v>
      </c>
      <c r="O21" s="168">
        <f>'[1]September - 2021'!S21</f>
        <v>0</v>
      </c>
      <c r="P21" s="170">
        <f>'[1]September - 2021'!T21</f>
        <v>0</v>
      </c>
      <c r="Q21" s="168">
        <f>'[1]September - 2021'!U21</f>
        <v>172</v>
      </c>
      <c r="R21" s="168">
        <f>'[1]September - 2021'!V21</f>
        <v>0</v>
      </c>
      <c r="S21" s="208">
        <f>'[1]September - 2021'!W21</f>
        <v>0</v>
      </c>
      <c r="T21" s="523"/>
      <c r="U21" s="169">
        <f>'[1]September - 2021'!AC21</f>
        <v>0</v>
      </c>
      <c r="V21" s="291">
        <f>'[1]September - 2021'!AD21</f>
        <v>0</v>
      </c>
      <c r="W21" s="92">
        <f>'[1]September - 2021'!AD21</f>
        <v>0</v>
      </c>
      <c r="X21" s="290">
        <f>'[1]September - 2021'!AF21</f>
        <v>0</v>
      </c>
      <c r="Y21" s="291">
        <f>'[1]September - 2021'!AG21</f>
        <v>0</v>
      </c>
      <c r="Z21" s="92">
        <f>'[1]September - 2021'!AG21</f>
        <v>0</v>
      </c>
      <c r="AA21" s="290">
        <f>'[1]September - 2021'!AI21</f>
        <v>0</v>
      </c>
      <c r="AB21" s="291">
        <f>'[1]September - 2021'!AJ21</f>
        <v>0</v>
      </c>
      <c r="AC21" s="92">
        <f>'[1]September - 2021'!AJ21</f>
        <v>0</v>
      </c>
      <c r="AD21" s="290">
        <f>'[1]September - 2021'!AL21</f>
        <v>0</v>
      </c>
      <c r="AE21" s="291">
        <f>'[1]September - 2021'!AM21</f>
        <v>0</v>
      </c>
      <c r="AF21" s="92">
        <f>'[1]September - 2021'!AM21</f>
        <v>0</v>
      </c>
      <c r="AG21" s="290">
        <f>'[1]September - 2021'!AO21</f>
        <v>0</v>
      </c>
      <c r="AH21" s="291">
        <f>'[1]September - 2021'!AP21</f>
        <v>0</v>
      </c>
      <c r="AI21" s="92">
        <f>'[1]September - 2021'!AP21</f>
        <v>0</v>
      </c>
      <c r="AJ21" s="290">
        <f>'[1]September - 2021'!AR21</f>
        <v>0</v>
      </c>
      <c r="AK21" s="291">
        <f>'[1]September - 2021'!AS21</f>
        <v>0</v>
      </c>
      <c r="AL21" s="92">
        <f>'[1]September - 2021'!AS21</f>
        <v>0</v>
      </c>
      <c r="AM21" s="290">
        <f>'[1]September - 2021'!AU21</f>
        <v>0</v>
      </c>
      <c r="AN21" s="291">
        <f>'[1]September - 2021'!AV21</f>
        <v>0</v>
      </c>
      <c r="AO21" s="286">
        <f>'[1]September - 2021'!AV21</f>
        <v>0</v>
      </c>
      <c r="AP21" s="290">
        <f>'[1]September - 2021'!AX21</f>
        <v>0</v>
      </c>
      <c r="AQ21" s="291">
        <f>'[1]September - 2021'!AY21</f>
        <v>0</v>
      </c>
      <c r="AR21" s="92">
        <f>'[1]September - 2021'!AY21</f>
        <v>0</v>
      </c>
      <c r="AS21" s="293">
        <f>'[1]September - 2021'!BA21</f>
        <v>0</v>
      </c>
      <c r="AT21" s="292">
        <f>'[1]September - 2021'!BB21</f>
        <v>0</v>
      </c>
      <c r="AU21" s="92">
        <f>'[1]September - 2021'!BB21</f>
        <v>0</v>
      </c>
      <c r="AV21" s="290">
        <f>'[1]September - 2021'!BD21</f>
        <v>0</v>
      </c>
      <c r="AW21" s="252">
        <f>'[1]September - 2021'!BE21</f>
        <v>0</v>
      </c>
      <c r="AX21" s="253">
        <f>'[1]September - 2021'!BE21</f>
        <v>0</v>
      </c>
      <c r="AY21" s="489"/>
      <c r="AZ21" s="272">
        <f>'[1]September - 2021'!BK21</f>
        <v>0</v>
      </c>
      <c r="BA21" s="179">
        <f>'[1]September - 2021'!BL21</f>
        <v>0</v>
      </c>
      <c r="BB21" s="93">
        <f>'[1]September - 2021'!BL21</f>
        <v>0</v>
      </c>
      <c r="BC21" s="272">
        <f>'[1]September - 2021'!BN21</f>
        <v>0</v>
      </c>
      <c r="BD21" s="245">
        <f>'[1]September - 2021'!BO21</f>
        <v>0</v>
      </c>
      <c r="BE21" s="93">
        <f>'[1]September - 2021'!BO21</f>
        <v>0</v>
      </c>
      <c r="BF21" s="272">
        <f>'[1]September - 2021'!BQ21</f>
        <v>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0</v>
      </c>
      <c r="BT21" s="185">
        <f>'[1]September - 2021'!BU21</f>
        <v>0</v>
      </c>
      <c r="BU21" s="396"/>
      <c r="BV21" s="88">
        <f>'[1]September - 2021'!BW21</f>
        <v>0</v>
      </c>
      <c r="BW21" s="241">
        <f>'[1]September - 2021'!BX21</f>
        <v>0</v>
      </c>
      <c r="BX21" s="88">
        <f>'[1]September - 2021'!BX21</f>
        <v>0</v>
      </c>
      <c r="BY21" s="89">
        <f>'[1]September - 2021'!BZ21</f>
        <v>0</v>
      </c>
      <c r="BZ21" s="191">
        <f>'[1]September - 2021'!CA21</f>
        <v>0</v>
      </c>
      <c r="CA21" s="89">
        <f>'[1]September - 2021'!CB21</f>
        <v>0</v>
      </c>
      <c r="CB21" s="191">
        <f>'[1]September - 2021'!CC21</f>
        <v>0</v>
      </c>
      <c r="CC21" s="89">
        <f>'[1]September - 2021'!CD21</f>
        <v>0</v>
      </c>
      <c r="CD21" s="191">
        <f>'[1]September - 2021'!CE21</f>
        <v>0</v>
      </c>
      <c r="CE21" s="89">
        <f>'[1]September - 2021'!CF21</f>
        <v>0</v>
      </c>
      <c r="CF21" s="191">
        <f>'[1]September - 2021'!CG21</f>
        <v>0</v>
      </c>
      <c r="CG21" s="89">
        <f>'[1]September - 2021'!CH21</f>
        <v>0</v>
      </c>
      <c r="CH21" s="191">
        <f>'[1]September - 2021'!CI21</f>
        <v>0</v>
      </c>
      <c r="CI21" s="89">
        <f>'[1]September - 2021'!CJ21</f>
        <v>0</v>
      </c>
      <c r="CJ21" s="191">
        <f>'[1]September - 2021'!CK21</f>
        <v>0</v>
      </c>
      <c r="CK21" s="89">
        <f>'[1]September - 2021'!CL21</f>
        <v>0</v>
      </c>
      <c r="CL21" s="246">
        <f>'[1]September - 2021'!CM21</f>
        <v>0</v>
      </c>
      <c r="CM21" s="89">
        <f>'[1]September - 2021'!CM21</f>
        <v>0</v>
      </c>
      <c r="CN21" s="89">
        <f>'[1]September - 2021'!CO21</f>
        <v>0</v>
      </c>
      <c r="CO21" s="246">
        <f>'[1]September - 2021'!CP21</f>
        <v>0</v>
      </c>
      <c r="CP21" s="89">
        <f>'[1]September - 2021'!CP21</f>
        <v>0</v>
      </c>
      <c r="CQ21" s="89">
        <f>'[1]September - 2021'!CR21</f>
        <v>0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0</v>
      </c>
      <c r="CU21" s="191">
        <f>'[1]September - 2021'!CV21</f>
        <v>0</v>
      </c>
      <c r="CV21" s="456"/>
      <c r="CW21" s="256">
        <f>'[1]September - 2021'!CX21</f>
        <v>0</v>
      </c>
      <c r="CX21" s="198">
        <f>'[1]September - 2021'!CY21</f>
        <v>0</v>
      </c>
      <c r="CY21" s="257">
        <f>'[1]September - 2021'!CZ21</f>
        <v>0</v>
      </c>
      <c r="CZ21" s="198">
        <f>'[1]September - 2021'!DA21</f>
        <v>0</v>
      </c>
      <c r="DA21" s="257">
        <f>'[1]September - 2021'!DB21</f>
        <v>0</v>
      </c>
      <c r="DB21" s="198">
        <f>'[1]September - 2021'!DC21</f>
        <v>0</v>
      </c>
      <c r="DC21" s="257">
        <f>'[1]September - 2021'!DD21</f>
        <v>0</v>
      </c>
      <c r="DD21" s="198">
        <f>'[1]September - 2021'!DE21</f>
        <v>0</v>
      </c>
      <c r="DE21" s="257">
        <f>'[1]September - 2021'!DF21</f>
        <v>0</v>
      </c>
      <c r="DF21" s="198">
        <f>'[1]September - 2021'!DG21</f>
        <v>0</v>
      </c>
      <c r="DG21" s="257">
        <f>'[1]September - 2021'!DH21</f>
        <v>0</v>
      </c>
      <c r="DH21" s="198">
        <f>'[1]September - 2021'!DI21</f>
        <v>0</v>
      </c>
      <c r="DI21" s="257">
        <f>'[1]September - 2021'!DJ21</f>
        <v>0</v>
      </c>
      <c r="DJ21" s="198">
        <f>'[1]September - 2021'!DK21</f>
        <v>0</v>
      </c>
      <c r="DK21" s="257">
        <f>'[1]September - 2021'!DL21</f>
        <v>0</v>
      </c>
      <c r="DL21" s="198">
        <f>'[1]September - 2021'!DM21</f>
        <v>0</v>
      </c>
      <c r="DM21" s="257">
        <f>'[1]September - 2021'!DN21</f>
        <v>0</v>
      </c>
      <c r="DN21" s="198">
        <f>'[1]September - 2021'!DO21</f>
        <v>0</v>
      </c>
      <c r="DO21" s="257">
        <f>'[1]September - 2021'!DP21</f>
        <v>0</v>
      </c>
      <c r="DP21" s="198">
        <f>'[1]September - 2021'!DQ21</f>
        <v>0</v>
      </c>
      <c r="DQ21" s="257">
        <f>'[1]September - 2021'!DR21</f>
        <v>0</v>
      </c>
      <c r="DR21" s="206">
        <f>'[1]September - 2021'!DS21</f>
        <v>0</v>
      </c>
      <c r="DS21" s="441"/>
      <c r="DT21" s="210">
        <f>'[1]September - 2021'!DU21</f>
        <v>0</v>
      </c>
      <c r="DU21" s="221">
        <f>'[1]September - 2021'!DV21</f>
        <v>0</v>
      </c>
      <c r="DV21" s="91">
        <f>'[1]September - 2021'!DW21</f>
        <v>0</v>
      </c>
      <c r="DW21" s="215">
        <f>'[1]September - 2021'!DX21</f>
        <v>0</v>
      </c>
      <c r="DX21" s="91">
        <f>'[1]September - 2021'!DY21</f>
        <v>0</v>
      </c>
      <c r="DY21" s="215">
        <f>'[1]September - 2021'!DZ21</f>
        <v>0</v>
      </c>
      <c r="DZ21" s="91">
        <f>'[1]September - 2021'!EA21</f>
        <v>0</v>
      </c>
      <c r="EA21" s="215">
        <f>'[1]September - 2021'!EB21</f>
        <v>0</v>
      </c>
      <c r="EB21" s="91">
        <f>'[1]September - 2021'!EC21</f>
        <v>0</v>
      </c>
      <c r="EC21" s="215">
        <f>'[1]September - 2021'!ED21</f>
        <v>0</v>
      </c>
      <c r="ED21" s="91">
        <f>'[1]September - 2021'!EG21</f>
        <v>0</v>
      </c>
      <c r="EE21" s="229">
        <f>'[1]September - 2021'!EH21</f>
        <v>0</v>
      </c>
      <c r="EF21" s="380"/>
      <c r="EG21" s="235">
        <f>'[1]September - 2021'!EJ21</f>
        <v>0</v>
      </c>
      <c r="EH21" s="230">
        <f>'[1]September - 2021'!EK21</f>
        <v>0</v>
      </c>
      <c r="EI21" s="90">
        <f>'[1]September - 2021'!EL21</f>
        <v>0</v>
      </c>
      <c r="EJ21" s="230">
        <f>'[1]September - 2021'!EM21</f>
        <v>0</v>
      </c>
      <c r="EK21" s="90">
        <f>'[1]September - 2021'!EN21</f>
        <v>0</v>
      </c>
      <c r="EL21" s="230">
        <f>'[1]September - 2021'!EO21</f>
        <v>0</v>
      </c>
      <c r="EM21" s="90">
        <f>'[1]September - 2021'!EP21</f>
        <v>0</v>
      </c>
      <c r="EN21" s="230">
        <f>'[1]September - 2021'!EQ21</f>
        <v>0</v>
      </c>
      <c r="EO21" s="90">
        <f>'[1]September - 2021'!ER21</f>
        <v>0</v>
      </c>
      <c r="EP21" s="230">
        <f>'[1]September - 2021'!ES21</f>
        <v>0</v>
      </c>
      <c r="EQ21" s="90">
        <f>'[1]September - 2021'!ET21</f>
        <v>0</v>
      </c>
      <c r="ER21" s="230">
        <f>'[1]September - 2021'!EU21</f>
        <v>0</v>
      </c>
      <c r="ES21" s="428"/>
      <c r="ET21" s="284">
        <f>'[1]September - 2021'!EW21</f>
        <v>0</v>
      </c>
      <c r="EU21" s="278">
        <f>'[1]September - 2021'!EX21</f>
        <v>0</v>
      </c>
      <c r="EV21" s="285">
        <f>'[1]September - 2021'!EY21</f>
        <v>0</v>
      </c>
      <c r="EW21" s="278">
        <f>'[1]September - 2021'!EZ21</f>
        <v>0</v>
      </c>
      <c r="EX21" s="285">
        <f>'[1]September - 2021'!FA21</f>
        <v>0</v>
      </c>
      <c r="EY21" s="278">
        <f>'[1]September - 2021'!FB21</f>
        <v>0</v>
      </c>
      <c r="EZ21" s="285">
        <f>'[1]September - 2021'!FC21</f>
        <v>0</v>
      </c>
      <c r="FA21" s="278">
        <f>'[1]September - 2021'!FD21</f>
        <v>0</v>
      </c>
      <c r="FB21" s="285">
        <f>'[1]September - 2021'!FE21</f>
        <v>0</v>
      </c>
      <c r="FC21" s="279">
        <f>'[1]September - 2021'!FF21</f>
        <v>0</v>
      </c>
    </row>
    <row r="22" spans="1:159" ht="30" customHeight="1" x14ac:dyDescent="0.25">
      <c r="A22" s="207">
        <v>43843</v>
      </c>
      <c r="B22" s="209">
        <f>'[1]September - 2021'!B22</f>
        <v>0</v>
      </c>
      <c r="C22" s="250">
        <f>'[1]September - 2021'!E22</f>
        <v>0</v>
      </c>
      <c r="D22" s="170">
        <f>'[1]September - 2021'!F22</f>
        <v>0</v>
      </c>
      <c r="E22" s="168">
        <f>'[1]September - 2021'!G22</f>
        <v>502</v>
      </c>
      <c r="F22" s="168">
        <f>'[1]September - 2021'!H22</f>
        <v>0</v>
      </c>
      <c r="G22" s="170">
        <f>'[1]September - 2021'!I22</f>
        <v>0</v>
      </c>
      <c r="H22" s="168">
        <f>'[1]September - 2021'!J22</f>
        <v>296</v>
      </c>
      <c r="I22" s="168">
        <f>'[1]September - 2021'!K22</f>
        <v>0</v>
      </c>
      <c r="J22" s="170">
        <f>'[1]September - 2021'!L22</f>
        <v>0</v>
      </c>
      <c r="K22" s="168">
        <f>'[1]September - 2021'!N22</f>
        <v>0</v>
      </c>
      <c r="L22" s="170">
        <f>'[1]September - 2021'!O22</f>
        <v>0</v>
      </c>
      <c r="M22" s="168">
        <f>'[1]September - 2021'!Q22</f>
        <v>0</v>
      </c>
      <c r="N22" s="170">
        <f>'[1]September - 2021'!R22</f>
        <v>0</v>
      </c>
      <c r="O22" s="168">
        <f>'[1]September - 2021'!S22</f>
        <v>0</v>
      </c>
      <c r="P22" s="170">
        <f>'[1]September - 2021'!T22</f>
        <v>0</v>
      </c>
      <c r="Q22" s="168">
        <f>'[1]September - 2021'!U22</f>
        <v>165</v>
      </c>
      <c r="R22" s="168">
        <f>'[1]September - 2021'!V22</f>
        <v>0</v>
      </c>
      <c r="S22" s="208">
        <f>'[1]September - 2021'!W22</f>
        <v>0</v>
      </c>
      <c r="T22" s="523"/>
      <c r="U22" s="169">
        <f>'[1]September - 2021'!AC22</f>
        <v>0</v>
      </c>
      <c r="V22" s="291">
        <f>'[1]September - 2021'!AD22</f>
        <v>0</v>
      </c>
      <c r="W22" s="92">
        <f>'[1]September - 2021'!AD22</f>
        <v>0</v>
      </c>
      <c r="X22" s="290">
        <f>'[1]September - 2021'!AF22</f>
        <v>0</v>
      </c>
      <c r="Y22" s="291">
        <f>'[1]September - 2021'!AG22</f>
        <v>0</v>
      </c>
      <c r="Z22" s="92">
        <f>'[1]September - 2021'!AG22</f>
        <v>0</v>
      </c>
      <c r="AA22" s="290">
        <f>'[1]September - 2021'!AI22</f>
        <v>0</v>
      </c>
      <c r="AB22" s="291">
        <f>'[1]September - 2021'!AJ22</f>
        <v>0</v>
      </c>
      <c r="AC22" s="92">
        <f>'[1]September - 2021'!AJ22</f>
        <v>0</v>
      </c>
      <c r="AD22" s="290">
        <f>'[1]September - 2021'!AL22</f>
        <v>0</v>
      </c>
      <c r="AE22" s="291">
        <f>'[1]September - 2021'!AM22</f>
        <v>0</v>
      </c>
      <c r="AF22" s="92">
        <f>'[1]September - 2021'!AM22</f>
        <v>0</v>
      </c>
      <c r="AG22" s="290">
        <f>'[1]September - 2021'!AO22</f>
        <v>0</v>
      </c>
      <c r="AH22" s="291">
        <f>'[1]September - 2021'!AP22</f>
        <v>0</v>
      </c>
      <c r="AI22" s="92">
        <f>'[1]September - 2021'!AP22</f>
        <v>0</v>
      </c>
      <c r="AJ22" s="290">
        <f>'[1]September - 2021'!AR22</f>
        <v>0</v>
      </c>
      <c r="AK22" s="291">
        <f>'[1]September - 2021'!AS22</f>
        <v>0</v>
      </c>
      <c r="AL22" s="92">
        <f>'[1]September - 2021'!AS22</f>
        <v>0</v>
      </c>
      <c r="AM22" s="290">
        <f>'[1]September - 2021'!AU22</f>
        <v>0</v>
      </c>
      <c r="AN22" s="291">
        <f>'[1]September - 2021'!AV22</f>
        <v>0</v>
      </c>
      <c r="AO22" s="286">
        <f>'[1]September - 2021'!AV22</f>
        <v>0</v>
      </c>
      <c r="AP22" s="290">
        <f>'[1]September - 2021'!AX22</f>
        <v>0</v>
      </c>
      <c r="AQ22" s="291">
        <f>'[1]September - 2021'!AY22</f>
        <v>0</v>
      </c>
      <c r="AR22" s="92">
        <f>'[1]September - 2021'!AY22</f>
        <v>0</v>
      </c>
      <c r="AS22" s="290">
        <f>'[1]September - 2021'!BA22</f>
        <v>0</v>
      </c>
      <c r="AT22" s="292">
        <f>'[1]September - 2021'!BB22</f>
        <v>0</v>
      </c>
      <c r="AU22" s="92">
        <f>'[1]September - 2021'!BB22</f>
        <v>0</v>
      </c>
      <c r="AV22" s="290">
        <f>'[1]September - 2021'!BD22</f>
        <v>0</v>
      </c>
      <c r="AW22" s="252">
        <f>'[1]September - 2021'!BE22</f>
        <v>0</v>
      </c>
      <c r="AX22" s="253">
        <f>'[1]September - 2021'!BE22</f>
        <v>0</v>
      </c>
      <c r="AY22" s="489"/>
      <c r="AZ22" s="272">
        <f>'[1]September - 2021'!BK22</f>
        <v>0</v>
      </c>
      <c r="BA22" s="179">
        <f>'[1]September - 2021'!BL22</f>
        <v>0</v>
      </c>
      <c r="BB22" s="93">
        <f>'[1]September - 2021'!BL22</f>
        <v>0</v>
      </c>
      <c r="BC22" s="272">
        <f>'[1]September - 2021'!BN22</f>
        <v>0</v>
      </c>
      <c r="BD22" s="245">
        <f>'[1]September - 2021'!BO22</f>
        <v>0</v>
      </c>
      <c r="BE22" s="93">
        <f>'[1]September - 2021'!BO22</f>
        <v>0</v>
      </c>
      <c r="BF22" s="272">
        <f>'[1]September - 2021'!BQ22</f>
        <v>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0</v>
      </c>
      <c r="BT22" s="185">
        <f>'[1]September - 2021'!BU22</f>
        <v>0</v>
      </c>
      <c r="BU22" s="396"/>
      <c r="BV22" s="88">
        <f>'[1]September - 2021'!BW22</f>
        <v>0</v>
      </c>
      <c r="BW22" s="241">
        <f>'[1]September - 2021'!BX22</f>
        <v>0</v>
      </c>
      <c r="BX22" s="88">
        <f>'[1]September - 2021'!BX22</f>
        <v>0</v>
      </c>
      <c r="BY22" s="89">
        <f>'[1]September - 2021'!BZ22</f>
        <v>0</v>
      </c>
      <c r="BZ22" s="191">
        <f>'[1]September - 2021'!CA22</f>
        <v>0</v>
      </c>
      <c r="CA22" s="89">
        <f>'[1]September - 2021'!CB22</f>
        <v>0</v>
      </c>
      <c r="CB22" s="191">
        <f>'[1]September - 2021'!CC22</f>
        <v>0</v>
      </c>
      <c r="CC22" s="89">
        <f>'[1]September - 2021'!CD22</f>
        <v>0</v>
      </c>
      <c r="CD22" s="191">
        <f>'[1]September - 2021'!CE22</f>
        <v>0</v>
      </c>
      <c r="CE22" s="89">
        <f>'[1]September - 2021'!CF22</f>
        <v>0</v>
      </c>
      <c r="CF22" s="191">
        <f>'[1]September - 2021'!CG22</f>
        <v>0</v>
      </c>
      <c r="CG22" s="89">
        <f>'[1]September - 2021'!CH22</f>
        <v>0</v>
      </c>
      <c r="CH22" s="191">
        <f>'[1]September - 2021'!CI22</f>
        <v>0</v>
      </c>
      <c r="CI22" s="89">
        <f>'[1]September - 2021'!CJ22</f>
        <v>0</v>
      </c>
      <c r="CJ22" s="191">
        <f>'[1]September - 2021'!CK22</f>
        <v>0</v>
      </c>
      <c r="CK22" s="89">
        <f>'[1]September - 2021'!CL22</f>
        <v>0</v>
      </c>
      <c r="CL22" s="246">
        <f>'[1]September - 2021'!CM22</f>
        <v>0</v>
      </c>
      <c r="CM22" s="89">
        <f>'[1]September - 2021'!CM22</f>
        <v>0</v>
      </c>
      <c r="CN22" s="89">
        <f>'[1]September - 2021'!CO22</f>
        <v>0</v>
      </c>
      <c r="CO22" s="246">
        <f>'[1]September - 2021'!CP22</f>
        <v>0</v>
      </c>
      <c r="CP22" s="89">
        <f>'[1]September - 2021'!CP22</f>
        <v>0</v>
      </c>
      <c r="CQ22" s="89">
        <f>'[1]September - 2021'!CR22</f>
        <v>0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0</v>
      </c>
      <c r="CU22" s="191">
        <f>'[1]September - 2021'!CV22</f>
        <v>0</v>
      </c>
      <c r="CV22" s="456"/>
      <c r="CW22" s="256">
        <f>'[1]September - 2021'!CX22</f>
        <v>0</v>
      </c>
      <c r="CX22" s="198">
        <f>'[1]September - 2021'!CY22</f>
        <v>0</v>
      </c>
      <c r="CY22" s="257">
        <f>'[1]September - 2021'!CZ22</f>
        <v>0</v>
      </c>
      <c r="CZ22" s="198">
        <f>'[1]September - 2021'!DA22</f>
        <v>0</v>
      </c>
      <c r="DA22" s="257">
        <f>'[1]September - 2021'!DB22</f>
        <v>0</v>
      </c>
      <c r="DB22" s="198">
        <f>'[1]September - 2021'!DC22</f>
        <v>0</v>
      </c>
      <c r="DC22" s="257">
        <f>'[1]September - 2021'!DD22</f>
        <v>0</v>
      </c>
      <c r="DD22" s="198">
        <f>'[1]September - 2021'!DE22</f>
        <v>0</v>
      </c>
      <c r="DE22" s="257">
        <f>'[1]September - 2021'!DF22</f>
        <v>0</v>
      </c>
      <c r="DF22" s="198">
        <f>'[1]September - 2021'!DG22</f>
        <v>0</v>
      </c>
      <c r="DG22" s="257">
        <f>'[1]September - 2021'!DH22</f>
        <v>0</v>
      </c>
      <c r="DH22" s="198">
        <f>'[1]September - 2021'!DI22</f>
        <v>0</v>
      </c>
      <c r="DI22" s="257">
        <f>'[1]September - 2021'!DJ22</f>
        <v>0</v>
      </c>
      <c r="DJ22" s="198">
        <f>'[1]September - 2021'!DK22</f>
        <v>0</v>
      </c>
      <c r="DK22" s="257">
        <f>'[1]September - 2021'!DL22</f>
        <v>0</v>
      </c>
      <c r="DL22" s="198">
        <f>'[1]September - 2021'!DM22</f>
        <v>0</v>
      </c>
      <c r="DM22" s="257">
        <f>'[1]September - 2021'!DN22</f>
        <v>0</v>
      </c>
      <c r="DN22" s="198">
        <f>'[1]September - 2021'!DO22</f>
        <v>0</v>
      </c>
      <c r="DO22" s="257">
        <f>'[1]September - 2021'!DP22</f>
        <v>0</v>
      </c>
      <c r="DP22" s="198">
        <f>'[1]September - 2021'!DQ22</f>
        <v>0</v>
      </c>
      <c r="DQ22" s="257">
        <f>'[1]September - 2021'!DR22</f>
        <v>0</v>
      </c>
      <c r="DR22" s="206">
        <f>'[1]September - 2021'!DS22</f>
        <v>0</v>
      </c>
      <c r="DS22" s="441"/>
      <c r="DT22" s="210">
        <f>'[1]September - 2021'!DU22</f>
        <v>0</v>
      </c>
      <c r="DU22" s="221">
        <f>'[1]September - 2021'!DV22</f>
        <v>0</v>
      </c>
      <c r="DV22" s="91">
        <f>'[1]September - 2021'!DW22</f>
        <v>0</v>
      </c>
      <c r="DW22" s="215">
        <f>'[1]September - 2021'!DX22</f>
        <v>0</v>
      </c>
      <c r="DX22" s="91">
        <f>'[1]September - 2021'!DY22</f>
        <v>0</v>
      </c>
      <c r="DY22" s="215">
        <f>'[1]September - 2021'!DZ22</f>
        <v>0</v>
      </c>
      <c r="DZ22" s="91">
        <f>'[1]September - 2021'!EA22</f>
        <v>0</v>
      </c>
      <c r="EA22" s="215">
        <f>'[1]September - 2021'!EB22</f>
        <v>0</v>
      </c>
      <c r="EB22" s="91">
        <f>'[1]September - 2021'!EC22</f>
        <v>0</v>
      </c>
      <c r="EC22" s="215">
        <f>'[1]September - 2021'!ED22</f>
        <v>0</v>
      </c>
      <c r="ED22" s="91">
        <f>'[1]September - 2021'!EG22</f>
        <v>0</v>
      </c>
      <c r="EE22" s="229">
        <f>'[1]September - 2021'!EH22</f>
        <v>0</v>
      </c>
      <c r="EF22" s="380"/>
      <c r="EG22" s="235">
        <f>'[1]September - 2021'!EJ22</f>
        <v>0</v>
      </c>
      <c r="EH22" s="230">
        <f>'[1]September - 2021'!EK22</f>
        <v>0</v>
      </c>
      <c r="EI22" s="90">
        <f>'[1]September - 2021'!EL22</f>
        <v>0</v>
      </c>
      <c r="EJ22" s="230">
        <f>'[1]September - 2021'!EM22</f>
        <v>0</v>
      </c>
      <c r="EK22" s="90">
        <f>'[1]September - 2021'!EN22</f>
        <v>0</v>
      </c>
      <c r="EL22" s="230">
        <f>'[1]September - 2021'!EO22</f>
        <v>0</v>
      </c>
      <c r="EM22" s="90">
        <f>'[1]September - 2021'!EP22</f>
        <v>0</v>
      </c>
      <c r="EN22" s="230">
        <f>'[1]September - 2021'!EQ22</f>
        <v>0</v>
      </c>
      <c r="EO22" s="90">
        <f>'[1]September - 2021'!ER22</f>
        <v>0</v>
      </c>
      <c r="EP22" s="230">
        <f>'[1]September - 2021'!ES22</f>
        <v>0</v>
      </c>
      <c r="EQ22" s="90">
        <f>'[1]September - 2021'!ET22</f>
        <v>0</v>
      </c>
      <c r="ER22" s="230">
        <f>'[1]September - 2021'!EU22</f>
        <v>0</v>
      </c>
      <c r="ES22" s="428"/>
      <c r="ET22" s="284">
        <f>'[1]September - 2021'!EW22</f>
        <v>0</v>
      </c>
      <c r="EU22" s="278">
        <f>'[1]September - 2021'!EX22</f>
        <v>0</v>
      </c>
      <c r="EV22" s="285">
        <f>'[1]September - 2021'!EY22</f>
        <v>0</v>
      </c>
      <c r="EW22" s="278">
        <f>'[1]September - 2021'!EZ22</f>
        <v>0</v>
      </c>
      <c r="EX22" s="285">
        <f>'[1]September - 2021'!FA22</f>
        <v>0</v>
      </c>
      <c r="EY22" s="278">
        <f>'[1]September - 2021'!FB22</f>
        <v>0</v>
      </c>
      <c r="EZ22" s="285">
        <f>'[1]September - 2021'!FC22</f>
        <v>0</v>
      </c>
      <c r="FA22" s="278">
        <f>'[1]September - 2021'!FD22</f>
        <v>0</v>
      </c>
      <c r="FB22" s="285">
        <f>'[1]September - 2021'!FE22</f>
        <v>0</v>
      </c>
      <c r="FC22" s="279">
        <f>'[1]September - 2021'!FF22</f>
        <v>0</v>
      </c>
    </row>
    <row r="23" spans="1:159" ht="30" customHeight="1" x14ac:dyDescent="0.25">
      <c r="A23" s="207">
        <v>43844</v>
      </c>
      <c r="B23" s="209">
        <f>'[1]September - 2021'!B23</f>
        <v>0</v>
      </c>
      <c r="C23" s="250">
        <f>'[1]September - 2021'!E23</f>
        <v>0</v>
      </c>
      <c r="D23" s="170">
        <f>'[1]September - 2021'!F23</f>
        <v>0</v>
      </c>
      <c r="E23" s="168">
        <f>'[1]September - 2021'!G23</f>
        <v>581</v>
      </c>
      <c r="F23" s="168">
        <f>'[1]September - 2021'!H23</f>
        <v>0</v>
      </c>
      <c r="G23" s="170">
        <f>'[1]September - 2021'!I23</f>
        <v>0</v>
      </c>
      <c r="H23" s="168">
        <f>'[1]September - 2021'!J23</f>
        <v>241</v>
      </c>
      <c r="I23" s="168">
        <f>'[1]September - 2021'!K23</f>
        <v>0</v>
      </c>
      <c r="J23" s="170">
        <f>'[1]September - 2021'!L23</f>
        <v>0</v>
      </c>
      <c r="K23" s="168">
        <f>'[1]September - 2021'!N23</f>
        <v>0</v>
      </c>
      <c r="L23" s="170">
        <f>'[1]September - 2021'!O23</f>
        <v>0</v>
      </c>
      <c r="M23" s="168">
        <f>'[1]September - 2021'!Q23</f>
        <v>0</v>
      </c>
      <c r="N23" s="170">
        <f>'[1]September - 2021'!R23</f>
        <v>0</v>
      </c>
      <c r="O23" s="168">
        <f>'[1]September - 2021'!S23</f>
        <v>0</v>
      </c>
      <c r="P23" s="170">
        <f>'[1]September - 2021'!T23</f>
        <v>0</v>
      </c>
      <c r="Q23" s="168">
        <f>'[1]September - 2021'!U23</f>
        <v>145</v>
      </c>
      <c r="R23" s="168">
        <f>'[1]September - 2021'!V23</f>
        <v>0</v>
      </c>
      <c r="S23" s="208">
        <f>'[1]September - 2021'!W23</f>
        <v>0</v>
      </c>
      <c r="T23" s="523"/>
      <c r="U23" s="169">
        <f>'[1]September - 2021'!AC23</f>
        <v>0</v>
      </c>
      <c r="V23" s="291">
        <f>'[1]September - 2021'!AD23</f>
        <v>0</v>
      </c>
      <c r="W23" s="92">
        <f>'[1]September - 2021'!AD23</f>
        <v>0</v>
      </c>
      <c r="X23" s="290">
        <f>'[1]September - 2021'!AF23</f>
        <v>0</v>
      </c>
      <c r="Y23" s="291">
        <f>'[1]September - 2021'!AG23</f>
        <v>0</v>
      </c>
      <c r="Z23" s="92">
        <f>'[1]September - 2021'!AG23</f>
        <v>0</v>
      </c>
      <c r="AA23" s="290">
        <f>'[1]September - 2021'!AI23</f>
        <v>0</v>
      </c>
      <c r="AB23" s="291">
        <f>'[1]September - 2021'!AJ23</f>
        <v>0</v>
      </c>
      <c r="AC23" s="92">
        <f>'[1]September - 2021'!AJ23</f>
        <v>0</v>
      </c>
      <c r="AD23" s="290">
        <f>'[1]September - 2021'!AL23</f>
        <v>0</v>
      </c>
      <c r="AE23" s="291">
        <f>'[1]September - 2021'!AM23</f>
        <v>0</v>
      </c>
      <c r="AF23" s="92">
        <f>'[1]September - 2021'!AM23</f>
        <v>0</v>
      </c>
      <c r="AG23" s="290">
        <f>'[1]September - 2021'!AO23</f>
        <v>0</v>
      </c>
      <c r="AH23" s="291">
        <f>'[1]September - 2021'!AP23</f>
        <v>0</v>
      </c>
      <c r="AI23" s="92">
        <f>'[1]September - 2021'!AP23</f>
        <v>0</v>
      </c>
      <c r="AJ23" s="290">
        <f>'[1]September - 2021'!AR23</f>
        <v>0</v>
      </c>
      <c r="AK23" s="291">
        <f>'[1]September - 2021'!AS23</f>
        <v>0</v>
      </c>
      <c r="AL23" s="92">
        <f>'[1]September - 2021'!AS23</f>
        <v>0</v>
      </c>
      <c r="AM23" s="290">
        <f>'[1]September - 2021'!AU23</f>
        <v>0</v>
      </c>
      <c r="AN23" s="291">
        <f>'[1]September - 2021'!AV23</f>
        <v>0</v>
      </c>
      <c r="AO23" s="92">
        <f>'[1]September - 2021'!AV23</f>
        <v>0</v>
      </c>
      <c r="AP23" s="290">
        <f>'[1]September - 2021'!AX23</f>
        <v>0</v>
      </c>
      <c r="AQ23" s="291">
        <f>'[1]September - 2021'!AY23</f>
        <v>0</v>
      </c>
      <c r="AR23" s="92">
        <f>'[1]September - 2021'!AY23</f>
        <v>0</v>
      </c>
      <c r="AS23" s="290">
        <f>'[1]September - 2021'!BA23</f>
        <v>0</v>
      </c>
      <c r="AT23" s="291">
        <f>'[1]September - 2021'!BB23</f>
        <v>0</v>
      </c>
      <c r="AU23" s="92">
        <f>'[1]September - 2021'!BB23</f>
        <v>0</v>
      </c>
      <c r="AV23" s="290">
        <f>'[1]September - 2021'!BD23</f>
        <v>0</v>
      </c>
      <c r="AW23" s="252">
        <f>'[1]September - 2021'!BE23</f>
        <v>0</v>
      </c>
      <c r="AX23" s="253">
        <f>'[1]September - 2021'!BE23</f>
        <v>0</v>
      </c>
      <c r="AY23" s="489"/>
      <c r="AZ23" s="272">
        <f>'[1]September - 2021'!BK23</f>
        <v>0</v>
      </c>
      <c r="BA23" s="179">
        <f>'[1]September - 2021'!BL23</f>
        <v>0</v>
      </c>
      <c r="BB23" s="93">
        <f>'[1]September - 2021'!BL23</f>
        <v>0</v>
      </c>
      <c r="BC23" s="272">
        <f>'[1]September - 2021'!BN23</f>
        <v>0</v>
      </c>
      <c r="BD23" s="245">
        <f>'[1]September - 2021'!BO23</f>
        <v>0</v>
      </c>
      <c r="BE23" s="93">
        <f>'[1]September - 2021'!BO23</f>
        <v>0</v>
      </c>
      <c r="BF23" s="272">
        <f>'[1]September - 2021'!BQ23</f>
        <v>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0</v>
      </c>
      <c r="BT23" s="185">
        <f>'[1]September - 2021'!BU23</f>
        <v>0</v>
      </c>
      <c r="BU23" s="396"/>
      <c r="BV23" s="88">
        <f>'[1]September - 2021'!BW23</f>
        <v>0</v>
      </c>
      <c r="BW23" s="241">
        <f>'[1]September - 2021'!BX23</f>
        <v>0</v>
      </c>
      <c r="BX23" s="88">
        <f>'[1]September - 2021'!BX23</f>
        <v>0</v>
      </c>
      <c r="BY23" s="89">
        <f>'[1]September - 2021'!BZ23</f>
        <v>0</v>
      </c>
      <c r="BZ23" s="191">
        <f>'[1]September - 2021'!CA23</f>
        <v>0</v>
      </c>
      <c r="CA23" s="89">
        <f>'[1]September - 2021'!CB23</f>
        <v>0</v>
      </c>
      <c r="CB23" s="191">
        <f>'[1]September - 2021'!CC23</f>
        <v>0</v>
      </c>
      <c r="CC23" s="89">
        <f>'[1]September - 2021'!CD23</f>
        <v>0</v>
      </c>
      <c r="CD23" s="191">
        <f>'[1]September - 2021'!CE23</f>
        <v>0</v>
      </c>
      <c r="CE23" s="89">
        <f>'[1]September - 2021'!CF23</f>
        <v>0</v>
      </c>
      <c r="CF23" s="191">
        <f>'[1]September - 2021'!CG23</f>
        <v>0</v>
      </c>
      <c r="CG23" s="89">
        <f>'[1]September - 2021'!CH23</f>
        <v>0</v>
      </c>
      <c r="CH23" s="191">
        <f>'[1]September - 2021'!CI23</f>
        <v>0</v>
      </c>
      <c r="CI23" s="89">
        <f>'[1]September - 2021'!CJ23</f>
        <v>0</v>
      </c>
      <c r="CJ23" s="191">
        <f>'[1]September - 2021'!CK23</f>
        <v>0</v>
      </c>
      <c r="CK23" s="89">
        <f>'[1]September - 2021'!CL23</f>
        <v>0</v>
      </c>
      <c r="CL23" s="246">
        <f>'[1]September - 2021'!CM23</f>
        <v>0</v>
      </c>
      <c r="CM23" s="89">
        <f>'[1]September - 2021'!CM23</f>
        <v>0</v>
      </c>
      <c r="CN23" s="89">
        <f>'[1]September - 2021'!CO23</f>
        <v>0</v>
      </c>
      <c r="CO23" s="246">
        <f>'[1]September - 2021'!CP23</f>
        <v>0</v>
      </c>
      <c r="CP23" s="89">
        <f>'[1]September - 2021'!CP23</f>
        <v>0</v>
      </c>
      <c r="CQ23" s="89">
        <f>'[1]September - 2021'!CR23</f>
        <v>0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0</v>
      </c>
      <c r="CU23" s="191">
        <f>'[1]September - 2021'!CV23</f>
        <v>0</v>
      </c>
      <c r="CV23" s="456"/>
      <c r="CW23" s="256">
        <f>'[1]September - 2021'!CX23</f>
        <v>0</v>
      </c>
      <c r="CX23" s="198">
        <f>'[1]September - 2021'!CY23</f>
        <v>0</v>
      </c>
      <c r="CY23" s="257">
        <f>'[1]September - 2021'!CZ23</f>
        <v>0</v>
      </c>
      <c r="CZ23" s="198">
        <f>'[1]September - 2021'!DA23</f>
        <v>0</v>
      </c>
      <c r="DA23" s="257">
        <f>'[1]September - 2021'!DB23</f>
        <v>0</v>
      </c>
      <c r="DB23" s="198">
        <f>'[1]September - 2021'!DC23</f>
        <v>0</v>
      </c>
      <c r="DC23" s="257">
        <f>'[1]September - 2021'!DD23</f>
        <v>0</v>
      </c>
      <c r="DD23" s="198">
        <f>'[1]September - 2021'!DE23</f>
        <v>0</v>
      </c>
      <c r="DE23" s="257">
        <f>'[1]September - 2021'!DF23</f>
        <v>0</v>
      </c>
      <c r="DF23" s="198">
        <f>'[1]September - 2021'!DG23</f>
        <v>0</v>
      </c>
      <c r="DG23" s="257">
        <f>'[1]September - 2021'!DH23</f>
        <v>0</v>
      </c>
      <c r="DH23" s="198">
        <f>'[1]September - 2021'!DI23</f>
        <v>0</v>
      </c>
      <c r="DI23" s="257">
        <f>'[1]September - 2021'!DJ23</f>
        <v>0</v>
      </c>
      <c r="DJ23" s="198">
        <f>'[1]September - 2021'!DK23</f>
        <v>0</v>
      </c>
      <c r="DK23" s="257">
        <f>'[1]September - 2021'!DL23</f>
        <v>0</v>
      </c>
      <c r="DL23" s="198">
        <f>'[1]September - 2021'!DM23</f>
        <v>0</v>
      </c>
      <c r="DM23" s="257">
        <f>'[1]September - 2021'!DN23</f>
        <v>0</v>
      </c>
      <c r="DN23" s="198">
        <f>'[1]September - 2021'!DO23</f>
        <v>0</v>
      </c>
      <c r="DO23" s="257">
        <f>'[1]September - 2021'!DP23</f>
        <v>0</v>
      </c>
      <c r="DP23" s="198">
        <f>'[1]September - 2021'!DQ23</f>
        <v>0</v>
      </c>
      <c r="DQ23" s="257">
        <f>'[1]September - 2021'!DR23</f>
        <v>0</v>
      </c>
      <c r="DR23" s="206">
        <f>'[1]September - 2021'!DS23</f>
        <v>0</v>
      </c>
      <c r="DS23" s="441"/>
      <c r="DT23" s="210">
        <f>'[1]September - 2021'!DU23</f>
        <v>0</v>
      </c>
      <c r="DU23" s="221">
        <f>'[1]September - 2021'!DV23</f>
        <v>0</v>
      </c>
      <c r="DV23" s="91">
        <f>'[1]September - 2021'!DW23</f>
        <v>0</v>
      </c>
      <c r="DW23" s="215">
        <f>'[1]September - 2021'!DX23</f>
        <v>0</v>
      </c>
      <c r="DX23" s="91">
        <f>'[1]September - 2021'!DY23</f>
        <v>0</v>
      </c>
      <c r="DY23" s="215">
        <f>'[1]September - 2021'!DZ23</f>
        <v>0</v>
      </c>
      <c r="DZ23" s="91">
        <f>'[1]September - 2021'!EA23</f>
        <v>0</v>
      </c>
      <c r="EA23" s="215">
        <f>'[1]September - 2021'!EB23</f>
        <v>0</v>
      </c>
      <c r="EB23" s="91">
        <f>'[1]September - 2021'!EC23</f>
        <v>0</v>
      </c>
      <c r="EC23" s="215">
        <f>'[1]September - 2021'!ED23</f>
        <v>0</v>
      </c>
      <c r="ED23" s="91">
        <f>'[1]September - 2021'!EG23</f>
        <v>0</v>
      </c>
      <c r="EE23" s="229">
        <f>'[1]September - 2021'!EH23</f>
        <v>0</v>
      </c>
      <c r="EF23" s="380"/>
      <c r="EG23" s="235">
        <f>'[1]September - 2021'!EJ23</f>
        <v>0</v>
      </c>
      <c r="EH23" s="230">
        <f>'[1]September - 2021'!EK23</f>
        <v>0</v>
      </c>
      <c r="EI23" s="90">
        <f>'[1]September - 2021'!EL23</f>
        <v>0</v>
      </c>
      <c r="EJ23" s="230">
        <f>'[1]September - 2021'!EM23</f>
        <v>0</v>
      </c>
      <c r="EK23" s="90">
        <f>'[1]September - 2021'!EN23</f>
        <v>0</v>
      </c>
      <c r="EL23" s="230">
        <f>'[1]September - 2021'!EO23</f>
        <v>0</v>
      </c>
      <c r="EM23" s="90">
        <f>'[1]September - 2021'!EP23</f>
        <v>0</v>
      </c>
      <c r="EN23" s="230">
        <f>'[1]September - 2021'!EQ23</f>
        <v>0</v>
      </c>
      <c r="EO23" s="90">
        <f>'[1]September - 2021'!ER23</f>
        <v>0</v>
      </c>
      <c r="EP23" s="230">
        <f>'[1]September - 2021'!ES23</f>
        <v>0</v>
      </c>
      <c r="EQ23" s="90">
        <f>'[1]September - 2021'!ET23</f>
        <v>0</v>
      </c>
      <c r="ER23" s="230">
        <f>'[1]September - 2021'!EU23</f>
        <v>0</v>
      </c>
      <c r="ES23" s="428"/>
      <c r="ET23" s="284">
        <f>'[1]September - 2021'!EW23</f>
        <v>0</v>
      </c>
      <c r="EU23" s="278">
        <f>'[1]September - 2021'!EX23</f>
        <v>0</v>
      </c>
      <c r="EV23" s="285">
        <f>'[1]September - 2021'!EY23</f>
        <v>0</v>
      </c>
      <c r="EW23" s="278">
        <f>'[1]September - 2021'!EZ23</f>
        <v>0</v>
      </c>
      <c r="EX23" s="285">
        <f>'[1]September - 2021'!FA23</f>
        <v>0</v>
      </c>
      <c r="EY23" s="278">
        <f>'[1]September - 2021'!FB23</f>
        <v>0</v>
      </c>
      <c r="EZ23" s="285">
        <f>'[1]September - 2021'!FC23</f>
        <v>0</v>
      </c>
      <c r="FA23" s="278">
        <f>'[1]September - 2021'!FD23</f>
        <v>0</v>
      </c>
      <c r="FB23" s="285">
        <f>'[1]September - 2021'!FE23</f>
        <v>0</v>
      </c>
      <c r="FC23" s="279">
        <f>'[1]September - 2021'!FF23</f>
        <v>0</v>
      </c>
    </row>
    <row r="24" spans="1:159" ht="30" customHeight="1" x14ac:dyDescent="0.25">
      <c r="A24" s="207">
        <v>43845</v>
      </c>
      <c r="B24" s="209">
        <f>'[1]September - 2021'!B24</f>
        <v>0</v>
      </c>
      <c r="C24" s="250">
        <f>'[1]September - 2021'!E24</f>
        <v>0</v>
      </c>
      <c r="D24" s="170">
        <f>'[1]September - 2021'!F24</f>
        <v>0</v>
      </c>
      <c r="E24" s="168">
        <f>'[1]September - 2021'!G24</f>
        <v>516</v>
      </c>
      <c r="F24" s="168">
        <f>'[1]September - 2021'!H24</f>
        <v>0</v>
      </c>
      <c r="G24" s="170">
        <f>'[1]September - 2021'!I24</f>
        <v>0</v>
      </c>
      <c r="H24" s="168">
        <f>'[1]September - 2021'!J24</f>
        <v>237</v>
      </c>
      <c r="I24" s="168">
        <f>'[1]September - 2021'!K24</f>
        <v>0</v>
      </c>
      <c r="J24" s="170">
        <f>'[1]September - 2021'!L24</f>
        <v>0</v>
      </c>
      <c r="K24" s="168">
        <f>'[1]September - 2021'!N24</f>
        <v>0</v>
      </c>
      <c r="L24" s="170">
        <f>'[1]September - 2021'!O24</f>
        <v>0</v>
      </c>
      <c r="M24" s="168">
        <f>'[1]September - 2021'!Q24</f>
        <v>0</v>
      </c>
      <c r="N24" s="170">
        <f>'[1]September - 2021'!R24</f>
        <v>0</v>
      </c>
      <c r="O24" s="168">
        <f>'[1]September - 2021'!S24</f>
        <v>0</v>
      </c>
      <c r="P24" s="170">
        <f>'[1]September - 2021'!T24</f>
        <v>0</v>
      </c>
      <c r="Q24" s="168">
        <f>'[1]September - 2021'!U24</f>
        <v>148</v>
      </c>
      <c r="R24" s="168">
        <f>'[1]September - 2021'!V24</f>
        <v>0</v>
      </c>
      <c r="S24" s="208">
        <f>'[1]September - 2021'!W24</f>
        <v>0</v>
      </c>
      <c r="T24" s="523"/>
      <c r="U24" s="169">
        <f>'[1]September - 2021'!AC24</f>
        <v>0</v>
      </c>
      <c r="V24" s="291">
        <f>'[1]September - 2021'!AD24</f>
        <v>0</v>
      </c>
      <c r="W24" s="92">
        <f>'[1]September - 2021'!AD24</f>
        <v>0</v>
      </c>
      <c r="X24" s="290">
        <f>'[1]September - 2021'!AF24</f>
        <v>0</v>
      </c>
      <c r="Y24" s="291">
        <f>'[1]September - 2021'!AG24</f>
        <v>0</v>
      </c>
      <c r="Z24" s="92">
        <f>'[1]September - 2021'!AG24</f>
        <v>0</v>
      </c>
      <c r="AA24" s="290">
        <f>'[1]September - 2021'!AI24</f>
        <v>0</v>
      </c>
      <c r="AB24" s="291">
        <f>'[1]September - 2021'!AJ24</f>
        <v>0</v>
      </c>
      <c r="AC24" s="92">
        <f>'[1]September - 2021'!AJ24</f>
        <v>0</v>
      </c>
      <c r="AD24" s="290">
        <f>'[1]September - 2021'!AL24</f>
        <v>0</v>
      </c>
      <c r="AE24" s="291">
        <f>'[1]September - 2021'!AM24</f>
        <v>0</v>
      </c>
      <c r="AF24" s="92">
        <f>'[1]September - 2021'!AM24</f>
        <v>0</v>
      </c>
      <c r="AG24" s="290">
        <f>'[1]September - 2021'!AO24</f>
        <v>0</v>
      </c>
      <c r="AH24" s="291">
        <f>'[1]September - 2021'!AP24</f>
        <v>0</v>
      </c>
      <c r="AI24" s="92">
        <f>'[1]September - 2021'!AP24</f>
        <v>0</v>
      </c>
      <c r="AJ24" s="290">
        <f>'[1]September - 2021'!AR24</f>
        <v>0</v>
      </c>
      <c r="AK24" s="291">
        <f>'[1]September - 2021'!AS24</f>
        <v>0</v>
      </c>
      <c r="AL24" s="92">
        <f>'[1]September - 2021'!AS24</f>
        <v>0</v>
      </c>
      <c r="AM24" s="290">
        <f>'[1]September - 2021'!AU24</f>
        <v>0</v>
      </c>
      <c r="AN24" s="291">
        <f>'[1]September - 2021'!AV24</f>
        <v>0</v>
      </c>
      <c r="AO24" s="92">
        <f>'[1]September - 2021'!AV24</f>
        <v>0</v>
      </c>
      <c r="AP24" s="290">
        <f>'[1]September - 2021'!AX24</f>
        <v>0</v>
      </c>
      <c r="AQ24" s="291">
        <f>'[1]September - 2021'!AY24</f>
        <v>0</v>
      </c>
      <c r="AR24" s="92">
        <f>'[1]September - 2021'!AY24</f>
        <v>0</v>
      </c>
      <c r="AS24" s="290">
        <f>'[1]September - 2021'!BA24</f>
        <v>0</v>
      </c>
      <c r="AT24" s="291">
        <f>'[1]September - 2021'!BB24</f>
        <v>0</v>
      </c>
      <c r="AU24" s="92">
        <f>'[1]September - 2021'!BB24</f>
        <v>0</v>
      </c>
      <c r="AV24" s="290">
        <f>'[1]September - 2021'!BD24</f>
        <v>0</v>
      </c>
      <c r="AW24" s="252">
        <f>'[1]September - 2021'!BE24</f>
        <v>0</v>
      </c>
      <c r="AX24" s="253">
        <f>'[1]September - 2021'!BE24</f>
        <v>0</v>
      </c>
      <c r="AY24" s="489"/>
      <c r="AZ24" s="272">
        <f>'[1]September - 2021'!BK24</f>
        <v>0</v>
      </c>
      <c r="BA24" s="179">
        <f>'[1]September - 2021'!BL24</f>
        <v>0</v>
      </c>
      <c r="BB24" s="93">
        <f>'[1]September - 2021'!BL24</f>
        <v>0</v>
      </c>
      <c r="BC24" s="272">
        <f>'[1]September - 2021'!BN24</f>
        <v>0</v>
      </c>
      <c r="BD24" s="245">
        <f>'[1]September - 2021'!BO24</f>
        <v>0</v>
      </c>
      <c r="BE24" s="93">
        <f>'[1]September - 2021'!BO24</f>
        <v>0</v>
      </c>
      <c r="BF24" s="272">
        <f>'[1]September - 2021'!BQ24</f>
        <v>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0</v>
      </c>
      <c r="BT24" s="185">
        <f>'[1]September - 2021'!BU24</f>
        <v>0</v>
      </c>
      <c r="BU24" s="396"/>
      <c r="BV24" s="88">
        <f>'[1]September - 2021'!BW24</f>
        <v>0</v>
      </c>
      <c r="BW24" s="241">
        <f>'[1]September - 2021'!BX24</f>
        <v>0</v>
      </c>
      <c r="BX24" s="88">
        <f>'[1]September - 2021'!BX24</f>
        <v>0</v>
      </c>
      <c r="BY24" s="89">
        <f>'[1]September - 2021'!BZ24</f>
        <v>0</v>
      </c>
      <c r="BZ24" s="191">
        <f>'[1]September - 2021'!CA24</f>
        <v>0</v>
      </c>
      <c r="CA24" s="89">
        <f>'[1]September - 2021'!CB24</f>
        <v>0</v>
      </c>
      <c r="CB24" s="191">
        <f>'[1]September - 2021'!CC24</f>
        <v>0</v>
      </c>
      <c r="CC24" s="89">
        <f>'[1]September - 2021'!CD24</f>
        <v>0</v>
      </c>
      <c r="CD24" s="191">
        <f>'[1]September - 2021'!CE24</f>
        <v>0</v>
      </c>
      <c r="CE24" s="89">
        <f>'[1]September - 2021'!CF24</f>
        <v>0</v>
      </c>
      <c r="CF24" s="191">
        <f>'[1]September - 2021'!CG24</f>
        <v>0</v>
      </c>
      <c r="CG24" s="89">
        <f>'[1]September - 2021'!CH24</f>
        <v>0</v>
      </c>
      <c r="CH24" s="191">
        <f>'[1]September - 2021'!CI24</f>
        <v>0</v>
      </c>
      <c r="CI24" s="89">
        <f>'[1]September - 2021'!CJ24</f>
        <v>0</v>
      </c>
      <c r="CJ24" s="191">
        <f>'[1]September - 2021'!CK24</f>
        <v>0</v>
      </c>
      <c r="CK24" s="89">
        <f>'[1]September - 2021'!CL24</f>
        <v>0</v>
      </c>
      <c r="CL24" s="246">
        <f>'[1]September - 2021'!CM24</f>
        <v>0</v>
      </c>
      <c r="CM24" s="89">
        <f>'[1]September - 2021'!CM24</f>
        <v>0</v>
      </c>
      <c r="CN24" s="89">
        <f>'[1]September - 2021'!CO24</f>
        <v>0</v>
      </c>
      <c r="CO24" s="246">
        <f>'[1]September - 2021'!CP24</f>
        <v>0</v>
      </c>
      <c r="CP24" s="89">
        <f>'[1]September - 2021'!CP24</f>
        <v>0</v>
      </c>
      <c r="CQ24" s="89">
        <f>'[1]September - 2021'!CR24</f>
        <v>0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0</v>
      </c>
      <c r="CU24" s="191">
        <f>'[1]September - 2021'!CV24</f>
        <v>0</v>
      </c>
      <c r="CV24" s="456"/>
      <c r="CW24" s="256">
        <f>'[1]September - 2021'!CX24</f>
        <v>0</v>
      </c>
      <c r="CX24" s="198">
        <f>'[1]September - 2021'!CY24</f>
        <v>0</v>
      </c>
      <c r="CY24" s="257">
        <f>'[1]September - 2021'!CZ24</f>
        <v>0</v>
      </c>
      <c r="CZ24" s="198">
        <f>'[1]September - 2021'!DA24</f>
        <v>0</v>
      </c>
      <c r="DA24" s="257">
        <f>'[1]September - 2021'!DB24</f>
        <v>0</v>
      </c>
      <c r="DB24" s="198">
        <f>'[1]September - 2021'!DC24</f>
        <v>0</v>
      </c>
      <c r="DC24" s="257">
        <f>'[1]September - 2021'!DD24</f>
        <v>0</v>
      </c>
      <c r="DD24" s="198">
        <f>'[1]September - 2021'!DE24</f>
        <v>0</v>
      </c>
      <c r="DE24" s="257">
        <f>'[1]September - 2021'!DF24</f>
        <v>0</v>
      </c>
      <c r="DF24" s="198">
        <f>'[1]September - 2021'!DG24</f>
        <v>0</v>
      </c>
      <c r="DG24" s="257">
        <f>'[1]September - 2021'!DH24</f>
        <v>0</v>
      </c>
      <c r="DH24" s="198">
        <f>'[1]September - 2021'!DI24</f>
        <v>0</v>
      </c>
      <c r="DI24" s="257">
        <f>'[1]September - 2021'!DJ24</f>
        <v>0</v>
      </c>
      <c r="DJ24" s="198">
        <f>'[1]September - 2021'!DK24</f>
        <v>0</v>
      </c>
      <c r="DK24" s="257">
        <f>'[1]September - 2021'!DL24</f>
        <v>0</v>
      </c>
      <c r="DL24" s="198">
        <f>'[1]September - 2021'!DM24</f>
        <v>0</v>
      </c>
      <c r="DM24" s="257">
        <f>'[1]September - 2021'!DN24</f>
        <v>0</v>
      </c>
      <c r="DN24" s="198">
        <f>'[1]September - 2021'!DO24</f>
        <v>0</v>
      </c>
      <c r="DO24" s="257">
        <f>'[1]September - 2021'!DP24</f>
        <v>0</v>
      </c>
      <c r="DP24" s="198">
        <f>'[1]September - 2021'!DQ24</f>
        <v>0</v>
      </c>
      <c r="DQ24" s="257">
        <f>'[1]September - 2021'!DR24</f>
        <v>0</v>
      </c>
      <c r="DR24" s="206">
        <f>'[1]September - 2021'!DS24</f>
        <v>0</v>
      </c>
      <c r="DS24" s="441"/>
      <c r="DT24" s="210">
        <f>'[1]September - 2021'!DU24</f>
        <v>0</v>
      </c>
      <c r="DU24" s="221">
        <f>'[1]September - 2021'!DV24</f>
        <v>0</v>
      </c>
      <c r="DV24" s="91">
        <f>'[1]September - 2021'!DW24</f>
        <v>0</v>
      </c>
      <c r="DW24" s="215">
        <f>'[1]September - 2021'!DX24</f>
        <v>0</v>
      </c>
      <c r="DX24" s="91">
        <f>'[1]September - 2021'!DY24</f>
        <v>0</v>
      </c>
      <c r="DY24" s="215">
        <f>'[1]September - 2021'!DZ24</f>
        <v>0</v>
      </c>
      <c r="DZ24" s="91">
        <f>'[1]September - 2021'!EA24</f>
        <v>0</v>
      </c>
      <c r="EA24" s="215">
        <f>'[1]September - 2021'!EB24</f>
        <v>0</v>
      </c>
      <c r="EB24" s="91">
        <f>'[1]September - 2021'!EC24</f>
        <v>0</v>
      </c>
      <c r="EC24" s="215">
        <f>'[1]September - 2021'!ED24</f>
        <v>0</v>
      </c>
      <c r="ED24" s="91">
        <f>'[1]September - 2021'!EG24</f>
        <v>0</v>
      </c>
      <c r="EE24" s="229">
        <f>'[1]September - 2021'!EH24</f>
        <v>0</v>
      </c>
      <c r="EF24" s="380"/>
      <c r="EG24" s="235">
        <f>'[1]September - 2021'!EJ24</f>
        <v>0</v>
      </c>
      <c r="EH24" s="230">
        <f>'[1]September - 2021'!EK24</f>
        <v>0</v>
      </c>
      <c r="EI24" s="90">
        <f>'[1]September - 2021'!EL24</f>
        <v>0</v>
      </c>
      <c r="EJ24" s="230">
        <f>'[1]September - 2021'!EM24</f>
        <v>0</v>
      </c>
      <c r="EK24" s="90">
        <f>'[1]September - 2021'!EN24</f>
        <v>0</v>
      </c>
      <c r="EL24" s="230">
        <f>'[1]September - 2021'!EO24</f>
        <v>0</v>
      </c>
      <c r="EM24" s="90">
        <f>'[1]September - 2021'!EP24</f>
        <v>0</v>
      </c>
      <c r="EN24" s="230">
        <f>'[1]September - 2021'!EQ24</f>
        <v>0</v>
      </c>
      <c r="EO24" s="90">
        <f>'[1]September - 2021'!ER24</f>
        <v>0</v>
      </c>
      <c r="EP24" s="230">
        <f>'[1]September - 2021'!ES24</f>
        <v>0</v>
      </c>
      <c r="EQ24" s="90">
        <f>'[1]September - 2021'!ET24</f>
        <v>0</v>
      </c>
      <c r="ER24" s="230">
        <f>'[1]September - 2021'!EU24</f>
        <v>0</v>
      </c>
      <c r="ES24" s="428"/>
      <c r="ET24" s="284">
        <f>'[1]September - 2021'!EW24</f>
        <v>0</v>
      </c>
      <c r="EU24" s="278">
        <f>'[1]September - 2021'!EX24</f>
        <v>0</v>
      </c>
      <c r="EV24" s="285">
        <f>'[1]September - 2021'!EY24</f>
        <v>0</v>
      </c>
      <c r="EW24" s="278">
        <f>'[1]September - 2021'!EZ24</f>
        <v>0</v>
      </c>
      <c r="EX24" s="285">
        <f>'[1]September - 2021'!FA24</f>
        <v>0</v>
      </c>
      <c r="EY24" s="278">
        <f>'[1]September - 2021'!FB24</f>
        <v>0</v>
      </c>
      <c r="EZ24" s="285">
        <f>'[1]September - 2021'!FC24</f>
        <v>0</v>
      </c>
      <c r="FA24" s="278">
        <f>'[1]September - 2021'!FD24</f>
        <v>0</v>
      </c>
      <c r="FB24" s="285">
        <f>'[1]September - 2021'!FE24</f>
        <v>0</v>
      </c>
      <c r="FC24" s="279">
        <f>'[1]September - 2021'!FF24</f>
        <v>0</v>
      </c>
    </row>
    <row r="25" spans="1:159" ht="30" customHeight="1" x14ac:dyDescent="0.25">
      <c r="A25" s="207">
        <v>43846</v>
      </c>
      <c r="B25" s="209">
        <f>'[1]September - 2021'!B25</f>
        <v>0</v>
      </c>
      <c r="C25" s="250">
        <f>'[1]September - 2021'!E25</f>
        <v>0</v>
      </c>
      <c r="D25" s="170">
        <f>'[1]September - 2021'!F25</f>
        <v>0</v>
      </c>
      <c r="E25" s="168">
        <f>'[1]September - 2021'!G25</f>
        <v>676</v>
      </c>
      <c r="F25" s="168">
        <f>'[1]September - 2021'!H25</f>
        <v>0</v>
      </c>
      <c r="G25" s="170">
        <f>'[1]September - 2021'!I25</f>
        <v>0</v>
      </c>
      <c r="H25" s="168">
        <f>'[1]September - 2021'!J25</f>
        <v>395</v>
      </c>
      <c r="I25" s="168">
        <f>'[1]September - 2021'!K25</f>
        <v>0</v>
      </c>
      <c r="J25" s="170">
        <f>'[1]September - 2021'!L25</f>
        <v>0</v>
      </c>
      <c r="K25" s="168">
        <f>'[1]September - 2021'!N25</f>
        <v>0</v>
      </c>
      <c r="L25" s="170">
        <f>'[1]September - 2021'!O25</f>
        <v>0</v>
      </c>
      <c r="M25" s="168">
        <f>'[1]September - 2021'!Q25</f>
        <v>0</v>
      </c>
      <c r="N25" s="170">
        <f>'[1]September - 2021'!R25</f>
        <v>0</v>
      </c>
      <c r="O25" s="168">
        <f>'[1]September - 2021'!S25</f>
        <v>0</v>
      </c>
      <c r="P25" s="170">
        <f>'[1]September - 2021'!T25</f>
        <v>0</v>
      </c>
      <c r="Q25" s="168">
        <f>'[1]September - 2021'!U25</f>
        <v>170</v>
      </c>
      <c r="R25" s="168">
        <f>'[1]September - 2021'!V25</f>
        <v>0</v>
      </c>
      <c r="S25" s="208">
        <f>'[1]September - 2021'!W25</f>
        <v>0</v>
      </c>
      <c r="T25" s="523"/>
      <c r="U25" s="169">
        <f>'[1]September - 2021'!AC25</f>
        <v>0</v>
      </c>
      <c r="V25" s="291">
        <f>'[1]September - 2021'!AD25</f>
        <v>0</v>
      </c>
      <c r="W25" s="92">
        <f>'[1]September - 2021'!AD25</f>
        <v>0</v>
      </c>
      <c r="X25" s="290">
        <f>'[1]September - 2021'!AF25</f>
        <v>0</v>
      </c>
      <c r="Y25" s="291">
        <f>'[1]September - 2021'!AG25</f>
        <v>0</v>
      </c>
      <c r="Z25" s="92">
        <f>'[1]September - 2021'!AG25</f>
        <v>0</v>
      </c>
      <c r="AA25" s="290">
        <f>'[1]September - 2021'!AI25</f>
        <v>0</v>
      </c>
      <c r="AB25" s="291">
        <f>'[1]September - 2021'!AJ25</f>
        <v>0</v>
      </c>
      <c r="AC25" s="92">
        <f>'[1]September - 2021'!AJ25</f>
        <v>0</v>
      </c>
      <c r="AD25" s="290">
        <f>'[1]September - 2021'!AL25</f>
        <v>0</v>
      </c>
      <c r="AE25" s="291">
        <f>'[1]September - 2021'!AM25</f>
        <v>0</v>
      </c>
      <c r="AF25" s="92">
        <f>'[1]September - 2021'!AM25</f>
        <v>0</v>
      </c>
      <c r="AG25" s="290">
        <f>'[1]September - 2021'!AO25</f>
        <v>0</v>
      </c>
      <c r="AH25" s="291">
        <f>'[1]September - 2021'!AP25</f>
        <v>0</v>
      </c>
      <c r="AI25" s="92">
        <f>'[1]September - 2021'!AP25</f>
        <v>0</v>
      </c>
      <c r="AJ25" s="290">
        <f>'[1]September - 2021'!AR25</f>
        <v>0</v>
      </c>
      <c r="AK25" s="291">
        <f>'[1]September - 2021'!AS25</f>
        <v>0</v>
      </c>
      <c r="AL25" s="92">
        <f>'[1]September - 2021'!AS25</f>
        <v>0</v>
      </c>
      <c r="AM25" s="290">
        <f>'[1]September - 2021'!AU25</f>
        <v>0</v>
      </c>
      <c r="AN25" s="291">
        <f>'[1]September - 2021'!AV25</f>
        <v>0</v>
      </c>
      <c r="AO25" s="92">
        <f>'[1]September - 2021'!AV25</f>
        <v>0</v>
      </c>
      <c r="AP25" s="290">
        <f>'[1]September - 2021'!AX25</f>
        <v>0</v>
      </c>
      <c r="AQ25" s="291">
        <f>'[1]September - 2021'!AY25</f>
        <v>0</v>
      </c>
      <c r="AR25" s="92">
        <f>'[1]September - 2021'!AY25</f>
        <v>0</v>
      </c>
      <c r="AS25" s="290">
        <f>'[1]September - 2021'!BA25</f>
        <v>0</v>
      </c>
      <c r="AT25" s="291">
        <f>'[1]September - 2021'!BB25</f>
        <v>0</v>
      </c>
      <c r="AU25" s="92">
        <f>'[1]September - 2021'!BB25</f>
        <v>0</v>
      </c>
      <c r="AV25" s="290">
        <f>'[1]September - 2021'!BD25</f>
        <v>0</v>
      </c>
      <c r="AW25" s="252">
        <f>'[1]September - 2021'!BE25</f>
        <v>0</v>
      </c>
      <c r="AX25" s="253">
        <f>'[1]September - 2021'!BE25</f>
        <v>0</v>
      </c>
      <c r="AY25" s="489"/>
      <c r="AZ25" s="272">
        <f>'[1]September - 2021'!BK25</f>
        <v>0</v>
      </c>
      <c r="BA25" s="179">
        <f>'[1]September - 2021'!BL25</f>
        <v>0</v>
      </c>
      <c r="BB25" s="93">
        <f>'[1]September - 2021'!BL25</f>
        <v>0</v>
      </c>
      <c r="BC25" s="272">
        <f>'[1]September - 2021'!BN25</f>
        <v>0</v>
      </c>
      <c r="BD25" s="245">
        <f>'[1]September - 2021'!BO25</f>
        <v>0</v>
      </c>
      <c r="BE25" s="93">
        <f>'[1]September - 2021'!BO25</f>
        <v>0</v>
      </c>
      <c r="BF25" s="272">
        <f>'[1]September - 2021'!BQ25</f>
        <v>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0</v>
      </c>
      <c r="BT25" s="185">
        <f>'[1]September - 2021'!BU25</f>
        <v>0</v>
      </c>
      <c r="BU25" s="396"/>
      <c r="BV25" s="88">
        <f>'[1]September - 2021'!BW25</f>
        <v>0</v>
      </c>
      <c r="BW25" s="241">
        <f>'[1]September - 2021'!BX25</f>
        <v>0</v>
      </c>
      <c r="BX25" s="88">
        <f>'[1]September - 2021'!BX25</f>
        <v>0</v>
      </c>
      <c r="BY25" s="89">
        <f>'[1]September - 2021'!BZ25</f>
        <v>0</v>
      </c>
      <c r="BZ25" s="191">
        <f>'[1]September - 2021'!CA25</f>
        <v>0</v>
      </c>
      <c r="CA25" s="89">
        <f>'[1]September - 2021'!CB25</f>
        <v>0</v>
      </c>
      <c r="CB25" s="191">
        <f>'[1]September - 2021'!CC25</f>
        <v>0</v>
      </c>
      <c r="CC25" s="89">
        <f>'[1]September - 2021'!CD25</f>
        <v>0</v>
      </c>
      <c r="CD25" s="191">
        <f>'[1]September - 2021'!CE25</f>
        <v>0</v>
      </c>
      <c r="CE25" s="89">
        <f>'[1]September - 2021'!CF25</f>
        <v>0</v>
      </c>
      <c r="CF25" s="191">
        <f>'[1]September - 2021'!CG25</f>
        <v>0</v>
      </c>
      <c r="CG25" s="89">
        <f>'[1]September - 2021'!CH25</f>
        <v>0</v>
      </c>
      <c r="CH25" s="191">
        <f>'[1]September - 2021'!CI25</f>
        <v>0</v>
      </c>
      <c r="CI25" s="89">
        <f>'[1]September - 2021'!CJ25</f>
        <v>0</v>
      </c>
      <c r="CJ25" s="191">
        <f>'[1]September - 2021'!CK25</f>
        <v>0</v>
      </c>
      <c r="CK25" s="89">
        <f>'[1]September - 2021'!CL25</f>
        <v>0</v>
      </c>
      <c r="CL25" s="246">
        <f>'[1]September - 2021'!CM25</f>
        <v>0</v>
      </c>
      <c r="CM25" s="89">
        <f>'[1]September - 2021'!CM25</f>
        <v>0</v>
      </c>
      <c r="CN25" s="89">
        <f>'[1]September - 2021'!CO25</f>
        <v>0</v>
      </c>
      <c r="CO25" s="246">
        <f>'[1]September - 2021'!CP25</f>
        <v>0</v>
      </c>
      <c r="CP25" s="89">
        <f>'[1]September - 2021'!CP25</f>
        <v>0</v>
      </c>
      <c r="CQ25" s="89">
        <f>'[1]September - 2021'!CR25</f>
        <v>0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0</v>
      </c>
      <c r="CU25" s="191">
        <f>'[1]September - 2021'!CV25</f>
        <v>0</v>
      </c>
      <c r="CV25" s="456"/>
      <c r="CW25" s="256">
        <f>'[1]September - 2021'!CX25</f>
        <v>0</v>
      </c>
      <c r="CX25" s="198">
        <f>'[1]September - 2021'!CY25</f>
        <v>0</v>
      </c>
      <c r="CY25" s="257">
        <f>'[1]September - 2021'!CZ25</f>
        <v>0</v>
      </c>
      <c r="CZ25" s="198">
        <f>'[1]September - 2021'!DA25</f>
        <v>0</v>
      </c>
      <c r="DA25" s="257">
        <f>'[1]September - 2021'!DB25</f>
        <v>0</v>
      </c>
      <c r="DB25" s="198">
        <f>'[1]September - 2021'!DC25</f>
        <v>0</v>
      </c>
      <c r="DC25" s="257">
        <f>'[1]September - 2021'!DD25</f>
        <v>0</v>
      </c>
      <c r="DD25" s="198">
        <f>'[1]September - 2021'!DE25</f>
        <v>0</v>
      </c>
      <c r="DE25" s="257">
        <f>'[1]September - 2021'!DF25</f>
        <v>0</v>
      </c>
      <c r="DF25" s="198">
        <f>'[1]September - 2021'!DG25</f>
        <v>0</v>
      </c>
      <c r="DG25" s="257">
        <f>'[1]September - 2021'!DH25</f>
        <v>0</v>
      </c>
      <c r="DH25" s="198">
        <f>'[1]September - 2021'!DI25</f>
        <v>0</v>
      </c>
      <c r="DI25" s="257">
        <f>'[1]September - 2021'!DJ25</f>
        <v>0</v>
      </c>
      <c r="DJ25" s="198">
        <f>'[1]September - 2021'!DK25</f>
        <v>0</v>
      </c>
      <c r="DK25" s="257">
        <f>'[1]September - 2021'!DL25</f>
        <v>0</v>
      </c>
      <c r="DL25" s="198">
        <f>'[1]September - 2021'!DM25</f>
        <v>0</v>
      </c>
      <c r="DM25" s="257">
        <f>'[1]September - 2021'!DN25</f>
        <v>0</v>
      </c>
      <c r="DN25" s="198">
        <f>'[1]September - 2021'!DO25</f>
        <v>0</v>
      </c>
      <c r="DO25" s="257">
        <f>'[1]September - 2021'!DP25</f>
        <v>0</v>
      </c>
      <c r="DP25" s="198">
        <f>'[1]September - 2021'!DQ25</f>
        <v>0</v>
      </c>
      <c r="DQ25" s="257">
        <f>'[1]September - 2021'!DR25</f>
        <v>0</v>
      </c>
      <c r="DR25" s="206">
        <f>'[1]September - 2021'!DS25</f>
        <v>0</v>
      </c>
      <c r="DS25" s="441"/>
      <c r="DT25" s="210">
        <f>'[1]September - 2021'!DU25</f>
        <v>0</v>
      </c>
      <c r="DU25" s="221">
        <f>'[1]September - 2021'!DV25</f>
        <v>0</v>
      </c>
      <c r="DV25" s="91">
        <f>'[1]September - 2021'!DW25</f>
        <v>0</v>
      </c>
      <c r="DW25" s="215">
        <f>'[1]September - 2021'!DX25</f>
        <v>0</v>
      </c>
      <c r="DX25" s="91">
        <f>'[1]September - 2021'!DY25</f>
        <v>0</v>
      </c>
      <c r="DY25" s="215">
        <f>'[1]September - 2021'!DZ25</f>
        <v>0</v>
      </c>
      <c r="DZ25" s="91">
        <f>'[1]September - 2021'!EA25</f>
        <v>0</v>
      </c>
      <c r="EA25" s="215">
        <f>'[1]September - 2021'!EB25</f>
        <v>0</v>
      </c>
      <c r="EB25" s="91">
        <f>'[1]September - 2021'!EC25</f>
        <v>0</v>
      </c>
      <c r="EC25" s="215">
        <f>'[1]September - 2021'!ED25</f>
        <v>0</v>
      </c>
      <c r="ED25" s="91">
        <f>'[1]September - 2021'!EG25</f>
        <v>0</v>
      </c>
      <c r="EE25" s="229">
        <f>'[1]September - 2021'!EH25</f>
        <v>0</v>
      </c>
      <c r="EF25" s="380"/>
      <c r="EG25" s="235">
        <f>'[1]September - 2021'!EJ25</f>
        <v>0</v>
      </c>
      <c r="EH25" s="230">
        <f>'[1]September - 2021'!EK25</f>
        <v>0</v>
      </c>
      <c r="EI25" s="90">
        <f>'[1]September - 2021'!EL25</f>
        <v>0</v>
      </c>
      <c r="EJ25" s="230">
        <f>'[1]September - 2021'!EM25</f>
        <v>0</v>
      </c>
      <c r="EK25" s="90">
        <f>'[1]September - 2021'!EN25</f>
        <v>0</v>
      </c>
      <c r="EL25" s="230">
        <f>'[1]September - 2021'!EO25</f>
        <v>0</v>
      </c>
      <c r="EM25" s="90">
        <f>'[1]September - 2021'!EP25</f>
        <v>0</v>
      </c>
      <c r="EN25" s="230">
        <f>'[1]September - 2021'!EQ25</f>
        <v>0</v>
      </c>
      <c r="EO25" s="90">
        <f>'[1]September - 2021'!ER25</f>
        <v>0</v>
      </c>
      <c r="EP25" s="230">
        <f>'[1]September - 2021'!ES25</f>
        <v>0</v>
      </c>
      <c r="EQ25" s="90">
        <f>'[1]September - 2021'!ET25</f>
        <v>0</v>
      </c>
      <c r="ER25" s="230">
        <f>'[1]September - 2021'!EU25</f>
        <v>0</v>
      </c>
      <c r="ES25" s="428"/>
      <c r="ET25" s="284">
        <f>'[1]September - 2021'!EW25</f>
        <v>0</v>
      </c>
      <c r="EU25" s="278">
        <f>'[1]September - 2021'!EX25</f>
        <v>0</v>
      </c>
      <c r="EV25" s="285">
        <f>'[1]September - 2021'!EY25</f>
        <v>0</v>
      </c>
      <c r="EW25" s="278">
        <f>'[1]September - 2021'!EZ25</f>
        <v>0</v>
      </c>
      <c r="EX25" s="285">
        <f>'[1]September - 2021'!FA25</f>
        <v>0</v>
      </c>
      <c r="EY25" s="278">
        <f>'[1]September - 2021'!FB25</f>
        <v>0</v>
      </c>
      <c r="EZ25" s="285">
        <f>'[1]September - 2021'!FC25</f>
        <v>0</v>
      </c>
      <c r="FA25" s="278">
        <f>'[1]September - 2021'!FD25</f>
        <v>0</v>
      </c>
      <c r="FB25" s="285">
        <f>'[1]September - 2021'!FE25</f>
        <v>0</v>
      </c>
      <c r="FC25" s="279">
        <f>'[1]September - 2021'!FF25</f>
        <v>0</v>
      </c>
    </row>
    <row r="26" spans="1:159" ht="30" customHeight="1" x14ac:dyDescent="0.25">
      <c r="A26" s="207">
        <v>43847</v>
      </c>
      <c r="B26" s="209">
        <f>'[1]September - 2021'!B26</f>
        <v>0</v>
      </c>
      <c r="C26" s="250">
        <f>'[1]September - 2021'!E26</f>
        <v>0</v>
      </c>
      <c r="D26" s="170">
        <f>'[1]September - 2021'!F26</f>
        <v>0</v>
      </c>
      <c r="E26" s="168">
        <f>'[1]September - 2021'!G26</f>
        <v>590</v>
      </c>
      <c r="F26" s="168">
        <f>'[1]September - 2021'!H26</f>
        <v>0</v>
      </c>
      <c r="G26" s="170">
        <f>'[1]September - 2021'!I26</f>
        <v>0</v>
      </c>
      <c r="H26" s="168">
        <f>'[1]September - 2021'!J26</f>
        <v>384</v>
      </c>
      <c r="I26" s="168">
        <f>'[1]September - 2021'!K26</f>
        <v>0</v>
      </c>
      <c r="J26" s="170">
        <f>'[1]September - 2021'!L26</f>
        <v>0</v>
      </c>
      <c r="K26" s="168">
        <f>'[1]September - 2021'!N26</f>
        <v>0</v>
      </c>
      <c r="L26" s="170">
        <f>'[1]September - 2021'!O26</f>
        <v>0</v>
      </c>
      <c r="M26" s="168">
        <f>'[1]September - 2021'!Q26</f>
        <v>0</v>
      </c>
      <c r="N26" s="170">
        <f>'[1]September - 2021'!R26</f>
        <v>0</v>
      </c>
      <c r="O26" s="168">
        <f>'[1]September - 2021'!S26</f>
        <v>0</v>
      </c>
      <c r="P26" s="170">
        <f>'[1]September - 2021'!T26</f>
        <v>0</v>
      </c>
      <c r="Q26" s="168">
        <f>'[1]September - 2021'!U26</f>
        <v>163</v>
      </c>
      <c r="R26" s="168">
        <f>'[1]September - 2021'!V26</f>
        <v>0</v>
      </c>
      <c r="S26" s="208">
        <f>'[1]September - 2021'!W26</f>
        <v>0</v>
      </c>
      <c r="T26" s="523"/>
      <c r="U26" s="169">
        <f>'[1]September - 2021'!AC26</f>
        <v>0</v>
      </c>
      <c r="V26" s="291">
        <f>'[1]September - 2021'!AD26</f>
        <v>0</v>
      </c>
      <c r="W26" s="92">
        <f>'[1]September - 2021'!AD26</f>
        <v>0</v>
      </c>
      <c r="X26" s="290">
        <f>'[1]September - 2021'!AF26</f>
        <v>0</v>
      </c>
      <c r="Y26" s="291">
        <f>'[1]September - 2021'!AG26</f>
        <v>0</v>
      </c>
      <c r="Z26" s="92">
        <f>'[1]September - 2021'!AG26</f>
        <v>0</v>
      </c>
      <c r="AA26" s="290">
        <f>'[1]September - 2021'!AI26</f>
        <v>0</v>
      </c>
      <c r="AB26" s="291">
        <f>'[1]September - 2021'!AJ26</f>
        <v>0</v>
      </c>
      <c r="AC26" s="92">
        <f>'[1]September - 2021'!AJ26</f>
        <v>0</v>
      </c>
      <c r="AD26" s="290">
        <f>'[1]September - 2021'!AL26</f>
        <v>0</v>
      </c>
      <c r="AE26" s="291">
        <f>'[1]September - 2021'!AM26</f>
        <v>0</v>
      </c>
      <c r="AF26" s="92">
        <f>'[1]September - 2021'!AM26</f>
        <v>0</v>
      </c>
      <c r="AG26" s="290">
        <f>'[1]September - 2021'!AO26</f>
        <v>0</v>
      </c>
      <c r="AH26" s="291">
        <f>'[1]September - 2021'!AP26</f>
        <v>0</v>
      </c>
      <c r="AI26" s="92">
        <f>'[1]September - 2021'!AP26</f>
        <v>0</v>
      </c>
      <c r="AJ26" s="290">
        <f>'[1]September - 2021'!AR26</f>
        <v>0</v>
      </c>
      <c r="AK26" s="291">
        <f>'[1]September - 2021'!AS26</f>
        <v>0</v>
      </c>
      <c r="AL26" s="92">
        <f>'[1]September - 2021'!AS26</f>
        <v>0</v>
      </c>
      <c r="AM26" s="290">
        <f>'[1]September - 2021'!AU26</f>
        <v>0</v>
      </c>
      <c r="AN26" s="291">
        <f>'[1]September - 2021'!AV26</f>
        <v>0</v>
      </c>
      <c r="AO26" s="92">
        <f>'[1]September - 2021'!AV26</f>
        <v>0</v>
      </c>
      <c r="AP26" s="290">
        <f>'[1]September - 2021'!AX26</f>
        <v>0</v>
      </c>
      <c r="AQ26" s="291">
        <f>'[1]September - 2021'!AY26</f>
        <v>0</v>
      </c>
      <c r="AR26" s="92">
        <f>'[1]September - 2021'!AY26</f>
        <v>0</v>
      </c>
      <c r="AS26" s="290">
        <f>'[1]September - 2021'!BA26</f>
        <v>0</v>
      </c>
      <c r="AT26" s="291">
        <f>'[1]September - 2021'!BB26</f>
        <v>0</v>
      </c>
      <c r="AU26" s="92">
        <f>'[1]September - 2021'!BB26</f>
        <v>0</v>
      </c>
      <c r="AV26" s="290">
        <f>'[1]September - 2021'!BD26</f>
        <v>0</v>
      </c>
      <c r="AW26" s="252">
        <f>'[1]September - 2021'!BE26</f>
        <v>0</v>
      </c>
      <c r="AX26" s="253">
        <f>'[1]September - 2021'!BE26</f>
        <v>0</v>
      </c>
      <c r="AY26" s="489"/>
      <c r="AZ26" s="272">
        <f>'[1]September - 2021'!BK26</f>
        <v>0</v>
      </c>
      <c r="BA26" s="179">
        <f>'[1]September - 2021'!BL26</f>
        <v>0</v>
      </c>
      <c r="BB26" s="93">
        <f>'[1]September - 2021'!BL26</f>
        <v>0</v>
      </c>
      <c r="BC26" s="272">
        <f>'[1]September - 2021'!BN26</f>
        <v>0</v>
      </c>
      <c r="BD26" s="245">
        <f>'[1]September - 2021'!BO26</f>
        <v>0</v>
      </c>
      <c r="BE26" s="93">
        <f>'[1]September - 2021'!BO26</f>
        <v>0</v>
      </c>
      <c r="BF26" s="272">
        <f>'[1]September - 2021'!BQ26</f>
        <v>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0</v>
      </c>
      <c r="BT26" s="185">
        <f>'[1]September - 2021'!BU26</f>
        <v>0</v>
      </c>
      <c r="BU26" s="396"/>
      <c r="BV26" s="88">
        <f>'[1]September - 2021'!BW26</f>
        <v>0</v>
      </c>
      <c r="BW26" s="241">
        <f>'[1]September - 2021'!BX26</f>
        <v>0</v>
      </c>
      <c r="BX26" s="88">
        <f>'[1]September - 2021'!BX26</f>
        <v>0</v>
      </c>
      <c r="BY26" s="89">
        <f>'[1]September - 2021'!BZ26</f>
        <v>0</v>
      </c>
      <c r="BZ26" s="191">
        <f>'[1]September - 2021'!CA26</f>
        <v>0</v>
      </c>
      <c r="CA26" s="89">
        <f>'[1]September - 2021'!CB26</f>
        <v>0</v>
      </c>
      <c r="CB26" s="191">
        <f>'[1]September - 2021'!CC26</f>
        <v>0</v>
      </c>
      <c r="CC26" s="89">
        <f>'[1]September - 2021'!CD26</f>
        <v>0</v>
      </c>
      <c r="CD26" s="191">
        <f>'[1]September - 2021'!CE26</f>
        <v>0</v>
      </c>
      <c r="CE26" s="89">
        <f>'[1]September - 2021'!CF26</f>
        <v>0</v>
      </c>
      <c r="CF26" s="191">
        <f>'[1]September - 2021'!CG26</f>
        <v>0</v>
      </c>
      <c r="CG26" s="89">
        <f>'[1]September - 2021'!CH26</f>
        <v>0</v>
      </c>
      <c r="CH26" s="191">
        <f>'[1]September - 2021'!CI26</f>
        <v>0</v>
      </c>
      <c r="CI26" s="89">
        <f>'[1]September - 2021'!CJ26</f>
        <v>0</v>
      </c>
      <c r="CJ26" s="191">
        <f>'[1]September - 2021'!CK26</f>
        <v>0</v>
      </c>
      <c r="CK26" s="89">
        <f>'[1]September - 2021'!CL26</f>
        <v>0</v>
      </c>
      <c r="CL26" s="246">
        <f>'[1]September - 2021'!CM26</f>
        <v>0</v>
      </c>
      <c r="CM26" s="89">
        <f>'[1]September - 2021'!CM26</f>
        <v>0</v>
      </c>
      <c r="CN26" s="89">
        <f>'[1]September - 2021'!CO26</f>
        <v>0</v>
      </c>
      <c r="CO26" s="246">
        <f>'[1]September - 2021'!CP26</f>
        <v>0</v>
      </c>
      <c r="CP26" s="89">
        <f>'[1]September - 2021'!CP26</f>
        <v>0</v>
      </c>
      <c r="CQ26" s="89">
        <f>'[1]September - 2021'!CR26</f>
        <v>0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0</v>
      </c>
      <c r="CU26" s="191">
        <f>'[1]September - 2021'!CV26</f>
        <v>0</v>
      </c>
      <c r="CV26" s="456"/>
      <c r="CW26" s="256">
        <f>'[1]September - 2021'!CX26</f>
        <v>0</v>
      </c>
      <c r="CX26" s="198">
        <f>'[1]September - 2021'!CY26</f>
        <v>0</v>
      </c>
      <c r="CY26" s="257">
        <f>'[1]September - 2021'!CZ26</f>
        <v>0</v>
      </c>
      <c r="CZ26" s="198">
        <f>'[1]September - 2021'!DA26</f>
        <v>0</v>
      </c>
      <c r="DA26" s="257">
        <f>'[1]September - 2021'!DB26</f>
        <v>0</v>
      </c>
      <c r="DB26" s="198">
        <f>'[1]September - 2021'!DC26</f>
        <v>0</v>
      </c>
      <c r="DC26" s="257">
        <f>'[1]September - 2021'!DD26</f>
        <v>0</v>
      </c>
      <c r="DD26" s="198">
        <f>'[1]September - 2021'!DE26</f>
        <v>0</v>
      </c>
      <c r="DE26" s="257">
        <f>'[1]September - 2021'!DF26</f>
        <v>0</v>
      </c>
      <c r="DF26" s="198">
        <f>'[1]September - 2021'!DG26</f>
        <v>0</v>
      </c>
      <c r="DG26" s="257">
        <f>'[1]September - 2021'!DH26</f>
        <v>0</v>
      </c>
      <c r="DH26" s="198">
        <f>'[1]September - 2021'!DI26</f>
        <v>0</v>
      </c>
      <c r="DI26" s="257">
        <f>'[1]September - 2021'!DJ26</f>
        <v>0</v>
      </c>
      <c r="DJ26" s="198">
        <f>'[1]September - 2021'!DK26</f>
        <v>0</v>
      </c>
      <c r="DK26" s="257">
        <f>'[1]September - 2021'!DL26</f>
        <v>0</v>
      </c>
      <c r="DL26" s="198">
        <f>'[1]September - 2021'!DM26</f>
        <v>0</v>
      </c>
      <c r="DM26" s="257">
        <f>'[1]September - 2021'!DN26</f>
        <v>0</v>
      </c>
      <c r="DN26" s="198">
        <f>'[1]September - 2021'!DO26</f>
        <v>0</v>
      </c>
      <c r="DO26" s="257">
        <f>'[1]September - 2021'!DP26</f>
        <v>0</v>
      </c>
      <c r="DP26" s="198">
        <f>'[1]September - 2021'!DQ26</f>
        <v>0</v>
      </c>
      <c r="DQ26" s="257">
        <f>'[1]September - 2021'!DR26</f>
        <v>0</v>
      </c>
      <c r="DR26" s="206">
        <f>'[1]September - 2021'!DS26</f>
        <v>0</v>
      </c>
      <c r="DS26" s="441"/>
      <c r="DT26" s="210">
        <f>'[1]September - 2021'!DU26</f>
        <v>0</v>
      </c>
      <c r="DU26" s="221">
        <f>'[1]September - 2021'!DV26</f>
        <v>0</v>
      </c>
      <c r="DV26" s="91">
        <f>'[1]September - 2021'!DW26</f>
        <v>0</v>
      </c>
      <c r="DW26" s="215">
        <f>'[1]September - 2021'!DX26</f>
        <v>0</v>
      </c>
      <c r="DX26" s="91">
        <f>'[1]September - 2021'!DY26</f>
        <v>0</v>
      </c>
      <c r="DY26" s="215">
        <f>'[1]September - 2021'!DZ26</f>
        <v>0</v>
      </c>
      <c r="DZ26" s="91">
        <f>'[1]September - 2021'!EA26</f>
        <v>0</v>
      </c>
      <c r="EA26" s="215">
        <f>'[1]September - 2021'!EB26</f>
        <v>0</v>
      </c>
      <c r="EB26" s="91">
        <f>'[1]September - 2021'!EC26</f>
        <v>0</v>
      </c>
      <c r="EC26" s="215">
        <f>'[1]September - 2021'!ED26</f>
        <v>0</v>
      </c>
      <c r="ED26" s="91">
        <f>'[1]September - 2021'!EG26</f>
        <v>0</v>
      </c>
      <c r="EE26" s="229">
        <f>'[1]September - 2021'!EH26</f>
        <v>0</v>
      </c>
      <c r="EF26" s="380"/>
      <c r="EG26" s="235">
        <f>'[1]September - 2021'!EJ26</f>
        <v>0</v>
      </c>
      <c r="EH26" s="230">
        <f>'[1]September - 2021'!EK26</f>
        <v>0</v>
      </c>
      <c r="EI26" s="90">
        <f>'[1]September - 2021'!EL26</f>
        <v>0</v>
      </c>
      <c r="EJ26" s="230">
        <f>'[1]September - 2021'!EM26</f>
        <v>0</v>
      </c>
      <c r="EK26" s="90">
        <f>'[1]September - 2021'!EN26</f>
        <v>0</v>
      </c>
      <c r="EL26" s="230">
        <f>'[1]September - 2021'!EO26</f>
        <v>0</v>
      </c>
      <c r="EM26" s="90">
        <f>'[1]September - 2021'!EP26</f>
        <v>0</v>
      </c>
      <c r="EN26" s="230">
        <f>'[1]September - 2021'!EQ26</f>
        <v>0</v>
      </c>
      <c r="EO26" s="90">
        <f>'[1]September - 2021'!ER26</f>
        <v>0</v>
      </c>
      <c r="EP26" s="230">
        <f>'[1]September - 2021'!ES26</f>
        <v>0</v>
      </c>
      <c r="EQ26" s="90">
        <f>'[1]September - 2021'!ET26</f>
        <v>0</v>
      </c>
      <c r="ER26" s="230">
        <f>'[1]September - 2021'!EU26</f>
        <v>0</v>
      </c>
      <c r="ES26" s="428"/>
      <c r="ET26" s="284">
        <f>'[1]September - 2021'!EW26</f>
        <v>0</v>
      </c>
      <c r="EU26" s="278">
        <f>'[1]September - 2021'!EX26</f>
        <v>0</v>
      </c>
      <c r="EV26" s="285">
        <f>'[1]September - 2021'!EY26</f>
        <v>0</v>
      </c>
      <c r="EW26" s="278">
        <f>'[1]September - 2021'!EZ26</f>
        <v>0</v>
      </c>
      <c r="EX26" s="285">
        <f>'[1]September - 2021'!FA26</f>
        <v>0</v>
      </c>
      <c r="EY26" s="278">
        <f>'[1]September - 2021'!FB26</f>
        <v>0</v>
      </c>
      <c r="EZ26" s="285">
        <f>'[1]September - 2021'!FC26</f>
        <v>0</v>
      </c>
      <c r="FA26" s="278">
        <f>'[1]September - 2021'!FD26</f>
        <v>0</v>
      </c>
      <c r="FB26" s="285">
        <f>'[1]September - 2021'!FE26</f>
        <v>0</v>
      </c>
      <c r="FC26" s="279">
        <f>'[1]September - 2021'!FF26</f>
        <v>0</v>
      </c>
    </row>
    <row r="27" spans="1:159" ht="30" customHeight="1" x14ac:dyDescent="0.25">
      <c r="A27" s="207">
        <v>43848</v>
      </c>
      <c r="B27" s="209">
        <f>'[1]September - 2021'!B27</f>
        <v>0</v>
      </c>
      <c r="C27" s="250">
        <f>'[1]September - 2021'!E27</f>
        <v>0</v>
      </c>
      <c r="D27" s="170">
        <f>'[1]September - 2021'!F27</f>
        <v>0</v>
      </c>
      <c r="E27" s="168">
        <f>'[1]September - 2021'!G27</f>
        <v>554</v>
      </c>
      <c r="F27" s="168">
        <f>'[1]September - 2021'!H27</f>
        <v>0</v>
      </c>
      <c r="G27" s="170">
        <f>'[1]September - 2021'!I27</f>
        <v>0</v>
      </c>
      <c r="H27" s="168">
        <f>'[1]September - 2021'!J27</f>
        <v>243</v>
      </c>
      <c r="I27" s="168">
        <f>'[1]September - 2021'!K27</f>
        <v>0</v>
      </c>
      <c r="J27" s="170">
        <f>'[1]September - 2021'!L27</f>
        <v>0</v>
      </c>
      <c r="K27" s="168">
        <f>'[1]September - 2021'!N27</f>
        <v>0</v>
      </c>
      <c r="L27" s="170">
        <f>'[1]September - 2021'!O27</f>
        <v>0</v>
      </c>
      <c r="M27" s="168">
        <f>'[1]September - 2021'!Q27</f>
        <v>0</v>
      </c>
      <c r="N27" s="170">
        <f>'[1]September - 2021'!R27</f>
        <v>0</v>
      </c>
      <c r="O27" s="168">
        <f>'[1]September - 2021'!S27</f>
        <v>0</v>
      </c>
      <c r="P27" s="170">
        <f>'[1]September - 2021'!T27</f>
        <v>0</v>
      </c>
      <c r="Q27" s="168">
        <f>'[1]September - 2021'!U27</f>
        <v>170</v>
      </c>
      <c r="R27" s="168">
        <f>'[1]September - 2021'!V27</f>
        <v>0</v>
      </c>
      <c r="S27" s="208">
        <f>'[1]September - 2021'!W27</f>
        <v>0</v>
      </c>
      <c r="T27" s="523"/>
      <c r="U27" s="169">
        <f>'[1]September - 2021'!AC27</f>
        <v>0</v>
      </c>
      <c r="V27" s="291">
        <f>'[1]September - 2021'!AD27</f>
        <v>0</v>
      </c>
      <c r="W27" s="92">
        <f>'[1]September - 2021'!AD27</f>
        <v>0</v>
      </c>
      <c r="X27" s="290">
        <f>'[1]September - 2021'!AF27</f>
        <v>0</v>
      </c>
      <c r="Y27" s="291">
        <f>'[1]September - 2021'!AG27</f>
        <v>0</v>
      </c>
      <c r="Z27" s="92">
        <f>'[1]September - 2021'!AG27</f>
        <v>0</v>
      </c>
      <c r="AA27" s="290">
        <f>'[1]September - 2021'!AI27</f>
        <v>0</v>
      </c>
      <c r="AB27" s="291">
        <f>'[1]September - 2021'!AJ27</f>
        <v>0</v>
      </c>
      <c r="AC27" s="92">
        <f>'[1]September - 2021'!AJ27</f>
        <v>0</v>
      </c>
      <c r="AD27" s="290">
        <f>'[1]September - 2021'!AL27</f>
        <v>0</v>
      </c>
      <c r="AE27" s="291">
        <f>'[1]September - 2021'!AM27</f>
        <v>0</v>
      </c>
      <c r="AF27" s="92">
        <f>'[1]September - 2021'!AM27</f>
        <v>0</v>
      </c>
      <c r="AG27" s="290">
        <f>'[1]September - 2021'!AO27</f>
        <v>0</v>
      </c>
      <c r="AH27" s="291">
        <f>'[1]September - 2021'!AP27</f>
        <v>0</v>
      </c>
      <c r="AI27" s="92">
        <f>'[1]September - 2021'!AP27</f>
        <v>0</v>
      </c>
      <c r="AJ27" s="290">
        <f>'[1]September - 2021'!AR27</f>
        <v>0</v>
      </c>
      <c r="AK27" s="291">
        <f>'[1]September - 2021'!AS27</f>
        <v>0</v>
      </c>
      <c r="AL27" s="92">
        <f>'[1]September - 2021'!AS27</f>
        <v>0</v>
      </c>
      <c r="AM27" s="290">
        <f>'[1]September - 2021'!AU27</f>
        <v>0</v>
      </c>
      <c r="AN27" s="291">
        <f>'[1]September - 2021'!AV27</f>
        <v>0</v>
      </c>
      <c r="AO27" s="92">
        <f>'[1]September - 2021'!AV27</f>
        <v>0</v>
      </c>
      <c r="AP27" s="290">
        <f>'[1]September - 2021'!AX27</f>
        <v>0</v>
      </c>
      <c r="AQ27" s="291">
        <f>'[1]September - 2021'!AY27</f>
        <v>0</v>
      </c>
      <c r="AR27" s="92">
        <f>'[1]September - 2021'!AY27</f>
        <v>0</v>
      </c>
      <c r="AS27" s="290">
        <f>'[1]September - 2021'!BA27</f>
        <v>0</v>
      </c>
      <c r="AT27" s="291">
        <f>'[1]September - 2021'!BB27</f>
        <v>0</v>
      </c>
      <c r="AU27" s="92">
        <f>'[1]September - 2021'!BB27</f>
        <v>0</v>
      </c>
      <c r="AV27" s="290">
        <f>'[1]September - 2021'!BD27</f>
        <v>0</v>
      </c>
      <c r="AW27" s="252">
        <f>'[1]September - 2021'!BE27</f>
        <v>0</v>
      </c>
      <c r="AX27" s="253">
        <f>'[1]September - 2021'!BE27</f>
        <v>0</v>
      </c>
      <c r="AY27" s="489"/>
      <c r="AZ27" s="272">
        <f>'[1]September - 2021'!BK27</f>
        <v>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0</v>
      </c>
      <c r="BD27" s="245">
        <f>'[1]September - 2021'!BO27</f>
        <v>0</v>
      </c>
      <c r="BE27" s="93">
        <f>'[1]September - 2021'!BO27</f>
        <v>0</v>
      </c>
      <c r="BF27" s="272">
        <f>'[1]September - 2021'!BQ27</f>
        <v>0</v>
      </c>
      <c r="BG27" s="245">
        <f>'[1]September - 2021'!BR27</f>
        <v>0</v>
      </c>
      <c r="BH27" s="93">
        <f>'[1]September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0</v>
      </c>
      <c r="BT27" s="185">
        <f>'[1]September - 2021'!BU27</f>
        <v>0</v>
      </c>
      <c r="BU27" s="396"/>
      <c r="BV27" s="88">
        <f>'[1]September - 2021'!BW27</f>
        <v>0</v>
      </c>
      <c r="BW27" s="241">
        <f>'[1]September - 2021'!BX27</f>
        <v>0</v>
      </c>
      <c r="BX27" s="88">
        <f>'[1]September - 2021'!BX27</f>
        <v>0</v>
      </c>
      <c r="BY27" s="89">
        <f>'[1]September - 2021'!BZ27</f>
        <v>0</v>
      </c>
      <c r="BZ27" s="191">
        <f>'[1]September - 2021'!CA27</f>
        <v>0</v>
      </c>
      <c r="CA27" s="89">
        <f>'[1]September - 2021'!CB27</f>
        <v>0</v>
      </c>
      <c r="CB27" s="191">
        <f>'[1]September - 2021'!CC27</f>
        <v>0</v>
      </c>
      <c r="CC27" s="89">
        <f>'[1]September - 2021'!CD27</f>
        <v>0</v>
      </c>
      <c r="CD27" s="191">
        <f>'[1]September - 2021'!CE27</f>
        <v>0</v>
      </c>
      <c r="CE27" s="89">
        <f>'[1]September - 2021'!CF27</f>
        <v>0</v>
      </c>
      <c r="CF27" s="191">
        <f>'[1]September - 2021'!CG27</f>
        <v>0</v>
      </c>
      <c r="CG27" s="89">
        <f>'[1]September - 2021'!CH27</f>
        <v>0</v>
      </c>
      <c r="CH27" s="191">
        <f>'[1]September - 2021'!CI27</f>
        <v>0</v>
      </c>
      <c r="CI27" s="89">
        <f>'[1]September - 2021'!CJ27</f>
        <v>0</v>
      </c>
      <c r="CJ27" s="191">
        <f>'[1]September - 2021'!CK27</f>
        <v>0</v>
      </c>
      <c r="CK27" s="89">
        <f>'[1]September - 2021'!CL27</f>
        <v>0</v>
      </c>
      <c r="CL27" s="246">
        <f>'[1]September - 2021'!CM27</f>
        <v>0</v>
      </c>
      <c r="CM27" s="89">
        <f>'[1]September - 2021'!CM27</f>
        <v>0</v>
      </c>
      <c r="CN27" s="89">
        <f>'[1]September - 2021'!CO27</f>
        <v>0</v>
      </c>
      <c r="CO27" s="246">
        <f>'[1]September - 2021'!CP27</f>
        <v>0</v>
      </c>
      <c r="CP27" s="89">
        <f>'[1]September - 2021'!CP27</f>
        <v>0</v>
      </c>
      <c r="CQ27" s="89">
        <f>'[1]September - 2021'!CR27</f>
        <v>0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0</v>
      </c>
      <c r="CU27" s="191">
        <f>'[1]September - 2021'!CV27</f>
        <v>0</v>
      </c>
      <c r="CV27" s="456"/>
      <c r="CW27" s="256">
        <f>'[1]September - 2021'!CX27</f>
        <v>0</v>
      </c>
      <c r="CX27" s="198">
        <f>'[1]September - 2021'!CY27</f>
        <v>0</v>
      </c>
      <c r="CY27" s="257">
        <f>'[1]September - 2021'!CZ27</f>
        <v>0</v>
      </c>
      <c r="CZ27" s="198">
        <f>'[1]September - 2021'!DA27</f>
        <v>0</v>
      </c>
      <c r="DA27" s="257">
        <f>'[1]September - 2021'!DB27</f>
        <v>0</v>
      </c>
      <c r="DB27" s="198">
        <f>'[1]September - 2021'!DC27</f>
        <v>0</v>
      </c>
      <c r="DC27" s="257">
        <f>'[1]September - 2021'!DD27</f>
        <v>0</v>
      </c>
      <c r="DD27" s="198">
        <f>'[1]September - 2021'!DE27</f>
        <v>0</v>
      </c>
      <c r="DE27" s="257">
        <f>'[1]September - 2021'!DF27</f>
        <v>0</v>
      </c>
      <c r="DF27" s="198">
        <f>'[1]September - 2021'!DG27</f>
        <v>0</v>
      </c>
      <c r="DG27" s="257">
        <f>'[1]September - 2021'!DH27</f>
        <v>0</v>
      </c>
      <c r="DH27" s="198">
        <f>'[1]September - 2021'!DI27</f>
        <v>0</v>
      </c>
      <c r="DI27" s="257">
        <f>'[1]September - 2021'!DJ27</f>
        <v>0</v>
      </c>
      <c r="DJ27" s="198">
        <f>'[1]September - 2021'!DK27</f>
        <v>0</v>
      </c>
      <c r="DK27" s="257">
        <f>'[1]September - 2021'!DL27</f>
        <v>0</v>
      </c>
      <c r="DL27" s="198">
        <f>'[1]September - 2021'!DM27</f>
        <v>0</v>
      </c>
      <c r="DM27" s="257">
        <f>'[1]September - 2021'!DN27</f>
        <v>0</v>
      </c>
      <c r="DN27" s="198">
        <f>'[1]September - 2021'!DO27</f>
        <v>0</v>
      </c>
      <c r="DO27" s="257">
        <f>'[1]September - 2021'!DP27</f>
        <v>0</v>
      </c>
      <c r="DP27" s="198">
        <f>'[1]September - 2021'!DQ27</f>
        <v>0</v>
      </c>
      <c r="DQ27" s="257">
        <f>'[1]September - 2021'!DR27</f>
        <v>0</v>
      </c>
      <c r="DR27" s="206">
        <f>'[1]September - 2021'!DS27</f>
        <v>0</v>
      </c>
      <c r="DS27" s="441"/>
      <c r="DT27" s="210">
        <f>'[1]September - 2021'!DU27</f>
        <v>0</v>
      </c>
      <c r="DU27" s="221">
        <f>'[1]September - 2021'!DV27</f>
        <v>0</v>
      </c>
      <c r="DV27" s="91">
        <f>'[1]September - 2021'!DW27</f>
        <v>0</v>
      </c>
      <c r="DW27" s="215">
        <f>'[1]September - 2021'!DX27</f>
        <v>0</v>
      </c>
      <c r="DX27" s="91">
        <f>'[1]September - 2021'!DY27</f>
        <v>0</v>
      </c>
      <c r="DY27" s="215">
        <f>'[1]September - 2021'!DZ27</f>
        <v>0</v>
      </c>
      <c r="DZ27" s="91">
        <f>'[1]September - 2021'!EA27</f>
        <v>0</v>
      </c>
      <c r="EA27" s="215">
        <f>'[1]September - 2021'!EB27</f>
        <v>0</v>
      </c>
      <c r="EB27" s="91">
        <f>'[1]September - 2021'!EC27</f>
        <v>0</v>
      </c>
      <c r="EC27" s="215">
        <f>'[1]September - 2021'!ED27</f>
        <v>0</v>
      </c>
      <c r="ED27" s="91">
        <f>'[1]September - 2021'!EG27</f>
        <v>0</v>
      </c>
      <c r="EE27" s="229">
        <f>'[1]September - 2021'!EH27</f>
        <v>0</v>
      </c>
      <c r="EF27" s="380"/>
      <c r="EG27" s="235">
        <f>'[1]September - 2021'!EJ27</f>
        <v>0</v>
      </c>
      <c r="EH27" s="230">
        <f>'[1]September - 2021'!EK27</f>
        <v>0</v>
      </c>
      <c r="EI27" s="90">
        <f>'[1]September - 2021'!EL27</f>
        <v>0</v>
      </c>
      <c r="EJ27" s="230">
        <f>'[1]September - 2021'!EM27</f>
        <v>0</v>
      </c>
      <c r="EK27" s="90">
        <f>'[1]September - 2021'!EN27</f>
        <v>0</v>
      </c>
      <c r="EL27" s="230">
        <f>'[1]September - 2021'!EO27</f>
        <v>0</v>
      </c>
      <c r="EM27" s="90">
        <f>'[1]September - 2021'!EP27</f>
        <v>0</v>
      </c>
      <c r="EN27" s="230">
        <f>'[1]September - 2021'!EQ27</f>
        <v>0</v>
      </c>
      <c r="EO27" s="90">
        <f>'[1]September - 2021'!ER27</f>
        <v>0</v>
      </c>
      <c r="EP27" s="230">
        <f>'[1]September - 2021'!ES27</f>
        <v>0</v>
      </c>
      <c r="EQ27" s="90">
        <f>'[1]September - 2021'!ET27</f>
        <v>0</v>
      </c>
      <c r="ER27" s="230">
        <f>'[1]September - 2021'!EU27</f>
        <v>0</v>
      </c>
      <c r="ES27" s="428"/>
      <c r="ET27" s="284">
        <f>'[1]September - 2021'!EW27</f>
        <v>0</v>
      </c>
      <c r="EU27" s="278">
        <f>'[1]September - 2021'!EX27</f>
        <v>0</v>
      </c>
      <c r="EV27" s="285">
        <f>'[1]September - 2021'!EY27</f>
        <v>0</v>
      </c>
      <c r="EW27" s="278">
        <f>'[1]September - 2021'!EZ27</f>
        <v>0</v>
      </c>
      <c r="EX27" s="285">
        <f>'[1]September - 2021'!FA27</f>
        <v>0</v>
      </c>
      <c r="EY27" s="278">
        <f>'[1]September - 2021'!FB27</f>
        <v>0</v>
      </c>
      <c r="EZ27" s="285">
        <f>'[1]September - 2021'!FC27</f>
        <v>0</v>
      </c>
      <c r="FA27" s="278">
        <f>'[1]September - 2021'!FD27</f>
        <v>0</v>
      </c>
      <c r="FB27" s="285">
        <f>'[1]September - 2021'!FE27</f>
        <v>0</v>
      </c>
      <c r="FC27" s="279">
        <f>'[1]September - 2021'!FF27</f>
        <v>0</v>
      </c>
    </row>
    <row r="28" spans="1:159" ht="30" customHeight="1" x14ac:dyDescent="0.25">
      <c r="A28" s="207">
        <v>43849</v>
      </c>
      <c r="B28" s="209">
        <f>'[1]September - 2021'!B28</f>
        <v>0</v>
      </c>
      <c r="C28" s="250">
        <f>'[1]September - 2021'!E28</f>
        <v>0</v>
      </c>
      <c r="D28" s="170">
        <f>'[1]September - 2021'!F28</f>
        <v>0</v>
      </c>
      <c r="E28" s="168">
        <f>'[1]September - 2021'!G28</f>
        <v>657</v>
      </c>
      <c r="F28" s="168">
        <f>'[1]September - 2021'!H28</f>
        <v>0</v>
      </c>
      <c r="G28" s="170">
        <f>'[1]September - 2021'!I28</f>
        <v>0</v>
      </c>
      <c r="H28" s="168">
        <f>'[1]September - 2021'!J28</f>
        <v>366</v>
      </c>
      <c r="I28" s="168">
        <f>'[1]September - 2021'!K28</f>
        <v>0</v>
      </c>
      <c r="J28" s="170">
        <f>'[1]September - 2021'!L28</f>
        <v>0</v>
      </c>
      <c r="K28" s="168">
        <f>'[1]September - 2021'!N28</f>
        <v>0</v>
      </c>
      <c r="L28" s="170">
        <f>'[1]September - 2021'!O28</f>
        <v>0</v>
      </c>
      <c r="M28" s="168">
        <f>'[1]September - 2021'!Q28</f>
        <v>0</v>
      </c>
      <c r="N28" s="170">
        <f>'[1]September - 2021'!R28</f>
        <v>0</v>
      </c>
      <c r="O28" s="168">
        <f>'[1]September - 2021'!S28</f>
        <v>0</v>
      </c>
      <c r="P28" s="170">
        <f>'[1]September - 2021'!T28</f>
        <v>0</v>
      </c>
      <c r="Q28" s="168">
        <f>'[1]September - 2021'!U28</f>
        <v>177</v>
      </c>
      <c r="R28" s="168">
        <f>'[1]September - 2021'!V28</f>
        <v>0</v>
      </c>
      <c r="S28" s="208">
        <f>'[1]September - 2021'!W28</f>
        <v>0</v>
      </c>
      <c r="T28" s="523"/>
      <c r="U28" s="169">
        <f>'[1]September - 2021'!AC28</f>
        <v>0</v>
      </c>
      <c r="V28" s="291">
        <f>'[1]September - 2021'!AD28</f>
        <v>0</v>
      </c>
      <c r="W28" s="92">
        <f>'[1]September - 2021'!AD28</f>
        <v>0</v>
      </c>
      <c r="X28" s="290">
        <f>'[1]September - 2021'!AF28</f>
        <v>0</v>
      </c>
      <c r="Y28" s="291">
        <f>'[1]September - 2021'!AG28</f>
        <v>0</v>
      </c>
      <c r="Z28" s="92">
        <f>'[1]September - 2021'!AG28</f>
        <v>0</v>
      </c>
      <c r="AA28" s="290">
        <f>'[1]September - 2021'!AI28</f>
        <v>0</v>
      </c>
      <c r="AB28" s="291">
        <f>'[1]September - 2021'!AJ28</f>
        <v>0</v>
      </c>
      <c r="AC28" s="92">
        <f>'[1]September - 2021'!AJ28</f>
        <v>0</v>
      </c>
      <c r="AD28" s="290">
        <f>'[1]September - 2021'!AL28</f>
        <v>0</v>
      </c>
      <c r="AE28" s="291">
        <f>'[1]September - 2021'!AM28</f>
        <v>0</v>
      </c>
      <c r="AF28" s="92">
        <f>'[1]September - 2021'!AM28</f>
        <v>0</v>
      </c>
      <c r="AG28" s="290">
        <f>'[1]September - 2021'!AO28</f>
        <v>0</v>
      </c>
      <c r="AH28" s="291">
        <f>'[1]September - 2021'!AP28</f>
        <v>0</v>
      </c>
      <c r="AI28" s="92">
        <f>'[1]September - 2021'!AP28</f>
        <v>0</v>
      </c>
      <c r="AJ28" s="290">
        <f>'[1]September - 2021'!AR28</f>
        <v>0</v>
      </c>
      <c r="AK28" s="291">
        <f>'[1]September - 2021'!AS28</f>
        <v>0</v>
      </c>
      <c r="AL28" s="92">
        <f>'[1]September - 2021'!AS28</f>
        <v>0</v>
      </c>
      <c r="AM28" s="290">
        <f>'[1]September - 2021'!AU28</f>
        <v>0</v>
      </c>
      <c r="AN28" s="291">
        <f>'[1]September - 2021'!AV28</f>
        <v>0</v>
      </c>
      <c r="AO28" s="92">
        <f>'[1]September - 2021'!AV28</f>
        <v>0</v>
      </c>
      <c r="AP28" s="298">
        <f>'[1]September - 2021'!AX28</f>
        <v>0</v>
      </c>
      <c r="AQ28" s="291">
        <f>'[1]September - 2021'!AY28</f>
        <v>0</v>
      </c>
      <c r="AR28" s="92">
        <f>'[1]September - 2021'!AY28</f>
        <v>0</v>
      </c>
      <c r="AS28" s="290">
        <f>'[1]September - 2021'!BA28</f>
        <v>0</v>
      </c>
      <c r="AT28" s="291">
        <f>'[1]September - 2021'!BB28</f>
        <v>0</v>
      </c>
      <c r="AU28" s="92">
        <f>'[1]September - 2021'!BB28</f>
        <v>0</v>
      </c>
      <c r="AV28" s="290">
        <f>'[1]September - 2021'!BD28</f>
        <v>0</v>
      </c>
      <c r="AW28" s="252">
        <f>'[1]September - 2021'!BE28</f>
        <v>0</v>
      </c>
      <c r="AX28" s="253">
        <f>'[1]September - 2021'!BE28</f>
        <v>0</v>
      </c>
      <c r="AY28" s="489"/>
      <c r="AZ28" s="272">
        <f>'[1]September - 2021'!BK28</f>
        <v>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0</v>
      </c>
      <c r="BD28" s="245">
        <f>'[1]September - 2021'!BO28</f>
        <v>0</v>
      </c>
      <c r="BE28" s="93">
        <f>'[1]September - 2021'!BO28</f>
        <v>0</v>
      </c>
      <c r="BF28" s="272">
        <f>'[1]September - 2021'!BQ28</f>
        <v>0</v>
      </c>
      <c r="BG28" s="245">
        <f>'[1]September - 2021'!BR28</f>
        <v>0</v>
      </c>
      <c r="BH28" s="93">
        <f>'[1]September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0</v>
      </c>
      <c r="BT28" s="185">
        <f>'[1]September - 2021'!BU28</f>
        <v>0</v>
      </c>
      <c r="BU28" s="396"/>
      <c r="BV28" s="88">
        <f>'[1]September - 2021'!BW28</f>
        <v>0</v>
      </c>
      <c r="BW28" s="241">
        <f>'[1]September - 2021'!BX28</f>
        <v>0</v>
      </c>
      <c r="BX28" s="88">
        <f>'[1]September - 2021'!BX28</f>
        <v>0</v>
      </c>
      <c r="BY28" s="89">
        <f>'[1]September - 2021'!BZ28</f>
        <v>0</v>
      </c>
      <c r="BZ28" s="191">
        <f>'[1]September - 2021'!CA28</f>
        <v>0</v>
      </c>
      <c r="CA28" s="89">
        <f>'[1]September - 2021'!CB28</f>
        <v>0</v>
      </c>
      <c r="CB28" s="191">
        <f>'[1]September - 2021'!CC28</f>
        <v>0</v>
      </c>
      <c r="CC28" s="89">
        <f>'[1]September - 2021'!CD28</f>
        <v>0</v>
      </c>
      <c r="CD28" s="191">
        <f>'[1]September - 2021'!CE28</f>
        <v>0</v>
      </c>
      <c r="CE28" s="89">
        <f>'[1]September - 2021'!CF28</f>
        <v>0</v>
      </c>
      <c r="CF28" s="191">
        <f>'[1]September - 2021'!CG28</f>
        <v>0</v>
      </c>
      <c r="CG28" s="89">
        <f>'[1]September - 2021'!CH28</f>
        <v>0</v>
      </c>
      <c r="CH28" s="191">
        <f>'[1]September - 2021'!CI28</f>
        <v>0</v>
      </c>
      <c r="CI28" s="89">
        <f>'[1]September - 2021'!CJ28</f>
        <v>0</v>
      </c>
      <c r="CJ28" s="191">
        <f>'[1]September - 2021'!CK28</f>
        <v>0</v>
      </c>
      <c r="CK28" s="89">
        <f>'[1]September - 2021'!CL28</f>
        <v>0</v>
      </c>
      <c r="CL28" s="246">
        <f>'[1]September - 2021'!CM28</f>
        <v>0</v>
      </c>
      <c r="CM28" s="89">
        <f>'[1]September - 2021'!CM28</f>
        <v>0</v>
      </c>
      <c r="CN28" s="89">
        <f>'[1]September - 2021'!CO28</f>
        <v>0</v>
      </c>
      <c r="CO28" s="246">
        <f>'[1]September - 2021'!CP28</f>
        <v>0</v>
      </c>
      <c r="CP28" s="89">
        <f>'[1]September - 2021'!CP28</f>
        <v>0</v>
      </c>
      <c r="CQ28" s="89">
        <f>'[1]September - 2021'!CR28</f>
        <v>0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0</v>
      </c>
      <c r="CU28" s="191">
        <f>'[1]September - 2021'!CV28</f>
        <v>0</v>
      </c>
      <c r="CV28" s="456"/>
      <c r="CW28" s="256">
        <f>'[1]September - 2021'!CX28</f>
        <v>0</v>
      </c>
      <c r="CX28" s="198">
        <f>'[1]September - 2021'!CY28</f>
        <v>0</v>
      </c>
      <c r="CY28" s="257">
        <f>'[1]September - 2021'!CZ28</f>
        <v>0</v>
      </c>
      <c r="CZ28" s="198">
        <f>'[1]September - 2021'!DA28</f>
        <v>0</v>
      </c>
      <c r="DA28" s="257">
        <f>'[1]September - 2021'!DB28</f>
        <v>0</v>
      </c>
      <c r="DB28" s="198">
        <f>'[1]September - 2021'!DC28</f>
        <v>0</v>
      </c>
      <c r="DC28" s="257">
        <f>'[1]September - 2021'!DD28</f>
        <v>0</v>
      </c>
      <c r="DD28" s="198">
        <f>'[1]September - 2021'!DE28</f>
        <v>0</v>
      </c>
      <c r="DE28" s="257">
        <f>'[1]September - 2021'!DF28</f>
        <v>0</v>
      </c>
      <c r="DF28" s="198">
        <f>'[1]September - 2021'!DG28</f>
        <v>0</v>
      </c>
      <c r="DG28" s="257">
        <f>'[1]September - 2021'!DH28</f>
        <v>0</v>
      </c>
      <c r="DH28" s="198">
        <f>'[1]September - 2021'!DI28</f>
        <v>0</v>
      </c>
      <c r="DI28" s="257">
        <f>'[1]September - 2021'!DJ28</f>
        <v>0</v>
      </c>
      <c r="DJ28" s="198">
        <f>'[1]September - 2021'!DK28</f>
        <v>0</v>
      </c>
      <c r="DK28" s="257">
        <f>'[1]September - 2021'!DL28</f>
        <v>0</v>
      </c>
      <c r="DL28" s="198">
        <f>'[1]September - 2021'!DM28</f>
        <v>0</v>
      </c>
      <c r="DM28" s="257">
        <f>'[1]September - 2021'!DN28</f>
        <v>0</v>
      </c>
      <c r="DN28" s="198">
        <f>'[1]September - 2021'!DO28</f>
        <v>0</v>
      </c>
      <c r="DO28" s="257">
        <f>'[1]September - 2021'!DP28</f>
        <v>0</v>
      </c>
      <c r="DP28" s="198">
        <f>'[1]September - 2021'!DQ28</f>
        <v>0</v>
      </c>
      <c r="DQ28" s="257">
        <f>'[1]September - 2021'!DR28</f>
        <v>0</v>
      </c>
      <c r="DR28" s="206">
        <f>'[1]September - 2021'!DS28</f>
        <v>0</v>
      </c>
      <c r="DS28" s="441"/>
      <c r="DT28" s="210">
        <f>'[1]September - 2021'!DU28</f>
        <v>0</v>
      </c>
      <c r="DU28" s="221">
        <f>'[1]September - 2021'!DV28</f>
        <v>0</v>
      </c>
      <c r="DV28" s="91">
        <f>'[1]September - 2021'!DW28</f>
        <v>0</v>
      </c>
      <c r="DW28" s="215">
        <f>'[1]September - 2021'!DX28</f>
        <v>0</v>
      </c>
      <c r="DX28" s="91">
        <f>'[1]September - 2021'!DY28</f>
        <v>0</v>
      </c>
      <c r="DY28" s="215">
        <f>'[1]September - 2021'!DZ28</f>
        <v>0</v>
      </c>
      <c r="DZ28" s="91">
        <f>'[1]September - 2021'!EA28</f>
        <v>0</v>
      </c>
      <c r="EA28" s="215">
        <f>'[1]September - 2021'!EB28</f>
        <v>0</v>
      </c>
      <c r="EB28" s="91">
        <f>'[1]September - 2021'!EC28</f>
        <v>0</v>
      </c>
      <c r="EC28" s="215">
        <f>'[1]September - 2021'!ED28</f>
        <v>0</v>
      </c>
      <c r="ED28" s="91">
        <f>'[1]September - 2021'!EG28</f>
        <v>0</v>
      </c>
      <c r="EE28" s="229">
        <f>'[1]September - 2021'!EH28</f>
        <v>0</v>
      </c>
      <c r="EF28" s="380"/>
      <c r="EG28" s="235">
        <f>'[1]September - 2021'!EJ28</f>
        <v>0</v>
      </c>
      <c r="EH28" s="230">
        <f>'[1]September - 2021'!EK28</f>
        <v>0</v>
      </c>
      <c r="EI28" s="90">
        <f>'[1]September - 2021'!EL28</f>
        <v>0</v>
      </c>
      <c r="EJ28" s="230">
        <f>'[1]September - 2021'!EM28</f>
        <v>0</v>
      </c>
      <c r="EK28" s="90">
        <f>'[1]September - 2021'!EN28</f>
        <v>0</v>
      </c>
      <c r="EL28" s="230">
        <f>'[1]September - 2021'!EO28</f>
        <v>0</v>
      </c>
      <c r="EM28" s="90">
        <f>'[1]September - 2021'!EP28</f>
        <v>0</v>
      </c>
      <c r="EN28" s="230">
        <f>'[1]September - 2021'!EQ28</f>
        <v>0</v>
      </c>
      <c r="EO28" s="90">
        <f>'[1]September - 2021'!ER28</f>
        <v>0</v>
      </c>
      <c r="EP28" s="230">
        <f>'[1]September - 2021'!ES28</f>
        <v>0</v>
      </c>
      <c r="EQ28" s="90">
        <f>'[1]September - 2021'!ET28</f>
        <v>0</v>
      </c>
      <c r="ER28" s="230">
        <f>'[1]September - 2021'!EU28</f>
        <v>0</v>
      </c>
      <c r="ES28" s="428"/>
      <c r="ET28" s="284">
        <f>'[1]September - 2021'!EW28</f>
        <v>0</v>
      </c>
      <c r="EU28" s="278">
        <f>'[1]September - 2021'!EX28</f>
        <v>0</v>
      </c>
      <c r="EV28" s="285">
        <f>'[1]September - 2021'!EY28</f>
        <v>0</v>
      </c>
      <c r="EW28" s="278">
        <f>'[1]September - 2021'!EZ28</f>
        <v>0</v>
      </c>
      <c r="EX28" s="285">
        <f>'[1]September - 2021'!FA28</f>
        <v>0</v>
      </c>
      <c r="EY28" s="278">
        <f>'[1]September - 2021'!FB28</f>
        <v>0</v>
      </c>
      <c r="EZ28" s="285">
        <f>'[1]September - 2021'!FC28</f>
        <v>0</v>
      </c>
      <c r="FA28" s="278">
        <f>'[1]September - 2021'!FD28</f>
        <v>0</v>
      </c>
      <c r="FB28" s="285">
        <f>'[1]September - 2021'!FE28</f>
        <v>0</v>
      </c>
      <c r="FC28" s="279">
        <f>'[1]September - 2021'!FF28</f>
        <v>0</v>
      </c>
    </row>
    <row r="29" spans="1:159" ht="30" customHeight="1" x14ac:dyDescent="0.25">
      <c r="A29" s="207">
        <v>43850</v>
      </c>
      <c r="B29" s="209">
        <f>'[1]September - 2021'!B29</f>
        <v>0</v>
      </c>
      <c r="C29" s="250">
        <f>'[1]September - 2021'!E29</f>
        <v>0</v>
      </c>
      <c r="D29" s="170">
        <f>'[1]September - 2021'!F29</f>
        <v>0</v>
      </c>
      <c r="E29" s="168">
        <f>'[1]September - 2021'!G29</f>
        <v>548</v>
      </c>
      <c r="F29" s="168">
        <f>'[1]September - 2021'!H29</f>
        <v>0</v>
      </c>
      <c r="G29" s="170">
        <f>'[1]September - 2021'!I29</f>
        <v>0</v>
      </c>
      <c r="H29" s="168">
        <f>'[1]September - 2021'!J29</f>
        <v>283</v>
      </c>
      <c r="I29" s="168">
        <f>'[1]September - 2021'!K29</f>
        <v>0</v>
      </c>
      <c r="J29" s="170">
        <f>'[1]September - 2021'!L29</f>
        <v>0</v>
      </c>
      <c r="K29" s="168">
        <f>'[1]September - 2021'!N29</f>
        <v>0</v>
      </c>
      <c r="L29" s="170">
        <f>'[1]September - 2021'!O29</f>
        <v>0</v>
      </c>
      <c r="M29" s="168">
        <f>'[1]September - 2021'!Q29</f>
        <v>0</v>
      </c>
      <c r="N29" s="170">
        <f>'[1]September - 2021'!R29</f>
        <v>0</v>
      </c>
      <c r="O29" s="168">
        <f>'[1]September - 2021'!S29</f>
        <v>0</v>
      </c>
      <c r="P29" s="170">
        <f>'[1]September - 2021'!T29</f>
        <v>0</v>
      </c>
      <c r="Q29" s="168">
        <f>'[1]September - 2021'!U29</f>
        <v>182</v>
      </c>
      <c r="R29" s="168">
        <f>'[1]September - 2021'!V29</f>
        <v>0</v>
      </c>
      <c r="S29" s="208">
        <f>'[1]September - 2021'!W29</f>
        <v>0</v>
      </c>
      <c r="T29" s="523"/>
      <c r="U29" s="169">
        <f>'[1]September - 2021'!AC29</f>
        <v>0</v>
      </c>
      <c r="V29" s="291">
        <f>'[1]September - 2021'!AD29</f>
        <v>0</v>
      </c>
      <c r="W29" s="92">
        <f>'[1]September - 2021'!AD29</f>
        <v>0</v>
      </c>
      <c r="X29" s="290">
        <f>'[1]September - 2021'!AF29</f>
        <v>0</v>
      </c>
      <c r="Y29" s="291">
        <f>'[1]September - 2021'!AG29</f>
        <v>0</v>
      </c>
      <c r="Z29" s="92">
        <f>'[1]September - 2021'!AG29</f>
        <v>0</v>
      </c>
      <c r="AA29" s="290">
        <f>'[1]September - 2021'!AI29</f>
        <v>0</v>
      </c>
      <c r="AB29" s="291">
        <f>'[1]September - 2021'!AJ29</f>
        <v>0</v>
      </c>
      <c r="AC29" s="92">
        <f>'[1]September - 2021'!AJ29</f>
        <v>0</v>
      </c>
      <c r="AD29" s="290">
        <f>'[1]September - 2021'!AL29</f>
        <v>0</v>
      </c>
      <c r="AE29" s="291">
        <f>'[1]September - 2021'!AM29</f>
        <v>0</v>
      </c>
      <c r="AF29" s="92">
        <f>'[1]September - 2021'!AM29</f>
        <v>0</v>
      </c>
      <c r="AG29" s="290">
        <f>'[1]September - 2021'!AO29</f>
        <v>0</v>
      </c>
      <c r="AH29" s="291">
        <f>'[1]September - 2021'!AP29</f>
        <v>0</v>
      </c>
      <c r="AI29" s="92">
        <f>'[1]September - 2021'!AP29</f>
        <v>0</v>
      </c>
      <c r="AJ29" s="290">
        <f>'[1]September - 2021'!AR29</f>
        <v>0</v>
      </c>
      <c r="AK29" s="291">
        <f>'[1]September - 2021'!AS29</f>
        <v>0</v>
      </c>
      <c r="AL29" s="92">
        <f>'[1]September - 2021'!AS29</f>
        <v>0</v>
      </c>
      <c r="AM29" s="290">
        <f>'[1]September - 2021'!AU29</f>
        <v>0</v>
      </c>
      <c r="AN29" s="291">
        <f>'[1]September - 2021'!AV29</f>
        <v>0</v>
      </c>
      <c r="AO29" s="92">
        <f>'[1]September - 2021'!AV29</f>
        <v>0</v>
      </c>
      <c r="AP29" s="290">
        <f>'[1]September - 2021'!AX29</f>
        <v>0</v>
      </c>
      <c r="AQ29" s="291">
        <f>'[1]September - 2021'!AY29</f>
        <v>0</v>
      </c>
      <c r="AR29" s="92">
        <f>'[1]September - 2021'!AY29</f>
        <v>0</v>
      </c>
      <c r="AS29" s="290">
        <f>'[1]September - 2021'!BA29</f>
        <v>0</v>
      </c>
      <c r="AT29" s="291">
        <f>'[1]September - 2021'!BB29</f>
        <v>0</v>
      </c>
      <c r="AU29" s="92">
        <f>'[1]September - 2021'!BB29</f>
        <v>0</v>
      </c>
      <c r="AV29" s="290">
        <f>'[1]September - 2021'!BD29</f>
        <v>0</v>
      </c>
      <c r="AW29" s="252">
        <f>'[1]September - 2021'!BE29</f>
        <v>0</v>
      </c>
      <c r="AX29" s="253">
        <f>'[1]September - 2021'!BE29</f>
        <v>0</v>
      </c>
      <c r="AY29" s="489"/>
      <c r="AZ29" s="272">
        <f>'[1]September - 2021'!BK29</f>
        <v>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0</v>
      </c>
      <c r="BD29" s="245">
        <f>'[1]September - 2021'!BO29</f>
        <v>0</v>
      </c>
      <c r="BE29" s="93">
        <f>'[1]September - 2021'!BO29</f>
        <v>0</v>
      </c>
      <c r="BF29" s="272">
        <f>'[1]September - 2021'!BQ29</f>
        <v>0</v>
      </c>
      <c r="BG29" s="245">
        <f>'[1]September - 2021'!BR29</f>
        <v>0</v>
      </c>
      <c r="BH29" s="93">
        <f>'[1]September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0</v>
      </c>
      <c r="BT29" s="185">
        <f>'[1]September - 2021'!BU29</f>
        <v>0</v>
      </c>
      <c r="BU29" s="396"/>
      <c r="BV29" s="88">
        <f>'[1]September - 2021'!BW29</f>
        <v>0</v>
      </c>
      <c r="BW29" s="241">
        <f>'[1]September - 2021'!BX29</f>
        <v>0</v>
      </c>
      <c r="BX29" s="88">
        <f>'[1]September - 2021'!BX29</f>
        <v>0</v>
      </c>
      <c r="BY29" s="89">
        <f>'[1]September - 2021'!BZ29</f>
        <v>0</v>
      </c>
      <c r="BZ29" s="191">
        <f>'[1]September - 2021'!CA29</f>
        <v>0</v>
      </c>
      <c r="CA29" s="89">
        <f>'[1]September - 2021'!CB29</f>
        <v>0</v>
      </c>
      <c r="CB29" s="191">
        <f>'[1]September - 2021'!CC29</f>
        <v>0</v>
      </c>
      <c r="CC29" s="89">
        <f>'[1]September - 2021'!CD29</f>
        <v>0</v>
      </c>
      <c r="CD29" s="191">
        <f>'[1]September - 2021'!CE29</f>
        <v>0</v>
      </c>
      <c r="CE29" s="89">
        <f>'[1]September - 2021'!CF29</f>
        <v>0</v>
      </c>
      <c r="CF29" s="191">
        <f>'[1]September - 2021'!CG29</f>
        <v>0</v>
      </c>
      <c r="CG29" s="89">
        <f>'[1]September - 2021'!CH29</f>
        <v>0</v>
      </c>
      <c r="CH29" s="191">
        <f>'[1]September - 2021'!CI29</f>
        <v>0</v>
      </c>
      <c r="CI29" s="89">
        <f>'[1]September - 2021'!CJ29</f>
        <v>0</v>
      </c>
      <c r="CJ29" s="191">
        <f>'[1]September - 2021'!CK29</f>
        <v>0</v>
      </c>
      <c r="CK29" s="89">
        <f>'[1]September - 2021'!CL29</f>
        <v>0</v>
      </c>
      <c r="CL29" s="246">
        <f>'[1]September - 2021'!CM29</f>
        <v>0</v>
      </c>
      <c r="CM29" s="89">
        <f>'[1]September - 2021'!CM29</f>
        <v>0</v>
      </c>
      <c r="CN29" s="89">
        <f>'[1]September - 2021'!CO29</f>
        <v>0</v>
      </c>
      <c r="CO29" s="246">
        <f>'[1]September - 2021'!CP29</f>
        <v>0</v>
      </c>
      <c r="CP29" s="89">
        <f>'[1]September - 2021'!CP29</f>
        <v>0</v>
      </c>
      <c r="CQ29" s="89">
        <f>'[1]September - 2021'!CR29</f>
        <v>0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0</v>
      </c>
      <c r="CU29" s="191">
        <f>'[1]September - 2021'!CV29</f>
        <v>0</v>
      </c>
      <c r="CV29" s="456"/>
      <c r="CW29" s="256">
        <f>'[1]September - 2021'!CX29</f>
        <v>0</v>
      </c>
      <c r="CX29" s="198">
        <f>'[1]September - 2021'!CY29</f>
        <v>0</v>
      </c>
      <c r="CY29" s="257">
        <f>'[1]September - 2021'!CZ29</f>
        <v>0</v>
      </c>
      <c r="CZ29" s="198">
        <f>'[1]September - 2021'!DA29</f>
        <v>0</v>
      </c>
      <c r="DA29" s="257">
        <f>'[1]September - 2021'!DB29</f>
        <v>0</v>
      </c>
      <c r="DB29" s="198">
        <f>'[1]September - 2021'!DC29</f>
        <v>0</v>
      </c>
      <c r="DC29" s="257">
        <f>'[1]September - 2021'!DD29</f>
        <v>0</v>
      </c>
      <c r="DD29" s="198">
        <f>'[1]September - 2021'!DE29</f>
        <v>0</v>
      </c>
      <c r="DE29" s="257">
        <f>'[1]September - 2021'!DF29</f>
        <v>0</v>
      </c>
      <c r="DF29" s="198">
        <f>'[1]September - 2021'!DG29</f>
        <v>0</v>
      </c>
      <c r="DG29" s="257">
        <f>'[1]September - 2021'!DH29</f>
        <v>0</v>
      </c>
      <c r="DH29" s="198">
        <f>'[1]September - 2021'!DI29</f>
        <v>0</v>
      </c>
      <c r="DI29" s="257">
        <f>'[1]September - 2021'!DJ29</f>
        <v>0</v>
      </c>
      <c r="DJ29" s="198">
        <f>'[1]September - 2021'!DK29</f>
        <v>0</v>
      </c>
      <c r="DK29" s="257">
        <f>'[1]September - 2021'!DL29</f>
        <v>0</v>
      </c>
      <c r="DL29" s="198">
        <f>'[1]September - 2021'!DM29</f>
        <v>0</v>
      </c>
      <c r="DM29" s="257">
        <f>'[1]September - 2021'!DN29</f>
        <v>0</v>
      </c>
      <c r="DN29" s="198">
        <f>'[1]September - 2021'!DO29</f>
        <v>0</v>
      </c>
      <c r="DO29" s="257">
        <f>'[1]September - 2021'!DP29</f>
        <v>0</v>
      </c>
      <c r="DP29" s="198">
        <f>'[1]September - 2021'!DQ29</f>
        <v>0</v>
      </c>
      <c r="DQ29" s="257">
        <f>'[1]September - 2021'!DR29</f>
        <v>0</v>
      </c>
      <c r="DR29" s="206">
        <f>'[1]September - 2021'!DS29</f>
        <v>0</v>
      </c>
      <c r="DS29" s="441"/>
      <c r="DT29" s="210">
        <f>'[1]September - 2021'!DU29</f>
        <v>0</v>
      </c>
      <c r="DU29" s="221">
        <f>'[1]September - 2021'!DV29</f>
        <v>0</v>
      </c>
      <c r="DV29" s="91">
        <f>'[1]September - 2021'!DW29</f>
        <v>0</v>
      </c>
      <c r="DW29" s="215">
        <f>'[1]September - 2021'!DX29</f>
        <v>0</v>
      </c>
      <c r="DX29" s="91">
        <f>'[1]September - 2021'!DY29</f>
        <v>0</v>
      </c>
      <c r="DY29" s="215">
        <f>'[1]September - 2021'!DZ29</f>
        <v>0</v>
      </c>
      <c r="DZ29" s="91">
        <f>'[1]September - 2021'!EA29</f>
        <v>0</v>
      </c>
      <c r="EA29" s="215">
        <f>'[1]September - 2021'!EB29</f>
        <v>0</v>
      </c>
      <c r="EB29" s="91">
        <f>'[1]September - 2021'!EC29</f>
        <v>0</v>
      </c>
      <c r="EC29" s="215">
        <f>'[1]September - 2021'!ED29</f>
        <v>0</v>
      </c>
      <c r="ED29" s="91">
        <f>'[1]September - 2021'!EG29</f>
        <v>0</v>
      </c>
      <c r="EE29" s="229">
        <f>'[1]September - 2021'!EH29</f>
        <v>0</v>
      </c>
      <c r="EF29" s="380"/>
      <c r="EG29" s="235">
        <f>'[1]September - 2021'!EJ29</f>
        <v>0</v>
      </c>
      <c r="EH29" s="230">
        <f>'[1]September - 2021'!EK29</f>
        <v>0</v>
      </c>
      <c r="EI29" s="90">
        <f>'[1]September - 2021'!EL29</f>
        <v>0</v>
      </c>
      <c r="EJ29" s="230">
        <f>'[1]September - 2021'!EM29</f>
        <v>0</v>
      </c>
      <c r="EK29" s="90">
        <f>'[1]September - 2021'!EN29</f>
        <v>0</v>
      </c>
      <c r="EL29" s="230">
        <f>'[1]September - 2021'!EO29</f>
        <v>0</v>
      </c>
      <c r="EM29" s="90">
        <f>'[1]September - 2021'!EP29</f>
        <v>0</v>
      </c>
      <c r="EN29" s="230">
        <f>'[1]September - 2021'!EQ29</f>
        <v>0</v>
      </c>
      <c r="EO29" s="90">
        <f>'[1]September - 2021'!ER29</f>
        <v>0</v>
      </c>
      <c r="EP29" s="230">
        <f>'[1]September - 2021'!ES29</f>
        <v>0</v>
      </c>
      <c r="EQ29" s="90">
        <f>'[1]September - 2021'!ET29</f>
        <v>0</v>
      </c>
      <c r="ER29" s="230">
        <f>'[1]September - 2021'!EU29</f>
        <v>0</v>
      </c>
      <c r="ES29" s="428"/>
      <c r="ET29" s="284">
        <f>'[1]September - 2021'!EW29</f>
        <v>0</v>
      </c>
      <c r="EU29" s="278">
        <f>'[1]September - 2021'!EX29</f>
        <v>0</v>
      </c>
      <c r="EV29" s="285">
        <f>'[1]September - 2021'!EY29</f>
        <v>0</v>
      </c>
      <c r="EW29" s="278">
        <f>'[1]September - 2021'!EZ29</f>
        <v>0</v>
      </c>
      <c r="EX29" s="285">
        <f>'[1]September - 2021'!FA29</f>
        <v>0</v>
      </c>
      <c r="EY29" s="278">
        <f>'[1]September - 2021'!FB29</f>
        <v>0</v>
      </c>
      <c r="EZ29" s="285">
        <f>'[1]September - 2021'!FC29</f>
        <v>0</v>
      </c>
      <c r="FA29" s="278">
        <f>'[1]September - 2021'!FD29</f>
        <v>0</v>
      </c>
      <c r="FB29" s="285">
        <f>'[1]September - 2021'!FE29</f>
        <v>0</v>
      </c>
      <c r="FC29" s="279">
        <f>'[1]September - 2021'!FF29</f>
        <v>0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0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0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0</v>
      </c>
      <c r="K30" s="168">
        <f>'[1]September - 2021'!N30</f>
        <v>0</v>
      </c>
      <c r="L30" s="170">
        <f>'[1]September - 2021'!O30</f>
        <v>0</v>
      </c>
      <c r="M30" s="168">
        <f>'[1]September - 2021'!Q30</f>
        <v>0</v>
      </c>
      <c r="N30" s="170">
        <f>'[1]September - 2021'!R30</f>
        <v>0</v>
      </c>
      <c r="O30" s="168">
        <f>'[1]September - 2021'!S30</f>
        <v>0</v>
      </c>
      <c r="P30" s="170">
        <f>'[1]September - 2021'!T30</f>
        <v>0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0</v>
      </c>
      <c r="T30" s="523"/>
      <c r="U30" s="169">
        <f>'[1]September - 2021'!AC30</f>
        <v>0</v>
      </c>
      <c r="V30" s="291">
        <f>'[1]September - 2021'!AD30</f>
        <v>0</v>
      </c>
      <c r="W30" s="92">
        <f>'[1]September - 2021'!AD30</f>
        <v>0</v>
      </c>
      <c r="X30" s="290">
        <f>'[1]September - 2021'!AF30</f>
        <v>0</v>
      </c>
      <c r="Y30" s="291">
        <f>'[1]September - 2021'!AG30</f>
        <v>0</v>
      </c>
      <c r="Z30" s="92">
        <f>'[1]September - 2021'!AG30</f>
        <v>0</v>
      </c>
      <c r="AA30" s="290">
        <f>'[1]September - 2021'!AI30</f>
        <v>0</v>
      </c>
      <c r="AB30" s="291">
        <f>'[1]September - 2021'!AJ30</f>
        <v>0</v>
      </c>
      <c r="AC30" s="92">
        <f>'[1]September - 2021'!AJ30</f>
        <v>0</v>
      </c>
      <c r="AD30" s="290">
        <f>'[1]September - 2021'!AL30</f>
        <v>0</v>
      </c>
      <c r="AE30" s="291">
        <f>'[1]September - 2021'!AM30</f>
        <v>0</v>
      </c>
      <c r="AF30" s="92">
        <f>'[1]September - 2021'!AM30</f>
        <v>0</v>
      </c>
      <c r="AG30" s="290">
        <f>'[1]September - 2021'!AO30</f>
        <v>0</v>
      </c>
      <c r="AH30" s="291">
        <f>'[1]September - 2021'!AP30</f>
        <v>0</v>
      </c>
      <c r="AI30" s="92">
        <f>'[1]September - 2021'!AP30</f>
        <v>0</v>
      </c>
      <c r="AJ30" s="290">
        <f>'[1]September - 2021'!AR30</f>
        <v>0</v>
      </c>
      <c r="AK30" s="291">
        <f>'[1]September - 2021'!AS30</f>
        <v>0</v>
      </c>
      <c r="AL30" s="92">
        <f>'[1]September - 2021'!AS30</f>
        <v>0</v>
      </c>
      <c r="AM30" s="290">
        <f>'[1]September - 2021'!AU30</f>
        <v>0</v>
      </c>
      <c r="AN30" s="291">
        <f>'[1]September - 2021'!AV30</f>
        <v>0</v>
      </c>
      <c r="AO30" s="92">
        <f>'[1]September - 2021'!AV30</f>
        <v>0</v>
      </c>
      <c r="AP30" s="290">
        <f>'[1]September - 2021'!AX30</f>
        <v>0</v>
      </c>
      <c r="AQ30" s="291">
        <f>'[1]September - 2021'!AY30</f>
        <v>0</v>
      </c>
      <c r="AR30" s="92">
        <f>'[1]September - 2021'!AY30</f>
        <v>0</v>
      </c>
      <c r="AS30" s="290">
        <f>'[1]September - 2021'!BA30</f>
        <v>0</v>
      </c>
      <c r="AT30" s="291">
        <f>'[1]September - 2021'!BB30</f>
        <v>0</v>
      </c>
      <c r="AU30" s="92">
        <f>'[1]September - 2021'!BB30</f>
        <v>0</v>
      </c>
      <c r="AV30" s="290">
        <f>'[1]September - 2021'!BD30</f>
        <v>0</v>
      </c>
      <c r="AW30" s="252">
        <f>'[1]September - 2021'!BE30</f>
        <v>0</v>
      </c>
      <c r="AX30" s="253">
        <f>'[1]September - 2021'!BE30</f>
        <v>0</v>
      </c>
      <c r="AY30" s="489"/>
      <c r="AZ30" s="272">
        <f>'[1]September - 2021'!BK30</f>
        <v>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0</v>
      </c>
      <c r="BD30" s="245">
        <f>'[1]September - 2021'!BO30</f>
        <v>0</v>
      </c>
      <c r="BE30" s="93">
        <f>'[1]September - 2021'!BO30</f>
        <v>0</v>
      </c>
      <c r="BF30" s="272">
        <f>'[1]September - 2021'!BQ30</f>
        <v>0</v>
      </c>
      <c r="BG30" s="245">
        <f>'[1]September - 2021'!BR30</f>
        <v>0</v>
      </c>
      <c r="BH30" s="93">
        <f>'[1]September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0</v>
      </c>
      <c r="BU30" s="396"/>
      <c r="BV30" s="88">
        <f>'[1]September - 2021'!BW30</f>
        <v>0</v>
      </c>
      <c r="BW30" s="241">
        <f>'[1]September - 2021'!BX30</f>
        <v>0</v>
      </c>
      <c r="BX30" s="88">
        <f>'[1]September - 2021'!BX30</f>
        <v>0</v>
      </c>
      <c r="BY30" s="89">
        <f>'[1]September - 2021'!BZ30</f>
        <v>0</v>
      </c>
      <c r="BZ30" s="191">
        <f>'[1]September - 2021'!CA30</f>
        <v>0</v>
      </c>
      <c r="CA30" s="89">
        <f>'[1]September - 2021'!CB30</f>
        <v>0</v>
      </c>
      <c r="CB30" s="191">
        <f>'[1]September - 2021'!CC30</f>
        <v>0</v>
      </c>
      <c r="CC30" s="89">
        <f>'[1]September - 2021'!CD30</f>
        <v>0</v>
      </c>
      <c r="CD30" s="191">
        <f>'[1]September - 2021'!CE30</f>
        <v>0</v>
      </c>
      <c r="CE30" s="89">
        <f>'[1]September - 2021'!CF30</f>
        <v>0</v>
      </c>
      <c r="CF30" s="191">
        <f>'[1]September - 2021'!CG30</f>
        <v>0</v>
      </c>
      <c r="CG30" s="89">
        <f>'[1]September - 2021'!CH30</f>
        <v>0</v>
      </c>
      <c r="CH30" s="191">
        <f>'[1]September - 2021'!CI30</f>
        <v>0</v>
      </c>
      <c r="CI30" s="89">
        <f>'[1]September - 2021'!CJ30</f>
        <v>0</v>
      </c>
      <c r="CJ30" s="191">
        <f>'[1]September - 2021'!CK30</f>
        <v>0</v>
      </c>
      <c r="CK30" s="89">
        <f>'[1]September - 2021'!CL30</f>
        <v>0</v>
      </c>
      <c r="CL30" s="246">
        <f>'[1]September - 2021'!CM30</f>
        <v>0</v>
      </c>
      <c r="CM30" s="89">
        <f>'[1]September - 2021'!CM30</f>
        <v>0</v>
      </c>
      <c r="CN30" s="89">
        <f>'[1]September - 2021'!CO30</f>
        <v>0</v>
      </c>
      <c r="CO30" s="246">
        <f>'[1]September - 2021'!CP30</f>
        <v>0</v>
      </c>
      <c r="CP30" s="89">
        <f>'[1]September - 2021'!CP30</f>
        <v>0</v>
      </c>
      <c r="CQ30" s="89">
        <f>'[1]September - 2021'!CR30</f>
        <v>0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0</v>
      </c>
      <c r="CU30" s="191">
        <f>'[1]September - 2021'!CV30</f>
        <v>0</v>
      </c>
      <c r="CV30" s="456"/>
      <c r="CW30" s="256">
        <f>'[1]September - 2021'!CX30</f>
        <v>0</v>
      </c>
      <c r="CX30" s="198">
        <f>'[1]September - 2021'!CY30</f>
        <v>0</v>
      </c>
      <c r="CY30" s="257">
        <f>'[1]September - 2021'!CZ30</f>
        <v>0</v>
      </c>
      <c r="CZ30" s="198">
        <f>'[1]September - 2021'!DA30</f>
        <v>0</v>
      </c>
      <c r="DA30" s="257">
        <f>'[1]September - 2021'!DB30</f>
        <v>0</v>
      </c>
      <c r="DB30" s="198">
        <f>'[1]September - 2021'!DC30</f>
        <v>0</v>
      </c>
      <c r="DC30" s="257">
        <f>'[1]September - 2021'!DD30</f>
        <v>0</v>
      </c>
      <c r="DD30" s="198">
        <f>'[1]September - 2021'!DE30</f>
        <v>0</v>
      </c>
      <c r="DE30" s="257">
        <f>'[1]September - 2021'!DF30</f>
        <v>0</v>
      </c>
      <c r="DF30" s="198">
        <f>'[1]September - 2021'!DG30</f>
        <v>0</v>
      </c>
      <c r="DG30" s="257">
        <f>'[1]September - 2021'!DH30</f>
        <v>0</v>
      </c>
      <c r="DH30" s="198">
        <f>'[1]September - 2021'!DI30</f>
        <v>0</v>
      </c>
      <c r="DI30" s="257">
        <f>'[1]September - 2021'!DJ30</f>
        <v>0</v>
      </c>
      <c r="DJ30" s="198">
        <f>'[1]September - 2021'!DK30</f>
        <v>0</v>
      </c>
      <c r="DK30" s="257">
        <f>'[1]September - 2021'!DL30</f>
        <v>0</v>
      </c>
      <c r="DL30" s="198">
        <f>'[1]September - 2021'!DM30</f>
        <v>0</v>
      </c>
      <c r="DM30" s="257">
        <f>'[1]September - 2021'!DN30</f>
        <v>0</v>
      </c>
      <c r="DN30" s="198">
        <f>'[1]September - 2021'!DO30</f>
        <v>0</v>
      </c>
      <c r="DO30" s="257">
        <f>'[1]September - 2021'!DP30</f>
        <v>0</v>
      </c>
      <c r="DP30" s="198">
        <f>'[1]September - 2021'!DQ30</f>
        <v>0</v>
      </c>
      <c r="DQ30" s="257">
        <f>'[1]September - 2021'!DR30</f>
        <v>0</v>
      </c>
      <c r="DR30" s="206">
        <f>'[1]September - 2021'!DS30</f>
        <v>0</v>
      </c>
      <c r="DS30" s="441"/>
      <c r="DT30" s="210">
        <f>'[1]September - 2021'!DU30</f>
        <v>0</v>
      </c>
      <c r="DU30" s="221">
        <f>'[1]September - 2021'!DV30</f>
        <v>0</v>
      </c>
      <c r="DV30" s="91">
        <f>'[1]September - 2021'!DW30</f>
        <v>0</v>
      </c>
      <c r="DW30" s="215">
        <f>'[1]September - 2021'!DX30</f>
        <v>0</v>
      </c>
      <c r="DX30" s="91">
        <f>'[1]September - 2021'!DY30</f>
        <v>0</v>
      </c>
      <c r="DY30" s="215">
        <f>'[1]September - 2021'!DZ30</f>
        <v>0</v>
      </c>
      <c r="DZ30" s="91">
        <f>'[1]September - 2021'!EA30</f>
        <v>0</v>
      </c>
      <c r="EA30" s="215">
        <f>'[1]September - 2021'!EB30</f>
        <v>0</v>
      </c>
      <c r="EB30" s="91">
        <f>'[1]September - 2021'!EC30</f>
        <v>0</v>
      </c>
      <c r="EC30" s="215">
        <f>'[1]September - 2021'!ED30</f>
        <v>0</v>
      </c>
      <c r="ED30" s="91">
        <f>'[1]September - 2021'!EG30</f>
        <v>0</v>
      </c>
      <c r="EE30" s="229">
        <f>'[1]September - 2021'!EH30</f>
        <v>0</v>
      </c>
      <c r="EF30" s="380"/>
      <c r="EG30" s="235">
        <f>'[1]September - 2021'!EJ30</f>
        <v>0</v>
      </c>
      <c r="EH30" s="230">
        <f>'[1]September - 2021'!EK30</f>
        <v>0</v>
      </c>
      <c r="EI30" s="90">
        <f>'[1]September - 2021'!EL30</f>
        <v>0</v>
      </c>
      <c r="EJ30" s="230">
        <f>'[1]September - 2021'!EM30</f>
        <v>0</v>
      </c>
      <c r="EK30" s="90">
        <f>'[1]September - 2021'!EN30</f>
        <v>0</v>
      </c>
      <c r="EL30" s="230">
        <f>'[1]September - 2021'!EO30</f>
        <v>0</v>
      </c>
      <c r="EM30" s="90">
        <f>'[1]September - 2021'!EP30</f>
        <v>0</v>
      </c>
      <c r="EN30" s="230">
        <f>'[1]September - 2021'!EQ30</f>
        <v>0</v>
      </c>
      <c r="EO30" s="90">
        <f>'[1]September - 2021'!ER30</f>
        <v>0</v>
      </c>
      <c r="EP30" s="230">
        <f>'[1]September - 2021'!ES30</f>
        <v>0</v>
      </c>
      <c r="EQ30" s="90">
        <f>'[1]September - 2021'!ET30</f>
        <v>0</v>
      </c>
      <c r="ER30" s="230">
        <f>'[1]September - 2021'!EU30</f>
        <v>0</v>
      </c>
      <c r="ES30" s="428"/>
      <c r="ET30" s="284">
        <f>'[1]September - 2021'!EW30</f>
        <v>0</v>
      </c>
      <c r="EU30" s="278">
        <f>'[1]September - 2021'!EX30</f>
        <v>0</v>
      </c>
      <c r="EV30" s="285">
        <f>'[1]September - 2021'!EY30</f>
        <v>0</v>
      </c>
      <c r="EW30" s="278">
        <f>'[1]September - 2021'!EZ30</f>
        <v>0</v>
      </c>
      <c r="EX30" s="285">
        <f>'[1]September - 2021'!FA30</f>
        <v>0</v>
      </c>
      <c r="EY30" s="278">
        <f>'[1]September - 2021'!FB30</f>
        <v>0</v>
      </c>
      <c r="EZ30" s="285">
        <f>'[1]September - 2021'!FC30</f>
        <v>0</v>
      </c>
      <c r="FA30" s="278">
        <f>'[1]September - 2021'!FD30</f>
        <v>0</v>
      </c>
      <c r="FB30" s="285">
        <f>'[1]September - 2021'!FE30</f>
        <v>0</v>
      </c>
      <c r="FC30" s="279">
        <f>'[1]September - 2021'!FF30</f>
        <v>0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523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89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396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456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441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380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42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523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89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396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456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441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380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42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523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89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396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456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441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380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42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523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89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396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456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441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380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42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523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89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396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456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441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380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42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523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89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396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456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441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380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42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523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89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396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456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441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380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42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523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89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396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456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441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380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42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523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89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397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456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441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380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42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456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441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380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430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544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6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7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8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O41" s="545"/>
      <c r="CP41" s="545"/>
      <c r="CQ41" s="545"/>
      <c r="CR41" s="545"/>
      <c r="CS41" s="545"/>
      <c r="CT41" s="545"/>
      <c r="CU41" s="545"/>
      <c r="CV41" s="456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8"/>
      <c r="DJ41" s="458"/>
      <c r="DK41" s="458"/>
      <c r="DL41" s="458"/>
      <c r="DM41" s="458"/>
      <c r="DN41" s="458"/>
      <c r="DO41" s="458"/>
      <c r="DP41" s="458"/>
      <c r="DQ41" s="458"/>
      <c r="DR41" s="459"/>
      <c r="DS41" s="442"/>
      <c r="DT41" s="443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5"/>
      <c r="EF41" s="381"/>
      <c r="EG41" s="434"/>
      <c r="EH41" s="434"/>
      <c r="EI41" s="434"/>
      <c r="EJ41" s="434"/>
      <c r="EK41" s="434"/>
      <c r="EL41" s="434"/>
      <c r="EM41" s="434"/>
      <c r="EN41" s="434"/>
      <c r="EO41" s="434"/>
      <c r="EP41" s="434"/>
      <c r="EQ41" s="434"/>
      <c r="ER41" s="434"/>
      <c r="ES41" s="430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28"/>
    </row>
    <row r="42" spans="1:160" ht="28.5" customHeight="1" thickBot="1" x14ac:dyDescent="0.35">
      <c r="A42" s="524" t="s">
        <v>132</v>
      </c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6"/>
      <c r="T42" s="527"/>
      <c r="U42" s="530" t="s">
        <v>106</v>
      </c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1"/>
      <c r="AZ42" s="532" t="s">
        <v>133</v>
      </c>
      <c r="BA42" s="533"/>
      <c r="BB42" s="533"/>
      <c r="BC42" s="533"/>
      <c r="BD42" s="533"/>
      <c r="BE42" s="533"/>
      <c r="BF42" s="533"/>
      <c r="BG42" s="533"/>
      <c r="BH42" s="534"/>
      <c r="BI42" s="535"/>
      <c r="BJ42" s="536"/>
      <c r="BK42" s="536"/>
      <c r="BL42" s="536"/>
      <c r="BM42" s="536"/>
      <c r="BN42" s="536"/>
      <c r="BO42" s="536"/>
      <c r="BP42" s="536"/>
      <c r="BQ42" s="536"/>
      <c r="BR42" s="537"/>
      <c r="BS42" s="538" t="s">
        <v>134</v>
      </c>
      <c r="BT42" s="539"/>
      <c r="BU42" s="30"/>
      <c r="BV42" s="374" t="s">
        <v>107</v>
      </c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6"/>
      <c r="CV42" s="456"/>
      <c r="CW42" s="540"/>
      <c r="CX42" s="541"/>
      <c r="CY42" s="541"/>
      <c r="CZ42" s="541"/>
      <c r="DA42" s="541"/>
      <c r="DB42" s="541"/>
      <c r="DC42" s="541"/>
      <c r="DD42" s="541"/>
      <c r="DE42" s="541"/>
      <c r="DF42" s="541"/>
      <c r="DG42" s="541"/>
      <c r="DH42" s="541"/>
      <c r="DI42" s="541"/>
      <c r="DJ42" s="541"/>
      <c r="DK42" s="541"/>
      <c r="DL42" s="541"/>
      <c r="DM42" s="541"/>
      <c r="DN42" s="541"/>
      <c r="DO42" s="541"/>
      <c r="DP42" s="541"/>
      <c r="DQ42" s="541"/>
      <c r="DR42" s="542"/>
      <c r="DS42" s="44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3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3" t="s">
        <v>31</v>
      </c>
      <c r="B43" s="543"/>
      <c r="C43" s="562" t="s">
        <v>32</v>
      </c>
      <c r="D43" s="562"/>
      <c r="E43" s="563"/>
      <c r="F43" s="561" t="s">
        <v>33</v>
      </c>
      <c r="G43" s="562"/>
      <c r="H43" s="563"/>
      <c r="I43" s="564" t="s">
        <v>34</v>
      </c>
      <c r="J43" s="564"/>
      <c r="K43" s="564" t="s">
        <v>35</v>
      </c>
      <c r="L43" s="564"/>
      <c r="M43" s="564"/>
      <c r="N43" s="564"/>
      <c r="O43" s="561" t="s">
        <v>135</v>
      </c>
      <c r="P43" s="562"/>
      <c r="Q43" s="562"/>
      <c r="R43" s="562"/>
      <c r="S43" s="562"/>
      <c r="T43" s="528"/>
      <c r="U43" s="561" t="s">
        <v>36</v>
      </c>
      <c r="V43" s="562"/>
      <c r="W43" s="563"/>
      <c r="X43" s="561" t="s">
        <v>37</v>
      </c>
      <c r="Y43" s="562"/>
      <c r="Z43" s="563"/>
      <c r="AA43" s="561" t="s">
        <v>38</v>
      </c>
      <c r="AB43" s="562"/>
      <c r="AC43" s="563"/>
      <c r="AD43" s="561" t="s">
        <v>39</v>
      </c>
      <c r="AE43" s="562"/>
      <c r="AF43" s="563"/>
      <c r="AG43" s="561" t="s">
        <v>40</v>
      </c>
      <c r="AH43" s="562"/>
      <c r="AI43" s="563"/>
      <c r="AJ43" s="561" t="s">
        <v>41</v>
      </c>
      <c r="AK43" s="562"/>
      <c r="AL43" s="563"/>
      <c r="AM43" s="561" t="s">
        <v>42</v>
      </c>
      <c r="AN43" s="562"/>
      <c r="AO43" s="563"/>
      <c r="AP43" s="561" t="s">
        <v>43</v>
      </c>
      <c r="AQ43" s="562"/>
      <c r="AR43" s="563"/>
      <c r="AS43" s="561" t="s">
        <v>44</v>
      </c>
      <c r="AT43" s="562"/>
      <c r="AU43" s="563"/>
      <c r="AV43" s="561" t="s">
        <v>45</v>
      </c>
      <c r="AW43" s="562"/>
      <c r="AX43" s="562"/>
      <c r="AY43" s="587"/>
      <c r="AZ43" s="377" t="s">
        <v>136</v>
      </c>
      <c r="BA43" s="378"/>
      <c r="BB43" s="378"/>
      <c r="BC43" s="378" t="s">
        <v>137</v>
      </c>
      <c r="BD43" s="378"/>
      <c r="BE43" s="378"/>
      <c r="BF43" s="378" t="s">
        <v>138</v>
      </c>
      <c r="BG43" s="378"/>
      <c r="BH43" s="378"/>
      <c r="BI43" s="566"/>
      <c r="BJ43" s="567"/>
      <c r="BK43" s="566"/>
      <c r="BL43" s="567"/>
      <c r="BM43" s="566"/>
      <c r="BN43" s="567"/>
      <c r="BO43" s="566"/>
      <c r="BP43" s="567"/>
      <c r="BQ43" s="566"/>
      <c r="BR43" s="567"/>
      <c r="BS43" s="566" t="s">
        <v>139</v>
      </c>
      <c r="BT43" s="567"/>
      <c r="BU43" s="568"/>
      <c r="BV43" s="569" t="s">
        <v>13</v>
      </c>
      <c r="BW43" s="570"/>
      <c r="BX43" s="95"/>
      <c r="BY43" s="571" t="s">
        <v>122</v>
      </c>
      <c r="BZ43" s="571"/>
      <c r="CA43" s="460" t="s">
        <v>123</v>
      </c>
      <c r="CB43" s="461"/>
      <c r="CC43" s="460" t="s">
        <v>124</v>
      </c>
      <c r="CD43" s="461"/>
      <c r="CE43" s="460" t="s">
        <v>125</v>
      </c>
      <c r="CF43" s="461"/>
      <c r="CG43" s="460" t="s">
        <v>126</v>
      </c>
      <c r="CH43" s="461"/>
      <c r="CI43" s="460" t="s">
        <v>127</v>
      </c>
      <c r="CJ43" s="461"/>
      <c r="CK43" s="462" t="s">
        <v>14</v>
      </c>
      <c r="CL43" s="463"/>
      <c r="CM43" s="464"/>
      <c r="CN43" s="574" t="s">
        <v>15</v>
      </c>
      <c r="CO43" s="575"/>
      <c r="CP43" s="576"/>
      <c r="CQ43" s="462" t="s">
        <v>140</v>
      </c>
      <c r="CR43" s="463"/>
      <c r="CS43" s="464"/>
      <c r="CT43" s="582" t="s">
        <v>141</v>
      </c>
      <c r="CU43" s="583"/>
      <c r="CV43" s="45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3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9" t="s">
        <v>142</v>
      </c>
      <c r="B44" s="549"/>
      <c r="C44" s="550">
        <f>SUM(E9:E24)</f>
        <v>8760</v>
      </c>
      <c r="D44" s="551"/>
      <c r="E44" s="552"/>
      <c r="F44" s="553">
        <f>SUM(H9:H24)</f>
        <v>4210</v>
      </c>
      <c r="G44" s="554"/>
      <c r="H44" s="555"/>
      <c r="I44" s="553"/>
      <c r="J44" s="555"/>
      <c r="K44" s="556"/>
      <c r="L44" s="557"/>
      <c r="M44" s="558"/>
      <c r="N44" s="558"/>
      <c r="O44" s="553">
        <f>SUM(Q9:Q24)</f>
        <v>2649</v>
      </c>
      <c r="P44" s="554"/>
      <c r="Q44" s="555"/>
      <c r="R44" s="559"/>
      <c r="S44" s="560"/>
      <c r="T44" s="528"/>
      <c r="U44" s="365">
        <f>SUM(W9:W24)</f>
        <v>-6885841.2000000002</v>
      </c>
      <c r="V44" s="366"/>
      <c r="W44" s="367"/>
      <c r="X44" s="365">
        <f>SUM(Z9:Z24)</f>
        <v>-13279902.719999999</v>
      </c>
      <c r="Y44" s="366"/>
      <c r="Z44" s="367"/>
      <c r="AA44" s="365">
        <f>SUM(AC9:AC24)</f>
        <v>-13037423.280000001</v>
      </c>
      <c r="AB44" s="366"/>
      <c r="AC44" s="367"/>
      <c r="AD44" s="365">
        <f>SUM(AF9:AF24)</f>
        <v>-16072435.68</v>
      </c>
      <c r="AE44" s="366"/>
      <c r="AF44" s="367"/>
      <c r="AG44" s="365">
        <f>SUM(AI9:AI24)</f>
        <v>-16436568.960000001</v>
      </c>
      <c r="AH44" s="366"/>
      <c r="AI44" s="367"/>
      <c r="AJ44" s="365">
        <f>SUM(AL9:AL24)</f>
        <v>-14899355.52</v>
      </c>
      <c r="AK44" s="366"/>
      <c r="AL44" s="367"/>
      <c r="AM44" s="365">
        <f>SUM(AO9:AO24)</f>
        <v>-12710901.84</v>
      </c>
      <c r="AN44" s="366"/>
      <c r="AO44" s="367"/>
      <c r="AP44" s="365">
        <f>SUM(AR9:AR24)</f>
        <v>-12247866.959999999</v>
      </c>
      <c r="AQ44" s="366"/>
      <c r="AR44" s="367"/>
      <c r="AS44" s="365">
        <f>SUM(AU9:AU24)</f>
        <v>-9772208.8800000008</v>
      </c>
      <c r="AT44" s="366"/>
      <c r="AU44" s="367"/>
      <c r="AV44" s="365">
        <f>SUM(AX9:AX24)</f>
        <v>-15050679.84</v>
      </c>
      <c r="AW44" s="366"/>
      <c r="AX44" s="366"/>
      <c r="AY44" s="587"/>
      <c r="AZ44" s="366">
        <f>SUM(BB9:BB24)</f>
        <v>-64792000</v>
      </c>
      <c r="BA44" s="366"/>
      <c r="BB44" s="366"/>
      <c r="BC44" s="365">
        <f>SUM(BE9:BE24)</f>
        <v>-67422300</v>
      </c>
      <c r="BD44" s="366"/>
      <c r="BE44" s="366"/>
      <c r="BF44" s="360">
        <f>SUM(BH9:BH24)</f>
        <v>-62099800</v>
      </c>
      <c r="BG44" s="360"/>
      <c r="BH44" s="36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0">
        <f>SUM(CM9:CM24)</f>
        <v>-224565</v>
      </c>
      <c r="CL44" s="360"/>
      <c r="CM44" s="360"/>
      <c r="CN44" s="360">
        <f>SUM(CP9:CP24)</f>
        <v>-170936</v>
      </c>
      <c r="CO44" s="360"/>
      <c r="CP44" s="360"/>
      <c r="CQ44" s="360">
        <f>SUM(CS9:CS24)</f>
        <v>-308195</v>
      </c>
      <c r="CR44" s="360"/>
      <c r="CS44" s="360"/>
      <c r="CT44" s="100"/>
      <c r="CU44" s="196"/>
      <c r="CV44" s="45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3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1" t="s">
        <v>143</v>
      </c>
      <c r="B45" s="361"/>
      <c r="C45" s="362">
        <f>SUM(D9:D24)</f>
        <v>-848346</v>
      </c>
      <c r="D45" s="362"/>
      <c r="E45" s="363"/>
      <c r="F45" s="362">
        <f>SUM(G9:G24)</f>
        <v>-51809</v>
      </c>
      <c r="G45" s="362"/>
      <c r="H45" s="363"/>
      <c r="I45" s="364"/>
      <c r="J45" s="364"/>
      <c r="K45" s="364"/>
      <c r="L45" s="364"/>
      <c r="M45" s="364"/>
      <c r="N45" s="364"/>
      <c r="O45" s="362">
        <f>SUM(P9:P24)</f>
        <v>-33875</v>
      </c>
      <c r="P45" s="362"/>
      <c r="Q45" s="363"/>
      <c r="R45" s="368"/>
      <c r="S45" s="369"/>
      <c r="T45" s="529"/>
      <c r="U45" s="353">
        <f>SUM(V9:V24)</f>
        <v>-6885841.2000000002</v>
      </c>
      <c r="V45" s="353"/>
      <c r="W45" s="354"/>
      <c r="X45" s="353">
        <f>SUM(Y9:Y24)</f>
        <v>-13279902.719999999</v>
      </c>
      <c r="Y45" s="353"/>
      <c r="Z45" s="354"/>
      <c r="AA45" s="353">
        <f>SUM(AB9:AB24)</f>
        <v>-13037423.280000001</v>
      </c>
      <c r="AB45" s="353"/>
      <c r="AC45" s="354"/>
      <c r="AD45" s="353">
        <f>SUM(AE9:AE24)</f>
        <v>-16072435.68</v>
      </c>
      <c r="AE45" s="353"/>
      <c r="AF45" s="354"/>
      <c r="AG45" s="353">
        <f>SUM(AH9:AH24)</f>
        <v>-16436568.960000001</v>
      </c>
      <c r="AH45" s="353"/>
      <c r="AI45" s="354"/>
      <c r="AJ45" s="353">
        <f>SUM(AK9:AK24)</f>
        <v>-14899355.52</v>
      </c>
      <c r="AK45" s="353"/>
      <c r="AL45" s="354"/>
      <c r="AM45" s="353">
        <f>SUM(AN9:AN24)</f>
        <v>-12710901.84</v>
      </c>
      <c r="AN45" s="353"/>
      <c r="AO45" s="354"/>
      <c r="AP45" s="353">
        <f>SUM(AQ9:AQ24)</f>
        <v>-12247866.959999999</v>
      </c>
      <c r="AQ45" s="353"/>
      <c r="AR45" s="354"/>
      <c r="AS45" s="353">
        <f>SUM(AT9:AT24)</f>
        <v>-9772208.8800000008</v>
      </c>
      <c r="AT45" s="353"/>
      <c r="AU45" s="354"/>
      <c r="AV45" s="353">
        <f>SUM(AW9:AW24)</f>
        <v>-15050679.84</v>
      </c>
      <c r="AW45" s="353"/>
      <c r="AX45" s="353"/>
      <c r="AY45" s="587"/>
      <c r="AZ45" s="354">
        <f>SUM(BA9:BA24)</f>
        <v>-64792000</v>
      </c>
      <c r="BA45" s="360"/>
      <c r="BB45" s="360"/>
      <c r="BC45" s="360">
        <f>SUM(BD9:BD24)</f>
        <v>-67422300</v>
      </c>
      <c r="BD45" s="360"/>
      <c r="BE45" s="360"/>
      <c r="BF45" s="360">
        <f>SUM(BG9:BG24)</f>
        <v>-62099800</v>
      </c>
      <c r="BG45" s="360"/>
      <c r="BH45" s="36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0">
        <f>SUM(CL9:CL24)</f>
        <v>-224565</v>
      </c>
      <c r="CL45" s="360"/>
      <c r="CM45" s="360"/>
      <c r="CN45" s="360">
        <f>SUM(CO9:CO24)</f>
        <v>-170936</v>
      </c>
      <c r="CO45" s="360"/>
      <c r="CP45" s="360"/>
      <c r="CQ45" s="360">
        <f>SUM(CR9:CR24)</f>
        <v>-308195</v>
      </c>
      <c r="CR45" s="360"/>
      <c r="CS45" s="360"/>
      <c r="CT45" s="105"/>
      <c r="CU45" s="197"/>
      <c r="CV45" s="45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2"/>
      <c r="DT45" s="584" t="s">
        <v>104</v>
      </c>
      <c r="DU45" s="585"/>
      <c r="DV45" s="585"/>
      <c r="DW45" s="585"/>
      <c r="DX45" s="585"/>
      <c r="DY45" s="585"/>
      <c r="DZ45" s="585"/>
      <c r="EA45" s="585"/>
      <c r="EB45" s="585"/>
      <c r="EC45" s="585"/>
      <c r="ED45" s="585"/>
      <c r="EE45" s="585"/>
      <c r="EF45" s="585"/>
      <c r="EG45" s="585"/>
      <c r="EH45" s="585"/>
      <c r="EI45" s="585"/>
      <c r="EJ45" s="586"/>
      <c r="EK45" s="565"/>
      <c r="EL45" s="565"/>
      <c r="EM45" s="565"/>
      <c r="EN45" s="565"/>
      <c r="EO45" s="565"/>
      <c r="EP45" s="565"/>
      <c r="EQ45" s="565"/>
      <c r="ER45" s="56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7"/>
      <c r="AZ46" s="358">
        <f>AZ44-AZ45</f>
        <v>0</v>
      </c>
      <c r="BA46" s="359"/>
      <c r="BB46" s="359"/>
      <c r="BC46" s="358">
        <f>BC45-BC44</f>
        <v>0</v>
      </c>
      <c r="BD46" s="359"/>
      <c r="BE46" s="359"/>
      <c r="BF46" s="358">
        <f>BF45-BF44</f>
        <v>0</v>
      </c>
      <c r="BG46" s="359"/>
      <c r="BH46" s="35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8"/>
      <c r="BV46" s="572"/>
      <c r="BW46" s="572"/>
      <c r="BX46" s="572"/>
      <c r="BY46" s="572"/>
      <c r="BZ46" s="572"/>
      <c r="CA46" s="572"/>
      <c r="CB46" s="572"/>
      <c r="CC46" s="572"/>
      <c r="CD46" s="572"/>
      <c r="CE46" s="572"/>
      <c r="CF46" s="572"/>
      <c r="CG46" s="572"/>
      <c r="CH46" s="572"/>
      <c r="CI46" s="572"/>
      <c r="CJ46" s="572"/>
      <c r="CK46" s="572"/>
      <c r="CL46" s="572"/>
      <c r="CM46" s="572"/>
      <c r="CN46" s="572"/>
      <c r="CO46" s="572"/>
      <c r="CP46" s="572"/>
      <c r="CQ46" s="572"/>
      <c r="CR46" s="572"/>
      <c r="CS46" s="572"/>
      <c r="CT46" s="572"/>
      <c r="CU46" s="573"/>
      <c r="CV46" s="456"/>
    </row>
    <row r="47" spans="1:160" ht="33.75" customHeight="1" x14ac:dyDescent="0.25">
      <c r="A47" s="577" t="s">
        <v>144</v>
      </c>
      <c r="B47" s="577"/>
      <c r="C47" s="578">
        <f>SUM(E9:E39)</f>
        <v>18813</v>
      </c>
      <c r="D47" s="579"/>
      <c r="E47" s="580"/>
      <c r="F47" s="578">
        <f>SUM(H9:H39)</f>
        <v>8860</v>
      </c>
      <c r="G47" s="579"/>
      <c r="H47" s="580"/>
      <c r="I47" s="581">
        <v>7048.9</v>
      </c>
      <c r="J47" s="581"/>
      <c r="K47" s="581">
        <v>7702.2000000000116</v>
      </c>
      <c r="L47" s="581"/>
      <c r="M47" s="581"/>
      <c r="N47" s="581"/>
      <c r="O47" s="581">
        <f>SUM(Q9:Q39)</f>
        <v>5035</v>
      </c>
      <c r="P47" s="581"/>
      <c r="Q47" s="581"/>
      <c r="R47" s="578">
        <v>476</v>
      </c>
      <c r="S47" s="579"/>
      <c r="T47" s="588"/>
      <c r="U47" s="352">
        <f>SUM(W9:W39)</f>
        <v>-6885841.2000000002</v>
      </c>
      <c r="V47" s="353"/>
      <c r="W47" s="354"/>
      <c r="X47" s="352">
        <f>SUM(Z9:Z39)</f>
        <v>-13279902.719999999</v>
      </c>
      <c r="Y47" s="353"/>
      <c r="Z47" s="354"/>
      <c r="AA47" s="352">
        <f>SUM(AC9:AC39)</f>
        <v>-13037423.280000001</v>
      </c>
      <c r="AB47" s="353"/>
      <c r="AC47" s="354"/>
      <c r="AD47" s="352">
        <f>SUM(AF9:AF39)</f>
        <v>-16072435.68</v>
      </c>
      <c r="AE47" s="353"/>
      <c r="AF47" s="354"/>
      <c r="AG47" s="352">
        <f>SUM(AI9:AI39)</f>
        <v>-16436568.960000001</v>
      </c>
      <c r="AH47" s="353"/>
      <c r="AI47" s="354"/>
      <c r="AJ47" s="352">
        <f>SUM(AL9:AL39)</f>
        <v>-14899355.52</v>
      </c>
      <c r="AK47" s="353"/>
      <c r="AL47" s="354"/>
      <c r="AM47" s="352">
        <f>SUM(AO9:AO39)</f>
        <v>-12710901.84</v>
      </c>
      <c r="AN47" s="353"/>
      <c r="AO47" s="354"/>
      <c r="AP47" s="352">
        <f>SUM(AR9:AR39)</f>
        <v>-12247866.959999999</v>
      </c>
      <c r="AQ47" s="353"/>
      <c r="AR47" s="354"/>
      <c r="AS47" s="352">
        <f>SUM(AU9:AU39)</f>
        <v>-9772208.8800000008</v>
      </c>
      <c r="AT47" s="353"/>
      <c r="AU47" s="354"/>
      <c r="AV47" s="352">
        <f>SUM(AX9:AX39)</f>
        <v>-15050679.84</v>
      </c>
      <c r="AW47" s="353"/>
      <c r="AX47" s="353"/>
      <c r="AY47" s="587"/>
      <c r="AZ47" s="338">
        <v>347300</v>
      </c>
      <c r="BA47" s="338"/>
      <c r="BB47" s="339"/>
      <c r="BC47" s="346">
        <v>361100</v>
      </c>
      <c r="BD47" s="338"/>
      <c r="BE47" s="339"/>
      <c r="BF47" s="346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7">
        <v>131110</v>
      </c>
      <c r="BT47" s="348"/>
      <c r="BU47" s="568"/>
      <c r="BV47" s="349"/>
      <c r="BW47" s="349"/>
      <c r="BX47" s="114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52">
        <f>SUM(CM9:CM39)</f>
        <v>-224565</v>
      </c>
      <c r="CL47" s="353"/>
      <c r="CM47" s="354"/>
      <c r="CN47" s="352">
        <f>SUM(CP9:CP39)</f>
        <v>-170936</v>
      </c>
      <c r="CO47" s="353"/>
      <c r="CP47" s="354"/>
      <c r="CQ47" s="352">
        <f>SUM(CS9:CS39)</f>
        <v>-308195</v>
      </c>
      <c r="CR47" s="353"/>
      <c r="CS47" s="354"/>
      <c r="CT47" s="340">
        <v>3894</v>
      </c>
      <c r="CU47" s="341"/>
      <c r="CV47" s="456"/>
      <c r="DJ47" s="4">
        <v>487.2</v>
      </c>
    </row>
    <row r="48" spans="1:160" ht="30" customHeight="1" x14ac:dyDescent="0.25">
      <c r="A48" s="593" t="s">
        <v>145</v>
      </c>
      <c r="B48" s="593"/>
      <c r="C48" s="578">
        <f>SUM(D10:D39)</f>
        <v>-848589</v>
      </c>
      <c r="D48" s="579"/>
      <c r="E48" s="580"/>
      <c r="F48" s="578">
        <f>SUM(G9:G39)</f>
        <v>-51809</v>
      </c>
      <c r="G48" s="579"/>
      <c r="H48" s="580"/>
      <c r="I48" s="578">
        <f>SUM(J10:J39)</f>
        <v>-164625</v>
      </c>
      <c r="J48" s="580"/>
      <c r="K48" s="578">
        <f>SUM(L9:L39)</f>
        <v>-788173</v>
      </c>
      <c r="L48" s="580"/>
      <c r="M48" s="578"/>
      <c r="N48" s="580"/>
      <c r="O48" s="578">
        <f>SUM(P9:P39)</f>
        <v>-33875</v>
      </c>
      <c r="P48" s="579"/>
      <c r="Q48" s="580"/>
      <c r="R48" s="578">
        <f>SUM(S9:S39)</f>
        <v>-938</v>
      </c>
      <c r="S48" s="579"/>
      <c r="T48" s="588"/>
      <c r="U48" s="589">
        <f>SUM(V9:V39)</f>
        <v>-6885841.2000000002</v>
      </c>
      <c r="V48" s="590"/>
      <c r="W48" s="591"/>
      <c r="X48" s="589">
        <f>SUM(Y9:Y39)</f>
        <v>-13279902.719999999</v>
      </c>
      <c r="Y48" s="590"/>
      <c r="Z48" s="591"/>
      <c r="AA48" s="342">
        <f>SUM(AB9:AB39)</f>
        <v>-13037423.280000001</v>
      </c>
      <c r="AB48" s="343"/>
      <c r="AC48" s="344"/>
      <c r="AD48" s="342">
        <f>SUM(AE9:AE39)</f>
        <v>-16072435.68</v>
      </c>
      <c r="AE48" s="343"/>
      <c r="AF48" s="344"/>
      <c r="AG48" s="342">
        <f>SUM(AH9:AH39)</f>
        <v>-16436568.960000001</v>
      </c>
      <c r="AH48" s="343"/>
      <c r="AI48" s="344"/>
      <c r="AJ48" s="342">
        <f>SUM(AK9:AK39)</f>
        <v>-14899355.52</v>
      </c>
      <c r="AK48" s="343"/>
      <c r="AL48" s="344"/>
      <c r="AM48" s="342">
        <f>SUM(AN9:AN39)</f>
        <v>-12710901.84</v>
      </c>
      <c r="AN48" s="343"/>
      <c r="AO48" s="344"/>
      <c r="AP48" s="342">
        <f>SUM(AQ9:AQ39)</f>
        <v>-12247866.959999999</v>
      </c>
      <c r="AQ48" s="343"/>
      <c r="AR48" s="344"/>
      <c r="AS48" s="342">
        <f>SUM(AT9:AT39)</f>
        <v>-9772208.8800000008</v>
      </c>
      <c r="AT48" s="343"/>
      <c r="AU48" s="344"/>
      <c r="AV48" s="342">
        <f>SUM(AW9:AW39)</f>
        <v>-15050679.84</v>
      </c>
      <c r="AW48" s="343"/>
      <c r="AX48" s="343"/>
      <c r="AY48" s="587"/>
      <c r="AZ48" s="338">
        <f>SUM(BA9:BA40)</f>
        <v>-64792000</v>
      </c>
      <c r="BA48" s="338"/>
      <c r="BB48" s="339"/>
      <c r="BC48" s="338">
        <f t="shared" ref="BC48" si="0">SUM(BD9:BD40)</f>
        <v>-67422300</v>
      </c>
      <c r="BD48" s="338"/>
      <c r="BE48" s="339"/>
      <c r="BF48" s="338">
        <f t="shared" ref="BF48" si="1">SUM(BG9:BG40)</f>
        <v>-62099800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5">
        <f>SUM(BT9:BT39)</f>
        <v>-7032340</v>
      </c>
      <c r="BT48" s="345"/>
      <c r="BU48" s="568"/>
      <c r="BV48" s="355"/>
      <c r="BW48" s="356"/>
      <c r="BX48" s="117"/>
      <c r="BY48" s="350">
        <f>SUM(BZ9:BZ39)</f>
        <v>-55249</v>
      </c>
      <c r="BZ48" s="351"/>
      <c r="CA48" s="350">
        <f>SUM(CB9:CB39)</f>
        <v>-46769</v>
      </c>
      <c r="CB48" s="351"/>
      <c r="CC48" s="350">
        <f>SUM(CD9:CD39)</f>
        <v>-16161</v>
      </c>
      <c r="CD48" s="351"/>
      <c r="CE48" s="350">
        <f>SUM(CF9:CF39)</f>
        <v>-21026</v>
      </c>
      <c r="CF48" s="351"/>
      <c r="CG48" s="350">
        <f>SUM(CH9:CH39)</f>
        <v>-22787</v>
      </c>
      <c r="CH48" s="351"/>
      <c r="CI48" s="350">
        <f>SUM(CJ9:CJ39)</f>
        <v>-50815</v>
      </c>
      <c r="CJ48" s="351"/>
      <c r="CK48" s="350">
        <f>SUM(CL9:CL39)</f>
        <v>-224565</v>
      </c>
      <c r="CL48" s="357"/>
      <c r="CM48" s="351"/>
      <c r="CN48" s="350">
        <f>SUM(CO9:CO39)</f>
        <v>-170936</v>
      </c>
      <c r="CO48" s="357"/>
      <c r="CP48" s="351"/>
      <c r="CQ48" s="350">
        <f>SUM(CR9:CR39)</f>
        <v>-308195</v>
      </c>
      <c r="CR48" s="357"/>
      <c r="CS48" s="351"/>
      <c r="CT48" s="350">
        <f>SUM(CU9:CU39)</f>
        <v>-597754</v>
      </c>
      <c r="CU48" s="357"/>
      <c r="CV48" s="456"/>
    </row>
    <row r="49" spans="1:159" ht="30" customHeight="1" x14ac:dyDescent="0.25">
      <c r="A49" s="304" t="s">
        <v>46</v>
      </c>
      <c r="B49" s="304"/>
      <c r="C49" s="305">
        <f>C47-C48</f>
        <v>867402</v>
      </c>
      <c r="D49" s="306"/>
      <c r="E49" s="307"/>
      <c r="F49" s="305">
        <f>F47-F48</f>
        <v>60669</v>
      </c>
      <c r="G49" s="306"/>
      <c r="H49" s="307"/>
      <c r="I49" s="305">
        <f>I47-I48</f>
        <v>171673.9</v>
      </c>
      <c r="J49" s="307"/>
      <c r="K49" s="305">
        <f>K47-K48</f>
        <v>795875.2</v>
      </c>
      <c r="L49" s="307"/>
      <c r="M49" s="305"/>
      <c r="N49" s="307"/>
      <c r="O49" s="592">
        <f>O47-O48</f>
        <v>38910</v>
      </c>
      <c r="P49" s="592"/>
      <c r="Q49" s="592"/>
      <c r="R49" s="305">
        <f>R47-R48</f>
        <v>1414</v>
      </c>
      <c r="S49" s="306"/>
      <c r="T49" s="588"/>
      <c r="U49" s="302">
        <f>U48-U47</f>
        <v>0</v>
      </c>
      <c r="V49" s="303"/>
      <c r="W49" s="594"/>
      <c r="X49" s="302">
        <f>X47-X48</f>
        <v>0</v>
      </c>
      <c r="Y49" s="303"/>
      <c r="Z49" s="594"/>
      <c r="AA49" s="302">
        <f>AA47-AA48</f>
        <v>0</v>
      </c>
      <c r="AB49" s="303"/>
      <c r="AC49" s="594"/>
      <c r="AD49" s="302">
        <f>AD47-AD48</f>
        <v>0</v>
      </c>
      <c r="AE49" s="303"/>
      <c r="AF49" s="594"/>
      <c r="AG49" s="302">
        <f>AG47-AG48</f>
        <v>0</v>
      </c>
      <c r="AH49" s="303"/>
      <c r="AI49" s="594"/>
      <c r="AJ49" s="302">
        <f>AJ47-AJ48</f>
        <v>0</v>
      </c>
      <c r="AK49" s="303"/>
      <c r="AL49" s="594"/>
      <c r="AM49" s="302">
        <f>AM47-AM48</f>
        <v>0</v>
      </c>
      <c r="AN49" s="303"/>
      <c r="AO49" s="594"/>
      <c r="AP49" s="302">
        <f>AP47-AP48</f>
        <v>0</v>
      </c>
      <c r="AQ49" s="303"/>
      <c r="AR49" s="594"/>
      <c r="AS49" s="302">
        <f>AS47-AS48</f>
        <v>0</v>
      </c>
      <c r="AT49" s="303"/>
      <c r="AU49" s="594"/>
      <c r="AV49" s="302">
        <f>AV47-AV48</f>
        <v>0</v>
      </c>
      <c r="AW49" s="303"/>
      <c r="AX49" s="303"/>
      <c r="AY49" s="587"/>
      <c r="AZ49" s="338">
        <f>AZ48-AZ47</f>
        <v>-65139300</v>
      </c>
      <c r="BA49" s="338"/>
      <c r="BB49" s="339"/>
      <c r="BC49" s="338">
        <f t="shared" ref="BC49" si="2">BC48-BC47</f>
        <v>-67783400</v>
      </c>
      <c r="BD49" s="338"/>
      <c r="BE49" s="339"/>
      <c r="BF49" s="338">
        <f t="shared" ref="BF49" si="3">BF48-BF47</f>
        <v>-62658642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39"/>
      <c r="BU49" s="568"/>
      <c r="BV49" s="330"/>
      <c r="BW49" s="33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9">
        <f>CK47-CK48</f>
        <v>0</v>
      </c>
      <c r="CL49" s="595"/>
      <c r="CM49" s="596"/>
      <c r="CN49" s="309">
        <f>CN47-CN48</f>
        <v>0</v>
      </c>
      <c r="CO49" s="595"/>
      <c r="CP49" s="596"/>
      <c r="CQ49" s="309">
        <f>CQ47-CQ48</f>
        <v>0</v>
      </c>
      <c r="CR49" s="595"/>
      <c r="CS49" s="596"/>
      <c r="CT49" s="308">
        <f>CT47-CT48</f>
        <v>601648</v>
      </c>
      <c r="CU49" s="309"/>
      <c r="CV49" s="456"/>
    </row>
    <row r="50" spans="1:159" ht="31.5" customHeight="1" thickBot="1" x14ac:dyDescent="0.3">
      <c r="A50" s="310" t="s">
        <v>146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 t="s">
        <v>147</v>
      </c>
      <c r="V50" s="312"/>
      <c r="W50" s="312"/>
      <c r="X50" s="312"/>
      <c r="Y50" s="312"/>
      <c r="Z50" s="313"/>
      <c r="AA50" s="314">
        <f>SUM(U47,X47,AA47,AD47,AG47,AJ47,AM47,AP47,AS47,AV47)</f>
        <v>-130393184.88</v>
      </c>
      <c r="AB50" s="315"/>
      <c r="AC50" s="315"/>
      <c r="AD50" s="315"/>
      <c r="AE50" s="315"/>
      <c r="AF50" s="316"/>
      <c r="AG50" s="317" t="s">
        <v>148</v>
      </c>
      <c r="AH50" s="318"/>
      <c r="AI50" s="318"/>
      <c r="AJ50" s="318"/>
      <c r="AK50" s="318"/>
      <c r="AL50" s="319"/>
      <c r="AM50" s="320">
        <f>SUM(U48,X48,AA48,AD48,AG48,AJ48,AM48,AP48,AS48,AV48)</f>
        <v>-130393184.88</v>
      </c>
      <c r="AN50" s="321"/>
      <c r="AO50" s="321"/>
      <c r="AP50" s="321"/>
      <c r="AQ50" s="321"/>
      <c r="AR50" s="322"/>
      <c r="AS50" s="323" t="s">
        <v>149</v>
      </c>
      <c r="AT50" s="324"/>
      <c r="AU50" s="325"/>
      <c r="AV50" s="323">
        <f>AA50-AM50</f>
        <v>0</v>
      </c>
      <c r="AW50" s="324"/>
      <c r="AX50" s="324"/>
      <c r="AY50" s="587"/>
      <c r="AZ50" s="326">
        <v>42751</v>
      </c>
      <c r="BA50" s="327"/>
      <c r="BB50" s="328"/>
      <c r="BC50" s="326">
        <v>43116</v>
      </c>
      <c r="BD50" s="327"/>
      <c r="BE50" s="328"/>
      <c r="BF50" s="331" t="s">
        <v>46</v>
      </c>
      <c r="BG50" s="332"/>
      <c r="BH50" s="33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4"/>
      <c r="BT50" s="335"/>
      <c r="BU50" s="568"/>
      <c r="BV50" s="330"/>
      <c r="BW50" s="33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0"/>
      <c r="CL50" s="337"/>
      <c r="CM50" s="336"/>
      <c r="CN50" s="330"/>
      <c r="CO50" s="337"/>
      <c r="CP50" s="336"/>
      <c r="CQ50" s="330"/>
      <c r="CR50" s="337"/>
      <c r="CS50" s="336"/>
      <c r="CT50" s="329"/>
      <c r="CU50" s="330"/>
      <c r="CV50" s="457"/>
    </row>
    <row r="51" spans="1:159" ht="27.75" customHeight="1" x14ac:dyDescent="0.3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34"/>
      <c r="U51" s="598" t="s">
        <v>150</v>
      </c>
      <c r="V51" s="599"/>
      <c r="W51" s="599"/>
      <c r="X51" s="599"/>
      <c r="Y51" s="599"/>
      <c r="Z51" s="600"/>
      <c r="AA51" s="314">
        <f>SUM(U44:AX44)</f>
        <v>-130393184.88</v>
      </c>
      <c r="AB51" s="315"/>
      <c r="AC51" s="315"/>
      <c r="AD51" s="315"/>
      <c r="AE51" s="315"/>
      <c r="AF51" s="316"/>
      <c r="AG51" s="601" t="s">
        <v>151</v>
      </c>
      <c r="AH51" s="602"/>
      <c r="AI51" s="602"/>
      <c r="AJ51" s="602"/>
      <c r="AK51" s="602"/>
      <c r="AL51" s="603"/>
      <c r="AM51" s="604">
        <f>SUM(U45:AX45)</f>
        <v>-130393184.88</v>
      </c>
      <c r="AN51" s="604"/>
      <c r="AO51" s="604"/>
      <c r="AP51" s="604"/>
      <c r="AQ51" s="604"/>
      <c r="AR51" s="604"/>
      <c r="AS51" s="323" t="s">
        <v>149</v>
      </c>
      <c r="AT51" s="324"/>
      <c r="AU51" s="325"/>
      <c r="AV51" s="323">
        <f>AA51-AM51</f>
        <v>0</v>
      </c>
      <c r="AW51" s="324"/>
      <c r="AX51" s="325"/>
      <c r="AY51" s="587"/>
      <c r="AZ51" s="331">
        <f>SUM(AZ47,BC47,BF47)</f>
        <v>1267242</v>
      </c>
      <c r="BA51" s="332"/>
      <c r="BB51" s="333"/>
      <c r="BC51" s="331">
        <f>SUM(AZ48:BG48)</f>
        <v>-194314100</v>
      </c>
      <c r="BD51" s="332"/>
      <c r="BE51" s="333"/>
      <c r="BF51" s="331">
        <v>643100</v>
      </c>
      <c r="BG51" s="332"/>
      <c r="BH51" s="33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4"/>
      <c r="BT51" s="335"/>
      <c r="BU51" s="56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7"/>
      <c r="B52" s="607"/>
      <c r="C52" s="607"/>
      <c r="D52" s="608"/>
      <c r="E52" s="608"/>
      <c r="F52" s="608"/>
      <c r="G52" s="609"/>
      <c r="H52" s="609"/>
      <c r="I52" s="609"/>
      <c r="J52" s="609"/>
      <c r="K52" s="123"/>
      <c r="L52" s="608"/>
      <c r="M52" s="608"/>
      <c r="N52" s="608"/>
      <c r="O52" s="608"/>
      <c r="P52" s="36"/>
      <c r="Q52" s="36"/>
      <c r="R52" s="124"/>
      <c r="S52" s="37"/>
      <c r="T52" s="38"/>
      <c r="U52" s="610"/>
      <c r="V52" s="610"/>
      <c r="W52" s="39"/>
      <c r="X52" s="611"/>
      <c r="Y52" s="611"/>
      <c r="Z52" s="7"/>
      <c r="AA52" s="125"/>
      <c r="AY52" s="587"/>
    </row>
    <row r="53" spans="1:159" ht="25.5" customHeight="1" x14ac:dyDescent="0.25">
      <c r="A53" s="612">
        <v>487.2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612"/>
      <c r="BG53" s="612"/>
      <c r="BH53" s="612"/>
      <c r="BI53" s="612"/>
      <c r="BJ53" s="612"/>
      <c r="BK53" s="612"/>
      <c r="BL53" s="612"/>
      <c r="BM53" s="612"/>
      <c r="BN53" s="612"/>
      <c r="BO53" s="612"/>
      <c r="BP53" s="612"/>
      <c r="BQ53" s="612"/>
      <c r="BR53" s="612"/>
      <c r="BS53" s="612"/>
      <c r="BT53" s="612"/>
      <c r="BU53" s="612"/>
      <c r="BV53" s="612"/>
      <c r="BW53" s="612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</row>
    <row r="54" spans="1:159" s="1" customFormat="1" ht="12.75" customHeight="1" x14ac:dyDescent="0.4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40"/>
      <c r="R54" s="40"/>
      <c r="S54" s="167"/>
      <c r="T54" s="38"/>
      <c r="U54" s="618"/>
      <c r="V54" s="618"/>
      <c r="W54" s="618"/>
      <c r="X54" s="618"/>
      <c r="Y54" s="6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6"/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9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7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3"/>
      <c r="B56" s="613"/>
      <c r="C56" s="613"/>
      <c r="D56" s="613"/>
      <c r="E56" s="613"/>
      <c r="F56" s="613"/>
      <c r="G56" s="613"/>
      <c r="H56" s="613"/>
      <c r="I56" s="613"/>
      <c r="J56" s="626"/>
      <c r="K56" s="626"/>
      <c r="L56" s="626"/>
      <c r="M56" s="626"/>
      <c r="N56" s="613"/>
      <c r="O56" s="613"/>
      <c r="P56" s="613"/>
      <c r="Q56" s="613"/>
      <c r="R56" s="613"/>
      <c r="S56" s="613"/>
      <c r="T56" s="613"/>
      <c r="U56" s="613"/>
      <c r="V56" s="614">
        <v>487.2</v>
      </c>
      <c r="W56" s="614"/>
      <c r="X56" s="619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7"/>
      <c r="AL56" s="615"/>
      <c r="AM56" s="615"/>
      <c r="AN56" s="615"/>
      <c r="AO56" s="615"/>
      <c r="AP56" s="615"/>
      <c r="AQ56" s="615"/>
      <c r="AR56" s="615"/>
      <c r="AS56" s="615"/>
      <c r="AT56" s="615"/>
      <c r="AU56" s="615"/>
      <c r="AV56" s="615"/>
      <c r="AW56" s="615"/>
      <c r="AX56" s="616"/>
      <c r="AY56" s="624"/>
      <c r="AZ56" s="624"/>
      <c r="BA56" s="624"/>
      <c r="BB56" s="624"/>
      <c r="BC56" s="624"/>
      <c r="BD56" s="624"/>
      <c r="BE56" s="624"/>
      <c r="BF56" s="624"/>
      <c r="BG56" s="624"/>
      <c r="BH56" s="62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3"/>
      <c r="D58" s="156"/>
      <c r="E58" s="620"/>
      <c r="F58" s="45"/>
      <c r="G58" s="620"/>
      <c r="H58" s="127"/>
      <c r="I58" s="623"/>
      <c r="J58" s="160"/>
      <c r="K58" s="623"/>
      <c r="L58" s="163"/>
      <c r="M58" s="623"/>
      <c r="N58" s="160"/>
      <c r="O58" s="623"/>
      <c r="P58" s="160"/>
      <c r="Q58" s="620"/>
      <c r="R58" s="128"/>
      <c r="S58" s="141"/>
      <c r="T58" s="47"/>
      <c r="U58" s="128"/>
      <c r="V58" s="48"/>
      <c r="W58" s="620"/>
      <c r="X58" s="619"/>
      <c r="Y58" s="61"/>
      <c r="Z58" s="620"/>
      <c r="AA58" s="49"/>
      <c r="AB58" s="622"/>
      <c r="AC58" s="45"/>
      <c r="AD58" s="623"/>
      <c r="AE58" s="141"/>
      <c r="AF58" s="620"/>
      <c r="AG58" s="45"/>
      <c r="AH58" s="620"/>
      <c r="AI58" s="45"/>
      <c r="AJ58" s="623"/>
      <c r="AK58" s="617"/>
      <c r="AL58" s="51"/>
      <c r="AM58" s="623"/>
      <c r="AN58" s="171"/>
      <c r="AO58" s="620"/>
      <c r="AP58" s="52"/>
      <c r="AQ58" s="620"/>
      <c r="AR58" s="49"/>
      <c r="AS58" s="623"/>
      <c r="AT58" s="61"/>
      <c r="AU58" s="620"/>
      <c r="AV58" s="53"/>
      <c r="AW58" s="621"/>
      <c r="AX58" s="616"/>
      <c r="AY58" s="54"/>
      <c r="AZ58" s="623"/>
      <c r="BA58" s="178"/>
      <c r="BB58" s="620"/>
      <c r="BC58" s="55"/>
      <c r="BD58" s="625"/>
      <c r="BE58" s="55"/>
      <c r="BF58" s="623"/>
      <c r="BG58" s="178"/>
      <c r="BH58" s="62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3"/>
      <c r="D59" s="157"/>
      <c r="E59" s="620"/>
      <c r="F59" s="57"/>
      <c r="G59" s="620"/>
      <c r="H59" s="129"/>
      <c r="I59" s="623"/>
      <c r="J59" s="144"/>
      <c r="K59" s="623"/>
      <c r="L59" s="144"/>
      <c r="M59" s="623"/>
      <c r="N59" s="165"/>
      <c r="O59" s="623"/>
      <c r="P59" s="160"/>
      <c r="Q59" s="620"/>
      <c r="R59" s="128"/>
      <c r="S59" s="141"/>
      <c r="T59" s="47"/>
      <c r="U59" s="128"/>
      <c r="V59" s="48"/>
      <c r="W59" s="620"/>
      <c r="X59" s="619"/>
      <c r="Y59" s="144"/>
      <c r="Z59" s="620"/>
      <c r="AA59" s="49"/>
      <c r="AB59" s="622"/>
      <c r="AC59" s="57"/>
      <c r="AD59" s="623"/>
      <c r="AE59" s="141"/>
      <c r="AF59" s="620"/>
      <c r="AG59" s="57"/>
      <c r="AH59" s="620"/>
      <c r="AI59" s="57"/>
      <c r="AJ59" s="623"/>
      <c r="AK59" s="617"/>
      <c r="AL59" s="51"/>
      <c r="AM59" s="623"/>
      <c r="AN59" s="172"/>
      <c r="AO59" s="620"/>
      <c r="AP59" s="52"/>
      <c r="AQ59" s="620"/>
      <c r="AR59" s="58"/>
      <c r="AS59" s="623"/>
      <c r="AT59" s="172"/>
      <c r="AU59" s="620"/>
      <c r="AV59" s="59"/>
      <c r="AW59" s="622"/>
      <c r="AX59" s="616"/>
      <c r="AY59" s="60"/>
      <c r="AZ59" s="623"/>
      <c r="BA59" s="178"/>
      <c r="BB59" s="620"/>
      <c r="BC59" s="55"/>
      <c r="BD59" s="625"/>
      <c r="BE59" s="55"/>
      <c r="BF59" s="623"/>
      <c r="BG59" s="178"/>
      <c r="BH59" s="62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9"/>
      <c r="Y94" s="605"/>
      <c r="Z94" s="605"/>
      <c r="AA94" s="605"/>
      <c r="AB94" s="605"/>
      <c r="AC94" s="605"/>
      <c r="AD94" s="605"/>
      <c r="AE94" s="605"/>
      <c r="AF94" s="605"/>
      <c r="AG94" s="605"/>
      <c r="AH94" s="605"/>
      <c r="AI94" s="605"/>
      <c r="AJ94" s="605"/>
      <c r="AK94" s="605"/>
      <c r="AL94" s="605"/>
      <c r="AM94" s="605"/>
      <c r="AN94" s="605"/>
      <c r="AO94" s="605"/>
      <c r="AP94" s="606"/>
      <c r="AQ94" s="606"/>
      <c r="AR94" s="606"/>
      <c r="AS94" s="606"/>
      <c r="AT94" s="606"/>
      <c r="AU94" s="606"/>
      <c r="AV94" s="606"/>
      <c r="AW94" s="60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Jonald Pamplona</cp:lastModifiedBy>
  <dcterms:created xsi:type="dcterms:W3CDTF">2017-05-03T09:23:30Z</dcterms:created>
  <dcterms:modified xsi:type="dcterms:W3CDTF">2021-09-07T06:05:53Z</dcterms:modified>
</cp:coreProperties>
</file>