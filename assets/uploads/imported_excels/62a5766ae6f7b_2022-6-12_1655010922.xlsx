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<sst xmlns="http://schemas.openxmlformats.org/spreadsheetml/2006/main" count="129" uniqueCount="50">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</sst>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I4" sqref="I4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62020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113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62040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149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63100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160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63830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61390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61030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61350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111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61820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102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62130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64510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62500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94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N18" sqref="N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2022</v>
      </c>
      <c r="E2" s="4">
        <f>Hotel!Q7</f>
        <v>1020</v>
      </c>
      <c r="F2" s="4">
        <f>Hotel!R7</f>
        <v>12710</v>
      </c>
      <c r="G2" s="4">
        <f>Hotel!S7</f>
        <v>3170</v>
      </c>
      <c r="H2" s="4">
        <f>Hotel!T7</f>
        <v>1600</v>
      </c>
      <c r="I2" s="4">
        <f>Hotel!U7</f>
        <v>3980</v>
      </c>
      <c r="J2" s="4">
        <f>Hotel!V7</f>
        <v>4180</v>
      </c>
      <c r="K2" s="4">
        <f>Hotel!W7</f>
        <v>3160</v>
      </c>
      <c r="L2" s="4">
        <f>Hotel!X7</f>
        <v>4080</v>
      </c>
      <c r="M2" s="4">
        <f>Hotel!Y7</f>
        <v>4320</v>
      </c>
      <c r="N2" s="4">
        <f>Hotel!Z7</f>
        <v>2580</v>
      </c>
      <c r="O2" s="4">
        <f>Hotel!AA7</f>
        <v>3160</v>
      </c>
      <c r="P2" s="4">
        <f>Hotel!AB7</f>
        <v>7020</v>
      </c>
      <c r="Q2" s="4">
        <f>Hotel!AC7</f>
        <v>11040</v>
      </c>
      <c r="R2" s="4">
        <f>Hotel!AV7*0.00378541*100</f>
        <v>0</v>
      </c>
      <c r="S2" s="4">
        <f>Hotel!B7</f>
        <v>113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2022</v>
      </c>
      <c r="E3" s="4">
        <f>Hotel!Q8</f>
        <v>1000</v>
      </c>
      <c r="F3" s="4">
        <f>Hotel!R8</f>
        <v>12580</v>
      </c>
      <c r="G3" s="4">
        <f>Hotel!S8</f>
        <v>3160</v>
      </c>
      <c r="H3" s="4">
        <f>Hotel!T8</f>
        <v>1580</v>
      </c>
      <c r="I3" s="4">
        <f>Hotel!U8</f>
        <v>4940</v>
      </c>
      <c r="J3" s="4">
        <f>Hotel!V8</f>
        <v>4040</v>
      </c>
      <c r="K3" s="4">
        <f>Hotel!W8</f>
        <v>3360</v>
      </c>
      <c r="L3" s="4">
        <f>Hotel!X8</f>
        <v>4140</v>
      </c>
      <c r="M3" s="4">
        <f>Hotel!Y8</f>
        <v>4230</v>
      </c>
      <c r="N3" s="4">
        <f>Hotel!Z8</f>
        <v>2670</v>
      </c>
      <c r="O3" s="4">
        <f>Hotel!AA8</f>
        <v>3280</v>
      </c>
      <c r="P3" s="4">
        <f>Hotel!AB8</f>
        <v>6990</v>
      </c>
      <c r="Q3" s="4">
        <f>Hotel!AC8</f>
        <v>10070</v>
      </c>
      <c r="R3" s="4">
        <f>Hotel!AV8*0.00378541*100</f>
        <v>0</v>
      </c>
      <c r="S3" s="4">
        <f>Hotel!B8</f>
        <v>149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2022</v>
      </c>
      <c r="E4" s="4">
        <f>Hotel!Q9</f>
        <v>1030</v>
      </c>
      <c r="F4" s="4">
        <f>Hotel!R9</f>
        <v>12710</v>
      </c>
      <c r="G4" s="4">
        <f>Hotel!S9</f>
        <v>3180</v>
      </c>
      <c r="H4" s="4">
        <f>Hotel!T9</f>
        <v>1610</v>
      </c>
      <c r="I4" s="4">
        <f>Hotel!U9</f>
        <v>4930</v>
      </c>
      <c r="J4" s="4">
        <f>Hotel!V9</f>
        <v>4080</v>
      </c>
      <c r="K4" s="4">
        <f>Hotel!W9</f>
        <v>3500</v>
      </c>
      <c r="L4" s="4">
        <f>Hotel!X9</f>
        <v>4200</v>
      </c>
      <c r="M4" s="4">
        <f>Hotel!Y9</f>
        <v>4390</v>
      </c>
      <c r="N4" s="4">
        <f>Hotel!Z9</f>
        <v>2740</v>
      </c>
      <c r="O4" s="4">
        <f>Hotel!AA9</f>
        <v>3330</v>
      </c>
      <c r="P4" s="4">
        <f>Hotel!AB9</f>
        <v>7120</v>
      </c>
      <c r="Q4" s="4">
        <f>Hotel!AC9</f>
        <v>10280</v>
      </c>
      <c r="R4" s="4">
        <f>Hotel!AV9*0.00378541*100</f>
        <v>0</v>
      </c>
      <c r="S4" s="4">
        <f>Hotel!B9</f>
        <v>160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2022</v>
      </c>
      <c r="E5" s="4">
        <f>Hotel!Q10</f>
        <v>1030</v>
      </c>
      <c r="F5" s="4">
        <f>Hotel!R10</f>
        <v>12920</v>
      </c>
      <c r="G5" s="4">
        <f>Hotel!S10</f>
        <v>3250</v>
      </c>
      <c r="H5" s="4">
        <f>Hotel!T10</f>
        <v>1610</v>
      </c>
      <c r="I5" s="4">
        <f>Hotel!U10</f>
        <v>4950</v>
      </c>
      <c r="J5" s="4">
        <f>Hotel!V10</f>
        <v>4090</v>
      </c>
      <c r="K5" s="4">
        <f>Hotel!W10</f>
        <v>3250</v>
      </c>
      <c r="L5" s="4">
        <f>Hotel!X10</f>
        <v>4440</v>
      </c>
      <c r="M5" s="4">
        <f>Hotel!Y10</f>
        <v>4470</v>
      </c>
      <c r="N5" s="4">
        <f>Hotel!Z10</f>
        <v>2660</v>
      </c>
      <c r="O5" s="4">
        <f>Hotel!AA10</f>
        <v>3220</v>
      </c>
      <c r="P5" s="4">
        <f>Hotel!AB10</f>
        <v>7140</v>
      </c>
      <c r="Q5" s="4">
        <f>Hotel!AC10</f>
        <v>10800</v>
      </c>
      <c r="R5" s="4">
        <f>Hotel!AV10*0.00378541*100</f>
        <v>0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2022</v>
      </c>
      <c r="E6" s="4">
        <f>Hotel!Q11</f>
        <v>1020</v>
      </c>
      <c r="F6" s="4">
        <f>Hotel!R11</f>
        <v>12900</v>
      </c>
      <c r="G6" s="4">
        <f>Hotel!S11</f>
        <v>3290</v>
      </c>
      <c r="H6" s="4">
        <f>Hotel!T11</f>
        <v>1610</v>
      </c>
      <c r="I6" s="4">
        <f>Hotel!U11</f>
        <v>4570</v>
      </c>
      <c r="J6" s="4">
        <f>Hotel!V11</f>
        <v>3970</v>
      </c>
      <c r="K6" s="4">
        <f>Hotel!W11</f>
        <v>2970</v>
      </c>
      <c r="L6" s="4">
        <f>Hotel!X11</f>
        <v>4050</v>
      </c>
      <c r="M6" s="4">
        <f>Hotel!Y11</f>
        <v>4200</v>
      </c>
      <c r="N6" s="4">
        <f>Hotel!Z11</f>
        <v>2580</v>
      </c>
      <c r="O6" s="4">
        <f>Hotel!AA11</f>
        <v>3180</v>
      </c>
      <c r="P6" s="4">
        <f>Hotel!AB11</f>
        <v>7080</v>
      </c>
      <c r="Q6" s="4">
        <f>Hotel!AC11</f>
        <v>9970</v>
      </c>
      <c r="R6" s="4">
        <f>Hotel!AV11*0.00378541*100</f>
        <v>0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2022</v>
      </c>
      <c r="E7" s="4">
        <f>Hotel!Q12</f>
        <v>1020</v>
      </c>
      <c r="F7" s="4">
        <f>Hotel!R12</f>
        <v>13160</v>
      </c>
      <c r="G7" s="4">
        <f>Hotel!S12</f>
        <v>3360</v>
      </c>
      <c r="H7" s="4">
        <f>Hotel!T12</f>
        <v>1610</v>
      </c>
      <c r="I7" s="4">
        <f>Hotel!U12</f>
        <v>4580</v>
      </c>
      <c r="J7" s="4">
        <f>Hotel!V12</f>
        <v>4010</v>
      </c>
      <c r="K7" s="4">
        <f>Hotel!W12</f>
        <v>3040</v>
      </c>
      <c r="L7" s="4">
        <f>Hotel!X12</f>
        <v>4250</v>
      </c>
      <c r="M7" s="4">
        <f>Hotel!Y12</f>
        <v>4560</v>
      </c>
      <c r="N7" s="4">
        <f>Hotel!Z12</f>
        <v>2530</v>
      </c>
      <c r="O7" s="4">
        <f>Hotel!AA12</f>
        <v>2970</v>
      </c>
      <c r="P7" s="4">
        <f>Hotel!AB12</f>
        <v>7130</v>
      </c>
      <c r="Q7" s="4">
        <f>Hotel!AC12</f>
        <v>8810</v>
      </c>
      <c r="R7" s="4">
        <f>Hotel!AV12*0.00378541*100</f>
        <v>0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2022</v>
      </c>
      <c r="E8" s="4">
        <f>Hotel!Q13</f>
        <v>1030</v>
      </c>
      <c r="F8" s="4">
        <f>Hotel!R13</f>
        <v>13180</v>
      </c>
      <c r="G8" s="4">
        <f>Hotel!S13</f>
        <v>3380</v>
      </c>
      <c r="H8" s="4">
        <f>Hotel!T13</f>
        <v>1620</v>
      </c>
      <c r="I8" s="4">
        <f>Hotel!U13</f>
        <v>4560</v>
      </c>
      <c r="J8" s="4">
        <f>Hotel!V13</f>
        <v>3970</v>
      </c>
      <c r="K8" s="4">
        <f>Hotel!W13</f>
        <v>3120</v>
      </c>
      <c r="L8" s="4">
        <f>Hotel!X13</f>
        <v>4180</v>
      </c>
      <c r="M8" s="4">
        <f>Hotel!Y13</f>
        <v>4380</v>
      </c>
      <c r="N8" s="4">
        <f>Hotel!Z13</f>
        <v>2610</v>
      </c>
      <c r="O8" s="4">
        <f>Hotel!AA13</f>
        <v>3030</v>
      </c>
      <c r="P8" s="4">
        <f>Hotel!AB13</f>
        <v>7360</v>
      </c>
      <c r="Q8" s="4">
        <f>Hotel!AC13</f>
        <v>8930</v>
      </c>
      <c r="R8" s="4">
        <f>Hotel!AV13*0.00378541*100</f>
        <v>0</v>
      </c>
      <c r="S8" s="4">
        <f>Hotel!B13</f>
        <v>111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2022</v>
      </c>
      <c r="E9" s="4">
        <f>Hotel!Q14</f>
        <v>1030</v>
      </c>
      <c r="F9" s="4">
        <f>Hotel!R14</f>
        <v>13430</v>
      </c>
      <c r="G9" s="4">
        <f>Hotel!S14</f>
        <v>3470</v>
      </c>
      <c r="H9" s="4">
        <f>Hotel!T14</f>
        <v>1640</v>
      </c>
      <c r="I9" s="4">
        <f>Hotel!U14</f>
        <v>4480</v>
      </c>
      <c r="J9" s="4">
        <f>Hotel!V14</f>
        <v>4070</v>
      </c>
      <c r="K9" s="4">
        <f>Hotel!W14</f>
        <v>3280</v>
      </c>
      <c r="L9" s="4">
        <f>Hotel!X14</f>
        <v>4490</v>
      </c>
      <c r="M9" s="4">
        <f>Hotel!Y14</f>
        <v>4120</v>
      </c>
      <c r="N9" s="4">
        <f>Hotel!Z14</f>
        <v>2570</v>
      </c>
      <c r="O9" s="4">
        <f>Hotel!AA14</f>
        <v>3020</v>
      </c>
      <c r="P9" s="4">
        <f>Hotel!AB14</f>
        <v>7120</v>
      </c>
      <c r="Q9" s="4">
        <f>Hotel!AC14</f>
        <v>9100</v>
      </c>
      <c r="R9" s="4">
        <f>Hotel!AV14*0.00378541*100</f>
        <v>0</v>
      </c>
      <c r="S9" s="4">
        <f>Hotel!B14</f>
        <v>102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2022</v>
      </c>
      <c r="E10" s="4">
        <f>Hotel!Q15</f>
        <v>1010</v>
      </c>
      <c r="F10" s="4">
        <f>Hotel!R15</f>
        <v>13130</v>
      </c>
      <c r="G10" s="4">
        <f>Hotel!S15</f>
        <v>3380</v>
      </c>
      <c r="H10" s="4">
        <f>Hotel!T15</f>
        <v>1610</v>
      </c>
      <c r="I10" s="4">
        <f>Hotel!U15</f>
        <v>4840</v>
      </c>
      <c r="J10" s="4">
        <f>Hotel!V15</f>
        <v>4020</v>
      </c>
      <c r="K10" s="4">
        <f>Hotel!W15</f>
        <v>3600</v>
      </c>
      <c r="L10" s="4">
        <f>Hotel!X15</f>
        <v>4340</v>
      </c>
      <c r="M10" s="4">
        <f>Hotel!Y15</f>
        <v>4390</v>
      </c>
      <c r="N10" s="4">
        <f>Hotel!Z15</f>
        <v>2680</v>
      </c>
      <c r="O10" s="4">
        <f>Hotel!AA15</f>
        <v>3130</v>
      </c>
      <c r="P10" s="4">
        <f>Hotel!AB15</f>
        <v>7350</v>
      </c>
      <c r="Q10" s="4">
        <f>Hotel!AC15</f>
        <v>8650</v>
      </c>
      <c r="R10" s="4">
        <f>Hotel!AV15*0.00378541*100</f>
        <v>0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2022</v>
      </c>
      <c r="E11" s="4">
        <f>Hotel!Q16</f>
        <v>1050</v>
      </c>
      <c r="F11" s="4">
        <f>Hotel!R16</f>
        <v>13700</v>
      </c>
      <c r="G11" s="4">
        <f>Hotel!S16</f>
        <v>3510</v>
      </c>
      <c r="H11" s="4">
        <f>Hotel!T16</f>
        <v>1670</v>
      </c>
      <c r="I11" s="4">
        <f>Hotel!U16</f>
        <v>5040</v>
      </c>
      <c r="J11" s="4">
        <f>Hotel!V16</f>
        <v>4380</v>
      </c>
      <c r="K11" s="4">
        <f>Hotel!W16</f>
        <v>3130</v>
      </c>
      <c r="L11" s="4">
        <f>Hotel!X16</f>
        <v>4260</v>
      </c>
      <c r="M11" s="4">
        <f>Hotel!Y16</f>
        <v>4550</v>
      </c>
      <c r="N11" s="4">
        <f>Hotel!Z16</f>
        <v>2720</v>
      </c>
      <c r="O11" s="4">
        <f>Hotel!AA16</f>
        <v>3280</v>
      </c>
      <c r="P11" s="4">
        <f>Hotel!AB16</f>
        <v>7330</v>
      </c>
      <c r="Q11" s="4">
        <f>Hotel!AC16</f>
        <v>9890</v>
      </c>
      <c r="R11" s="4">
        <f>Hotel!AV16*0.00378541*100</f>
        <v>0</v>
      </c>
      <c r="S11" s="4">
        <f>Hotel!B16</f>
        <v>171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2022</v>
      </c>
      <c r="E12" s="4">
        <f>Hotel!Q17</f>
        <v>1000</v>
      </c>
      <c r="F12" s="4">
        <f>Hotel!R17</f>
        <v>13010</v>
      </c>
      <c r="G12" s="4">
        <f>Hotel!S17</f>
        <v>3330</v>
      </c>
      <c r="H12" s="4">
        <f>Hotel!T17</f>
        <v>1590</v>
      </c>
      <c r="I12" s="4">
        <f>Hotel!U17</f>
        <v>4520</v>
      </c>
      <c r="J12" s="4">
        <f>Hotel!V17</f>
        <v>3990</v>
      </c>
      <c r="K12" s="4">
        <f>Hotel!W17</f>
        <v>2890</v>
      </c>
      <c r="L12" s="4">
        <f>Hotel!X17</f>
        <v>4100</v>
      </c>
      <c r="M12" s="4">
        <f>Hotel!Y17</f>
        <v>4610</v>
      </c>
      <c r="N12" s="4">
        <f>Hotel!Z17</f>
        <v>2520</v>
      </c>
      <c r="O12" s="4">
        <f>Hotel!AA17</f>
        <v>3100</v>
      </c>
      <c r="P12" s="4">
        <f>Hotel!AB17</f>
        <v>7000</v>
      </c>
      <c r="Q12" s="4">
        <f>Hotel!AC17</f>
        <v>10840</v>
      </c>
      <c r="R12" s="4">
        <f>Hotel!AV17*0.00378541*100</f>
        <v>0</v>
      </c>
      <c r="S12" s="4">
        <f>Hotel!B17</f>
        <v>94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2022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V1" zoomScale="93" zoomScaleNormal="93" workbookViewId="0">
      <selection activeCell="AJ17" sqref="AJ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44712</v>
      </c>
      <c r="B2" s="40">
        <v>143</v>
      </c>
      <c r="C2" s="24">
        <v>8144740</v>
      </c>
      <c r="D2" s="24">
        <v>18888560</v>
      </c>
      <c r="E2" s="24">
        <v>3221420</v>
      </c>
      <c r="F2" s="24">
        <v>4070270</v>
      </c>
      <c r="G2" s="24">
        <v>12054400</v>
      </c>
      <c r="H2" s="24">
        <v>6913300</v>
      </c>
      <c r="I2" s="24">
        <v>6050660</v>
      </c>
      <c r="J2" s="24">
        <v>7468620</v>
      </c>
      <c r="K2" s="24">
        <v>11028290</v>
      </c>
      <c r="L2" s="24">
        <v>4759270</v>
      </c>
      <c r="M2" s="24">
        <v>9015480</v>
      </c>
      <c r="N2" s="24">
        <v>14589510</v>
      </c>
      <c r="O2" s="24">
        <v>20418950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44713</v>
      </c>
      <c r="B7" s="40">
        <v>113</v>
      </c>
      <c r="C7" s="24">
        <v>8145760</v>
      </c>
      <c r="D7" s="24">
        <v>18901270</v>
      </c>
      <c r="E7" s="24">
        <v>3224590</v>
      </c>
      <c r="F7" s="24">
        <v>4071870</v>
      </c>
      <c r="G7" s="24">
        <v>12058380</v>
      </c>
      <c r="H7" s="24">
        <v>6917480</v>
      </c>
      <c r="I7" s="24">
        <v>6053820</v>
      </c>
      <c r="J7" s="24">
        <v>7472700</v>
      </c>
      <c r="K7" s="24">
        <v>11032610</v>
      </c>
      <c r="L7" s="24">
        <v>4761850</v>
      </c>
      <c r="M7" s="24">
        <v>9018640</v>
      </c>
      <c r="N7" s="24">
        <v>14596530</v>
      </c>
      <c r="O7" s="24">
        <v>20429990</v>
      </c>
      <c r="Q7" s="37">
        <f>IF((C7-C2&lt;0), "0",C7-C2)</f>
        <v>1020</v>
      </c>
      <c r="R7" s="37">
        <f t="shared" ref="R7:AC7" si="0">IF((D7-D2&lt;0), "0",D7-D2)</f>
        <v>12710</v>
      </c>
      <c r="S7" s="37">
        <f>IF((E7-E2&lt;0), "0",E7-E2)</f>
        <v>3170</v>
      </c>
      <c r="T7" s="37">
        <f t="shared" si="0"/>
        <v>1600</v>
      </c>
      <c r="U7" s="37">
        <f t="shared" si="0"/>
        <v>3980</v>
      </c>
      <c r="V7" s="37">
        <f t="shared" si="0"/>
        <v>4180</v>
      </c>
      <c r="W7" s="37">
        <f t="shared" si="0"/>
        <v>3160</v>
      </c>
      <c r="X7" s="37">
        <f t="shared" si="0"/>
        <v>4080</v>
      </c>
      <c r="Y7" s="37">
        <f t="shared" si="0"/>
        <v>4320</v>
      </c>
      <c r="Z7" s="37">
        <f t="shared" si="0"/>
        <v>2580</v>
      </c>
      <c r="AA7" s="37">
        <f t="shared" si="0"/>
        <v>3160</v>
      </c>
      <c r="AB7" s="37">
        <f t="shared" si="0"/>
        <v>7020</v>
      </c>
      <c r="AC7" s="37">
        <f t="shared" si="0"/>
        <v>11040</v>
      </c>
      <c r="AD7" s="34">
        <f>SUM(Q7:AC7)</f>
        <v>62020</v>
      </c>
      <c r="AF7" s="20">
        <f t="shared" ref="AF7:AF36" si="1">Q7*$D$39</f>
        <v>5.1000000000000005</v>
      </c>
      <c r="AG7" s="20">
        <f t="shared" ref="AG7:AG36" si="2">R7*$D$39</f>
        <v>63.550000000000004</v>
      </c>
      <c r="AH7" s="20">
        <f t="shared" ref="AH7:AH36" si="3">S7*$D$39</f>
        <v>15.85</v>
      </c>
      <c r="AI7" s="20">
        <f t="shared" ref="AI7:AI36" si="4">T7*$D$39</f>
        <v>8</v>
      </c>
      <c r="AJ7" s="20">
        <f t="shared" ref="AJ7:AJ36" si="5">U7*$D$39</f>
        <v>19.900000000000002</v>
      </c>
      <c r="AK7" s="20">
        <f t="shared" ref="AK7:AK36" si="6">V7*$D$39</f>
        <v>20.900000000000002</v>
      </c>
      <c r="AL7" s="20">
        <f t="shared" ref="AL7:AL36" si="7">W7*$D$39</f>
        <v>15.8</v>
      </c>
      <c r="AM7" s="20">
        <f t="shared" ref="AM7:AM36" si="8">X7*$D$39</f>
        <v>20.400000000000002</v>
      </c>
      <c r="AN7" s="20">
        <f t="shared" ref="AN7:AN36" si="9">Y7*$D$39</f>
        <v>21.6</v>
      </c>
      <c r="AO7" s="20">
        <f t="shared" ref="AO7:AO36" si="10">Z7*$D$39</f>
        <v>12.9</v>
      </c>
      <c r="AP7" s="20">
        <f t="shared" ref="AP7:AP36" si="11">AA7*$D$39</f>
        <v>15.8</v>
      </c>
      <c r="AQ7" s="20">
        <f t="shared" ref="AQ7:AQ36" si="12">AB7*$D$39</f>
        <v>35.1</v>
      </c>
      <c r="AR7" s="20">
        <f t="shared" ref="AR7:AR36" si="13">AC7*$D$39</f>
        <v>55.2</v>
      </c>
      <c r="AS7" s="35">
        <f>SUM(AF7:AR7)</f>
        <v>310.10000000000002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44714</v>
      </c>
      <c r="B8" s="40">
        <v>149</v>
      </c>
      <c r="C8" s="24">
        <v>8146760</v>
      </c>
      <c r="D8" s="24">
        <v>18913850</v>
      </c>
      <c r="E8" s="24">
        <v>3227750</v>
      </c>
      <c r="F8" s="24">
        <v>4073450</v>
      </c>
      <c r="G8" s="24">
        <v>12063320</v>
      </c>
      <c r="H8" s="24">
        <v>6921520</v>
      </c>
      <c r="I8" s="24">
        <v>6057180</v>
      </c>
      <c r="J8" s="24">
        <v>7476840</v>
      </c>
      <c r="K8" s="24">
        <v>11036840</v>
      </c>
      <c r="L8" s="24">
        <v>4764520</v>
      </c>
      <c r="M8" s="24">
        <v>9021920</v>
      </c>
      <c r="N8" s="24">
        <v>14603520</v>
      </c>
      <c r="O8" s="24">
        <v>20440060</v>
      </c>
      <c r="Q8" s="37">
        <f>IF((C8-C7&lt;0), "0",C8-C7)</f>
        <v>1000</v>
      </c>
      <c r="R8" s="37">
        <f t="shared" ref="R8:AC8" si="15">IF((D8-D7&lt;0), "0",D8-D7)</f>
        <v>12580</v>
      </c>
      <c r="S8" s="37">
        <f t="shared" ref="S8:S35" si="16">IF((E8-E7&lt;0), "0",E8-E7)</f>
        <v>3160</v>
      </c>
      <c r="T8" s="37">
        <f t="shared" si="15"/>
        <v>1580</v>
      </c>
      <c r="U8" s="37">
        <f t="shared" si="15"/>
        <v>4940</v>
      </c>
      <c r="V8" s="37">
        <f t="shared" si="15"/>
        <v>4040</v>
      </c>
      <c r="W8" s="37">
        <f t="shared" si="15"/>
        <v>3360</v>
      </c>
      <c r="X8" s="37">
        <f t="shared" si="15"/>
        <v>4140</v>
      </c>
      <c r="Y8" s="37">
        <f t="shared" si="15"/>
        <v>4230</v>
      </c>
      <c r="Z8" s="37">
        <f t="shared" si="15"/>
        <v>2670</v>
      </c>
      <c r="AA8" s="37">
        <f t="shared" si="15"/>
        <v>3280</v>
      </c>
      <c r="AB8" s="37">
        <f t="shared" si="15"/>
        <v>6990</v>
      </c>
      <c r="AC8" s="37">
        <f t="shared" si="15"/>
        <v>10070</v>
      </c>
      <c r="AD8" s="35">
        <f>SUM(Q8:AC8)</f>
        <v>62040</v>
      </c>
      <c r="AF8" s="20">
        <f t="shared" si="1"/>
        <v>5</v>
      </c>
      <c r="AG8" s="20">
        <f t="shared" si="2"/>
        <v>62.9</v>
      </c>
      <c r="AH8" s="20">
        <f t="shared" si="3"/>
        <v>15.8</v>
      </c>
      <c r="AI8" s="20">
        <f t="shared" si="4"/>
        <v>7.9</v>
      </c>
      <c r="AJ8" s="20">
        <f t="shared" si="5"/>
        <v>24.7</v>
      </c>
      <c r="AK8" s="20">
        <f t="shared" si="6"/>
        <v>20.2</v>
      </c>
      <c r="AL8" s="20">
        <f t="shared" si="7"/>
        <v>16.8</v>
      </c>
      <c r="AM8" s="20">
        <f t="shared" si="8"/>
        <v>20.7</v>
      </c>
      <c r="AN8" s="20">
        <f t="shared" si="9"/>
        <v>21.150000000000002</v>
      </c>
      <c r="AO8" s="20">
        <f t="shared" si="10"/>
        <v>13.35</v>
      </c>
      <c r="AP8" s="20">
        <f t="shared" si="11"/>
        <v>16.399999999999999</v>
      </c>
      <c r="AQ8" s="20">
        <f t="shared" si="12"/>
        <v>34.950000000000003</v>
      </c>
      <c r="AR8" s="20">
        <f t="shared" si="13"/>
        <v>50.35</v>
      </c>
      <c r="AS8" s="35">
        <f>SUM(AF8:AR8)</f>
        <v>310.20000000000005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44715</v>
      </c>
      <c r="B9" s="40">
        <v>160</v>
      </c>
      <c r="C9" s="24">
        <v>8147790</v>
      </c>
      <c r="D9" s="24">
        <v>18926560</v>
      </c>
      <c r="E9" s="24">
        <v>3230930</v>
      </c>
      <c r="F9" s="24">
        <v>4075060</v>
      </c>
      <c r="G9" s="24">
        <v>12068250</v>
      </c>
      <c r="H9" s="24">
        <v>6925600</v>
      </c>
      <c r="I9" s="24">
        <v>6060680</v>
      </c>
      <c r="J9" s="24">
        <v>7481040</v>
      </c>
      <c r="K9" s="24">
        <v>11041230</v>
      </c>
      <c r="L9" s="24">
        <v>4767260</v>
      </c>
      <c r="M9" s="24">
        <v>9025250</v>
      </c>
      <c r="N9" s="24">
        <v>14610640</v>
      </c>
      <c r="O9" s="24">
        <v>20450340</v>
      </c>
      <c r="Q9" s="37">
        <f t="shared" ref="Q9:Q30" si="17">IF((C9-C8&lt;0), "0",C9-C8)</f>
        <v>1030</v>
      </c>
      <c r="R9" s="37">
        <f t="shared" ref="R9:R37" si="18">IF((D9-D8&lt;0), "0",D9-D8)</f>
        <v>12710</v>
      </c>
      <c r="S9" s="37">
        <f t="shared" si="16"/>
        <v>3180</v>
      </c>
      <c r="T9" s="37">
        <f t="shared" ref="T9:T35" si="19">IF((F9-F8&lt;0), "0",F9-F8)</f>
        <v>1610</v>
      </c>
      <c r="U9" s="37">
        <f t="shared" ref="U9:U35" si="20">IF((G9-G8&lt;0), "0",G9-G8)</f>
        <v>4930</v>
      </c>
      <c r="V9" s="37">
        <f t="shared" ref="V9:V35" si="21">IF((H9-H8&lt;0), "0",H9-H8)</f>
        <v>4080</v>
      </c>
      <c r="W9" s="37">
        <f t="shared" ref="W9:W35" si="22">IF((I9-I8&lt;0), "0",I9-I8)</f>
        <v>3500</v>
      </c>
      <c r="X9" s="37">
        <f t="shared" ref="X9:X37" si="23">IF((J9-J8&lt;0), "0",J9-J8)</f>
        <v>4200</v>
      </c>
      <c r="Y9" s="37">
        <f t="shared" ref="Y9:Y35" si="24">IF((K9-K8&lt;0), "0",K9-K8)</f>
        <v>4390</v>
      </c>
      <c r="Z9" s="37">
        <f t="shared" ref="Z9:Z35" si="25">IF((L9-L8&lt;0), "0",L9-L8)</f>
        <v>2740</v>
      </c>
      <c r="AA9" s="37">
        <f t="shared" ref="AA9:AA35" si="26">IF((M9-M8&lt;0), "0",M9-M8)</f>
        <v>3330</v>
      </c>
      <c r="AB9" s="37">
        <f t="shared" ref="AB9:AB37" si="27">IF((N9-N8&lt;0), "0",N9-N8)</f>
        <v>7120</v>
      </c>
      <c r="AC9" s="37">
        <f t="shared" ref="AC9:AC37" si="28">IF((O9-O8&lt;0), "0",O9-O8)</f>
        <v>10280</v>
      </c>
      <c r="AD9" s="35">
        <f t="shared" ref="AD9:AD37" si="29">SUM(Q9:AC9)</f>
        <v>63100</v>
      </c>
      <c r="AF9" s="20">
        <f t="shared" si="1"/>
        <v>5.15</v>
      </c>
      <c r="AG9" s="20">
        <f t="shared" si="2"/>
        <v>63.550000000000004</v>
      </c>
      <c r="AH9" s="20">
        <f t="shared" si="3"/>
        <v>15.9</v>
      </c>
      <c r="AI9" s="20">
        <f t="shared" si="4"/>
        <v>8.0500000000000007</v>
      </c>
      <c r="AJ9" s="20">
        <f t="shared" si="5"/>
        <v>24.650000000000002</v>
      </c>
      <c r="AK9" s="20">
        <f t="shared" si="6"/>
        <v>20.400000000000002</v>
      </c>
      <c r="AL9" s="20">
        <f t="shared" si="7"/>
        <v>17.5</v>
      </c>
      <c r="AM9" s="20">
        <f t="shared" si="8"/>
        <v>21</v>
      </c>
      <c r="AN9" s="20">
        <f t="shared" si="9"/>
        <v>21.95</v>
      </c>
      <c r="AO9" s="20">
        <f t="shared" si="10"/>
        <v>13.700000000000001</v>
      </c>
      <c r="AP9" s="20">
        <f t="shared" si="11"/>
        <v>16.649999999999999</v>
      </c>
      <c r="AQ9" s="20">
        <f t="shared" si="12"/>
        <v>35.6</v>
      </c>
      <c r="AR9" s="20">
        <f t="shared" si="13"/>
        <v>51.4</v>
      </c>
      <c r="AS9" s="35">
        <f t="shared" ref="AS9:AS33" si="30">SUM(AF9:AR9)</f>
        <v>315.5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44716</v>
      </c>
      <c r="B10" s="40">
        <v>93</v>
      </c>
      <c r="C10" s="24">
        <v>8148820</v>
      </c>
      <c r="D10" s="24">
        <v>18939480</v>
      </c>
      <c r="E10" s="24">
        <v>3234180</v>
      </c>
      <c r="F10" s="24">
        <v>4076670</v>
      </c>
      <c r="G10" s="24">
        <v>12073200</v>
      </c>
      <c r="H10" s="24">
        <v>6929690</v>
      </c>
      <c r="I10" s="24">
        <v>6063930</v>
      </c>
      <c r="J10" s="24">
        <v>7485480</v>
      </c>
      <c r="K10" s="24">
        <v>11045700</v>
      </c>
      <c r="L10" s="24">
        <v>4769920</v>
      </c>
      <c r="M10" s="24">
        <v>9028470</v>
      </c>
      <c r="N10" s="24">
        <v>14617780</v>
      </c>
      <c r="O10" s="24">
        <v>20461140</v>
      </c>
      <c r="Q10" s="37">
        <f t="shared" si="17"/>
        <v>1030</v>
      </c>
      <c r="R10" s="37">
        <f t="shared" si="18"/>
        <v>12920</v>
      </c>
      <c r="S10" s="37">
        <f t="shared" si="16"/>
        <v>3250</v>
      </c>
      <c r="T10" s="37">
        <f t="shared" si="19"/>
        <v>1610</v>
      </c>
      <c r="U10" s="37">
        <f t="shared" si="20"/>
        <v>4950</v>
      </c>
      <c r="V10" s="37">
        <f t="shared" si="21"/>
        <v>4090</v>
      </c>
      <c r="W10" s="37">
        <f t="shared" si="22"/>
        <v>3250</v>
      </c>
      <c r="X10" s="37">
        <f t="shared" si="23"/>
        <v>4440</v>
      </c>
      <c r="Y10" s="37">
        <f t="shared" si="24"/>
        <v>4470</v>
      </c>
      <c r="Z10" s="37">
        <f t="shared" si="25"/>
        <v>2660</v>
      </c>
      <c r="AA10" s="37">
        <f t="shared" si="26"/>
        <v>3220</v>
      </c>
      <c r="AB10" s="37">
        <f t="shared" si="27"/>
        <v>7140</v>
      </c>
      <c r="AC10" s="37">
        <f t="shared" si="28"/>
        <v>10800</v>
      </c>
      <c r="AD10" s="35">
        <f t="shared" si="29"/>
        <v>63830</v>
      </c>
      <c r="AF10" s="20">
        <f t="shared" si="1"/>
        <v>5.15</v>
      </c>
      <c r="AG10" s="20">
        <f t="shared" si="2"/>
        <v>64.599999999999994</v>
      </c>
      <c r="AH10" s="20">
        <f t="shared" si="3"/>
        <v>16.25</v>
      </c>
      <c r="AI10" s="20">
        <f t="shared" si="4"/>
        <v>8.0500000000000007</v>
      </c>
      <c r="AJ10" s="20">
        <f t="shared" si="5"/>
        <v>24.75</v>
      </c>
      <c r="AK10" s="20">
        <f t="shared" si="6"/>
        <v>20.45</v>
      </c>
      <c r="AL10" s="20">
        <f t="shared" si="7"/>
        <v>16.25</v>
      </c>
      <c r="AM10" s="20">
        <f t="shared" si="8"/>
        <v>22.2</v>
      </c>
      <c r="AN10" s="20">
        <f t="shared" si="9"/>
        <v>22.35</v>
      </c>
      <c r="AO10" s="20">
        <f t="shared" si="10"/>
        <v>13.3</v>
      </c>
      <c r="AP10" s="20">
        <f t="shared" si="11"/>
        <v>16.100000000000001</v>
      </c>
      <c r="AQ10" s="20">
        <f t="shared" si="12"/>
        <v>35.700000000000003</v>
      </c>
      <c r="AR10" s="20">
        <f t="shared" si="13"/>
        <v>54</v>
      </c>
      <c r="AS10" s="35">
        <f t="shared" si="30"/>
        <v>319.14999999999998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44717</v>
      </c>
      <c r="B11" s="40">
        <v>97</v>
      </c>
      <c r="C11" s="24">
        <v>8149840</v>
      </c>
      <c r="D11" s="24">
        <v>18952380</v>
      </c>
      <c r="E11" s="24">
        <v>3237470</v>
      </c>
      <c r="F11" s="24">
        <v>4078280</v>
      </c>
      <c r="G11" s="24">
        <v>12077770</v>
      </c>
      <c r="H11" s="24">
        <v>6933660</v>
      </c>
      <c r="I11" s="24">
        <v>6066900</v>
      </c>
      <c r="J11" s="24">
        <v>7489530</v>
      </c>
      <c r="K11" s="24">
        <v>11049900</v>
      </c>
      <c r="L11" s="24">
        <v>4772500</v>
      </c>
      <c r="M11" s="24">
        <v>9031650</v>
      </c>
      <c r="N11" s="24">
        <v>14624860</v>
      </c>
      <c r="O11" s="24">
        <v>20471110</v>
      </c>
      <c r="Q11" s="37">
        <f t="shared" si="17"/>
        <v>1020</v>
      </c>
      <c r="R11" s="37">
        <f t="shared" si="18"/>
        <v>12900</v>
      </c>
      <c r="S11" s="37">
        <f t="shared" si="16"/>
        <v>3290</v>
      </c>
      <c r="T11" s="37">
        <f t="shared" si="19"/>
        <v>1610</v>
      </c>
      <c r="U11" s="37">
        <f t="shared" si="20"/>
        <v>4570</v>
      </c>
      <c r="V11" s="37">
        <f t="shared" si="21"/>
        <v>3970</v>
      </c>
      <c r="W11" s="37">
        <f t="shared" si="22"/>
        <v>2970</v>
      </c>
      <c r="X11" s="37">
        <f t="shared" si="23"/>
        <v>4050</v>
      </c>
      <c r="Y11" s="37">
        <f t="shared" si="24"/>
        <v>4200</v>
      </c>
      <c r="Z11" s="37">
        <f t="shared" si="25"/>
        <v>2580</v>
      </c>
      <c r="AA11" s="37">
        <f t="shared" si="26"/>
        <v>3180</v>
      </c>
      <c r="AB11" s="37">
        <f t="shared" si="27"/>
        <v>7080</v>
      </c>
      <c r="AC11" s="37">
        <f t="shared" si="28"/>
        <v>9970</v>
      </c>
      <c r="AD11" s="35">
        <f t="shared" si="29"/>
        <v>61390</v>
      </c>
      <c r="AF11" s="20">
        <f t="shared" si="1"/>
        <v>5.1000000000000005</v>
      </c>
      <c r="AG11" s="20">
        <f t="shared" si="2"/>
        <v>64.5</v>
      </c>
      <c r="AH11" s="20">
        <f t="shared" si="3"/>
        <v>16.45</v>
      </c>
      <c r="AI11" s="20">
        <f t="shared" si="4"/>
        <v>8.0500000000000007</v>
      </c>
      <c r="AJ11" s="20">
        <f t="shared" si="5"/>
        <v>22.85</v>
      </c>
      <c r="AK11" s="20">
        <f t="shared" si="6"/>
        <v>19.850000000000001</v>
      </c>
      <c r="AL11" s="20">
        <f t="shared" si="7"/>
        <v>14.85</v>
      </c>
      <c r="AM11" s="20">
        <f t="shared" si="8"/>
        <v>20.25</v>
      </c>
      <c r="AN11" s="20">
        <f t="shared" si="9"/>
        <v>21</v>
      </c>
      <c r="AO11" s="20">
        <f t="shared" si="10"/>
        <v>12.9</v>
      </c>
      <c r="AP11" s="20">
        <f t="shared" si="11"/>
        <v>15.9</v>
      </c>
      <c r="AQ11" s="20">
        <f t="shared" si="12"/>
        <v>35.4</v>
      </c>
      <c r="AR11" s="20">
        <f t="shared" si="13"/>
        <v>49.85</v>
      </c>
      <c r="AS11" s="35">
        <f t="shared" si="30"/>
        <v>306.95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44718</v>
      </c>
      <c r="B12" s="40">
        <v>101</v>
      </c>
      <c r="C12" s="49">
        <v>8150860</v>
      </c>
      <c r="D12" s="24">
        <v>18965540</v>
      </c>
      <c r="E12" s="24">
        <v>3240830</v>
      </c>
      <c r="F12" s="24">
        <v>4079890</v>
      </c>
      <c r="G12" s="24">
        <v>12082350</v>
      </c>
      <c r="H12" s="24">
        <v>6937670</v>
      </c>
      <c r="I12" s="24">
        <v>6069940</v>
      </c>
      <c r="J12" s="24">
        <v>7493780</v>
      </c>
      <c r="K12" s="24">
        <v>11054460</v>
      </c>
      <c r="L12" s="24">
        <v>4775030</v>
      </c>
      <c r="M12" s="24">
        <v>9034620</v>
      </c>
      <c r="N12" s="24">
        <v>14631990</v>
      </c>
      <c r="O12" s="24">
        <v>20479920</v>
      </c>
      <c r="Q12" s="37">
        <f t="shared" si="17"/>
        <v>1020</v>
      </c>
      <c r="R12" s="37">
        <f t="shared" si="18"/>
        <v>13160</v>
      </c>
      <c r="S12" s="37">
        <f t="shared" si="16"/>
        <v>3360</v>
      </c>
      <c r="T12" s="37">
        <f t="shared" ref="T12:W14" si="32">IF((F12-F11&lt;0), "0",F12-F11)</f>
        <v>1610</v>
      </c>
      <c r="U12" s="37">
        <f t="shared" si="32"/>
        <v>4580</v>
      </c>
      <c r="V12" s="37">
        <f t="shared" si="32"/>
        <v>4010</v>
      </c>
      <c r="W12" s="37">
        <f t="shared" si="32"/>
        <v>3040</v>
      </c>
      <c r="X12" s="37">
        <f t="shared" si="23"/>
        <v>4250</v>
      </c>
      <c r="Y12" s="37">
        <f t="shared" si="24"/>
        <v>4560</v>
      </c>
      <c r="Z12" s="37">
        <f>IF((L12-L11&lt;0), "0",L12-L11)</f>
        <v>2530</v>
      </c>
      <c r="AA12" s="37">
        <f t="shared" si="26"/>
        <v>2970</v>
      </c>
      <c r="AB12" s="37">
        <f t="shared" si="27"/>
        <v>7130</v>
      </c>
      <c r="AC12" s="37">
        <f t="shared" si="28"/>
        <v>8810</v>
      </c>
      <c r="AD12" s="35">
        <f t="shared" si="29"/>
        <v>61030</v>
      </c>
      <c r="AF12" s="20">
        <f t="shared" si="1"/>
        <v>5.1000000000000005</v>
      </c>
      <c r="AG12" s="20">
        <f t="shared" si="2"/>
        <v>65.8</v>
      </c>
      <c r="AH12" s="20">
        <f t="shared" si="3"/>
        <v>16.8</v>
      </c>
      <c r="AI12" s="20">
        <f t="shared" si="4"/>
        <v>8.0500000000000007</v>
      </c>
      <c r="AJ12" s="20">
        <f t="shared" si="5"/>
        <v>22.900000000000002</v>
      </c>
      <c r="AK12" s="20">
        <f t="shared" si="6"/>
        <v>20.05</v>
      </c>
      <c r="AL12" s="20">
        <f t="shared" si="7"/>
        <v>15.200000000000001</v>
      </c>
      <c r="AM12" s="20">
        <f t="shared" si="8"/>
        <v>21.25</v>
      </c>
      <c r="AN12" s="20">
        <f t="shared" si="9"/>
        <v>22.8</v>
      </c>
      <c r="AO12" s="20">
        <f t="shared" si="10"/>
        <v>12.65</v>
      </c>
      <c r="AP12" s="20">
        <f t="shared" si="11"/>
        <v>14.85</v>
      </c>
      <c r="AQ12" s="20">
        <f t="shared" si="12"/>
        <v>35.65</v>
      </c>
      <c r="AR12" s="20">
        <f t="shared" si="13"/>
        <v>44.050000000000004</v>
      </c>
      <c r="AS12" s="35">
        <f t="shared" si="30"/>
        <v>305.14999999999998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44719</v>
      </c>
      <c r="B13" s="40">
        <v>111</v>
      </c>
      <c r="C13" s="24">
        <v>8151890</v>
      </c>
      <c r="D13" s="24">
        <v>18978720</v>
      </c>
      <c r="E13" s="24">
        <v>3244210</v>
      </c>
      <c r="F13" s="24">
        <v>4081510</v>
      </c>
      <c r="G13" s="24">
        <v>12086910</v>
      </c>
      <c r="H13" s="24">
        <v>6941640</v>
      </c>
      <c r="I13" s="24">
        <v>6073060</v>
      </c>
      <c r="J13" s="24">
        <v>7497960</v>
      </c>
      <c r="K13" s="24">
        <v>11058840</v>
      </c>
      <c r="L13" s="24">
        <v>4777640</v>
      </c>
      <c r="M13" s="24">
        <v>9037650</v>
      </c>
      <c r="N13" s="24">
        <v>14639350</v>
      </c>
      <c r="O13" s="24">
        <v>20488850</v>
      </c>
      <c r="Q13" s="37">
        <f t="shared" si="17"/>
        <v>1030</v>
      </c>
      <c r="R13" s="37">
        <f t="shared" si="18"/>
        <v>13180</v>
      </c>
      <c r="S13" s="37">
        <f t="shared" si="16"/>
        <v>3380</v>
      </c>
      <c r="T13" s="37">
        <f t="shared" si="32"/>
        <v>1620</v>
      </c>
      <c r="U13" s="37">
        <f t="shared" si="32"/>
        <v>4560</v>
      </c>
      <c r="V13" s="37">
        <f t="shared" si="32"/>
        <v>3970</v>
      </c>
      <c r="W13" s="37">
        <f t="shared" si="32"/>
        <v>3120</v>
      </c>
      <c r="X13" s="37">
        <f t="shared" si="23"/>
        <v>4180</v>
      </c>
      <c r="Y13" s="37">
        <f t="shared" si="24"/>
        <v>4380</v>
      </c>
      <c r="Z13" s="37">
        <f>IF((L13-L12&lt;0), "0",L13-L12)</f>
        <v>2610</v>
      </c>
      <c r="AA13" s="37">
        <f t="shared" si="26"/>
        <v>3030</v>
      </c>
      <c r="AB13" s="37">
        <f t="shared" si="27"/>
        <v>7360</v>
      </c>
      <c r="AC13" s="37">
        <f t="shared" si="28"/>
        <v>8930</v>
      </c>
      <c r="AD13" s="35">
        <f t="shared" si="29"/>
        <v>61350</v>
      </c>
      <c r="AF13" s="20">
        <f t="shared" si="1"/>
        <v>5.15</v>
      </c>
      <c r="AG13" s="20">
        <f t="shared" si="2"/>
        <v>65.900000000000006</v>
      </c>
      <c r="AH13" s="20">
        <f t="shared" si="3"/>
        <v>16.899999999999999</v>
      </c>
      <c r="AI13" s="20">
        <f t="shared" si="4"/>
        <v>8.1</v>
      </c>
      <c r="AJ13" s="20">
        <f t="shared" si="5"/>
        <v>22.8</v>
      </c>
      <c r="AK13" s="20">
        <f t="shared" si="6"/>
        <v>19.850000000000001</v>
      </c>
      <c r="AL13" s="20">
        <f t="shared" si="7"/>
        <v>15.6</v>
      </c>
      <c r="AM13" s="20">
        <f t="shared" si="8"/>
        <v>20.900000000000002</v>
      </c>
      <c r="AN13" s="20">
        <f t="shared" si="9"/>
        <v>21.900000000000002</v>
      </c>
      <c r="AO13" s="20">
        <f t="shared" si="10"/>
        <v>13.05</v>
      </c>
      <c r="AP13" s="20">
        <f t="shared" si="11"/>
        <v>15.15</v>
      </c>
      <c r="AQ13" s="20">
        <f t="shared" si="12"/>
        <v>36.800000000000004</v>
      </c>
      <c r="AR13" s="20">
        <f t="shared" si="13"/>
        <v>44.65</v>
      </c>
      <c r="AS13" s="35">
        <f t="shared" si="30"/>
        <v>306.75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44720</v>
      </c>
      <c r="B14" s="40">
        <v>102</v>
      </c>
      <c r="C14" s="24">
        <v>8152920</v>
      </c>
      <c r="D14" s="24">
        <v>18992150</v>
      </c>
      <c r="E14" s="24">
        <v>3247680</v>
      </c>
      <c r="F14" s="24">
        <v>4083150</v>
      </c>
      <c r="G14" s="24">
        <v>12091390</v>
      </c>
      <c r="H14" s="24">
        <v>6945710</v>
      </c>
      <c r="I14" s="24">
        <v>6076340</v>
      </c>
      <c r="J14" s="24">
        <v>7502450</v>
      </c>
      <c r="K14" s="24">
        <v>11062960</v>
      </c>
      <c r="L14" s="24">
        <v>4780210</v>
      </c>
      <c r="M14" s="24">
        <v>9040670</v>
      </c>
      <c r="N14" s="24">
        <v>14646470</v>
      </c>
      <c r="O14" s="24">
        <v>20497950</v>
      </c>
      <c r="P14" s="53"/>
      <c r="Q14" s="37">
        <f t="shared" si="17"/>
        <v>1030</v>
      </c>
      <c r="R14" s="37">
        <f t="shared" si="18"/>
        <v>13430</v>
      </c>
      <c r="S14" s="37">
        <f t="shared" si="16"/>
        <v>3470</v>
      </c>
      <c r="T14" s="37">
        <f t="shared" si="32"/>
        <v>1640</v>
      </c>
      <c r="U14" s="37">
        <f t="shared" si="32"/>
        <v>4480</v>
      </c>
      <c r="V14" s="37">
        <f t="shared" si="32"/>
        <v>4070</v>
      </c>
      <c r="W14" s="37">
        <f t="shared" si="32"/>
        <v>3280</v>
      </c>
      <c r="X14" s="37">
        <f t="shared" si="23"/>
        <v>4490</v>
      </c>
      <c r="Y14" s="37">
        <f t="shared" si="24"/>
        <v>4120</v>
      </c>
      <c r="Z14" s="37">
        <f>IF((L14-L13&lt;0), "0",L14-L13)</f>
        <v>2570</v>
      </c>
      <c r="AA14" s="37">
        <f t="shared" si="26"/>
        <v>3020</v>
      </c>
      <c r="AB14" s="37">
        <f t="shared" si="27"/>
        <v>7120</v>
      </c>
      <c r="AC14" s="37">
        <f t="shared" si="28"/>
        <v>9100</v>
      </c>
      <c r="AD14" s="35">
        <f t="shared" si="29"/>
        <v>61820</v>
      </c>
      <c r="AF14" s="20">
        <f t="shared" si="1"/>
        <v>5.15</v>
      </c>
      <c r="AG14" s="20">
        <f t="shared" si="2"/>
        <v>67.150000000000006</v>
      </c>
      <c r="AH14" s="20">
        <f t="shared" si="3"/>
        <v>17.350000000000001</v>
      </c>
      <c r="AI14" s="20">
        <f t="shared" si="4"/>
        <v>8.1999999999999993</v>
      </c>
      <c r="AJ14" s="20">
        <f t="shared" si="5"/>
        <v>22.400000000000002</v>
      </c>
      <c r="AK14" s="20">
        <f t="shared" si="6"/>
        <v>20.350000000000001</v>
      </c>
      <c r="AL14" s="20">
        <f t="shared" si="7"/>
        <v>16.399999999999999</v>
      </c>
      <c r="AM14" s="20">
        <f t="shared" si="8"/>
        <v>22.45</v>
      </c>
      <c r="AN14" s="20">
        <f t="shared" si="9"/>
        <v>20.6</v>
      </c>
      <c r="AO14" s="20">
        <f t="shared" si="10"/>
        <v>12.85</v>
      </c>
      <c r="AP14" s="20">
        <f t="shared" si="11"/>
        <v>15.1</v>
      </c>
      <c r="AQ14" s="20">
        <f t="shared" si="12"/>
        <v>35.6</v>
      </c>
      <c r="AR14" s="20">
        <f t="shared" si="13"/>
        <v>45.5</v>
      </c>
      <c r="AS14" s="35">
        <f t="shared" si="30"/>
        <v>309.10000000000002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44721</v>
      </c>
      <c r="B15" s="40">
        <v>142</v>
      </c>
      <c r="C15" s="24">
        <v>8153930</v>
      </c>
      <c r="D15" s="24">
        <v>19005280</v>
      </c>
      <c r="E15" s="24">
        <v>3251060</v>
      </c>
      <c r="F15" s="24">
        <v>4084760</v>
      </c>
      <c r="G15" s="24">
        <v>12096230</v>
      </c>
      <c r="H15" s="24">
        <v>6949730</v>
      </c>
      <c r="I15" s="24">
        <v>6079940</v>
      </c>
      <c r="J15" s="24">
        <v>7506790</v>
      </c>
      <c r="K15" s="24">
        <v>11067350</v>
      </c>
      <c r="L15" s="24">
        <v>4782890</v>
      </c>
      <c r="M15" s="24">
        <v>9043800</v>
      </c>
      <c r="N15" s="24">
        <v>14653820</v>
      </c>
      <c r="O15" s="24">
        <v>20506600</v>
      </c>
      <c r="Q15" s="37">
        <f t="shared" si="17"/>
        <v>1010</v>
      </c>
      <c r="R15" s="37">
        <f t="shared" si="18"/>
        <v>13130</v>
      </c>
      <c r="S15" s="37">
        <f t="shared" si="16"/>
        <v>3380</v>
      </c>
      <c r="T15" s="37">
        <f t="shared" si="19"/>
        <v>1610</v>
      </c>
      <c r="U15" s="37">
        <f t="shared" si="20"/>
        <v>4840</v>
      </c>
      <c r="V15" s="37">
        <f t="shared" si="21"/>
        <v>4020</v>
      </c>
      <c r="W15" s="37">
        <f t="shared" si="22"/>
        <v>3600</v>
      </c>
      <c r="X15" s="37">
        <f t="shared" si="23"/>
        <v>4340</v>
      </c>
      <c r="Y15" s="37">
        <f t="shared" si="24"/>
        <v>4390</v>
      </c>
      <c r="Z15" s="37">
        <f t="shared" si="25"/>
        <v>2680</v>
      </c>
      <c r="AA15" s="37">
        <f t="shared" si="26"/>
        <v>3130</v>
      </c>
      <c r="AB15" s="37">
        <f t="shared" si="27"/>
        <v>7350</v>
      </c>
      <c r="AC15" s="37">
        <f t="shared" si="28"/>
        <v>8650</v>
      </c>
      <c r="AD15" s="35">
        <f t="shared" si="29"/>
        <v>62130</v>
      </c>
      <c r="AF15" s="20">
        <f t="shared" si="1"/>
        <v>5.05</v>
      </c>
      <c r="AG15" s="20">
        <f t="shared" si="2"/>
        <v>65.650000000000006</v>
      </c>
      <c r="AH15" s="20">
        <f t="shared" si="3"/>
        <v>16.899999999999999</v>
      </c>
      <c r="AI15" s="20">
        <f t="shared" si="4"/>
        <v>8.0500000000000007</v>
      </c>
      <c r="AJ15" s="20">
        <f t="shared" si="5"/>
        <v>24.2</v>
      </c>
      <c r="AK15" s="20">
        <f t="shared" si="6"/>
        <v>20.100000000000001</v>
      </c>
      <c r="AL15" s="20">
        <f t="shared" si="7"/>
        <v>18</v>
      </c>
      <c r="AM15" s="20">
        <f t="shared" si="8"/>
        <v>21.7</v>
      </c>
      <c r="AN15" s="20">
        <f t="shared" si="9"/>
        <v>21.95</v>
      </c>
      <c r="AO15" s="20">
        <f t="shared" si="10"/>
        <v>13.4</v>
      </c>
      <c r="AP15" s="20">
        <f t="shared" si="11"/>
        <v>15.65</v>
      </c>
      <c r="AQ15" s="20">
        <f t="shared" si="12"/>
        <v>36.75</v>
      </c>
      <c r="AR15" s="20">
        <f t="shared" si="13"/>
        <v>43.25</v>
      </c>
      <c r="AS15" s="35">
        <f t="shared" si="30"/>
        <v>310.64999999999998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44722</v>
      </c>
      <c r="B16" s="40">
        <v>171</v>
      </c>
      <c r="C16" s="24">
        <v>8154980</v>
      </c>
      <c r="D16" s="24">
        <v>19018980</v>
      </c>
      <c r="E16" s="24">
        <v>3254570</v>
      </c>
      <c r="F16" s="24">
        <v>4086430</v>
      </c>
      <c r="G16" s="24">
        <v>12101270</v>
      </c>
      <c r="H16" s="24">
        <v>6954110</v>
      </c>
      <c r="I16" s="24">
        <v>6083070</v>
      </c>
      <c r="J16" s="24">
        <v>7511050</v>
      </c>
      <c r="K16" s="24">
        <v>11071900</v>
      </c>
      <c r="L16" s="24">
        <v>4785610</v>
      </c>
      <c r="M16" s="24">
        <v>9047080</v>
      </c>
      <c r="N16" s="24">
        <v>14661150</v>
      </c>
      <c r="O16" s="24">
        <v>20516490</v>
      </c>
      <c r="Q16" s="37">
        <f t="shared" si="17"/>
        <v>1050</v>
      </c>
      <c r="R16" s="37">
        <f t="shared" si="18"/>
        <v>13700</v>
      </c>
      <c r="S16" s="37">
        <f t="shared" si="16"/>
        <v>3510</v>
      </c>
      <c r="T16" s="37">
        <f t="shared" si="19"/>
        <v>1670</v>
      </c>
      <c r="U16" s="37">
        <f>IF((G16-G15&lt;0), "0",G16-G15)</f>
        <v>5040</v>
      </c>
      <c r="V16" s="37">
        <f>IF((H16-H15&lt;0), "0",H16-H15)</f>
        <v>4380</v>
      </c>
      <c r="W16" s="37">
        <f t="shared" si="22"/>
        <v>3130</v>
      </c>
      <c r="X16" s="37">
        <f t="shared" si="23"/>
        <v>4260</v>
      </c>
      <c r="Y16" s="37">
        <f t="shared" si="24"/>
        <v>4550</v>
      </c>
      <c r="Z16" s="37">
        <f t="shared" si="25"/>
        <v>2720</v>
      </c>
      <c r="AA16" s="37">
        <f t="shared" si="26"/>
        <v>3280</v>
      </c>
      <c r="AB16" s="37">
        <f t="shared" si="27"/>
        <v>7330</v>
      </c>
      <c r="AC16" s="37">
        <f t="shared" si="28"/>
        <v>9890</v>
      </c>
      <c r="AD16" s="35">
        <f t="shared" si="29"/>
        <v>64510</v>
      </c>
      <c r="AF16" s="20">
        <f t="shared" si="1"/>
        <v>5.25</v>
      </c>
      <c r="AG16" s="20">
        <f t="shared" si="2"/>
        <v>68.5</v>
      </c>
      <c r="AH16" s="20">
        <f t="shared" si="3"/>
        <v>17.55</v>
      </c>
      <c r="AI16" s="20">
        <f t="shared" si="4"/>
        <v>8.35</v>
      </c>
      <c r="AJ16" s="20">
        <f t="shared" si="5"/>
        <v>25.2</v>
      </c>
      <c r="AK16" s="20">
        <f t="shared" si="6"/>
        <v>21.900000000000002</v>
      </c>
      <c r="AL16" s="20">
        <f t="shared" si="7"/>
        <v>15.65</v>
      </c>
      <c r="AM16" s="20">
        <f t="shared" si="8"/>
        <v>21.3</v>
      </c>
      <c r="AN16" s="20">
        <f t="shared" si="9"/>
        <v>22.75</v>
      </c>
      <c r="AO16" s="20">
        <f t="shared" si="10"/>
        <v>13.6</v>
      </c>
      <c r="AP16" s="20">
        <f t="shared" si="11"/>
        <v>16.399999999999999</v>
      </c>
      <c r="AQ16" s="20">
        <f t="shared" si="12"/>
        <v>36.65</v>
      </c>
      <c r="AR16" s="20">
        <f t="shared" si="13"/>
        <v>49.45</v>
      </c>
      <c r="AS16" s="35">
        <f t="shared" si="30"/>
        <v>322.55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44723</v>
      </c>
      <c r="B17" s="40">
        <v>94</v>
      </c>
      <c r="C17" s="24">
        <v>8155980</v>
      </c>
      <c r="D17" s="24">
        <v>19031990</v>
      </c>
      <c r="E17" s="24">
        <v>3257900</v>
      </c>
      <c r="F17" s="24">
        <v>4088020</v>
      </c>
      <c r="G17" s="24">
        <v>12105790</v>
      </c>
      <c r="H17" s="24">
        <v>6958100</v>
      </c>
      <c r="I17" s="24">
        <v>6085960</v>
      </c>
      <c r="J17" s="24">
        <v>7515150</v>
      </c>
      <c r="K17" s="24">
        <v>11076510</v>
      </c>
      <c r="L17" s="24">
        <v>4788130</v>
      </c>
      <c r="M17" s="24">
        <v>9050180</v>
      </c>
      <c r="N17" s="24">
        <v>14668150</v>
      </c>
      <c r="O17" s="24">
        <v>20527330</v>
      </c>
      <c r="Q17" s="37">
        <f t="shared" si="17"/>
        <v>1000</v>
      </c>
      <c r="R17" s="37">
        <f t="shared" si="18"/>
        <v>13010</v>
      </c>
      <c r="S17" s="37">
        <f t="shared" si="16"/>
        <v>3330</v>
      </c>
      <c r="T17" s="37">
        <f t="shared" si="19"/>
        <v>1590</v>
      </c>
      <c r="U17" s="37">
        <f>IF((G17-G16&lt;0), "0",G17-G16)</f>
        <v>4520</v>
      </c>
      <c r="V17" s="37">
        <f>IF((H17-H16&lt;0), "0",H17-H16)</f>
        <v>3990</v>
      </c>
      <c r="W17" s="37">
        <f t="shared" si="22"/>
        <v>2890</v>
      </c>
      <c r="X17" s="37">
        <f t="shared" si="23"/>
        <v>4100</v>
      </c>
      <c r="Y17" s="37">
        <f t="shared" si="24"/>
        <v>4610</v>
      </c>
      <c r="Z17" s="37">
        <f t="shared" si="25"/>
        <v>2520</v>
      </c>
      <c r="AA17" s="37">
        <f t="shared" si="26"/>
        <v>3100</v>
      </c>
      <c r="AB17" s="37">
        <f t="shared" si="27"/>
        <v>7000</v>
      </c>
      <c r="AC17" s="37">
        <f t="shared" si="28"/>
        <v>10840</v>
      </c>
      <c r="AD17" s="35">
        <f t="shared" si="29"/>
        <v>62500</v>
      </c>
      <c r="AF17" s="20">
        <f t="shared" si="1"/>
        <v>5</v>
      </c>
      <c r="AG17" s="20">
        <f t="shared" si="2"/>
        <v>65.05</v>
      </c>
      <c r="AH17" s="20">
        <f t="shared" si="3"/>
        <v>16.649999999999999</v>
      </c>
      <c r="AI17" s="20">
        <f t="shared" si="4"/>
        <v>7.95</v>
      </c>
      <c r="AJ17" s="20">
        <f t="shared" si="5"/>
        <v>22.6</v>
      </c>
      <c r="AK17" s="20">
        <f t="shared" si="6"/>
        <v>19.95</v>
      </c>
      <c r="AL17" s="20">
        <f t="shared" si="7"/>
        <v>14.450000000000001</v>
      </c>
      <c r="AM17" s="20">
        <f t="shared" si="8"/>
        <v>20.5</v>
      </c>
      <c r="AN17" s="20">
        <f t="shared" si="9"/>
        <v>23.05</v>
      </c>
      <c r="AO17" s="20">
        <f t="shared" si="10"/>
        <v>12.6</v>
      </c>
      <c r="AP17" s="20">
        <f t="shared" si="11"/>
        <v>15.5</v>
      </c>
      <c r="AQ17" s="20">
        <f t="shared" si="12"/>
        <v>35</v>
      </c>
      <c r="AR17" s="20">
        <f t="shared" si="13"/>
        <v>54.2</v>
      </c>
      <c r="AS17" s="35">
        <f t="shared" si="30"/>
        <v>312.49999999999994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44724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7"/>
        <v>0</v>
      </c>
      <c r="R18" s="37" t="str">
        <f t="shared" si="18"/>
        <v>0</v>
      </c>
      <c r="S18" s="37" t="str">
        <f t="shared" si="16"/>
        <v>0</v>
      </c>
      <c r="T18" s="37" t="str">
        <f t="shared" si="19"/>
        <v>0</v>
      </c>
      <c r="U18" s="37" t="str">
        <f t="shared" si="20"/>
        <v>0</v>
      </c>
      <c r="V18" s="37" t="str">
        <f t="shared" si="21"/>
        <v>0</v>
      </c>
      <c r="W18" s="37" t="str">
        <f t="shared" si="22"/>
        <v>0</v>
      </c>
      <c r="X18" s="37" t="str">
        <f t="shared" si="23"/>
        <v>0</v>
      </c>
      <c r="Y18" s="37" t="str">
        <f t="shared" si="24"/>
        <v>0</v>
      </c>
      <c r="Z18" s="37" t="str">
        <f t="shared" si="25"/>
        <v>0</v>
      </c>
      <c r="AA18" s="37" t="str">
        <f t="shared" si="26"/>
        <v>0</v>
      </c>
      <c r="AB18" s="37" t="str">
        <f t="shared" si="27"/>
        <v>0</v>
      </c>
      <c r="AC18" s="37" t="str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 t="str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44725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44726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44727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44728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44729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44730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44740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44742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11240</v>
      </c>
      <c r="R38" s="38">
        <f t="shared" ref="R38:AD38" si="60">SUM(R7:R37)</f>
        <v>143430</v>
      </c>
      <c r="S38" s="38">
        <f t="shared" si="60"/>
        <v>36480</v>
      </c>
      <c r="T38" s="38">
        <f t="shared" si="60"/>
        <v>17750</v>
      </c>
      <c r="U38" s="38">
        <f t="shared" si="60"/>
        <v>51390</v>
      </c>
      <c r="V38" s="38">
        <f t="shared" si="60"/>
        <v>44800</v>
      </c>
      <c r="W38" s="38">
        <f t="shared" si="60"/>
        <v>35300</v>
      </c>
      <c r="X38" s="38">
        <f t="shared" si="60"/>
        <v>46530</v>
      </c>
      <c r="Y38" s="38">
        <f t="shared" si="60"/>
        <v>48220</v>
      </c>
      <c r="Z38" s="38">
        <f t="shared" si="60"/>
        <v>28860</v>
      </c>
      <c r="AA38" s="38">
        <f t="shared" si="60"/>
        <v>34700</v>
      </c>
      <c r="AB38" s="38">
        <f t="shared" si="60"/>
        <v>78640</v>
      </c>
      <c r="AC38" s="38">
        <f t="shared" si="60"/>
        <v>108380</v>
      </c>
      <c r="AD38" s="38">
        <f t="shared" si="60"/>
        <v>685720</v>
      </c>
      <c r="AF38" s="35">
        <f>SUM(AF7:AF37)</f>
        <v>56.2</v>
      </c>
      <c r="AG38" s="35">
        <f t="shared" ref="AG38:AS38" si="61">SUM(AG7:AG37)</f>
        <v>717.15</v>
      </c>
      <c r="AH38" s="35">
        <f t="shared" si="61"/>
        <v>182.4</v>
      </c>
      <c r="AI38" s="35">
        <f t="shared" si="61"/>
        <v>88.749999999999986</v>
      </c>
      <c r="AJ38" s="35">
        <f t="shared" si="61"/>
        <v>256.95</v>
      </c>
      <c r="AK38" s="35">
        <f t="shared" si="61"/>
        <v>224</v>
      </c>
      <c r="AL38" s="35">
        <f t="shared" si="61"/>
        <v>176.49999999999997</v>
      </c>
      <c r="AM38" s="35">
        <f t="shared" si="61"/>
        <v>232.64999999999998</v>
      </c>
      <c r="AN38" s="35">
        <f t="shared" si="61"/>
        <v>241.10000000000002</v>
      </c>
      <c r="AO38" s="35">
        <f t="shared" si="61"/>
        <v>144.30000000000001</v>
      </c>
      <c r="AP38" s="35">
        <f t="shared" si="61"/>
        <v>173.5</v>
      </c>
      <c r="AQ38" s="35">
        <f t="shared" si="61"/>
        <v>393.20000000000005</v>
      </c>
      <c r="AR38" s="35">
        <f t="shared" si="61"/>
        <v>541.9</v>
      </c>
      <c r="AS38" s="35">
        <f t="shared" si="61"/>
        <v>3428.6000000000004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1333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2022-06-12T05:14:39Z</dcterms:modified>
</cp:coreProperties>
</file>