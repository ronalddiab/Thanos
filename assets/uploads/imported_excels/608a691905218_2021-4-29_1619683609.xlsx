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4" l="1"/>
  <c r="F30" i="4"/>
  <c r="G30" i="4"/>
  <c r="H30" i="4"/>
  <c r="I30" i="4"/>
  <c r="J30" i="4"/>
  <c r="L30" i="4"/>
  <c r="E31" i="4"/>
  <c r="F31" i="4"/>
  <c r="G31" i="4"/>
  <c r="H31" i="4"/>
  <c r="I31" i="4"/>
  <c r="J31" i="4"/>
  <c r="L31" i="4"/>
  <c r="F32" i="4"/>
  <c r="G32" i="4"/>
  <c r="H32" i="4"/>
  <c r="J32" i="4"/>
  <c r="L32" i="4"/>
  <c r="B30" i="4"/>
  <c r="B31" i="4" s="1"/>
  <c r="B32" i="4" s="1"/>
  <c r="H37" i="1"/>
  <c r="H36" i="1"/>
  <c r="J36" i="1" s="1"/>
  <c r="J34" i="1"/>
  <c r="K34" i="1"/>
  <c r="L34" i="1"/>
  <c r="M34" i="1"/>
  <c r="N34" i="1" s="1"/>
  <c r="J35" i="1"/>
  <c r="K35" i="1"/>
  <c r="M35" i="1" s="1"/>
  <c r="L35" i="1"/>
  <c r="K36" i="1"/>
  <c r="M36" i="1" s="1"/>
  <c r="N36" i="1" s="1"/>
  <c r="L36" i="1"/>
  <c r="H34" i="1"/>
  <c r="H35" i="1"/>
  <c r="E34" i="1"/>
  <c r="E35" i="1"/>
  <c r="E36" i="1"/>
  <c r="C33" i="2"/>
  <c r="C34" i="2"/>
  <c r="C35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32" i="4" l="1"/>
  <c r="N35" i="1"/>
  <c r="O35" i="1" s="1"/>
  <c r="O36" i="1"/>
  <c r="I32" i="4" s="1"/>
  <c r="O34" i="1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G37" i="2" l="1"/>
  <c r="F37" i="2"/>
  <c r="C5" i="2"/>
  <c r="L2" i="4" s="1"/>
  <c r="C6" i="2"/>
  <c r="L3" i="4" s="1"/>
  <c r="C7" i="2"/>
  <c r="L4" i="4" s="1"/>
  <c r="C8" i="2"/>
  <c r="L5" i="4" s="1"/>
  <c r="C9" i="2"/>
  <c r="L6" i="4" s="1"/>
  <c r="C10" i="2"/>
  <c r="L7" i="4" s="1"/>
  <c r="C11" i="2"/>
  <c r="L8" i="4" s="1"/>
  <c r="C12" i="2"/>
  <c r="L9" i="4" s="1"/>
  <c r="C13" i="2"/>
  <c r="L10" i="4" s="1"/>
  <c r="C14" i="2"/>
  <c r="L11" i="4" s="1"/>
  <c r="C15" i="2"/>
  <c r="L12" i="4" s="1"/>
  <c r="C16" i="2"/>
  <c r="L13" i="4" s="1"/>
  <c r="C17" i="2"/>
  <c r="L14" i="4" s="1"/>
  <c r="C18" i="2"/>
  <c r="L15" i="4" s="1"/>
  <c r="C19" i="2"/>
  <c r="L16" i="4" s="1"/>
  <c r="C20" i="2"/>
  <c r="L17" i="4" s="1"/>
  <c r="D37" i="3" l="1"/>
  <c r="E37" i="3"/>
  <c r="F37" i="3"/>
  <c r="G37" i="3"/>
  <c r="H37" i="3"/>
  <c r="H38" i="3" s="1"/>
  <c r="C25" i="2"/>
  <c r="L22" i="4" s="1"/>
  <c r="C26" i="2"/>
  <c r="L23" i="4" s="1"/>
  <c r="C27" i="2"/>
  <c r="L24" i="4" s="1"/>
  <c r="C28" i="2"/>
  <c r="L25" i="4" s="1"/>
  <c r="C29" i="2"/>
  <c r="L26" i="4" s="1"/>
  <c r="C30" i="2"/>
  <c r="L27" i="4" s="1"/>
  <c r="C31" i="2"/>
  <c r="L28" i="4" s="1"/>
  <c r="C32" i="2"/>
  <c r="L29" i="4" s="1"/>
  <c r="C37" i="3"/>
  <c r="E46" i="3" s="1"/>
  <c r="G38" i="1"/>
  <c r="I38" i="1"/>
  <c r="F38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7" i="1"/>
  <c r="K37" i="1" s="1"/>
  <c r="E6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6" i="1"/>
  <c r="K20" i="1"/>
  <c r="K12" i="1"/>
  <c r="K33" i="1"/>
  <c r="K24" i="1"/>
  <c r="K15" i="1"/>
  <c r="K30" i="1"/>
  <c r="K28" i="1"/>
  <c r="K27" i="1"/>
  <c r="K19" i="1"/>
  <c r="K11" i="1"/>
  <c r="N46" i="1"/>
  <c r="O46" i="1" s="1"/>
  <c r="K38" i="1" l="1"/>
  <c r="J37" i="1"/>
  <c r="L37" i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8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1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8" i="1"/>
  <c r="M31" i="1"/>
  <c r="N31" i="1" s="1"/>
  <c r="O31" i="1" s="1"/>
  <c r="I27" i="4" s="1"/>
  <c r="M29" i="1"/>
  <c r="N29" i="1" s="1"/>
  <c r="O29" i="1" s="1"/>
  <c r="I25" i="4" s="1"/>
  <c r="M37" i="1"/>
  <c r="N37" i="1" s="1"/>
  <c r="O37" i="1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8" i="1" l="1"/>
  <c r="N6" i="1"/>
  <c r="M38" i="1"/>
  <c r="E37" i="2"/>
  <c r="O41" i="1"/>
  <c r="O6" i="1" l="1"/>
  <c r="N38" i="1"/>
  <c r="C23" i="2"/>
  <c r="L20" i="4" s="1"/>
  <c r="P20" i="4" s="1"/>
  <c r="C24" i="2"/>
  <c r="L21" i="4" s="1"/>
  <c r="P21" i="4" s="1"/>
  <c r="C21" i="2"/>
  <c r="L18" i="4" s="1"/>
  <c r="P18" i="4" s="1"/>
  <c r="C22" i="2"/>
  <c r="L19" i="4" s="1"/>
  <c r="P19" i="4" s="1"/>
  <c r="D37" i="2"/>
  <c r="C37" i="2" s="1"/>
  <c r="O38" i="1" l="1"/>
  <c r="O42" i="1" s="1"/>
  <c r="O48" i="1" s="1"/>
  <c r="I2" i="4"/>
  <c r="G41" i="2"/>
  <c r="G47" i="2" s="1"/>
</calcChain>
</file>

<file path=xl/sharedStrings.xml><?xml version="1.0" encoding="utf-8"?>
<sst xmlns="http://schemas.openxmlformats.org/spreadsheetml/2006/main" count="120" uniqueCount="73">
  <si>
    <t>Date</t>
  </si>
  <si>
    <t>Total (Rp)</t>
  </si>
  <si>
    <t>Hotel</t>
  </si>
  <si>
    <t>Hotel usage for Heat Pump, Escalator &amp; Ballroom Lift</t>
  </si>
  <si>
    <t>Mixed used Hotel &amp; Office</t>
  </si>
  <si>
    <t>Mixed used Hotel area B3-B5</t>
  </si>
  <si>
    <t xml:space="preserve">Charge to GRU Estate </t>
  </si>
  <si>
    <t>Biaya perhitungan listrik parkir + listrik ruangan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</si>
  <si>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</si>
  <si>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</si>
  <si>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</si>
  <si>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</si>
  <si>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</si>
  <si>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</si>
  <si>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>MRA (Lala Restaurant)</t>
  </si>
  <si>
    <t xml:space="preserve">Total </t>
  </si>
  <si>
    <t>Food Court</t>
  </si>
  <si>
    <t xml:space="preserve"> </t>
  </si>
  <si>
    <t>01 Feb'20             00-07pagi</t>
  </si>
  <si>
    <t>Total Cost of Electric billing for the month of January 2020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</si>
  <si>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</si>
  <si>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</si>
  <si>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</si>
  <si>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</si>
  <si>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</si>
  <si>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</si>
  <si>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</si>
  <si>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</si>
  <si>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</si>
  <si>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</si>
  <si>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</si>
  <si>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</si>
  <si>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</si>
  <si>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</si>
  <si>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</si>
  <si>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</si>
  <si>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</si>
  <si>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</si>
  <si>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</si>
  <si>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</si>
  <si>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</si>
  <si>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</si>
  <si>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</si>
  <si>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</si>
  <si>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</si>
  <si>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</si>
  <si>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</si>
  <si>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</si>
  <si>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</si>
  <si>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</si>
  <si>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</si>
  <si>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</si>
  <si>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</si>
  <si>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</si>
  <si>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</si>
  <si>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</si>
  <si>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</si>
  <si>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</si>
  <si>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Natual Gas (m3)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</si>
  <si>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</si>
  <si>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</si>
  <si>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</si>
  <si>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</si>
  <si>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</si>
  <si>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</si>
  <si>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</si>
  <si>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</si>
  <si>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</si>
  <si>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</si>
  <si>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</si>
  <si>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 xml:space="preserve">Water Utility Supply (m3) </t>
  </si>
  <si>
    <t>Electricity Tariff ($/Kwh)</t>
  </si>
  <si>
    <t>Water Utility Supply (m3) 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</si>
</sst>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&quot;Rp&quot;* #,##0.00_);_(&quot;Rp&quot;* \(#,##0.00\);_(&quot;Rp&quot;* &quot;-&quot;??_);_(@_)"/>
    <numFmt numFmtId="166" formatCode="#.00"/>
    <numFmt numFmtId="167" formatCode="_(* #.##0_);_(* \(#.##0\);_(* &quot;-&quot;_);_(@_)"/>
    <numFmt numFmtId="168" formatCode="_(* #.##0.00_);_(* \(#.##0.00\);_(* &quot;-&quot;??_);_(@_)"/>
    <numFmt numFmtId="169" formatCode="0.00;[Red]0.00"/>
    <numFmt numFmtId="170" formatCode="[$Rp-421]#,##0"/>
    <numFmt numFmtId="171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9" applyNumberFormat="0" applyAlignment="0" applyProtection="0"/>
    <xf numFmtId="0" fontId="9" fillId="0" borderId="0"/>
  </cellStyleXfs>
  <cellXfs count="18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14" fontId="0" fillId="0" borderId="7" xfId="3" applyNumberFormat="1" applyFont="1" applyBorder="1" applyAlignment="1">
      <alignment horizontal="center" vertical="center" wrapText="1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0" fontId="0" fillId="2" borderId="0" xfId="3" applyFont="1" applyFill="1" applyAlignment="1">
      <alignment horizontal="right"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8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9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7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7" fontId="0" fillId="2" borderId="0" xfId="4" applyFont="1" applyFill="1" applyAlignment="1">
      <alignment vertical="center"/>
    </xf>
    <xf numFmtId="170" fontId="5" fillId="2" borderId="0" xfId="2" applyNumberFormat="1" applyFill="1" applyAlignment="1">
      <alignment vertical="center"/>
    </xf>
    <xf numFmtId="0" fontId="5" fillId="2" borderId="0" xfId="2" applyFill="1"/>
    <xf numFmtId="170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0" fontId="1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/>
    <xf numFmtId="0" fontId="6" fillId="2" borderId="0" xfId="0" applyFont="1" applyFill="1"/>
    <xf numFmtId="41" fontId="6" fillId="2" borderId="0" xfId="1" applyFont="1" applyFill="1"/>
    <xf numFmtId="41" fontId="6" fillId="3" borderId="0" xfId="1" applyFont="1" applyFill="1"/>
    <xf numFmtId="0" fontId="6" fillId="2" borderId="0" xfId="2" applyFont="1" applyFill="1" applyAlignment="1">
      <alignment horizontal="right" vertical="center"/>
    </xf>
    <xf numFmtId="41" fontId="6" fillId="3" borderId="0" xfId="1" applyFont="1" applyFill="1" applyAlignment="1">
      <alignment vertical="center"/>
    </xf>
    <xf numFmtId="0" fontId="18" fillId="2" borderId="0" xfId="3" applyFont="1" applyFill="1" applyAlignment="1">
      <alignment vertical="center"/>
    </xf>
    <xf numFmtId="1" fontId="15" fillId="2" borderId="8" xfId="0" applyNumberFormat="1" applyFont="1" applyFill="1" applyBorder="1" applyAlignment="1">
      <alignment horizontal="center" vertical="center" wrapText="1"/>
    </xf>
    <xf numFmtId="165" fontId="5" fillId="0" borderId="5" xfId="3" applyNumberFormat="1" applyBorder="1" applyAlignment="1">
      <alignment vertical="center"/>
    </xf>
    <xf numFmtId="164" fontId="5" fillId="0" borderId="5" xfId="3" applyNumberFormat="1" applyBorder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39" fontId="5" fillId="2" borderId="5" xfId="3" applyNumberFormat="1" applyFill="1" applyBorder="1" applyAlignment="1">
      <alignment horizontal="center" vertical="center"/>
    </xf>
    <xf numFmtId="4" fontId="5" fillId="5" borderId="5" xfId="2" applyNumberForma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 wrapText="1"/>
    </xf>
    <xf numFmtId="0" fontId="21" fillId="2" borderId="16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5" fillId="2" borderId="22" xfId="2" applyFill="1" applyBorder="1" applyAlignment="1">
      <alignment vertical="center"/>
    </xf>
    <xf numFmtId="0" fontId="6" fillId="2" borderId="22" xfId="2" applyFont="1" applyFill="1" applyBorder="1" applyAlignment="1">
      <alignment horizontal="left" vertical="center"/>
    </xf>
    <xf numFmtId="0" fontId="5" fillId="2" borderId="23" xfId="2" applyFill="1" applyBorder="1" applyAlignment="1">
      <alignment vertical="center"/>
    </xf>
    <xf numFmtId="164" fontId="5" fillId="0" borderId="6" xfId="3" applyNumberFormat="1" applyBorder="1" applyAlignment="1">
      <alignment vertical="center"/>
    </xf>
    <xf numFmtId="39" fontId="19" fillId="4" borderId="9" xfId="9" applyNumberFormat="1" applyBorder="1" applyAlignment="1">
      <alignment horizontal="center" vertical="center"/>
    </xf>
    <xf numFmtId="4" fontId="5" fillId="5" borderId="24" xfId="2" applyNumberFormat="1" applyFill="1" applyBorder="1" applyAlignment="1">
      <alignment horizontal="center" vertical="center"/>
    </xf>
    <xf numFmtId="39" fontId="19" fillId="4" borderId="25" xfId="9" applyNumberFormat="1" applyBorder="1" applyAlignment="1">
      <alignment horizontal="center" vertical="center"/>
    </xf>
    <xf numFmtId="165" fontId="5" fillId="0" borderId="24" xfId="3" applyNumberFormat="1" applyBorder="1" applyAlignment="1">
      <alignment vertical="center"/>
    </xf>
    <xf numFmtId="164" fontId="5" fillId="0" borderId="24" xfId="3" applyNumberFormat="1" applyBorder="1" applyAlignment="1">
      <alignment vertical="center"/>
    </xf>
    <xf numFmtId="164" fontId="5" fillId="0" borderId="26" xfId="3" applyNumberFormat="1" applyBorder="1" applyAlignment="1">
      <alignment vertical="center"/>
    </xf>
    <xf numFmtId="0" fontId="6" fillId="2" borderId="22" xfId="2" applyFont="1" applyFill="1" applyBorder="1" applyAlignment="1">
      <alignment horizontal="center" vertical="center"/>
    </xf>
    <xf numFmtId="0" fontId="5" fillId="2" borderId="22" xfId="2" applyFill="1" applyBorder="1" applyAlignment="1">
      <alignment horizontal="center" vertical="center"/>
    </xf>
    <xf numFmtId="39" fontId="5" fillId="0" borderId="5" xfId="3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39" fontId="5" fillId="0" borderId="24" xfId="3" applyNumberFormat="1" applyBorder="1" applyAlignment="1">
      <alignment horizontal="center" vertical="center"/>
    </xf>
    <xf numFmtId="41" fontId="4" fillId="2" borderId="0" xfId="1" applyFont="1" applyFill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9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3" borderId="1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1" fontId="0" fillId="3" borderId="0" xfId="1" applyFont="1" applyFill="1" applyAlignment="1">
      <alignment horizontal="center"/>
    </xf>
    <xf numFmtId="41" fontId="23" fillId="3" borderId="19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15" fillId="2" borderId="5" xfId="0" applyNumberFormat="1" applyFont="1" applyFill="1" applyBorder="1" applyAlignment="1">
      <alignment horizontal="center" vertical="center" wrapText="1"/>
    </xf>
    <xf numFmtId="0" fontId="25" fillId="2" borderId="0" xfId="0" applyNumberFormat="1" applyFont="1" applyFill="1" applyAlignment="1">
      <alignment horizontal="center"/>
    </xf>
    <xf numFmtId="2" fontId="25" fillId="2" borderId="0" xfId="0" applyNumberFormat="1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0" fontId="7" fillId="3" borderId="13" xfId="0" applyFont="1" applyFill="1" applyBorder="1" applyAlignment="1">
      <alignment horizontal="right"/>
    </xf>
    <xf numFmtId="0" fontId="24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right"/>
    </xf>
    <xf numFmtId="0" fontId="18" fillId="3" borderId="13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20" fillId="2" borderId="0" xfId="0" applyFont="1" applyFill="1"/>
    <xf numFmtId="0" fontId="20" fillId="0" borderId="0" xfId="0" applyFont="1"/>
    <xf numFmtId="0" fontId="12" fillId="3" borderId="5" xfId="0" quotePrefix="1" applyFont="1" applyFill="1" applyBorder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30" xfId="10" applyNumberFormat="1" applyFont="1" applyBorder="1" applyAlignment="1">
      <alignment horizontal="center" wrapText="1"/>
    </xf>
    <xf numFmtId="0" fontId="6" fillId="0" borderId="30" xfId="10" applyFont="1" applyBorder="1" applyAlignment="1">
      <alignment horizontal="center" wrapText="1"/>
    </xf>
    <xf numFmtId="1" fontId="29" fillId="0" borderId="30" xfId="10" applyNumberFormat="1" applyFont="1" applyBorder="1" applyAlignment="1">
      <alignment horizontal="center"/>
    </xf>
    <xf numFmtId="0" fontId="29" fillId="0" borderId="30" xfId="10" applyFont="1" applyBorder="1" applyAlignment="1">
      <alignment horizontal="center"/>
    </xf>
    <xf numFmtId="0" fontId="6" fillId="0" borderId="30" xfId="10" applyFont="1" applyBorder="1" applyAlignment="1">
      <alignment horizontal="center"/>
    </xf>
    <xf numFmtId="0" fontId="7" fillId="0" borderId="31" xfId="2" applyFont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0" fontId="7" fillId="0" borderId="33" xfId="2" applyFont="1" applyBorder="1" applyAlignment="1">
      <alignment horizontal="center" vertical="center"/>
    </xf>
    <xf numFmtId="14" fontId="0" fillId="0" borderId="34" xfId="3" applyNumberFormat="1" applyFont="1" applyBorder="1" applyAlignment="1">
      <alignment horizontal="center" vertical="center" wrapText="1"/>
    </xf>
    <xf numFmtId="0" fontId="7" fillId="7" borderId="33" xfId="2" applyFont="1" applyFill="1" applyBorder="1" applyAlignment="1">
      <alignment horizontal="center" vertical="center"/>
    </xf>
    <xf numFmtId="41" fontId="1" fillId="0" borderId="5" xfId="1" applyFont="1" applyBorder="1" applyAlignment="1">
      <alignment horizontal="center" vertical="center"/>
    </xf>
    <xf numFmtId="171" fontId="1" fillId="0" borderId="24" xfId="7" applyNumberFormat="1" applyFont="1" applyBorder="1" applyAlignment="1">
      <alignment horizontal="center" vertical="center"/>
    </xf>
    <xf numFmtId="41" fontId="1" fillId="0" borderId="24" xfId="1" applyFont="1" applyBorder="1" applyAlignment="1">
      <alignment horizontal="center" vertical="center"/>
    </xf>
    <xf numFmtId="171" fontId="1" fillId="0" borderId="5" xfId="7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" fontId="9" fillId="0" borderId="5" xfId="10" applyNumberFormat="1" applyBorder="1" applyAlignment="1">
      <alignment horizontal="center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7" xfId="2" applyFont="1" applyFill="1" applyBorder="1" applyAlignment="1">
      <alignment horizontal="center" vertical="center" wrapText="1"/>
    </xf>
    <xf numFmtId="0" fontId="8" fillId="3" borderId="28" xfId="2" applyFont="1" applyFill="1" applyBorder="1" applyAlignment="1">
      <alignment horizontal="center" vertical="center" wrapText="1"/>
    </xf>
    <xf numFmtId="0" fontId="8" fillId="3" borderId="29" xfId="2" applyFont="1" applyFill="1" applyBorder="1" applyAlignment="1">
      <alignment horizontal="center" vertical="center" wrapText="1"/>
    </xf>
    <xf numFmtId="0" fontId="21" fillId="2" borderId="10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quotePrefix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10" xfId="0" quotePrefix="1" applyFont="1" applyFill="1" applyBorder="1" applyAlignment="1">
      <alignment horizontal="center" vertical="center"/>
    </xf>
    <xf numFmtId="0" fontId="22" fillId="3" borderId="13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10" xfId="0" quotePrefix="1" applyFont="1" applyFill="1" applyBorder="1" applyAlignment="1">
      <alignment horizontal="center" vertical="center" wrapText="1"/>
    </xf>
    <xf numFmtId="0" fontId="22" fillId="3" borderId="11" xfId="0" quotePrefix="1" applyFont="1" applyFill="1" applyBorder="1" applyAlignment="1">
      <alignment horizontal="center" vertical="center" wrapText="1"/>
    </xf>
    <xf numFmtId="1" fontId="9" fillId="0" borderId="0" xfId="1" applyNumberFormat="1" applyAlignment="1">
      <alignment horizontal="center"/>
    </xf>
  </cellXfs>
  <cellStyles count="11">
    <cellStyle name="Calculation" xfId="9" builtinId="22"/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10"/>
    <cellStyle name="Normal 5" xfId="2"/>
    <cellStyle name="Per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F4" sqref="F4"/>
    </sheetView>
  </sheetViews>
  <sheetFormatPr defaultColWidth="11.5703125" defaultRowHeight="15" x14ac:dyDescent="0.25"/>
  <cols>
    <col min="1" max="1" width="12.42578125" style="133" customWidth="1"/>
    <col min="2" max="3" width="11.5703125" style="135"/>
    <col min="4" max="4" width="13.42578125" style="134" customWidth="1"/>
    <col min="5" max="7" width="12.5703125" style="132" customWidth="1"/>
    <col min="8" max="9" width="12.5703125" style="133" customWidth="1"/>
    <col min="10" max="13" width="11.5703125" style="133"/>
    <col min="14" max="15" width="11.5703125" style="132"/>
    <col min="16" max="16" width="0" style="131" hidden="1" customWidth="1"/>
    <col min="17" max="259" width="11.5703125" style="131"/>
    <col min="260" max="260" width="12.42578125" style="131" customWidth="1"/>
    <col min="261" max="262" width="11.5703125" style="131"/>
    <col min="263" max="263" width="13.42578125" style="131" customWidth="1"/>
    <col min="264" max="265" width="12.5703125" style="131" customWidth="1"/>
    <col min="266" max="271" width="11.5703125" style="131"/>
    <col min="272" max="272" width="0" style="131" hidden="1" customWidth="1"/>
    <col min="273" max="515" width="11.5703125" style="131"/>
    <col min="516" max="516" width="12.42578125" style="131" customWidth="1"/>
    <col min="517" max="518" width="11.5703125" style="131"/>
    <col min="519" max="519" width="13.42578125" style="131" customWidth="1"/>
    <col min="520" max="521" width="12.5703125" style="131" customWidth="1"/>
    <col min="522" max="527" width="11.5703125" style="131"/>
    <col min="528" max="528" width="0" style="131" hidden="1" customWidth="1"/>
    <col min="529" max="771" width="11.5703125" style="131"/>
    <col min="772" max="772" width="12.42578125" style="131" customWidth="1"/>
    <col min="773" max="774" width="11.5703125" style="131"/>
    <col min="775" max="775" width="13.42578125" style="131" customWidth="1"/>
    <col min="776" max="777" width="12.5703125" style="131" customWidth="1"/>
    <col min="778" max="783" width="11.5703125" style="131"/>
    <col min="784" max="784" width="0" style="131" hidden="1" customWidth="1"/>
    <col min="785" max="1027" width="11.5703125" style="131"/>
    <col min="1028" max="1028" width="12.42578125" style="131" customWidth="1"/>
    <col min="1029" max="1030" width="11.5703125" style="131"/>
    <col min="1031" max="1031" width="13.42578125" style="131" customWidth="1"/>
    <col min="1032" max="1033" width="12.5703125" style="131" customWidth="1"/>
    <col min="1034" max="1039" width="11.5703125" style="131"/>
    <col min="1040" max="1040" width="0" style="131" hidden="1" customWidth="1"/>
    <col min="1041" max="1283" width="11.5703125" style="131"/>
    <col min="1284" max="1284" width="12.42578125" style="131" customWidth="1"/>
    <col min="1285" max="1286" width="11.5703125" style="131"/>
    <col min="1287" max="1287" width="13.42578125" style="131" customWidth="1"/>
    <col min="1288" max="1289" width="12.5703125" style="131" customWidth="1"/>
    <col min="1290" max="1295" width="11.5703125" style="131"/>
    <col min="1296" max="1296" width="0" style="131" hidden="1" customWidth="1"/>
    <col min="1297" max="1539" width="11.5703125" style="131"/>
    <col min="1540" max="1540" width="12.42578125" style="131" customWidth="1"/>
    <col min="1541" max="1542" width="11.5703125" style="131"/>
    <col min="1543" max="1543" width="13.42578125" style="131" customWidth="1"/>
    <col min="1544" max="1545" width="12.5703125" style="131" customWidth="1"/>
    <col min="1546" max="1551" width="11.5703125" style="131"/>
    <col min="1552" max="1552" width="0" style="131" hidden="1" customWidth="1"/>
    <col min="1553" max="1795" width="11.5703125" style="131"/>
    <col min="1796" max="1796" width="12.42578125" style="131" customWidth="1"/>
    <col min="1797" max="1798" width="11.5703125" style="131"/>
    <col min="1799" max="1799" width="13.42578125" style="131" customWidth="1"/>
    <col min="1800" max="1801" width="12.5703125" style="131" customWidth="1"/>
    <col min="1802" max="1807" width="11.5703125" style="131"/>
    <col min="1808" max="1808" width="0" style="131" hidden="1" customWidth="1"/>
    <col min="1809" max="2051" width="11.5703125" style="131"/>
    <col min="2052" max="2052" width="12.42578125" style="131" customWidth="1"/>
    <col min="2053" max="2054" width="11.5703125" style="131"/>
    <col min="2055" max="2055" width="13.42578125" style="131" customWidth="1"/>
    <col min="2056" max="2057" width="12.5703125" style="131" customWidth="1"/>
    <col min="2058" max="2063" width="11.5703125" style="131"/>
    <col min="2064" max="2064" width="0" style="131" hidden="1" customWidth="1"/>
    <col min="2065" max="2307" width="11.5703125" style="131"/>
    <col min="2308" max="2308" width="12.42578125" style="131" customWidth="1"/>
    <col min="2309" max="2310" width="11.5703125" style="131"/>
    <col min="2311" max="2311" width="13.42578125" style="131" customWidth="1"/>
    <col min="2312" max="2313" width="12.5703125" style="131" customWidth="1"/>
    <col min="2314" max="2319" width="11.5703125" style="131"/>
    <col min="2320" max="2320" width="0" style="131" hidden="1" customWidth="1"/>
    <col min="2321" max="2563" width="11.5703125" style="131"/>
    <col min="2564" max="2564" width="12.42578125" style="131" customWidth="1"/>
    <col min="2565" max="2566" width="11.5703125" style="131"/>
    <col min="2567" max="2567" width="13.42578125" style="131" customWidth="1"/>
    <col min="2568" max="2569" width="12.5703125" style="131" customWidth="1"/>
    <col min="2570" max="2575" width="11.5703125" style="131"/>
    <col min="2576" max="2576" width="0" style="131" hidden="1" customWidth="1"/>
    <col min="2577" max="2819" width="11.5703125" style="131"/>
    <col min="2820" max="2820" width="12.42578125" style="131" customWidth="1"/>
    <col min="2821" max="2822" width="11.5703125" style="131"/>
    <col min="2823" max="2823" width="13.42578125" style="131" customWidth="1"/>
    <col min="2824" max="2825" width="12.5703125" style="131" customWidth="1"/>
    <col min="2826" max="2831" width="11.5703125" style="131"/>
    <col min="2832" max="2832" width="0" style="131" hidden="1" customWidth="1"/>
    <col min="2833" max="3075" width="11.5703125" style="131"/>
    <col min="3076" max="3076" width="12.42578125" style="131" customWidth="1"/>
    <col min="3077" max="3078" width="11.5703125" style="131"/>
    <col min="3079" max="3079" width="13.42578125" style="131" customWidth="1"/>
    <col min="3080" max="3081" width="12.5703125" style="131" customWidth="1"/>
    <col min="3082" max="3087" width="11.5703125" style="131"/>
    <col min="3088" max="3088" width="0" style="131" hidden="1" customWidth="1"/>
    <col min="3089" max="3331" width="11.5703125" style="131"/>
    <col min="3332" max="3332" width="12.42578125" style="131" customWidth="1"/>
    <col min="3333" max="3334" width="11.5703125" style="131"/>
    <col min="3335" max="3335" width="13.42578125" style="131" customWidth="1"/>
    <col min="3336" max="3337" width="12.5703125" style="131" customWidth="1"/>
    <col min="3338" max="3343" width="11.5703125" style="131"/>
    <col min="3344" max="3344" width="0" style="131" hidden="1" customWidth="1"/>
    <col min="3345" max="3587" width="11.5703125" style="131"/>
    <col min="3588" max="3588" width="12.42578125" style="131" customWidth="1"/>
    <col min="3589" max="3590" width="11.5703125" style="131"/>
    <col min="3591" max="3591" width="13.42578125" style="131" customWidth="1"/>
    <col min="3592" max="3593" width="12.5703125" style="131" customWidth="1"/>
    <col min="3594" max="3599" width="11.5703125" style="131"/>
    <col min="3600" max="3600" width="0" style="131" hidden="1" customWidth="1"/>
    <col min="3601" max="3843" width="11.5703125" style="131"/>
    <col min="3844" max="3844" width="12.42578125" style="131" customWidth="1"/>
    <col min="3845" max="3846" width="11.5703125" style="131"/>
    <col min="3847" max="3847" width="13.42578125" style="131" customWidth="1"/>
    <col min="3848" max="3849" width="12.5703125" style="131" customWidth="1"/>
    <col min="3850" max="3855" width="11.5703125" style="131"/>
    <col min="3856" max="3856" width="0" style="131" hidden="1" customWidth="1"/>
    <col min="3857" max="4099" width="11.5703125" style="131"/>
    <col min="4100" max="4100" width="12.42578125" style="131" customWidth="1"/>
    <col min="4101" max="4102" width="11.5703125" style="131"/>
    <col min="4103" max="4103" width="13.42578125" style="131" customWidth="1"/>
    <col min="4104" max="4105" width="12.5703125" style="131" customWidth="1"/>
    <col min="4106" max="4111" width="11.5703125" style="131"/>
    <col min="4112" max="4112" width="0" style="131" hidden="1" customWidth="1"/>
    <col min="4113" max="4355" width="11.5703125" style="131"/>
    <col min="4356" max="4356" width="12.42578125" style="131" customWidth="1"/>
    <col min="4357" max="4358" width="11.5703125" style="131"/>
    <col min="4359" max="4359" width="13.42578125" style="131" customWidth="1"/>
    <col min="4360" max="4361" width="12.5703125" style="131" customWidth="1"/>
    <col min="4362" max="4367" width="11.5703125" style="131"/>
    <col min="4368" max="4368" width="0" style="131" hidden="1" customWidth="1"/>
    <col min="4369" max="4611" width="11.5703125" style="131"/>
    <col min="4612" max="4612" width="12.42578125" style="131" customWidth="1"/>
    <col min="4613" max="4614" width="11.5703125" style="131"/>
    <col min="4615" max="4615" width="13.42578125" style="131" customWidth="1"/>
    <col min="4616" max="4617" width="12.5703125" style="131" customWidth="1"/>
    <col min="4618" max="4623" width="11.5703125" style="131"/>
    <col min="4624" max="4624" width="0" style="131" hidden="1" customWidth="1"/>
    <col min="4625" max="4867" width="11.5703125" style="131"/>
    <col min="4868" max="4868" width="12.42578125" style="131" customWidth="1"/>
    <col min="4869" max="4870" width="11.5703125" style="131"/>
    <col min="4871" max="4871" width="13.42578125" style="131" customWidth="1"/>
    <col min="4872" max="4873" width="12.5703125" style="131" customWidth="1"/>
    <col min="4874" max="4879" width="11.5703125" style="131"/>
    <col min="4880" max="4880" width="0" style="131" hidden="1" customWidth="1"/>
    <col min="4881" max="5123" width="11.5703125" style="131"/>
    <col min="5124" max="5124" width="12.42578125" style="131" customWidth="1"/>
    <col min="5125" max="5126" width="11.5703125" style="131"/>
    <col min="5127" max="5127" width="13.42578125" style="131" customWidth="1"/>
    <col min="5128" max="5129" width="12.5703125" style="131" customWidth="1"/>
    <col min="5130" max="5135" width="11.5703125" style="131"/>
    <col min="5136" max="5136" width="0" style="131" hidden="1" customWidth="1"/>
    <col min="5137" max="5379" width="11.5703125" style="131"/>
    <col min="5380" max="5380" width="12.42578125" style="131" customWidth="1"/>
    <col min="5381" max="5382" width="11.5703125" style="131"/>
    <col min="5383" max="5383" width="13.42578125" style="131" customWidth="1"/>
    <col min="5384" max="5385" width="12.5703125" style="131" customWidth="1"/>
    <col min="5386" max="5391" width="11.5703125" style="131"/>
    <col min="5392" max="5392" width="0" style="131" hidden="1" customWidth="1"/>
    <col min="5393" max="5635" width="11.5703125" style="131"/>
    <col min="5636" max="5636" width="12.42578125" style="131" customWidth="1"/>
    <col min="5637" max="5638" width="11.5703125" style="131"/>
    <col min="5639" max="5639" width="13.42578125" style="131" customWidth="1"/>
    <col min="5640" max="5641" width="12.5703125" style="131" customWidth="1"/>
    <col min="5642" max="5647" width="11.5703125" style="131"/>
    <col min="5648" max="5648" width="0" style="131" hidden="1" customWidth="1"/>
    <col min="5649" max="5891" width="11.5703125" style="131"/>
    <col min="5892" max="5892" width="12.42578125" style="131" customWidth="1"/>
    <col min="5893" max="5894" width="11.5703125" style="131"/>
    <col min="5895" max="5895" width="13.42578125" style="131" customWidth="1"/>
    <col min="5896" max="5897" width="12.5703125" style="131" customWidth="1"/>
    <col min="5898" max="5903" width="11.5703125" style="131"/>
    <col min="5904" max="5904" width="0" style="131" hidden="1" customWidth="1"/>
    <col min="5905" max="6147" width="11.5703125" style="131"/>
    <col min="6148" max="6148" width="12.42578125" style="131" customWidth="1"/>
    <col min="6149" max="6150" width="11.5703125" style="131"/>
    <col min="6151" max="6151" width="13.42578125" style="131" customWidth="1"/>
    <col min="6152" max="6153" width="12.5703125" style="131" customWidth="1"/>
    <col min="6154" max="6159" width="11.5703125" style="131"/>
    <col min="6160" max="6160" width="0" style="131" hidden="1" customWidth="1"/>
    <col min="6161" max="6403" width="11.5703125" style="131"/>
    <col min="6404" max="6404" width="12.42578125" style="131" customWidth="1"/>
    <col min="6405" max="6406" width="11.5703125" style="131"/>
    <col min="6407" max="6407" width="13.42578125" style="131" customWidth="1"/>
    <col min="6408" max="6409" width="12.5703125" style="131" customWidth="1"/>
    <col min="6410" max="6415" width="11.5703125" style="131"/>
    <col min="6416" max="6416" width="0" style="131" hidden="1" customWidth="1"/>
    <col min="6417" max="6659" width="11.5703125" style="131"/>
    <col min="6660" max="6660" width="12.42578125" style="131" customWidth="1"/>
    <col min="6661" max="6662" width="11.5703125" style="131"/>
    <col min="6663" max="6663" width="13.42578125" style="131" customWidth="1"/>
    <col min="6664" max="6665" width="12.5703125" style="131" customWidth="1"/>
    <col min="6666" max="6671" width="11.5703125" style="131"/>
    <col min="6672" max="6672" width="0" style="131" hidden="1" customWidth="1"/>
    <col min="6673" max="6915" width="11.5703125" style="131"/>
    <col min="6916" max="6916" width="12.42578125" style="131" customWidth="1"/>
    <col min="6917" max="6918" width="11.5703125" style="131"/>
    <col min="6919" max="6919" width="13.42578125" style="131" customWidth="1"/>
    <col min="6920" max="6921" width="12.5703125" style="131" customWidth="1"/>
    <col min="6922" max="6927" width="11.5703125" style="131"/>
    <col min="6928" max="6928" width="0" style="131" hidden="1" customWidth="1"/>
    <col min="6929" max="7171" width="11.5703125" style="131"/>
    <col min="7172" max="7172" width="12.42578125" style="131" customWidth="1"/>
    <col min="7173" max="7174" width="11.5703125" style="131"/>
    <col min="7175" max="7175" width="13.42578125" style="131" customWidth="1"/>
    <col min="7176" max="7177" width="12.5703125" style="131" customWidth="1"/>
    <col min="7178" max="7183" width="11.5703125" style="131"/>
    <col min="7184" max="7184" width="0" style="131" hidden="1" customWidth="1"/>
    <col min="7185" max="7427" width="11.5703125" style="131"/>
    <col min="7428" max="7428" width="12.42578125" style="131" customWidth="1"/>
    <col min="7429" max="7430" width="11.5703125" style="131"/>
    <col min="7431" max="7431" width="13.42578125" style="131" customWidth="1"/>
    <col min="7432" max="7433" width="12.5703125" style="131" customWidth="1"/>
    <col min="7434" max="7439" width="11.5703125" style="131"/>
    <col min="7440" max="7440" width="0" style="131" hidden="1" customWidth="1"/>
    <col min="7441" max="7683" width="11.5703125" style="131"/>
    <col min="7684" max="7684" width="12.42578125" style="131" customWidth="1"/>
    <col min="7685" max="7686" width="11.5703125" style="131"/>
    <col min="7687" max="7687" width="13.42578125" style="131" customWidth="1"/>
    <col min="7688" max="7689" width="12.5703125" style="131" customWidth="1"/>
    <col min="7690" max="7695" width="11.5703125" style="131"/>
    <col min="7696" max="7696" width="0" style="131" hidden="1" customWidth="1"/>
    <col min="7697" max="7939" width="11.5703125" style="131"/>
    <col min="7940" max="7940" width="12.42578125" style="131" customWidth="1"/>
    <col min="7941" max="7942" width="11.5703125" style="131"/>
    <col min="7943" max="7943" width="13.42578125" style="131" customWidth="1"/>
    <col min="7944" max="7945" width="12.5703125" style="131" customWidth="1"/>
    <col min="7946" max="7951" width="11.5703125" style="131"/>
    <col min="7952" max="7952" width="0" style="131" hidden="1" customWidth="1"/>
    <col min="7953" max="8195" width="11.5703125" style="131"/>
    <col min="8196" max="8196" width="12.42578125" style="131" customWidth="1"/>
    <col min="8197" max="8198" width="11.5703125" style="131"/>
    <col min="8199" max="8199" width="13.42578125" style="131" customWidth="1"/>
    <col min="8200" max="8201" width="12.5703125" style="131" customWidth="1"/>
    <col min="8202" max="8207" width="11.5703125" style="131"/>
    <col min="8208" max="8208" width="0" style="131" hidden="1" customWidth="1"/>
    <col min="8209" max="8451" width="11.5703125" style="131"/>
    <col min="8452" max="8452" width="12.42578125" style="131" customWidth="1"/>
    <col min="8453" max="8454" width="11.5703125" style="131"/>
    <col min="8455" max="8455" width="13.42578125" style="131" customWidth="1"/>
    <col min="8456" max="8457" width="12.5703125" style="131" customWidth="1"/>
    <col min="8458" max="8463" width="11.5703125" style="131"/>
    <col min="8464" max="8464" width="0" style="131" hidden="1" customWidth="1"/>
    <col min="8465" max="8707" width="11.5703125" style="131"/>
    <col min="8708" max="8708" width="12.42578125" style="131" customWidth="1"/>
    <col min="8709" max="8710" width="11.5703125" style="131"/>
    <col min="8711" max="8711" width="13.42578125" style="131" customWidth="1"/>
    <col min="8712" max="8713" width="12.5703125" style="131" customWidth="1"/>
    <col min="8714" max="8719" width="11.5703125" style="131"/>
    <col min="8720" max="8720" width="0" style="131" hidden="1" customWidth="1"/>
    <col min="8721" max="8963" width="11.5703125" style="131"/>
    <col min="8964" max="8964" width="12.42578125" style="131" customWidth="1"/>
    <col min="8965" max="8966" width="11.5703125" style="131"/>
    <col min="8967" max="8967" width="13.42578125" style="131" customWidth="1"/>
    <col min="8968" max="8969" width="12.5703125" style="131" customWidth="1"/>
    <col min="8970" max="8975" width="11.5703125" style="131"/>
    <col min="8976" max="8976" width="0" style="131" hidden="1" customWidth="1"/>
    <col min="8977" max="9219" width="11.5703125" style="131"/>
    <col min="9220" max="9220" width="12.42578125" style="131" customWidth="1"/>
    <col min="9221" max="9222" width="11.5703125" style="131"/>
    <col min="9223" max="9223" width="13.42578125" style="131" customWidth="1"/>
    <col min="9224" max="9225" width="12.5703125" style="131" customWidth="1"/>
    <col min="9226" max="9231" width="11.5703125" style="131"/>
    <col min="9232" max="9232" width="0" style="131" hidden="1" customWidth="1"/>
    <col min="9233" max="9475" width="11.5703125" style="131"/>
    <col min="9476" max="9476" width="12.42578125" style="131" customWidth="1"/>
    <col min="9477" max="9478" width="11.5703125" style="131"/>
    <col min="9479" max="9479" width="13.42578125" style="131" customWidth="1"/>
    <col min="9480" max="9481" width="12.5703125" style="131" customWidth="1"/>
    <col min="9482" max="9487" width="11.5703125" style="131"/>
    <col min="9488" max="9488" width="0" style="131" hidden="1" customWidth="1"/>
    <col min="9489" max="9731" width="11.5703125" style="131"/>
    <col min="9732" max="9732" width="12.42578125" style="131" customWidth="1"/>
    <col min="9733" max="9734" width="11.5703125" style="131"/>
    <col min="9735" max="9735" width="13.42578125" style="131" customWidth="1"/>
    <col min="9736" max="9737" width="12.5703125" style="131" customWidth="1"/>
    <col min="9738" max="9743" width="11.5703125" style="131"/>
    <col min="9744" max="9744" width="0" style="131" hidden="1" customWidth="1"/>
    <col min="9745" max="9987" width="11.5703125" style="131"/>
    <col min="9988" max="9988" width="12.42578125" style="131" customWidth="1"/>
    <col min="9989" max="9990" width="11.5703125" style="131"/>
    <col min="9991" max="9991" width="13.42578125" style="131" customWidth="1"/>
    <col min="9992" max="9993" width="12.5703125" style="131" customWidth="1"/>
    <col min="9994" max="9999" width="11.5703125" style="131"/>
    <col min="10000" max="10000" width="0" style="131" hidden="1" customWidth="1"/>
    <col min="10001" max="10243" width="11.5703125" style="131"/>
    <col min="10244" max="10244" width="12.42578125" style="131" customWidth="1"/>
    <col min="10245" max="10246" width="11.5703125" style="131"/>
    <col min="10247" max="10247" width="13.42578125" style="131" customWidth="1"/>
    <col min="10248" max="10249" width="12.5703125" style="131" customWidth="1"/>
    <col min="10250" max="10255" width="11.5703125" style="131"/>
    <col min="10256" max="10256" width="0" style="131" hidden="1" customWidth="1"/>
    <col min="10257" max="10499" width="11.5703125" style="131"/>
    <col min="10500" max="10500" width="12.42578125" style="131" customWidth="1"/>
    <col min="10501" max="10502" width="11.5703125" style="131"/>
    <col min="10503" max="10503" width="13.42578125" style="131" customWidth="1"/>
    <col min="10504" max="10505" width="12.5703125" style="131" customWidth="1"/>
    <col min="10506" max="10511" width="11.5703125" style="131"/>
    <col min="10512" max="10512" width="0" style="131" hidden="1" customWidth="1"/>
    <col min="10513" max="10755" width="11.5703125" style="131"/>
    <col min="10756" max="10756" width="12.42578125" style="131" customWidth="1"/>
    <col min="10757" max="10758" width="11.5703125" style="131"/>
    <col min="10759" max="10759" width="13.42578125" style="131" customWidth="1"/>
    <col min="10760" max="10761" width="12.5703125" style="131" customWidth="1"/>
    <col min="10762" max="10767" width="11.5703125" style="131"/>
    <col min="10768" max="10768" width="0" style="131" hidden="1" customWidth="1"/>
    <col min="10769" max="11011" width="11.5703125" style="131"/>
    <col min="11012" max="11012" width="12.42578125" style="131" customWidth="1"/>
    <col min="11013" max="11014" width="11.5703125" style="131"/>
    <col min="11015" max="11015" width="13.42578125" style="131" customWidth="1"/>
    <col min="11016" max="11017" width="12.5703125" style="131" customWidth="1"/>
    <col min="11018" max="11023" width="11.5703125" style="131"/>
    <col min="11024" max="11024" width="0" style="131" hidden="1" customWidth="1"/>
    <col min="11025" max="11267" width="11.5703125" style="131"/>
    <col min="11268" max="11268" width="12.42578125" style="131" customWidth="1"/>
    <col min="11269" max="11270" width="11.5703125" style="131"/>
    <col min="11271" max="11271" width="13.42578125" style="131" customWidth="1"/>
    <col min="11272" max="11273" width="12.5703125" style="131" customWidth="1"/>
    <col min="11274" max="11279" width="11.5703125" style="131"/>
    <col min="11280" max="11280" width="0" style="131" hidden="1" customWidth="1"/>
    <col min="11281" max="11523" width="11.5703125" style="131"/>
    <col min="11524" max="11524" width="12.42578125" style="131" customWidth="1"/>
    <col min="11525" max="11526" width="11.5703125" style="131"/>
    <col min="11527" max="11527" width="13.42578125" style="131" customWidth="1"/>
    <col min="11528" max="11529" width="12.5703125" style="131" customWidth="1"/>
    <col min="11530" max="11535" width="11.5703125" style="131"/>
    <col min="11536" max="11536" width="0" style="131" hidden="1" customWidth="1"/>
    <col min="11537" max="11779" width="11.5703125" style="131"/>
    <col min="11780" max="11780" width="12.42578125" style="131" customWidth="1"/>
    <col min="11781" max="11782" width="11.5703125" style="131"/>
    <col min="11783" max="11783" width="13.42578125" style="131" customWidth="1"/>
    <col min="11784" max="11785" width="12.5703125" style="131" customWidth="1"/>
    <col min="11786" max="11791" width="11.5703125" style="131"/>
    <col min="11792" max="11792" width="0" style="131" hidden="1" customWidth="1"/>
    <col min="11793" max="12035" width="11.5703125" style="131"/>
    <col min="12036" max="12036" width="12.42578125" style="131" customWidth="1"/>
    <col min="12037" max="12038" width="11.5703125" style="131"/>
    <col min="12039" max="12039" width="13.42578125" style="131" customWidth="1"/>
    <col min="12040" max="12041" width="12.5703125" style="131" customWidth="1"/>
    <col min="12042" max="12047" width="11.5703125" style="131"/>
    <col min="12048" max="12048" width="0" style="131" hidden="1" customWidth="1"/>
    <col min="12049" max="12291" width="11.5703125" style="131"/>
    <col min="12292" max="12292" width="12.42578125" style="131" customWidth="1"/>
    <col min="12293" max="12294" width="11.5703125" style="131"/>
    <col min="12295" max="12295" width="13.42578125" style="131" customWidth="1"/>
    <col min="12296" max="12297" width="12.5703125" style="131" customWidth="1"/>
    <col min="12298" max="12303" width="11.5703125" style="131"/>
    <col min="12304" max="12304" width="0" style="131" hidden="1" customWidth="1"/>
    <col min="12305" max="12547" width="11.5703125" style="131"/>
    <col min="12548" max="12548" width="12.42578125" style="131" customWidth="1"/>
    <col min="12549" max="12550" width="11.5703125" style="131"/>
    <col min="12551" max="12551" width="13.42578125" style="131" customWidth="1"/>
    <col min="12552" max="12553" width="12.5703125" style="131" customWidth="1"/>
    <col min="12554" max="12559" width="11.5703125" style="131"/>
    <col min="12560" max="12560" width="0" style="131" hidden="1" customWidth="1"/>
    <col min="12561" max="12803" width="11.5703125" style="131"/>
    <col min="12804" max="12804" width="12.42578125" style="131" customWidth="1"/>
    <col min="12805" max="12806" width="11.5703125" style="131"/>
    <col min="12807" max="12807" width="13.42578125" style="131" customWidth="1"/>
    <col min="12808" max="12809" width="12.5703125" style="131" customWidth="1"/>
    <col min="12810" max="12815" width="11.5703125" style="131"/>
    <col min="12816" max="12816" width="0" style="131" hidden="1" customWidth="1"/>
    <col min="12817" max="13059" width="11.5703125" style="131"/>
    <col min="13060" max="13060" width="12.42578125" style="131" customWidth="1"/>
    <col min="13061" max="13062" width="11.5703125" style="131"/>
    <col min="13063" max="13063" width="13.42578125" style="131" customWidth="1"/>
    <col min="13064" max="13065" width="12.5703125" style="131" customWidth="1"/>
    <col min="13066" max="13071" width="11.5703125" style="131"/>
    <col min="13072" max="13072" width="0" style="131" hidden="1" customWidth="1"/>
    <col min="13073" max="13315" width="11.5703125" style="131"/>
    <col min="13316" max="13316" width="12.42578125" style="131" customWidth="1"/>
    <col min="13317" max="13318" width="11.5703125" style="131"/>
    <col min="13319" max="13319" width="13.42578125" style="131" customWidth="1"/>
    <col min="13320" max="13321" width="12.5703125" style="131" customWidth="1"/>
    <col min="13322" max="13327" width="11.5703125" style="131"/>
    <col min="13328" max="13328" width="0" style="131" hidden="1" customWidth="1"/>
    <col min="13329" max="13571" width="11.5703125" style="131"/>
    <col min="13572" max="13572" width="12.42578125" style="131" customWidth="1"/>
    <col min="13573" max="13574" width="11.5703125" style="131"/>
    <col min="13575" max="13575" width="13.42578125" style="131" customWidth="1"/>
    <col min="13576" max="13577" width="12.5703125" style="131" customWidth="1"/>
    <col min="13578" max="13583" width="11.5703125" style="131"/>
    <col min="13584" max="13584" width="0" style="131" hidden="1" customWidth="1"/>
    <col min="13585" max="13827" width="11.5703125" style="131"/>
    <col min="13828" max="13828" width="12.42578125" style="131" customWidth="1"/>
    <col min="13829" max="13830" width="11.5703125" style="131"/>
    <col min="13831" max="13831" width="13.42578125" style="131" customWidth="1"/>
    <col min="13832" max="13833" width="12.5703125" style="131" customWidth="1"/>
    <col min="13834" max="13839" width="11.5703125" style="131"/>
    <col min="13840" max="13840" width="0" style="131" hidden="1" customWidth="1"/>
    <col min="13841" max="14083" width="11.5703125" style="131"/>
    <col min="14084" max="14084" width="12.42578125" style="131" customWidth="1"/>
    <col min="14085" max="14086" width="11.5703125" style="131"/>
    <col min="14087" max="14087" width="13.42578125" style="131" customWidth="1"/>
    <col min="14088" max="14089" width="12.5703125" style="131" customWidth="1"/>
    <col min="14090" max="14095" width="11.5703125" style="131"/>
    <col min="14096" max="14096" width="0" style="131" hidden="1" customWidth="1"/>
    <col min="14097" max="14339" width="11.5703125" style="131"/>
    <col min="14340" max="14340" width="12.42578125" style="131" customWidth="1"/>
    <col min="14341" max="14342" width="11.5703125" style="131"/>
    <col min="14343" max="14343" width="13.42578125" style="131" customWidth="1"/>
    <col min="14344" max="14345" width="12.5703125" style="131" customWidth="1"/>
    <col min="14346" max="14351" width="11.5703125" style="131"/>
    <col min="14352" max="14352" width="0" style="131" hidden="1" customWidth="1"/>
    <col min="14353" max="14595" width="11.5703125" style="131"/>
    <col min="14596" max="14596" width="12.42578125" style="131" customWidth="1"/>
    <col min="14597" max="14598" width="11.5703125" style="131"/>
    <col min="14599" max="14599" width="13.42578125" style="131" customWidth="1"/>
    <col min="14600" max="14601" width="12.5703125" style="131" customWidth="1"/>
    <col min="14602" max="14607" width="11.5703125" style="131"/>
    <col min="14608" max="14608" width="0" style="131" hidden="1" customWidth="1"/>
    <col min="14609" max="14851" width="11.5703125" style="131"/>
    <col min="14852" max="14852" width="12.42578125" style="131" customWidth="1"/>
    <col min="14853" max="14854" width="11.5703125" style="131"/>
    <col min="14855" max="14855" width="13.42578125" style="131" customWidth="1"/>
    <col min="14856" max="14857" width="12.5703125" style="131" customWidth="1"/>
    <col min="14858" max="14863" width="11.5703125" style="131"/>
    <col min="14864" max="14864" width="0" style="131" hidden="1" customWidth="1"/>
    <col min="14865" max="15107" width="11.5703125" style="131"/>
    <col min="15108" max="15108" width="12.42578125" style="131" customWidth="1"/>
    <col min="15109" max="15110" width="11.5703125" style="131"/>
    <col min="15111" max="15111" width="13.42578125" style="131" customWidth="1"/>
    <col min="15112" max="15113" width="12.5703125" style="131" customWidth="1"/>
    <col min="15114" max="15119" width="11.5703125" style="131"/>
    <col min="15120" max="15120" width="0" style="131" hidden="1" customWidth="1"/>
    <col min="15121" max="15363" width="11.5703125" style="131"/>
    <col min="15364" max="15364" width="12.42578125" style="131" customWidth="1"/>
    <col min="15365" max="15366" width="11.5703125" style="131"/>
    <col min="15367" max="15367" width="13.42578125" style="131" customWidth="1"/>
    <col min="15368" max="15369" width="12.5703125" style="131" customWidth="1"/>
    <col min="15370" max="15375" width="11.5703125" style="131"/>
    <col min="15376" max="15376" width="0" style="131" hidden="1" customWidth="1"/>
    <col min="15377" max="15619" width="11.5703125" style="131"/>
    <col min="15620" max="15620" width="12.42578125" style="131" customWidth="1"/>
    <col min="15621" max="15622" width="11.5703125" style="131"/>
    <col min="15623" max="15623" width="13.42578125" style="131" customWidth="1"/>
    <col min="15624" max="15625" width="12.5703125" style="131" customWidth="1"/>
    <col min="15626" max="15631" width="11.5703125" style="131"/>
    <col min="15632" max="15632" width="0" style="131" hidden="1" customWidth="1"/>
    <col min="15633" max="15875" width="11.5703125" style="131"/>
    <col min="15876" max="15876" width="12.42578125" style="131" customWidth="1"/>
    <col min="15877" max="15878" width="11.5703125" style="131"/>
    <col min="15879" max="15879" width="13.42578125" style="131" customWidth="1"/>
    <col min="15880" max="15881" width="12.5703125" style="131" customWidth="1"/>
    <col min="15882" max="15887" width="11.5703125" style="131"/>
    <col min="15888" max="15888" width="0" style="131" hidden="1" customWidth="1"/>
    <col min="15889" max="16131" width="11.5703125" style="131"/>
    <col min="16132" max="16132" width="12.42578125" style="131" customWidth="1"/>
    <col min="16133" max="16134" width="11.5703125" style="131"/>
    <col min="16135" max="16135" width="13.42578125" style="131" customWidth="1"/>
    <col min="16136" max="16137" width="12.5703125" style="131" customWidth="1"/>
    <col min="16138" max="16143" width="11.5703125" style="131"/>
    <col min="16144" max="16144" width="0" style="131" hidden="1" customWidth="1"/>
    <col min="16145" max="16384" width="11.5703125" style="131"/>
  </cols>
  <sheetData>
    <row r="1" spans="1:16" s="139" customFormat="1" ht="60.75" thickBot="1" x14ac:dyDescent="0.3">
      <c r="A1" s="145" t="s">
        <v>63</v>
      </c>
      <c r="B1" s="144" t="s">
        <v>62</v>
      </c>
      <c r="C1" s="144" t="s">
        <v>61</v>
      </c>
      <c r="D1" s="143" t="s">
        <v>60</v>
      </c>
      <c r="E1" s="141" t="s">
        <v>59</v>
      </c>
      <c r="F1" s="141" t="s">
        <v>67</v>
      </c>
      <c r="G1" s="141" t="s">
        <v>68</v>
      </c>
      <c r="H1" s="142" t="s">
        <v>71</v>
      </c>
      <c r="I1" s="142" t="s">
        <v>69</v>
      </c>
      <c r="J1" s="141" t="s">
        <v>58</v>
      </c>
      <c r="K1" s="142" t="s">
        <v>57</v>
      </c>
      <c r="L1" s="142" t="s">
        <v>70</v>
      </c>
      <c r="M1" s="142" t="s">
        <v>72</v>
      </c>
      <c r="N1" s="141" t="s">
        <v>56</v>
      </c>
      <c r="O1" s="141" t="s">
        <v>55</v>
      </c>
      <c r="P1" s="140" t="s">
        <v>54</v>
      </c>
    </row>
    <row r="2" spans="1:16" x14ac:dyDescent="0.25">
      <c r="A2" s="137" t="s">
        <v>64</v>
      </c>
      <c r="B2" s="135">
        <v>1</v>
      </c>
      <c r="C2" s="135">
        <v>3</v>
      </c>
      <c r="D2" s="134">
        <v>2021</v>
      </c>
      <c r="E2" s="132">
        <f>Electricity!H6</f>
        <v>18814</v>
      </c>
      <c r="F2" s="132">
        <f>+Electricity!F6</f>
        <v>3220</v>
      </c>
      <c r="G2" s="132">
        <f>+Electricity!G6</f>
        <v>15594</v>
      </c>
      <c r="H2" s="183">
        <f>+Electricity!E6</f>
        <v>1035.78</v>
      </c>
      <c r="I2" s="183">
        <f>+Electricity!O6</f>
        <v>21789413.841599997</v>
      </c>
      <c r="J2" s="136">
        <f>Gas!D5</f>
        <v>79.81</v>
      </c>
      <c r="K2" s="183">
        <v>5362.31884057971</v>
      </c>
      <c r="L2" s="132">
        <f>Water!C5</f>
        <v>162</v>
      </c>
      <c r="M2" s="183">
        <v>12500</v>
      </c>
      <c r="N2" s="132">
        <v>21</v>
      </c>
      <c r="O2" s="132">
        <v>40</v>
      </c>
      <c r="P2" s="138" t="e">
        <f>E2*H2+J2*K2+#REF!*#REF!+L2*M2</f>
        <v>#REF!</v>
      </c>
    </row>
    <row r="3" spans="1:16" x14ac:dyDescent="0.25">
      <c r="A3" s="137" t="s">
        <v>64</v>
      </c>
      <c r="B3" s="135">
        <f t="shared" ref="B3:B32" si="0">B2+1</f>
        <v>2</v>
      </c>
      <c r="C3" s="135">
        <v>3</v>
      </c>
      <c r="D3" s="134">
        <v>2021</v>
      </c>
      <c r="E3" s="132">
        <f>Electricity!H7</f>
        <v>19014</v>
      </c>
      <c r="F3" s="132">
        <f>+Electricity!F7</f>
        <v>3458</v>
      </c>
      <c r="G3" s="132">
        <f>+Electricity!G7</f>
        <v>15556</v>
      </c>
      <c r="H3" s="183">
        <f>+Electricity!E7</f>
        <v>1035.78</v>
      </c>
      <c r="I3" s="183">
        <f>+Electricity!O7</f>
        <v>22129740.076200001</v>
      </c>
      <c r="J3" s="136">
        <f>Gas!D6</f>
        <v>77.64</v>
      </c>
      <c r="K3" s="183">
        <v>5362.31884057971</v>
      </c>
      <c r="L3" s="132">
        <f>Water!C6</f>
        <v>165</v>
      </c>
      <c r="M3" s="183">
        <v>12500</v>
      </c>
      <c r="N3" s="132">
        <v>32</v>
      </c>
      <c r="O3" s="132">
        <v>62</v>
      </c>
      <c r="P3" s="138" t="e">
        <f>E3*H3+J3*K3+#REF!*#REF!+L3*M3</f>
        <v>#REF!</v>
      </c>
    </row>
    <row r="4" spans="1:16" x14ac:dyDescent="0.25">
      <c r="A4" s="137" t="s">
        <v>64</v>
      </c>
      <c r="B4" s="135">
        <f t="shared" si="0"/>
        <v>3</v>
      </c>
      <c r="C4" s="135">
        <v>3</v>
      </c>
      <c r="D4" s="134">
        <v>2021</v>
      </c>
      <c r="E4" s="132">
        <f>Electricity!H8</f>
        <v>18756</v>
      </c>
      <c r="F4" s="132">
        <f>+Electricity!F8</f>
        <v>3452</v>
      </c>
      <c r="G4" s="132">
        <f>+Electricity!G8</f>
        <v>15304</v>
      </c>
      <c r="H4" s="183">
        <f>+Electricity!E8</f>
        <v>1035.78</v>
      </c>
      <c r="I4" s="183">
        <f>+Electricity!O8</f>
        <v>21851291.338800002</v>
      </c>
      <c r="J4" s="136">
        <f>Gas!D7</f>
        <v>99.29</v>
      </c>
      <c r="K4" s="183">
        <v>5362.31884057971</v>
      </c>
      <c r="L4" s="132">
        <f>Water!C7</f>
        <v>178</v>
      </c>
      <c r="M4" s="183">
        <v>12500</v>
      </c>
      <c r="N4" s="132">
        <v>34</v>
      </c>
      <c r="O4" s="132">
        <v>65</v>
      </c>
      <c r="P4" s="138" t="e">
        <f>E4*H4+J4*K4+#REF!*#REF!+L4*M4</f>
        <v>#REF!</v>
      </c>
    </row>
    <row r="5" spans="1:16" x14ac:dyDescent="0.25">
      <c r="A5" s="137" t="s">
        <v>64</v>
      </c>
      <c r="B5" s="135">
        <f t="shared" si="0"/>
        <v>4</v>
      </c>
      <c r="C5" s="135">
        <v>3</v>
      </c>
      <c r="D5" s="134">
        <v>2021</v>
      </c>
      <c r="E5" s="132">
        <f>Electricity!H9</f>
        <v>21283</v>
      </c>
      <c r="F5" s="132">
        <f>+Electricity!F9</f>
        <v>3671</v>
      </c>
      <c r="G5" s="132">
        <f>+Electricity!G9</f>
        <v>17612</v>
      </c>
      <c r="H5" s="183">
        <f>+Electricity!E9</f>
        <v>1035.78</v>
      </c>
      <c r="I5" s="183">
        <f>+Electricity!O9</f>
        <v>24664050.3279</v>
      </c>
      <c r="J5" s="136">
        <f>Gas!D8</f>
        <v>83.75</v>
      </c>
      <c r="K5" s="183">
        <v>5362.31884057971</v>
      </c>
      <c r="L5" s="132">
        <f>Water!C8</f>
        <v>152</v>
      </c>
      <c r="M5" s="183">
        <v>12500</v>
      </c>
      <c r="N5" s="132">
        <v>37</v>
      </c>
      <c r="O5" s="132">
        <v>73</v>
      </c>
      <c r="P5" s="138" t="e">
        <f>E5*H5+J5*K5+#REF!*#REF!+L5*M5</f>
        <v>#REF!</v>
      </c>
    </row>
    <row r="6" spans="1:16" x14ac:dyDescent="0.25">
      <c r="A6" s="137" t="s">
        <v>64</v>
      </c>
      <c r="B6" s="135">
        <f t="shared" si="0"/>
        <v>5</v>
      </c>
      <c r="C6" s="135">
        <v>3</v>
      </c>
      <c r="D6" s="134">
        <v>2021</v>
      </c>
      <c r="E6" s="132">
        <f>Electricity!H10</f>
        <v>18882</v>
      </c>
      <c r="F6" s="132">
        <f>+Electricity!F10</f>
        <v>3344</v>
      </c>
      <c r="G6" s="132">
        <f>+Electricity!G10</f>
        <v>15538</v>
      </c>
      <c r="H6" s="183">
        <f>+Electricity!E10</f>
        <v>1035.78</v>
      </c>
      <c r="I6" s="183">
        <f>+Electricity!O10</f>
        <v>21928104.783599999</v>
      </c>
      <c r="J6" s="136">
        <f>Gas!D9</f>
        <v>125.84</v>
      </c>
      <c r="K6" s="183">
        <v>5362.31884057971</v>
      </c>
      <c r="L6" s="132">
        <f>Water!C9</f>
        <v>138</v>
      </c>
      <c r="M6" s="183">
        <v>12500</v>
      </c>
      <c r="N6" s="132">
        <v>50</v>
      </c>
      <c r="O6" s="132">
        <v>103</v>
      </c>
      <c r="P6" s="138" t="e">
        <f>E6*H6+J6*K6+#REF!*#REF!+L6*M6</f>
        <v>#REF!</v>
      </c>
    </row>
    <row r="7" spans="1:16" x14ac:dyDescent="0.25">
      <c r="A7" s="137" t="s">
        <v>64</v>
      </c>
      <c r="B7" s="135">
        <f t="shared" si="0"/>
        <v>6</v>
      </c>
      <c r="C7" s="135">
        <v>3</v>
      </c>
      <c r="D7" s="134">
        <v>2021</v>
      </c>
      <c r="E7" s="132">
        <f>Electricity!H11</f>
        <v>19338</v>
      </c>
      <c r="F7" s="132">
        <f>+Electricity!F11</f>
        <v>3486</v>
      </c>
      <c r="G7" s="132">
        <f>+Electricity!G11</f>
        <v>15852</v>
      </c>
      <c r="H7" s="183">
        <f>+Electricity!E11</f>
        <v>1035.78</v>
      </c>
      <c r="I7" s="183">
        <f>+Electricity!O11</f>
        <v>22490336.525399998</v>
      </c>
      <c r="J7" s="136">
        <f>Gas!D10</f>
        <v>121.79</v>
      </c>
      <c r="K7" s="183">
        <v>5362.31884057971</v>
      </c>
      <c r="L7" s="132">
        <f>Water!C10</f>
        <v>155</v>
      </c>
      <c r="M7" s="183">
        <v>12500</v>
      </c>
      <c r="N7" s="132">
        <v>85</v>
      </c>
      <c r="O7" s="132">
        <v>176</v>
      </c>
      <c r="P7" s="138" t="e">
        <f>E7*H7+J7*K7+#REF!*#REF!+L7*M7</f>
        <v>#REF!</v>
      </c>
    </row>
    <row r="8" spans="1:16" x14ac:dyDescent="0.25">
      <c r="A8" s="137" t="s">
        <v>64</v>
      </c>
      <c r="B8" s="135">
        <f t="shared" si="0"/>
        <v>7</v>
      </c>
      <c r="C8" s="135">
        <v>3</v>
      </c>
      <c r="D8" s="134">
        <v>2021</v>
      </c>
      <c r="E8" s="132">
        <f>Electricity!H12</f>
        <v>18664</v>
      </c>
      <c r="F8" s="132">
        <f>+Electricity!F12</f>
        <v>3066</v>
      </c>
      <c r="G8" s="132">
        <f>+Electricity!G12</f>
        <v>15598</v>
      </c>
      <c r="H8" s="183">
        <f>+Electricity!E12</f>
        <v>1035.78</v>
      </c>
      <c r="I8" s="183">
        <f>+Electricity!O12</f>
        <v>21547238.119800001</v>
      </c>
      <c r="J8" s="136">
        <f>Gas!D11</f>
        <v>134.66</v>
      </c>
      <c r="K8" s="183">
        <v>5362.31884057971</v>
      </c>
      <c r="L8" s="132">
        <f>Water!C11</f>
        <v>172</v>
      </c>
      <c r="M8" s="183">
        <v>12500</v>
      </c>
      <c r="N8" s="132">
        <v>37</v>
      </c>
      <c r="O8" s="132">
        <v>71</v>
      </c>
      <c r="P8" s="138" t="e">
        <f>E8*H8+J8*K8+#REF!*#REF!+L8*M8</f>
        <v>#REF!</v>
      </c>
    </row>
    <row r="9" spans="1:16" x14ac:dyDescent="0.25">
      <c r="A9" s="137" t="s">
        <v>64</v>
      </c>
      <c r="B9" s="135">
        <f t="shared" si="0"/>
        <v>8</v>
      </c>
      <c r="C9" s="135">
        <v>3</v>
      </c>
      <c r="D9" s="134">
        <v>2021</v>
      </c>
      <c r="E9" s="132">
        <f>Electricity!H13</f>
        <v>17829</v>
      </c>
      <c r="F9" s="132">
        <f>+Electricity!F13</f>
        <v>3110</v>
      </c>
      <c r="G9" s="132">
        <f>+Electricity!G13</f>
        <v>14719</v>
      </c>
      <c r="H9" s="183">
        <f>+Electricity!E13</f>
        <v>1035.78</v>
      </c>
      <c r="I9" s="183">
        <f>+Electricity!O13</f>
        <v>20679886.305599999</v>
      </c>
      <c r="J9" s="136">
        <f>Gas!D12</f>
        <v>93.73</v>
      </c>
      <c r="K9" s="183">
        <v>5362.31884057971</v>
      </c>
      <c r="L9" s="132">
        <f>Water!C12</f>
        <v>137</v>
      </c>
      <c r="M9" s="183">
        <v>12500</v>
      </c>
      <c r="N9" s="132">
        <v>42</v>
      </c>
      <c r="O9" s="132">
        <v>81</v>
      </c>
      <c r="P9" s="138" t="e">
        <f>E9*H9+J9*K9+#REF!*#REF!+L9*M9</f>
        <v>#REF!</v>
      </c>
    </row>
    <row r="10" spans="1:16" x14ac:dyDescent="0.25">
      <c r="A10" s="137" t="s">
        <v>64</v>
      </c>
      <c r="B10" s="135">
        <f t="shared" si="0"/>
        <v>9</v>
      </c>
      <c r="C10" s="135">
        <v>3</v>
      </c>
      <c r="D10" s="134">
        <v>2021</v>
      </c>
      <c r="E10" s="132">
        <f>Electricity!H14</f>
        <v>17452</v>
      </c>
      <c r="F10" s="132">
        <f>+Electricity!F14</f>
        <v>3146</v>
      </c>
      <c r="G10" s="132">
        <f>+Electricity!G14</f>
        <v>14306</v>
      </c>
      <c r="H10" s="183">
        <f>+Electricity!E14</f>
        <v>1035.78</v>
      </c>
      <c r="I10" s="183">
        <f>+Electricity!O14</f>
        <v>20296885.934999999</v>
      </c>
      <c r="J10" s="136">
        <f>Gas!D13</f>
        <v>91.51</v>
      </c>
      <c r="K10" s="183">
        <v>5362.31884057971</v>
      </c>
      <c r="L10" s="132">
        <f>Water!C13</f>
        <v>156</v>
      </c>
      <c r="M10" s="183">
        <v>12500</v>
      </c>
      <c r="N10" s="132">
        <v>38</v>
      </c>
      <c r="O10" s="132">
        <v>74</v>
      </c>
      <c r="P10" s="138" t="e">
        <f>E10*H10+J10*K10+#REF!*#REF!+L10*M10</f>
        <v>#REF!</v>
      </c>
    </row>
    <row r="11" spans="1:16" x14ac:dyDescent="0.25">
      <c r="A11" s="137" t="s">
        <v>64</v>
      </c>
      <c r="B11" s="135">
        <f t="shared" si="0"/>
        <v>10</v>
      </c>
      <c r="C11" s="135">
        <v>3</v>
      </c>
      <c r="D11" s="134">
        <v>2021</v>
      </c>
      <c r="E11" s="132">
        <f>Electricity!H15</f>
        <v>19586</v>
      </c>
      <c r="F11" s="132">
        <f>+Electricity!F15</f>
        <v>3590</v>
      </c>
      <c r="G11" s="132">
        <f>+Electricity!G15</f>
        <v>15996</v>
      </c>
      <c r="H11" s="183">
        <f>+Electricity!E15</f>
        <v>1035.78</v>
      </c>
      <c r="I11" s="183">
        <f>+Electricity!O15</f>
        <v>22810392.545400001</v>
      </c>
      <c r="J11" s="136">
        <f>Gas!D14</f>
        <v>73.7</v>
      </c>
      <c r="K11" s="183">
        <v>5362.31884057971</v>
      </c>
      <c r="L11" s="132">
        <f>Water!C14</f>
        <v>185</v>
      </c>
      <c r="M11" s="183">
        <v>12500</v>
      </c>
      <c r="N11" s="132">
        <v>70</v>
      </c>
      <c r="O11" s="132">
        <v>136</v>
      </c>
      <c r="P11" s="138" t="e">
        <f>E11*H11+J11*K11+#REF!*#REF!+L11*M11</f>
        <v>#REF!</v>
      </c>
    </row>
    <row r="12" spans="1:16" x14ac:dyDescent="0.25">
      <c r="A12" s="137" t="s">
        <v>64</v>
      </c>
      <c r="B12" s="135">
        <f t="shared" si="0"/>
        <v>11</v>
      </c>
      <c r="C12" s="135">
        <v>3</v>
      </c>
      <c r="D12" s="134">
        <v>2021</v>
      </c>
      <c r="E12" s="132">
        <f>Electricity!H16</f>
        <v>19064</v>
      </c>
      <c r="F12" s="132">
        <f>+Electricity!F16</f>
        <v>3462</v>
      </c>
      <c r="G12" s="132">
        <f>+Electricity!G16</f>
        <v>15602</v>
      </c>
      <c r="H12" s="183">
        <f>+Electricity!E16</f>
        <v>1035.78</v>
      </c>
      <c r="I12" s="183">
        <f>+Electricity!O16</f>
        <v>22185216.452999998</v>
      </c>
      <c r="J12" s="136">
        <f>Gas!D15</f>
        <v>89.92</v>
      </c>
      <c r="K12" s="183">
        <v>5362.31884057971</v>
      </c>
      <c r="L12" s="132">
        <f>Water!C15</f>
        <v>171</v>
      </c>
      <c r="M12" s="183">
        <v>12500</v>
      </c>
      <c r="N12" s="132">
        <v>79</v>
      </c>
      <c r="O12" s="132">
        <v>158</v>
      </c>
      <c r="P12" s="138" t="e">
        <f>E12*H12+J12*K12+#REF!*#REF!+L12*M12</f>
        <v>#REF!</v>
      </c>
    </row>
    <row r="13" spans="1:16" x14ac:dyDescent="0.25">
      <c r="A13" s="137" t="s">
        <v>64</v>
      </c>
      <c r="B13" s="135">
        <f t="shared" si="0"/>
        <v>12</v>
      </c>
      <c r="C13" s="135">
        <v>3</v>
      </c>
      <c r="D13" s="134">
        <v>2021</v>
      </c>
      <c r="E13" s="132">
        <f>Electricity!H17</f>
        <v>20570</v>
      </c>
      <c r="F13" s="132">
        <f>+Electricity!F17</f>
        <v>3578</v>
      </c>
      <c r="G13" s="132">
        <f>+Electricity!G17</f>
        <v>16992</v>
      </c>
      <c r="H13" s="183">
        <f>+Electricity!E17</f>
        <v>1035.78</v>
      </c>
      <c r="I13" s="183">
        <f>+Electricity!O17</f>
        <v>23853775.170599997</v>
      </c>
      <c r="J13" s="136">
        <f>Gas!D16</f>
        <v>134.72999999999999</v>
      </c>
      <c r="K13" s="183">
        <v>5362.31884057971</v>
      </c>
      <c r="L13" s="132">
        <f>Water!C16</f>
        <v>121</v>
      </c>
      <c r="M13" s="183">
        <v>12500</v>
      </c>
      <c r="N13" s="132">
        <v>68</v>
      </c>
      <c r="O13" s="132">
        <v>134</v>
      </c>
      <c r="P13" s="138" t="e">
        <f>E13*H13+J13*K13+#REF!*#REF!+L13*M13</f>
        <v>#REF!</v>
      </c>
    </row>
    <row r="14" spans="1:16" x14ac:dyDescent="0.25">
      <c r="A14" s="137" t="s">
        <v>64</v>
      </c>
      <c r="B14" s="135">
        <f t="shared" si="0"/>
        <v>13</v>
      </c>
      <c r="C14" s="135">
        <v>3</v>
      </c>
      <c r="D14" s="134">
        <v>2021</v>
      </c>
      <c r="E14" s="132">
        <f>Electricity!H18</f>
        <v>19736</v>
      </c>
      <c r="F14" s="132">
        <f>+Electricity!F18</f>
        <v>3620</v>
      </c>
      <c r="G14" s="132">
        <f>+Electricity!G18</f>
        <v>16116</v>
      </c>
      <c r="H14" s="183">
        <f>+Electricity!E18</f>
        <v>1035.78</v>
      </c>
      <c r="I14" s="183">
        <f>+Electricity!O18</f>
        <v>22986423.356399998</v>
      </c>
      <c r="J14" s="136">
        <f>Gas!D17</f>
        <v>146.47999999999999</v>
      </c>
      <c r="K14" s="183">
        <v>5362.31884057971</v>
      </c>
      <c r="L14" s="132">
        <f>Water!C17</f>
        <v>137</v>
      </c>
      <c r="M14" s="183">
        <v>12500</v>
      </c>
      <c r="N14" s="132">
        <v>92</v>
      </c>
      <c r="O14" s="132">
        <v>189</v>
      </c>
      <c r="P14" s="138" t="e">
        <f>E14*H14+J14*K14+#REF!*#REF!+L14*M14</f>
        <v>#REF!</v>
      </c>
    </row>
    <row r="15" spans="1:16" x14ac:dyDescent="0.25">
      <c r="A15" s="137" t="s">
        <v>64</v>
      </c>
      <c r="B15" s="135">
        <f t="shared" si="0"/>
        <v>14</v>
      </c>
      <c r="C15" s="135">
        <v>3</v>
      </c>
      <c r="D15" s="134">
        <v>2021</v>
      </c>
      <c r="E15" s="132">
        <f>Electricity!H19</f>
        <v>21168</v>
      </c>
      <c r="F15" s="132">
        <f>+Electricity!F19</f>
        <v>3582</v>
      </c>
      <c r="G15" s="132">
        <f>+Electricity!G19</f>
        <v>17586</v>
      </c>
      <c r="H15" s="183">
        <f>+Electricity!E19</f>
        <v>1035.78</v>
      </c>
      <c r="I15" s="183">
        <f>+Electricity!O19</f>
        <v>24493887.210599996</v>
      </c>
      <c r="J15" s="136">
        <f>Gas!D18</f>
        <v>103.44</v>
      </c>
      <c r="K15" s="183">
        <v>5362.31884057971</v>
      </c>
      <c r="L15" s="132">
        <f>Water!C18</f>
        <v>127</v>
      </c>
      <c r="M15" s="183">
        <v>12500</v>
      </c>
      <c r="N15" s="132">
        <v>71</v>
      </c>
      <c r="O15" s="132">
        <v>146</v>
      </c>
      <c r="P15" s="138" t="e">
        <f>E15*H15+J15*K15+#REF!*#REF!+L15*M15</f>
        <v>#REF!</v>
      </c>
    </row>
    <row r="16" spans="1:16" x14ac:dyDescent="0.25">
      <c r="A16" s="137" t="s">
        <v>64</v>
      </c>
      <c r="B16" s="135">
        <f t="shared" si="0"/>
        <v>15</v>
      </c>
      <c r="C16" s="135">
        <v>3</v>
      </c>
      <c r="D16" s="134">
        <v>2021</v>
      </c>
      <c r="E16" s="132">
        <f>Electricity!H20</f>
        <v>19374</v>
      </c>
      <c r="F16" s="132">
        <f>+Electricity!F20</f>
        <v>3280</v>
      </c>
      <c r="G16" s="132">
        <f>+Electricity!G20</f>
        <v>16094</v>
      </c>
      <c r="H16" s="183">
        <f>+Electricity!E20</f>
        <v>1035.78</v>
      </c>
      <c r="I16" s="183">
        <f>+Electricity!O20</f>
        <v>22418857.347600002</v>
      </c>
      <c r="J16" s="136">
        <f>Gas!D19</f>
        <v>150.55000000000001</v>
      </c>
      <c r="K16" s="183">
        <v>5362.31884057971</v>
      </c>
      <c r="L16" s="132">
        <f>Water!C19</f>
        <v>178</v>
      </c>
      <c r="M16" s="183">
        <v>12500</v>
      </c>
      <c r="N16" s="132">
        <v>52</v>
      </c>
      <c r="O16" s="132">
        <v>100</v>
      </c>
      <c r="P16" s="138" t="e">
        <f>E16*H16+J16*K16+#REF!*#REF!+L16*M16</f>
        <v>#REF!</v>
      </c>
    </row>
    <row r="17" spans="1:18" x14ac:dyDescent="0.25">
      <c r="A17" s="137" t="s">
        <v>64</v>
      </c>
      <c r="B17" s="135">
        <f t="shared" si="0"/>
        <v>16</v>
      </c>
      <c r="C17" s="135">
        <v>3</v>
      </c>
      <c r="D17" s="134">
        <v>2021</v>
      </c>
      <c r="E17" s="132">
        <f>Electricity!H21</f>
        <v>19876</v>
      </c>
      <c r="F17" s="132">
        <f>+Electricity!F21</f>
        <v>3808</v>
      </c>
      <c r="G17" s="132">
        <f>+Electricity!G21</f>
        <v>16068</v>
      </c>
      <c r="H17" s="183">
        <f>+Electricity!E21</f>
        <v>1035.78</v>
      </c>
      <c r="I17" s="183">
        <f>+Electricity!O21</f>
        <v>23236067.051999997</v>
      </c>
      <c r="J17" s="136">
        <f>Gas!D20</f>
        <v>136.28</v>
      </c>
      <c r="K17" s="183">
        <v>5362.31884057971</v>
      </c>
      <c r="L17" s="132">
        <f>Water!C20</f>
        <v>172</v>
      </c>
      <c r="M17" s="183">
        <v>12500</v>
      </c>
      <c r="N17" s="132">
        <v>44</v>
      </c>
      <c r="O17" s="132">
        <v>83</v>
      </c>
      <c r="P17" s="138" t="e">
        <f>E17*H17+J17*K17+#REF!*#REF!+L17*M17</f>
        <v>#REF!</v>
      </c>
    </row>
    <row r="18" spans="1:18" x14ac:dyDescent="0.25">
      <c r="A18" s="137" t="s">
        <v>64</v>
      </c>
      <c r="B18" s="135">
        <f t="shared" si="0"/>
        <v>17</v>
      </c>
      <c r="C18" s="135">
        <v>3</v>
      </c>
      <c r="D18" s="134">
        <v>2021</v>
      </c>
      <c r="E18" s="132">
        <f>Electricity!H22</f>
        <v>20178</v>
      </c>
      <c r="F18" s="132">
        <f>+Electricity!F22</f>
        <v>3932</v>
      </c>
      <c r="G18" s="132">
        <f>+Electricity!G22</f>
        <v>16246</v>
      </c>
      <c r="H18" s="183">
        <f>+Electricity!E22</f>
        <v>1035.78</v>
      </c>
      <c r="I18" s="183">
        <f>+Electricity!O22</f>
        <v>23624401.689600002</v>
      </c>
      <c r="J18" s="136">
        <f>Gas!D21</f>
        <v>112.75</v>
      </c>
      <c r="K18" s="183">
        <v>5362.31884057971</v>
      </c>
      <c r="L18" s="132">
        <f>Water!C21</f>
        <v>150</v>
      </c>
      <c r="M18" s="183">
        <v>12500</v>
      </c>
      <c r="N18" s="132">
        <v>82</v>
      </c>
      <c r="O18" s="132">
        <v>157</v>
      </c>
      <c r="P18" s="138" t="e">
        <f>E18*H18+J18*K18+#REF!*#REF!+L18*M18</f>
        <v>#REF!</v>
      </c>
    </row>
    <row r="19" spans="1:18" x14ac:dyDescent="0.25">
      <c r="A19" s="137" t="s">
        <v>64</v>
      </c>
      <c r="B19" s="135">
        <f t="shared" si="0"/>
        <v>18</v>
      </c>
      <c r="C19" s="135">
        <v>3</v>
      </c>
      <c r="D19" s="134">
        <v>2021</v>
      </c>
      <c r="E19" s="132">
        <f>Electricity!H23</f>
        <v>21700</v>
      </c>
      <c r="F19" s="132">
        <f>+Electricity!F23</f>
        <v>3888</v>
      </c>
      <c r="G19" s="132">
        <f>+Electricity!G23</f>
        <v>17812</v>
      </c>
      <c r="H19" s="183">
        <f>+Electricity!E23</f>
        <v>1035.78</v>
      </c>
      <c r="I19" s="183">
        <f>+Electricity!O23</f>
        <v>25224681.7896</v>
      </c>
      <c r="J19" s="136">
        <f>Gas!D22</f>
        <v>94.89</v>
      </c>
      <c r="K19" s="183">
        <v>5362.31884057971</v>
      </c>
      <c r="L19" s="132">
        <f>Water!C22</f>
        <v>109</v>
      </c>
      <c r="M19" s="183">
        <v>12500</v>
      </c>
      <c r="N19" s="132">
        <v>92</v>
      </c>
      <c r="O19" s="132">
        <v>182</v>
      </c>
      <c r="P19" s="138" t="e">
        <f>E19*H19+J19*K19+#REF!*#REF!+L19*M19</f>
        <v>#REF!</v>
      </c>
    </row>
    <row r="20" spans="1:18" x14ac:dyDescent="0.25">
      <c r="A20" s="137" t="s">
        <v>64</v>
      </c>
      <c r="B20" s="135">
        <f t="shared" si="0"/>
        <v>19</v>
      </c>
      <c r="C20" s="135">
        <v>3</v>
      </c>
      <c r="D20" s="134">
        <v>2021</v>
      </c>
      <c r="E20" s="132">
        <f>Electricity!H24</f>
        <v>21442</v>
      </c>
      <c r="F20" s="132">
        <f>+Electricity!F24</f>
        <v>3864</v>
      </c>
      <c r="G20" s="132">
        <f>+Electricity!G24</f>
        <v>17578</v>
      </c>
      <c r="H20" s="183">
        <f>+Electricity!E24</f>
        <v>1035.78</v>
      </c>
      <c r="I20" s="183">
        <f>+Electricity!O24</f>
        <v>24936631.371599998</v>
      </c>
      <c r="J20" s="136">
        <f>Gas!D23</f>
        <v>120.79</v>
      </c>
      <c r="K20" s="183">
        <v>5362.31884057971</v>
      </c>
      <c r="L20" s="132">
        <f>Water!C23</f>
        <v>107</v>
      </c>
      <c r="M20" s="183">
        <v>12500</v>
      </c>
      <c r="N20" s="132">
        <v>74</v>
      </c>
      <c r="O20" s="132">
        <v>150</v>
      </c>
      <c r="P20" s="138" t="e">
        <f>E20*H20+J20*K20+#REF!*#REF!+L20*M20</f>
        <v>#REF!</v>
      </c>
    </row>
    <row r="21" spans="1:18" x14ac:dyDescent="0.25">
      <c r="A21" s="137" t="s">
        <v>64</v>
      </c>
      <c r="B21" s="135">
        <f t="shared" si="0"/>
        <v>20</v>
      </c>
      <c r="C21" s="135">
        <v>3</v>
      </c>
      <c r="D21" s="134">
        <v>2021</v>
      </c>
      <c r="E21" s="132">
        <f>Electricity!H25</f>
        <v>24636</v>
      </c>
      <c r="F21" s="132">
        <f>+Electricity!F25</f>
        <v>5004</v>
      </c>
      <c r="G21" s="132">
        <f>+Electricity!G25</f>
        <v>19632</v>
      </c>
      <c r="H21" s="183">
        <f>+Electricity!E25</f>
        <v>1035.78</v>
      </c>
      <c r="I21" s="183">
        <f>+Electricity!O25</f>
        <v>28952267.569200002</v>
      </c>
      <c r="J21" s="136">
        <f>Gas!D24</f>
        <v>136.51</v>
      </c>
      <c r="K21" s="183">
        <v>5362.31884057971</v>
      </c>
      <c r="L21" s="132">
        <f>Water!C24</f>
        <v>224</v>
      </c>
      <c r="M21" s="183">
        <v>12500</v>
      </c>
      <c r="N21" s="132">
        <v>106</v>
      </c>
      <c r="O21" s="132">
        <v>209</v>
      </c>
      <c r="P21" s="138" t="e">
        <f>E21*H21+J21*K21+#REF!*#REF!+L21*M21</f>
        <v>#REF!</v>
      </c>
    </row>
    <row r="22" spans="1:18" x14ac:dyDescent="0.25">
      <c r="A22" s="137" t="s">
        <v>64</v>
      </c>
      <c r="B22" s="135">
        <f t="shared" si="0"/>
        <v>21</v>
      </c>
      <c r="C22" s="135">
        <v>3</v>
      </c>
      <c r="D22" s="134">
        <v>2021</v>
      </c>
      <c r="E22" s="132">
        <f>Electricity!H26</f>
        <v>24130</v>
      </c>
      <c r="F22" s="132">
        <f>+Electricity!F26</f>
        <v>4670</v>
      </c>
      <c r="G22" s="132">
        <f>+Electricity!G26</f>
        <v>19460</v>
      </c>
      <c r="H22" s="183">
        <f>+Electricity!E26</f>
        <v>1035.78</v>
      </c>
      <c r="I22" s="183">
        <f>+Electricity!O26</f>
        <v>28234275.230999999</v>
      </c>
      <c r="J22" s="136">
        <f>Gas!D25</f>
        <v>159.72</v>
      </c>
      <c r="K22" s="183">
        <v>5362.31884057971</v>
      </c>
      <c r="L22" s="132">
        <f>Water!C25</f>
        <v>160</v>
      </c>
      <c r="M22" s="183">
        <v>12500</v>
      </c>
      <c r="N22" s="132">
        <v>72</v>
      </c>
      <c r="O22" s="132">
        <v>135</v>
      </c>
      <c r="P22" s="138" t="e">
        <f>E22*H22+J22*K22+#REF!*#REF!+L22*M22</f>
        <v>#REF!</v>
      </c>
    </row>
    <row r="23" spans="1:18" x14ac:dyDescent="0.25">
      <c r="A23" s="137" t="s">
        <v>64</v>
      </c>
      <c r="B23" s="135">
        <f t="shared" si="0"/>
        <v>22</v>
      </c>
      <c r="C23" s="135">
        <v>3</v>
      </c>
      <c r="D23" s="134">
        <v>2021</v>
      </c>
      <c r="E23" s="132">
        <f>Electricity!H27</f>
        <v>20856</v>
      </c>
      <c r="F23" s="132">
        <f>+Electricity!F27</f>
        <v>3666</v>
      </c>
      <c r="G23" s="132">
        <f>+Electricity!G27</f>
        <v>17190</v>
      </c>
      <c r="H23" s="183">
        <f>+Electricity!E27</f>
        <v>1035.78</v>
      </c>
      <c r="I23" s="183">
        <f>+Electricity!O27</f>
        <v>24205836.792599998</v>
      </c>
      <c r="J23" s="136">
        <f>Gas!D26</f>
        <v>182.34</v>
      </c>
      <c r="K23" s="183">
        <v>5362.31884057971</v>
      </c>
      <c r="L23" s="132">
        <f>Water!C26</f>
        <v>201</v>
      </c>
      <c r="M23" s="183">
        <v>12500</v>
      </c>
      <c r="N23" s="132">
        <v>61</v>
      </c>
      <c r="O23" s="132">
        <v>110</v>
      </c>
      <c r="P23" s="138" t="e">
        <f>E23*H23+J23*K23+#REF!*#REF!+L23*M23</f>
        <v>#REF!</v>
      </c>
    </row>
    <row r="24" spans="1:18" x14ac:dyDescent="0.25">
      <c r="A24" s="137" t="s">
        <v>64</v>
      </c>
      <c r="B24" s="135">
        <f t="shared" si="0"/>
        <v>23</v>
      </c>
      <c r="C24" s="135">
        <v>3</v>
      </c>
      <c r="D24" s="134">
        <v>2021</v>
      </c>
      <c r="E24" s="132">
        <f>Electricity!H28</f>
        <v>20530</v>
      </c>
      <c r="F24" s="132">
        <f>+Electricity!F28</f>
        <v>3622</v>
      </c>
      <c r="G24" s="132">
        <f>+Electricity!G28</f>
        <v>16908</v>
      </c>
      <c r="H24" s="183">
        <f>+Electricity!E28</f>
        <v>1035.78</v>
      </c>
      <c r="I24" s="183">
        <f>+Electricity!O28</f>
        <v>23834571.809399996</v>
      </c>
      <c r="J24" s="136">
        <f>Gas!D27</f>
        <v>178.12</v>
      </c>
      <c r="K24" s="183">
        <v>5362.31884057971</v>
      </c>
      <c r="L24" s="132">
        <f>Water!C27</f>
        <v>169</v>
      </c>
      <c r="M24" s="183">
        <v>12500</v>
      </c>
      <c r="N24" s="132">
        <v>50</v>
      </c>
      <c r="O24" s="132">
        <v>94</v>
      </c>
      <c r="P24" s="138" t="e">
        <f>E24*H24+J24*K24+#REF!*#REF!+L24*M24</f>
        <v>#REF!</v>
      </c>
    </row>
    <row r="25" spans="1:18" x14ac:dyDescent="0.25">
      <c r="A25" s="137" t="s">
        <v>64</v>
      </c>
      <c r="B25" s="135">
        <f t="shared" si="0"/>
        <v>24</v>
      </c>
      <c r="C25" s="135">
        <v>3</v>
      </c>
      <c r="D25" s="134">
        <v>2021</v>
      </c>
      <c r="E25" s="132">
        <f>Electricity!H29</f>
        <v>20370</v>
      </c>
      <c r="F25" s="132">
        <f>+Electricity!F29</f>
        <v>3708</v>
      </c>
      <c r="G25" s="132">
        <f>+Electricity!G29</f>
        <v>16662</v>
      </c>
      <c r="H25" s="183">
        <f>+Electricity!E29</f>
        <v>1035.78</v>
      </c>
      <c r="I25" s="183">
        <f>+Electricity!O29</f>
        <v>23709749.961599998</v>
      </c>
      <c r="J25" s="136">
        <f>Gas!D28</f>
        <v>113.11</v>
      </c>
      <c r="K25" s="183">
        <v>5362.31884057971</v>
      </c>
      <c r="L25" s="132">
        <f>Water!C28</f>
        <v>164</v>
      </c>
      <c r="M25" s="183">
        <v>12500</v>
      </c>
      <c r="N25" s="132">
        <v>56</v>
      </c>
      <c r="O25" s="132">
        <v>103</v>
      </c>
      <c r="P25" s="138" t="e">
        <f>E25*H25+J25*K25+#REF!*#REF!+L25*M25</f>
        <v>#REF!</v>
      </c>
    </row>
    <row r="26" spans="1:18" x14ac:dyDescent="0.25">
      <c r="A26" s="137" t="s">
        <v>64</v>
      </c>
      <c r="B26" s="135">
        <f t="shared" si="0"/>
        <v>25</v>
      </c>
      <c r="C26" s="135">
        <v>3</v>
      </c>
      <c r="D26" s="134">
        <v>2021</v>
      </c>
      <c r="E26" s="132">
        <f>Electricity!H30</f>
        <v>23426</v>
      </c>
      <c r="F26" s="132">
        <f>+Electricity!F30</f>
        <v>3706</v>
      </c>
      <c r="G26" s="132">
        <f>+Electricity!G30</f>
        <v>19720</v>
      </c>
      <c r="H26" s="183">
        <f>+Electricity!E30</f>
        <v>1035.78</v>
      </c>
      <c r="I26" s="183">
        <f>+Electricity!O30</f>
        <v>26968987.098599996</v>
      </c>
      <c r="J26" s="136">
        <f>Gas!D29</f>
        <v>125.33</v>
      </c>
      <c r="K26" s="183">
        <v>5362.31884057971</v>
      </c>
      <c r="L26" s="132">
        <f>Water!C29</f>
        <v>153</v>
      </c>
      <c r="M26" s="183">
        <v>12500</v>
      </c>
      <c r="N26" s="132">
        <v>65</v>
      </c>
      <c r="O26" s="132">
        <v>122</v>
      </c>
      <c r="P26" s="138" t="e">
        <f>E26*H26+J26*K26+#REF!*#REF!+L26*M26</f>
        <v>#REF!</v>
      </c>
    </row>
    <row r="27" spans="1:18" x14ac:dyDescent="0.25">
      <c r="A27" s="137" t="s">
        <v>64</v>
      </c>
      <c r="B27" s="135">
        <f t="shared" si="0"/>
        <v>26</v>
      </c>
      <c r="C27" s="135">
        <v>3</v>
      </c>
      <c r="D27" s="134">
        <v>2021</v>
      </c>
      <c r="E27" s="132">
        <f>Electricity!H31</f>
        <v>22260</v>
      </c>
      <c r="F27" s="132">
        <f>+Electricity!F31</f>
        <v>4210</v>
      </c>
      <c r="G27" s="132">
        <f>+Electricity!G31</f>
        <v>18050</v>
      </c>
      <c r="H27" s="183">
        <f>+Electricity!E31</f>
        <v>1035.78</v>
      </c>
      <c r="I27" s="183">
        <f>+Electricity!O31</f>
        <v>25993883.090999998</v>
      </c>
      <c r="J27" s="136">
        <f>Gas!D30</f>
        <v>146.74</v>
      </c>
      <c r="K27" s="183">
        <v>5362.31884057971</v>
      </c>
      <c r="L27" s="132">
        <f>Water!C30</f>
        <v>161</v>
      </c>
      <c r="M27" s="183">
        <v>12500</v>
      </c>
      <c r="N27" s="132">
        <v>76</v>
      </c>
      <c r="O27" s="132">
        <v>148</v>
      </c>
      <c r="P27" s="138" t="e">
        <f>E27*H27+J27*K27+#REF!*#REF!+L27*M27</f>
        <v>#REF!</v>
      </c>
    </row>
    <row r="28" spans="1:18" x14ac:dyDescent="0.25">
      <c r="A28" s="137" t="s">
        <v>64</v>
      </c>
      <c r="B28" s="135">
        <f t="shared" si="0"/>
        <v>27</v>
      </c>
      <c r="C28" s="135">
        <v>3</v>
      </c>
      <c r="D28" s="134">
        <v>2021</v>
      </c>
      <c r="E28" s="132">
        <f>Electricity!H32</f>
        <v>24680</v>
      </c>
      <c r="F28" s="132">
        <f>+Electricity!F32</f>
        <v>4842</v>
      </c>
      <c r="G28" s="132">
        <f>+Electricity!G32</f>
        <v>19838</v>
      </c>
      <c r="H28" s="183">
        <f>+Electricity!E32</f>
        <v>1035.78</v>
      </c>
      <c r="I28" s="183">
        <f>+Electricity!O32</f>
        <v>28912793.9934</v>
      </c>
      <c r="J28" s="136">
        <f>Gas!D31</f>
        <v>142.08000000000001</v>
      </c>
      <c r="K28" s="183">
        <v>5362.31884057971</v>
      </c>
      <c r="L28" s="132">
        <f>Water!C31</f>
        <v>154</v>
      </c>
      <c r="M28" s="183">
        <v>12500</v>
      </c>
      <c r="N28" s="132">
        <v>92</v>
      </c>
      <c r="O28" s="132">
        <v>185</v>
      </c>
      <c r="P28" s="138" t="e">
        <f>E28*H28+J28*K28+#REF!*#REF!+L28*M28</f>
        <v>#REF!</v>
      </c>
    </row>
    <row r="29" spans="1:18" x14ac:dyDescent="0.25">
      <c r="A29" s="137" t="s">
        <v>64</v>
      </c>
      <c r="B29" s="135">
        <f t="shared" si="0"/>
        <v>28</v>
      </c>
      <c r="C29" s="135">
        <v>3</v>
      </c>
      <c r="D29" s="134">
        <v>2021</v>
      </c>
      <c r="E29" s="132">
        <f>Electricity!H33</f>
        <v>20206</v>
      </c>
      <c r="F29" s="132">
        <f>+Electricity!F33</f>
        <v>3580</v>
      </c>
      <c r="G29" s="132">
        <f>+Electricity!G33</f>
        <v>16626</v>
      </c>
      <c r="H29" s="183">
        <f>+Electricity!E33</f>
        <v>1035.78</v>
      </c>
      <c r="I29" s="183">
        <f>+Electricity!O33</f>
        <v>23466507.386400003</v>
      </c>
      <c r="J29" s="136">
        <f>Gas!D32</f>
        <v>152.32</v>
      </c>
      <c r="K29" s="183">
        <v>5362.31884057971</v>
      </c>
      <c r="L29" s="132">
        <f>Water!C32</f>
        <v>179</v>
      </c>
      <c r="M29" s="183">
        <v>12500</v>
      </c>
      <c r="N29" s="132">
        <v>71</v>
      </c>
      <c r="O29" s="132">
        <v>139</v>
      </c>
      <c r="P29" s="138" t="e">
        <f>E29*H29+J29*K29+#REF!*#REF!+L29*M29</f>
        <v>#REF!</v>
      </c>
    </row>
    <row r="30" spans="1:18" x14ac:dyDescent="0.25">
      <c r="A30" s="137" t="s">
        <v>64</v>
      </c>
      <c r="B30" s="135">
        <f t="shared" si="0"/>
        <v>29</v>
      </c>
      <c r="C30" s="135">
        <v>3</v>
      </c>
      <c r="D30" s="134">
        <v>2021</v>
      </c>
      <c r="E30" s="132">
        <f>Electricity!H34</f>
        <v>20080</v>
      </c>
      <c r="F30" s="132">
        <f>+Electricity!F34</f>
        <v>3468</v>
      </c>
      <c r="G30" s="132">
        <f>+Electricity!G34</f>
        <v>16612</v>
      </c>
      <c r="H30" s="183">
        <f>+Electricity!E34</f>
        <v>1035.78</v>
      </c>
      <c r="I30" s="183">
        <f>+Electricity!O34</f>
        <v>23272340.067599997</v>
      </c>
      <c r="J30" s="136">
        <f>Gas!D33</f>
        <v>126.43</v>
      </c>
      <c r="K30" s="183">
        <v>5362.31884057971</v>
      </c>
      <c r="L30" s="132">
        <f>Water!C33</f>
        <v>158</v>
      </c>
      <c r="M30" s="183">
        <v>12500</v>
      </c>
      <c r="N30" s="132">
        <v>66</v>
      </c>
      <c r="O30" s="132">
        <v>119</v>
      </c>
      <c r="P30" s="138" t="e">
        <f>E30*H30+J30*K30+#REF!*#REF!+L30*M30</f>
        <v>#REF!</v>
      </c>
    </row>
    <row r="31" spans="1:18" x14ac:dyDescent="0.25">
      <c r="A31" s="137" t="s">
        <v>64</v>
      </c>
      <c r="B31" s="135">
        <f t="shared" si="0"/>
        <v>30</v>
      </c>
      <c r="C31" s="135">
        <v>3</v>
      </c>
      <c r="D31" s="134">
        <v>2021</v>
      </c>
      <c r="E31" s="132">
        <f>Electricity!H35</f>
        <v>20739</v>
      </c>
      <c r="F31" s="132">
        <f>+Electricity!F35</f>
        <v>3608</v>
      </c>
      <c r="G31" s="132">
        <f>+Electricity!G35</f>
        <v>17131</v>
      </c>
      <c r="H31" s="183">
        <f>+Electricity!E35</f>
        <v>1035.78</v>
      </c>
      <c r="I31" s="183">
        <f>+Electricity!O35</f>
        <v>24050076.196199998</v>
      </c>
      <c r="J31" s="136">
        <f>Gas!D34</f>
        <v>114.29</v>
      </c>
      <c r="K31" s="183">
        <v>5362.31884057971</v>
      </c>
      <c r="L31" s="132">
        <f>Water!C34</f>
        <v>150</v>
      </c>
      <c r="M31" s="183">
        <v>12500</v>
      </c>
      <c r="N31" s="132">
        <v>74</v>
      </c>
      <c r="O31" s="132">
        <v>137</v>
      </c>
      <c r="P31" s="138" t="e">
        <f>E31*H31+J31*K31+#REF!*#REF!+L31*M31</f>
        <v>#REF!</v>
      </c>
    </row>
    <row r="32" spans="1:18" s="132" customFormat="1" x14ac:dyDescent="0.25">
      <c r="A32" s="137" t="s">
        <v>64</v>
      </c>
      <c r="B32" s="135">
        <f t="shared" si="0"/>
        <v>31</v>
      </c>
      <c r="C32" s="135">
        <v>3</v>
      </c>
      <c r="D32" s="134">
        <v>2021</v>
      </c>
      <c r="E32" s="132">
        <f>Electricity!H36</f>
        <v>23596</v>
      </c>
      <c r="F32" s="132">
        <f>+Electricity!F36</f>
        <v>3976</v>
      </c>
      <c r="G32" s="132">
        <f>+Electricity!G36</f>
        <v>19620</v>
      </c>
      <c r="H32" s="183">
        <f>+Electricity!E36</f>
        <v>1035.78</v>
      </c>
      <c r="I32" s="183">
        <f>+Electricity!O36</f>
        <v>27294377.385599997</v>
      </c>
      <c r="J32" s="136">
        <f>Gas!D35</f>
        <v>87.77</v>
      </c>
      <c r="K32" s="183">
        <v>5362.31884057971</v>
      </c>
      <c r="L32" s="132">
        <f>Water!C35</f>
        <v>204</v>
      </c>
      <c r="M32" s="183">
        <v>12500</v>
      </c>
      <c r="N32" s="132">
        <v>80</v>
      </c>
      <c r="O32" s="132">
        <v>159</v>
      </c>
      <c r="P32" s="131"/>
      <c r="R32" s="131"/>
    </row>
    <row r="33" spans="1:16" s="132" customFormat="1" x14ac:dyDescent="0.25">
      <c r="A33" s="133"/>
      <c r="B33" s="135"/>
      <c r="C33" s="135"/>
      <c r="D33" s="134"/>
      <c r="H33" s="136"/>
      <c r="I33" s="136"/>
      <c r="J33" s="136"/>
      <c r="K33" s="136"/>
      <c r="L33" s="136"/>
      <c r="M33" s="136"/>
      <c r="P33" s="131"/>
    </row>
    <row r="34" spans="1:16" s="132" customFormat="1" x14ac:dyDescent="0.25">
      <c r="A34" s="133"/>
      <c r="B34" s="135"/>
      <c r="C34" s="135"/>
      <c r="D34" s="134"/>
      <c r="H34" s="136"/>
      <c r="I34" s="136"/>
      <c r="J34" s="136"/>
      <c r="K34" s="136"/>
      <c r="L34" s="136"/>
      <c r="M34" s="136"/>
      <c r="P34" s="131"/>
    </row>
    <row r="35" spans="1:16" s="132" customFormat="1" x14ac:dyDescent="0.25">
      <c r="A35" s="133"/>
      <c r="B35" s="135"/>
      <c r="C35" s="135"/>
      <c r="D35" s="134"/>
      <c r="H35" s="136"/>
      <c r="I35" s="136"/>
      <c r="J35" s="136"/>
      <c r="K35" s="136"/>
      <c r="L35" s="136"/>
      <c r="M35" s="136"/>
      <c r="P35" s="131"/>
    </row>
    <row r="36" spans="1:16" s="132" customFormat="1" x14ac:dyDescent="0.25">
      <c r="A36" s="133"/>
      <c r="B36" s="135"/>
      <c r="C36" s="135"/>
      <c r="D36" s="134"/>
      <c r="H36" s="136"/>
      <c r="I36" s="136"/>
      <c r="J36" s="136"/>
      <c r="K36" s="136"/>
      <c r="L36" s="136"/>
      <c r="M36" s="136"/>
      <c r="P36" s="131"/>
    </row>
    <row r="37" spans="1:16" s="132" customFormat="1" x14ac:dyDescent="0.25">
      <c r="A37" s="133"/>
      <c r="B37" s="135"/>
      <c r="C37" s="135"/>
      <c r="D37" s="134"/>
      <c r="H37" s="136"/>
      <c r="I37" s="136"/>
      <c r="J37" s="136"/>
      <c r="K37" s="136"/>
      <c r="L37" s="136"/>
      <c r="M37" s="136"/>
      <c r="P37" s="131"/>
    </row>
    <row r="38" spans="1:16" s="132" customFormat="1" x14ac:dyDescent="0.25">
      <c r="A38" s="133"/>
      <c r="B38" s="135"/>
      <c r="C38" s="135"/>
      <c r="D38" s="134"/>
      <c r="H38" s="136"/>
      <c r="I38" s="136"/>
      <c r="J38" s="136"/>
      <c r="K38" s="136"/>
      <c r="L38" s="136"/>
      <c r="M38" s="136"/>
      <c r="P38" s="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6"/>
  <sheetViews>
    <sheetView view="pageBreakPreview" zoomScale="80" zoomScaleNormal="80" zoomScaleSheetLayoutView="80" workbookViewId="0">
      <pane ySplit="4" topLeftCell="A29" activePane="bottomLeft" state="frozen"/>
      <selection pane="bottomLeft" activeCell="G40" sqref="G40"/>
    </sheetView>
  </sheetViews>
  <sheetFormatPr defaultRowHeight="15" x14ac:dyDescent="0.25"/>
  <cols>
    <col min="1" max="1" width="2.28515625" style="33" customWidth="1"/>
    <col min="2" max="5" width="16.28515625" style="33" customWidth="1"/>
    <col min="6" max="7" width="17.7109375" style="106" customWidth="1"/>
    <col min="8" max="10" width="29.7109375" style="106" customWidth="1"/>
    <col min="11" max="11" width="21.5703125" style="33" bestFit="1" customWidth="1"/>
    <col min="12" max="12" width="24.85546875" style="33" customWidth="1"/>
    <col min="13" max="13" width="29.7109375" style="33" customWidth="1"/>
    <col min="14" max="14" width="20.5703125" style="33" bestFit="1" customWidth="1"/>
    <col min="15" max="15" width="23.42578125" style="33" customWidth="1"/>
    <col min="16" max="16" width="11" style="31" customWidth="1"/>
    <col min="17" max="17" width="16.5703125" style="31" customWidth="1"/>
    <col min="18" max="20" width="9.140625" style="31"/>
    <col min="21" max="16384" width="9.140625" style="33"/>
  </cols>
  <sheetData>
    <row r="1" spans="2:20" s="1" customFormat="1" ht="15.75" thickBot="1" x14ac:dyDescent="0.3">
      <c r="B1" s="161" t="s">
        <v>53</v>
      </c>
      <c r="C1" s="162"/>
      <c r="D1" s="162"/>
      <c r="E1" s="162"/>
      <c r="F1" s="87"/>
      <c r="G1" s="88"/>
      <c r="H1" s="88"/>
      <c r="I1" s="88"/>
      <c r="J1" s="88"/>
      <c r="K1" s="78"/>
      <c r="L1" s="77"/>
      <c r="M1" s="77"/>
      <c r="N1" s="77"/>
      <c r="O1" s="79"/>
      <c r="P1" s="2"/>
      <c r="Q1" s="2"/>
    </row>
    <row r="2" spans="2:20" s="3" customFormat="1" ht="63" customHeight="1" x14ac:dyDescent="0.25">
      <c r="B2" s="163" t="s">
        <v>0</v>
      </c>
      <c r="C2" s="146"/>
      <c r="D2" s="146"/>
      <c r="E2" s="166" t="s">
        <v>22</v>
      </c>
      <c r="F2" s="168" t="s">
        <v>26</v>
      </c>
      <c r="G2" s="169"/>
      <c r="H2" s="169"/>
      <c r="I2" s="169"/>
      <c r="J2" s="169"/>
      <c r="K2" s="169"/>
      <c r="L2" s="169"/>
      <c r="M2" s="169"/>
      <c r="N2" s="169"/>
      <c r="O2" s="170"/>
      <c r="P2" s="2"/>
      <c r="Q2" s="2"/>
      <c r="R2" s="1"/>
      <c r="S2" s="1"/>
      <c r="T2" s="1"/>
    </row>
    <row r="3" spans="2:20" s="72" customFormat="1" ht="25.5" customHeight="1" x14ac:dyDescent="0.25">
      <c r="B3" s="164"/>
      <c r="C3" s="147"/>
      <c r="D3" s="147"/>
      <c r="E3" s="158"/>
      <c r="F3" s="69" t="s">
        <v>20</v>
      </c>
      <c r="G3" s="73" t="s">
        <v>29</v>
      </c>
      <c r="H3" s="73" t="s">
        <v>34</v>
      </c>
      <c r="I3" s="171" t="s">
        <v>33</v>
      </c>
      <c r="J3" s="172"/>
      <c r="K3" s="171" t="s">
        <v>35</v>
      </c>
      <c r="L3" s="173"/>
      <c r="M3" s="172"/>
      <c r="N3" s="157" t="s">
        <v>27</v>
      </c>
      <c r="O3" s="159" t="s">
        <v>8</v>
      </c>
      <c r="P3" s="70"/>
      <c r="Q3" s="70"/>
      <c r="R3" s="71"/>
      <c r="S3" s="71"/>
      <c r="T3" s="71"/>
    </row>
    <row r="4" spans="2:20" s="3" customFormat="1" ht="29.25" customHeight="1" x14ac:dyDescent="0.25">
      <c r="B4" s="165"/>
      <c r="C4" s="148"/>
      <c r="D4" s="148"/>
      <c r="E4" s="167"/>
      <c r="F4" s="65" t="s">
        <v>28</v>
      </c>
      <c r="G4" s="64" t="s">
        <v>30</v>
      </c>
      <c r="H4" s="64" t="s">
        <v>31</v>
      </c>
      <c r="I4" s="74" t="s">
        <v>32</v>
      </c>
      <c r="J4" s="75" t="s">
        <v>25</v>
      </c>
      <c r="K4" s="76" t="s">
        <v>20</v>
      </c>
      <c r="L4" s="64" t="s">
        <v>21</v>
      </c>
      <c r="M4" s="64" t="s">
        <v>1</v>
      </c>
      <c r="N4" s="158"/>
      <c r="O4" s="160"/>
      <c r="P4" s="2"/>
      <c r="Q4" s="5"/>
      <c r="R4" s="1"/>
      <c r="S4" s="1"/>
      <c r="T4" s="1"/>
    </row>
    <row r="5" spans="2:20" s="3" customFormat="1" ht="35.25" customHeight="1" x14ac:dyDescent="0.25">
      <c r="B5" s="62"/>
      <c r="C5" s="150" t="s">
        <v>65</v>
      </c>
      <c r="D5" s="150" t="s">
        <v>66</v>
      </c>
      <c r="E5" s="68">
        <v>1035.78</v>
      </c>
      <c r="F5" s="64" t="s">
        <v>23</v>
      </c>
      <c r="G5" s="64" t="s">
        <v>23</v>
      </c>
      <c r="H5" s="64" t="s">
        <v>23</v>
      </c>
      <c r="I5" s="64" t="s">
        <v>23</v>
      </c>
      <c r="J5" s="64" t="s">
        <v>23</v>
      </c>
      <c r="K5" s="64" t="s">
        <v>24</v>
      </c>
      <c r="L5" s="64" t="s">
        <v>24</v>
      </c>
      <c r="M5" s="64" t="s">
        <v>24</v>
      </c>
      <c r="N5" s="63" t="s">
        <v>24</v>
      </c>
      <c r="O5" s="4" t="s">
        <v>24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43891</v>
      </c>
      <c r="C6" s="156"/>
      <c r="D6" s="156"/>
      <c r="E6" s="67">
        <f>$E$5</f>
        <v>1035.78</v>
      </c>
      <c r="F6" s="154">
        <v>3220</v>
      </c>
      <c r="G6" s="151">
        <v>15594</v>
      </c>
      <c r="H6" s="66">
        <f t="shared" ref="H6:H36" si="0">G6+F6</f>
        <v>18814</v>
      </c>
      <c r="I6" s="89">
        <v>7677</v>
      </c>
      <c r="J6" s="89">
        <f>+H6-I6</f>
        <v>11137</v>
      </c>
      <c r="K6" s="57">
        <f t="shared" ref="K6:K37" si="1">F6*1.5*E6</f>
        <v>5002817.3999999994</v>
      </c>
      <c r="L6" s="57">
        <f t="shared" ref="L6:L37" si="2">G6*E6</f>
        <v>16151953.32</v>
      </c>
      <c r="M6" s="57">
        <f t="shared" ref="M6:M37" si="3">L6+K6</f>
        <v>21154770.719999999</v>
      </c>
      <c r="N6" s="58">
        <f>M6*0.03</f>
        <v>634643.12159999995</v>
      </c>
      <c r="O6" s="80">
        <f>M6+N6</f>
        <v>21789413.841599997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43892</v>
      </c>
      <c r="C7" s="156"/>
      <c r="D7" s="156"/>
      <c r="E7" s="67">
        <f t="shared" ref="E7:E37" si="4">$E$5</f>
        <v>1035.78</v>
      </c>
      <c r="F7" s="90">
        <v>3458</v>
      </c>
      <c r="G7" s="151">
        <v>15556</v>
      </c>
      <c r="H7" s="66">
        <f t="shared" si="0"/>
        <v>19014</v>
      </c>
      <c r="I7" s="89">
        <v>7652</v>
      </c>
      <c r="J7" s="89">
        <f t="shared" ref="J7:J37" si="5">+H7-I7</f>
        <v>11362</v>
      </c>
      <c r="K7" s="57">
        <f t="shared" si="1"/>
        <v>5372590.8599999994</v>
      </c>
      <c r="L7" s="57">
        <f t="shared" si="2"/>
        <v>16112593.68</v>
      </c>
      <c r="M7" s="57">
        <f t="shared" si="3"/>
        <v>21485184.539999999</v>
      </c>
      <c r="N7" s="58">
        <f>M7*0.03</f>
        <v>644555.53619999997</v>
      </c>
      <c r="O7" s="80">
        <f>M7+N7</f>
        <v>22129740.076200001</v>
      </c>
      <c r="P7" s="1"/>
      <c r="Q7" s="107"/>
      <c r="R7" s="1"/>
      <c r="S7" s="1"/>
      <c r="T7" s="1"/>
    </row>
    <row r="8" spans="2:20" s="3" customFormat="1" ht="50.1" customHeight="1" x14ac:dyDescent="0.25">
      <c r="B8" s="6">
        <v>43893</v>
      </c>
      <c r="C8" s="156"/>
      <c r="D8" s="156"/>
      <c r="E8" s="67">
        <f t="shared" si="4"/>
        <v>1035.78</v>
      </c>
      <c r="F8" s="90">
        <v>3452</v>
      </c>
      <c r="G8" s="151">
        <v>15304</v>
      </c>
      <c r="H8" s="66">
        <f t="shared" si="0"/>
        <v>18756</v>
      </c>
      <c r="I8" s="89">
        <v>7690</v>
      </c>
      <c r="J8" s="89">
        <f t="shared" si="5"/>
        <v>11066</v>
      </c>
      <c r="K8" s="57">
        <f t="shared" si="1"/>
        <v>5363268.84</v>
      </c>
      <c r="L8" s="57">
        <f t="shared" si="2"/>
        <v>15851577.119999999</v>
      </c>
      <c r="M8" s="57">
        <f t="shared" si="3"/>
        <v>21214845.960000001</v>
      </c>
      <c r="N8" s="58">
        <f t="shared" ref="N8:N37" si="6">M8*0.03</f>
        <v>636445.37879999995</v>
      </c>
      <c r="O8" s="80">
        <f t="shared" ref="O8:O37" si="7">M8+N8</f>
        <v>21851291.338800002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43894</v>
      </c>
      <c r="C9" s="156"/>
      <c r="D9" s="156"/>
      <c r="E9" s="67">
        <f t="shared" si="4"/>
        <v>1035.78</v>
      </c>
      <c r="F9" s="90">
        <v>3671</v>
      </c>
      <c r="G9" s="151">
        <v>17612</v>
      </c>
      <c r="H9" s="66">
        <f t="shared" si="0"/>
        <v>21283</v>
      </c>
      <c r="I9" s="89">
        <v>8942</v>
      </c>
      <c r="J9" s="89">
        <f t="shared" si="5"/>
        <v>12341</v>
      </c>
      <c r="K9" s="57">
        <f t="shared" si="1"/>
        <v>5703522.5700000003</v>
      </c>
      <c r="L9" s="57">
        <f t="shared" si="2"/>
        <v>18242157.359999999</v>
      </c>
      <c r="M9" s="57">
        <f t="shared" si="3"/>
        <v>23945679.93</v>
      </c>
      <c r="N9" s="58">
        <f t="shared" si="6"/>
        <v>718370.39789999998</v>
      </c>
      <c r="O9" s="80">
        <f t="shared" si="7"/>
        <v>24664050.3279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43895</v>
      </c>
      <c r="C10" s="156"/>
      <c r="D10" s="156"/>
      <c r="E10" s="67">
        <f t="shared" si="4"/>
        <v>1035.78</v>
      </c>
      <c r="F10" s="90">
        <v>3344</v>
      </c>
      <c r="G10" s="151">
        <v>15538</v>
      </c>
      <c r="H10" s="66">
        <f t="shared" si="0"/>
        <v>18882</v>
      </c>
      <c r="I10" s="89">
        <v>7426</v>
      </c>
      <c r="J10" s="89">
        <f t="shared" si="5"/>
        <v>11456</v>
      </c>
      <c r="K10" s="57">
        <f t="shared" si="1"/>
        <v>5195472.4799999995</v>
      </c>
      <c r="L10" s="57">
        <f t="shared" si="2"/>
        <v>16093949.639999999</v>
      </c>
      <c r="M10" s="57">
        <f t="shared" si="3"/>
        <v>21289422.119999997</v>
      </c>
      <c r="N10" s="58">
        <f t="shared" si="6"/>
        <v>638682.66359999985</v>
      </c>
      <c r="O10" s="80">
        <f t="shared" si="7"/>
        <v>21928104.783599999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43896</v>
      </c>
      <c r="C11" s="156"/>
      <c r="D11" s="156"/>
      <c r="E11" s="67">
        <f t="shared" si="4"/>
        <v>1035.78</v>
      </c>
      <c r="F11" s="90">
        <v>3486</v>
      </c>
      <c r="G11" s="151">
        <v>15852</v>
      </c>
      <c r="H11" s="66">
        <f t="shared" si="0"/>
        <v>19338</v>
      </c>
      <c r="I11" s="89">
        <v>7383</v>
      </c>
      <c r="J11" s="89">
        <f t="shared" si="5"/>
        <v>11955</v>
      </c>
      <c r="K11" s="57">
        <f t="shared" si="1"/>
        <v>5416093.6200000001</v>
      </c>
      <c r="L11" s="57">
        <f t="shared" si="2"/>
        <v>16419184.559999999</v>
      </c>
      <c r="M11" s="57">
        <f t="shared" si="3"/>
        <v>21835278.18</v>
      </c>
      <c r="N11" s="58">
        <f t="shared" si="6"/>
        <v>655058.34539999999</v>
      </c>
      <c r="O11" s="80">
        <f t="shared" si="7"/>
        <v>22490336.525399998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43897</v>
      </c>
      <c r="C12" s="156"/>
      <c r="D12" s="156"/>
      <c r="E12" s="67">
        <f t="shared" si="4"/>
        <v>1035.78</v>
      </c>
      <c r="F12" s="90">
        <v>3066</v>
      </c>
      <c r="G12" s="151">
        <v>15598</v>
      </c>
      <c r="H12" s="66">
        <f t="shared" si="0"/>
        <v>18664</v>
      </c>
      <c r="I12" s="89">
        <v>7491</v>
      </c>
      <c r="J12" s="89">
        <f t="shared" si="5"/>
        <v>11173</v>
      </c>
      <c r="K12" s="57">
        <f t="shared" si="1"/>
        <v>4763552.22</v>
      </c>
      <c r="L12" s="57">
        <f t="shared" si="2"/>
        <v>16156096.439999999</v>
      </c>
      <c r="M12" s="57">
        <f t="shared" si="3"/>
        <v>20919648.66</v>
      </c>
      <c r="N12" s="58">
        <f t="shared" si="6"/>
        <v>627589.45979999995</v>
      </c>
      <c r="O12" s="80">
        <f t="shared" si="7"/>
        <v>21547238.119800001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43898</v>
      </c>
      <c r="C13" s="156"/>
      <c r="D13" s="156"/>
      <c r="E13" s="67">
        <f t="shared" si="4"/>
        <v>1035.78</v>
      </c>
      <c r="F13" s="90">
        <v>3110</v>
      </c>
      <c r="G13" s="151">
        <v>14719</v>
      </c>
      <c r="H13" s="66">
        <f t="shared" si="0"/>
        <v>17829</v>
      </c>
      <c r="I13" s="89">
        <v>6929</v>
      </c>
      <c r="J13" s="89">
        <f t="shared" si="5"/>
        <v>10900</v>
      </c>
      <c r="K13" s="57">
        <f t="shared" si="1"/>
        <v>4831913.7</v>
      </c>
      <c r="L13" s="57">
        <f t="shared" si="2"/>
        <v>15245645.82</v>
      </c>
      <c r="M13" s="57">
        <f t="shared" si="3"/>
        <v>20077559.52</v>
      </c>
      <c r="N13" s="58">
        <f t="shared" si="6"/>
        <v>602326.78559999994</v>
      </c>
      <c r="O13" s="80">
        <f t="shared" si="7"/>
        <v>20679886.305599999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43899</v>
      </c>
      <c r="C14" s="156"/>
      <c r="D14" s="156"/>
      <c r="E14" s="67">
        <f t="shared" si="4"/>
        <v>1035.78</v>
      </c>
      <c r="F14" s="90">
        <v>3146</v>
      </c>
      <c r="G14" s="151">
        <v>14306</v>
      </c>
      <c r="H14" s="66">
        <f t="shared" si="0"/>
        <v>17452</v>
      </c>
      <c r="I14" s="89">
        <v>6767</v>
      </c>
      <c r="J14" s="89">
        <f t="shared" si="5"/>
        <v>10685</v>
      </c>
      <c r="K14" s="57">
        <f t="shared" si="1"/>
        <v>4887845.82</v>
      </c>
      <c r="L14" s="57">
        <f t="shared" si="2"/>
        <v>14817868.68</v>
      </c>
      <c r="M14" s="57">
        <f t="shared" si="3"/>
        <v>19705714.5</v>
      </c>
      <c r="N14" s="58">
        <f t="shared" si="6"/>
        <v>591171.43499999994</v>
      </c>
      <c r="O14" s="80">
        <f t="shared" si="7"/>
        <v>20296885.934999999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43900</v>
      </c>
      <c r="C15" s="156"/>
      <c r="D15" s="156"/>
      <c r="E15" s="67">
        <f t="shared" si="4"/>
        <v>1035.78</v>
      </c>
      <c r="F15" s="90">
        <v>3590</v>
      </c>
      <c r="G15" s="151">
        <v>15996</v>
      </c>
      <c r="H15" s="66">
        <f t="shared" si="0"/>
        <v>19586</v>
      </c>
      <c r="I15" s="89">
        <v>8969</v>
      </c>
      <c r="J15" s="89">
        <f t="shared" si="5"/>
        <v>10617</v>
      </c>
      <c r="K15" s="57">
        <f t="shared" si="1"/>
        <v>5577675.2999999998</v>
      </c>
      <c r="L15" s="57">
        <f t="shared" si="2"/>
        <v>16568336.879999999</v>
      </c>
      <c r="M15" s="57">
        <f t="shared" si="3"/>
        <v>22146012.18</v>
      </c>
      <c r="N15" s="58">
        <f t="shared" si="6"/>
        <v>664380.36540000001</v>
      </c>
      <c r="O15" s="80">
        <f t="shared" si="7"/>
        <v>22810392.545400001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43901</v>
      </c>
      <c r="C16" s="156"/>
      <c r="D16" s="156"/>
      <c r="E16" s="67">
        <f t="shared" si="4"/>
        <v>1035.78</v>
      </c>
      <c r="F16" s="90">
        <v>3462</v>
      </c>
      <c r="G16" s="151">
        <v>15602</v>
      </c>
      <c r="H16" s="66">
        <f t="shared" si="0"/>
        <v>19064</v>
      </c>
      <c r="I16" s="89">
        <v>7512</v>
      </c>
      <c r="J16" s="89">
        <f t="shared" si="5"/>
        <v>11552</v>
      </c>
      <c r="K16" s="57">
        <f t="shared" si="1"/>
        <v>5378805.54</v>
      </c>
      <c r="L16" s="57">
        <f t="shared" si="2"/>
        <v>16160239.559999999</v>
      </c>
      <c r="M16" s="57">
        <f t="shared" si="3"/>
        <v>21539045.099999998</v>
      </c>
      <c r="N16" s="58">
        <f t="shared" si="6"/>
        <v>646171.35299999989</v>
      </c>
      <c r="O16" s="80">
        <f t="shared" si="7"/>
        <v>22185216.452999998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43902</v>
      </c>
      <c r="C17" s="156"/>
      <c r="D17" s="156"/>
      <c r="E17" s="67">
        <f t="shared" si="4"/>
        <v>1035.78</v>
      </c>
      <c r="F17" s="90">
        <v>3578</v>
      </c>
      <c r="G17" s="151">
        <v>16992</v>
      </c>
      <c r="H17" s="66">
        <f t="shared" si="0"/>
        <v>20570</v>
      </c>
      <c r="I17" s="89">
        <v>8196</v>
      </c>
      <c r="J17" s="89">
        <f t="shared" si="5"/>
        <v>12374</v>
      </c>
      <c r="K17" s="57">
        <f t="shared" si="1"/>
        <v>5559031.2599999998</v>
      </c>
      <c r="L17" s="57">
        <f t="shared" si="2"/>
        <v>17599973.759999998</v>
      </c>
      <c r="M17" s="57">
        <f t="shared" si="3"/>
        <v>23159005.019999996</v>
      </c>
      <c r="N17" s="58">
        <f t="shared" si="6"/>
        <v>694770.15059999982</v>
      </c>
      <c r="O17" s="80">
        <f t="shared" si="7"/>
        <v>23853775.170599997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43903</v>
      </c>
      <c r="C18" s="156"/>
      <c r="D18" s="156"/>
      <c r="E18" s="67">
        <f t="shared" si="4"/>
        <v>1035.78</v>
      </c>
      <c r="F18" s="90">
        <v>3620</v>
      </c>
      <c r="G18" s="151">
        <v>16116</v>
      </c>
      <c r="H18" s="66">
        <f t="shared" si="0"/>
        <v>19736</v>
      </c>
      <c r="I18" s="89">
        <v>7295</v>
      </c>
      <c r="J18" s="89">
        <f t="shared" si="5"/>
        <v>12441</v>
      </c>
      <c r="K18" s="57">
        <f t="shared" si="1"/>
        <v>5624285.3999999994</v>
      </c>
      <c r="L18" s="57">
        <f t="shared" si="2"/>
        <v>16692630.48</v>
      </c>
      <c r="M18" s="57">
        <f t="shared" si="3"/>
        <v>22316915.879999999</v>
      </c>
      <c r="N18" s="58">
        <f t="shared" si="6"/>
        <v>669507.47639999993</v>
      </c>
      <c r="O18" s="80">
        <f t="shared" si="7"/>
        <v>22986423.356399998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43904</v>
      </c>
      <c r="C19" s="156"/>
      <c r="D19" s="156"/>
      <c r="E19" s="67">
        <f t="shared" si="4"/>
        <v>1035.78</v>
      </c>
      <c r="F19" s="90">
        <v>3582</v>
      </c>
      <c r="G19" s="151">
        <v>17586</v>
      </c>
      <c r="H19" s="66">
        <f t="shared" si="0"/>
        <v>21168</v>
      </c>
      <c r="I19" s="89">
        <v>7960</v>
      </c>
      <c r="J19" s="89">
        <f t="shared" si="5"/>
        <v>13208</v>
      </c>
      <c r="K19" s="57">
        <f t="shared" si="1"/>
        <v>5565245.9399999995</v>
      </c>
      <c r="L19" s="57">
        <f t="shared" si="2"/>
        <v>18215227.079999998</v>
      </c>
      <c r="M19" s="57">
        <f t="shared" si="3"/>
        <v>23780473.019999996</v>
      </c>
      <c r="N19" s="58">
        <f t="shared" si="6"/>
        <v>713414.19059999986</v>
      </c>
      <c r="O19" s="80">
        <f t="shared" si="7"/>
        <v>24493887.210599996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43905</v>
      </c>
      <c r="C20" s="156"/>
      <c r="D20" s="156"/>
      <c r="E20" s="67">
        <f t="shared" si="4"/>
        <v>1035.78</v>
      </c>
      <c r="F20" s="90">
        <v>3280</v>
      </c>
      <c r="G20" s="151">
        <v>16094</v>
      </c>
      <c r="H20" s="66">
        <f t="shared" si="0"/>
        <v>19374</v>
      </c>
      <c r="I20" s="89">
        <v>7363</v>
      </c>
      <c r="J20" s="89">
        <f t="shared" si="5"/>
        <v>12011</v>
      </c>
      <c r="K20" s="57">
        <f t="shared" si="1"/>
        <v>5096037.5999999996</v>
      </c>
      <c r="L20" s="57">
        <f t="shared" si="2"/>
        <v>16669843.32</v>
      </c>
      <c r="M20" s="57">
        <f t="shared" si="3"/>
        <v>21765880.920000002</v>
      </c>
      <c r="N20" s="58">
        <f t="shared" si="6"/>
        <v>652976.42760000005</v>
      </c>
      <c r="O20" s="80">
        <f t="shared" si="7"/>
        <v>22418857.347600002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43906</v>
      </c>
      <c r="C21" s="156"/>
      <c r="D21" s="156"/>
      <c r="E21" s="67">
        <f t="shared" si="4"/>
        <v>1035.78</v>
      </c>
      <c r="F21" s="90">
        <v>3808</v>
      </c>
      <c r="G21" s="151">
        <v>16068</v>
      </c>
      <c r="H21" s="66">
        <f t="shared" si="0"/>
        <v>19876</v>
      </c>
      <c r="I21" s="89">
        <v>7230</v>
      </c>
      <c r="J21" s="89">
        <f t="shared" si="5"/>
        <v>12646</v>
      </c>
      <c r="K21" s="57">
        <f t="shared" si="1"/>
        <v>5916375.3599999994</v>
      </c>
      <c r="L21" s="57">
        <f t="shared" si="2"/>
        <v>16642913.039999999</v>
      </c>
      <c r="M21" s="57">
        <f t="shared" si="3"/>
        <v>22559288.399999999</v>
      </c>
      <c r="N21" s="58">
        <f t="shared" si="6"/>
        <v>676778.65199999989</v>
      </c>
      <c r="O21" s="80">
        <f t="shared" si="7"/>
        <v>23236067.051999997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43907</v>
      </c>
      <c r="C22" s="156"/>
      <c r="D22" s="156"/>
      <c r="E22" s="67">
        <f t="shared" si="4"/>
        <v>1035.78</v>
      </c>
      <c r="F22" s="90">
        <v>3932</v>
      </c>
      <c r="G22" s="151">
        <v>16246</v>
      </c>
      <c r="H22" s="66">
        <f t="shared" si="0"/>
        <v>20178</v>
      </c>
      <c r="I22" s="89">
        <v>8064</v>
      </c>
      <c r="J22" s="89">
        <f t="shared" si="5"/>
        <v>12114</v>
      </c>
      <c r="K22" s="57">
        <f t="shared" si="1"/>
        <v>6109030.4399999995</v>
      </c>
      <c r="L22" s="57">
        <f t="shared" si="2"/>
        <v>16827281.879999999</v>
      </c>
      <c r="M22" s="57">
        <f t="shared" si="3"/>
        <v>22936312.32</v>
      </c>
      <c r="N22" s="58">
        <f t="shared" si="6"/>
        <v>688089.36959999998</v>
      </c>
      <c r="O22" s="80">
        <f t="shared" si="7"/>
        <v>23624401.689600002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43908</v>
      </c>
      <c r="C23" s="156"/>
      <c r="D23" s="156"/>
      <c r="E23" s="67">
        <f t="shared" si="4"/>
        <v>1035.78</v>
      </c>
      <c r="F23" s="90">
        <v>3888</v>
      </c>
      <c r="G23" s="151">
        <v>17812</v>
      </c>
      <c r="H23" s="66">
        <f t="shared" si="0"/>
        <v>21700</v>
      </c>
      <c r="I23" s="89">
        <v>8282</v>
      </c>
      <c r="J23" s="89">
        <f t="shared" si="5"/>
        <v>13418</v>
      </c>
      <c r="K23" s="57">
        <f t="shared" si="1"/>
        <v>6040668.96</v>
      </c>
      <c r="L23" s="57">
        <f t="shared" si="2"/>
        <v>18449313.359999999</v>
      </c>
      <c r="M23" s="57">
        <f t="shared" si="3"/>
        <v>24489982.32</v>
      </c>
      <c r="N23" s="58">
        <f t="shared" si="6"/>
        <v>734699.46959999995</v>
      </c>
      <c r="O23" s="80">
        <f t="shared" si="7"/>
        <v>25224681.7896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43909</v>
      </c>
      <c r="C24" s="156"/>
      <c r="D24" s="156"/>
      <c r="E24" s="67">
        <f t="shared" si="4"/>
        <v>1035.78</v>
      </c>
      <c r="F24" s="90">
        <v>3864</v>
      </c>
      <c r="G24" s="151">
        <v>17578</v>
      </c>
      <c r="H24" s="66">
        <f t="shared" si="0"/>
        <v>21442</v>
      </c>
      <c r="I24" s="89">
        <v>8048</v>
      </c>
      <c r="J24" s="89">
        <f t="shared" si="5"/>
        <v>13394</v>
      </c>
      <c r="K24" s="57">
        <f t="shared" si="1"/>
        <v>6003380.8799999999</v>
      </c>
      <c r="L24" s="57">
        <f t="shared" si="2"/>
        <v>18206940.84</v>
      </c>
      <c r="M24" s="57">
        <f t="shared" si="3"/>
        <v>24210321.719999999</v>
      </c>
      <c r="N24" s="58">
        <f t="shared" si="6"/>
        <v>726309.65159999998</v>
      </c>
      <c r="O24" s="80">
        <f t="shared" si="7"/>
        <v>24936631.371599998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43910</v>
      </c>
      <c r="C25" s="156"/>
      <c r="D25" s="156"/>
      <c r="E25" s="67">
        <f t="shared" si="4"/>
        <v>1035.78</v>
      </c>
      <c r="F25" s="90">
        <v>5004</v>
      </c>
      <c r="G25" s="151">
        <v>19632</v>
      </c>
      <c r="H25" s="66">
        <f t="shared" si="0"/>
        <v>24636</v>
      </c>
      <c r="I25" s="89">
        <v>8048</v>
      </c>
      <c r="J25" s="89">
        <f t="shared" si="5"/>
        <v>16588</v>
      </c>
      <c r="K25" s="57">
        <f t="shared" si="1"/>
        <v>7774564.6799999997</v>
      </c>
      <c r="L25" s="57">
        <f t="shared" si="2"/>
        <v>20334432.960000001</v>
      </c>
      <c r="M25" s="57">
        <f t="shared" si="3"/>
        <v>28108997.640000001</v>
      </c>
      <c r="N25" s="58">
        <f t="shared" si="6"/>
        <v>843269.92920000001</v>
      </c>
      <c r="O25" s="80">
        <f t="shared" si="7"/>
        <v>28952267.569200002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43911</v>
      </c>
      <c r="C26" s="156"/>
      <c r="D26" s="156"/>
      <c r="E26" s="67">
        <f t="shared" si="4"/>
        <v>1035.78</v>
      </c>
      <c r="F26" s="90">
        <v>4670</v>
      </c>
      <c r="G26" s="151">
        <v>19460</v>
      </c>
      <c r="H26" s="66">
        <f t="shared" si="0"/>
        <v>24130</v>
      </c>
      <c r="I26" s="89">
        <v>10271</v>
      </c>
      <c r="J26" s="89">
        <f t="shared" si="5"/>
        <v>13859</v>
      </c>
      <c r="K26" s="57">
        <f t="shared" si="1"/>
        <v>7255638.8999999994</v>
      </c>
      <c r="L26" s="57">
        <f t="shared" si="2"/>
        <v>20156278.800000001</v>
      </c>
      <c r="M26" s="57">
        <f t="shared" si="3"/>
        <v>27411917.699999999</v>
      </c>
      <c r="N26" s="58">
        <f t="shared" si="6"/>
        <v>822357.53099999996</v>
      </c>
      <c r="O26" s="80">
        <f t="shared" si="7"/>
        <v>28234275.230999999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43912</v>
      </c>
      <c r="C27" s="156"/>
      <c r="D27" s="156"/>
      <c r="E27" s="67">
        <f t="shared" si="4"/>
        <v>1035.78</v>
      </c>
      <c r="F27" s="90">
        <v>3666</v>
      </c>
      <c r="G27" s="151">
        <v>17190</v>
      </c>
      <c r="H27" s="81">
        <f t="shared" si="0"/>
        <v>20856</v>
      </c>
      <c r="I27" s="89">
        <v>8286</v>
      </c>
      <c r="J27" s="89">
        <f t="shared" si="5"/>
        <v>12570</v>
      </c>
      <c r="K27" s="57">
        <f t="shared" si="1"/>
        <v>5695754.2199999997</v>
      </c>
      <c r="L27" s="57">
        <f t="shared" si="2"/>
        <v>17805058.199999999</v>
      </c>
      <c r="M27" s="57">
        <f t="shared" si="3"/>
        <v>23500812.419999998</v>
      </c>
      <c r="N27" s="58">
        <f t="shared" si="6"/>
        <v>705024.37259999989</v>
      </c>
      <c r="O27" s="80">
        <f t="shared" si="7"/>
        <v>24205836.792599998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43913</v>
      </c>
      <c r="C28" s="156"/>
      <c r="D28" s="156"/>
      <c r="E28" s="67">
        <f t="shared" si="4"/>
        <v>1035.78</v>
      </c>
      <c r="F28" s="90">
        <v>3622</v>
      </c>
      <c r="G28" s="151">
        <v>16908</v>
      </c>
      <c r="H28" s="81">
        <f t="shared" si="0"/>
        <v>20530</v>
      </c>
      <c r="I28" s="89">
        <v>8253</v>
      </c>
      <c r="J28" s="89">
        <f t="shared" si="5"/>
        <v>12277</v>
      </c>
      <c r="K28" s="57">
        <f t="shared" si="1"/>
        <v>5627392.7400000002</v>
      </c>
      <c r="L28" s="57">
        <f t="shared" si="2"/>
        <v>17512968.239999998</v>
      </c>
      <c r="M28" s="57">
        <f t="shared" si="3"/>
        <v>23140360.979999997</v>
      </c>
      <c r="N28" s="58">
        <f t="shared" si="6"/>
        <v>694210.82939999993</v>
      </c>
      <c r="O28" s="80">
        <f t="shared" si="7"/>
        <v>23834571.809399996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43914</v>
      </c>
      <c r="C29" s="156"/>
      <c r="D29" s="156"/>
      <c r="E29" s="67">
        <f t="shared" si="4"/>
        <v>1035.78</v>
      </c>
      <c r="F29" s="90">
        <v>3708</v>
      </c>
      <c r="G29" s="151">
        <v>16662</v>
      </c>
      <c r="H29" s="81">
        <f t="shared" si="0"/>
        <v>20370</v>
      </c>
      <c r="I29" s="89">
        <v>8212</v>
      </c>
      <c r="J29" s="89">
        <f t="shared" si="5"/>
        <v>12158</v>
      </c>
      <c r="K29" s="57">
        <f t="shared" si="1"/>
        <v>5761008.3599999994</v>
      </c>
      <c r="L29" s="57">
        <f t="shared" si="2"/>
        <v>17258166.359999999</v>
      </c>
      <c r="M29" s="57">
        <f t="shared" si="3"/>
        <v>23019174.719999999</v>
      </c>
      <c r="N29" s="58">
        <f t="shared" si="6"/>
        <v>690575.24159999995</v>
      </c>
      <c r="O29" s="80">
        <f t="shared" si="7"/>
        <v>23709749.961599998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43915</v>
      </c>
      <c r="C30" s="156"/>
      <c r="D30" s="156"/>
      <c r="E30" s="67">
        <f t="shared" si="4"/>
        <v>1035.78</v>
      </c>
      <c r="F30" s="90">
        <v>3706</v>
      </c>
      <c r="G30" s="151">
        <v>19720</v>
      </c>
      <c r="H30" s="81">
        <f t="shared" si="0"/>
        <v>23426</v>
      </c>
      <c r="I30" s="89">
        <v>10375</v>
      </c>
      <c r="J30" s="89">
        <f t="shared" si="5"/>
        <v>13051</v>
      </c>
      <c r="K30" s="57">
        <f t="shared" si="1"/>
        <v>5757901.0199999996</v>
      </c>
      <c r="L30" s="57">
        <f t="shared" si="2"/>
        <v>20425581.599999998</v>
      </c>
      <c r="M30" s="57">
        <f t="shared" si="3"/>
        <v>26183482.619999997</v>
      </c>
      <c r="N30" s="58">
        <f t="shared" si="6"/>
        <v>785504.47859999991</v>
      </c>
      <c r="O30" s="80">
        <f t="shared" si="7"/>
        <v>26968987.098599996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43916</v>
      </c>
      <c r="C31" s="156"/>
      <c r="D31" s="156"/>
      <c r="E31" s="67">
        <f t="shared" si="4"/>
        <v>1035.78</v>
      </c>
      <c r="F31" s="90">
        <v>4210</v>
      </c>
      <c r="G31" s="151">
        <v>18050</v>
      </c>
      <c r="H31" s="81">
        <f t="shared" si="0"/>
        <v>22260</v>
      </c>
      <c r="I31" s="89">
        <v>9133</v>
      </c>
      <c r="J31" s="89">
        <f t="shared" si="5"/>
        <v>13127</v>
      </c>
      <c r="K31" s="57">
        <f t="shared" si="1"/>
        <v>6540950.7000000002</v>
      </c>
      <c r="L31" s="57">
        <f t="shared" si="2"/>
        <v>18695829</v>
      </c>
      <c r="M31" s="57">
        <f t="shared" si="3"/>
        <v>25236779.699999999</v>
      </c>
      <c r="N31" s="58">
        <f t="shared" si="6"/>
        <v>757103.39099999995</v>
      </c>
      <c r="O31" s="80">
        <f t="shared" si="7"/>
        <v>25993883.090999998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43917</v>
      </c>
      <c r="C32" s="156"/>
      <c r="D32" s="156"/>
      <c r="E32" s="67">
        <f t="shared" si="4"/>
        <v>1035.78</v>
      </c>
      <c r="F32" s="90">
        <v>4842</v>
      </c>
      <c r="G32" s="151">
        <v>19838</v>
      </c>
      <c r="H32" s="81">
        <f t="shared" si="0"/>
        <v>24680</v>
      </c>
      <c r="I32" s="89">
        <v>22181</v>
      </c>
      <c r="J32" s="89">
        <f t="shared" si="5"/>
        <v>2499</v>
      </c>
      <c r="K32" s="57">
        <f t="shared" si="1"/>
        <v>7522870.1399999997</v>
      </c>
      <c r="L32" s="57">
        <f t="shared" si="2"/>
        <v>20547803.640000001</v>
      </c>
      <c r="M32" s="57">
        <f t="shared" si="3"/>
        <v>28070673.780000001</v>
      </c>
      <c r="N32" s="58">
        <f t="shared" si="6"/>
        <v>842120.21340000001</v>
      </c>
      <c r="O32" s="80">
        <f t="shared" si="7"/>
        <v>28912793.9934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43918</v>
      </c>
      <c r="C33" s="156"/>
      <c r="D33" s="156"/>
      <c r="E33" s="67">
        <f t="shared" si="4"/>
        <v>1035.78</v>
      </c>
      <c r="F33" s="90">
        <v>3580</v>
      </c>
      <c r="G33" s="151">
        <v>16626</v>
      </c>
      <c r="H33" s="81">
        <f t="shared" si="0"/>
        <v>20206</v>
      </c>
      <c r="I33" s="89">
        <v>23890</v>
      </c>
      <c r="J33" s="89">
        <f t="shared" si="5"/>
        <v>-3684</v>
      </c>
      <c r="K33" s="57">
        <f t="shared" si="1"/>
        <v>5562138.5999999996</v>
      </c>
      <c r="L33" s="57">
        <f t="shared" si="2"/>
        <v>17220878.280000001</v>
      </c>
      <c r="M33" s="57">
        <f t="shared" si="3"/>
        <v>22783016.880000003</v>
      </c>
      <c r="N33" s="58">
        <f t="shared" si="6"/>
        <v>683490.50640000007</v>
      </c>
      <c r="O33" s="80">
        <f t="shared" si="7"/>
        <v>23466507.386400003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43919</v>
      </c>
      <c r="C34" s="156"/>
      <c r="D34" s="156"/>
      <c r="E34" s="67">
        <f t="shared" si="4"/>
        <v>1035.78</v>
      </c>
      <c r="F34" s="90">
        <v>3468</v>
      </c>
      <c r="G34" s="151">
        <v>16612</v>
      </c>
      <c r="H34" s="81">
        <f t="shared" si="0"/>
        <v>20080</v>
      </c>
      <c r="I34" s="89">
        <v>23926</v>
      </c>
      <c r="J34" s="89">
        <f t="shared" ref="J34:J36" si="8">+H34-I34</f>
        <v>-3846</v>
      </c>
      <c r="K34" s="57">
        <f t="shared" ref="K34:K36" si="9">F34*1.5*E34</f>
        <v>5388127.5599999996</v>
      </c>
      <c r="L34" s="57">
        <f t="shared" ref="L34:L36" si="10">G34*E34</f>
        <v>17206377.359999999</v>
      </c>
      <c r="M34" s="57">
        <f t="shared" ref="M34:M36" si="11">L34+K34</f>
        <v>22594504.919999998</v>
      </c>
      <c r="N34" s="58">
        <f t="shared" ref="N34:N36" si="12">M34*0.03</f>
        <v>677835.14759999991</v>
      </c>
      <c r="O34" s="80">
        <f t="shared" ref="O34:O36" si="13">M34+N34</f>
        <v>23272340.067599997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43920</v>
      </c>
      <c r="C35" s="156"/>
      <c r="D35" s="156"/>
      <c r="E35" s="67">
        <f t="shared" si="4"/>
        <v>1035.78</v>
      </c>
      <c r="F35" s="90">
        <v>3608</v>
      </c>
      <c r="G35" s="151">
        <v>17131</v>
      </c>
      <c r="H35" s="81">
        <f t="shared" si="0"/>
        <v>20739</v>
      </c>
      <c r="I35" s="89">
        <v>23812</v>
      </c>
      <c r="J35" s="89">
        <f t="shared" si="8"/>
        <v>-3073</v>
      </c>
      <c r="K35" s="57">
        <f t="shared" si="9"/>
        <v>5605641.3599999994</v>
      </c>
      <c r="L35" s="57">
        <f t="shared" si="10"/>
        <v>17743947.18</v>
      </c>
      <c r="M35" s="57">
        <f t="shared" si="11"/>
        <v>23349588.539999999</v>
      </c>
      <c r="N35" s="58">
        <f t="shared" si="12"/>
        <v>700487.65619999997</v>
      </c>
      <c r="O35" s="80">
        <f t="shared" si="13"/>
        <v>24050076.196199998</v>
      </c>
      <c r="P35" s="1"/>
      <c r="Q35" s="1"/>
      <c r="R35" s="1"/>
      <c r="S35" s="1"/>
      <c r="T35" s="1"/>
    </row>
    <row r="36" spans="2:20" s="3" customFormat="1" ht="50.1" customHeight="1" x14ac:dyDescent="0.25">
      <c r="B36" s="6">
        <v>43921</v>
      </c>
      <c r="C36" s="156"/>
      <c r="D36" s="156"/>
      <c r="E36" s="67">
        <f t="shared" si="4"/>
        <v>1035.78</v>
      </c>
      <c r="F36" s="90">
        <v>3976</v>
      </c>
      <c r="G36" s="151">
        <v>19620</v>
      </c>
      <c r="H36" s="81">
        <f t="shared" si="0"/>
        <v>23596</v>
      </c>
      <c r="I36" s="89"/>
      <c r="J36" s="89">
        <f t="shared" si="8"/>
        <v>23596</v>
      </c>
      <c r="K36" s="57">
        <f t="shared" si="9"/>
        <v>6177391.9199999999</v>
      </c>
      <c r="L36" s="57">
        <f t="shared" si="10"/>
        <v>20322003.599999998</v>
      </c>
      <c r="M36" s="57">
        <f t="shared" si="11"/>
        <v>26499395.519999996</v>
      </c>
      <c r="N36" s="58">
        <f t="shared" si="12"/>
        <v>794981.8655999999</v>
      </c>
      <c r="O36" s="80">
        <f t="shared" si="13"/>
        <v>27294377.385599997</v>
      </c>
      <c r="P36" s="1"/>
      <c r="Q36" s="1"/>
      <c r="R36" s="1"/>
      <c r="S36" s="1"/>
      <c r="T36" s="1"/>
    </row>
    <row r="37" spans="2:20" s="3" customFormat="1" ht="50.1" customHeight="1" thickBot="1" x14ac:dyDescent="0.3">
      <c r="B37" s="8" t="s">
        <v>18</v>
      </c>
      <c r="C37" s="149"/>
      <c r="D37" s="149"/>
      <c r="E37" s="82">
        <f t="shared" si="4"/>
        <v>1035.78</v>
      </c>
      <c r="F37" s="152"/>
      <c r="G37" s="153">
        <v>299</v>
      </c>
      <c r="H37" s="83">
        <f>G37+F37</f>
        <v>299</v>
      </c>
      <c r="I37" s="91"/>
      <c r="J37" s="89">
        <f t="shared" si="5"/>
        <v>299</v>
      </c>
      <c r="K37" s="84">
        <f t="shared" si="1"/>
        <v>0</v>
      </c>
      <c r="L37" s="84">
        <f t="shared" si="2"/>
        <v>309698.21999999997</v>
      </c>
      <c r="M37" s="84">
        <f t="shared" si="3"/>
        <v>309698.21999999997</v>
      </c>
      <c r="N37" s="85">
        <f t="shared" si="6"/>
        <v>9290.9465999999993</v>
      </c>
      <c r="O37" s="86">
        <f t="shared" si="7"/>
        <v>318989.1666</v>
      </c>
      <c r="P37" s="1"/>
      <c r="Q37" s="9"/>
      <c r="R37" s="1"/>
      <c r="S37" s="1"/>
      <c r="T37" s="1"/>
    </row>
    <row r="38" spans="2:20" s="1" customFormat="1" x14ac:dyDescent="0.25">
      <c r="B38" s="10"/>
      <c r="C38" s="10"/>
      <c r="D38" s="10"/>
      <c r="E38" s="11" t="s">
        <v>2</v>
      </c>
      <c r="F38" s="92">
        <f>SUM(F6:F37)</f>
        <v>114617</v>
      </c>
      <c r="G38" s="92">
        <f t="shared" ref="G38:O38" si="14">SUM(G6:G37)</f>
        <v>523917</v>
      </c>
      <c r="H38" s="92">
        <f t="shared" si="14"/>
        <v>638534</v>
      </c>
      <c r="I38" s="92">
        <f t="shared" si="14"/>
        <v>303263</v>
      </c>
      <c r="J38" s="92">
        <f t="shared" si="14"/>
        <v>335271</v>
      </c>
      <c r="K38" s="92">
        <f t="shared" si="14"/>
        <v>178076994.38999996</v>
      </c>
      <c r="L38" s="92">
        <f t="shared" si="14"/>
        <v>542662750.25999999</v>
      </c>
      <c r="M38" s="92">
        <f t="shared" si="14"/>
        <v>720739744.64999998</v>
      </c>
      <c r="N38" s="92">
        <f t="shared" si="14"/>
        <v>21622192.339499995</v>
      </c>
      <c r="O38" s="92">
        <f t="shared" si="14"/>
        <v>742361936.98949981</v>
      </c>
    </row>
    <row r="39" spans="2:20" s="1" customFormat="1" x14ac:dyDescent="0.25">
      <c r="B39" s="14"/>
      <c r="C39" s="14"/>
      <c r="D39" s="14"/>
      <c r="E39" s="14"/>
      <c r="F39" s="15"/>
      <c r="G39" s="15"/>
      <c r="H39" s="93"/>
      <c r="I39" s="93"/>
      <c r="J39" s="93"/>
      <c r="K39" s="15"/>
      <c r="L39" s="14"/>
      <c r="M39" s="14"/>
      <c r="N39" s="14"/>
      <c r="O39" s="12"/>
    </row>
    <row r="40" spans="2:20" s="1" customFormat="1" x14ac:dyDescent="0.25">
      <c r="B40" s="14"/>
      <c r="C40" s="14"/>
      <c r="D40" s="14"/>
      <c r="E40" s="16"/>
      <c r="F40" s="94"/>
      <c r="G40" s="94"/>
      <c r="H40" s="95"/>
      <c r="I40" s="95"/>
      <c r="J40" s="95"/>
      <c r="K40" s="18"/>
      <c r="M40" s="19" t="s">
        <v>3</v>
      </c>
      <c r="N40" s="52">
        <v>55985137</v>
      </c>
      <c r="O40" s="12"/>
      <c r="Q40" s="14"/>
    </row>
    <row r="41" spans="2:20" s="1" customFormat="1" x14ac:dyDescent="0.25">
      <c r="B41" s="14"/>
      <c r="C41" s="14"/>
      <c r="D41" s="14"/>
      <c r="E41" s="20"/>
      <c r="F41" s="94"/>
      <c r="G41" s="96"/>
      <c r="H41" s="95"/>
      <c r="I41" s="95"/>
      <c r="J41" s="95"/>
      <c r="K41" s="17"/>
      <c r="L41" s="21"/>
      <c r="M41" s="22" t="s">
        <v>4</v>
      </c>
      <c r="N41" s="52">
        <v>17744976</v>
      </c>
      <c r="O41" s="13">
        <f>N40+N41</f>
        <v>73730113</v>
      </c>
      <c r="P41" s="1" t="s">
        <v>5</v>
      </c>
      <c r="Q41" s="14"/>
    </row>
    <row r="42" spans="2:20" s="1" customFormat="1" x14ac:dyDescent="0.25">
      <c r="B42" s="14"/>
      <c r="C42" s="14"/>
      <c r="D42" s="14"/>
      <c r="F42" s="94"/>
      <c r="G42" s="97"/>
      <c r="H42" s="95"/>
      <c r="I42" s="95"/>
      <c r="J42" s="95"/>
      <c r="K42" s="18"/>
      <c r="M42" s="23"/>
      <c r="N42" s="14"/>
      <c r="O42" s="24">
        <f>O38+O41</f>
        <v>816092049.98949981</v>
      </c>
      <c r="Q42" s="14"/>
    </row>
    <row r="43" spans="2:20" s="1" customFormat="1" x14ac:dyDescent="0.25">
      <c r="B43" s="14"/>
      <c r="C43" s="14"/>
      <c r="D43" s="14"/>
      <c r="E43" s="14"/>
      <c r="F43" s="94"/>
      <c r="G43" s="96"/>
      <c r="H43" s="95"/>
      <c r="I43" s="95"/>
      <c r="J43" s="95"/>
      <c r="K43" s="18"/>
      <c r="M43" s="59" t="s">
        <v>14</v>
      </c>
      <c r="N43" s="54">
        <v>42856377</v>
      </c>
      <c r="O43" s="9"/>
      <c r="Q43" s="14"/>
    </row>
    <row r="44" spans="2:20" s="1" customFormat="1" x14ac:dyDescent="0.25">
      <c r="B44" s="14"/>
      <c r="C44" s="14"/>
      <c r="D44" s="14"/>
      <c r="E44" s="14"/>
      <c r="F44" s="94"/>
      <c r="G44" s="96"/>
      <c r="H44" s="95"/>
      <c r="I44" s="95"/>
      <c r="J44" s="95"/>
      <c r="K44" s="18"/>
      <c r="M44" s="61" t="s">
        <v>16</v>
      </c>
      <c r="N44" s="54">
        <v>72524343</v>
      </c>
      <c r="O44" s="9"/>
      <c r="Q44" s="14"/>
    </row>
    <row r="45" spans="2:20" s="1" customFormat="1" x14ac:dyDescent="0.25">
      <c r="B45" s="14"/>
      <c r="C45" s="14"/>
      <c r="D45" s="14"/>
      <c r="E45" s="25"/>
      <c r="F45" s="94"/>
      <c r="G45" s="94"/>
      <c r="H45" s="95"/>
      <c r="I45" s="95"/>
      <c r="J45" s="95"/>
      <c r="K45" s="18"/>
      <c r="M45" s="26" t="s">
        <v>6</v>
      </c>
      <c r="N45" s="52">
        <v>100000000</v>
      </c>
      <c r="O45" s="9"/>
      <c r="Q45" s="14"/>
    </row>
    <row r="46" spans="2:20" s="1" customFormat="1" x14ac:dyDescent="0.25">
      <c r="B46" s="14"/>
      <c r="C46" s="14"/>
      <c r="D46" s="14"/>
      <c r="F46" s="95"/>
      <c r="G46" s="95"/>
      <c r="H46" s="95"/>
      <c r="I46" s="95"/>
      <c r="J46" s="95"/>
      <c r="M46" s="53" t="s">
        <v>15</v>
      </c>
      <c r="N46" s="54">
        <f>N43+N44+N45</f>
        <v>215380720</v>
      </c>
      <c r="O46" s="24">
        <f>N46</f>
        <v>215380720</v>
      </c>
      <c r="P46" s="27" t="s">
        <v>7</v>
      </c>
      <c r="Q46" s="14"/>
    </row>
    <row r="47" spans="2:20" s="1" customFormat="1" x14ac:dyDescent="0.25">
      <c r="B47" s="14"/>
      <c r="C47" s="14"/>
      <c r="D47" s="14"/>
      <c r="E47" s="20"/>
      <c r="F47" s="98"/>
      <c r="G47" s="98"/>
      <c r="H47" s="99" t="s">
        <v>17</v>
      </c>
      <c r="I47" s="99"/>
      <c r="J47" s="99"/>
      <c r="K47" s="18"/>
      <c r="M47" s="23"/>
      <c r="N47" s="14"/>
      <c r="Q47" s="14"/>
    </row>
    <row r="48" spans="2:20" s="1" customFormat="1" ht="21" x14ac:dyDescent="0.25">
      <c r="B48" s="14"/>
      <c r="C48" s="14"/>
      <c r="D48" s="14"/>
      <c r="E48" s="14"/>
      <c r="F48" s="95"/>
      <c r="G48" s="95"/>
      <c r="H48" s="100"/>
      <c r="I48" s="100"/>
      <c r="J48" s="100"/>
      <c r="K48" s="14"/>
      <c r="M48" s="55" t="s">
        <v>8</v>
      </c>
      <c r="N48" s="14"/>
      <c r="O48" s="28">
        <f>O42-O46</f>
        <v>600711329.98949981</v>
      </c>
      <c r="P48" s="60" t="s">
        <v>19</v>
      </c>
      <c r="Q48" s="14"/>
    </row>
    <row r="49" spans="5:15" s="1" customFormat="1" x14ac:dyDescent="0.25">
      <c r="E49" s="29"/>
      <c r="F49" s="101"/>
      <c r="G49" s="95"/>
      <c r="H49" s="93"/>
      <c r="I49" s="93"/>
      <c r="J49" s="93"/>
    </row>
    <row r="50" spans="5:15" s="1" customFormat="1" x14ac:dyDescent="0.25">
      <c r="F50" s="95"/>
      <c r="G50" s="95"/>
      <c r="H50" s="93"/>
      <c r="I50" s="93"/>
      <c r="J50" s="93"/>
      <c r="O50" s="30"/>
    </row>
    <row r="51" spans="5:15" s="1" customFormat="1" x14ac:dyDescent="0.25">
      <c r="F51" s="95"/>
      <c r="G51" s="95"/>
      <c r="H51" s="102"/>
      <c r="I51" s="102"/>
      <c r="J51" s="102"/>
      <c r="O51" s="30"/>
    </row>
    <row r="52" spans="5:15" s="31" customFormat="1" x14ac:dyDescent="0.25">
      <c r="F52" s="103"/>
      <c r="G52" s="103"/>
      <c r="H52" s="104"/>
      <c r="I52" s="104"/>
      <c r="J52" s="104"/>
      <c r="O52" s="32"/>
    </row>
    <row r="53" spans="5:15" s="31" customFormat="1" x14ac:dyDescent="0.25">
      <c r="F53" s="103"/>
      <c r="G53" s="103"/>
      <c r="H53" s="105"/>
      <c r="I53" s="105"/>
      <c r="J53" s="105"/>
    </row>
    <row r="54" spans="5:15" s="31" customFormat="1" x14ac:dyDescent="0.25">
      <c r="F54" s="103"/>
      <c r="G54" s="103"/>
      <c r="H54" s="103"/>
      <c r="I54" s="103"/>
      <c r="J54" s="103"/>
    </row>
    <row r="55" spans="5:15" s="31" customFormat="1" x14ac:dyDescent="0.25">
      <c r="F55" s="103"/>
      <c r="G55" s="103"/>
      <c r="H55" s="105"/>
      <c r="I55" s="105"/>
      <c r="J55" s="105"/>
    </row>
    <row r="56" spans="5:15" s="31" customFormat="1" x14ac:dyDescent="0.25">
      <c r="F56" s="103"/>
      <c r="G56" s="103"/>
      <c r="H56" s="103"/>
      <c r="I56" s="103"/>
      <c r="J56" s="103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19" operator="greaterThan">
      <formula>$H$49</formula>
    </cfRule>
  </conditionalFormatting>
  <conditionalFormatting sqref="H6:H37">
    <cfRule type="cellIs" dxfId="6" priority="18" operator="greaterThan">
      <formula>$H$49</formula>
    </cfRule>
  </conditionalFormatting>
  <conditionalFormatting sqref="I37">
    <cfRule type="cellIs" dxfId="5" priority="9" operator="greaterThan">
      <formula>$I$48</formula>
    </cfRule>
  </conditionalFormatting>
  <conditionalFormatting sqref="F37">
    <cfRule type="cellIs" dxfId="4" priority="8" operator="greaterThan">
      <formula>$D$48</formula>
    </cfRule>
  </conditionalFormatting>
  <conditionalFormatting sqref="G37">
    <cfRule type="cellIs" dxfId="3" priority="7" operator="greaterThan">
      <formula>$E$48</formula>
    </cfRule>
  </conditionalFormatting>
  <conditionalFormatting sqref="F6:F36">
    <cfRule type="cellIs" dxfId="2" priority="3" operator="greaterThan">
      <formula>$D$48</formula>
    </cfRule>
  </conditionalFormatting>
  <conditionalFormatting sqref="G6:G36">
    <cfRule type="cellIs" dxfId="1" priority="2" operator="greaterThan">
      <formula>$E$48</formula>
    </cfRule>
  </conditionalFormatting>
  <conditionalFormatting sqref="I6:I36">
    <cfRule type="cellIs" dxfId="0" priority="1" operator="greaterThan">
      <formula>$G$48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opLeftCell="A4" zoomScale="90" zoomScaleNormal="90" workbookViewId="0">
      <selection activeCell="D40" sqref="D40"/>
    </sheetView>
  </sheetViews>
  <sheetFormatPr defaultRowHeight="15" x14ac:dyDescent="0.25"/>
  <cols>
    <col min="1" max="2" width="9.140625" style="34"/>
    <col min="3" max="3" width="29" style="34" customWidth="1"/>
    <col min="4" max="7" width="33.140625" style="43" customWidth="1"/>
    <col min="8" max="8" width="9.140625" style="34"/>
    <col min="9" max="9" width="13.42578125" style="34" bestFit="1" customWidth="1"/>
    <col min="10" max="10" width="11.5703125" style="34" bestFit="1" customWidth="1"/>
    <col min="11" max="44" width="9.140625" style="34"/>
  </cols>
  <sheetData>
    <row r="1" spans="1:44" ht="15" customHeight="1" x14ac:dyDescent="0.25">
      <c r="B1" s="174" t="s">
        <v>9</v>
      </c>
      <c r="C1" s="174"/>
      <c r="D1" s="174"/>
      <c r="E1" s="174"/>
      <c r="F1" s="174"/>
      <c r="G1" s="174"/>
    </row>
    <row r="2" spans="1:44" ht="15" customHeight="1" x14ac:dyDescent="0.25">
      <c r="B2" s="174"/>
      <c r="C2" s="174"/>
      <c r="D2" s="174"/>
      <c r="E2" s="174"/>
      <c r="F2" s="174"/>
      <c r="G2" s="174"/>
    </row>
    <row r="3" spans="1:44" s="125" customFormat="1" ht="27" customHeight="1" x14ac:dyDescent="0.3">
      <c r="A3" s="124"/>
      <c r="B3" s="175" t="s">
        <v>0</v>
      </c>
      <c r="C3" s="123" t="s">
        <v>42</v>
      </c>
      <c r="D3" s="176" t="s">
        <v>44</v>
      </c>
      <c r="E3" s="176"/>
      <c r="F3" s="176"/>
      <c r="G3" s="176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</row>
    <row r="4" spans="1:44" s="125" customFormat="1" ht="27" customHeight="1" x14ac:dyDescent="0.3">
      <c r="A4" s="124"/>
      <c r="B4" s="175"/>
      <c r="C4" s="123" t="s">
        <v>43</v>
      </c>
      <c r="D4" s="123" t="s">
        <v>41</v>
      </c>
      <c r="E4" s="126" t="s">
        <v>13</v>
      </c>
      <c r="F4" s="123" t="s">
        <v>52</v>
      </c>
      <c r="G4" s="123" t="s">
        <v>10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</row>
    <row r="5" spans="1:44" ht="15.75" x14ac:dyDescent="0.25">
      <c r="B5" s="35">
        <v>43891</v>
      </c>
      <c r="C5" s="108">
        <f>ROUNDUP(D5+E5+G5,0)</f>
        <v>162</v>
      </c>
      <c r="D5" s="36">
        <v>62</v>
      </c>
      <c r="E5" s="37">
        <v>55</v>
      </c>
      <c r="F5" s="37">
        <f>+G5*0.2</f>
        <v>9</v>
      </c>
      <c r="G5" s="37">
        <v>45</v>
      </c>
      <c r="H5" s="38"/>
    </row>
    <row r="6" spans="1:44" ht="15.75" x14ac:dyDescent="0.25">
      <c r="B6" s="35">
        <v>43892</v>
      </c>
      <c r="C6" s="108">
        <f t="shared" ref="C6:C35" si="0">ROUNDUP(D6+E6+G6,0)</f>
        <v>165</v>
      </c>
      <c r="D6" s="36">
        <v>64.099999999998545</v>
      </c>
      <c r="E6" s="37">
        <v>54.700000000004366</v>
      </c>
      <c r="F6" s="37">
        <f t="shared" ref="F6:F35" si="1">+G6*0.2</f>
        <v>9.0600000000005831</v>
      </c>
      <c r="G6" s="37">
        <v>45.30000000000291</v>
      </c>
      <c r="H6" s="38"/>
    </row>
    <row r="7" spans="1:44" ht="15.75" x14ac:dyDescent="0.25">
      <c r="B7" s="35">
        <v>43893</v>
      </c>
      <c r="C7" s="108">
        <f t="shared" si="0"/>
        <v>178</v>
      </c>
      <c r="D7" s="36">
        <v>67.099999999998545</v>
      </c>
      <c r="E7" s="37">
        <v>59.69999999999709</v>
      </c>
      <c r="F7" s="37">
        <f t="shared" si="1"/>
        <v>10.239999999999419</v>
      </c>
      <c r="G7" s="37">
        <v>51.19999999999709</v>
      </c>
      <c r="H7" s="38"/>
    </row>
    <row r="8" spans="1:44" ht="15.75" x14ac:dyDescent="0.25">
      <c r="B8" s="35">
        <v>43894</v>
      </c>
      <c r="C8" s="108">
        <f t="shared" si="0"/>
        <v>152</v>
      </c>
      <c r="D8" s="36">
        <v>34.80000000000291</v>
      </c>
      <c r="E8" s="37">
        <v>61.80000000000291</v>
      </c>
      <c r="F8" s="37">
        <f t="shared" si="1"/>
        <v>10.9</v>
      </c>
      <c r="G8" s="37">
        <v>54.5</v>
      </c>
      <c r="H8" s="38"/>
    </row>
    <row r="9" spans="1:44" ht="15.75" x14ac:dyDescent="0.25">
      <c r="B9" s="35">
        <v>43895</v>
      </c>
      <c r="C9" s="108">
        <f t="shared" si="0"/>
        <v>138</v>
      </c>
      <c r="D9" s="36">
        <v>19.900000000001455</v>
      </c>
      <c r="E9" s="37">
        <v>69.099999999998545</v>
      </c>
      <c r="F9" s="37">
        <f t="shared" si="1"/>
        <v>9.7000000000000011</v>
      </c>
      <c r="G9" s="37">
        <v>48.5</v>
      </c>
      <c r="H9" s="38"/>
    </row>
    <row r="10" spans="1:44" ht="15.75" x14ac:dyDescent="0.25">
      <c r="B10" s="35">
        <v>43896</v>
      </c>
      <c r="C10" s="108">
        <f t="shared" si="0"/>
        <v>155</v>
      </c>
      <c r="D10" s="36">
        <v>5.1999999999970896</v>
      </c>
      <c r="E10" s="37">
        <v>91.400000000001455</v>
      </c>
      <c r="F10" s="37">
        <f t="shared" si="1"/>
        <v>11.480000000001747</v>
      </c>
      <c r="G10" s="37">
        <v>57.400000000008731</v>
      </c>
      <c r="H10" s="38"/>
    </row>
    <row r="11" spans="1:44" ht="15.75" x14ac:dyDescent="0.25">
      <c r="B11" s="35">
        <v>43897</v>
      </c>
      <c r="C11" s="108">
        <f t="shared" si="0"/>
        <v>172</v>
      </c>
      <c r="D11" s="36">
        <v>42.5</v>
      </c>
      <c r="E11" s="37">
        <v>70.899999999997817</v>
      </c>
      <c r="F11" s="37">
        <f t="shared" si="1"/>
        <v>11.600000000000001</v>
      </c>
      <c r="G11" s="37">
        <v>58</v>
      </c>
      <c r="H11" s="38"/>
    </row>
    <row r="12" spans="1:44" ht="15.75" x14ac:dyDescent="0.25">
      <c r="B12" s="35">
        <v>43898</v>
      </c>
      <c r="C12" s="108">
        <f t="shared" si="0"/>
        <v>137</v>
      </c>
      <c r="D12" s="36">
        <v>15.599999999998545</v>
      </c>
      <c r="E12" s="37">
        <v>64.700000000004366</v>
      </c>
      <c r="F12" s="37">
        <f t="shared" si="1"/>
        <v>11.219999999998254</v>
      </c>
      <c r="G12" s="37">
        <v>56.099999999991269</v>
      </c>
      <c r="H12" s="38"/>
    </row>
    <row r="13" spans="1:44" ht="15.75" x14ac:dyDescent="0.25">
      <c r="B13" s="35">
        <v>43899</v>
      </c>
      <c r="C13" s="108">
        <f t="shared" si="0"/>
        <v>156</v>
      </c>
      <c r="D13" s="36">
        <v>53.100000000005821</v>
      </c>
      <c r="E13" s="37">
        <v>47.299999999999272</v>
      </c>
      <c r="F13" s="37">
        <f t="shared" si="1"/>
        <v>11.080000000001746</v>
      </c>
      <c r="G13" s="37">
        <v>55.400000000008731</v>
      </c>
      <c r="H13" s="38"/>
    </row>
    <row r="14" spans="1:44" ht="15.75" x14ac:dyDescent="0.25">
      <c r="B14" s="35">
        <v>43900</v>
      </c>
      <c r="C14" s="108">
        <f t="shared" si="0"/>
        <v>185</v>
      </c>
      <c r="D14" s="36">
        <v>55.5</v>
      </c>
      <c r="E14" s="37">
        <v>74.19999999999709</v>
      </c>
      <c r="F14" s="37">
        <f t="shared" si="1"/>
        <v>10.919999999998254</v>
      </c>
      <c r="G14" s="37">
        <v>54.599999999991269</v>
      </c>
      <c r="H14" s="38"/>
    </row>
    <row r="15" spans="1:44" ht="15.75" x14ac:dyDescent="0.25">
      <c r="B15" s="35">
        <v>43901</v>
      </c>
      <c r="C15" s="108">
        <f t="shared" si="0"/>
        <v>171</v>
      </c>
      <c r="D15" s="36">
        <v>26.799999999995634</v>
      </c>
      <c r="E15" s="37">
        <v>88.200000000000728</v>
      </c>
      <c r="F15" s="37">
        <f t="shared" si="1"/>
        <v>11.100000000000001</v>
      </c>
      <c r="G15" s="37">
        <v>55.5</v>
      </c>
      <c r="H15" s="38"/>
    </row>
    <row r="16" spans="1:44" ht="15.75" x14ac:dyDescent="0.25">
      <c r="B16" s="35">
        <v>43902</v>
      </c>
      <c r="C16" s="108">
        <f t="shared" si="0"/>
        <v>121</v>
      </c>
      <c r="D16" s="36">
        <v>8.4000000000014552</v>
      </c>
      <c r="E16" s="37">
        <v>87.700000000000728</v>
      </c>
      <c r="F16" s="37">
        <f t="shared" si="1"/>
        <v>4.8399999999994181</v>
      </c>
      <c r="G16" s="37">
        <v>24.19999999999709</v>
      </c>
      <c r="H16" s="38"/>
    </row>
    <row r="17" spans="2:8" ht="15.75" x14ac:dyDescent="0.25">
      <c r="B17" s="35">
        <v>43903</v>
      </c>
      <c r="C17" s="108">
        <f t="shared" si="0"/>
        <v>137</v>
      </c>
      <c r="D17" s="36">
        <v>22</v>
      </c>
      <c r="E17" s="37">
        <v>57.299999999996544</v>
      </c>
      <c r="F17" s="37">
        <f t="shared" si="1"/>
        <v>11.520000000001165</v>
      </c>
      <c r="G17" s="37">
        <v>57.600000000005821</v>
      </c>
      <c r="H17" s="38"/>
    </row>
    <row r="18" spans="2:8" ht="15.75" x14ac:dyDescent="0.25">
      <c r="B18" s="35">
        <v>43904</v>
      </c>
      <c r="C18" s="108">
        <f t="shared" si="0"/>
        <v>127</v>
      </c>
      <c r="D18" s="36">
        <v>11</v>
      </c>
      <c r="E18" s="37">
        <v>56.600000000004229</v>
      </c>
      <c r="F18" s="37">
        <f t="shared" si="1"/>
        <v>11.860000000000582</v>
      </c>
      <c r="G18" s="37">
        <v>59.30000000000291</v>
      </c>
      <c r="H18" s="38"/>
    </row>
    <row r="19" spans="2:8" ht="15.75" x14ac:dyDescent="0.25">
      <c r="B19" s="35">
        <v>43905</v>
      </c>
      <c r="C19" s="108">
        <f t="shared" si="0"/>
        <v>178</v>
      </c>
      <c r="D19" s="36">
        <v>21.5</v>
      </c>
      <c r="E19" s="37">
        <v>96.800000000000864</v>
      </c>
      <c r="F19" s="37">
        <f t="shared" si="1"/>
        <v>11.9</v>
      </c>
      <c r="G19" s="37">
        <v>59.5</v>
      </c>
      <c r="H19" s="38"/>
    </row>
    <row r="20" spans="2:8" ht="15.75" x14ac:dyDescent="0.25">
      <c r="B20" s="35">
        <v>43906</v>
      </c>
      <c r="C20" s="108">
        <f t="shared" si="0"/>
        <v>172</v>
      </c>
      <c r="D20" s="36">
        <v>21.69999999999709</v>
      </c>
      <c r="E20" s="37">
        <v>93.199999999995498</v>
      </c>
      <c r="F20" s="37">
        <f t="shared" si="1"/>
        <v>11.339999999999419</v>
      </c>
      <c r="G20" s="37">
        <v>56.69999999999709</v>
      </c>
      <c r="H20" s="38"/>
    </row>
    <row r="21" spans="2:8" ht="15.75" x14ac:dyDescent="0.25">
      <c r="B21" s="35">
        <v>43907</v>
      </c>
      <c r="C21" s="108">
        <f t="shared" si="0"/>
        <v>150</v>
      </c>
      <c r="D21" s="36">
        <v>19.400000000001455</v>
      </c>
      <c r="E21" s="37">
        <v>77.500000000000682</v>
      </c>
      <c r="F21" s="37">
        <f t="shared" si="1"/>
        <v>10.600000000000001</v>
      </c>
      <c r="G21" s="37">
        <v>53</v>
      </c>
      <c r="H21" s="38"/>
    </row>
    <row r="22" spans="2:8" ht="15.75" x14ac:dyDescent="0.25">
      <c r="B22" s="35">
        <v>43908</v>
      </c>
      <c r="C22" s="108">
        <f t="shared" si="0"/>
        <v>109</v>
      </c>
      <c r="D22" s="36">
        <v>21.900000000001455</v>
      </c>
      <c r="E22" s="37">
        <v>35.099999999999454</v>
      </c>
      <c r="F22" s="37">
        <f t="shared" si="1"/>
        <v>10.239999999999419</v>
      </c>
      <c r="G22" s="37">
        <v>51.19999999999709</v>
      </c>
      <c r="H22" s="38"/>
    </row>
    <row r="23" spans="2:8" ht="15.75" x14ac:dyDescent="0.25">
      <c r="B23" s="35">
        <v>43909</v>
      </c>
      <c r="C23" s="108">
        <f t="shared" si="0"/>
        <v>107</v>
      </c>
      <c r="D23" s="36">
        <v>15.19999999999709</v>
      </c>
      <c r="E23" s="37">
        <v>75.600000000002865</v>
      </c>
      <c r="F23" s="37">
        <f t="shared" si="1"/>
        <v>3.1600000000005823</v>
      </c>
      <c r="G23" s="37">
        <v>15.80000000000291</v>
      </c>
      <c r="H23" s="38"/>
    </row>
    <row r="24" spans="2:8" ht="15.75" x14ac:dyDescent="0.25">
      <c r="B24" s="35">
        <v>43910</v>
      </c>
      <c r="C24" s="108">
        <f t="shared" si="0"/>
        <v>224</v>
      </c>
      <c r="D24" s="36">
        <v>57.100000000005821</v>
      </c>
      <c r="E24" s="37">
        <v>90.000000000002956</v>
      </c>
      <c r="F24" s="37">
        <f t="shared" si="1"/>
        <v>15.220000000001164</v>
      </c>
      <c r="G24" s="37">
        <v>76.100000000005821</v>
      </c>
      <c r="H24" s="38"/>
    </row>
    <row r="25" spans="2:8" ht="15.75" x14ac:dyDescent="0.25">
      <c r="B25" s="35">
        <v>43911</v>
      </c>
      <c r="C25" s="108">
        <f t="shared" si="0"/>
        <v>160</v>
      </c>
      <c r="D25" s="56">
        <v>24.099999999998545</v>
      </c>
      <c r="E25" s="37">
        <v>74.999999999996362</v>
      </c>
      <c r="F25" s="37">
        <f t="shared" si="1"/>
        <v>12</v>
      </c>
      <c r="G25" s="37">
        <v>60</v>
      </c>
      <c r="H25" s="38"/>
    </row>
    <row r="26" spans="2:8" ht="15.75" x14ac:dyDescent="0.25">
      <c r="B26" s="35">
        <v>43912</v>
      </c>
      <c r="C26" s="108">
        <f t="shared" si="0"/>
        <v>201</v>
      </c>
      <c r="D26" s="36">
        <v>35.299999999995634</v>
      </c>
      <c r="E26" s="37">
        <v>96.599999999998545</v>
      </c>
      <c r="F26" s="37">
        <f t="shared" si="1"/>
        <v>13.700000000000001</v>
      </c>
      <c r="G26" s="37">
        <v>68.5</v>
      </c>
      <c r="H26" s="38"/>
    </row>
    <row r="27" spans="2:8" ht="15.75" x14ac:dyDescent="0.25">
      <c r="B27" s="35">
        <v>43913</v>
      </c>
      <c r="C27" s="108">
        <f t="shared" si="0"/>
        <v>169</v>
      </c>
      <c r="D27" s="36">
        <v>32.900000000001455</v>
      </c>
      <c r="E27" s="37">
        <v>82.499999999998408</v>
      </c>
      <c r="F27" s="37">
        <f t="shared" si="1"/>
        <v>10.600000000000001</v>
      </c>
      <c r="G27" s="37">
        <v>53</v>
      </c>
      <c r="H27" s="38"/>
    </row>
    <row r="28" spans="2:8" ht="15.75" x14ac:dyDescent="0.25">
      <c r="B28" s="35">
        <v>43914</v>
      </c>
      <c r="C28" s="108">
        <f t="shared" si="0"/>
        <v>164</v>
      </c>
      <c r="D28" s="36">
        <v>43.900000000001455</v>
      </c>
      <c r="E28" s="37">
        <v>82.000000000002274</v>
      </c>
      <c r="F28" s="37">
        <f t="shared" si="1"/>
        <v>7.5799999999988366</v>
      </c>
      <c r="G28" s="37">
        <v>37.899999999994179</v>
      </c>
      <c r="H28" s="38"/>
    </row>
    <row r="29" spans="2:8" ht="15.75" x14ac:dyDescent="0.25">
      <c r="B29" s="35">
        <v>43915</v>
      </c>
      <c r="C29" s="108">
        <f t="shared" si="0"/>
        <v>153</v>
      </c>
      <c r="D29" s="36">
        <v>22.19999999999709</v>
      </c>
      <c r="E29" s="37">
        <v>82</v>
      </c>
      <c r="F29" s="37">
        <f t="shared" si="1"/>
        <v>9.6000000000000014</v>
      </c>
      <c r="G29" s="37">
        <v>48</v>
      </c>
      <c r="H29" s="38"/>
    </row>
    <row r="30" spans="2:8" ht="15.75" x14ac:dyDescent="0.25">
      <c r="B30" s="35">
        <v>43916</v>
      </c>
      <c r="C30" s="108">
        <f t="shared" si="0"/>
        <v>161</v>
      </c>
      <c r="D30" s="36">
        <v>23.30000000000291</v>
      </c>
      <c r="E30" s="37">
        <v>83</v>
      </c>
      <c r="F30" s="37">
        <f t="shared" si="1"/>
        <v>10.760000000000582</v>
      </c>
      <c r="G30" s="37">
        <v>53.80000000000291</v>
      </c>
      <c r="H30" s="38"/>
    </row>
    <row r="31" spans="2:8" ht="15.75" x14ac:dyDescent="0.25">
      <c r="B31" s="35">
        <v>43917</v>
      </c>
      <c r="C31" s="108">
        <f t="shared" si="0"/>
        <v>154</v>
      </c>
      <c r="D31" s="37">
        <v>23.30000000000291</v>
      </c>
      <c r="E31" s="37">
        <v>78.199999999994361</v>
      </c>
      <c r="F31" s="37">
        <f t="shared" si="1"/>
        <v>10.460000000000583</v>
      </c>
      <c r="G31" s="37">
        <v>52.30000000000291</v>
      </c>
      <c r="H31" s="38"/>
    </row>
    <row r="32" spans="2:8" ht="15.75" x14ac:dyDescent="0.25">
      <c r="B32" s="35">
        <v>43918</v>
      </c>
      <c r="C32" s="108">
        <f t="shared" si="0"/>
        <v>179</v>
      </c>
      <c r="D32" s="37">
        <v>23.19999999999709</v>
      </c>
      <c r="E32" s="37">
        <v>90.299999999999955</v>
      </c>
      <c r="F32" s="37">
        <f t="shared" si="1"/>
        <v>13.079999999998837</v>
      </c>
      <c r="G32" s="37">
        <v>65.399999999994179</v>
      </c>
      <c r="H32" s="38"/>
    </row>
    <row r="33" spans="2:11" ht="15.75" x14ac:dyDescent="0.25">
      <c r="B33" s="35">
        <v>43919</v>
      </c>
      <c r="C33" s="108">
        <f t="shared" si="0"/>
        <v>158</v>
      </c>
      <c r="D33" s="37">
        <v>27</v>
      </c>
      <c r="E33" s="37">
        <v>82.80000000000291</v>
      </c>
      <c r="F33" s="37">
        <f t="shared" si="1"/>
        <v>9.5200000000011649</v>
      </c>
      <c r="G33" s="37">
        <v>47.600000000005821</v>
      </c>
      <c r="H33" s="38"/>
    </row>
    <row r="34" spans="2:11" ht="15.75" x14ac:dyDescent="0.25">
      <c r="B34" s="35">
        <v>43920</v>
      </c>
      <c r="C34" s="108">
        <f t="shared" si="0"/>
        <v>150</v>
      </c>
      <c r="D34" s="36">
        <v>26.5</v>
      </c>
      <c r="E34" s="37">
        <v>75.899999999999181</v>
      </c>
      <c r="F34" s="37">
        <f t="shared" si="1"/>
        <v>9.3799999999988355</v>
      </c>
      <c r="G34" s="37">
        <v>46.899999999994179</v>
      </c>
      <c r="H34" s="38"/>
    </row>
    <row r="35" spans="2:11" ht="15.75" x14ac:dyDescent="0.25">
      <c r="B35" s="35">
        <v>43921</v>
      </c>
      <c r="C35" s="108">
        <f t="shared" si="0"/>
        <v>204</v>
      </c>
      <c r="D35" s="37">
        <v>63.19999999999709</v>
      </c>
      <c r="E35" s="37">
        <v>90</v>
      </c>
      <c r="F35" s="37">
        <f t="shared" si="1"/>
        <v>10.139999999999418</v>
      </c>
      <c r="G35" s="37">
        <v>50.69999999999709</v>
      </c>
      <c r="H35" s="38"/>
    </row>
    <row r="36" spans="2:11" x14ac:dyDescent="0.25">
      <c r="B36" s="39"/>
      <c r="C36" s="39"/>
      <c r="D36" s="40"/>
      <c r="E36" s="40"/>
      <c r="F36" s="40"/>
      <c r="G36" s="40"/>
    </row>
    <row r="37" spans="2:11" ht="21" x14ac:dyDescent="0.35">
      <c r="B37" s="41"/>
      <c r="C37" s="109">
        <f>+D37+E37+F37</f>
        <v>3638.5999999999967</v>
      </c>
      <c r="D37" s="42">
        <f>SUM(D5:D35)</f>
        <v>989.69999999999709</v>
      </c>
      <c r="E37" s="42">
        <f>SUM(E5:E35)</f>
        <v>2325.0999999999995</v>
      </c>
      <c r="F37" s="42">
        <f t="shared" ref="F37:G37" si="2">SUM(F5:F35)</f>
        <v>323.80000000000007</v>
      </c>
      <c r="G37" s="42">
        <f t="shared" si="2"/>
        <v>1619</v>
      </c>
      <c r="H37" s="38"/>
      <c r="K37" s="38"/>
    </row>
    <row r="38" spans="2:11" x14ac:dyDescent="0.25">
      <c r="I38" s="38"/>
      <c r="J38" s="44"/>
    </row>
    <row r="39" spans="2:11" x14ac:dyDescent="0.25">
      <c r="I39" s="38"/>
      <c r="J39" s="44"/>
    </row>
    <row r="40" spans="2:11" ht="15.75" thickBot="1" x14ac:dyDescent="0.3"/>
    <row r="41" spans="2:11" ht="21.75" thickBot="1" x14ac:dyDescent="0.4">
      <c r="B41" s="45" t="s">
        <v>45</v>
      </c>
      <c r="C41" s="45"/>
      <c r="D41" s="46"/>
      <c r="E41" s="47"/>
      <c r="F41" s="47"/>
      <c r="G41" s="110">
        <f>+C37+(G37*20%)-G37</f>
        <v>2343.3999999999969</v>
      </c>
      <c r="I41" s="48"/>
      <c r="J41" s="38"/>
    </row>
    <row r="42" spans="2:11" x14ac:dyDescent="0.25">
      <c r="G42" s="111"/>
    </row>
    <row r="43" spans="2:11" x14ac:dyDescent="0.25">
      <c r="G43" s="111"/>
    </row>
    <row r="44" spans="2:11" ht="15.75" x14ac:dyDescent="0.25">
      <c r="B44" s="49" t="s">
        <v>11</v>
      </c>
      <c r="C44" s="49"/>
      <c r="E44" s="43" t="s">
        <v>46</v>
      </c>
      <c r="G44" s="112">
        <v>12500</v>
      </c>
      <c r="I44" s="50"/>
    </row>
    <row r="45" spans="2:11" ht="15.75" x14ac:dyDescent="0.25">
      <c r="B45" s="49"/>
      <c r="C45" s="49"/>
      <c r="G45" s="111"/>
      <c r="I45" s="50"/>
    </row>
    <row r="46" spans="2:11" ht="16.5" thickBot="1" x14ac:dyDescent="0.3">
      <c r="B46" s="49"/>
      <c r="C46" s="49"/>
      <c r="G46" s="111"/>
      <c r="I46" s="50"/>
    </row>
    <row r="47" spans="2:11" ht="27" thickBot="1" x14ac:dyDescent="0.3">
      <c r="B47" s="49" t="s">
        <v>12</v>
      </c>
      <c r="C47" s="49"/>
      <c r="G47" s="113">
        <f>+G41*G44</f>
        <v>29292499.999999963</v>
      </c>
      <c r="I47" s="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topLeftCell="A10" workbookViewId="0">
      <selection activeCell="D38" sqref="D38"/>
    </sheetView>
  </sheetViews>
  <sheetFormatPr defaultRowHeight="15" x14ac:dyDescent="0.25"/>
  <cols>
    <col min="1" max="2" width="9.140625" style="34"/>
    <col min="3" max="4" width="34.140625" style="43" customWidth="1"/>
    <col min="5" max="8" width="27.7109375" style="43" customWidth="1"/>
    <col min="9" max="9" width="9.140625" style="34"/>
    <col min="10" max="10" width="13.42578125" style="34" bestFit="1" customWidth="1"/>
    <col min="11" max="11" width="11.5703125" style="34" bestFit="1" customWidth="1"/>
    <col min="12" max="45" width="9.140625" style="34"/>
  </cols>
  <sheetData>
    <row r="1" spans="1:45" ht="15" customHeight="1" x14ac:dyDescent="0.25">
      <c r="B1" s="174" t="s">
        <v>9</v>
      </c>
      <c r="C1" s="174"/>
      <c r="D1" s="174"/>
      <c r="E1" s="174"/>
      <c r="F1" s="174"/>
      <c r="G1" s="174"/>
      <c r="H1" s="174"/>
    </row>
    <row r="2" spans="1:45" ht="15" customHeight="1" x14ac:dyDescent="0.25">
      <c r="B2" s="174"/>
      <c r="C2" s="174"/>
      <c r="D2" s="174"/>
      <c r="E2" s="174"/>
      <c r="F2" s="174"/>
      <c r="G2" s="174"/>
      <c r="H2" s="174"/>
    </row>
    <row r="3" spans="1:45" s="128" customFormat="1" ht="33" customHeight="1" x14ac:dyDescent="0.35">
      <c r="A3" s="127"/>
      <c r="B3" s="177" t="s">
        <v>0</v>
      </c>
      <c r="C3" s="181" t="s">
        <v>40</v>
      </c>
      <c r="D3" s="182"/>
      <c r="E3" s="178" t="s">
        <v>48</v>
      </c>
      <c r="F3" s="179"/>
      <c r="G3" s="179"/>
      <c r="H3" s="180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</row>
    <row r="4" spans="1:45" s="128" customFormat="1" ht="33" customHeight="1" x14ac:dyDescent="0.35">
      <c r="A4" s="127"/>
      <c r="B4" s="177"/>
      <c r="C4" s="129" t="s">
        <v>47</v>
      </c>
      <c r="D4" s="129" t="s">
        <v>49</v>
      </c>
      <c r="E4" s="130" t="s">
        <v>36</v>
      </c>
      <c r="F4" s="130" t="s">
        <v>39</v>
      </c>
      <c r="G4" s="130" t="s">
        <v>37</v>
      </c>
      <c r="H4" s="129" t="s">
        <v>38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</row>
    <row r="5" spans="1:45" ht="15.75" x14ac:dyDescent="0.25">
      <c r="B5" s="35">
        <v>43831</v>
      </c>
      <c r="C5" s="114">
        <v>2.92</v>
      </c>
      <c r="D5" s="114">
        <v>79.81</v>
      </c>
      <c r="E5" s="37"/>
      <c r="F5" s="37"/>
      <c r="G5" s="37"/>
      <c r="H5" s="37"/>
      <c r="I5" s="38"/>
    </row>
    <row r="6" spans="1:45" ht="15.75" x14ac:dyDescent="0.25">
      <c r="B6" s="35">
        <v>43832</v>
      </c>
      <c r="C6" s="114">
        <v>2.86</v>
      </c>
      <c r="D6" s="114">
        <v>77.64</v>
      </c>
      <c r="E6" s="37"/>
      <c r="F6" s="37"/>
      <c r="G6" s="37"/>
      <c r="H6" s="37"/>
      <c r="I6" s="38"/>
    </row>
    <row r="7" spans="1:45" ht="15.75" x14ac:dyDescent="0.25">
      <c r="B7" s="35">
        <v>43833</v>
      </c>
      <c r="C7" s="114">
        <v>3.65</v>
      </c>
      <c r="D7" s="114">
        <v>99.29</v>
      </c>
      <c r="E7" s="37"/>
      <c r="F7" s="37"/>
      <c r="G7" s="37"/>
      <c r="H7" s="37"/>
      <c r="I7" s="38"/>
    </row>
    <row r="8" spans="1:45" ht="15.75" x14ac:dyDescent="0.25">
      <c r="B8" s="35">
        <v>43834</v>
      </c>
      <c r="C8" s="114">
        <v>3.05</v>
      </c>
      <c r="D8" s="114">
        <v>83.75</v>
      </c>
      <c r="E8" s="37"/>
      <c r="F8" s="37"/>
      <c r="G8" s="37"/>
      <c r="H8" s="37"/>
      <c r="I8" s="38"/>
    </row>
    <row r="9" spans="1:45" ht="15.75" x14ac:dyDescent="0.25">
      <c r="B9" s="35">
        <v>43835</v>
      </c>
      <c r="C9" s="114">
        <v>4.58</v>
      </c>
      <c r="D9" s="114">
        <v>125.84</v>
      </c>
      <c r="E9" s="37"/>
      <c r="F9" s="37"/>
      <c r="G9" s="37"/>
      <c r="H9" s="37"/>
      <c r="I9" s="38"/>
    </row>
    <row r="10" spans="1:45" ht="15.75" x14ac:dyDescent="0.25">
      <c r="B10" s="35">
        <v>43836</v>
      </c>
      <c r="C10" s="114">
        <v>4.42</v>
      </c>
      <c r="D10" s="114">
        <v>121.79</v>
      </c>
      <c r="E10" s="37"/>
      <c r="F10" s="37"/>
      <c r="G10" s="37"/>
      <c r="H10" s="37"/>
      <c r="I10" s="38"/>
    </row>
    <row r="11" spans="1:45" ht="15.75" x14ac:dyDescent="0.25">
      <c r="B11" s="35">
        <v>43837</v>
      </c>
      <c r="C11" s="114">
        <v>4.88</v>
      </c>
      <c r="D11" s="114">
        <v>134.66</v>
      </c>
      <c r="E11" s="37"/>
      <c r="F11" s="37"/>
      <c r="G11" s="37"/>
      <c r="H11" s="37"/>
      <c r="I11" s="38"/>
    </row>
    <row r="12" spans="1:45" ht="15.75" x14ac:dyDescent="0.25">
      <c r="B12" s="35">
        <v>43838</v>
      </c>
      <c r="C12" s="114">
        <v>3.39</v>
      </c>
      <c r="D12" s="114">
        <v>93.73</v>
      </c>
      <c r="E12" s="37"/>
      <c r="F12" s="37"/>
      <c r="G12" s="37"/>
      <c r="H12" s="37"/>
      <c r="I12" s="38"/>
    </row>
    <row r="13" spans="1:45" ht="15.75" x14ac:dyDescent="0.25">
      <c r="B13" s="35">
        <v>43839</v>
      </c>
      <c r="C13" s="114">
        <v>3.32</v>
      </c>
      <c r="D13" s="114">
        <v>91.51</v>
      </c>
      <c r="E13" s="37"/>
      <c r="F13" s="37"/>
      <c r="G13" s="37"/>
      <c r="H13" s="37"/>
      <c r="I13" s="38"/>
    </row>
    <row r="14" spans="1:45" ht="15.75" x14ac:dyDescent="0.25">
      <c r="B14" s="35">
        <v>43840</v>
      </c>
      <c r="C14" s="114">
        <v>2.67</v>
      </c>
      <c r="D14" s="114">
        <v>73.7</v>
      </c>
      <c r="E14" s="37"/>
      <c r="F14" s="37"/>
      <c r="G14" s="37"/>
      <c r="H14" s="37"/>
      <c r="I14" s="38"/>
    </row>
    <row r="15" spans="1:45" ht="15.75" x14ac:dyDescent="0.25">
      <c r="B15" s="35">
        <v>43841</v>
      </c>
      <c r="C15" s="114">
        <v>3.26</v>
      </c>
      <c r="D15" s="114">
        <v>89.92</v>
      </c>
      <c r="E15" s="37"/>
      <c r="F15" s="37"/>
      <c r="G15" s="37"/>
      <c r="H15" s="37"/>
      <c r="I15" s="38"/>
    </row>
    <row r="16" spans="1:45" ht="15.75" x14ac:dyDescent="0.25">
      <c r="B16" s="35">
        <v>43842</v>
      </c>
      <c r="C16" s="114">
        <v>4.88</v>
      </c>
      <c r="D16" s="114">
        <v>134.72999999999999</v>
      </c>
      <c r="E16" s="37"/>
      <c r="F16" s="37"/>
      <c r="G16" s="37"/>
      <c r="H16" s="37"/>
      <c r="I16" s="38"/>
    </row>
    <row r="17" spans="2:9" ht="15.75" x14ac:dyDescent="0.25">
      <c r="B17" s="35">
        <v>43843</v>
      </c>
      <c r="C17" s="114">
        <v>5.31</v>
      </c>
      <c r="D17" s="114">
        <v>146.47999999999999</v>
      </c>
      <c r="E17" s="37"/>
      <c r="F17" s="37"/>
      <c r="G17" s="37"/>
      <c r="H17" s="37"/>
      <c r="I17" s="38"/>
    </row>
    <row r="18" spans="2:9" ht="15.75" x14ac:dyDescent="0.25">
      <c r="B18" s="35">
        <v>43844</v>
      </c>
      <c r="C18" s="114">
        <v>3.75</v>
      </c>
      <c r="D18" s="114">
        <v>103.44</v>
      </c>
      <c r="E18" s="37"/>
      <c r="F18" s="37"/>
      <c r="G18" s="37"/>
      <c r="H18" s="37"/>
      <c r="I18" s="38"/>
    </row>
    <row r="19" spans="2:9" ht="15.75" x14ac:dyDescent="0.25">
      <c r="B19" s="35">
        <v>43845</v>
      </c>
      <c r="C19" s="114">
        <v>5.48</v>
      </c>
      <c r="D19" s="114">
        <v>150.55000000000001</v>
      </c>
      <c r="E19" s="37"/>
      <c r="F19" s="37"/>
      <c r="G19" s="37"/>
      <c r="H19" s="37"/>
      <c r="I19" s="38"/>
    </row>
    <row r="20" spans="2:9" ht="15.75" x14ac:dyDescent="0.25">
      <c r="B20" s="35">
        <v>43846</v>
      </c>
      <c r="C20" s="114">
        <v>4.96</v>
      </c>
      <c r="D20" s="114">
        <v>136.28</v>
      </c>
      <c r="E20" s="37"/>
      <c r="F20" s="37"/>
      <c r="G20" s="37"/>
      <c r="H20" s="37"/>
      <c r="I20" s="38"/>
    </row>
    <row r="21" spans="2:9" ht="15.75" x14ac:dyDescent="0.25">
      <c r="B21" s="35">
        <v>43847</v>
      </c>
      <c r="C21" s="114">
        <v>4.1100000000000003</v>
      </c>
      <c r="D21" s="114">
        <v>112.75</v>
      </c>
      <c r="E21" s="37"/>
      <c r="F21" s="37"/>
      <c r="G21" s="37"/>
      <c r="H21" s="37"/>
      <c r="I21" s="38"/>
    </row>
    <row r="22" spans="2:9" ht="15.75" x14ac:dyDescent="0.25">
      <c r="B22" s="35">
        <v>43848</v>
      </c>
      <c r="C22" s="114">
        <v>3.45</v>
      </c>
      <c r="D22" s="114">
        <v>94.89</v>
      </c>
      <c r="E22" s="37"/>
      <c r="F22" s="37"/>
      <c r="G22" s="37"/>
      <c r="H22" s="37"/>
      <c r="I22" s="38"/>
    </row>
    <row r="23" spans="2:9" ht="15.75" x14ac:dyDescent="0.25">
      <c r="B23" s="35">
        <v>43849</v>
      </c>
      <c r="C23" s="114">
        <v>4.4000000000000004</v>
      </c>
      <c r="D23" s="114">
        <v>120.79</v>
      </c>
      <c r="E23" s="37"/>
      <c r="F23" s="37"/>
      <c r="G23" s="37"/>
      <c r="H23" s="37"/>
      <c r="I23" s="38"/>
    </row>
    <row r="24" spans="2:9" ht="15.75" x14ac:dyDescent="0.25">
      <c r="B24" s="35">
        <v>43850</v>
      </c>
      <c r="C24" s="114">
        <v>4.9800000000000004</v>
      </c>
      <c r="D24" s="114">
        <v>136.51</v>
      </c>
      <c r="E24" s="37"/>
      <c r="F24" s="37"/>
      <c r="G24" s="37"/>
      <c r="H24" s="37"/>
      <c r="I24" s="38"/>
    </row>
    <row r="25" spans="2:9" ht="15.75" x14ac:dyDescent="0.25">
      <c r="B25" s="35">
        <v>43851</v>
      </c>
      <c r="C25" s="115">
        <v>5.83</v>
      </c>
      <c r="D25" s="115">
        <v>159.72</v>
      </c>
      <c r="E25" s="37"/>
      <c r="F25" s="37"/>
      <c r="G25" s="37"/>
      <c r="H25" s="37"/>
      <c r="I25" s="38"/>
    </row>
    <row r="26" spans="2:9" ht="15.75" x14ac:dyDescent="0.25">
      <c r="B26" s="35">
        <v>43852</v>
      </c>
      <c r="C26" s="114">
        <v>6.64</v>
      </c>
      <c r="D26" s="114">
        <v>182.34</v>
      </c>
      <c r="E26" s="37"/>
      <c r="F26" s="37"/>
      <c r="G26" s="37"/>
      <c r="H26" s="37"/>
      <c r="I26" s="38"/>
    </row>
    <row r="27" spans="2:9" ht="15.75" x14ac:dyDescent="0.25">
      <c r="B27" s="35">
        <v>43853</v>
      </c>
      <c r="C27" s="155">
        <v>6.48</v>
      </c>
      <c r="D27" s="155">
        <v>178.12</v>
      </c>
      <c r="E27" s="37"/>
      <c r="F27" s="37"/>
      <c r="G27" s="37"/>
      <c r="H27" s="37"/>
      <c r="I27" s="38"/>
    </row>
    <row r="28" spans="2:9" ht="15.75" x14ac:dyDescent="0.25">
      <c r="B28" s="35">
        <v>43854</v>
      </c>
      <c r="C28" s="114">
        <v>4.12</v>
      </c>
      <c r="D28" s="114">
        <v>113.11</v>
      </c>
      <c r="E28" s="37"/>
      <c r="F28" s="37"/>
      <c r="G28" s="37"/>
      <c r="H28" s="37"/>
      <c r="I28" s="38"/>
    </row>
    <row r="29" spans="2:9" ht="15.75" x14ac:dyDescent="0.25">
      <c r="B29" s="35">
        <v>43855</v>
      </c>
      <c r="C29" s="114">
        <v>4.5599999999999996</v>
      </c>
      <c r="D29" s="114">
        <v>125.33</v>
      </c>
      <c r="E29" s="37"/>
      <c r="F29" s="37"/>
      <c r="G29" s="37"/>
      <c r="H29" s="37"/>
      <c r="I29" s="38"/>
    </row>
    <row r="30" spans="2:9" ht="15.75" x14ac:dyDescent="0.25">
      <c r="B30" s="35">
        <v>43856</v>
      </c>
      <c r="C30" s="114">
        <v>5.34</v>
      </c>
      <c r="D30" s="114">
        <v>146.74</v>
      </c>
      <c r="E30" s="37"/>
      <c r="F30" s="37"/>
      <c r="G30" s="37"/>
      <c r="H30" s="37"/>
      <c r="I30" s="38"/>
    </row>
    <row r="31" spans="2:9" ht="15.75" x14ac:dyDescent="0.25">
      <c r="B31" s="35">
        <v>43857</v>
      </c>
      <c r="C31" s="115">
        <v>5.17</v>
      </c>
      <c r="D31" s="115">
        <v>142.08000000000001</v>
      </c>
      <c r="E31" s="37"/>
      <c r="F31" s="37"/>
      <c r="G31" s="37"/>
      <c r="H31" s="37"/>
      <c r="I31" s="38"/>
    </row>
    <row r="32" spans="2:9" ht="15.75" x14ac:dyDescent="0.25">
      <c r="B32" s="35">
        <v>43858</v>
      </c>
      <c r="C32" s="115">
        <v>5.55</v>
      </c>
      <c r="D32" s="115">
        <v>152.32</v>
      </c>
      <c r="E32" s="37"/>
      <c r="F32" s="37"/>
      <c r="G32" s="37"/>
      <c r="H32" s="37"/>
      <c r="I32" s="38"/>
    </row>
    <row r="33" spans="2:12" ht="15.75" x14ac:dyDescent="0.25">
      <c r="B33" s="35">
        <v>43859</v>
      </c>
      <c r="C33" s="115">
        <v>4.5999999999999996</v>
      </c>
      <c r="D33" s="115">
        <v>126.43</v>
      </c>
      <c r="E33" s="37"/>
      <c r="F33" s="37"/>
      <c r="G33" s="37"/>
      <c r="H33" s="37"/>
      <c r="I33" s="38"/>
    </row>
    <row r="34" spans="2:12" ht="15.75" x14ac:dyDescent="0.25">
      <c r="B34" s="35">
        <v>43860</v>
      </c>
      <c r="C34" s="114">
        <v>4.1500000000000004</v>
      </c>
      <c r="D34" s="114">
        <v>114.29</v>
      </c>
      <c r="E34" s="37"/>
      <c r="F34" s="37"/>
      <c r="G34" s="37"/>
      <c r="H34" s="37"/>
      <c r="I34" s="38"/>
    </row>
    <row r="35" spans="2:12" ht="15.75" x14ac:dyDescent="0.25">
      <c r="B35" s="35">
        <v>43861</v>
      </c>
      <c r="C35" s="115">
        <v>3.19</v>
      </c>
      <c r="D35" s="115">
        <v>87.77</v>
      </c>
      <c r="E35" s="37"/>
      <c r="F35" s="37"/>
      <c r="G35" s="37"/>
      <c r="H35" s="37"/>
      <c r="I35" s="38"/>
    </row>
    <row r="36" spans="2:12" x14ac:dyDescent="0.25">
      <c r="B36" s="39"/>
      <c r="C36" s="40"/>
      <c r="D36" s="40"/>
      <c r="E36" s="40"/>
      <c r="F36" s="40"/>
      <c r="G36" s="40"/>
      <c r="H36" s="40"/>
    </row>
    <row r="37" spans="2:12" ht="18.75" x14ac:dyDescent="0.3">
      <c r="B37" s="41"/>
      <c r="C37" s="116">
        <f>SUM(C5:C35)</f>
        <v>135.95000000000005</v>
      </c>
      <c r="D37" s="117">
        <f t="shared" ref="D37:H37" si="0">SUM(D5:D35)</f>
        <v>3736.31</v>
      </c>
      <c r="E37" s="117">
        <f t="shared" si="0"/>
        <v>0</v>
      </c>
      <c r="F37" s="117">
        <f t="shared" si="0"/>
        <v>0</v>
      </c>
      <c r="G37" s="117">
        <f t="shared" si="0"/>
        <v>0</v>
      </c>
      <c r="H37" s="117">
        <f t="shared" si="0"/>
        <v>0</v>
      </c>
      <c r="I37" s="38"/>
      <c r="L37" s="38"/>
    </row>
    <row r="38" spans="2:12" x14ac:dyDescent="0.25">
      <c r="H38" s="43">
        <f>H37*80%</f>
        <v>0</v>
      </c>
      <c r="J38" s="38"/>
      <c r="K38" s="44"/>
    </row>
    <row r="40" spans="2:12" ht="15.75" x14ac:dyDescent="0.25">
      <c r="B40" s="45"/>
      <c r="C40" s="46"/>
      <c r="D40" s="46"/>
      <c r="E40" s="47"/>
      <c r="F40" s="47"/>
      <c r="G40" s="47"/>
      <c r="H40" s="47"/>
      <c r="J40" s="48"/>
      <c r="K40" s="38"/>
    </row>
    <row r="43" spans="2:12" ht="21" x14ac:dyDescent="0.35">
      <c r="C43" s="119" t="s">
        <v>11</v>
      </c>
      <c r="D43" s="118" t="s">
        <v>50</v>
      </c>
      <c r="E43" s="120">
        <v>10.199999999999999</v>
      </c>
      <c r="J43" s="50"/>
    </row>
    <row r="44" spans="2:12" ht="21" x14ac:dyDescent="0.35">
      <c r="C44" s="121" t="s">
        <v>51</v>
      </c>
      <c r="D44" s="118" t="s">
        <v>47</v>
      </c>
      <c r="E44" s="120">
        <v>350</v>
      </c>
      <c r="J44" s="51"/>
    </row>
    <row r="45" spans="2:12" ht="21" x14ac:dyDescent="0.35">
      <c r="C45" s="121"/>
      <c r="D45" s="118"/>
      <c r="E45" s="120"/>
    </row>
    <row r="46" spans="2:12" ht="21" x14ac:dyDescent="0.35">
      <c r="C46" s="119" t="s">
        <v>12</v>
      </c>
      <c r="D46" s="118" t="s">
        <v>50</v>
      </c>
      <c r="E46" s="122">
        <f>IF(C37&gt;E44,(C37*E43),(E44*E43))</f>
        <v>3569.9999999999995</v>
      </c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2021-04-29T07:59:25Z</dcterms:modified>
</cp:coreProperties>
</file>