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EP\Waste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33" i="1" l="1"/>
  <c r="AL33" i="1"/>
  <c r="AM24" i="1"/>
  <c r="AL24" i="1"/>
  <c r="AM15" i="1"/>
</calcChain>
</file>

<file path=xl/sharedStrings.xml><?xml version="1.0" encoding="utf-8"?>
<sst xmlns="http://schemas.openxmlformats.org/spreadsheetml/2006/main" count="76" uniqueCount="41">
  <si>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</si>
  <si>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</si>
  <si>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</si>
  <si>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</si>
  <si>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</si>
  <si>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</si>
  <si>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</si>
  <si>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mixed glass</t>
  </si>
  <si>
    <t>Total cost mixed glass</t>
  </si>
  <si>
    <t>Total (per Unit) e waste</t>
  </si>
  <si>
    <t>Total cost e waste</t>
  </si>
  <si>
    <t>Total (per Unit) leftover food</t>
  </si>
  <si>
    <t>Total cost leftover food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</si>
  <si>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</si>
  <si>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</si>
  <si>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</si>
  <si>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</si>
  <si>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</si>
  <si>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</si>
  <si>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building constructions</t>
  </si>
  <si>
    <t>Total cost building constructions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</si>
  <si>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</si>
  <si>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</si>
  <si>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</si>
  <si>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</si>
  <si>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</si>
  <si>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</si>
  <si>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biodegradable</t>
  </si>
  <si>
    <t>Total cost biodegradable</t>
  </si>
  <si>
    <t>Total (per Unit) green landscaping waste</t>
  </si>
  <si>
    <t>Total cost green landscaping waste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</si>
  <si>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</si>
  <si>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</si>
  <si>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</si>
  <si>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</si>
  <si>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hazardous waste</t>
  </si>
  <si>
    <t>Total cost hazardous waste</t>
  </si>
  <si>
    <t>Total (per Unit) hazardous and universal waste</t>
  </si>
  <si>
    <t>Total cost hazardous and universal waste</t>
  </si>
  <si>
    <t>O ahu at Ko Olina</t>
  </si>
  <si>
    <t>2000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</si>
</sst>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44" fontId="1" fillId="0" borderId="0" xfId="1" applyFont="1" applyFill="1"/>
    <xf numFmtId="44" fontId="0" fillId="0" borderId="0" xfId="1" applyFont="1" applyFill="1"/>
    <xf numFmtId="0" fontId="0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7"/>
  <sheetViews>
    <sheetView tabSelected="1" workbookViewId="0">
      <pane xSplit="3" ySplit="1" topLeftCell="P2" activePane="bottomRight" state="frozen"/>
      <selection pane="topRight" activeCell="D1" sqref="D1"/>
      <selection pane="bottomLeft" activeCell="A2" sqref="A2"/>
      <selection pane="bottomRight" activeCell="Q33" sqref="Q33"/>
    </sheetView>
  </sheetViews>
  <sheetFormatPr defaultRowHeight="15" x14ac:dyDescent="0.25"/>
  <cols>
    <col min="1" max="1" width="15.28515625" bestFit="1" customWidth="1"/>
    <col min="2" max="3" width="8.42578125" customWidth="1"/>
    <col min="4" max="32" width="25.7109375" style="4" customWidth="1"/>
    <col min="33" max="33" width="25.7109375" style="6" customWidth="1"/>
    <col min="34" max="34" width="25.7109375" style="4" customWidth="1"/>
    <col min="35" max="35" width="25.7109375" style="6" customWidth="1"/>
    <col min="36" max="38" width="25.7109375" style="4" customWidth="1"/>
    <col min="39" max="39" width="25.7109375" style="6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5" t="s">
        <v>32</v>
      </c>
      <c r="AH1" s="3" t="s">
        <v>33</v>
      </c>
      <c r="AI1" s="5" t="s">
        <v>34</v>
      </c>
      <c r="AJ1" s="3" t="s">
        <v>35</v>
      </c>
      <c r="AK1" s="3" t="s">
        <v>36</v>
      </c>
      <c r="AL1" s="3" t="s">
        <v>37</v>
      </c>
      <c r="AM1" s="5" t="s">
        <v>38</v>
      </c>
    </row>
    <row r="2" spans="1:39" x14ac:dyDescent="0.25">
      <c r="A2" t="s">
        <v>39</v>
      </c>
      <c r="B2" s="1">
        <v>1</v>
      </c>
      <c r="C2" s="7">
        <v>2020</v>
      </c>
      <c r="D2" s="3"/>
      <c r="E2" s="3"/>
      <c r="F2" s="3"/>
      <c r="G2" s="3"/>
      <c r="H2" s="3"/>
      <c r="I2" s="3"/>
      <c r="J2" s="3"/>
      <c r="K2" s="3"/>
      <c r="L2" s="3"/>
      <c r="M2" s="3"/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1</v>
      </c>
      <c r="AE2" s="3">
        <v>1499.72</v>
      </c>
      <c r="AF2" s="3">
        <v>170</v>
      </c>
      <c r="AG2" s="5">
        <v>4481.67</v>
      </c>
      <c r="AH2" s="3">
        <v>65.319999999999993</v>
      </c>
      <c r="AI2" s="5">
        <v>12057.46</v>
      </c>
      <c r="AJ2" s="3"/>
      <c r="AK2" s="3"/>
      <c r="AL2" s="3"/>
      <c r="AM2" s="5"/>
    </row>
    <row r="3" spans="1:39" x14ac:dyDescent="0.25">
      <c r="A3" t="s">
        <v>39</v>
      </c>
      <c r="B3" s="1">
        <v>2</v>
      </c>
      <c r="C3" s="7">
        <v>2020</v>
      </c>
      <c r="D3" s="3"/>
      <c r="E3" s="3"/>
      <c r="F3" s="3"/>
      <c r="G3" s="3"/>
      <c r="H3" s="3"/>
      <c r="I3" s="3"/>
      <c r="J3" s="3"/>
      <c r="K3" s="3"/>
      <c r="L3" s="3"/>
      <c r="M3" s="3"/>
      <c r="N3" s="3">
        <v>12500</v>
      </c>
      <c r="O3" s="3">
        <v>8770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1</v>
      </c>
      <c r="AE3" s="3">
        <v>1224.72</v>
      </c>
      <c r="AF3" s="3">
        <v>156</v>
      </c>
      <c r="AG3" s="5">
        <v>4900.5200000000004</v>
      </c>
      <c r="AH3" s="3">
        <v>58.01</v>
      </c>
      <c r="AI3" s="5">
        <v>8308.5400000000009</v>
      </c>
      <c r="AJ3" s="3"/>
      <c r="AK3" s="3"/>
      <c r="AL3" s="3"/>
      <c r="AM3" s="5"/>
    </row>
    <row r="4" spans="1:39" x14ac:dyDescent="0.25">
      <c r="A4" t="s">
        <v>39</v>
      </c>
      <c r="B4" s="1">
        <v>3</v>
      </c>
      <c r="C4" s="7">
        <v>2020</v>
      </c>
      <c r="D4" s="3"/>
      <c r="E4" s="3"/>
      <c r="F4" s="3"/>
      <c r="G4" s="3"/>
      <c r="H4" s="3"/>
      <c r="I4" s="3"/>
      <c r="J4" s="3"/>
      <c r="K4" s="3"/>
      <c r="L4" s="3"/>
      <c r="M4" s="3"/>
      <c r="N4" s="3">
        <v>4500</v>
      </c>
      <c r="O4" s="3">
        <v>292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0</v>
      </c>
      <c r="AE4" s="3">
        <v>0</v>
      </c>
      <c r="AF4" s="3">
        <v>135</v>
      </c>
      <c r="AG4" s="5">
        <v>4240.84</v>
      </c>
      <c r="AH4" s="3">
        <v>40.369999999999997</v>
      </c>
      <c r="AI4" s="5">
        <v>7521.17</v>
      </c>
      <c r="AJ4" s="3"/>
      <c r="AK4" s="3"/>
      <c r="AL4" s="3"/>
      <c r="AM4" s="5"/>
    </row>
    <row r="5" spans="1:39" x14ac:dyDescent="0.25">
      <c r="A5" t="s">
        <v>39</v>
      </c>
      <c r="B5" s="1">
        <v>4</v>
      </c>
      <c r="C5" s="7">
        <v>2020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>
        <v>1224.72</v>
      </c>
      <c r="AF5" s="3">
        <v>0</v>
      </c>
      <c r="AG5" s="5">
        <v>41.88</v>
      </c>
      <c r="AH5" s="3">
        <v>0.89</v>
      </c>
      <c r="AI5" s="5">
        <v>2901.39</v>
      </c>
      <c r="AJ5" s="3"/>
      <c r="AK5" s="3"/>
      <c r="AL5" s="3"/>
      <c r="AM5" s="5"/>
    </row>
    <row r="6" spans="1:39" x14ac:dyDescent="0.25">
      <c r="A6" t="s">
        <v>39</v>
      </c>
      <c r="B6" s="1">
        <v>5</v>
      </c>
      <c r="C6" s="7">
        <v>2020</v>
      </c>
      <c r="D6" s="3"/>
      <c r="E6" s="3"/>
      <c r="F6" s="3"/>
      <c r="G6" s="3"/>
      <c r="H6" s="3"/>
      <c r="I6" s="3"/>
      <c r="J6" s="3"/>
      <c r="K6" s="3"/>
      <c r="L6" s="3"/>
      <c r="M6" s="3"/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0</v>
      </c>
      <c r="AE6" s="3">
        <v>0</v>
      </c>
      <c r="AF6" s="3">
        <v>0</v>
      </c>
      <c r="AG6" s="5">
        <v>41.88</v>
      </c>
      <c r="AH6" s="3">
        <v>0.55000000000000004</v>
      </c>
      <c r="AI6" s="5">
        <v>2486.4</v>
      </c>
      <c r="AJ6" s="3"/>
      <c r="AK6" s="3"/>
      <c r="AL6" s="3"/>
      <c r="AM6" s="5"/>
    </row>
    <row r="7" spans="1:39" x14ac:dyDescent="0.25">
      <c r="A7" t="s">
        <v>39</v>
      </c>
      <c r="B7" s="1">
        <v>6</v>
      </c>
      <c r="C7" s="7">
        <v>2020</v>
      </c>
      <c r="D7" s="3"/>
      <c r="E7" s="3"/>
      <c r="F7" s="3"/>
      <c r="G7" s="3"/>
      <c r="H7" s="3"/>
      <c r="I7" s="3"/>
      <c r="J7" s="3"/>
      <c r="K7" s="3"/>
      <c r="L7" s="3"/>
      <c r="M7" s="3"/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</v>
      </c>
      <c r="AE7" s="3">
        <v>1250.3599999999999</v>
      </c>
      <c r="AF7" s="3">
        <v>0</v>
      </c>
      <c r="AG7" s="5">
        <v>41.88</v>
      </c>
      <c r="AH7" s="3">
        <v>0.55000000000000004</v>
      </c>
      <c r="AI7" s="5">
        <v>2547.16</v>
      </c>
      <c r="AJ7" s="3"/>
      <c r="AK7" s="3"/>
      <c r="AL7" s="3"/>
      <c r="AM7" s="5"/>
    </row>
    <row r="8" spans="1:39" x14ac:dyDescent="0.25">
      <c r="A8" t="s">
        <v>39</v>
      </c>
      <c r="B8" s="1">
        <v>7</v>
      </c>
      <c r="C8" s="7">
        <v>2020</v>
      </c>
      <c r="D8" s="3"/>
      <c r="E8" s="3"/>
      <c r="F8" s="3"/>
      <c r="G8" s="3"/>
      <c r="H8" s="3"/>
      <c r="I8" s="3"/>
      <c r="J8" s="3"/>
      <c r="K8" s="3"/>
      <c r="L8" s="3"/>
      <c r="M8" s="3"/>
      <c r="N8" s="3">
        <v>0</v>
      </c>
      <c r="O8" s="3">
        <v>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0</v>
      </c>
      <c r="AE8" s="3">
        <v>0</v>
      </c>
      <c r="AF8" s="3">
        <v>0</v>
      </c>
      <c r="AG8" s="5">
        <v>41.88</v>
      </c>
      <c r="AH8" s="3">
        <v>0.33</v>
      </c>
      <c r="AI8" s="5">
        <v>2901.39</v>
      </c>
      <c r="AJ8" s="3"/>
      <c r="AK8" s="3"/>
      <c r="AL8" s="3"/>
      <c r="AM8" s="5"/>
    </row>
    <row r="9" spans="1:39" x14ac:dyDescent="0.25">
      <c r="A9" t="s">
        <v>39</v>
      </c>
      <c r="B9" s="1">
        <v>8</v>
      </c>
      <c r="C9" s="7">
        <v>2020</v>
      </c>
      <c r="D9" s="3"/>
      <c r="E9" s="3"/>
      <c r="F9" s="3"/>
      <c r="G9" s="3"/>
      <c r="H9" s="3"/>
      <c r="I9" s="3"/>
      <c r="J9" s="3"/>
      <c r="K9" s="3"/>
      <c r="L9" s="3"/>
      <c r="M9" s="3"/>
      <c r="N9" s="3">
        <v>0</v>
      </c>
      <c r="O9" s="3">
        <v>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1</v>
      </c>
      <c r="AE9" s="3">
        <v>1405.36</v>
      </c>
      <c r="AF9" s="3">
        <v>0</v>
      </c>
      <c r="AG9" s="5">
        <v>41.88</v>
      </c>
      <c r="AH9" s="3">
        <v>4.07</v>
      </c>
      <c r="AI9" s="5">
        <v>3100.43</v>
      </c>
      <c r="AJ9" s="3"/>
      <c r="AK9" s="3"/>
      <c r="AL9" s="3"/>
      <c r="AM9" s="5"/>
    </row>
    <row r="10" spans="1:39" x14ac:dyDescent="0.25">
      <c r="A10" t="s">
        <v>39</v>
      </c>
      <c r="B10" s="1">
        <v>9</v>
      </c>
      <c r="C10" s="7">
        <v>2020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0</v>
      </c>
      <c r="O10" s="3">
        <v>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0</v>
      </c>
      <c r="AE10" s="3">
        <v>0</v>
      </c>
      <c r="AF10" s="3">
        <v>0</v>
      </c>
      <c r="AG10" s="5">
        <v>41.88</v>
      </c>
      <c r="AH10" s="3">
        <v>0.64</v>
      </c>
      <c r="AI10" s="5">
        <v>2901.39</v>
      </c>
      <c r="AJ10" s="3"/>
      <c r="AK10" s="3"/>
      <c r="AL10" s="3"/>
      <c r="AM10" s="5"/>
    </row>
    <row r="11" spans="1:39" x14ac:dyDescent="0.25">
      <c r="A11" t="s">
        <v>39</v>
      </c>
      <c r="B11" s="1">
        <v>10</v>
      </c>
      <c r="C11" s="7">
        <v>2020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>
        <v>1434.14</v>
      </c>
      <c r="AF11" s="3">
        <v>0</v>
      </c>
      <c r="AG11" s="5">
        <v>41.88</v>
      </c>
      <c r="AH11" s="3">
        <v>1.1200000000000001</v>
      </c>
      <c r="AI11" s="5">
        <v>2486.4</v>
      </c>
      <c r="AJ11" s="3"/>
      <c r="AK11" s="3"/>
      <c r="AL11" s="3"/>
      <c r="AM11" s="5"/>
    </row>
    <row r="12" spans="1:39" x14ac:dyDescent="0.25">
      <c r="A12" t="s">
        <v>39</v>
      </c>
      <c r="B12" s="1">
        <v>11</v>
      </c>
      <c r="C12" s="7">
        <v>2020</v>
      </c>
      <c r="D12" s="3"/>
      <c r="E12" s="3"/>
      <c r="F12" s="3"/>
      <c r="G12" s="3"/>
      <c r="H12" s="3"/>
      <c r="I12" s="3"/>
      <c r="J12" s="3">
        <v>27</v>
      </c>
      <c r="K12" s="3">
        <v>539.26</v>
      </c>
      <c r="L12" s="3"/>
      <c r="M12" s="3"/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>
        <v>1224.72</v>
      </c>
      <c r="AF12" s="3">
        <v>0</v>
      </c>
      <c r="AG12" s="5">
        <v>41.88</v>
      </c>
      <c r="AH12" s="3">
        <v>1.35</v>
      </c>
      <c r="AI12" s="5">
        <v>2486.4</v>
      </c>
      <c r="AJ12" s="3"/>
      <c r="AK12" s="3"/>
      <c r="AL12" s="3">
        <v>75</v>
      </c>
      <c r="AM12" s="5">
        <v>4738.21</v>
      </c>
    </row>
    <row r="13" spans="1:39" x14ac:dyDescent="0.25">
      <c r="A13" t="s">
        <v>39</v>
      </c>
      <c r="B13" s="1">
        <v>12</v>
      </c>
      <c r="C13" s="7">
        <v>2020</v>
      </c>
      <c r="D13" s="3"/>
      <c r="E13" s="3"/>
      <c r="F13" s="3"/>
      <c r="G13" s="3"/>
      <c r="H13" s="3"/>
      <c r="I13" s="3"/>
      <c r="J13" s="3">
        <v>1</v>
      </c>
      <c r="K13" s="3">
        <v>5234.97</v>
      </c>
      <c r="L13" s="3"/>
      <c r="M13" s="3"/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1</v>
      </c>
      <c r="AE13" s="3">
        <v>1254.75</v>
      </c>
      <c r="AF13" s="3">
        <v>0</v>
      </c>
      <c r="AG13" s="5">
        <v>41.88</v>
      </c>
      <c r="AH13" s="3">
        <v>6.51</v>
      </c>
      <c r="AI13" s="5">
        <v>3227.53</v>
      </c>
      <c r="AJ13" s="3"/>
      <c r="AK13" s="3"/>
      <c r="AL13" s="3">
        <v>64.95</v>
      </c>
      <c r="AM13" s="5">
        <v>5167.53</v>
      </c>
    </row>
    <row r="14" spans="1:39" x14ac:dyDescent="0.25">
      <c r="A14" t="s">
        <v>39</v>
      </c>
      <c r="B14" s="1">
        <v>1</v>
      </c>
      <c r="C14" s="7">
        <v>2021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v>0</v>
      </c>
      <c r="O14" s="3"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7</v>
      </c>
      <c r="AE14" s="3">
        <v>9039.01</v>
      </c>
      <c r="AF14" s="3">
        <v>0</v>
      </c>
      <c r="AG14" s="5">
        <v>41.88</v>
      </c>
      <c r="AH14" s="3">
        <v>3.15</v>
      </c>
      <c r="AI14" s="5">
        <v>2535.04</v>
      </c>
      <c r="AJ14" s="3"/>
      <c r="AK14" s="3"/>
      <c r="AL14" s="3"/>
      <c r="AM14" s="5"/>
    </row>
    <row r="15" spans="1:39" x14ac:dyDescent="0.25">
      <c r="A15" t="s">
        <v>39</v>
      </c>
      <c r="B15" s="1">
        <v>2</v>
      </c>
      <c r="C15" s="7">
        <v>2021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0</v>
      </c>
      <c r="O15" s="3">
        <v>0</v>
      </c>
      <c r="P15" s="3">
        <v>8</v>
      </c>
      <c r="Q15" s="3">
        <v>523.55999999999995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2</v>
      </c>
      <c r="AE15" s="3">
        <v>2449.44</v>
      </c>
      <c r="AF15" s="3">
        <v>9</v>
      </c>
      <c r="AG15" s="5">
        <v>324.61</v>
      </c>
      <c r="AH15" s="3">
        <v>8.25</v>
      </c>
      <c r="AI15" s="5">
        <v>3043.32</v>
      </c>
      <c r="AJ15" s="3"/>
      <c r="AK15" s="3"/>
      <c r="AL15" s="3">
        <v>81</v>
      </c>
      <c r="AM15" s="5">
        <f>742.41+790.57</f>
        <v>1532.98</v>
      </c>
    </row>
    <row r="16" spans="1:39" x14ac:dyDescent="0.25">
      <c r="A16" t="s">
        <v>39</v>
      </c>
      <c r="B16" s="1">
        <v>3</v>
      </c>
      <c r="C16" s="7">
        <v>2021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4500</v>
      </c>
      <c r="O16" s="3">
        <v>2592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2</v>
      </c>
      <c r="AE16" s="3">
        <v>3663.1</v>
      </c>
      <c r="AF16" s="3">
        <v>79</v>
      </c>
      <c r="AG16" s="5">
        <v>2481.67</v>
      </c>
      <c r="AH16" s="3">
        <v>31.71</v>
      </c>
      <c r="AI16" s="5">
        <v>6932.22</v>
      </c>
      <c r="AJ16" s="3"/>
      <c r="AK16" s="3"/>
      <c r="AL16" s="3"/>
      <c r="AM16" s="5"/>
    </row>
    <row r="17" spans="1:39" x14ac:dyDescent="0.25">
      <c r="A17" t="s">
        <v>39</v>
      </c>
      <c r="B17" s="1">
        <v>4</v>
      </c>
      <c r="C17" s="7">
        <v>2021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0</v>
      </c>
      <c r="AE17" s="3">
        <v>0</v>
      </c>
      <c r="AF17" s="3">
        <v>76</v>
      </c>
      <c r="AG17" s="5">
        <v>2387.4299999999998</v>
      </c>
      <c r="AH17" s="3">
        <v>41.96</v>
      </c>
      <c r="AI17" s="5">
        <v>10038.969999999999</v>
      </c>
      <c r="AJ17" s="3"/>
      <c r="AK17" s="3"/>
      <c r="AL17" s="3"/>
      <c r="AM17" s="5"/>
    </row>
    <row r="18" spans="1:39" x14ac:dyDescent="0.25">
      <c r="A18" t="s">
        <v>39</v>
      </c>
      <c r="B18" s="1">
        <v>5</v>
      </c>
      <c r="C18" s="7">
        <v>2021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3.45</v>
      </c>
      <c r="AE18" s="3">
        <v>2101.86</v>
      </c>
      <c r="AF18" s="3">
        <v>86</v>
      </c>
      <c r="AG18" s="5">
        <v>2701.57</v>
      </c>
      <c r="AH18" s="3">
        <v>38.21</v>
      </c>
      <c r="AI18" s="5">
        <v>9299.75</v>
      </c>
      <c r="AJ18" s="3"/>
      <c r="AK18" s="3"/>
      <c r="AL18" s="3">
        <v>9.3800000000000008</v>
      </c>
      <c r="AM18" s="5">
        <v>603.14</v>
      </c>
    </row>
    <row r="19" spans="1:39" x14ac:dyDescent="0.25">
      <c r="A19" t="s">
        <v>39</v>
      </c>
      <c r="B19" s="1">
        <v>6</v>
      </c>
      <c r="C19" s="7">
        <v>2021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2</v>
      </c>
      <c r="AE19" s="3">
        <v>2449.44</v>
      </c>
      <c r="AF19" s="3">
        <v>94</v>
      </c>
      <c r="AG19" s="5">
        <v>2921.46</v>
      </c>
      <c r="AH19" s="3">
        <v>40.07</v>
      </c>
      <c r="AI19" s="5">
        <v>9859.0300000000007</v>
      </c>
      <c r="AJ19" s="3"/>
      <c r="AK19" s="3"/>
      <c r="AL19" s="3">
        <v>30</v>
      </c>
      <c r="AM19" s="5">
        <v>1581.15</v>
      </c>
    </row>
    <row r="20" spans="1:39" x14ac:dyDescent="0.25">
      <c r="A20" t="s">
        <v>39</v>
      </c>
      <c r="B20" s="1">
        <v>7</v>
      </c>
      <c r="C20" s="7">
        <v>2021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v>3000</v>
      </c>
      <c r="O20" s="3">
        <v>1728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0</v>
      </c>
      <c r="AE20" s="3">
        <v>0</v>
      </c>
      <c r="AF20" s="3">
        <v>124</v>
      </c>
      <c r="AG20" s="5">
        <v>3895.29</v>
      </c>
      <c r="AH20" s="3">
        <v>48.03</v>
      </c>
      <c r="AI20" s="5">
        <v>9487.52</v>
      </c>
      <c r="AJ20" s="3"/>
      <c r="AK20" s="3"/>
      <c r="AL20" s="3"/>
      <c r="AM20" s="5"/>
    </row>
    <row r="21" spans="1:39" x14ac:dyDescent="0.25">
      <c r="A21" t="s">
        <v>39</v>
      </c>
      <c r="B21" s="1">
        <v>8</v>
      </c>
      <c r="C21" s="7">
        <v>2021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1</v>
      </c>
      <c r="AE21" s="3">
        <v>1224.72</v>
      </c>
      <c r="AF21" s="3">
        <v>126</v>
      </c>
      <c r="AG21" s="5">
        <v>3958.11</v>
      </c>
      <c r="AH21" s="3">
        <v>60.43</v>
      </c>
      <c r="AI21" s="5">
        <v>13690.21</v>
      </c>
      <c r="AJ21" s="3"/>
      <c r="AK21" s="3"/>
      <c r="AL21" s="3"/>
      <c r="AM21" s="5"/>
    </row>
    <row r="22" spans="1:39" x14ac:dyDescent="0.25">
      <c r="A22" t="s">
        <v>39</v>
      </c>
      <c r="B22" s="1">
        <v>9</v>
      </c>
      <c r="C22" s="7">
        <v>2021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>
        <v>1500</v>
      </c>
      <c r="O22" s="3">
        <v>864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>
        <v>1224.72</v>
      </c>
      <c r="AF22" s="3">
        <v>86</v>
      </c>
      <c r="AG22" s="5">
        <v>2701.57</v>
      </c>
      <c r="AH22" s="3">
        <v>34.67</v>
      </c>
      <c r="AI22" s="5">
        <v>8780.9</v>
      </c>
      <c r="AJ22" s="3"/>
      <c r="AK22" s="3"/>
      <c r="AL22" s="3"/>
      <c r="AM22" s="5"/>
    </row>
    <row r="23" spans="1:39" x14ac:dyDescent="0.25">
      <c r="A23" t="s">
        <v>39</v>
      </c>
      <c r="B23" s="1">
        <v>10</v>
      </c>
      <c r="C23" s="7">
        <v>2021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0</v>
      </c>
      <c r="AE23" s="3">
        <v>0</v>
      </c>
      <c r="AF23" s="3">
        <v>93</v>
      </c>
      <c r="AG23" s="5">
        <v>2921.46</v>
      </c>
      <c r="AH23" s="3">
        <v>31.85</v>
      </c>
      <c r="AI23" s="5">
        <v>7755.83</v>
      </c>
      <c r="AJ23" s="3"/>
      <c r="AK23" s="3"/>
      <c r="AL23" s="3"/>
      <c r="AM23" s="5"/>
    </row>
    <row r="24" spans="1:39" x14ac:dyDescent="0.25">
      <c r="A24" t="s">
        <v>39</v>
      </c>
      <c r="B24" s="1">
        <v>11</v>
      </c>
      <c r="C24" s="7">
        <v>2021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>
        <v>4500</v>
      </c>
      <c r="O24" s="3">
        <v>2592</v>
      </c>
      <c r="P24" s="3">
        <v>2</v>
      </c>
      <c r="Q24" s="3">
        <v>52.36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5.52</v>
      </c>
      <c r="AE24" s="3">
        <v>2101.86</v>
      </c>
      <c r="AF24" s="3">
        <v>168</v>
      </c>
      <c r="AG24" s="5">
        <v>5277.48</v>
      </c>
      <c r="AH24" s="3">
        <v>55.67</v>
      </c>
      <c r="AI24" s="5">
        <v>10216.049999999999</v>
      </c>
      <c r="AJ24" s="3"/>
      <c r="AK24" s="3"/>
      <c r="AL24" s="3">
        <f>19.95+18</f>
        <v>37.950000000000003</v>
      </c>
      <c r="AM24" s="5">
        <f>1214.65</f>
        <v>1214.6500000000001</v>
      </c>
    </row>
    <row r="25" spans="1:39" x14ac:dyDescent="0.25">
      <c r="A25" t="s">
        <v>39</v>
      </c>
      <c r="B25" s="1">
        <v>12</v>
      </c>
      <c r="C25" s="7">
        <v>2021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>
        <v>1500</v>
      </c>
      <c r="O25" s="3">
        <v>864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>
        <v>1224.72</v>
      </c>
      <c r="AF25" s="3">
        <v>164</v>
      </c>
      <c r="AG25" s="5">
        <v>5151.83</v>
      </c>
      <c r="AH25" s="3">
        <v>53.89</v>
      </c>
      <c r="AI25" s="5">
        <v>11041.09</v>
      </c>
      <c r="AJ25" s="3"/>
      <c r="AK25" s="3"/>
      <c r="AL25" s="3"/>
      <c r="AM25" s="5"/>
    </row>
    <row r="26" spans="1:39" x14ac:dyDescent="0.25">
      <c r="A26" t="s">
        <v>39</v>
      </c>
      <c r="B26" s="1">
        <v>1</v>
      </c>
      <c r="C26" s="1">
        <v>2022</v>
      </c>
      <c r="F26" s="4">
        <v>4080</v>
      </c>
      <c r="H26" s="4">
        <v>6750</v>
      </c>
      <c r="N26" s="4">
        <v>0</v>
      </c>
      <c r="O26" s="4">
        <v>0</v>
      </c>
      <c r="AD26" s="4">
        <v>5</v>
      </c>
      <c r="AE26" s="4">
        <v>6333.02</v>
      </c>
      <c r="AF26" s="4">
        <v>134</v>
      </c>
      <c r="AG26" s="6">
        <v>4209.42</v>
      </c>
      <c r="AH26" s="4">
        <v>46.19</v>
      </c>
      <c r="AI26" s="6">
        <v>10222.99</v>
      </c>
    </row>
    <row r="27" spans="1:39" x14ac:dyDescent="0.25">
      <c r="A27" t="s">
        <v>39</v>
      </c>
      <c r="B27" s="1">
        <v>2</v>
      </c>
      <c r="C27" s="1">
        <v>2022</v>
      </c>
      <c r="F27" s="4">
        <v>4320</v>
      </c>
      <c r="H27" s="4">
        <v>5700</v>
      </c>
      <c r="N27" s="4">
        <v>0</v>
      </c>
      <c r="O27" s="4">
        <v>0</v>
      </c>
      <c r="AD27" s="4">
        <v>2</v>
      </c>
      <c r="AE27" s="4">
        <v>2449.44</v>
      </c>
      <c r="AF27" s="4">
        <v>133</v>
      </c>
      <c r="AG27" s="6">
        <v>4178.01</v>
      </c>
      <c r="AH27" s="4">
        <v>47.21</v>
      </c>
      <c r="AI27" s="6">
        <v>9219.59</v>
      </c>
    </row>
    <row r="28" spans="1:39" x14ac:dyDescent="0.25">
      <c r="A28" t="s">
        <v>39</v>
      </c>
      <c r="B28" s="1">
        <v>3</v>
      </c>
      <c r="C28" s="1">
        <v>2022</v>
      </c>
      <c r="J28" s="4" t="s">
        <v>40</v>
      </c>
      <c r="K28" s="4">
        <v>2415</v>
      </c>
      <c r="N28" s="4">
        <v>4500</v>
      </c>
      <c r="O28" s="4">
        <v>2591.62</v>
      </c>
      <c r="P28" s="4">
        <v>44</v>
      </c>
      <c r="Q28" s="4">
        <v>22964.73</v>
      </c>
      <c r="AD28" s="4">
        <v>1</v>
      </c>
      <c r="AE28" s="4">
        <v>122472</v>
      </c>
      <c r="AF28" s="4">
        <v>129</v>
      </c>
      <c r="AG28" s="6">
        <v>4052.35</v>
      </c>
      <c r="AH28" s="4">
        <v>48.36</v>
      </c>
      <c r="AI28" s="6">
        <v>9936.09</v>
      </c>
    </row>
    <row r="29" spans="1:39" x14ac:dyDescent="0.25">
      <c r="A29" t="s">
        <v>39</v>
      </c>
      <c r="B29" s="1">
        <v>4</v>
      </c>
      <c r="C29" s="1">
        <v>2022</v>
      </c>
      <c r="N29" s="4">
        <v>0</v>
      </c>
      <c r="O29" s="4">
        <v>0</v>
      </c>
      <c r="AD29" s="4">
        <v>0</v>
      </c>
      <c r="AE29" s="4">
        <v>0</v>
      </c>
      <c r="AF29" s="4">
        <v>154</v>
      </c>
      <c r="AG29" s="6">
        <v>4837.6899999999996</v>
      </c>
      <c r="AH29" s="4">
        <v>58.05</v>
      </c>
      <c r="AI29" s="6">
        <v>10584.13</v>
      </c>
    </row>
    <row r="30" spans="1:39" x14ac:dyDescent="0.25">
      <c r="A30" t="s">
        <v>39</v>
      </c>
      <c r="B30" s="1">
        <v>5</v>
      </c>
      <c r="C30" s="1">
        <v>2022</v>
      </c>
      <c r="N30" s="4">
        <v>1500</v>
      </c>
      <c r="O30" s="4">
        <v>863.87</v>
      </c>
      <c r="AD30" s="4">
        <v>4</v>
      </c>
      <c r="AE30" s="4">
        <v>5108.3</v>
      </c>
      <c r="AF30" s="4">
        <v>189</v>
      </c>
      <c r="AG30" s="6">
        <v>5937.17</v>
      </c>
      <c r="AH30" s="4">
        <v>66.91</v>
      </c>
      <c r="AI30" s="6">
        <v>11476.41</v>
      </c>
    </row>
    <row r="31" spans="1:39" x14ac:dyDescent="0.25">
      <c r="A31" t="s">
        <v>39</v>
      </c>
      <c r="B31" s="1">
        <v>6</v>
      </c>
      <c r="C31" s="1">
        <v>2022</v>
      </c>
      <c r="N31" s="4">
        <v>3000</v>
      </c>
      <c r="O31" s="4">
        <v>1727.75</v>
      </c>
      <c r="AD31" s="4">
        <v>3</v>
      </c>
      <c r="AE31" s="4">
        <v>3674.16</v>
      </c>
      <c r="AF31" s="4">
        <v>160</v>
      </c>
      <c r="AG31" s="6">
        <v>5531.93</v>
      </c>
      <c r="AH31" s="4">
        <v>64.36</v>
      </c>
      <c r="AI31" s="6">
        <v>11390.31</v>
      </c>
      <c r="AL31" s="4">
        <v>27</v>
      </c>
      <c r="AM31" s="6">
        <v>1532.97</v>
      </c>
    </row>
    <row r="32" spans="1:39" x14ac:dyDescent="0.25">
      <c r="A32" t="s">
        <v>39</v>
      </c>
      <c r="B32" s="1">
        <v>7</v>
      </c>
      <c r="C32" s="1">
        <v>2022</v>
      </c>
      <c r="N32" s="4">
        <v>1500</v>
      </c>
      <c r="O32" s="4">
        <v>863.87</v>
      </c>
      <c r="P32" s="4">
        <v>2</v>
      </c>
      <c r="Q32" s="4">
        <v>73.290000000000006</v>
      </c>
      <c r="AD32" s="4">
        <v>2</v>
      </c>
      <c r="AE32" s="4">
        <v>2449.44</v>
      </c>
      <c r="AF32" s="4">
        <v>156</v>
      </c>
      <c r="AG32" s="6">
        <v>5952.88</v>
      </c>
      <c r="AH32" s="4">
        <v>55.65</v>
      </c>
      <c r="AI32" s="6">
        <v>11800.28</v>
      </c>
    </row>
    <row r="33" spans="1:39" x14ac:dyDescent="0.25">
      <c r="A33" t="s">
        <v>39</v>
      </c>
      <c r="B33" s="1">
        <v>8</v>
      </c>
      <c r="C33" s="1">
        <v>2022</v>
      </c>
      <c r="AL33" s="4">
        <f>18+15</f>
        <v>33</v>
      </c>
      <c r="AM33" s="6">
        <f>1105.75+945.53</f>
        <v>2051.2799999999997</v>
      </c>
    </row>
    <row r="34" spans="1:39" x14ac:dyDescent="0.25">
      <c r="A34" t="s">
        <v>39</v>
      </c>
      <c r="B34" s="1">
        <v>9</v>
      </c>
      <c r="C34" s="1">
        <v>2022</v>
      </c>
    </row>
    <row r="35" spans="1:39" x14ac:dyDescent="0.25">
      <c r="A35" t="s">
        <v>39</v>
      </c>
      <c r="B35" s="1">
        <v>10</v>
      </c>
      <c r="C35" s="1">
        <v>2022</v>
      </c>
    </row>
    <row r="36" spans="1:39" x14ac:dyDescent="0.25">
      <c r="A36" t="s">
        <v>39</v>
      </c>
      <c r="B36" s="1">
        <v>11</v>
      </c>
      <c r="C36" s="1">
        <v>2022</v>
      </c>
    </row>
    <row r="37" spans="1:39" x14ac:dyDescent="0.25">
      <c r="A37" t="s">
        <v>39</v>
      </c>
      <c r="B37" s="1">
        <v>12</v>
      </c>
      <c r="C37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Donna Canyon</cp:lastModifiedBy>
  <dcterms:created xsi:type="dcterms:W3CDTF">2022-01-28T13:49:17Z</dcterms:created>
  <dcterms:modified xsi:type="dcterms:W3CDTF">2022-09-07T04:57:49Z</dcterms:modified>
</cp:coreProperties>
</file>