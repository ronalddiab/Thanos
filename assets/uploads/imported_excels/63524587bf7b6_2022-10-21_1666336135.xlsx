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C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<sst xmlns="http://schemas.openxmlformats.org/spreadsheetml/2006/main" count="108" uniqueCount="33">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</sst>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f>Submetering!D2</f>
        <v>2022</v>
      </c>
      <c r="E2" s="20">
        <f>Submetering!E2</f>
        <v>8278.7999999999993</v>
      </c>
      <c r="F2" s="16">
        <v>0.12</v>
      </c>
      <c r="G2" s="20">
        <f>Submetering!F2+Submetering!G2</f>
        <v>372.39</v>
      </c>
      <c r="H2" s="16">
        <f>0.09793*10.7</f>
        <v>1.0478509999999999</v>
      </c>
      <c r="I2" s="20">
        <f>Submetering!J2+Submetering!I2+Submetering!H2</f>
        <v>97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f>Submetering!D3</f>
        <v>2022</v>
      </c>
      <c r="E3" s="20">
        <f>Submetering!E3</f>
        <v>8239.84</v>
      </c>
      <c r="F3" s="16">
        <v>0.12</v>
      </c>
      <c r="G3" s="20">
        <f>Submetering!F3+Submetering!G3</f>
        <v>265.52</v>
      </c>
      <c r="H3" s="16">
        <f>H2</f>
        <v>1.0478509999999999</v>
      </c>
      <c r="I3" s="20">
        <f>Submetering!J3+Submetering!I3+Submetering!H3</f>
        <v>91.85</v>
      </c>
      <c r="J3" s="16">
        <f>J2</f>
        <v>3.7390400000000001</v>
      </c>
      <c r="K3" s="20">
        <f>Submetering!K3</f>
        <v>79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f>Submetering!D4</f>
        <v>2022</v>
      </c>
      <c r="E4" s="20">
        <f>Submetering!E4</f>
        <v>8079.19</v>
      </c>
      <c r="F4" s="16">
        <v>0.12</v>
      </c>
      <c r="G4" s="20">
        <f>Submetering!F4+Submetering!G4</f>
        <v>283.40000000000003</v>
      </c>
      <c r="H4" s="16">
        <f t="shared" ref="H4:H32" si="2">H3</f>
        <v>1.0478509999999999</v>
      </c>
      <c r="I4" s="20">
        <f>Submetering!J4+Submetering!I4+Submetering!H4</f>
        <v>99.58</v>
      </c>
      <c r="J4" s="16">
        <f t="shared" ref="J4:J32" si="3">J3</f>
        <v>3.7390400000000001</v>
      </c>
      <c r="K4" s="20">
        <f>Submetering!K4</f>
        <v>94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f>Submetering!D5</f>
        <v>2022</v>
      </c>
      <c r="E5" s="20">
        <f>Submetering!E5</f>
        <v>8292.64</v>
      </c>
      <c r="F5" s="16">
        <v>0.12</v>
      </c>
      <c r="G5" s="20">
        <f>Submetering!F5+Submetering!G5</f>
        <v>272.88</v>
      </c>
      <c r="H5" s="16">
        <f t="shared" si="2"/>
        <v>1.0478509999999999</v>
      </c>
      <c r="I5" s="20">
        <f>Submetering!J5+Submetering!I5+Submetering!H5</f>
        <v>95.59</v>
      </c>
      <c r="J5" s="16">
        <f t="shared" si="3"/>
        <v>3.7390400000000001</v>
      </c>
      <c r="K5" s="20">
        <f>Submetering!K5</f>
        <v>82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f>Submetering!D6</f>
        <v>2022</v>
      </c>
      <c r="E6" s="20">
        <f>Submetering!E6</f>
        <v>8531.51</v>
      </c>
      <c r="F6" s="16">
        <v>0.12</v>
      </c>
      <c r="G6" s="20">
        <f>Submetering!F6+Submetering!G6</f>
        <v>222.6</v>
      </c>
      <c r="H6" s="16">
        <f t="shared" si="2"/>
        <v>1.0478509999999999</v>
      </c>
      <c r="I6" s="20">
        <f>Submetering!J6+Submetering!I6+Submetering!H6</f>
        <v>91.8</v>
      </c>
      <c r="J6" s="16">
        <f t="shared" si="3"/>
        <v>3.7390400000000001</v>
      </c>
      <c r="K6" s="20">
        <f>Submetering!K6</f>
        <v>98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f>Submetering!D7</f>
        <v>2022</v>
      </c>
      <c r="E7" s="20">
        <f>Submetering!E7</f>
        <v>8770.7999999999993</v>
      </c>
      <c r="F7" s="16">
        <v>0.12</v>
      </c>
      <c r="G7" s="20">
        <f>Submetering!F7+Submetering!G7</f>
        <v>223.29</v>
      </c>
      <c r="H7" s="16">
        <f t="shared" si="2"/>
        <v>1.0478509999999999</v>
      </c>
      <c r="I7" s="20">
        <f>Submetering!J7+Submetering!I7+Submetering!H7</f>
        <v>93.82</v>
      </c>
      <c r="J7" s="16">
        <f t="shared" si="3"/>
        <v>3.7390400000000001</v>
      </c>
      <c r="K7" s="20">
        <f>Submetering!K7</f>
        <v>98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f>Submetering!D8</f>
        <v>2022</v>
      </c>
      <c r="E8" s="20">
        <f>Submetering!E8</f>
        <v>8562.2999999999993</v>
      </c>
      <c r="F8" s="16">
        <v>0.12</v>
      </c>
      <c r="G8" s="20">
        <f>Submetering!F8+Submetering!G8</f>
        <v>229.48000000000002</v>
      </c>
      <c r="H8" s="16">
        <f t="shared" si="2"/>
        <v>1.0478509999999999</v>
      </c>
      <c r="I8" s="20">
        <f>Submetering!J8+Submetering!I8+Submetering!H8</f>
        <v>95.56</v>
      </c>
      <c r="J8" s="16">
        <f t="shared" si="3"/>
        <v>3.7390400000000001</v>
      </c>
      <c r="K8" s="20">
        <f>Submetering!K8</f>
        <v>100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f>Submetering!D9</f>
        <v>2022</v>
      </c>
      <c r="E9" s="20">
        <f>Submetering!E9</f>
        <v>8562.94</v>
      </c>
      <c r="F9" s="16">
        <v>0.12</v>
      </c>
      <c r="G9" s="20">
        <f>Submetering!F9+Submetering!G9</f>
        <v>238.95999999999998</v>
      </c>
      <c r="H9" s="16">
        <f t="shared" si="2"/>
        <v>1.0478509999999999</v>
      </c>
      <c r="I9" s="20">
        <f>Submetering!J9+Submetering!I9+Submetering!H9</f>
        <v>101.16</v>
      </c>
      <c r="J9" s="16">
        <f t="shared" si="3"/>
        <v>3.7390400000000001</v>
      </c>
      <c r="K9" s="20">
        <f>Submetering!K9</f>
        <v>106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f>Submetering!D10</f>
        <v>2022</v>
      </c>
      <c r="E10" s="20">
        <f>Submetering!E10</f>
        <v>7971.41</v>
      </c>
      <c r="F10" s="16">
        <v>0.12</v>
      </c>
      <c r="G10" s="20">
        <f>Submetering!F10+Submetering!G10</f>
        <v>269.69</v>
      </c>
      <c r="H10" s="16">
        <f t="shared" si="2"/>
        <v>1.0478509999999999</v>
      </c>
      <c r="I10" s="20">
        <f>Submetering!J10+Submetering!I10+Submetering!H10</f>
        <v>94.16</v>
      </c>
      <c r="J10" s="16">
        <f t="shared" si="3"/>
        <v>3.7390400000000001</v>
      </c>
      <c r="K10" s="20">
        <f>Submetering!K10</f>
        <v>95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f>Submetering!D11</f>
        <v>2022</v>
      </c>
      <c r="E11" s="20">
        <f>Submetering!E11</f>
        <v>8126.63</v>
      </c>
      <c r="F11" s="16">
        <v>0.12</v>
      </c>
      <c r="G11" s="20">
        <f>Submetering!F11+Submetering!G11</f>
        <v>244.53</v>
      </c>
      <c r="H11" s="16">
        <f t="shared" si="2"/>
        <v>1.0478509999999999</v>
      </c>
      <c r="I11" s="20">
        <f>Submetering!J11+Submetering!I11+Submetering!H11</f>
        <v>106.61</v>
      </c>
      <c r="J11" s="16">
        <f t="shared" si="3"/>
        <v>3.7390400000000001</v>
      </c>
      <c r="K11" s="20">
        <f>Submetering!K11</f>
        <v>95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f>Submetering!D12</f>
        <v>2022</v>
      </c>
      <c r="E12" s="20">
        <f>Submetering!E12</f>
        <v>8810.06</v>
      </c>
      <c r="F12" s="16">
        <v>0.12</v>
      </c>
      <c r="G12" s="20">
        <f>Submetering!F12+Submetering!G12</f>
        <v>174.1</v>
      </c>
      <c r="H12" s="16">
        <f t="shared" si="2"/>
        <v>1.0478509999999999</v>
      </c>
      <c r="I12" s="20">
        <f>Submetering!J12+Submetering!I12+Submetering!H12</f>
        <v>123.79</v>
      </c>
      <c r="J12" s="16">
        <f t="shared" si="3"/>
        <v>3.7390400000000001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f>Submetering!D13</f>
        <v>2022</v>
      </c>
      <c r="E13" s="20">
        <f>Submetering!E13</f>
        <v>8909.2099999999991</v>
      </c>
      <c r="F13" s="16">
        <v>0.12</v>
      </c>
      <c r="G13" s="20">
        <f>Submetering!F13+Submetering!G13</f>
        <v>250.57</v>
      </c>
      <c r="H13" s="16">
        <f t="shared" si="2"/>
        <v>1.0478509999999999</v>
      </c>
      <c r="I13" s="20">
        <f>Submetering!J13+Submetering!I13+Submetering!H13</f>
        <v>99.88</v>
      </c>
      <c r="J13" s="16">
        <f t="shared" si="3"/>
        <v>3.7390400000000001</v>
      </c>
      <c r="K13" s="20">
        <f>Submetering!K13</f>
        <v>98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f>Submetering!D14</f>
        <v>2022</v>
      </c>
      <c r="E14" s="20">
        <f>Submetering!E14</f>
        <v>8739.5300000000007</v>
      </c>
      <c r="F14" s="16">
        <v>0.12</v>
      </c>
      <c r="G14" s="20">
        <f>Submetering!F14+Submetering!G14</f>
        <v>256.64</v>
      </c>
      <c r="H14" s="16">
        <f t="shared" si="2"/>
        <v>1.0478509999999999</v>
      </c>
      <c r="I14" s="20">
        <f>Submetering!J14+Submetering!I14+Submetering!H14</f>
        <v>85.31</v>
      </c>
      <c r="J14" s="16">
        <f t="shared" si="3"/>
        <v>3.7390400000000001</v>
      </c>
      <c r="K14" s="20">
        <f>Submetering!K14</f>
        <v>76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f>Submetering!D15</f>
        <v>2022</v>
      </c>
      <c r="E15" s="20">
        <f>Submetering!E15</f>
        <v>8904.75</v>
      </c>
      <c r="F15" s="16">
        <v>0.12</v>
      </c>
      <c r="G15" s="20">
        <f>Submetering!F15+Submetering!G15</f>
        <v>254.41</v>
      </c>
      <c r="H15" s="16">
        <f t="shared" si="2"/>
        <v>1.0478509999999999</v>
      </c>
      <c r="I15" s="20">
        <f>Submetering!J15+Submetering!I15+Submetering!H15</f>
        <v>95.18</v>
      </c>
      <c r="J15" s="16">
        <f t="shared" si="3"/>
        <v>3.7390400000000001</v>
      </c>
      <c r="K15" s="20">
        <f>Submetering!K15</f>
        <v>75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f>Submetering!D16</f>
        <v>2022</v>
      </c>
      <c r="E16" s="20">
        <f>Submetering!E16</f>
        <v>8371.0499999999993</v>
      </c>
      <c r="F16" s="16">
        <v>0.12</v>
      </c>
      <c r="G16" s="20">
        <f>Submetering!F16+Submetering!G16</f>
        <v>195.78</v>
      </c>
      <c r="H16" s="16">
        <f t="shared" si="2"/>
        <v>1.0478509999999999</v>
      </c>
      <c r="I16" s="20">
        <f>Submetering!J16+Submetering!I16+Submetering!H16</f>
        <v>85.31</v>
      </c>
      <c r="J16" s="16">
        <f t="shared" si="3"/>
        <v>3.7390400000000001</v>
      </c>
      <c r="K16" s="20">
        <f>Submetering!K16</f>
        <v>70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f>Submetering!D17</f>
        <v>2022</v>
      </c>
      <c r="E17" s="20">
        <f>Submetering!E17</f>
        <v>8073</v>
      </c>
      <c r="F17" s="16">
        <v>0.12</v>
      </c>
      <c r="G17" s="20">
        <f>Submetering!F17+Submetering!G17</f>
        <v>182.49</v>
      </c>
      <c r="H17" s="16">
        <f t="shared" si="2"/>
        <v>1.0478509999999999</v>
      </c>
      <c r="I17" s="20">
        <f>Submetering!J17+Submetering!I17+Submetering!H17</f>
        <v>76.430000000000007</v>
      </c>
      <c r="J17" s="16">
        <f t="shared" si="3"/>
        <v>3.7390400000000001</v>
      </c>
      <c r="K17" s="20">
        <f>Submetering!K17</f>
        <v>74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f>Submetering!D18</f>
        <v>2022</v>
      </c>
      <c r="E18" s="20">
        <f>Submetering!E18</f>
        <v>8453.51</v>
      </c>
      <c r="F18" s="16">
        <v>0.12</v>
      </c>
      <c r="G18" s="20">
        <f>Submetering!F18+Submetering!G18</f>
        <v>200.96</v>
      </c>
      <c r="H18" s="16">
        <f t="shared" si="2"/>
        <v>1.0478509999999999</v>
      </c>
      <c r="I18" s="20">
        <f>Submetering!J18+Submetering!I18+Submetering!H18</f>
        <v>89.4</v>
      </c>
      <c r="J18" s="16">
        <f t="shared" si="3"/>
        <v>3.7390400000000001</v>
      </c>
      <c r="K18" s="20">
        <f>Submetering!K18</f>
        <v>79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f>Submetering!D19</f>
        <v>2022</v>
      </c>
      <c r="E19" s="20">
        <f>Submetering!E19</f>
        <v>8551.73</v>
      </c>
      <c r="F19" s="16">
        <v>0.12</v>
      </c>
      <c r="G19" s="20">
        <f>Submetering!F19+Submetering!G19</f>
        <v>228.33999999999997</v>
      </c>
      <c r="H19" s="16">
        <f t="shared" si="2"/>
        <v>1.0478509999999999</v>
      </c>
      <c r="I19" s="20">
        <f>Submetering!J19+Submetering!I19+Submetering!H19</f>
        <v>91.46</v>
      </c>
      <c r="J19" s="16">
        <f t="shared" si="3"/>
        <v>3.7390400000000001</v>
      </c>
      <c r="K19" s="20">
        <f>Submetering!K19</f>
        <v>103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f>Submetering!D20</f>
        <v>2022</v>
      </c>
      <c r="E20" s="20">
        <f>Submetering!E20</f>
        <v>8160.96</v>
      </c>
      <c r="F20" s="16">
        <v>0.12</v>
      </c>
      <c r="G20" s="20">
        <f>Submetering!F20+Submetering!G20</f>
        <v>272.45</v>
      </c>
      <c r="H20" s="16">
        <f t="shared" si="2"/>
        <v>1.0478509999999999</v>
      </c>
      <c r="I20" s="20">
        <f>Submetering!J20+Submetering!I20+Submetering!H20</f>
        <v>100.23</v>
      </c>
      <c r="J20" s="16">
        <f t="shared" si="3"/>
        <v>3.7390400000000001</v>
      </c>
      <c r="K20" s="20">
        <f>Submetering!K20</f>
        <v>81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J21" sqref="J2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10</v>
      </c>
      <c r="D2" s="40">
        <v>2022</v>
      </c>
      <c r="E2" s="37">
        <v>8278.7999999999993</v>
      </c>
      <c r="F2" s="37">
        <v>356.94</v>
      </c>
      <c r="G2" s="37">
        <v>15.45</v>
      </c>
      <c r="H2" s="37">
        <v>3.5</v>
      </c>
      <c r="I2" s="37">
        <v>31</v>
      </c>
      <c r="J2" s="37">
        <v>62.5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10</v>
      </c>
      <c r="D3" s="40">
        <f>D2</f>
        <v>2022</v>
      </c>
      <c r="E3" s="37">
        <v>8239.84</v>
      </c>
      <c r="F3" s="37">
        <v>251.81</v>
      </c>
      <c r="G3" s="37">
        <v>13.71</v>
      </c>
      <c r="H3" s="37">
        <v>1.97</v>
      </c>
      <c r="I3" s="37">
        <v>38.880000000000003</v>
      </c>
      <c r="J3" s="37">
        <v>51</v>
      </c>
      <c r="K3" s="42">
        <v>79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40">
        <f t="shared" ref="D4:D32" si="2">D3</f>
        <v>2022</v>
      </c>
      <c r="E4" s="37">
        <v>8079.19</v>
      </c>
      <c r="F4" s="37">
        <v>274.18</v>
      </c>
      <c r="G4" s="37">
        <v>9.2200000000000006</v>
      </c>
      <c r="H4" s="37">
        <v>6.08</v>
      </c>
      <c r="I4" s="37">
        <v>38</v>
      </c>
      <c r="J4" s="37">
        <v>55.5</v>
      </c>
      <c r="K4" s="42">
        <v>94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10</v>
      </c>
      <c r="D5" s="40">
        <f t="shared" si="2"/>
        <v>2022</v>
      </c>
      <c r="E5" s="37">
        <v>8292.64</v>
      </c>
      <c r="F5" s="37">
        <v>262.17</v>
      </c>
      <c r="G5" s="37">
        <v>10.71</v>
      </c>
      <c r="H5" s="37">
        <v>4.59</v>
      </c>
      <c r="I5" s="37">
        <v>30.5</v>
      </c>
      <c r="J5" s="37">
        <v>60.5</v>
      </c>
      <c r="K5" s="42">
        <v>82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10</v>
      </c>
      <c r="D6" s="40">
        <f t="shared" si="2"/>
        <v>2022</v>
      </c>
      <c r="E6" s="37">
        <v>8531.51</v>
      </c>
      <c r="F6" s="37">
        <v>213.38</v>
      </c>
      <c r="G6" s="37">
        <v>9.2200000000000006</v>
      </c>
      <c r="H6" s="37">
        <v>2.2999999999999998</v>
      </c>
      <c r="I6" s="37">
        <v>32</v>
      </c>
      <c r="J6" s="37">
        <v>57.5</v>
      </c>
      <c r="K6" s="42">
        <v>98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10</v>
      </c>
      <c r="D7" s="40">
        <f t="shared" si="2"/>
        <v>2022</v>
      </c>
      <c r="E7" s="37">
        <v>8770.7999999999993</v>
      </c>
      <c r="F7" s="37">
        <v>214.32</v>
      </c>
      <c r="G7" s="37">
        <v>8.9700000000000006</v>
      </c>
      <c r="H7" s="37">
        <v>1.82</v>
      </c>
      <c r="I7" s="37">
        <v>33</v>
      </c>
      <c r="J7" s="37">
        <v>59</v>
      </c>
      <c r="K7" s="42">
        <v>98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10</v>
      </c>
      <c r="D8" s="40">
        <f t="shared" si="2"/>
        <v>2022</v>
      </c>
      <c r="E8" s="37">
        <v>8562.2999999999993</v>
      </c>
      <c r="F8" s="37">
        <v>216.77</v>
      </c>
      <c r="G8" s="37">
        <v>12.71</v>
      </c>
      <c r="H8" s="37">
        <v>2.06</v>
      </c>
      <c r="I8" s="37">
        <v>32</v>
      </c>
      <c r="J8" s="37">
        <v>61.5</v>
      </c>
      <c r="K8" s="42">
        <v>100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10</v>
      </c>
      <c r="D9" s="40">
        <f t="shared" si="2"/>
        <v>2022</v>
      </c>
      <c r="E9" s="37">
        <v>8562.94</v>
      </c>
      <c r="F9" s="37">
        <v>230.98</v>
      </c>
      <c r="G9" s="37">
        <v>7.98</v>
      </c>
      <c r="H9" s="37">
        <v>2.16</v>
      </c>
      <c r="I9" s="37">
        <v>34.5</v>
      </c>
      <c r="J9" s="37">
        <v>64.5</v>
      </c>
      <c r="K9" s="42">
        <v>106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10</v>
      </c>
      <c r="D10" s="40">
        <f t="shared" si="2"/>
        <v>2022</v>
      </c>
      <c r="E10" s="37">
        <v>7971.41</v>
      </c>
      <c r="F10" s="37">
        <v>258.24</v>
      </c>
      <c r="G10" s="37">
        <v>11.45</v>
      </c>
      <c r="H10" s="37">
        <v>2.16</v>
      </c>
      <c r="I10" s="37">
        <v>34</v>
      </c>
      <c r="J10" s="37">
        <v>58</v>
      </c>
      <c r="K10" s="42">
        <v>95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10</v>
      </c>
      <c r="D11" s="40">
        <f t="shared" si="2"/>
        <v>2022</v>
      </c>
      <c r="E11" s="37">
        <v>8126.63</v>
      </c>
      <c r="F11" s="37">
        <v>233.57</v>
      </c>
      <c r="G11" s="37">
        <v>10.96</v>
      </c>
      <c r="H11" s="37">
        <v>7.88</v>
      </c>
      <c r="I11" s="37">
        <v>34</v>
      </c>
      <c r="J11" s="37">
        <v>64.73</v>
      </c>
      <c r="K11" s="42">
        <v>95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10</v>
      </c>
      <c r="D12" s="40">
        <f t="shared" si="2"/>
        <v>2022</v>
      </c>
      <c r="E12" s="37">
        <v>8810.06</v>
      </c>
      <c r="F12" s="37">
        <v>160.63999999999999</v>
      </c>
      <c r="G12" s="37">
        <v>13.46</v>
      </c>
      <c r="H12" s="37">
        <v>4.51</v>
      </c>
      <c r="I12" s="37">
        <v>34</v>
      </c>
      <c r="J12" s="37">
        <v>85.28</v>
      </c>
      <c r="K12" s="42">
        <v>102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10</v>
      </c>
      <c r="D13" s="40">
        <f t="shared" si="2"/>
        <v>2022</v>
      </c>
      <c r="E13" s="37">
        <v>8909.2099999999991</v>
      </c>
      <c r="F13" s="37">
        <v>236.12</v>
      </c>
      <c r="G13" s="37">
        <v>14.45</v>
      </c>
      <c r="H13" s="37">
        <v>2.38</v>
      </c>
      <c r="I13" s="37">
        <v>34</v>
      </c>
      <c r="J13" s="37">
        <v>63.5</v>
      </c>
      <c r="K13" s="6">
        <v>98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10</v>
      </c>
      <c r="D14" s="40">
        <f t="shared" si="2"/>
        <v>2022</v>
      </c>
      <c r="E14" s="37">
        <v>8739.5300000000007</v>
      </c>
      <c r="F14" s="37">
        <v>241.19</v>
      </c>
      <c r="G14" s="37">
        <v>15.45</v>
      </c>
      <c r="H14" s="37">
        <v>2.81</v>
      </c>
      <c r="I14" s="37">
        <v>28</v>
      </c>
      <c r="J14" s="37">
        <v>54.5</v>
      </c>
      <c r="K14" s="42">
        <v>76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10</v>
      </c>
      <c r="D15" s="40">
        <f t="shared" si="2"/>
        <v>2022</v>
      </c>
      <c r="E15" s="37">
        <v>8904.75</v>
      </c>
      <c r="F15" s="37">
        <v>237.46</v>
      </c>
      <c r="G15" s="37">
        <v>16.95</v>
      </c>
      <c r="H15" s="37">
        <v>3.18</v>
      </c>
      <c r="I15" s="37">
        <v>33</v>
      </c>
      <c r="J15" s="37">
        <v>59</v>
      </c>
      <c r="K15" s="6">
        <v>75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10</v>
      </c>
      <c r="D16" s="40">
        <f t="shared" si="2"/>
        <v>2022</v>
      </c>
      <c r="E16" s="37">
        <v>8371.0499999999993</v>
      </c>
      <c r="F16" s="37">
        <v>181.82</v>
      </c>
      <c r="G16" s="37">
        <v>13.96</v>
      </c>
      <c r="H16" s="37">
        <v>2.81</v>
      </c>
      <c r="I16" s="37">
        <v>29</v>
      </c>
      <c r="J16" s="37">
        <v>53.5</v>
      </c>
      <c r="K16" s="6">
        <v>70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10</v>
      </c>
      <c r="D17" s="40">
        <f t="shared" si="2"/>
        <v>2022</v>
      </c>
      <c r="E17" s="37">
        <v>8073</v>
      </c>
      <c r="F17" s="37">
        <v>168.53</v>
      </c>
      <c r="G17" s="37">
        <v>13.96</v>
      </c>
      <c r="H17" s="37">
        <v>2.93</v>
      </c>
      <c r="I17" s="37">
        <v>29</v>
      </c>
      <c r="J17" s="37">
        <v>44.5</v>
      </c>
      <c r="K17" s="6">
        <v>74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10</v>
      </c>
      <c r="D18" s="40">
        <f t="shared" si="2"/>
        <v>2022</v>
      </c>
      <c r="E18" s="37">
        <v>8453.51</v>
      </c>
      <c r="F18" s="37">
        <v>191.99</v>
      </c>
      <c r="G18" s="37">
        <v>8.9700000000000006</v>
      </c>
      <c r="H18" s="37">
        <v>6.9</v>
      </c>
      <c r="I18" s="37">
        <v>32</v>
      </c>
      <c r="J18" s="37">
        <v>50.5</v>
      </c>
      <c r="K18" s="42">
        <v>79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10</v>
      </c>
      <c r="D19" s="40">
        <f t="shared" si="2"/>
        <v>2022</v>
      </c>
      <c r="E19" s="37">
        <v>8551.73</v>
      </c>
      <c r="F19" s="37">
        <v>211.39</v>
      </c>
      <c r="G19" s="37">
        <v>16.95</v>
      </c>
      <c r="H19" s="37">
        <v>5.46</v>
      </c>
      <c r="I19" s="37">
        <v>31</v>
      </c>
      <c r="J19" s="37">
        <v>55</v>
      </c>
      <c r="K19" s="6">
        <v>103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10</v>
      </c>
      <c r="D20" s="40">
        <f t="shared" si="2"/>
        <v>2022</v>
      </c>
      <c r="E20" s="37">
        <v>8160.96</v>
      </c>
      <c r="F20" s="37">
        <v>254.01</v>
      </c>
      <c r="G20" s="37">
        <v>18.440000000000001</v>
      </c>
      <c r="H20" s="37">
        <v>2.73</v>
      </c>
      <c r="I20" s="37">
        <v>36</v>
      </c>
      <c r="J20" s="37">
        <v>61.5</v>
      </c>
      <c r="K20" s="6">
        <v>81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10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10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10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10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10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10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f t="shared" si="2"/>
        <v>2022</v>
      </c>
      <c r="E29" s="37"/>
    </row>
    <row r="30" spans="1:13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2022-10-21T07:07:41Z</dcterms:modified>
</cp:coreProperties>
</file>