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2FE4DF84-7F7A-4C8A-965A-857D1BCFC95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Q34" i="8" s="1"/>
  <c r="O31" i="8"/>
  <c r="O32" i="8"/>
  <c r="C32" i="8"/>
  <c r="O33" i="8"/>
  <c r="M31" i="8"/>
  <c r="M32" i="8"/>
  <c r="M33" i="8"/>
  <c r="N33" i="8" s="1"/>
  <c r="G31" i="8"/>
  <c r="G34" i="8" s="1"/>
  <c r="G32" i="8"/>
  <c r="G33" i="8"/>
  <c r="H33" i="8" s="1"/>
  <c r="K31" i="8"/>
  <c r="K32" i="8"/>
  <c r="K33" i="8"/>
  <c r="L33" i="8" s="1"/>
  <c r="I31" i="8"/>
  <c r="I32" i="8"/>
  <c r="J32" i="8" s="1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 s="1"/>
  <c r="X30" i="2"/>
  <c r="K31" i="4"/>
  <c r="X31" i="2"/>
  <c r="K32" i="4" s="1"/>
  <c r="W29" i="2"/>
  <c r="W30" i="2"/>
  <c r="W31" i="2"/>
  <c r="J32" i="4" s="1"/>
  <c r="V29" i="2"/>
  <c r="J30" i="4" s="1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2" i="2" s="1"/>
  <c r="O31" i="2"/>
  <c r="N31" i="2"/>
  <c r="I32" i="3" s="1"/>
  <c r="N28" i="2"/>
  <c r="N30" i="2"/>
  <c r="M28" i="2"/>
  <c r="M29" i="2"/>
  <c r="L29" i="2"/>
  <c r="G30" i="4" s="1"/>
  <c r="M30" i="2"/>
  <c r="G31" i="4" s="1"/>
  <c r="M31" i="2"/>
  <c r="L30" i="2"/>
  <c r="L31" i="2"/>
  <c r="L32" i="2" s="1"/>
  <c r="K29" i="2"/>
  <c r="K30" i="2"/>
  <c r="K31" i="2"/>
  <c r="J29" i="2"/>
  <c r="I29" i="2"/>
  <c r="F30" i="4"/>
  <c r="J30" i="2"/>
  <c r="J31" i="2"/>
  <c r="I30" i="2"/>
  <c r="I31" i="2"/>
  <c r="G29" i="2"/>
  <c r="E30" i="4" s="1"/>
  <c r="G30" i="2"/>
  <c r="E31" i="4" s="1"/>
  <c r="E30" i="2"/>
  <c r="C31" i="4" s="1"/>
  <c r="F30" i="2"/>
  <c r="E31" i="3" s="1"/>
  <c r="G31" i="2"/>
  <c r="E32" i="4" s="1"/>
  <c r="F29" i="2"/>
  <c r="D30" i="4" s="1"/>
  <c r="F31" i="2"/>
  <c r="D32" i="4"/>
  <c r="E29" i="2"/>
  <c r="C30" i="4" s="1"/>
  <c r="E31" i="2"/>
  <c r="C32" i="4" s="1"/>
  <c r="E26" i="2"/>
  <c r="C27" i="4"/>
  <c r="E27" i="2"/>
  <c r="C28" i="4"/>
  <c r="E28" i="2"/>
  <c r="C29" i="4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F29" i="3"/>
  <c r="D29" i="3"/>
  <c r="T22" i="8"/>
  <c r="V24" i="8"/>
  <c r="T4" i="8"/>
  <c r="P6" i="8"/>
  <c r="D27" i="8"/>
  <c r="V8" i="8"/>
  <c r="F23" i="8"/>
  <c r="D23" i="8"/>
  <c r="P25" i="8"/>
  <c r="T30" i="8"/>
  <c r="X22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X30" i="8"/>
  <c r="N31" i="8"/>
  <c r="R30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F33" i="8"/>
  <c r="T33" i="8"/>
  <c r="J33" i="8"/>
  <c r="P7" i="8"/>
  <c r="J6" i="8"/>
  <c r="N27" i="8"/>
  <c r="Y27" i="8"/>
  <c r="Z27" i="8"/>
  <c r="P24" i="8"/>
  <c r="P8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H9" i="8"/>
  <c r="V17" i="8"/>
  <c r="V10" i="8"/>
  <c r="R17" i="8"/>
  <c r="O34" i="8"/>
  <c r="N10" i="8"/>
  <c r="R10" i="8"/>
  <c r="Y16" i="8"/>
  <c r="Z16" i="8"/>
  <c r="T11" i="8"/>
  <c r="F17" i="8"/>
  <c r="Y10" i="8"/>
  <c r="Z10" i="8"/>
  <c r="P5" i="8"/>
  <c r="W34" i="8"/>
  <c r="H8" i="8"/>
  <c r="V16" i="8"/>
  <c r="V9" i="8"/>
  <c r="M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H24" i="8"/>
  <c r="F12" i="8"/>
  <c r="Y9" i="8"/>
  <c r="Z9" i="8"/>
  <c r="R24" i="8"/>
  <c r="N23" i="8"/>
  <c r="X18" i="8"/>
  <c r="X24" i="8"/>
  <c r="D15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E18" i="4"/>
  <c r="J25" i="4"/>
  <c r="H8" i="4"/>
  <c r="I18" i="3"/>
  <c r="J20" i="4"/>
  <c r="D28" i="4"/>
  <c r="D11" i="3"/>
  <c r="H22" i="3"/>
  <c r="L16" i="3"/>
  <c r="D27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F8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D13" i="3"/>
  <c r="I10" i="4"/>
  <c r="D25" i="3"/>
  <c r="E25" i="3"/>
  <c r="J17" i="4"/>
  <c r="J5" i="4"/>
  <c r="K21" i="3"/>
  <c r="K11" i="3"/>
  <c r="J23" i="3"/>
  <c r="F32" i="3"/>
  <c r="I3" i="4"/>
  <c r="K13" i="3"/>
  <c r="J24" i="4"/>
  <c r="K10" i="3"/>
  <c r="E9" i="3"/>
  <c r="F6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L7" i="3"/>
  <c r="I15" i="4"/>
  <c r="J16" i="3"/>
  <c r="J8" i="3"/>
  <c r="J25" i="3"/>
  <c r="J17" i="3"/>
  <c r="R32" i="2"/>
  <c r="I27" i="4"/>
  <c r="I19" i="4"/>
  <c r="Q32" i="2"/>
  <c r="M3" i="3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X32" i="2"/>
  <c r="I7" i="4"/>
  <c r="J15" i="3"/>
  <c r="J11" i="4"/>
  <c r="I8" i="4"/>
  <c r="F3" i="4"/>
  <c r="H7" i="3"/>
  <c r="F7" i="3"/>
  <c r="D13" i="4"/>
  <c r="D31" i="4"/>
  <c r="M6" i="3"/>
  <c r="J21" i="4"/>
  <c r="I6" i="4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Z4" i="8"/>
  <c r="L21" i="4"/>
  <c r="L15" i="4"/>
  <c r="L24" i="4"/>
  <c r="L8" i="4"/>
  <c r="L28" i="4"/>
  <c r="L18" i="4"/>
  <c r="L22" i="4"/>
  <c r="L4" i="4"/>
  <c r="L25" i="4"/>
  <c r="L16" i="4"/>
  <c r="L23" i="4"/>
  <c r="L3" i="4"/>
  <c r="L12" i="4"/>
  <c r="L11" i="4"/>
  <c r="L20" i="4"/>
  <c r="L19" i="4"/>
  <c r="L5" i="4"/>
  <c r="L29" i="4"/>
  <c r="L14" i="4"/>
  <c r="M33" i="3"/>
  <c r="L27" i="4"/>
  <c r="L10" i="4"/>
  <c r="L17" i="4"/>
  <c r="L7" i="4"/>
  <c r="L6" i="4"/>
  <c r="L26" i="4"/>
  <c r="L13" i="4"/>
  <c r="K34" i="8" l="1"/>
  <c r="L34" i="8" s="1"/>
  <c r="E34" i="8"/>
  <c r="F34" i="8" s="1"/>
  <c r="U34" i="8"/>
  <c r="V34" i="8" s="1"/>
  <c r="R33" i="8"/>
  <c r="Y33" i="8"/>
  <c r="Z33" i="8" s="1"/>
  <c r="D32" i="3"/>
  <c r="C33" i="4"/>
  <c r="C35" i="4" s="1"/>
  <c r="D31" i="3"/>
  <c r="G33" i="4"/>
  <c r="G35" i="4" s="1"/>
  <c r="T32" i="2"/>
  <c r="L32" i="3"/>
  <c r="L33" i="3" s="1"/>
  <c r="K33" i="4"/>
  <c r="K35" i="4" s="1"/>
  <c r="U32" i="2"/>
  <c r="I31" i="4"/>
  <c r="H31" i="2"/>
  <c r="G33" i="3"/>
  <c r="N32" i="2"/>
  <c r="D33" i="4"/>
  <c r="D35" i="4" s="1"/>
  <c r="K31" i="3"/>
  <c r="E33" i="4"/>
  <c r="E35" i="4" s="1"/>
  <c r="L32" i="4"/>
  <c r="F33" i="3"/>
  <c r="I31" i="3"/>
  <c r="H31" i="4"/>
  <c r="N34" i="8"/>
  <c r="H32" i="8"/>
  <c r="Y31" i="8"/>
  <c r="Z31" i="8" s="1"/>
  <c r="X31" i="8"/>
  <c r="Y32" i="8"/>
  <c r="Z32" i="8" s="1"/>
  <c r="F31" i="8"/>
  <c r="V32" i="8"/>
  <c r="P34" i="8"/>
  <c r="P32" i="8"/>
  <c r="T34" i="8"/>
  <c r="R34" i="8"/>
  <c r="J31" i="8"/>
  <c r="D31" i="8"/>
  <c r="X34" i="8"/>
  <c r="V31" i="8"/>
  <c r="H34" i="8"/>
  <c r="J34" i="8"/>
  <c r="P31" i="8"/>
  <c r="D34" i="8"/>
  <c r="L31" i="8"/>
  <c r="R31" i="8"/>
  <c r="H31" i="8"/>
  <c r="M32" i="2"/>
  <c r="H31" i="3"/>
  <c r="H33" i="3" s="1"/>
  <c r="I30" i="4"/>
  <c r="J30" i="3"/>
  <c r="J31" i="3"/>
  <c r="F31" i="4"/>
  <c r="F33" i="4" s="1"/>
  <c r="F35" i="4" s="1"/>
  <c r="H30" i="4"/>
  <c r="F32" i="2"/>
  <c r="E30" i="3"/>
  <c r="E33" i="3" s="1"/>
  <c r="K30" i="3"/>
  <c r="K33" i="3" s="1"/>
  <c r="J31" i="4"/>
  <c r="J33" i="4" s="1"/>
  <c r="J35" i="4" s="1"/>
  <c r="G32" i="2"/>
  <c r="H33" i="4"/>
  <c r="I30" i="3"/>
  <c r="D33" i="3" l="1"/>
  <c r="I33" i="4"/>
  <c r="I35" i="4" s="1"/>
  <c r="J33" i="3"/>
  <c r="L31" i="4"/>
  <c r="I33" i="3"/>
  <c r="Y34" i="8"/>
  <c r="Z34" i="8" s="1"/>
  <c r="L30" i="4"/>
  <c r="H35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<sst xmlns="http://schemas.openxmlformats.org/spreadsheetml/2006/main" count="234" uniqueCount="130">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</sst>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-359650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16" zoomScale="115" zoomScaleNormal="115" workbookViewId="0">
      <selection activeCell="J27" sqref="J27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>
        <v>19269.999999999527</v>
      </c>
      <c r="F17" s="97"/>
      <c r="G17" s="85">
        <v>5208</v>
      </c>
      <c r="H17" s="131"/>
      <c r="I17" s="52">
        <v>306</v>
      </c>
      <c r="J17" s="133"/>
      <c r="K17" s="82"/>
      <c r="L17" s="134"/>
      <c r="M17" s="58">
        <v>36.5</v>
      </c>
      <c r="N17" s="58">
        <v>109</v>
      </c>
      <c r="O17" s="58">
        <v>233</v>
      </c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>
        <v>18439.9999999996</v>
      </c>
      <c r="F18" s="97"/>
      <c r="G18" s="85">
        <v>5131</v>
      </c>
      <c r="H18" s="131"/>
      <c r="I18" s="52">
        <v>336</v>
      </c>
      <c r="J18" s="133"/>
      <c r="K18" s="82"/>
      <c r="L18" s="134"/>
      <c r="M18" s="58">
        <v>34.4</v>
      </c>
      <c r="N18" s="58">
        <v>94</v>
      </c>
      <c r="O18" s="58">
        <v>232</v>
      </c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>
        <v>18700.000000001637</v>
      </c>
      <c r="F19" s="97"/>
      <c r="G19" s="85">
        <v>5191</v>
      </c>
      <c r="H19" s="131"/>
      <c r="I19" s="52">
        <v>307</v>
      </c>
      <c r="J19" s="133"/>
      <c r="K19" s="82"/>
      <c r="L19" s="134"/>
      <c r="M19" s="58">
        <v>31.3</v>
      </c>
      <c r="N19" s="58">
        <v>89</v>
      </c>
      <c r="O19" s="58">
        <v>235</v>
      </c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>
        <v>17719.999999999345</v>
      </c>
      <c r="F20" s="97"/>
      <c r="G20" s="85">
        <v>5489</v>
      </c>
      <c r="H20" s="131"/>
      <c r="I20" s="52">
        <v>294</v>
      </c>
      <c r="J20" s="133"/>
      <c r="K20" s="82"/>
      <c r="L20" s="134"/>
      <c r="M20" s="58">
        <v>25</v>
      </c>
      <c r="N20" s="58">
        <v>77</v>
      </c>
      <c r="O20" s="58">
        <v>188</v>
      </c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>
        <v>17259.999999998399</v>
      </c>
      <c r="F21" s="97"/>
      <c r="G21" s="85">
        <v>4364</v>
      </c>
      <c r="H21" s="131"/>
      <c r="I21" s="52">
        <v>269</v>
      </c>
      <c r="J21" s="133"/>
      <c r="K21" s="82"/>
      <c r="L21" s="134"/>
      <c r="M21" s="58">
        <v>25</v>
      </c>
      <c r="N21" s="58">
        <v>77</v>
      </c>
      <c r="O21" s="58">
        <v>189</v>
      </c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>
        <v>16960</v>
      </c>
      <c r="F22" s="97"/>
      <c r="G22" s="85">
        <v>4697</v>
      </c>
      <c r="H22" s="131"/>
      <c r="I22" s="52">
        <v>259</v>
      </c>
      <c r="J22" s="133"/>
      <c r="K22" s="82"/>
      <c r="L22" s="134"/>
      <c r="M22" s="58">
        <v>32.299999999999997</v>
      </c>
      <c r="N22" s="58">
        <v>92</v>
      </c>
      <c r="O22" s="58">
        <v>244</v>
      </c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>
        <v>18500</v>
      </c>
      <c r="F23" s="97"/>
      <c r="G23" s="85">
        <v>5065</v>
      </c>
      <c r="H23" s="131"/>
      <c r="I23" s="52">
        <v>300</v>
      </c>
      <c r="J23" s="133"/>
      <c r="K23" s="82"/>
      <c r="L23" s="134"/>
      <c r="M23" s="58">
        <v>32.299999999999997</v>
      </c>
      <c r="N23" s="58">
        <v>85</v>
      </c>
      <c r="O23" s="58">
        <v>240</v>
      </c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>
        <v>18689.999999998236</v>
      </c>
      <c r="F24" s="97"/>
      <c r="G24" s="85">
        <v>5085</v>
      </c>
      <c r="H24" s="131"/>
      <c r="I24" s="52">
        <v>312</v>
      </c>
      <c r="J24" s="133"/>
      <c r="K24" s="82"/>
      <c r="L24" s="134"/>
      <c r="M24" s="58">
        <v>50</v>
      </c>
      <c r="N24" s="58">
        <v>140</v>
      </c>
      <c r="O24" s="58">
        <v>356</v>
      </c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>
        <v>19039.999999999054</v>
      </c>
      <c r="F25" s="97"/>
      <c r="G25" s="85">
        <v>5252</v>
      </c>
      <c r="H25" s="131"/>
      <c r="I25" s="52">
        <v>280</v>
      </c>
      <c r="J25" s="133"/>
      <c r="K25" s="82"/>
      <c r="L25" s="134"/>
      <c r="M25" s="58">
        <v>52.1</v>
      </c>
      <c r="N25" s="58">
        <v>142</v>
      </c>
      <c r="O25" s="58">
        <v>407</v>
      </c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>
        <v>20450.000000002547</v>
      </c>
      <c r="F26" s="97"/>
      <c r="G26" s="85">
        <v>5653</v>
      </c>
      <c r="H26" s="131"/>
      <c r="I26" s="52">
        <v>343</v>
      </c>
      <c r="J26" s="133"/>
      <c r="K26" s="82"/>
      <c r="L26" s="134"/>
      <c r="M26" s="58">
        <v>61.5</v>
      </c>
      <c r="N26" s="58">
        <v>165</v>
      </c>
      <c r="O26" s="58">
        <v>451</v>
      </c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>
        <v>20970</v>
      </c>
      <c r="F27" s="97"/>
      <c r="G27" s="85">
        <v>5829</v>
      </c>
      <c r="H27" s="131"/>
      <c r="I27" s="52">
        <v>363</v>
      </c>
      <c r="J27" s="133"/>
      <c r="K27" s="82"/>
      <c r="L27" s="134"/>
      <c r="M27" s="58">
        <v>64.599999999999994</v>
      </c>
      <c r="N27" s="58">
        <v>177</v>
      </c>
      <c r="O27" s="58">
        <v>527</v>
      </c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>
        <v>19400.000000001</v>
      </c>
      <c r="F28" s="97"/>
      <c r="G28" s="85">
        <v>5423</v>
      </c>
      <c r="H28" s="131"/>
      <c r="I28" s="52">
        <v>322</v>
      </c>
      <c r="J28" s="133"/>
      <c r="K28" s="82"/>
      <c r="L28" s="134"/>
      <c r="M28" s="58">
        <v>62.5</v>
      </c>
      <c r="N28" s="58">
        <v>175</v>
      </c>
      <c r="O28" s="58">
        <v>455</v>
      </c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>
        <v>19169.999999997799</v>
      </c>
      <c r="F29" s="97"/>
      <c r="G29" s="85">
        <v>5367</v>
      </c>
      <c r="H29" s="131"/>
      <c r="I29" s="52">
        <v>361</v>
      </c>
      <c r="J29" s="133"/>
      <c r="K29" s="82"/>
      <c r="L29" s="134"/>
      <c r="M29" s="58">
        <v>78.099999999999994</v>
      </c>
      <c r="N29" s="58">
        <v>203</v>
      </c>
      <c r="O29" s="58">
        <v>529</v>
      </c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>
        <v>21670</v>
      </c>
      <c r="F30" s="97"/>
      <c r="G30" s="85">
        <v>6035</v>
      </c>
      <c r="H30" s="131"/>
      <c r="I30" s="52">
        <v>427</v>
      </c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532699.99999999604</v>
      </c>
      <c r="F32" s="128">
        <v>0</v>
      </c>
      <c r="G32" s="80">
        <f>SUM(G2:G31)</f>
        <v>147131</v>
      </c>
      <c r="H32" s="128">
        <v>0</v>
      </c>
      <c r="I32" s="80">
        <f>SUM(I2:I31)</f>
        <v>8548</v>
      </c>
      <c r="J32" s="128">
        <v>0</v>
      </c>
      <c r="K32" s="79">
        <f>SUM(K2:K31)</f>
        <v>0</v>
      </c>
      <c r="L32" s="135">
        <v>0</v>
      </c>
      <c r="M32" s="80">
        <f>SUM(M2:M31)</f>
        <v>959.50000000000011</v>
      </c>
      <c r="N32" s="80">
        <f>SUM(N2:N31)</f>
        <v>2615</v>
      </c>
      <c r="O32" s="80">
        <f>SUM(O2:O31)</f>
        <v>6812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G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529.99999999997272</v>
      </c>
      <c r="F17" s="2">
        <f>('Kwh Reading'!F20-'Kwh Reading'!F19)*1000000</f>
        <v>2499.9999999999468</v>
      </c>
      <c r="G17" s="2">
        <f>('Kwh Reading'!C20-'Kwh Reading'!C19)*1000</f>
        <v>269.99999999998181</v>
      </c>
      <c r="H17" s="2">
        <f t="shared" si="0"/>
        <v>1090.0000000000887</v>
      </c>
      <c r="I17" s="2">
        <f>('Kwh Reading'!J20-'Kwh Reading'!J19)*1000</f>
        <v>470.00000000002728</v>
      </c>
      <c r="J17" s="2">
        <f>('Kwh Reading'!K20-'Kwh Reading'!K19)*1000</f>
        <v>280.0000000000864</v>
      </c>
      <c r="K17" s="2">
        <f>('Kwh Reading'!L20-'Kwh Reading'!L19)*1000</f>
        <v>339.99999999997499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300.00000000001137</v>
      </c>
      <c r="O17" s="2">
        <f>('Kwh Reading'!B20-'Kwh Reading'!B19)*1000000</f>
        <v>1100.000000000101</v>
      </c>
      <c r="P17" s="2">
        <f>('Kwh Reading'!M20-'Kwh Reading'!M19)*1000</f>
        <v>419.99999999995907</v>
      </c>
      <c r="Q17" s="2">
        <f>('Kwh Reading'!H20-'Kwh Reading'!H19)*1000000</f>
        <v>499.99999999994492</v>
      </c>
      <c r="R17" s="2">
        <f>('Kwh Reading'!P20-'Kwh Reading'!P19)*1000000</f>
        <v>400.00000000017798</v>
      </c>
      <c r="S17" s="2">
        <f>('Kwh Reading'!G20-'Kwh Reading'!G19)*1000000</f>
        <v>499.99999999994492</v>
      </c>
      <c r="T17" s="2">
        <f>('Kwh Reading'!Q20-'Kwh Reading'!Q19)*1000</f>
        <v>360.00000000001364</v>
      </c>
      <c r="U17" s="2">
        <f>('Kwh Reading'!N20-'Kwh Reading'!N19)*1000</f>
        <v>379.99999999999545</v>
      </c>
      <c r="V17" s="26">
        <f>'Kwh Reading'!E20-'Kwh Reading'!E19</f>
        <v>2393.5600000005215</v>
      </c>
      <c r="W17" s="26">
        <f>'Kwh Reading'!D20-'Kwh Reading'!D19</f>
        <v>1683.8899999999994</v>
      </c>
      <c r="X17" s="21">
        <f>('Kwh Reading'!O20-'Kwh Reading'!O19)*1000</f>
        <v>190.00000000005457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259.99999999999091</v>
      </c>
      <c r="F18" s="2">
        <f>('Kwh Reading'!F21-'Kwh Reading'!F20)*1000000</f>
        <v>2699.9999999999245</v>
      </c>
      <c r="G18" s="2">
        <f>('Kwh Reading'!C21-'Kwh Reading'!C20)*1000</f>
        <v>270.00000000003865</v>
      </c>
      <c r="H18" s="2">
        <f t="shared" si="0"/>
        <v>1099.9999999999091</v>
      </c>
      <c r="I18" s="2">
        <f>('Kwh Reading'!J21-'Kwh Reading'!J20)*1000</f>
        <v>429.99999999994998</v>
      </c>
      <c r="J18" s="2">
        <f>('Kwh Reading'!K21-'Kwh Reading'!K20)*1000</f>
        <v>319.99999999993634</v>
      </c>
      <c r="K18" s="21">
        <f>('Kwh Reading'!L21-'Kwh Reading'!L20)*1000</f>
        <v>350.00000000002274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280.00000000002956</v>
      </c>
      <c r="O18" s="2">
        <f>('Kwh Reading'!B21-'Kwh Reading'!B20)*1000000</f>
        <v>1099.9999999998788</v>
      </c>
      <c r="P18" s="2">
        <f>('Kwh Reading'!M21-'Kwh Reading'!M20)*1000</f>
        <v>460.00000000003638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500.00000000016701</v>
      </c>
      <c r="T18" s="2">
        <f>('Kwh Reading'!Q21-'Kwh Reading'!Q20)*1000</f>
        <v>389.99999999998636</v>
      </c>
      <c r="U18" s="2">
        <f>('Kwh Reading'!N21-'Kwh Reading'!N20)*1000</f>
        <v>379.99999999999545</v>
      </c>
      <c r="V18" s="26">
        <f>'Kwh Reading'!E21-'Kwh Reading'!E20</f>
        <v>2150.019999999553</v>
      </c>
      <c r="W18" s="26">
        <f>'Kwh Reading'!D21-'Kwh Reading'!D20</f>
        <v>1641.3300000000017</v>
      </c>
      <c r="X18" s="21">
        <f>('Kwh Reading'!O21-'Kwh Reading'!O20)*1000</f>
        <v>269.99999999998181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509.99999999999091</v>
      </c>
      <c r="F19" s="2">
        <f>('Kwh Reading'!F22-'Kwh Reading'!F21)*1000000</f>
        <v>2499.9999999999468</v>
      </c>
      <c r="G19" s="2">
        <f>('Kwh Reading'!C22-'Kwh Reading'!C21)*1000</f>
        <v>250</v>
      </c>
      <c r="H19" s="2">
        <f t="shared" si="0"/>
        <v>1280.0000000000296</v>
      </c>
      <c r="I19" s="2">
        <f>('Kwh Reading'!J22-'Kwh Reading'!J21)*1000</f>
        <v>519.99999999998181</v>
      </c>
      <c r="J19" s="2">
        <f>('Kwh Reading'!K22-'Kwh Reading'!K21)*1000</f>
        <v>410.00000000008185</v>
      </c>
      <c r="K19" s="2">
        <f>('Kwh Reading'!L22-'Kwh Reading'!L21)*1000</f>
        <v>349.99999999996589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259.99999999999091</v>
      </c>
      <c r="O19" s="2">
        <f>('Kwh Reading'!B22-'Kwh Reading'!B21)*1000000</f>
        <v>1000.0000000001119</v>
      </c>
      <c r="P19" s="2">
        <f>('Kwh Reading'!M22-'Kwh Reading'!M21)*1000</f>
        <v>379.99999999999545</v>
      </c>
      <c r="Q19" s="2">
        <f>('Kwh Reading'!H22-'Kwh Reading'!H21)*1000000</f>
        <v>499.99999999994492</v>
      </c>
      <c r="R19" s="2">
        <f>('Kwh Reading'!P22-'Kwh Reading'!P21)*1000000</f>
        <v>499.99999999994492</v>
      </c>
      <c r="S19" s="2">
        <f>('Kwh Reading'!G22-'Kwh Reading'!G21)*1000000</f>
        <v>499.99999999994492</v>
      </c>
      <c r="T19" s="2">
        <f>('Kwh Reading'!Q22-'Kwh Reading'!Q21)*1000</f>
        <v>350.00000000002274</v>
      </c>
      <c r="U19" s="2">
        <f>('Kwh Reading'!N22-'Kwh Reading'!N21)*1000</f>
        <v>360.00000000001364</v>
      </c>
      <c r="V19" s="26">
        <f>'Kwh Reading'!E22-'Kwh Reading'!E21</f>
        <v>2469.160000000149</v>
      </c>
      <c r="W19" s="26">
        <f>'Kwh Reading'!D22-'Kwh Reading'!D21</f>
        <v>1700.8399999999965</v>
      </c>
      <c r="X19" s="21">
        <f>('Kwh Reading'!O22-'Kwh Reading'!O21)*1000</f>
        <v>209.99999999997954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460.00000000003638</v>
      </c>
      <c r="F20" s="2">
        <f>('Kwh Reading'!F23-'Kwh Reading'!F22)*1000000</f>
        <v>2400.0000000001796</v>
      </c>
      <c r="G20" s="2">
        <f>('Kwh Reading'!C23-'Kwh Reading'!C22)*1000</f>
        <v>259.99999999999091</v>
      </c>
      <c r="H20" s="2">
        <f t="shared" si="0"/>
        <v>1510.0000000000477</v>
      </c>
      <c r="I20" s="2">
        <f>('Kwh Reading'!J23-'Kwh Reading'!J22)*1000</f>
        <v>670.00000000007276</v>
      </c>
      <c r="J20" s="2">
        <f>('Kwh Reading'!K23-'Kwh Reading'!K22)*1000</f>
        <v>449.99999999993179</v>
      </c>
      <c r="K20" s="2">
        <f>('Kwh Reading'!L23-'Kwh Reading'!L22)*1000</f>
        <v>390.0000000000432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290.00000000002046</v>
      </c>
      <c r="O20" s="2">
        <f>('Kwh Reading'!B23-'Kwh Reading'!B22)*1000000</f>
        <v>899.99999999990087</v>
      </c>
      <c r="P20" s="21">
        <f>('Kwh Reading'!M23-'Kwh Reading'!M22)*1000</f>
        <v>360.00000000001364</v>
      </c>
      <c r="Q20" s="2">
        <f>('Kwh Reading'!H23-'Kwh Reading'!H22)*1000000</f>
        <v>499.99999999994492</v>
      </c>
      <c r="R20" s="2">
        <f>('Kwh Reading'!P23-'Kwh Reading'!P22)*1000000</f>
        <v>399.99999999995595</v>
      </c>
      <c r="S20" s="2">
        <f>('Kwh Reading'!G23-'Kwh Reading'!G22)*1000000</f>
        <v>399.99999999995595</v>
      </c>
      <c r="T20" s="2">
        <f>('Kwh Reading'!Q23-'Kwh Reading'!Q22)*1000</f>
        <v>319.99999999993634</v>
      </c>
      <c r="U20" s="2">
        <f>('Kwh Reading'!N23-'Kwh Reading'!N22)*1000</f>
        <v>359.99999999989996</v>
      </c>
      <c r="V20" s="26">
        <f>'Kwh Reading'!E23-'Kwh Reading'!E22</f>
        <v>2362.5999999996275</v>
      </c>
      <c r="W20" s="26">
        <f>'Kwh Reading'!D23-'Kwh Reading'!D22</f>
        <v>1433.5299999999988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610.00000000001364</v>
      </c>
      <c r="F21" s="2">
        <f>('Kwh Reading'!F24-'Kwh Reading'!F23)*1000000</f>
        <v>2299.9999999999686</v>
      </c>
      <c r="G21" s="2">
        <f>('Kwh Reading'!C24-'Kwh Reading'!C23)*1000</f>
        <v>269.99999999998181</v>
      </c>
      <c r="H21" s="2">
        <f t="shared" si="0"/>
        <v>1349.9999999999091</v>
      </c>
      <c r="I21" s="2">
        <f>('Kwh Reading'!J24-'Kwh Reading'!J23)*1000</f>
        <v>579.99999999992724</v>
      </c>
      <c r="J21" s="2">
        <f>('Kwh Reading'!K24-'Kwh Reading'!K23)*1000</f>
        <v>389.99999999998636</v>
      </c>
      <c r="K21" s="2">
        <f>('Kwh Reading'!L24-'Kwh Reading'!L23)*1000</f>
        <v>379.99999999999545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279.99999999997272</v>
      </c>
      <c r="O21" s="2">
        <f>('Kwh Reading'!B24-'Kwh Reading'!B23)*1000000</f>
        <v>1000.0000000001119</v>
      </c>
      <c r="P21" s="2">
        <f>('Kwh Reading'!M24-'Kwh Reading'!M23)*1000</f>
        <v>329.99999999992724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310.00000000005912</v>
      </c>
      <c r="V21" s="26">
        <f>'Kwh Reading'!E24-'Kwh Reading'!E23</f>
        <v>2275.4499999992549</v>
      </c>
      <c r="W21" s="121">
        <f>'Kwh Reading'!D24-'Kwh Reading'!D23</f>
        <v>1440.2100000000064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500</v>
      </c>
      <c r="F22" s="2">
        <f>('Kwh Reading'!F25-'Kwh Reading'!F24)*1000000</f>
        <v>2399.9999999997358</v>
      </c>
      <c r="G22" s="2">
        <f>('Kwh Reading'!C25-'Kwh Reading'!C24)*1000</f>
        <v>270.00000000003865</v>
      </c>
      <c r="H22" s="2">
        <f t="shared" si="0"/>
        <v>1249.9999999999432</v>
      </c>
      <c r="I22" s="2">
        <f>('Kwh Reading'!J25-'Kwh Reading'!J24)*1000</f>
        <v>509.99999999999091</v>
      </c>
      <c r="J22" s="2">
        <f>('Kwh Reading'!K25-'Kwh Reading'!K24)*1000</f>
        <v>399.99999999997726</v>
      </c>
      <c r="K22" s="2">
        <f>('Kwh Reading'!L25-'Kwh Reading'!L24)*1000</f>
        <v>339.99999999997499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279.99999999997272</v>
      </c>
      <c r="O22" s="2">
        <f>('Kwh Reading'!B25-'Kwh Reading'!B24)*1000000</f>
        <v>799.99999999991189</v>
      </c>
      <c r="P22" s="2">
        <f>('Kwh Reading'!M25-'Kwh Reading'!M24)*1000</f>
        <v>310.00000000005912</v>
      </c>
      <c r="Q22" s="2">
        <f>('Kwh Reading'!H25-'Kwh Reading'!H24)*1000000</f>
        <v>500.00000000016701</v>
      </c>
      <c r="R22" s="2">
        <f>('Kwh Reading'!P25-'Kwh Reading'!P24)*1000000</f>
        <v>300.000000000189</v>
      </c>
      <c r="S22" s="2">
        <f>('Kwh Reading'!G25-'Kwh Reading'!G24)*1000000</f>
        <v>399.99999999995595</v>
      </c>
      <c r="T22" s="2">
        <f>('Kwh Reading'!Q25-'Kwh Reading'!Q24)*1000</f>
        <v>350.00000000002274</v>
      </c>
      <c r="U22" s="2">
        <f>('Kwh Reading'!N25-'Kwh Reading'!N24)*1000</f>
        <v>289.99999999996362</v>
      </c>
      <c r="V22" s="2">
        <f>'Kwh Reading'!E25-'Kwh Reading'!E24</f>
        <v>2229.9600000008941</v>
      </c>
      <c r="W22" s="2">
        <f>'Kwh Reading'!D25-'Kwh Reading'!D24</f>
        <v>1462.679999999993</v>
      </c>
      <c r="X22" s="21">
        <f>('Kwh Reading'!O25-'Kwh Reading'!O24)*1000</f>
        <v>269.99999999998181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509.99999999999091</v>
      </c>
      <c r="F23" s="2">
        <f>('Kwh Reading'!F26-'Kwh Reading'!F25)*1000000</f>
        <v>2400.0000000001796</v>
      </c>
      <c r="G23" s="2">
        <f>('Kwh Reading'!C26-'Kwh Reading'!C25)*1000</f>
        <v>279.99999999997272</v>
      </c>
      <c r="H23" s="2">
        <f t="shared" si="0"/>
        <v>1270.0000000002092</v>
      </c>
      <c r="I23" s="2">
        <f>('Kwh Reading'!J26-'Kwh Reading'!J25)*1000</f>
        <v>530.0000000000864</v>
      </c>
      <c r="J23" s="2">
        <f>('Kwh Reading'!K26-'Kwh Reading'!K25)*1000</f>
        <v>390.00000000010004</v>
      </c>
      <c r="K23" s="2">
        <f>('Kwh Reading'!L26-'Kwh Reading'!L25)*1000</f>
        <v>350.00000000002274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290.00000000002046</v>
      </c>
      <c r="O23" s="2">
        <f>('Kwh Reading'!B26-'Kwh Reading'!B25)*1000000</f>
        <v>1000.0000000001119</v>
      </c>
      <c r="P23" s="2">
        <f>('Kwh Reading'!M26-'Kwh Reading'!M25)*1000</f>
        <v>330.00000000004093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500.00000000016701</v>
      </c>
      <c r="T23" s="2">
        <f>('Kwh Reading'!Q26-'Kwh Reading'!Q25)*1000</f>
        <v>389.99999999998636</v>
      </c>
      <c r="U23" s="2">
        <f>('Kwh Reading'!N26-'Kwh Reading'!N25)*1000</f>
        <v>340.00000000003183</v>
      </c>
      <c r="V23" s="2">
        <f>'Kwh Reading'!E26-'Kwh Reading'!E25</f>
        <v>2382.5800000000745</v>
      </c>
      <c r="W23" s="2">
        <f>'Kwh Reading'!D26-'Kwh Reading'!D25</f>
        <v>1538.0400000000081</v>
      </c>
      <c r="X23" s="21">
        <f>('Kwh Reading'!O26-'Kwh Reading'!O25)*1000</f>
        <v>220.00000000002728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539.99999999996362</v>
      </c>
      <c r="F24" s="2">
        <f>('Kwh Reading'!F27-'Kwh Reading'!F26)*1000000</f>
        <v>2499.9999999999468</v>
      </c>
      <c r="G24" s="2">
        <f>('Kwh Reading'!C27-'Kwh Reading'!C26)*1000</f>
        <v>269.99999999998181</v>
      </c>
      <c r="H24" s="2">
        <f t="shared" si="0"/>
        <v>1349.9999999999091</v>
      </c>
      <c r="I24" s="2">
        <f>('Kwh Reading'!J27-'Kwh Reading'!J26)*1000</f>
        <v>519.99999999998181</v>
      </c>
      <c r="J24" s="2">
        <f>('Kwh Reading'!K27-'Kwh Reading'!K26)*1000</f>
        <v>429.99999999994998</v>
      </c>
      <c r="K24" s="2">
        <f>('Kwh Reading'!L27-'Kwh Reading'!L26)*1000</f>
        <v>399.99999999997726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350.00000000002274</v>
      </c>
      <c r="O24" s="2">
        <f>('Kwh Reading'!B27-'Kwh Reading'!B26)*1000000</f>
        <v>1099.9999999998788</v>
      </c>
      <c r="P24" s="2">
        <f>('Kwh Reading'!M27-'Kwh Reading'!M26)*1000</f>
        <v>409.99999999996817</v>
      </c>
      <c r="Q24" s="2">
        <f>('Kwh Reading'!H27-'Kwh Reading'!H26)*1000000</f>
        <v>599.99999999993395</v>
      </c>
      <c r="R24" s="2">
        <f>('Kwh Reading'!P27-'Kwh Reading'!P26)*1000000</f>
        <v>499.99999999994492</v>
      </c>
      <c r="S24" s="2">
        <f>('Kwh Reading'!G27-'Kwh Reading'!G26)*1000000</f>
        <v>499.99999999994492</v>
      </c>
      <c r="T24" s="2">
        <f>('Kwh Reading'!Q27-'Kwh Reading'!Q26)*1000</f>
        <v>409.99999999996817</v>
      </c>
      <c r="U24" s="2">
        <f>('Kwh Reading'!N27-'Kwh Reading'!N26)*1000</f>
        <v>439.99999999994088</v>
      </c>
      <c r="V24" s="2">
        <f>'Kwh Reading'!E27-'Kwh Reading'!E26</f>
        <v>2533.9900000002235</v>
      </c>
      <c r="W24" s="2">
        <f>'Kwh Reading'!D27-'Kwh Reading'!D26</f>
        <v>1713.8199999999924</v>
      </c>
      <c r="X24" s="21">
        <f>('Kwh Reading'!O27-'Kwh Reading'!O26)*1000</f>
        <v>229.99999999996135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420.00000000007276</v>
      </c>
      <c r="F25" s="21">
        <f>('Kwh Reading'!F28-'Kwh Reading'!F27)*1000000</f>
        <v>2600.0000000001578</v>
      </c>
      <c r="G25" s="21">
        <f>('Kwh Reading'!C28-'Kwh Reading'!C27)*1000</f>
        <v>259.99999999999091</v>
      </c>
      <c r="H25" s="2">
        <f t="shared" si="0"/>
        <v>1009.9999999999909</v>
      </c>
      <c r="I25" s="21">
        <f>('Kwh Reading'!J28-'Kwh Reading'!J27)*1000</f>
        <v>500</v>
      </c>
      <c r="J25" s="21">
        <f>('Kwh Reading'!K28-'Kwh Reading'!K27)*1000</f>
        <v>159.99999999996817</v>
      </c>
      <c r="K25" s="21">
        <f>('Kwh Reading'!L28-'Kwh Reading'!L27)*1000</f>
        <v>350.00000000002274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277.99999999996317</v>
      </c>
      <c r="O25" s="2">
        <f>('Kwh Reading'!B28-'Kwh Reading'!B27)*1000000</f>
        <v>1000.0000000001119</v>
      </c>
      <c r="P25" s="21">
        <f>('Kwh Reading'!M28-'Kwh Reading'!M27)*1000</f>
        <v>379.99999999999545</v>
      </c>
      <c r="Q25" s="2">
        <f>('Kwh Reading'!H28-'Kwh Reading'!H27)*1000000</f>
        <v>600.00000000015598</v>
      </c>
      <c r="R25" s="2">
        <f>('Kwh Reading'!P28-'Kwh Reading'!P27)*1000000</f>
        <v>399.99999999995595</v>
      </c>
      <c r="S25" s="21">
        <f>('Kwh Reading'!G28-'Kwh Reading'!G27)*1000000</f>
        <v>399.99999999995595</v>
      </c>
      <c r="T25" s="21">
        <f>('Kwh Reading'!Q28-'Kwh Reading'!Q27)*1000</f>
        <v>389.99999999998636</v>
      </c>
      <c r="U25" s="21">
        <f>('Kwh Reading'!N28-'Kwh Reading'!N27)*1000</f>
        <v>410.00000000008185</v>
      </c>
      <c r="V25" s="21">
        <f>'Kwh Reading'!E28-'Kwh Reading'!E27</f>
        <v>2256.2799999993294</v>
      </c>
      <c r="W25" s="21">
        <f>'Kwh Reading'!D28-'Kwh Reading'!D27</f>
        <v>1790.9000000000087</v>
      </c>
      <c r="X25" s="21">
        <f>('Kwh Reading'!O28-'Kwh Reading'!O27)*1000</f>
        <v>210.00000000003638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649.99999999997726</v>
      </c>
      <c r="F26" s="21">
        <f>('Kwh Reading'!F29-'Kwh Reading'!F28)*1000000</f>
        <v>2699.9999999999245</v>
      </c>
      <c r="G26" s="21">
        <f>('Kwh Reading'!C29-'Kwh Reading'!C28)*1000</f>
        <v>270.00000000003865</v>
      </c>
      <c r="H26" s="2">
        <f t="shared" si="0"/>
        <v>1589.999999999975</v>
      </c>
      <c r="I26" s="21">
        <f>('Kwh Reading'!J29-'Kwh Reading'!J28)*1000</f>
        <v>589.99999999991815</v>
      </c>
      <c r="J26" s="21">
        <f>('Kwh Reading'!K29-'Kwh Reading'!K28)*1000</f>
        <v>580.00000000004093</v>
      </c>
      <c r="K26" s="21">
        <f>('Kwh Reading'!L29-'Kwh Reading'!L28)*1000</f>
        <v>420.00000000001592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442.00000000000728</v>
      </c>
      <c r="O26" s="2">
        <f>('Kwh Reading'!B29-'Kwh Reading'!B28)*1000000</f>
        <v>1099.9999999998788</v>
      </c>
      <c r="P26" s="21">
        <f>('Kwh Reading'!M29-'Kwh Reading'!M28)*1000</f>
        <v>470.00000000002728</v>
      </c>
      <c r="Q26" s="2">
        <f>('Kwh Reading'!H29-'Kwh Reading'!H28)*1000000</f>
        <v>699.99999999992292</v>
      </c>
      <c r="R26" s="2">
        <f>('Kwh Reading'!P29-'Kwh Reading'!P28)*1000000</f>
        <v>499.99999999994492</v>
      </c>
      <c r="S26" s="21">
        <f>('Kwh Reading'!G29-'Kwh Reading'!G28)*1000000</f>
        <v>499.99999999994492</v>
      </c>
      <c r="T26" s="21">
        <f>('Kwh Reading'!Q29-'Kwh Reading'!Q28)*1000</f>
        <v>440.00000000005457</v>
      </c>
      <c r="U26" s="21">
        <f>('Kwh Reading'!N29-'Kwh Reading'!N28)*1000</f>
        <v>449.99999999993179</v>
      </c>
      <c r="V26" s="21">
        <f>'Kwh Reading'!E29-'Kwh Reading'!E28</f>
        <v>2869.5</v>
      </c>
      <c r="W26" s="21">
        <f>'Kwh Reading'!D29-'Kwh Reading'!D28</f>
        <v>2048.2899999999936</v>
      </c>
      <c r="X26" s="21">
        <f>('Kwh Reading'!O29-'Kwh Reading'!O28)*1000</f>
        <v>250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839.99999999991815</v>
      </c>
      <c r="F27" s="2">
        <f>('Kwh Reading'!F30-'Kwh Reading'!F29)*1000000</f>
        <v>2600.0000000001578</v>
      </c>
      <c r="G27" s="2">
        <f>('Kwh Reading'!C30-'Kwh Reading'!C29)*1000</f>
        <v>279.99999999997272</v>
      </c>
      <c r="H27" s="2">
        <f t="shared" si="0"/>
        <v>1700.0000000001023</v>
      </c>
      <c r="I27" s="2">
        <f>('Kwh Reading'!J30-'Kwh Reading'!J29)*1000</f>
        <v>770.0000000000955</v>
      </c>
      <c r="J27" s="2">
        <f>('Kwh Reading'!K30-'Kwh Reading'!K29)*1000</f>
        <v>460.00000000003638</v>
      </c>
      <c r="K27" s="2">
        <f>('Kwh Reading'!L30-'Kwh Reading'!L29)*1000</f>
        <v>469.99999999997044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370.00000000000455</v>
      </c>
      <c r="O27" s="2">
        <f>('Kwh Reading'!B30-'Kwh Reading'!B29)*1000000</f>
        <v>1100.000000000101</v>
      </c>
      <c r="P27" s="2">
        <f>('Kwh Reading'!M30-'Kwh Reading'!M29)*1000</f>
        <v>439.99999999994088</v>
      </c>
      <c r="Q27" s="2">
        <f>('Kwh Reading'!H30-'Kwh Reading'!H29)*1000000</f>
        <v>699.99999999992292</v>
      </c>
      <c r="R27" s="2">
        <f>('Kwh Reading'!P30-'Kwh Reading'!P29)*1000000</f>
        <v>500.00000000016701</v>
      </c>
      <c r="S27" s="2">
        <f>('Kwh Reading'!G30-'Kwh Reading'!G29)*1000000</f>
        <v>600.00000000015598</v>
      </c>
      <c r="T27" s="2">
        <f>('Kwh Reading'!Q30-'Kwh Reading'!Q29)*1000</f>
        <v>409.99999999996817</v>
      </c>
      <c r="U27" s="2">
        <f>('Kwh Reading'!N30-'Kwh Reading'!N29)*1000</f>
        <v>460.00000000003638</v>
      </c>
      <c r="V27" s="2">
        <f>'Kwh Reading'!E30-'Kwh Reading'!E29</f>
        <v>3090.6200000010431</v>
      </c>
      <c r="W27" s="2">
        <f>'Kwh Reading'!D30-'Kwh Reading'!D29</f>
        <v>1987.3600000000006</v>
      </c>
      <c r="X27" s="21">
        <f>('Kwh Reading'!O30-'Kwh Reading'!O29)*1000</f>
        <v>279.99999999997272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450.00000000004547</v>
      </c>
      <c r="F28" s="2">
        <f>('Kwh Reading'!F31-'Kwh Reading'!F30)*1000000</f>
        <v>2599.9999999997135</v>
      </c>
      <c r="G28" s="2">
        <f>('Kwh Reading'!C31-'Kwh Reading'!C30)*1000</f>
        <v>270.00000000003865</v>
      </c>
      <c r="H28" s="2">
        <f t="shared" si="0"/>
        <v>1559.9999999998886</v>
      </c>
      <c r="I28" s="2">
        <f>('Kwh Reading'!J31-'Kwh Reading'!J30)*1000</f>
        <v>689.99999999994088</v>
      </c>
      <c r="J28" s="2">
        <f>('Kwh Reading'!K31-'Kwh Reading'!K30)*1000</f>
        <v>429.99999999994998</v>
      </c>
      <c r="K28" s="2">
        <f>('Kwh Reading'!L31-'Kwh Reading'!L30)*1000</f>
        <v>439.99999999999773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370.00000000000455</v>
      </c>
      <c r="O28" s="2">
        <f>('Kwh Reading'!B31-'Kwh Reading'!B30)*1000000</f>
        <v>999.99999999988984</v>
      </c>
      <c r="P28" s="2">
        <f>('Kwh Reading'!M31-'Kwh Reading'!M30)*1000</f>
        <v>360.00000000001364</v>
      </c>
      <c r="Q28" s="2">
        <f>('Kwh Reading'!H31-'Kwh Reading'!H30)*1000000</f>
        <v>1300.0000000000789</v>
      </c>
      <c r="R28" s="2">
        <f>('Kwh Reading'!P31-'Kwh Reading'!P30)*1000000</f>
        <v>499.99999999994492</v>
      </c>
      <c r="S28" s="2">
        <f>('Kwh Reading'!G31-'Kwh Reading'!G30)*1000000</f>
        <v>399.99999999995595</v>
      </c>
      <c r="T28" s="2">
        <f>('Kwh Reading'!Q31-'Kwh Reading'!Q30)*1000</f>
        <v>360.00000000001364</v>
      </c>
      <c r="U28" s="2">
        <f>('Kwh Reading'!N31-'Kwh Reading'!N30)*1000</f>
        <v>399.99999999997726</v>
      </c>
      <c r="V28" s="2">
        <f>'Kwh Reading'!E31-'Kwh Reading'!E30</f>
        <v>2456.6399999987334</v>
      </c>
      <c r="W28" s="2">
        <f>'Kwh Reading'!D31-'Kwh Reading'!D30</f>
        <v>1604.6600000000035</v>
      </c>
      <c r="X28" s="21">
        <f>('Kwh Reading'!O31-'Kwh Reading'!O30)*1000</f>
        <v>240.00000000000909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639.99999999998636</v>
      </c>
      <c r="F29" s="2">
        <f>('Kwh Reading'!F32-'Kwh Reading'!F31)*1000000</f>
        <v>2600.0000000001578</v>
      </c>
      <c r="G29" s="2">
        <f>('Kwh Reading'!C32-'Kwh Reading'!C31)*1000</f>
        <v>269.99999999998181</v>
      </c>
      <c r="H29" s="2">
        <f t="shared" si="0"/>
        <v>1860.0000000000136</v>
      </c>
      <c r="I29" s="2">
        <f>('Kwh Reading'!J32-'Kwh Reading'!J31)*1000</f>
        <v>899.99999999997726</v>
      </c>
      <c r="J29" s="2">
        <f>('Kwh Reading'!K32-'Kwh Reading'!K31)*1000</f>
        <v>490.00000000000909</v>
      </c>
      <c r="K29" s="2">
        <f>('Kwh Reading'!L32-'Kwh Reading'!L31)*1000</f>
        <v>470.00000000002728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350.00000000002274</v>
      </c>
      <c r="O29" s="2">
        <f>('Kwh Reading'!B32-'Kwh Reading'!B31)*1000000</f>
        <v>1200.0000000000898</v>
      </c>
      <c r="P29" s="2">
        <f>('Kwh Reading'!M32-'Kwh Reading'!M31)*1000</f>
        <v>409.99999999996817</v>
      </c>
      <c r="Q29" s="2">
        <f>('Kwh Reading'!H32-'Kwh Reading'!H31)*1000000</f>
        <v>99.999999999988987</v>
      </c>
      <c r="R29" s="2">
        <f>('Kwh Reading'!P32-'Kwh Reading'!P31)*1000000</f>
        <v>599.99999999993395</v>
      </c>
      <c r="S29" s="2">
        <f>('Kwh Reading'!G32-'Kwh Reading'!G31)*1000000</f>
        <v>599.99999999993395</v>
      </c>
      <c r="T29" s="2">
        <f>('Kwh Reading'!Q32-'Kwh Reading'!Q31)*1000</f>
        <v>409.99999999996817</v>
      </c>
      <c r="U29" s="2">
        <f>('Kwh Reading'!N32-'Kwh Reading'!N31)*1000</f>
        <v>480.00000000001819</v>
      </c>
      <c r="V29" s="2">
        <f>'Kwh Reading'!E32-'Kwh Reading'!E31</f>
        <v>2756.2000000011176</v>
      </c>
      <c r="W29" s="2">
        <f>'Kwh Reading'!D32-'Kwh Reading'!D31</f>
        <v>1762.7799999999988</v>
      </c>
      <c r="X29" s="21">
        <f>('Kwh Reading'!O32-'Kwh Reading'!O31)*1000</f>
        <v>240.00000000000909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620.00000000000455</v>
      </c>
      <c r="F30" s="2">
        <f>('Kwh Reading'!F33-'Kwh Reading'!F32)*1000000</f>
        <v>2699.9999999999245</v>
      </c>
      <c r="G30" s="2">
        <f>('Kwh Reading'!C33-'Kwh Reading'!C32)*1000</f>
        <v>279.99999999997272</v>
      </c>
      <c r="H30" s="2">
        <f t="shared" si="0"/>
        <v>1990.0000000000091</v>
      </c>
      <c r="I30" s="2">
        <f>('Kwh Reading'!J33-'Kwh Reading'!J32)*1000</f>
        <v>970.00000000002728</v>
      </c>
      <c r="J30" s="2">
        <f>('Kwh Reading'!K33-'Kwh Reading'!K32)*1000</f>
        <v>509.99999999999091</v>
      </c>
      <c r="K30" s="2">
        <f>('Kwh Reading'!L33-'Kwh Reading'!L32)*1000</f>
        <v>509.99999999999091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310.00000000000227</v>
      </c>
      <c r="O30" s="2">
        <f>('Kwh Reading'!B33-'Kwh Reading'!B32)*1000000</f>
        <v>1099.9999999998788</v>
      </c>
      <c r="P30" s="2">
        <f>('Kwh Reading'!M33-'Kwh Reading'!M32)*1000</f>
        <v>450.00000000004547</v>
      </c>
      <c r="Q30" s="2">
        <f>('Kwh Reading'!H33-'Kwh Reading'!H32)*1000000</f>
        <v>799.99999999991189</v>
      </c>
      <c r="R30" s="2">
        <f>('Kwh Reading'!P33-'Kwh Reading'!P32)*1000000</f>
        <v>499.99999999994492</v>
      </c>
      <c r="S30" s="2">
        <f>('Kwh Reading'!G33-'Kwh Reading'!G32)*1000000</f>
        <v>499.99999999994492</v>
      </c>
      <c r="T30" s="2">
        <f>('Kwh Reading'!Q33-'Kwh Reading'!Q32)*1000</f>
        <v>450.00000000004547</v>
      </c>
      <c r="U30" s="2">
        <f>('Kwh Reading'!N33-'Kwh Reading'!N32)*1000</f>
        <v>460.00000000003638</v>
      </c>
      <c r="V30" s="2">
        <f>'Kwh Reading'!E33-'Kwh Reading'!E32</f>
        <v>2841.7599999997765</v>
      </c>
      <c r="W30" s="2">
        <f>'Kwh Reading'!D33-'Kwh Reading'!D32</f>
        <v>1921.6199999999953</v>
      </c>
      <c r="X30" s="21">
        <f>('Kwh Reading'!O33-'Kwh Reading'!O32)*1000</f>
        <v>269.99999999998181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-684270</v>
      </c>
      <c r="F31" s="2">
        <f>('Kwh Reading'!F34-'Kwh Reading'!F33)*1000000</f>
        <v>-3804300</v>
      </c>
      <c r="G31" s="2">
        <f>('Kwh Reading'!C34-'Kwh Reading'!C33)*1000</f>
        <v>-367400</v>
      </c>
      <c r="H31" s="2">
        <f t="shared" si="0"/>
        <v>-1453940</v>
      </c>
      <c r="I31" s="2">
        <f>('Kwh Reading'!J34-'Kwh Reading'!J33)*1000</f>
        <v>-567010</v>
      </c>
      <c r="J31" s="2">
        <f>('Kwh Reading'!K34-'Kwh Reading'!K33)*1000</f>
        <v>-524380</v>
      </c>
      <c r="K31" s="2">
        <f>('Kwh Reading'!L34-'Kwh Reading'!L33)*1000</f>
        <v>-362550</v>
      </c>
      <c r="L31" s="2">
        <f>('Kwh Reading'!R34-'Kwh Reading'!R33)*1000</f>
        <v>-190150</v>
      </c>
      <c r="M31" s="2">
        <f>('Kwh Reading'!S34-'Kwh Reading'!S33)*1000</f>
        <v>-179050</v>
      </c>
      <c r="N31" s="2">
        <f>('Kwh Reading'!I34-'Kwh Reading'!I33)*1000</f>
        <v>-399290</v>
      </c>
      <c r="O31" s="2">
        <f>('Kwh Reading'!B34-'Kwh Reading'!B33)*1000000</f>
        <v>-1599600</v>
      </c>
      <c r="P31" s="2">
        <f>('Kwh Reading'!M34-'Kwh Reading'!M33)*1000</f>
        <v>-886740</v>
      </c>
      <c r="Q31" s="2">
        <f>('Kwh Reading'!H34-'Kwh Reading'!H33)*1000000</f>
        <v>-1107600</v>
      </c>
      <c r="R31" s="2">
        <f>('Kwh Reading'!P34-'Kwh Reading'!P33)*1000000</f>
        <v>-1075600</v>
      </c>
      <c r="S31" s="2">
        <f>('Kwh Reading'!G34-'Kwh Reading'!G33)*1000000</f>
        <v>-1180200</v>
      </c>
      <c r="T31" s="2">
        <f>('Kwh Reading'!Q34-'Kwh Reading'!Q33)*1000</f>
        <v>-779110</v>
      </c>
      <c r="U31" s="2">
        <f>('Kwh Reading'!N34-'Kwh Reading'!N33)*1000</f>
        <v>-801590</v>
      </c>
      <c r="V31" s="2">
        <f>'Kwh Reading'!E34-'Kwh Reading'!E33</f>
        <v>-9636263.5700000003</v>
      </c>
      <c r="W31" s="2">
        <f>'Kwh Reading'!D34-'Kwh Reading'!D33</f>
        <v>-130583.01</v>
      </c>
      <c r="X31" s="21">
        <f>('Kwh Reading'!O34-'Kwh Reading'!O33)*1000</f>
        <v>-268330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-359650</v>
      </c>
      <c r="H32" s="60"/>
      <c r="I32" s="60">
        <f>SUM(I2:I31)</f>
        <v>-551630</v>
      </c>
      <c r="J32" s="60">
        <f t="shared" ref="J32:X32" si="2">SUM(J2:J31)</f>
        <v>-514230</v>
      </c>
      <c r="K32" s="60">
        <f t="shared" si="2"/>
        <v>-352970</v>
      </c>
      <c r="L32" s="60">
        <f t="shared" si="2"/>
        <v>-190150</v>
      </c>
      <c r="M32" s="60">
        <f t="shared" si="2"/>
        <v>-179050</v>
      </c>
      <c r="N32" s="60">
        <f t="shared" si="2"/>
        <v>-390720</v>
      </c>
      <c r="O32" s="60">
        <f t="shared" si="2"/>
        <v>-1570200.0000000002</v>
      </c>
      <c r="P32" s="60">
        <f t="shared" si="2"/>
        <v>-875559.99999999988</v>
      </c>
      <c r="Q32" s="60">
        <f t="shared" si="2"/>
        <v>-1091600</v>
      </c>
      <c r="R32" s="60">
        <f t="shared" si="2"/>
        <v>-1062700</v>
      </c>
      <c r="S32" s="60">
        <f t="shared" si="2"/>
        <v>-1166700.0000000002</v>
      </c>
      <c r="T32" s="60">
        <f t="shared" si="2"/>
        <v>-769610</v>
      </c>
      <c r="U32" s="60">
        <f t="shared" si="2"/>
        <v>-791510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-261560.00000000003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8" activePane="bottomLeft" state="frozen"/>
      <selection pane="bottomLeft" activeCell="T33" sqref="T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1"/>
      <c r="V1" s="61"/>
    </row>
    <row r="2" spans="1:25" s="12" customFormat="1" ht="33" customHeight="1" x14ac:dyDescent="0.25">
      <c r="A2" s="22" t="s">
        <v>2</v>
      </c>
      <c r="B2" s="145" t="s">
        <v>113</v>
      </c>
      <c r="C2" s="145" t="s">
        <v>11</v>
      </c>
      <c r="D2" s="145" t="s">
        <v>12</v>
      </c>
      <c r="E2" s="145" t="s">
        <v>13</v>
      </c>
      <c r="F2" s="145" t="s">
        <v>14</v>
      </c>
      <c r="G2" s="150" t="s">
        <v>119</v>
      </c>
      <c r="H2" s="152" t="s">
        <v>15</v>
      </c>
      <c r="I2" s="145" t="s">
        <v>16</v>
      </c>
      <c r="J2" s="155" t="s">
        <v>17</v>
      </c>
      <c r="K2" s="156"/>
      <c r="L2" s="157"/>
      <c r="M2" s="150" t="s">
        <v>18</v>
      </c>
      <c r="N2" s="152" t="s">
        <v>19</v>
      </c>
      <c r="O2" s="153" t="s">
        <v>20</v>
      </c>
      <c r="P2" s="152" t="s">
        <v>21</v>
      </c>
      <c r="Q2" s="158" t="s">
        <v>22</v>
      </c>
      <c r="R2" s="145" t="s">
        <v>23</v>
      </c>
      <c r="S2" s="145" t="s">
        <v>24</v>
      </c>
      <c r="T2" s="145" t="s">
        <v>25</v>
      </c>
      <c r="V2" s="147" t="s">
        <v>6</v>
      </c>
      <c r="W2" s="147" t="s">
        <v>7</v>
      </c>
      <c r="X2" s="147" t="s">
        <v>8</v>
      </c>
    </row>
    <row r="3" spans="1:25" s="12" customFormat="1" ht="45" customHeight="1" x14ac:dyDescent="0.25">
      <c r="A3" s="23"/>
      <c r="B3" s="146"/>
      <c r="C3" s="146"/>
      <c r="D3" s="146"/>
      <c r="E3" s="146"/>
      <c r="F3" s="146"/>
      <c r="G3" s="151"/>
      <c r="H3" s="152"/>
      <c r="I3" s="146"/>
      <c r="J3" s="13" t="s">
        <v>26</v>
      </c>
      <c r="K3" s="13" t="s">
        <v>27</v>
      </c>
      <c r="L3" s="13" t="s">
        <v>28</v>
      </c>
      <c r="M3" s="151"/>
      <c r="N3" s="152"/>
      <c r="O3" s="154"/>
      <c r="P3" s="152"/>
      <c r="Q3" s="159"/>
      <c r="R3" s="146"/>
      <c r="S3" s="146"/>
      <c r="T3" s="146"/>
      <c r="V3" s="147"/>
      <c r="W3" s="147"/>
      <c r="X3" s="147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>
        <v>1.5862000000000001</v>
      </c>
      <c r="C20" s="90">
        <v>363.9</v>
      </c>
      <c r="D20" s="90">
        <v>108536.95</v>
      </c>
      <c r="E20" s="90">
        <v>9603588.8100000005</v>
      </c>
      <c r="F20" s="90">
        <v>3.7713000000000001</v>
      </c>
      <c r="G20" s="90">
        <v>1.1738999999999999</v>
      </c>
      <c r="H20" s="90">
        <v>1.0995999999999999</v>
      </c>
      <c r="I20" s="90">
        <v>395.14</v>
      </c>
      <c r="J20" s="90">
        <v>558.83000000000004</v>
      </c>
      <c r="K20" s="90">
        <v>518.96</v>
      </c>
      <c r="L20" s="90">
        <v>357.33</v>
      </c>
      <c r="M20" s="90">
        <v>881.65</v>
      </c>
      <c r="N20" s="90">
        <v>796.45</v>
      </c>
      <c r="O20" s="90">
        <v>265.22000000000003</v>
      </c>
      <c r="P20" s="90">
        <v>1.0697000000000001</v>
      </c>
      <c r="Q20" s="90">
        <v>774.09</v>
      </c>
      <c r="R20" s="88">
        <v>190.15</v>
      </c>
      <c r="S20" s="90">
        <v>179.05</v>
      </c>
      <c r="T20" s="90">
        <v>677.26</v>
      </c>
      <c r="V20" s="84"/>
      <c r="W20" s="84"/>
      <c r="X20" s="84"/>
      <c r="Y20" s="12"/>
    </row>
    <row r="21" spans="1:25" ht="21" customHeight="1" x14ac:dyDescent="0.25">
      <c r="A21" s="6">
        <v>44913</v>
      </c>
      <c r="B21" s="89">
        <v>1.5872999999999999</v>
      </c>
      <c r="C21" s="90">
        <v>364.17</v>
      </c>
      <c r="D21" s="90">
        <v>110178.28</v>
      </c>
      <c r="E21" s="90">
        <v>9605738.8300000001</v>
      </c>
      <c r="F21" s="90">
        <v>3.774</v>
      </c>
      <c r="G21" s="90">
        <v>1.1744000000000001</v>
      </c>
      <c r="H21" s="90">
        <v>1.1002000000000001</v>
      </c>
      <c r="I21" s="90">
        <v>395.42</v>
      </c>
      <c r="J21" s="89">
        <v>559.26</v>
      </c>
      <c r="K21" s="90">
        <v>519.28</v>
      </c>
      <c r="L21" s="90">
        <v>357.68</v>
      </c>
      <c r="M21" s="90">
        <v>882.11</v>
      </c>
      <c r="N21" s="90">
        <v>796.83</v>
      </c>
      <c r="O21" s="90">
        <v>265.49</v>
      </c>
      <c r="P21" s="90">
        <v>1.0701000000000001</v>
      </c>
      <c r="Q21" s="90">
        <v>774.48</v>
      </c>
      <c r="R21" s="88">
        <v>190.15</v>
      </c>
      <c r="S21" s="90">
        <v>179.05</v>
      </c>
      <c r="T21" s="90">
        <v>677.52</v>
      </c>
      <c r="V21" s="84"/>
      <c r="W21" s="84"/>
      <c r="X21" s="84"/>
      <c r="Y21" s="12"/>
    </row>
    <row r="22" spans="1:25" ht="21" customHeight="1" x14ac:dyDescent="0.25">
      <c r="A22" s="6">
        <v>44914</v>
      </c>
      <c r="B22" s="89">
        <v>1.5883</v>
      </c>
      <c r="C22" s="90">
        <v>364.42</v>
      </c>
      <c r="D22" s="90">
        <v>111879.12</v>
      </c>
      <c r="E22" s="90">
        <v>9608207.9900000002</v>
      </c>
      <c r="F22" s="90">
        <v>3.7765</v>
      </c>
      <c r="G22" s="90">
        <v>1.1749000000000001</v>
      </c>
      <c r="H22" s="90">
        <v>1.1007</v>
      </c>
      <c r="I22" s="90">
        <v>395.68</v>
      </c>
      <c r="J22" s="89">
        <v>559.78</v>
      </c>
      <c r="K22" s="90">
        <v>519.69000000000005</v>
      </c>
      <c r="L22" s="90">
        <v>358.03</v>
      </c>
      <c r="M22" s="90">
        <v>882.49</v>
      </c>
      <c r="N22" s="90">
        <v>797.19</v>
      </c>
      <c r="O22" s="90">
        <v>265.7</v>
      </c>
      <c r="P22" s="90">
        <v>1.0706</v>
      </c>
      <c r="Q22" s="90">
        <v>774.83</v>
      </c>
      <c r="R22" s="88">
        <v>190.15</v>
      </c>
      <c r="S22" s="90">
        <v>179.05</v>
      </c>
      <c r="T22" s="90">
        <v>678.03</v>
      </c>
      <c r="V22" s="84"/>
      <c r="W22" s="84"/>
      <c r="X22" s="84"/>
      <c r="Y22" s="12"/>
    </row>
    <row r="23" spans="1:25" ht="21" customHeight="1" x14ac:dyDescent="0.25">
      <c r="A23" s="6">
        <v>44915</v>
      </c>
      <c r="B23" s="89">
        <v>1.5891999999999999</v>
      </c>
      <c r="C23" s="90">
        <v>364.68</v>
      </c>
      <c r="D23" s="90">
        <v>113312.65</v>
      </c>
      <c r="E23" s="90">
        <v>9610570.5899999999</v>
      </c>
      <c r="F23" s="90">
        <v>3.7789000000000001</v>
      </c>
      <c r="G23" s="90">
        <v>1.1753</v>
      </c>
      <c r="H23" s="90">
        <v>1.1012</v>
      </c>
      <c r="I23" s="90">
        <v>395.97</v>
      </c>
      <c r="J23" s="90">
        <v>560.45000000000005</v>
      </c>
      <c r="K23" s="90">
        <v>520.14</v>
      </c>
      <c r="L23" s="90">
        <v>358.42</v>
      </c>
      <c r="M23" s="90">
        <v>882.85</v>
      </c>
      <c r="N23" s="90">
        <v>797.55</v>
      </c>
      <c r="O23" s="90">
        <v>265.92</v>
      </c>
      <c r="P23" s="90">
        <v>1.071</v>
      </c>
      <c r="Q23" s="90">
        <v>775.15</v>
      </c>
      <c r="R23" s="88">
        <v>190.15</v>
      </c>
      <c r="S23" s="90">
        <v>179.05</v>
      </c>
      <c r="T23" s="90">
        <v>678.49</v>
      </c>
      <c r="V23" s="84"/>
      <c r="W23" s="84"/>
      <c r="X23" s="84"/>
      <c r="Y23" s="12"/>
    </row>
    <row r="24" spans="1:25" ht="21" customHeight="1" x14ac:dyDescent="0.25">
      <c r="A24" s="6">
        <v>44916</v>
      </c>
      <c r="B24" s="89">
        <v>1.5902000000000001</v>
      </c>
      <c r="C24" s="90">
        <v>364.95</v>
      </c>
      <c r="D24" s="90">
        <v>114752.86</v>
      </c>
      <c r="E24" s="90">
        <v>9612846.0399999991</v>
      </c>
      <c r="F24" s="90">
        <v>3.7812000000000001</v>
      </c>
      <c r="G24" s="90">
        <v>1.1758</v>
      </c>
      <c r="H24" s="90">
        <v>1.1016999999999999</v>
      </c>
      <c r="I24" s="90">
        <v>396.25</v>
      </c>
      <c r="J24" s="90">
        <v>561.03</v>
      </c>
      <c r="K24" s="90">
        <v>520.53</v>
      </c>
      <c r="L24" s="90">
        <v>358.8</v>
      </c>
      <c r="M24" s="90">
        <v>883.18</v>
      </c>
      <c r="N24" s="90">
        <v>797.86</v>
      </c>
      <c r="O24" s="90">
        <v>266.12</v>
      </c>
      <c r="P24" s="90">
        <v>1.0713999999999999</v>
      </c>
      <c r="Q24" s="90">
        <v>775.5</v>
      </c>
      <c r="R24" s="88">
        <v>190.15</v>
      </c>
      <c r="S24" s="90">
        <v>179.05</v>
      </c>
      <c r="T24" s="90">
        <v>679.1</v>
      </c>
      <c r="V24" s="84"/>
      <c r="W24" s="84"/>
      <c r="X24" s="84"/>
      <c r="Y24" s="12"/>
    </row>
    <row r="25" spans="1:25" ht="21" customHeight="1" x14ac:dyDescent="0.25">
      <c r="A25" s="6">
        <v>44917</v>
      </c>
      <c r="B25" s="89">
        <v>1.591</v>
      </c>
      <c r="C25" s="90">
        <v>365.22</v>
      </c>
      <c r="D25" s="90">
        <v>116215.54</v>
      </c>
      <c r="E25" s="90">
        <v>9615076</v>
      </c>
      <c r="F25" s="90">
        <v>3.7835999999999999</v>
      </c>
      <c r="G25" s="90">
        <v>1.1761999999999999</v>
      </c>
      <c r="H25" s="90">
        <v>1.1022000000000001</v>
      </c>
      <c r="I25" s="90">
        <v>396.53</v>
      </c>
      <c r="J25" s="90">
        <v>561.54</v>
      </c>
      <c r="K25" s="90">
        <v>520.92999999999995</v>
      </c>
      <c r="L25" s="90">
        <v>359.14</v>
      </c>
      <c r="M25" s="90">
        <v>883.49</v>
      </c>
      <c r="N25" s="90">
        <v>798.15</v>
      </c>
      <c r="O25" s="90">
        <v>266.39</v>
      </c>
      <c r="P25" s="90">
        <v>1.0717000000000001</v>
      </c>
      <c r="Q25" s="90">
        <v>775.85</v>
      </c>
      <c r="R25" s="88">
        <v>190.15</v>
      </c>
      <c r="S25" s="90">
        <v>179.05</v>
      </c>
      <c r="T25" s="90">
        <v>679.6</v>
      </c>
      <c r="V25" s="84"/>
      <c r="W25" s="84"/>
      <c r="X25" s="84"/>
      <c r="Y25" s="12"/>
    </row>
    <row r="26" spans="1:25" ht="21" customHeight="1" x14ac:dyDescent="0.25">
      <c r="A26" s="6">
        <v>44918</v>
      </c>
      <c r="B26" s="106">
        <v>1.5920000000000001</v>
      </c>
      <c r="C26" s="90">
        <v>365.5</v>
      </c>
      <c r="D26" s="90">
        <v>117753.58</v>
      </c>
      <c r="E26" s="90">
        <v>9617458.5800000001</v>
      </c>
      <c r="F26" s="90">
        <v>3.786</v>
      </c>
      <c r="G26" s="90">
        <v>1.1767000000000001</v>
      </c>
      <c r="H26" s="90">
        <v>1.1028</v>
      </c>
      <c r="I26" s="90">
        <v>396.82</v>
      </c>
      <c r="J26" s="90">
        <v>562.07000000000005</v>
      </c>
      <c r="K26" s="90">
        <v>521.32000000000005</v>
      </c>
      <c r="L26" s="90">
        <v>359.49</v>
      </c>
      <c r="M26" s="90">
        <v>883.82</v>
      </c>
      <c r="N26" s="90">
        <v>798.49</v>
      </c>
      <c r="O26" s="90">
        <v>266.61</v>
      </c>
      <c r="P26" s="90">
        <v>1.0721000000000001</v>
      </c>
      <c r="Q26" s="90">
        <v>776.24</v>
      </c>
      <c r="R26" s="88">
        <v>190.15</v>
      </c>
      <c r="S26" s="90">
        <v>179.05</v>
      </c>
      <c r="T26" s="90">
        <v>680.11</v>
      </c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>
        <v>1.5931</v>
      </c>
      <c r="C27" s="123">
        <v>365.77</v>
      </c>
      <c r="D27" s="101">
        <v>119467.4</v>
      </c>
      <c r="E27" s="101">
        <v>9619992.5700000003</v>
      </c>
      <c r="F27" s="101">
        <v>3.7885</v>
      </c>
      <c r="G27" s="101">
        <v>1.1772</v>
      </c>
      <c r="H27" s="101">
        <v>1.1033999999999999</v>
      </c>
      <c r="I27" s="101">
        <v>397.17</v>
      </c>
      <c r="J27" s="101">
        <v>562.59</v>
      </c>
      <c r="K27" s="101">
        <v>521.75</v>
      </c>
      <c r="L27" s="101">
        <v>359.89</v>
      </c>
      <c r="M27" s="101">
        <v>884.23</v>
      </c>
      <c r="N27" s="101">
        <v>798.93</v>
      </c>
      <c r="O27" s="101">
        <v>266.83999999999997</v>
      </c>
      <c r="P27" s="101">
        <v>1.0726</v>
      </c>
      <c r="Q27" s="101">
        <v>776.65</v>
      </c>
      <c r="R27" s="88">
        <v>190.15</v>
      </c>
      <c r="S27" s="90">
        <v>179.05</v>
      </c>
      <c r="T27" s="101">
        <v>680.65</v>
      </c>
      <c r="V27" s="107"/>
      <c r="W27" s="107"/>
      <c r="X27" s="107"/>
      <c r="Y27" s="108"/>
    </row>
    <row r="28" spans="1:25" ht="21" customHeight="1" x14ac:dyDescent="0.25">
      <c r="A28" s="6">
        <v>44920</v>
      </c>
      <c r="B28" s="87">
        <v>1.5941000000000001</v>
      </c>
      <c r="C28" s="87">
        <v>366.03</v>
      </c>
      <c r="D28" s="90">
        <v>121258.3</v>
      </c>
      <c r="E28" s="90">
        <v>9622248.8499999996</v>
      </c>
      <c r="F28" s="90">
        <v>3.7911000000000001</v>
      </c>
      <c r="G28" s="90">
        <v>1.1776</v>
      </c>
      <c r="H28" s="101">
        <v>1.1040000000000001</v>
      </c>
      <c r="I28" s="90">
        <v>397.44799999999998</v>
      </c>
      <c r="J28" s="90">
        <v>563.09</v>
      </c>
      <c r="K28" s="90">
        <v>521.91</v>
      </c>
      <c r="L28" s="90">
        <v>360.24</v>
      </c>
      <c r="M28" s="90">
        <v>884.61</v>
      </c>
      <c r="N28" s="90">
        <v>799.34</v>
      </c>
      <c r="O28" s="90">
        <v>267.05</v>
      </c>
      <c r="P28" s="90">
        <v>1.073</v>
      </c>
      <c r="Q28" s="90">
        <v>777.04</v>
      </c>
      <c r="R28" s="88">
        <v>190.15</v>
      </c>
      <c r="S28" s="90">
        <v>179.05</v>
      </c>
      <c r="T28" s="90">
        <v>681.07</v>
      </c>
      <c r="V28" s="84"/>
      <c r="W28" s="84"/>
      <c r="X28" s="84"/>
      <c r="Y28" s="12"/>
    </row>
    <row r="29" spans="1:25" ht="21" customHeight="1" x14ac:dyDescent="0.25">
      <c r="A29" s="6">
        <v>44921</v>
      </c>
      <c r="B29" s="89">
        <v>1.5952</v>
      </c>
      <c r="C29" s="90">
        <v>366.3</v>
      </c>
      <c r="D29" s="90">
        <v>123306.59</v>
      </c>
      <c r="E29" s="90">
        <v>9625118.3499999996</v>
      </c>
      <c r="F29" s="90">
        <v>3.7938000000000001</v>
      </c>
      <c r="G29" s="90">
        <v>1.1780999999999999</v>
      </c>
      <c r="H29" s="90">
        <v>1.1047</v>
      </c>
      <c r="I29" s="90">
        <v>397.89</v>
      </c>
      <c r="J29" s="90">
        <v>563.67999999999995</v>
      </c>
      <c r="K29" s="90">
        <v>522.49</v>
      </c>
      <c r="L29" s="90">
        <v>360.66</v>
      </c>
      <c r="M29" s="90">
        <v>885.08</v>
      </c>
      <c r="N29" s="90">
        <v>799.79</v>
      </c>
      <c r="O29" s="90">
        <v>267.3</v>
      </c>
      <c r="P29" s="90">
        <v>1.0734999999999999</v>
      </c>
      <c r="Q29" s="90">
        <v>777.48</v>
      </c>
      <c r="R29" s="88">
        <v>190.15</v>
      </c>
      <c r="S29" s="90">
        <v>179.05</v>
      </c>
      <c r="T29" s="90">
        <v>681.72</v>
      </c>
      <c r="V29" s="84"/>
      <c r="W29" s="84"/>
      <c r="X29" s="84"/>
      <c r="Y29" s="12"/>
    </row>
    <row r="30" spans="1:25" ht="21" customHeight="1" x14ac:dyDescent="0.25">
      <c r="A30" s="6">
        <v>44922</v>
      </c>
      <c r="B30" s="89">
        <v>1.5963000000000001</v>
      </c>
      <c r="C30" s="90">
        <v>366.58</v>
      </c>
      <c r="D30" s="90">
        <v>125293.95</v>
      </c>
      <c r="E30" s="90">
        <v>9628208.9700000007</v>
      </c>
      <c r="F30" s="90">
        <v>3.7964000000000002</v>
      </c>
      <c r="G30" s="90">
        <v>1.1787000000000001</v>
      </c>
      <c r="H30" s="90">
        <v>1.1053999999999999</v>
      </c>
      <c r="I30" s="90">
        <v>398.26</v>
      </c>
      <c r="J30" s="90">
        <v>564.45000000000005</v>
      </c>
      <c r="K30" s="90">
        <v>522.95000000000005</v>
      </c>
      <c r="L30" s="90">
        <v>361.13</v>
      </c>
      <c r="M30" s="90">
        <v>885.52</v>
      </c>
      <c r="N30" s="90">
        <v>800.25</v>
      </c>
      <c r="O30" s="90">
        <v>267.58</v>
      </c>
      <c r="P30" s="90">
        <v>1.0740000000000001</v>
      </c>
      <c r="Q30" s="90">
        <v>777.89</v>
      </c>
      <c r="R30" s="88">
        <v>190.15</v>
      </c>
      <c r="S30" s="90">
        <v>179.05</v>
      </c>
      <c r="T30" s="90">
        <v>682.56</v>
      </c>
      <c r="V30" s="84"/>
      <c r="W30" s="84"/>
      <c r="X30" s="84"/>
      <c r="Y30" s="12"/>
    </row>
    <row r="31" spans="1:25" ht="21" customHeight="1" x14ac:dyDescent="0.25">
      <c r="A31" s="6">
        <v>44923</v>
      </c>
      <c r="B31" s="89">
        <v>1.5972999999999999</v>
      </c>
      <c r="C31" s="90">
        <v>366.85</v>
      </c>
      <c r="D31" s="90">
        <v>126898.61</v>
      </c>
      <c r="E31" s="90">
        <v>9630665.6099999994</v>
      </c>
      <c r="F31" s="90">
        <v>3.7989999999999999</v>
      </c>
      <c r="G31" s="90">
        <v>1.1791</v>
      </c>
      <c r="H31" s="90">
        <v>1.1067</v>
      </c>
      <c r="I31" s="90">
        <v>398.63</v>
      </c>
      <c r="J31" s="90">
        <v>565.14</v>
      </c>
      <c r="K31" s="90">
        <v>523.38</v>
      </c>
      <c r="L31" s="90">
        <v>361.57</v>
      </c>
      <c r="M31" s="90">
        <v>885.88</v>
      </c>
      <c r="N31" s="90">
        <v>800.65</v>
      </c>
      <c r="O31" s="90">
        <v>267.82</v>
      </c>
      <c r="P31" s="90">
        <v>1.0745</v>
      </c>
      <c r="Q31" s="90">
        <v>778.25</v>
      </c>
      <c r="R31" s="88">
        <v>190.15</v>
      </c>
      <c r="S31" s="90">
        <v>179.05</v>
      </c>
      <c r="T31" s="90">
        <v>683.01</v>
      </c>
      <c r="V31" s="84"/>
      <c r="W31" s="84"/>
      <c r="X31" s="84"/>
      <c r="Y31" s="12"/>
    </row>
    <row r="32" spans="1:25" ht="19.5" customHeight="1" x14ac:dyDescent="0.25">
      <c r="A32" s="6">
        <v>44924</v>
      </c>
      <c r="B32" s="87">
        <v>1.5985</v>
      </c>
      <c r="C32" s="87">
        <v>367.12</v>
      </c>
      <c r="D32" s="87">
        <v>128661.39</v>
      </c>
      <c r="E32" s="92">
        <v>9633421.8100000005</v>
      </c>
      <c r="F32" s="87">
        <v>3.8016000000000001</v>
      </c>
      <c r="G32" s="87">
        <v>1.1797</v>
      </c>
      <c r="H32" s="87">
        <v>1.1068</v>
      </c>
      <c r="I32" s="87">
        <v>398.98</v>
      </c>
      <c r="J32" s="87">
        <v>566.04</v>
      </c>
      <c r="K32" s="87">
        <v>523.87</v>
      </c>
      <c r="L32" s="87">
        <v>362.04</v>
      </c>
      <c r="M32" s="87">
        <v>886.29</v>
      </c>
      <c r="N32" s="87">
        <v>801.13</v>
      </c>
      <c r="O32" s="87">
        <v>268.06</v>
      </c>
      <c r="P32" s="87">
        <v>1.0750999999999999</v>
      </c>
      <c r="Q32" s="87">
        <v>778.66</v>
      </c>
      <c r="R32" s="88">
        <v>190.15</v>
      </c>
      <c r="S32" s="90">
        <v>179.05</v>
      </c>
      <c r="T32" s="87">
        <v>683.65</v>
      </c>
      <c r="V32" s="84"/>
      <c r="W32" s="84"/>
      <c r="X32" s="84"/>
      <c r="Y32" s="12"/>
    </row>
    <row r="33" spans="1:24" ht="19.5" customHeight="1" x14ac:dyDescent="0.25">
      <c r="A33" s="6">
        <v>44925</v>
      </c>
      <c r="B33" s="96">
        <v>1.5995999999999999</v>
      </c>
      <c r="C33" s="96">
        <v>367.4</v>
      </c>
      <c r="D33" s="1">
        <v>130583.01</v>
      </c>
      <c r="E33" s="1">
        <v>9636263.5700000003</v>
      </c>
      <c r="F33" s="96">
        <v>3.8043</v>
      </c>
      <c r="G33" s="96">
        <v>1.1801999999999999</v>
      </c>
      <c r="H33" s="96">
        <v>1.1075999999999999</v>
      </c>
      <c r="I33" s="96">
        <v>399.29</v>
      </c>
      <c r="J33" s="96">
        <v>567.01</v>
      </c>
      <c r="K33" s="96">
        <v>524.38</v>
      </c>
      <c r="L33" s="96">
        <v>362.55</v>
      </c>
      <c r="M33" s="96">
        <v>886.74</v>
      </c>
      <c r="N33" s="96">
        <v>801.59</v>
      </c>
      <c r="O33" s="96">
        <v>268.33</v>
      </c>
      <c r="P33" s="96">
        <v>1.0755999999999999</v>
      </c>
      <c r="Q33" s="96">
        <v>779.11</v>
      </c>
      <c r="R33" s="88">
        <v>190.15</v>
      </c>
      <c r="S33" s="90">
        <v>179.05</v>
      </c>
      <c r="T33" s="96">
        <v>684.27</v>
      </c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J25" sqref="J25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19269.999999999527</v>
      </c>
      <c r="C18" s="1">
        <f>Submeters!E17</f>
        <v>529.99999999997272</v>
      </c>
      <c r="D18" s="1">
        <f>Submeters!F17</f>
        <v>2499.9999999999468</v>
      </c>
      <c r="E18" s="1">
        <f>Submeters!G17</f>
        <v>269.99999999998181</v>
      </c>
      <c r="F18" s="1">
        <f>(Submeters!I17+Submeters!J17+Submeters!K17)</f>
        <v>1090.0000000000887</v>
      </c>
      <c r="G18" s="1">
        <f>(Submeters!L17+Submeters!M17)</f>
        <v>0</v>
      </c>
      <c r="H18" s="1">
        <f>(Submeters!N17+Submeters!O17)</f>
        <v>1400.0000000001123</v>
      </c>
      <c r="I18" s="1">
        <f>(Submeters!P17+Submeters!Q17+Submeters!R17+Submeters!S17+Submeters!T17+Submeters!U17)</f>
        <v>2560.0000000000364</v>
      </c>
      <c r="J18" s="1">
        <f>(Submeters!V17+Submeters!W17)</f>
        <v>4077.450000000521</v>
      </c>
      <c r="K18" s="1">
        <f>Submeters!X17</f>
        <v>190.00000000005457</v>
      </c>
      <c r="L18" s="24">
        <f t="shared" si="0"/>
        <v>6652.5499999988133</v>
      </c>
    </row>
    <row r="19" spans="1:12" x14ac:dyDescent="0.25">
      <c r="A19" s="10">
        <f>'Kwh Reading'!A20</f>
        <v>44912</v>
      </c>
      <c r="B19" s="65">
        <f>TOTAL!E18</f>
        <v>18439.9999999996</v>
      </c>
      <c r="C19" s="1">
        <f>Submeters!E18</f>
        <v>259.99999999999091</v>
      </c>
      <c r="D19" s="1">
        <f>Submeters!F18</f>
        <v>2699.9999999999245</v>
      </c>
      <c r="E19" s="1">
        <f>Submeters!G18</f>
        <v>270.00000000003865</v>
      </c>
      <c r="F19" s="1">
        <f>(Submeters!I18+Submeters!J18+Submeters!K18)</f>
        <v>1099.9999999999091</v>
      </c>
      <c r="G19" s="1">
        <f>(Submeters!L18+Submeters!M18)</f>
        <v>0</v>
      </c>
      <c r="H19" s="1">
        <f>(Submeters!N18+Submeters!O18)</f>
        <v>1379.9999999999084</v>
      </c>
      <c r="I19" s="1">
        <f>(Submeters!P18+Submeters!Q18+Submeters!R18+Submeters!S18+Submeters!T18+Submeters!U18)</f>
        <v>2730.000000000297</v>
      </c>
      <c r="J19" s="1">
        <f>(Submeters!V18+Submeters!W18)</f>
        <v>3791.3499999995547</v>
      </c>
      <c r="K19" s="1">
        <f>Submeters!X18</f>
        <v>269.99999999998181</v>
      </c>
      <c r="L19" s="24">
        <f t="shared" si="0"/>
        <v>5938.6499999999942</v>
      </c>
    </row>
    <row r="20" spans="1:12" x14ac:dyDescent="0.25">
      <c r="A20" s="10">
        <f>'Kwh Reading'!A21</f>
        <v>44913</v>
      </c>
      <c r="B20" s="65">
        <f>TOTAL!E19</f>
        <v>18700.000000001637</v>
      </c>
      <c r="C20" s="1">
        <f>Submeters!E19</f>
        <v>509.99999999999091</v>
      </c>
      <c r="D20" s="1">
        <f>Submeters!F19</f>
        <v>2499.9999999999468</v>
      </c>
      <c r="E20" s="1">
        <f>Submeters!G19</f>
        <v>250</v>
      </c>
      <c r="F20" s="1">
        <f>(Submeters!I19+Submeters!J19+Submeters!K19)</f>
        <v>1280.0000000000296</v>
      </c>
      <c r="G20" s="1">
        <f>(Submeters!L19+Submeters!M19)</f>
        <v>0</v>
      </c>
      <c r="H20" s="1">
        <f>(Submeters!N19+Submeters!O19)</f>
        <v>1260.0000000001028</v>
      </c>
      <c r="I20" s="1">
        <f>(Submeters!P19+Submeters!Q19+Submeters!R19+Submeters!S19+Submeters!T19+Submeters!U19)</f>
        <v>2589.9999999998668</v>
      </c>
      <c r="J20" s="1">
        <f>(Submeters!V19+Submeters!W19)</f>
        <v>4170.0000000001455</v>
      </c>
      <c r="K20" s="1">
        <f>Submeters!X19</f>
        <v>209.99999999997954</v>
      </c>
      <c r="L20" s="24">
        <f t="shared" si="0"/>
        <v>5930.0000000015716</v>
      </c>
    </row>
    <row r="21" spans="1:12" x14ac:dyDescent="0.25">
      <c r="A21" s="10">
        <f>'Kwh Reading'!A22</f>
        <v>44914</v>
      </c>
      <c r="B21" s="65">
        <f>TOTAL!E20</f>
        <v>17719.999999999345</v>
      </c>
      <c r="C21" s="1">
        <f>Submeters!E20</f>
        <v>460.00000000003638</v>
      </c>
      <c r="D21" s="1">
        <f>Submeters!F20</f>
        <v>2400.0000000001796</v>
      </c>
      <c r="E21" s="1">
        <f>Submeters!G20</f>
        <v>259.99999999999091</v>
      </c>
      <c r="F21" s="1">
        <f>(Submeters!I20+Submeters!J20+Submeters!K20)</f>
        <v>1510.0000000000477</v>
      </c>
      <c r="G21" s="1">
        <f>(Submeters!L20+Submeters!M20)</f>
        <v>0</v>
      </c>
      <c r="H21" s="1">
        <f>(Submeters!N20+Submeters!O20)</f>
        <v>1189.9999999999213</v>
      </c>
      <c r="I21" s="1">
        <f>(Submeters!P20+Submeters!Q20+Submeters!R20+Submeters!S20+Submeters!T20+Submeters!U20)</f>
        <v>2339.9999999997067</v>
      </c>
      <c r="J21" s="1">
        <f>(Submeters!V20+Submeters!W20)</f>
        <v>3796.1299999996263</v>
      </c>
      <c r="K21" s="1">
        <f>Submeters!X20</f>
        <v>220.00000000002728</v>
      </c>
      <c r="L21" s="24">
        <f t="shared" si="0"/>
        <v>5543.869999999808</v>
      </c>
    </row>
    <row r="22" spans="1:12" x14ac:dyDescent="0.25">
      <c r="A22" s="10">
        <f>'Kwh Reading'!A23</f>
        <v>44915</v>
      </c>
      <c r="B22" s="65">
        <f>TOTAL!E21</f>
        <v>17259.999999998399</v>
      </c>
      <c r="C22" s="1">
        <f>Submeters!E21</f>
        <v>610.00000000001364</v>
      </c>
      <c r="D22" s="1">
        <f>Submeters!F21</f>
        <v>2299.9999999999686</v>
      </c>
      <c r="E22" s="1">
        <f>Submeters!G21</f>
        <v>269.99999999998181</v>
      </c>
      <c r="F22" s="1">
        <f>(Submeters!I21+Submeters!J21+Submeters!K21)</f>
        <v>1349.9999999999091</v>
      </c>
      <c r="G22" s="1">
        <f>(Submeters!L21+Submeters!M21)</f>
        <v>0</v>
      </c>
      <c r="H22" s="1">
        <f>(Submeters!N21+Submeters!O21)</f>
        <v>1280.0000000000846</v>
      </c>
      <c r="I22" s="1">
        <f>(Submeters!P21+Submeters!Q21+Submeters!R21+Submeters!S21+Submeters!T21+Submeters!U21)</f>
        <v>2389.9999999998549</v>
      </c>
      <c r="J22" s="1">
        <f>(Submeters!V21+Submeters!W21)</f>
        <v>3715.6599999992613</v>
      </c>
      <c r="K22" s="1">
        <f>Submeters!X21</f>
        <v>199.99999999998863</v>
      </c>
      <c r="L22" s="24">
        <f t="shared" si="0"/>
        <v>5144.3399999993344</v>
      </c>
    </row>
    <row r="23" spans="1:12" x14ac:dyDescent="0.25">
      <c r="A23" s="10">
        <f>'Kwh Reading'!A24</f>
        <v>44916</v>
      </c>
      <c r="B23" s="65">
        <f>TOTAL!E22</f>
        <v>16960</v>
      </c>
      <c r="C23" s="1">
        <f>Submeters!E22</f>
        <v>500</v>
      </c>
      <c r="D23" s="1">
        <f>Submeters!F22</f>
        <v>2399.9999999997358</v>
      </c>
      <c r="E23" s="1">
        <f>Submeters!G22</f>
        <v>270.00000000003865</v>
      </c>
      <c r="F23" s="1">
        <f>(Submeters!I22+Submeters!J22+Submeters!K22)</f>
        <v>1249.9999999999432</v>
      </c>
      <c r="G23" s="1">
        <f>(Submeters!L22+Submeters!M22)</f>
        <v>0</v>
      </c>
      <c r="H23" s="1">
        <f>(Submeters!N22+Submeters!O22)</f>
        <v>1079.9999999998845</v>
      </c>
      <c r="I23" s="1">
        <f>(Submeters!P22+Submeters!Q22+Submeters!R22+Submeters!S22+Submeters!T22+Submeters!U22)</f>
        <v>2150.0000000003574</v>
      </c>
      <c r="J23" s="1">
        <f>(Submeters!V22+Submeters!W22)</f>
        <v>3692.6400000008871</v>
      </c>
      <c r="K23" s="1">
        <f>Submeters!X22</f>
        <v>269.99999999998181</v>
      </c>
      <c r="L23" s="24">
        <f t="shared" si="0"/>
        <v>5347.3599999991711</v>
      </c>
    </row>
    <row r="24" spans="1:12" x14ac:dyDescent="0.25">
      <c r="A24" s="10">
        <f>'Kwh Reading'!A25</f>
        <v>44917</v>
      </c>
      <c r="B24" s="65">
        <f>TOTAL!E23</f>
        <v>18500</v>
      </c>
      <c r="C24" s="1">
        <f>Submeters!E23</f>
        <v>509.99999999999091</v>
      </c>
      <c r="D24" s="1">
        <f>Submeters!F23</f>
        <v>2400.0000000001796</v>
      </c>
      <c r="E24" s="1">
        <f>Submeters!G23</f>
        <v>279.99999999997272</v>
      </c>
      <c r="F24" s="1">
        <f>(Submeters!I23+Submeters!J23+Submeters!K23)</f>
        <v>1270.0000000002092</v>
      </c>
      <c r="G24" s="1">
        <f>(Submeters!L23+Submeters!M23)</f>
        <v>0</v>
      </c>
      <c r="H24" s="1">
        <f>(Submeters!N23+Submeters!O23)</f>
        <v>1290.0000000001323</v>
      </c>
      <c r="I24" s="1">
        <f>(Submeters!P23+Submeters!Q23+Submeters!R23+Submeters!S23+Submeters!T23+Submeters!U23)</f>
        <v>2560.000000000116</v>
      </c>
      <c r="J24" s="1">
        <f>(Submeters!V23+Submeters!W23)</f>
        <v>3920.6200000000827</v>
      </c>
      <c r="K24" s="1">
        <f>Submeters!X23</f>
        <v>220.00000000002728</v>
      </c>
      <c r="L24" s="24">
        <f t="shared" si="0"/>
        <v>6049.3799999992862</v>
      </c>
    </row>
    <row r="25" spans="1:12" x14ac:dyDescent="0.25">
      <c r="A25" s="10">
        <f>'Kwh Reading'!A26</f>
        <v>44918</v>
      </c>
      <c r="B25" s="65">
        <f>TOTAL!E24</f>
        <v>18689.999999998236</v>
      </c>
      <c r="C25" s="1">
        <f>Submeters!E24</f>
        <v>539.99999999996362</v>
      </c>
      <c r="D25" s="1">
        <f>Submeters!F24</f>
        <v>2499.9999999999468</v>
      </c>
      <c r="E25" s="1">
        <f>Submeters!G24</f>
        <v>269.99999999998181</v>
      </c>
      <c r="F25" s="1">
        <f>(Submeters!I24+Submeters!J24+Submeters!K24)</f>
        <v>1349.9999999999091</v>
      </c>
      <c r="G25" s="1">
        <f>(Submeters!L24+Submeters!M24)</f>
        <v>0</v>
      </c>
      <c r="H25" s="1">
        <f>(Submeters!N24+Submeters!O24)</f>
        <v>1449.9999999999015</v>
      </c>
      <c r="I25" s="1">
        <f>(Submeters!P24+Submeters!Q24+Submeters!R24+Submeters!S24+Submeters!T24+Submeters!U24)</f>
        <v>2859.9999999997008</v>
      </c>
      <c r="J25" s="1">
        <f>(Submeters!V24+Submeters!W24)</f>
        <v>4247.810000000216</v>
      </c>
      <c r="K25" s="1">
        <f>Submeters!X24</f>
        <v>229.99999999996135</v>
      </c>
      <c r="L25" s="24">
        <f t="shared" si="0"/>
        <v>5242.1899999986545</v>
      </c>
    </row>
    <row r="26" spans="1:12" x14ac:dyDescent="0.25">
      <c r="A26" s="10">
        <f>'Kwh Reading'!A27</f>
        <v>44919</v>
      </c>
      <c r="B26" s="65">
        <f>TOTAL!E25</f>
        <v>19039.999999999054</v>
      </c>
      <c r="C26" s="1">
        <f>Submeters!E25</f>
        <v>420.00000000007276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1009.9999999999909</v>
      </c>
      <c r="G26" s="1">
        <f>(Submeters!L25+Submeters!M25)</f>
        <v>0</v>
      </c>
      <c r="H26" s="1">
        <f>(Submeters!N25+Submeters!O25)</f>
        <v>1278.000000000075</v>
      </c>
      <c r="I26" s="1">
        <f>(Submeters!P25+Submeters!Q25+Submeters!R25+Submeters!S25+Submeters!T25+Submeters!U25)</f>
        <v>2580.0000000001314</v>
      </c>
      <c r="J26" s="1">
        <f>(Submeters!V25+Submeters!W25)</f>
        <v>4047.1799999993382</v>
      </c>
      <c r="K26" s="1">
        <f>Submeters!X25</f>
        <v>210.00000000003638</v>
      </c>
      <c r="L26" s="24">
        <f t="shared" si="0"/>
        <v>6634.8199999992612</v>
      </c>
    </row>
    <row r="27" spans="1:12" x14ac:dyDescent="0.25">
      <c r="A27" s="10">
        <f>'Kwh Reading'!A28</f>
        <v>44920</v>
      </c>
      <c r="B27" s="65">
        <f>TOTAL!E26</f>
        <v>20450.000000002547</v>
      </c>
      <c r="C27" s="1">
        <f>Submeters!E26</f>
        <v>649.99999999997726</v>
      </c>
      <c r="D27" s="1">
        <f>Submeters!F26</f>
        <v>2699.9999999999245</v>
      </c>
      <c r="E27" s="1">
        <f>Submeters!G26</f>
        <v>270.00000000003865</v>
      </c>
      <c r="F27" s="1">
        <f>(Submeters!I26+Submeters!J26+Submeters!K26)</f>
        <v>1589.999999999975</v>
      </c>
      <c r="G27" s="1">
        <f>(Submeters!L26+Submeters!M26)</f>
        <v>0</v>
      </c>
      <c r="H27" s="1">
        <f>(Submeters!N26+Submeters!O26)</f>
        <v>1541.9999999998861</v>
      </c>
      <c r="I27" s="1">
        <f>(Submeters!P26+Submeters!Q26+Submeters!R26+Submeters!S26+Submeters!T26+Submeters!U26)</f>
        <v>3059.9999999998263</v>
      </c>
      <c r="J27" s="1">
        <f>(Submeters!V26+Submeters!W26)</f>
        <v>4917.7899999999936</v>
      </c>
      <c r="K27" s="1">
        <f>Submeters!X26</f>
        <v>250</v>
      </c>
      <c r="L27" s="24">
        <f t="shared" si="0"/>
        <v>5470.2100000029241</v>
      </c>
    </row>
    <row r="28" spans="1:12" x14ac:dyDescent="0.25">
      <c r="A28" s="10">
        <f>'Kwh Reading'!A29</f>
        <v>44921</v>
      </c>
      <c r="B28" s="65">
        <f>TOTAL!E27</f>
        <v>20970</v>
      </c>
      <c r="C28" s="1">
        <f>Submeters!E27</f>
        <v>839.99999999991815</v>
      </c>
      <c r="D28" s="1">
        <f>Submeters!F27</f>
        <v>2600.0000000001578</v>
      </c>
      <c r="E28" s="1">
        <f>Submeters!G27</f>
        <v>279.99999999997272</v>
      </c>
      <c r="F28" s="1">
        <f>(Submeters!I27+Submeters!J27+Submeters!K27)</f>
        <v>1700.0000000001023</v>
      </c>
      <c r="G28" s="1">
        <f>(Submeters!L27+Submeters!M27)</f>
        <v>0</v>
      </c>
      <c r="H28" s="1">
        <f>(Submeters!N27+Submeters!O27)</f>
        <v>1470.0000000001055</v>
      </c>
      <c r="I28" s="1">
        <f>(Submeters!P27+Submeters!Q27+Submeters!R27+Submeters!S27+Submeters!T27+Submeters!U27)</f>
        <v>3110.0000000001914</v>
      </c>
      <c r="J28" s="1">
        <f>(Submeters!V27+Submeters!W27)</f>
        <v>5077.9800000010437</v>
      </c>
      <c r="K28" s="1">
        <f>Submeters!X27</f>
        <v>279.99999999997272</v>
      </c>
      <c r="L28" s="24">
        <f t="shared" si="0"/>
        <v>5612.0199999985343</v>
      </c>
    </row>
    <row r="29" spans="1:12" x14ac:dyDescent="0.25">
      <c r="A29" s="10">
        <f>'Kwh Reading'!A30</f>
        <v>44922</v>
      </c>
      <c r="B29" s="65">
        <f>TOTAL!E28</f>
        <v>19400.000000001</v>
      </c>
      <c r="C29" s="1">
        <f>Submeters!E28</f>
        <v>450.00000000004547</v>
      </c>
      <c r="D29" s="1">
        <f>Submeters!F28</f>
        <v>2599.9999999997135</v>
      </c>
      <c r="E29" s="1">
        <f>Submeters!G28</f>
        <v>270.00000000003865</v>
      </c>
      <c r="F29" s="1">
        <f>(Submeters!I28+Submeters!J28+Submeters!K28)</f>
        <v>1559.9999999998886</v>
      </c>
      <c r="G29" s="1">
        <f>(Submeters!L28+Submeters!M28)</f>
        <v>0</v>
      </c>
      <c r="H29" s="1">
        <f>(Submeters!N28+Submeters!O28)</f>
        <v>1369.9999999998945</v>
      </c>
      <c r="I29" s="1">
        <f>(Submeters!P28+Submeters!Q28+Submeters!R28+Submeters!S28+Submeters!T28+Submeters!U28)</f>
        <v>3319.9999999999841</v>
      </c>
      <c r="J29" s="1">
        <f>(Submeters!V28+Submeters!W28)</f>
        <v>4061.2999999987369</v>
      </c>
      <c r="K29" s="1">
        <f>Submeters!X28</f>
        <v>240.00000000000909</v>
      </c>
      <c r="L29" s="24">
        <f t="shared" si="0"/>
        <v>5528.7000000026892</v>
      </c>
    </row>
    <row r="30" spans="1:12" x14ac:dyDescent="0.25">
      <c r="A30" s="10">
        <f>'Kwh Reading'!A31</f>
        <v>44923</v>
      </c>
      <c r="B30" s="65">
        <f>TOTAL!E29</f>
        <v>19169.999999997799</v>
      </c>
      <c r="C30" s="1">
        <f>Submeters!E29</f>
        <v>639.99999999998636</v>
      </c>
      <c r="D30" s="1">
        <f>Submeters!F29</f>
        <v>2600.0000000001578</v>
      </c>
      <c r="E30" s="1">
        <f>Submeters!G29</f>
        <v>269.99999999998181</v>
      </c>
      <c r="F30" s="1">
        <f>(Submeters!I29+Submeters!J29+Submeters!K29)</f>
        <v>1860.0000000000136</v>
      </c>
      <c r="G30" s="1">
        <f>(Submeters!L29+Submeters!M29)</f>
        <v>0</v>
      </c>
      <c r="H30" s="1">
        <f>(Submeters!N29+Submeters!O29)</f>
        <v>1550.0000000001125</v>
      </c>
      <c r="I30" s="1">
        <f>(Submeters!P29+Submeters!Q29+Submeters!R29+Submeters!S29+Submeters!T29+Submeters!U29)</f>
        <v>2599.9999999998113</v>
      </c>
      <c r="J30" s="1">
        <f>(Submeters!V29+Submeters!W29)</f>
        <v>4518.9800000011164</v>
      </c>
      <c r="K30" s="1">
        <f>Submeters!X29</f>
        <v>240.00000000000909</v>
      </c>
      <c r="L30" s="24">
        <f t="shared" si="0"/>
        <v>4891.0199999966117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620.00000000000455</v>
      </c>
      <c r="D31" s="1">
        <f>Submeters!F30</f>
        <v>2699.9999999999245</v>
      </c>
      <c r="E31" s="1">
        <f>Submeters!G30</f>
        <v>279.99999999997272</v>
      </c>
      <c r="F31" s="1">
        <f>(Submeters!I30+Submeters!J30+Submeters!K30)</f>
        <v>1990.0000000000091</v>
      </c>
      <c r="G31" s="1">
        <f>(Submeters!L30+Submeters!M30)</f>
        <v>0</v>
      </c>
      <c r="H31" s="1">
        <f>(Submeters!N30+Submeters!O30)</f>
        <v>1409.9999999998811</v>
      </c>
      <c r="I31" s="1">
        <f>(Submeters!P30+Submeters!Q30+Submeters!R30+Submeters!S30+Submeters!T30+Submeters!U30)</f>
        <v>3159.9999999999291</v>
      </c>
      <c r="J31" s="1">
        <f>(Submeters!V30+Submeters!W30)</f>
        <v>4763.3799999997718</v>
      </c>
      <c r="K31" s="1">
        <f>Submeters!X30</f>
        <v>269.99999999998181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-684270</v>
      </c>
      <c r="D32" s="1">
        <f>Submeters!F31</f>
        <v>-3804300</v>
      </c>
      <c r="E32" s="1">
        <f>Submeters!G31</f>
        <v>-367400</v>
      </c>
      <c r="F32" s="1">
        <f>(Submeters!I31+Submeters!J31+Submeters!K31)</f>
        <v>-1453940</v>
      </c>
      <c r="G32" s="1">
        <f>(Submeters!L31+Submeters!M31)</f>
        <v>-369200</v>
      </c>
      <c r="H32" s="1">
        <f>(Submeters!N31+Submeters!O31)</f>
        <v>-1998890</v>
      </c>
      <c r="I32" s="1">
        <f>(Submeters!P31+Submeters!Q31+Submeters!R31+Submeters!S31+Submeters!T31+Submeters!U31)</f>
        <v>-5830840</v>
      </c>
      <c r="J32" s="1">
        <f>(Submeters!V31+Submeters!W31)</f>
        <v>-9766846.5800000001</v>
      </c>
      <c r="K32" s="1">
        <f>Submeters!X31</f>
        <v>-268330</v>
      </c>
      <c r="L32" s="24">
        <f t="shared" si="0"/>
        <v>24544016.579999998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-359650</v>
      </c>
      <c r="F33" s="60">
        <f t="shared" si="1"/>
        <v>-1418830</v>
      </c>
      <c r="G33" s="60">
        <f t="shared" si="1"/>
        <v>-369200</v>
      </c>
      <c r="H33" s="60">
        <f t="shared" si="1"/>
        <v>-1960920.0000000002</v>
      </c>
      <c r="I33" s="60">
        <f t="shared" si="1"/>
        <v>-5757680</v>
      </c>
      <c r="J33" s="60">
        <f t="shared" si="1"/>
        <v>-9649898.3800000008</v>
      </c>
      <c r="K33" s="60">
        <f t="shared" si="1"/>
        <v>-261560.00000000003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>
        <v>24410</v>
      </c>
      <c r="C19" s="25">
        <v>37465</v>
      </c>
      <c r="D19" s="85">
        <v>298897</v>
      </c>
      <c r="E19" s="85">
        <v>284864</v>
      </c>
      <c r="F19" s="85">
        <v>67406</v>
      </c>
      <c r="G19" s="85">
        <v>124219</v>
      </c>
      <c r="H19" s="25">
        <v>174</v>
      </c>
      <c r="I19" s="105">
        <v>80017</v>
      </c>
      <c r="J19" s="85">
        <v>23964</v>
      </c>
      <c r="K19" s="25">
        <v>1024</v>
      </c>
      <c r="L19" s="85">
        <v>19552</v>
      </c>
      <c r="M19" s="85">
        <v>28656</v>
      </c>
      <c r="N19" s="85">
        <v>6067</v>
      </c>
      <c r="O19" s="25">
        <v>2451</v>
      </c>
      <c r="P19" s="85">
        <v>32811</v>
      </c>
      <c r="Q19" s="85">
        <v>2323</v>
      </c>
      <c r="R19" s="85">
        <v>922</v>
      </c>
    </row>
    <row r="20" spans="1:21" x14ac:dyDescent="0.25">
      <c r="A20" s="44">
        <v>44913</v>
      </c>
      <c r="B20" s="25">
        <v>24490</v>
      </c>
      <c r="C20" s="45">
        <v>37748</v>
      </c>
      <c r="D20" s="86">
        <v>299082</v>
      </c>
      <c r="E20" s="85">
        <v>284944</v>
      </c>
      <c r="F20" s="85">
        <v>67407</v>
      </c>
      <c r="G20" s="85">
        <v>124241</v>
      </c>
      <c r="H20" s="25">
        <v>196</v>
      </c>
      <c r="I20" s="105">
        <v>80037</v>
      </c>
      <c r="J20" s="85">
        <v>23970</v>
      </c>
      <c r="K20" s="25">
        <v>1024</v>
      </c>
      <c r="L20" s="85">
        <v>19555</v>
      </c>
      <c r="M20" s="85">
        <v>28663</v>
      </c>
      <c r="N20" s="85">
        <v>9069</v>
      </c>
      <c r="O20" s="25">
        <v>2453</v>
      </c>
      <c r="P20" s="85">
        <v>32823</v>
      </c>
      <c r="Q20" s="85">
        <v>2324</v>
      </c>
      <c r="R20" s="85">
        <v>924</v>
      </c>
    </row>
    <row r="21" spans="1:21" x14ac:dyDescent="0.25">
      <c r="A21" s="44">
        <v>44914</v>
      </c>
      <c r="B21" s="25">
        <v>24628</v>
      </c>
      <c r="C21" s="25">
        <v>37950</v>
      </c>
      <c r="D21" s="85">
        <v>299246</v>
      </c>
      <c r="E21" s="85">
        <v>285025</v>
      </c>
      <c r="F21" s="85">
        <v>67408</v>
      </c>
      <c r="G21" s="85">
        <v>124270</v>
      </c>
      <c r="H21" s="25">
        <v>218</v>
      </c>
      <c r="I21" s="105">
        <v>80040</v>
      </c>
      <c r="J21" s="85">
        <v>23977</v>
      </c>
      <c r="K21" s="25">
        <v>1024</v>
      </c>
      <c r="L21" s="85">
        <v>19558</v>
      </c>
      <c r="M21" s="85">
        <v>28669</v>
      </c>
      <c r="N21" s="85">
        <v>9070</v>
      </c>
      <c r="O21" s="25">
        <v>2456</v>
      </c>
      <c r="P21" s="85">
        <v>32825</v>
      </c>
      <c r="Q21" s="85">
        <v>2325</v>
      </c>
      <c r="R21" s="85">
        <v>928</v>
      </c>
    </row>
    <row r="22" spans="1:21" x14ac:dyDescent="0.25">
      <c r="A22" s="44">
        <v>44915</v>
      </c>
      <c r="B22" s="25">
        <v>24782</v>
      </c>
      <c r="C22" s="45">
        <v>38124</v>
      </c>
      <c r="D22" s="85">
        <v>299408</v>
      </c>
      <c r="E22" s="85">
        <v>285103</v>
      </c>
      <c r="F22" s="85">
        <v>67408</v>
      </c>
      <c r="G22" s="85">
        <v>124300</v>
      </c>
      <c r="H22" s="25">
        <v>233</v>
      </c>
      <c r="I22" s="105">
        <v>80043</v>
      </c>
      <c r="J22" s="25">
        <v>23983</v>
      </c>
      <c r="K22" s="25">
        <v>1024</v>
      </c>
      <c r="L22" s="85">
        <v>19561</v>
      </c>
      <c r="M22" s="85">
        <v>28681</v>
      </c>
      <c r="N22" s="85">
        <v>9072</v>
      </c>
      <c r="O22" s="25">
        <v>2457</v>
      </c>
      <c r="P22" s="85">
        <v>32827</v>
      </c>
      <c r="Q22" s="85">
        <v>2325</v>
      </c>
      <c r="R22" s="85">
        <v>932</v>
      </c>
    </row>
    <row r="23" spans="1:21" x14ac:dyDescent="0.25">
      <c r="A23" s="44">
        <v>44916</v>
      </c>
      <c r="B23" s="25">
        <v>24921</v>
      </c>
      <c r="C23" s="25">
        <v>38285</v>
      </c>
      <c r="D23" s="85">
        <v>299547</v>
      </c>
      <c r="E23" s="85">
        <v>285176</v>
      </c>
      <c r="F23" s="85">
        <v>67409</v>
      </c>
      <c r="G23" s="85">
        <v>124329</v>
      </c>
      <c r="H23" s="25">
        <v>252</v>
      </c>
      <c r="I23" s="105">
        <v>80045</v>
      </c>
      <c r="J23" s="25">
        <v>23989</v>
      </c>
      <c r="K23" s="25">
        <v>1024</v>
      </c>
      <c r="L23" s="85">
        <v>19564</v>
      </c>
      <c r="M23" s="85">
        <v>28681</v>
      </c>
      <c r="N23" s="85">
        <v>9072</v>
      </c>
      <c r="O23" s="25">
        <v>2458</v>
      </c>
      <c r="P23" s="85">
        <v>32829</v>
      </c>
      <c r="Q23" s="85">
        <v>2327</v>
      </c>
      <c r="R23" s="85">
        <v>939</v>
      </c>
      <c r="S23" s="8" t="s">
        <v>114</v>
      </c>
    </row>
    <row r="24" spans="1:21" x14ac:dyDescent="0.25">
      <c r="A24" s="44">
        <v>44917</v>
      </c>
      <c r="B24" s="25">
        <v>25017</v>
      </c>
      <c r="C24" s="45">
        <v>38478</v>
      </c>
      <c r="D24" s="85">
        <v>299660</v>
      </c>
      <c r="E24" s="85">
        <v>285253</v>
      </c>
      <c r="F24" s="85">
        <v>67410</v>
      </c>
      <c r="G24" s="85">
        <v>124354</v>
      </c>
      <c r="H24" s="25">
        <v>275</v>
      </c>
      <c r="I24" s="105">
        <v>80059</v>
      </c>
      <c r="J24" s="85">
        <v>23995</v>
      </c>
      <c r="K24" s="25">
        <v>1024</v>
      </c>
      <c r="L24" s="85">
        <v>19567</v>
      </c>
      <c r="M24" s="85">
        <v>28687</v>
      </c>
      <c r="N24" s="85">
        <v>9074</v>
      </c>
      <c r="O24" s="25">
        <v>2460</v>
      </c>
      <c r="P24" s="85">
        <v>32834</v>
      </c>
      <c r="Q24" s="85">
        <v>2327</v>
      </c>
      <c r="R24" s="85">
        <v>944</v>
      </c>
      <c r="S24" s="8" t="s">
        <v>116</v>
      </c>
    </row>
    <row r="25" spans="1:21" x14ac:dyDescent="0.25">
      <c r="A25" s="44">
        <v>44918</v>
      </c>
      <c r="B25" s="25">
        <v>25128</v>
      </c>
      <c r="C25" s="25">
        <v>38695</v>
      </c>
      <c r="D25" s="85">
        <v>299811</v>
      </c>
      <c r="E25" s="85">
        <v>285330</v>
      </c>
      <c r="F25" s="85">
        <v>67411</v>
      </c>
      <c r="G25" s="85">
        <v>124379</v>
      </c>
      <c r="H25" s="25">
        <v>296</v>
      </c>
      <c r="I25" s="105">
        <v>80079</v>
      </c>
      <c r="J25" s="85">
        <v>24000</v>
      </c>
      <c r="K25" s="25">
        <v>1024</v>
      </c>
      <c r="L25" s="85">
        <v>19570</v>
      </c>
      <c r="M25" s="85">
        <v>28694</v>
      </c>
      <c r="N25" s="85">
        <v>907</v>
      </c>
      <c r="O25" s="25">
        <v>2463</v>
      </c>
      <c r="P25" s="85">
        <v>32848</v>
      </c>
      <c r="Q25" s="85">
        <v>2333</v>
      </c>
      <c r="R25" s="85">
        <v>950</v>
      </c>
    </row>
    <row r="26" spans="1:21" x14ac:dyDescent="0.25">
      <c r="A26" s="44">
        <v>44919</v>
      </c>
      <c r="B26" s="25">
        <v>25283</v>
      </c>
      <c r="C26" s="45">
        <v>38892</v>
      </c>
      <c r="D26" s="85">
        <v>299966</v>
      </c>
      <c r="E26" s="85">
        <v>285417</v>
      </c>
      <c r="F26" s="85">
        <v>67411</v>
      </c>
      <c r="G26" s="85">
        <v>124409</v>
      </c>
      <c r="H26" s="25">
        <v>324</v>
      </c>
      <c r="I26" s="105">
        <v>80083</v>
      </c>
      <c r="J26" s="85">
        <v>24008</v>
      </c>
      <c r="K26" s="25">
        <v>1024</v>
      </c>
      <c r="L26" s="85">
        <v>19573</v>
      </c>
      <c r="M26" s="85">
        <v>28700</v>
      </c>
      <c r="N26" s="85">
        <v>9076</v>
      </c>
      <c r="O26" s="25">
        <v>2465</v>
      </c>
      <c r="P26" s="85">
        <v>32848</v>
      </c>
      <c r="Q26" s="85">
        <v>2336</v>
      </c>
      <c r="R26" s="85">
        <v>956</v>
      </c>
    </row>
    <row r="27" spans="1:21" x14ac:dyDescent="0.25">
      <c r="A27" s="44">
        <v>44920</v>
      </c>
      <c r="B27" s="25">
        <v>25405</v>
      </c>
      <c r="C27" s="25">
        <v>39085</v>
      </c>
      <c r="D27" s="85">
        <v>300087</v>
      </c>
      <c r="E27" s="85">
        <v>285489</v>
      </c>
      <c r="F27" s="85">
        <v>67413</v>
      </c>
      <c r="G27" s="85">
        <v>124432</v>
      </c>
      <c r="H27" s="25">
        <v>350</v>
      </c>
      <c r="I27" s="105">
        <v>80112</v>
      </c>
      <c r="J27" s="85">
        <v>24015</v>
      </c>
      <c r="K27" s="25">
        <v>1024</v>
      </c>
      <c r="L27" s="85">
        <v>19577</v>
      </c>
      <c r="M27" s="85">
        <v>28706</v>
      </c>
      <c r="N27" s="85">
        <v>9077</v>
      </c>
      <c r="O27" s="25">
        <v>2466</v>
      </c>
      <c r="P27" s="85">
        <v>32871</v>
      </c>
      <c r="Q27" s="85">
        <v>2341</v>
      </c>
      <c r="R27" s="85">
        <v>958</v>
      </c>
    </row>
    <row r="28" spans="1:21" x14ac:dyDescent="0.25">
      <c r="A28" s="44">
        <v>44921</v>
      </c>
      <c r="B28" s="25">
        <v>25551</v>
      </c>
      <c r="C28" s="45">
        <v>39319</v>
      </c>
      <c r="D28" s="85">
        <v>300240</v>
      </c>
      <c r="E28" s="85">
        <v>285576</v>
      </c>
      <c r="F28" s="85">
        <v>67413</v>
      </c>
      <c r="G28" s="85">
        <v>124461</v>
      </c>
      <c r="H28" s="25">
        <v>397</v>
      </c>
      <c r="I28" s="105">
        <v>80132</v>
      </c>
      <c r="J28" s="85">
        <v>24022</v>
      </c>
      <c r="K28" s="25">
        <v>1024</v>
      </c>
      <c r="L28" s="25">
        <v>19579</v>
      </c>
      <c r="M28" s="85">
        <v>28714</v>
      </c>
      <c r="N28" s="85">
        <v>9078</v>
      </c>
      <c r="O28" s="25">
        <v>2468</v>
      </c>
      <c r="P28" s="85">
        <v>32884</v>
      </c>
      <c r="Q28" s="85">
        <v>2347</v>
      </c>
      <c r="R28" s="85">
        <v>965</v>
      </c>
    </row>
    <row r="29" spans="1:21" x14ac:dyDescent="0.25">
      <c r="A29" s="44">
        <v>44922</v>
      </c>
      <c r="B29" s="25">
        <v>25688</v>
      </c>
      <c r="C29" s="25">
        <v>39579</v>
      </c>
      <c r="D29" s="85">
        <v>300437</v>
      </c>
      <c r="E29" s="85">
        <v>285662</v>
      </c>
      <c r="F29" s="85">
        <v>67414</v>
      </c>
      <c r="G29" s="85">
        <v>124499</v>
      </c>
      <c r="H29" s="25">
        <v>426</v>
      </c>
      <c r="I29" s="120">
        <v>80136</v>
      </c>
      <c r="J29" s="85">
        <v>24030</v>
      </c>
      <c r="K29" s="25">
        <v>1024</v>
      </c>
      <c r="L29" s="85">
        <v>19583</v>
      </c>
      <c r="M29" s="85">
        <v>28722</v>
      </c>
      <c r="N29" s="85">
        <v>9082</v>
      </c>
      <c r="O29" s="25">
        <v>2469</v>
      </c>
      <c r="P29" s="85">
        <v>32884</v>
      </c>
      <c r="Q29" s="85">
        <v>2352</v>
      </c>
      <c r="R29" s="85">
        <v>970</v>
      </c>
    </row>
    <row r="30" spans="1:21" x14ac:dyDescent="0.25">
      <c r="A30" s="44">
        <v>44923</v>
      </c>
      <c r="B30" s="25">
        <v>25813</v>
      </c>
      <c r="C30" s="45">
        <v>39818</v>
      </c>
      <c r="D30" s="85">
        <v>300595</v>
      </c>
      <c r="E30" s="85">
        <v>285739</v>
      </c>
      <c r="F30" s="85">
        <v>67415</v>
      </c>
      <c r="G30" s="85">
        <v>124531</v>
      </c>
      <c r="H30" s="25">
        <v>456</v>
      </c>
      <c r="I30" s="105">
        <v>80153</v>
      </c>
      <c r="J30" s="85">
        <v>24037</v>
      </c>
      <c r="K30" s="25">
        <v>1024</v>
      </c>
      <c r="L30" s="25">
        <v>19585</v>
      </c>
      <c r="M30" s="85">
        <v>28728</v>
      </c>
      <c r="N30" s="85">
        <v>9083</v>
      </c>
      <c r="O30" s="25">
        <v>2471</v>
      </c>
      <c r="P30" s="85">
        <v>32900</v>
      </c>
      <c r="Q30" s="85">
        <v>2353</v>
      </c>
      <c r="R30" s="85">
        <v>977</v>
      </c>
    </row>
    <row r="31" spans="1:21" x14ac:dyDescent="0.25">
      <c r="A31" s="44">
        <v>44924</v>
      </c>
      <c r="B31" s="25">
        <v>25946</v>
      </c>
      <c r="C31" s="45">
        <v>40075</v>
      </c>
      <c r="D31" s="85">
        <v>300757</v>
      </c>
      <c r="E31" s="85">
        <v>285829</v>
      </c>
      <c r="F31" s="85">
        <v>67415</v>
      </c>
      <c r="G31" s="85">
        <v>124569</v>
      </c>
      <c r="H31" s="25">
        <v>488</v>
      </c>
      <c r="I31" s="105">
        <v>80185</v>
      </c>
      <c r="J31" s="85">
        <v>24044</v>
      </c>
      <c r="K31" s="25">
        <v>1024</v>
      </c>
      <c r="L31" s="25">
        <v>19589</v>
      </c>
      <c r="M31" s="85">
        <v>28735</v>
      </c>
      <c r="N31" s="85">
        <v>9084</v>
      </c>
      <c r="O31" s="25">
        <v>2474</v>
      </c>
      <c r="P31" s="85">
        <v>32921</v>
      </c>
      <c r="Q31" s="85">
        <v>2358</v>
      </c>
      <c r="R31" s="85">
        <v>982</v>
      </c>
    </row>
    <row r="32" spans="1:21" x14ac:dyDescent="0.25">
      <c r="A32" s="44">
        <v>44925</v>
      </c>
      <c r="B32" s="25">
        <v>26113</v>
      </c>
      <c r="C32" s="25">
        <v>40392</v>
      </c>
      <c r="D32" s="25">
        <v>300908</v>
      </c>
      <c r="E32" s="25">
        <v>286002</v>
      </c>
      <c r="F32" s="25">
        <v>67416</v>
      </c>
      <c r="G32" s="25">
        <v>124607</v>
      </c>
      <c r="H32" s="45">
        <v>521</v>
      </c>
      <c r="I32" s="25">
        <v>80208</v>
      </c>
      <c r="J32" s="25">
        <v>24052</v>
      </c>
      <c r="K32" s="25">
        <v>1024</v>
      </c>
      <c r="L32" s="25">
        <v>19592</v>
      </c>
      <c r="M32" s="25">
        <v>28739</v>
      </c>
      <c r="N32" s="25">
        <v>9087</v>
      </c>
      <c r="O32" s="25">
        <v>2476</v>
      </c>
      <c r="P32" s="25">
        <v>32935</v>
      </c>
      <c r="Q32" s="25">
        <v>2359</v>
      </c>
      <c r="R32" s="25">
        <v>989</v>
      </c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7" activePane="bottomLeft" state="frozen"/>
      <selection activeCell="C25" sqref="C25"/>
      <selection pane="bottomLeft" activeCell="B32" sqref="B32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5" t="s">
        <v>30</v>
      </c>
      <c r="B2" s="166" t="s">
        <v>97</v>
      </c>
      <c r="C2" s="166" t="s">
        <v>98</v>
      </c>
      <c r="D2" s="166"/>
      <c r="E2" s="167" t="s">
        <v>86</v>
      </c>
      <c r="F2" s="164"/>
      <c r="G2" s="161" t="s">
        <v>101</v>
      </c>
      <c r="H2" s="164"/>
      <c r="I2" s="161" t="s">
        <v>99</v>
      </c>
      <c r="J2" s="164"/>
      <c r="K2" s="161" t="s">
        <v>100</v>
      </c>
      <c r="L2" s="164"/>
      <c r="M2" s="161" t="s">
        <v>96</v>
      </c>
      <c r="N2" s="164"/>
      <c r="O2" s="161" t="s">
        <v>95</v>
      </c>
      <c r="P2" s="164"/>
      <c r="Q2" s="161" t="s">
        <v>102</v>
      </c>
      <c r="R2" s="164"/>
      <c r="S2" s="161" t="s">
        <v>103</v>
      </c>
      <c r="T2" s="164"/>
      <c r="U2" s="161" t="s">
        <v>104</v>
      </c>
      <c r="V2" s="164"/>
      <c r="W2" s="161" t="s">
        <v>88</v>
      </c>
      <c r="X2" s="162"/>
      <c r="Y2" s="163" t="s">
        <v>41</v>
      </c>
      <c r="Z2" s="163"/>
    </row>
    <row r="3" spans="1:26" ht="30" x14ac:dyDescent="0.35">
      <c r="A3" s="165"/>
      <c r="B3" s="166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306</v>
      </c>
      <c r="C19" s="53">
        <f>('Water Reading'!B19-'Water Reading'!B18)+('Water Reading'!C19-'Water Reading'!C18)</f>
        <v>323</v>
      </c>
      <c r="D19" s="54">
        <f t="shared" si="2"/>
        <v>1.0555555555555556</v>
      </c>
      <c r="E19" s="68">
        <f>'Water Reading'!H19-'Water Reading'!H18</f>
        <v>18</v>
      </c>
      <c r="F19" s="69">
        <f t="shared" si="3"/>
        <v>5.5727554179566562E-2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0.48606811145510836</v>
      </c>
      <c r="I19" s="70">
        <f>'Water Reading'!P19-'Water Reading'!P18</f>
        <v>25</v>
      </c>
      <c r="J19" s="55">
        <f t="shared" si="5"/>
        <v>7.7399380804953566E-2</v>
      </c>
      <c r="K19" s="71">
        <f>('Water Reading'!I19-'Water Reading'!I18)-('Water Reading'!P19-'Water Reading'!P18)</f>
        <v>-8</v>
      </c>
      <c r="L19" s="55">
        <f t="shared" si="6"/>
        <v>-2.4767801857585141E-2</v>
      </c>
      <c r="M19" s="70">
        <f>'Water Reading'!R19-'Water Reading'!R18</f>
        <v>4</v>
      </c>
      <c r="N19" s="72">
        <f t="shared" si="7"/>
        <v>1.238390092879257E-2</v>
      </c>
      <c r="O19" s="70">
        <f>'Water Reading'!Q19-'Water Reading'!Q18</f>
        <v>7</v>
      </c>
      <c r="P19" s="77">
        <f t="shared" si="8"/>
        <v>2.1671826625386997E-2</v>
      </c>
      <c r="Q19" s="71">
        <f>'Water Reading'!F19-'Water Reading'!F18</f>
        <v>1</v>
      </c>
      <c r="R19" s="78">
        <f t="shared" si="9"/>
        <v>3.0959752321981426E-3</v>
      </c>
      <c r="S19" s="70">
        <f>'Water Reading'!E19-'Water Reading'!E18</f>
        <v>72</v>
      </c>
      <c r="T19" s="78">
        <f t="shared" si="10"/>
        <v>0.22291021671826625</v>
      </c>
      <c r="U19" s="70">
        <f>'Water Reading'!G19-'Water Reading'!G18</f>
        <v>24</v>
      </c>
      <c r="V19" s="78">
        <f t="shared" si="11"/>
        <v>7.4303405572755415E-2</v>
      </c>
      <c r="W19" s="71">
        <f>'Water Reading'!J19-'Water Reading'!J18</f>
        <v>6</v>
      </c>
      <c r="X19" s="78">
        <f t="shared" si="12"/>
        <v>1.8575851393188854E-2</v>
      </c>
      <c r="Y19" s="53">
        <f t="shared" si="0"/>
        <v>306</v>
      </c>
      <c r="Z19" s="54">
        <f t="shared" si="1"/>
        <v>1</v>
      </c>
    </row>
    <row r="20" spans="1:26" x14ac:dyDescent="0.25">
      <c r="A20" s="6">
        <f>'Water Reading'!A19</f>
        <v>44912</v>
      </c>
      <c r="B20" s="52">
        <f>TOTAL!I18</f>
        <v>336</v>
      </c>
      <c r="C20" s="53">
        <f>('Water Reading'!B20-'Water Reading'!B19)+('Water Reading'!C20-'Water Reading'!C19)</f>
        <v>363</v>
      </c>
      <c r="D20" s="54">
        <f t="shared" si="2"/>
        <v>1.0803571428571428</v>
      </c>
      <c r="E20" s="68">
        <f>'Water Reading'!H20-'Water Reading'!H19</f>
        <v>22</v>
      </c>
      <c r="F20" s="69">
        <f t="shared" si="3"/>
        <v>6.0606060606060608E-2</v>
      </c>
      <c r="G20" s="73">
        <f>('Water Reading'!D20-'Water Reading'!D19)-('Water Reading'!R20-'Water Reading'!R19)-('Water Reading'!Q20-'Water Reading'!Q19)</f>
        <v>182</v>
      </c>
      <c r="H20" s="69">
        <f t="shared" si="4"/>
        <v>0.50137741046831952</v>
      </c>
      <c r="I20" s="70">
        <f>'Water Reading'!P20-'Water Reading'!P19</f>
        <v>12</v>
      </c>
      <c r="J20" s="55">
        <f t="shared" si="5"/>
        <v>3.3057851239669422E-2</v>
      </c>
      <c r="K20" s="71">
        <f>('Water Reading'!I20-'Water Reading'!I19)-('Water Reading'!P20-'Water Reading'!P19)</f>
        <v>8</v>
      </c>
      <c r="L20" s="55">
        <f t="shared" si="6"/>
        <v>2.2038567493112948E-2</v>
      </c>
      <c r="M20" s="70">
        <f>'Water Reading'!R20-'Water Reading'!R19</f>
        <v>2</v>
      </c>
      <c r="N20" s="72">
        <f t="shared" si="7"/>
        <v>5.5096418732782371E-3</v>
      </c>
      <c r="O20" s="70">
        <f>'Water Reading'!Q20-'Water Reading'!Q19</f>
        <v>1</v>
      </c>
      <c r="P20" s="77">
        <f t="shared" si="8"/>
        <v>2.7548209366391185E-3</v>
      </c>
      <c r="Q20" s="71">
        <f>'Water Reading'!F20-'Water Reading'!F19</f>
        <v>1</v>
      </c>
      <c r="R20" s="78">
        <f t="shared" si="9"/>
        <v>2.7548209366391185E-3</v>
      </c>
      <c r="S20" s="70">
        <f>'Water Reading'!E20-'Water Reading'!E19</f>
        <v>80</v>
      </c>
      <c r="T20" s="78">
        <f t="shared" si="10"/>
        <v>0.22038567493112948</v>
      </c>
      <c r="U20" s="70">
        <f>'Water Reading'!G20-'Water Reading'!G19</f>
        <v>22</v>
      </c>
      <c r="V20" s="78">
        <f t="shared" si="11"/>
        <v>6.0606060606060608E-2</v>
      </c>
      <c r="W20" s="102">
        <f>'Water Reading'!J20-'Water Reading'!J19</f>
        <v>6</v>
      </c>
      <c r="X20" s="78">
        <f t="shared" si="12"/>
        <v>1.6528925619834711E-2</v>
      </c>
      <c r="Y20" s="53">
        <f t="shared" si="0"/>
        <v>336</v>
      </c>
      <c r="Z20" s="54">
        <f t="shared" si="1"/>
        <v>1</v>
      </c>
    </row>
    <row r="21" spans="1:26" x14ac:dyDescent="0.25">
      <c r="A21" s="6">
        <f>'Water Reading'!A20</f>
        <v>44913</v>
      </c>
      <c r="B21" s="52">
        <f>TOTAL!I19</f>
        <v>307</v>
      </c>
      <c r="C21" s="53">
        <f>('Water Reading'!B21-'Water Reading'!B20)+('Water Reading'!C21-'Water Reading'!C20)</f>
        <v>340</v>
      </c>
      <c r="D21" s="54">
        <f t="shared" si="2"/>
        <v>1.1074918566775245</v>
      </c>
      <c r="E21" s="68">
        <f>'Water Reading'!H21-'Water Reading'!H20</f>
        <v>22</v>
      </c>
      <c r="F21" s="69">
        <f t="shared" si="3"/>
        <v>6.4705882352941183E-2</v>
      </c>
      <c r="G21" s="73">
        <f>('Water Reading'!D21-'Water Reading'!D20)-('Water Reading'!R21-'Water Reading'!R20)-('Water Reading'!Q21-'Water Reading'!Q20)</f>
        <v>159</v>
      </c>
      <c r="H21" s="69">
        <f t="shared" si="4"/>
        <v>0.46764705882352942</v>
      </c>
      <c r="I21" s="70">
        <f>'Water Reading'!P21-'Water Reading'!P20</f>
        <v>2</v>
      </c>
      <c r="J21" s="55">
        <f t="shared" si="5"/>
        <v>5.8823529411764705E-3</v>
      </c>
      <c r="K21" s="71">
        <f>('Water Reading'!I21-'Water Reading'!I20)-('Water Reading'!P21-'Water Reading'!P20)</f>
        <v>1</v>
      </c>
      <c r="L21" s="55">
        <f t="shared" si="6"/>
        <v>2.9411764705882353E-3</v>
      </c>
      <c r="M21" s="70">
        <f>'Water Reading'!R21-'Water Reading'!R20</f>
        <v>4</v>
      </c>
      <c r="N21" s="72">
        <f t="shared" si="7"/>
        <v>1.1764705882352941E-2</v>
      </c>
      <c r="O21" s="70">
        <f>'Water Reading'!Q21-'Water Reading'!Q20</f>
        <v>1</v>
      </c>
      <c r="P21" s="77">
        <f t="shared" si="8"/>
        <v>2.9411764705882353E-3</v>
      </c>
      <c r="Q21" s="71">
        <f>'Water Reading'!F21-'Water Reading'!F20</f>
        <v>1</v>
      </c>
      <c r="R21" s="78">
        <f t="shared" si="9"/>
        <v>2.9411764705882353E-3</v>
      </c>
      <c r="S21" s="70">
        <f>'Water Reading'!E21-'Water Reading'!E20</f>
        <v>81</v>
      </c>
      <c r="T21" s="78">
        <f t="shared" si="10"/>
        <v>0.23823529411764705</v>
      </c>
      <c r="U21" s="70">
        <f>'Water Reading'!G21-'Water Reading'!G20</f>
        <v>29</v>
      </c>
      <c r="V21" s="78">
        <f t="shared" si="11"/>
        <v>8.5294117647058826E-2</v>
      </c>
      <c r="W21" s="71">
        <f>'Water Reading'!J21-'Water Reading'!J20</f>
        <v>7</v>
      </c>
      <c r="X21" s="78">
        <f t="shared" si="12"/>
        <v>2.0588235294117647E-2</v>
      </c>
      <c r="Y21" s="53">
        <f t="shared" si="0"/>
        <v>307</v>
      </c>
      <c r="Z21" s="54">
        <f t="shared" si="1"/>
        <v>1</v>
      </c>
    </row>
    <row r="22" spans="1:26" x14ac:dyDescent="0.25">
      <c r="A22" s="6">
        <f>'Water Reading'!A21</f>
        <v>44914</v>
      </c>
      <c r="B22" s="52">
        <f>TOTAL!I20</f>
        <v>294</v>
      </c>
      <c r="C22" s="53">
        <f>('Water Reading'!B22-'Water Reading'!B21)+('Water Reading'!C22-'Water Reading'!C21)</f>
        <v>328</v>
      </c>
      <c r="D22" s="54">
        <f t="shared" si="2"/>
        <v>1.1156462585034013</v>
      </c>
      <c r="E22" s="68">
        <f>'Water Reading'!H22-'Water Reading'!H21</f>
        <v>15</v>
      </c>
      <c r="F22" s="69">
        <f t="shared" si="3"/>
        <v>4.573170731707317E-2</v>
      </c>
      <c r="G22" s="73">
        <f>('Water Reading'!D22-'Water Reading'!D21)-('Water Reading'!R22-'Water Reading'!R21)-('Water Reading'!Q22-'Water Reading'!Q21)</f>
        <v>158</v>
      </c>
      <c r="H22" s="69">
        <f t="shared" si="4"/>
        <v>0.48170731707317072</v>
      </c>
      <c r="I22" s="109">
        <f>'Water Reading'!P22-'Water Reading'!P21</f>
        <v>2</v>
      </c>
      <c r="J22" s="55">
        <f t="shared" si="5"/>
        <v>6.0975609756097563E-3</v>
      </c>
      <c r="K22" s="71">
        <f>('Water Reading'!I22-'Water Reading'!I21)-('Water Reading'!P22-'Water Reading'!P21)</f>
        <v>1</v>
      </c>
      <c r="L22" s="55">
        <f t="shared" si="6"/>
        <v>3.0487804878048782E-3</v>
      </c>
      <c r="M22" s="70">
        <f>'Water Reading'!R22-'Water Reading'!R21</f>
        <v>4</v>
      </c>
      <c r="N22" s="72">
        <f t="shared" si="7"/>
        <v>1.2195121951219513E-2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0</v>
      </c>
      <c r="R22" s="78">
        <f t="shared" si="9"/>
        <v>0</v>
      </c>
      <c r="S22" s="70">
        <f>'Water Reading'!E22-'Water Reading'!E21</f>
        <v>78</v>
      </c>
      <c r="T22" s="78">
        <f t="shared" si="10"/>
        <v>0.23780487804878048</v>
      </c>
      <c r="U22" s="70">
        <f>'Water Reading'!G22-'Water Reading'!G21</f>
        <v>30</v>
      </c>
      <c r="V22" s="78">
        <f t="shared" si="11"/>
        <v>9.1463414634146339E-2</v>
      </c>
      <c r="W22" s="71">
        <f>'Water Reading'!J22-'Water Reading'!J21</f>
        <v>6</v>
      </c>
      <c r="X22" s="78">
        <f t="shared" si="12"/>
        <v>1.8292682926829267E-2</v>
      </c>
      <c r="Y22" s="53">
        <f t="shared" si="0"/>
        <v>294</v>
      </c>
      <c r="Z22" s="54">
        <f t="shared" si="1"/>
        <v>1</v>
      </c>
    </row>
    <row r="23" spans="1:26" x14ac:dyDescent="0.25">
      <c r="A23" s="6">
        <f>'Water Reading'!A22</f>
        <v>44915</v>
      </c>
      <c r="B23" s="52">
        <f>TOTAL!I21</f>
        <v>269</v>
      </c>
      <c r="C23" s="53">
        <f>('Water Reading'!B23-'Water Reading'!B22)+('Water Reading'!C23-'Water Reading'!C22)</f>
        <v>300</v>
      </c>
      <c r="D23" s="54">
        <f t="shared" si="2"/>
        <v>1.1152416356877324</v>
      </c>
      <c r="E23" s="68">
        <f>'Water Reading'!H23-'Water Reading'!H22</f>
        <v>19</v>
      </c>
      <c r="F23" s="69">
        <f t="shared" si="3"/>
        <v>6.3333333333333339E-2</v>
      </c>
      <c r="G23" s="73">
        <f>('Water Reading'!D23-'Water Reading'!D22)-('Water Reading'!R23-'Water Reading'!R22)-('Water Reading'!Q23-'Water Reading'!Q22)</f>
        <v>130</v>
      </c>
      <c r="H23" s="69">
        <f t="shared" si="4"/>
        <v>0.43333333333333335</v>
      </c>
      <c r="I23" s="109">
        <f>'Water Reading'!P23-'Water Reading'!P22</f>
        <v>2</v>
      </c>
      <c r="J23" s="55">
        <f t="shared" si="5"/>
        <v>6.6666666666666671E-3</v>
      </c>
      <c r="K23" s="71">
        <f>('Water Reading'!I23-'Water Reading'!I22)-('Water Reading'!P23-'Water Reading'!P22)</f>
        <v>0</v>
      </c>
      <c r="L23" s="55">
        <f t="shared" si="6"/>
        <v>0</v>
      </c>
      <c r="M23" s="70">
        <f>'Water Reading'!R23-'Water Reading'!R22</f>
        <v>7</v>
      </c>
      <c r="N23" s="72">
        <f t="shared" si="7"/>
        <v>2.3333333333333334E-2</v>
      </c>
      <c r="O23" s="109">
        <f>'Water Reading'!Q23-'Water Reading'!Q22</f>
        <v>2</v>
      </c>
      <c r="P23" s="77">
        <f t="shared" si="8"/>
        <v>6.6666666666666671E-3</v>
      </c>
      <c r="Q23" s="71">
        <f>'Water Reading'!F23-'Water Reading'!F22</f>
        <v>1</v>
      </c>
      <c r="R23" s="78">
        <f t="shared" si="9"/>
        <v>3.3333333333333335E-3</v>
      </c>
      <c r="S23" s="70">
        <f>'Water Reading'!E23-'Water Reading'!E22</f>
        <v>73</v>
      </c>
      <c r="T23" s="78">
        <f t="shared" si="10"/>
        <v>0.24333333333333335</v>
      </c>
      <c r="U23" s="70">
        <f>'Water Reading'!G23-'Water Reading'!G22</f>
        <v>29</v>
      </c>
      <c r="V23" s="78">
        <f t="shared" si="11"/>
        <v>9.6666666666666665E-2</v>
      </c>
      <c r="W23" s="71">
        <f>'Water Reading'!J23-'Water Reading'!J22</f>
        <v>6</v>
      </c>
      <c r="X23" s="78">
        <f t="shared" si="12"/>
        <v>0.02</v>
      </c>
      <c r="Y23" s="53">
        <f t="shared" si="0"/>
        <v>269</v>
      </c>
      <c r="Z23" s="54">
        <f t="shared" si="1"/>
        <v>1</v>
      </c>
    </row>
    <row r="24" spans="1:26" x14ac:dyDescent="0.25">
      <c r="A24" s="6">
        <f>'Water Reading'!A23</f>
        <v>44916</v>
      </c>
      <c r="B24" s="52">
        <f>TOTAL!I22</f>
        <v>259</v>
      </c>
      <c r="C24" s="53">
        <f>('Water Reading'!B24-'Water Reading'!B23)+('Water Reading'!C24-'Water Reading'!C23)</f>
        <v>289</v>
      </c>
      <c r="D24" s="54">
        <f t="shared" si="2"/>
        <v>1.1158301158301158</v>
      </c>
      <c r="E24" s="68">
        <f>'Water Reading'!H24-'Water Reading'!H23</f>
        <v>23</v>
      </c>
      <c r="F24" s="69">
        <f t="shared" si="3"/>
        <v>7.9584775086505188E-2</v>
      </c>
      <c r="G24" s="73">
        <f>('Water Reading'!D24-'Water Reading'!D23)-('Water Reading'!R24-'Water Reading'!R23)-('Water Reading'!Q24-'Water Reading'!Q23)</f>
        <v>108</v>
      </c>
      <c r="H24" s="69">
        <f t="shared" si="4"/>
        <v>0.37370242214532873</v>
      </c>
      <c r="I24" s="70">
        <f>'Water Reading'!P24-'Water Reading'!P23</f>
        <v>5</v>
      </c>
      <c r="J24" s="55">
        <f t="shared" si="5"/>
        <v>1.7301038062283738E-2</v>
      </c>
      <c r="K24" s="71">
        <f>('Water Reading'!I24-'Water Reading'!I23)-('Water Reading'!P24-'Water Reading'!P23)</f>
        <v>9</v>
      </c>
      <c r="L24" s="55">
        <f t="shared" si="6"/>
        <v>3.1141868512110725E-2</v>
      </c>
      <c r="M24" s="70">
        <f>'Water Reading'!R24-'Water Reading'!R23</f>
        <v>5</v>
      </c>
      <c r="N24" s="72">
        <f t="shared" si="7"/>
        <v>1.7301038062283738E-2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1</v>
      </c>
      <c r="R24" s="78">
        <f t="shared" si="9"/>
        <v>3.4602076124567475E-3</v>
      </c>
      <c r="S24" s="70">
        <f>'Water Reading'!E24-'Water Reading'!E23</f>
        <v>77</v>
      </c>
      <c r="T24" s="78">
        <f t="shared" si="10"/>
        <v>0.26643598615916952</v>
      </c>
      <c r="U24" s="70">
        <f>'Water Reading'!G24-'Water Reading'!G23</f>
        <v>25</v>
      </c>
      <c r="V24" s="78">
        <f t="shared" si="11"/>
        <v>8.6505190311418678E-2</v>
      </c>
      <c r="W24" s="71">
        <f>'Water Reading'!J24-'Water Reading'!J23</f>
        <v>6</v>
      </c>
      <c r="X24" s="78">
        <f t="shared" si="12"/>
        <v>2.0761245674740483E-2</v>
      </c>
      <c r="Y24" s="53">
        <f t="shared" si="0"/>
        <v>259</v>
      </c>
      <c r="Z24" s="54">
        <f t="shared" si="1"/>
        <v>1</v>
      </c>
    </row>
    <row r="25" spans="1:26" x14ac:dyDescent="0.25">
      <c r="A25" s="6">
        <f>'Water Reading'!A24</f>
        <v>44917</v>
      </c>
      <c r="B25" s="52">
        <f>TOTAL!I23</f>
        <v>300</v>
      </c>
      <c r="C25" s="53">
        <f>('Water Reading'!B25-'Water Reading'!B24)+('Water Reading'!C25-'Water Reading'!C24)</f>
        <v>328</v>
      </c>
      <c r="D25" s="54">
        <f t="shared" si="2"/>
        <v>1.0933333333333333</v>
      </c>
      <c r="E25" s="68">
        <f>'Water Reading'!H25-'Water Reading'!H24</f>
        <v>21</v>
      </c>
      <c r="F25" s="69">
        <f t="shared" si="3"/>
        <v>6.402439024390244E-2</v>
      </c>
      <c r="G25" s="73">
        <f>('Water Reading'!D25-'Water Reading'!D24)-('Water Reading'!R25-'Water Reading'!R24)-('Water Reading'!Q25-'Water Reading'!Q24)</f>
        <v>139</v>
      </c>
      <c r="H25" s="69">
        <f t="shared" si="4"/>
        <v>0.42378048780487804</v>
      </c>
      <c r="I25" s="70">
        <f>'Water Reading'!P25-'Water Reading'!P24</f>
        <v>14</v>
      </c>
      <c r="J25" s="55">
        <f t="shared" si="5"/>
        <v>4.2682926829268296E-2</v>
      </c>
      <c r="K25" s="71">
        <f>('Water Reading'!I25-'Water Reading'!I24)-('Water Reading'!P25-'Water Reading'!P24)</f>
        <v>6</v>
      </c>
      <c r="L25" s="55">
        <f t="shared" si="6"/>
        <v>1.8292682926829267E-2</v>
      </c>
      <c r="M25" s="70">
        <f>'Water Reading'!R25-'Water Reading'!R24</f>
        <v>6</v>
      </c>
      <c r="N25" s="72">
        <f t="shared" si="7"/>
        <v>1.8292682926829267E-2</v>
      </c>
      <c r="O25" s="70">
        <f>'Water Reading'!Q25-'Water Reading'!Q24</f>
        <v>6</v>
      </c>
      <c r="P25" s="77">
        <f t="shared" si="8"/>
        <v>1.8292682926829267E-2</v>
      </c>
      <c r="Q25" s="71">
        <f>'Water Reading'!F25-'Water Reading'!F24</f>
        <v>1</v>
      </c>
      <c r="R25" s="78">
        <f t="shared" si="9"/>
        <v>3.0487804878048782E-3</v>
      </c>
      <c r="S25" s="70">
        <f>'Water Reading'!E25-'Water Reading'!E24</f>
        <v>77</v>
      </c>
      <c r="T25" s="78">
        <f t="shared" si="10"/>
        <v>0.2347560975609756</v>
      </c>
      <c r="U25" s="70">
        <f>'Water Reading'!G25-'Water Reading'!G24</f>
        <v>25</v>
      </c>
      <c r="V25" s="78">
        <f t="shared" si="11"/>
        <v>7.621951219512195E-2</v>
      </c>
      <c r="W25" s="102">
        <f>'Water Reading'!J25-'Water Reading'!J24</f>
        <v>5</v>
      </c>
      <c r="X25" s="78">
        <f t="shared" si="12"/>
        <v>1.524390243902439E-2</v>
      </c>
      <c r="Y25" s="53">
        <f t="shared" si="0"/>
        <v>300</v>
      </c>
      <c r="Z25" s="54">
        <f t="shared" si="1"/>
        <v>1</v>
      </c>
    </row>
    <row r="26" spans="1:26" x14ac:dyDescent="0.25">
      <c r="A26" s="6">
        <f>'Water Reading'!A25</f>
        <v>44918</v>
      </c>
      <c r="B26" s="52">
        <f>TOTAL!I24</f>
        <v>312</v>
      </c>
      <c r="C26" s="53">
        <f>('Water Reading'!B26-'Water Reading'!B25)+('Water Reading'!C26-'Water Reading'!C25)</f>
        <v>352</v>
      </c>
      <c r="D26" s="54">
        <f t="shared" si="2"/>
        <v>1.1282051282051282</v>
      </c>
      <c r="E26" s="68">
        <f>'Water Reading'!H26-'Water Reading'!H25</f>
        <v>28</v>
      </c>
      <c r="F26" s="69">
        <f t="shared" si="3"/>
        <v>7.9545454545454544E-2</v>
      </c>
      <c r="G26" s="73">
        <f>('Water Reading'!D26-'Water Reading'!D25)-('Water Reading'!R26-'Water Reading'!R25)-('Water Reading'!Q26-'Water Reading'!Q25)</f>
        <v>146</v>
      </c>
      <c r="H26" s="69">
        <f t="shared" si="4"/>
        <v>0.41477272727272729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4</v>
      </c>
      <c r="L26" s="55">
        <f t="shared" si="6"/>
        <v>1.1363636363636364E-2</v>
      </c>
      <c r="M26" s="70">
        <f>'Water Reading'!R26-'Water Reading'!R25</f>
        <v>6</v>
      </c>
      <c r="N26" s="72">
        <f t="shared" si="7"/>
        <v>1.7045454545454544E-2</v>
      </c>
      <c r="O26" s="70">
        <f>'Water Reading'!Q26-'Water Reading'!Q25</f>
        <v>3</v>
      </c>
      <c r="P26" s="77">
        <f t="shared" si="8"/>
        <v>8.5227272727272721E-3</v>
      </c>
      <c r="Q26" s="71">
        <f>'Water Reading'!F26-'Water Reading'!F25</f>
        <v>0</v>
      </c>
      <c r="R26" s="78">
        <f t="shared" si="9"/>
        <v>0</v>
      </c>
      <c r="S26" s="70">
        <f>'Water Reading'!E26-'Water Reading'!E25</f>
        <v>87</v>
      </c>
      <c r="T26" s="78">
        <f t="shared" si="10"/>
        <v>0.24715909090909091</v>
      </c>
      <c r="U26" s="70">
        <f>'Water Reading'!G26-'Water Reading'!G25</f>
        <v>30</v>
      </c>
      <c r="V26" s="78">
        <f t="shared" si="11"/>
        <v>8.5227272727272721E-2</v>
      </c>
      <c r="W26" s="71">
        <f>'Water Reading'!J26-'Water Reading'!J25</f>
        <v>8</v>
      </c>
      <c r="X26" s="78">
        <f t="shared" si="12"/>
        <v>2.2727272727272728E-2</v>
      </c>
      <c r="Y26" s="53">
        <f t="shared" si="0"/>
        <v>312</v>
      </c>
      <c r="Z26" s="54">
        <f t="shared" si="1"/>
        <v>1</v>
      </c>
    </row>
    <row r="27" spans="1:26" x14ac:dyDescent="0.25">
      <c r="A27" s="6">
        <f>'Water Reading'!A26</f>
        <v>44919</v>
      </c>
      <c r="B27" s="52">
        <f>TOTAL!I25</f>
        <v>280</v>
      </c>
      <c r="C27" s="53">
        <f>('Water Reading'!B27-'Water Reading'!B26)+('Water Reading'!C27-'Water Reading'!C26)</f>
        <v>315</v>
      </c>
      <c r="D27" s="54">
        <f t="shared" si="2"/>
        <v>1.125</v>
      </c>
      <c r="E27" s="68">
        <f>'Water Reading'!H27-'Water Reading'!H26</f>
        <v>26</v>
      </c>
      <c r="F27" s="69">
        <f t="shared" si="3"/>
        <v>8.2539682539682538E-2</v>
      </c>
      <c r="G27" s="73">
        <f>('Water Reading'!D27-'Water Reading'!D26)-('Water Reading'!R27-'Water Reading'!R26)-('Water Reading'!Q27-'Water Reading'!Q26)</f>
        <v>114</v>
      </c>
      <c r="H27" s="69">
        <f t="shared" si="4"/>
        <v>0.3619047619047619</v>
      </c>
      <c r="I27" s="70">
        <f>'Water Reading'!P27-'Water Reading'!P26</f>
        <v>23</v>
      </c>
      <c r="J27" s="55">
        <f t="shared" si="5"/>
        <v>7.301587301587302E-2</v>
      </c>
      <c r="K27" s="71">
        <f>('Water Reading'!I27-'Water Reading'!I26)-('Water Reading'!P27-'Water Reading'!P26)</f>
        <v>6</v>
      </c>
      <c r="L27" s="55">
        <f t="shared" si="6"/>
        <v>1.9047619047619049E-2</v>
      </c>
      <c r="M27" s="70">
        <f>'Water Reading'!R27-'Water Reading'!R26</f>
        <v>2</v>
      </c>
      <c r="N27" s="72">
        <f t="shared" si="7"/>
        <v>6.3492063492063492E-3</v>
      </c>
      <c r="O27" s="70">
        <f>'Water Reading'!Q27-'Water Reading'!Q26</f>
        <v>5</v>
      </c>
      <c r="P27" s="77">
        <f t="shared" si="8"/>
        <v>1.5873015873015872E-2</v>
      </c>
      <c r="Q27" s="71">
        <f>'Water Reading'!F27-'Water Reading'!F26</f>
        <v>2</v>
      </c>
      <c r="R27" s="78">
        <f t="shared" si="9"/>
        <v>6.3492063492063492E-3</v>
      </c>
      <c r="S27" s="70">
        <f>'Water Reading'!E27-'Water Reading'!E26</f>
        <v>72</v>
      </c>
      <c r="T27" s="78">
        <f t="shared" si="10"/>
        <v>0.22857142857142856</v>
      </c>
      <c r="U27" s="70">
        <f>'Water Reading'!G27-'Water Reading'!G26</f>
        <v>23</v>
      </c>
      <c r="V27" s="78">
        <f t="shared" si="11"/>
        <v>7.301587301587302E-2</v>
      </c>
      <c r="W27" s="71">
        <f>'Water Reading'!J27-'Water Reading'!J26</f>
        <v>7</v>
      </c>
      <c r="X27" s="78">
        <f t="shared" si="12"/>
        <v>2.2222222222222223E-2</v>
      </c>
      <c r="Y27" s="53">
        <f t="shared" si="0"/>
        <v>280</v>
      </c>
      <c r="Z27" s="54">
        <f t="shared" si="1"/>
        <v>1</v>
      </c>
    </row>
    <row r="28" spans="1:26" x14ac:dyDescent="0.25">
      <c r="A28" s="6">
        <f>'Water Reading'!A27</f>
        <v>44920</v>
      </c>
      <c r="B28" s="52">
        <f>TOTAL!I26</f>
        <v>343</v>
      </c>
      <c r="C28" s="53">
        <f>('Water Reading'!B28-'Water Reading'!B27)+('Water Reading'!C28-'Water Reading'!C27)</f>
        <v>380</v>
      </c>
      <c r="D28" s="54">
        <f t="shared" si="2"/>
        <v>1.1078717201166182</v>
      </c>
      <c r="E28" s="68">
        <f>'Water Reading'!H28-'Water Reading'!H27</f>
        <v>47</v>
      </c>
      <c r="F28" s="69">
        <f t="shared" si="3"/>
        <v>0.12368421052631579</v>
      </c>
      <c r="G28" s="73">
        <f>('Water Reading'!D28-'Water Reading'!D27)-('Water Reading'!R28-'Water Reading'!R27)-('Water Reading'!Q28-'Water Reading'!Q27)</f>
        <v>140</v>
      </c>
      <c r="H28" s="69">
        <f t="shared" si="4"/>
        <v>0.36842105263157893</v>
      </c>
      <c r="I28" s="70">
        <f>'Water Reading'!P28-'Water Reading'!P27</f>
        <v>13</v>
      </c>
      <c r="J28" s="55">
        <f t="shared" si="5"/>
        <v>3.4210526315789476E-2</v>
      </c>
      <c r="K28" s="102">
        <f>('Water Reading'!I28-'Water Reading'!I27)-('Water Reading'!P28-'Water Reading'!P27)</f>
        <v>7</v>
      </c>
      <c r="L28" s="110">
        <f t="shared" si="6"/>
        <v>1.8421052631578946E-2</v>
      </c>
      <c r="M28" s="70">
        <f>'Water Reading'!R28-'Water Reading'!R27</f>
        <v>7</v>
      </c>
      <c r="N28" s="72">
        <f t="shared" si="7"/>
        <v>1.8421052631578946E-2</v>
      </c>
      <c r="O28" s="70">
        <f>'Water Reading'!Q28-'Water Reading'!Q27</f>
        <v>6</v>
      </c>
      <c r="P28" s="77">
        <f t="shared" si="8"/>
        <v>1.5789473684210527E-2</v>
      </c>
      <c r="Q28" s="102">
        <f>'Water Reading'!F28-'Water Reading'!F27</f>
        <v>0</v>
      </c>
      <c r="R28" s="78">
        <f t="shared" si="9"/>
        <v>0</v>
      </c>
      <c r="S28" s="70">
        <f>'Water Reading'!E28-'Water Reading'!E27</f>
        <v>87</v>
      </c>
      <c r="T28" s="78">
        <f t="shared" si="10"/>
        <v>0.22894736842105262</v>
      </c>
      <c r="U28" s="70">
        <f>'Water Reading'!G28-'Water Reading'!G27</f>
        <v>29</v>
      </c>
      <c r="V28" s="78">
        <f t="shared" si="11"/>
        <v>7.6315789473684212E-2</v>
      </c>
      <c r="W28" s="71">
        <f>'Water Reading'!J28-'Water Reading'!J27</f>
        <v>7</v>
      </c>
      <c r="X28" s="78">
        <f t="shared" si="12"/>
        <v>1.8421052631578946E-2</v>
      </c>
      <c r="Y28" s="53">
        <f t="shared" si="0"/>
        <v>343</v>
      </c>
      <c r="Z28" s="54">
        <f t="shared" si="1"/>
        <v>1</v>
      </c>
    </row>
    <row r="29" spans="1:26" x14ac:dyDescent="0.25">
      <c r="A29" s="6">
        <f>'Water Reading'!A28</f>
        <v>44921</v>
      </c>
      <c r="B29" s="52">
        <f>TOTAL!I27</f>
        <v>363</v>
      </c>
      <c r="C29" s="53">
        <f>('Water Reading'!B29-'Water Reading'!B28)+('Water Reading'!C29-'Water Reading'!C28)</f>
        <v>397</v>
      </c>
      <c r="D29" s="54">
        <f t="shared" si="2"/>
        <v>1.0936639118457301</v>
      </c>
      <c r="E29" s="68">
        <f>'Water Reading'!H29-'Water Reading'!H28</f>
        <v>29</v>
      </c>
      <c r="F29" s="69">
        <f t="shared" si="3"/>
        <v>7.3047858942065488E-2</v>
      </c>
      <c r="G29" s="73">
        <f>('Water Reading'!D29-'Water Reading'!D28)-('Water Reading'!R29-'Water Reading'!R28)-('Water Reading'!Q29-'Water Reading'!Q28)</f>
        <v>187</v>
      </c>
      <c r="H29" s="69">
        <f t="shared" si="4"/>
        <v>0.47103274559193953</v>
      </c>
      <c r="I29" s="70">
        <f>'Water Reading'!P29-'Water Reading'!P28</f>
        <v>0</v>
      </c>
      <c r="J29" s="55">
        <f t="shared" si="5"/>
        <v>0</v>
      </c>
      <c r="K29" s="71">
        <f>('Water Reading'!I29-'Water Reading'!I28)-('Water Reading'!P29-'Water Reading'!P28)</f>
        <v>4</v>
      </c>
      <c r="L29" s="55">
        <f t="shared" si="6"/>
        <v>1.0075566750629723E-2</v>
      </c>
      <c r="M29" s="70">
        <f>'Water Reading'!R29-'Water Reading'!R28</f>
        <v>5</v>
      </c>
      <c r="N29" s="72">
        <f t="shared" si="7"/>
        <v>1.2594458438287154E-2</v>
      </c>
      <c r="O29" s="70">
        <f>'Water Reading'!Q29-'Water Reading'!Q28</f>
        <v>5</v>
      </c>
      <c r="P29" s="77">
        <f t="shared" si="8"/>
        <v>1.2594458438287154E-2</v>
      </c>
      <c r="Q29" s="71">
        <f>'Water Reading'!F29-'Water Reading'!F28</f>
        <v>1</v>
      </c>
      <c r="R29" s="78">
        <f t="shared" si="9"/>
        <v>2.5188916876574307E-3</v>
      </c>
      <c r="S29" s="70">
        <f>'Water Reading'!E29-'Water Reading'!E28</f>
        <v>86</v>
      </c>
      <c r="T29" s="78">
        <f t="shared" si="10"/>
        <v>0.21662468513853905</v>
      </c>
      <c r="U29" s="70">
        <f>'Water Reading'!G29-'Water Reading'!G28</f>
        <v>38</v>
      </c>
      <c r="V29" s="78">
        <f t="shared" si="11"/>
        <v>9.5717884130982367E-2</v>
      </c>
      <c r="W29" s="71">
        <f>'Water Reading'!J29-'Water Reading'!J28</f>
        <v>8</v>
      </c>
      <c r="X29" s="78">
        <f t="shared" si="12"/>
        <v>2.0151133501259445E-2</v>
      </c>
      <c r="Y29" s="53">
        <f t="shared" si="0"/>
        <v>363</v>
      </c>
      <c r="Z29" s="54">
        <f t="shared" si="1"/>
        <v>1</v>
      </c>
    </row>
    <row r="30" spans="1:26" x14ac:dyDescent="0.25">
      <c r="A30" s="6">
        <f>'Water Reading'!A29</f>
        <v>44922</v>
      </c>
      <c r="B30" s="52">
        <f>TOTAL!I28</f>
        <v>322</v>
      </c>
      <c r="C30" s="53">
        <f>('Water Reading'!B30-'Water Reading'!B29)+('Water Reading'!C30-'Water Reading'!C29)</f>
        <v>364</v>
      </c>
      <c r="D30" s="54">
        <f t="shared" si="2"/>
        <v>1.1304347826086956</v>
      </c>
      <c r="E30" s="68">
        <f>'Water Reading'!H30-'Water Reading'!H29</f>
        <v>30</v>
      </c>
      <c r="F30" s="69">
        <f t="shared" si="3"/>
        <v>8.2417582417582416E-2</v>
      </c>
      <c r="G30" s="73">
        <f>('Water Reading'!D30-'Water Reading'!D29)-('Water Reading'!R30-'Water Reading'!R29)-('Water Reading'!Q30-'Water Reading'!Q29)</f>
        <v>150</v>
      </c>
      <c r="H30" s="69">
        <f t="shared" si="4"/>
        <v>0.41208791208791207</v>
      </c>
      <c r="I30" s="70">
        <f>'Water Reading'!P30-'Water Reading'!P29</f>
        <v>16</v>
      </c>
      <c r="J30" s="55">
        <f t="shared" si="5"/>
        <v>4.3956043956043959E-2</v>
      </c>
      <c r="K30" s="71">
        <f>('Water Reading'!I30-'Water Reading'!I29)-('Water Reading'!P30-'Water Reading'!P29)</f>
        <v>1</v>
      </c>
      <c r="L30" s="55">
        <f t="shared" si="6"/>
        <v>2.7472527472527475E-3</v>
      </c>
      <c r="M30" s="70">
        <f>'Water Reading'!R30-'Water Reading'!R29</f>
        <v>7</v>
      </c>
      <c r="N30" s="72">
        <f t="shared" si="7"/>
        <v>1.9230769230769232E-2</v>
      </c>
      <c r="O30" s="70">
        <f>'Water Reading'!Q30-'Water Reading'!Q29</f>
        <v>1</v>
      </c>
      <c r="P30" s="77">
        <f t="shared" si="8"/>
        <v>2.7472527472527475E-3</v>
      </c>
      <c r="Q30" s="71">
        <f>'Water Reading'!F30-'Water Reading'!F29</f>
        <v>1</v>
      </c>
      <c r="R30" s="78">
        <f t="shared" si="9"/>
        <v>2.7472527472527475E-3</v>
      </c>
      <c r="S30" s="70">
        <f>'Water Reading'!E30-'Water Reading'!E29</f>
        <v>77</v>
      </c>
      <c r="T30" s="78">
        <f t="shared" si="10"/>
        <v>0.21153846153846154</v>
      </c>
      <c r="U30" s="70">
        <f>'Water Reading'!G30-'Water Reading'!G29</f>
        <v>32</v>
      </c>
      <c r="V30" s="78">
        <f t="shared" si="11"/>
        <v>8.7912087912087919E-2</v>
      </c>
      <c r="W30" s="71">
        <f>'Water Reading'!J30-'Water Reading'!J29</f>
        <v>7</v>
      </c>
      <c r="X30" s="78">
        <f t="shared" si="12"/>
        <v>1.9230769230769232E-2</v>
      </c>
      <c r="Y30" s="53">
        <f t="shared" si="0"/>
        <v>322</v>
      </c>
      <c r="Z30" s="54">
        <f t="shared" si="1"/>
        <v>1</v>
      </c>
    </row>
    <row r="31" spans="1:26" x14ac:dyDescent="0.25">
      <c r="A31" s="6">
        <f>'Water Reading'!A30</f>
        <v>44923</v>
      </c>
      <c r="B31" s="52">
        <f>TOTAL!I29</f>
        <v>361</v>
      </c>
      <c r="C31" s="53">
        <f>('Water Reading'!B31-'Water Reading'!B30)+('Water Reading'!C31-'Water Reading'!C30)</f>
        <v>390</v>
      </c>
      <c r="D31" s="54">
        <f t="shared" si="2"/>
        <v>1.0803324099722991</v>
      </c>
      <c r="E31" s="68">
        <f>'Water Reading'!H31-'Water Reading'!H30</f>
        <v>32</v>
      </c>
      <c r="F31" s="69">
        <f t="shared" si="3"/>
        <v>8.2051282051282051E-2</v>
      </c>
      <c r="G31" s="73">
        <f>('Water Reading'!D31-'Water Reading'!D30)-('Water Reading'!R31-'Water Reading'!R30)-('Water Reading'!Q31-'Water Reading'!Q30)</f>
        <v>152</v>
      </c>
      <c r="H31" s="69">
        <f t="shared" si="4"/>
        <v>0.38974358974358975</v>
      </c>
      <c r="I31" s="70">
        <f>'Water Reading'!P31-'Water Reading'!P30</f>
        <v>21</v>
      </c>
      <c r="J31" s="55">
        <f t="shared" si="5"/>
        <v>5.3846153846153849E-2</v>
      </c>
      <c r="K31" s="71">
        <f>('Water Reading'!I31-'Water Reading'!I30)-('Water Reading'!P31-'Water Reading'!P30)</f>
        <v>11</v>
      </c>
      <c r="L31" s="55">
        <f t="shared" si="6"/>
        <v>2.8205128205128206E-2</v>
      </c>
      <c r="M31" s="70">
        <f>'Water Reading'!R31-'Water Reading'!R30</f>
        <v>5</v>
      </c>
      <c r="N31" s="72">
        <f t="shared" si="7"/>
        <v>1.282051282051282E-2</v>
      </c>
      <c r="O31" s="70">
        <f>'Water Reading'!Q31-'Water Reading'!Q30</f>
        <v>5</v>
      </c>
      <c r="P31" s="77">
        <f t="shared" si="8"/>
        <v>1.282051282051282E-2</v>
      </c>
      <c r="Q31" s="71">
        <f>'Water Reading'!F31-'Water Reading'!F30</f>
        <v>0</v>
      </c>
      <c r="R31" s="78">
        <f t="shared" si="9"/>
        <v>0</v>
      </c>
      <c r="S31" s="70">
        <f>'Water Reading'!E31-'Water Reading'!E30</f>
        <v>90</v>
      </c>
      <c r="T31" s="78">
        <f t="shared" si="10"/>
        <v>0.23076923076923078</v>
      </c>
      <c r="U31" s="70">
        <f>'Water Reading'!G31-'Water Reading'!G30</f>
        <v>38</v>
      </c>
      <c r="V31" s="78">
        <f t="shared" si="11"/>
        <v>9.7435897435897437E-2</v>
      </c>
      <c r="W31" s="71">
        <f>'Water Reading'!J31-'Water Reading'!J30</f>
        <v>7</v>
      </c>
      <c r="X31" s="78">
        <f t="shared" si="12"/>
        <v>1.7948717948717947E-2</v>
      </c>
      <c r="Y31" s="53">
        <f t="shared" si="0"/>
        <v>361</v>
      </c>
      <c r="Z31" s="54">
        <f t="shared" si="1"/>
        <v>1</v>
      </c>
    </row>
    <row r="32" spans="1:26" x14ac:dyDescent="0.25">
      <c r="A32" s="6">
        <f>'Water Reading'!A31</f>
        <v>44924</v>
      </c>
      <c r="B32" s="52">
        <f>TOTAL!I30</f>
        <v>427</v>
      </c>
      <c r="C32" s="53">
        <f>('Water Reading'!B32-'Water Reading'!B31)+('Water Reading'!C32-'Water Reading'!C31)</f>
        <v>484</v>
      </c>
      <c r="D32" s="54">
        <f t="shared" si="2"/>
        <v>1.1334894613583137</v>
      </c>
      <c r="E32" s="68">
        <f>'Water Reading'!H32-'Water Reading'!H31</f>
        <v>33</v>
      </c>
      <c r="F32" s="69">
        <f t="shared" si="3"/>
        <v>6.8181818181818177E-2</v>
      </c>
      <c r="G32" s="73">
        <f>('Water Reading'!D32-'Water Reading'!D31)-('Water Reading'!R32-'Water Reading'!R31)-('Water Reading'!Q32-'Water Reading'!Q31)</f>
        <v>143</v>
      </c>
      <c r="H32" s="69">
        <f t="shared" si="4"/>
        <v>0.29545454545454547</v>
      </c>
      <c r="I32" s="70">
        <f>'Water Reading'!P32-'Water Reading'!P31</f>
        <v>14</v>
      </c>
      <c r="J32" s="55">
        <f t="shared" si="5"/>
        <v>2.8925619834710745E-2</v>
      </c>
      <c r="K32" s="71">
        <f>('Water Reading'!I32-'Water Reading'!I31)-('Water Reading'!P32-'Water Reading'!P31)</f>
        <v>9</v>
      </c>
      <c r="L32" s="55">
        <f t="shared" si="6"/>
        <v>1.859504132231405E-2</v>
      </c>
      <c r="M32" s="70">
        <f>'Water Reading'!R32-'Water Reading'!R31</f>
        <v>7</v>
      </c>
      <c r="N32" s="72">
        <f t="shared" si="7"/>
        <v>1.4462809917355372E-2</v>
      </c>
      <c r="O32" s="70">
        <f>'Water Reading'!Q32-'Water Reading'!Q31</f>
        <v>1</v>
      </c>
      <c r="P32" s="77">
        <f t="shared" si="8"/>
        <v>2.0661157024793389E-3</v>
      </c>
      <c r="Q32" s="71">
        <f>'Water Reading'!F32-'Water Reading'!F31</f>
        <v>1</v>
      </c>
      <c r="R32" s="78">
        <f t="shared" si="9"/>
        <v>2.0661157024793389E-3</v>
      </c>
      <c r="S32" s="70">
        <f>'Water Reading'!E32-'Water Reading'!E31</f>
        <v>173</v>
      </c>
      <c r="T32" s="78">
        <f t="shared" si="10"/>
        <v>0.3574380165289256</v>
      </c>
      <c r="U32" s="70">
        <f>'Water Reading'!G32-'Water Reading'!G31</f>
        <v>38</v>
      </c>
      <c r="V32" s="78">
        <f t="shared" si="11"/>
        <v>7.8512396694214878E-2</v>
      </c>
      <c r="W32" s="71">
        <f>'Water Reading'!J32-'Water Reading'!J31</f>
        <v>8</v>
      </c>
      <c r="X32" s="78">
        <f t="shared" si="12"/>
        <v>1.6528925619834711E-2</v>
      </c>
      <c r="Y32" s="53">
        <f t="shared" si="0"/>
        <v>427</v>
      </c>
      <c r="Z32" s="54">
        <f t="shared" si="1"/>
        <v>1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-66505</v>
      </c>
      <c r="D33" s="54" t="e">
        <f t="shared" si="2"/>
        <v>#DIV/0!</v>
      </c>
      <c r="E33" s="68">
        <f>'Water Reading'!H33-'Water Reading'!H32</f>
        <v>-521</v>
      </c>
      <c r="F33" s="69">
        <f t="shared" si="3"/>
        <v>7.8339974438012185E-3</v>
      </c>
      <c r="G33" s="73">
        <f>('Water Reading'!D33-'Water Reading'!D32)-('Water Reading'!R33-'Water Reading'!R32)-('Water Reading'!Q33-'Water Reading'!Q32)</f>
        <v>-297560</v>
      </c>
      <c r="H33" s="69">
        <f t="shared" si="4"/>
        <v>4.4742500563867376</v>
      </c>
      <c r="I33" s="70">
        <f>'Water Reading'!P33-'Water Reading'!P32</f>
        <v>-32935</v>
      </c>
      <c r="J33" s="55">
        <f t="shared" si="5"/>
        <v>0.49522592286294265</v>
      </c>
      <c r="K33" s="71">
        <f>('Water Reading'!I33-'Water Reading'!I32)-('Water Reading'!P33-'Water Reading'!P32)</f>
        <v>-47273</v>
      </c>
      <c r="L33" s="55">
        <f t="shared" si="6"/>
        <v>0.71081873543342611</v>
      </c>
      <c r="M33" s="70">
        <f>'Water Reading'!R33-'Water Reading'!R32</f>
        <v>-989</v>
      </c>
      <c r="N33" s="72">
        <f t="shared" si="7"/>
        <v>1.4871062326140891E-2</v>
      </c>
      <c r="O33" s="70">
        <f>'Water Reading'!Q33-'Water Reading'!Q32</f>
        <v>-2359</v>
      </c>
      <c r="P33" s="77">
        <f t="shared" si="8"/>
        <v>3.5471017216750618E-2</v>
      </c>
      <c r="Q33" s="71">
        <f>'Water Reading'!F33-'Water Reading'!F32</f>
        <v>-67416</v>
      </c>
      <c r="R33" s="78">
        <f t="shared" si="9"/>
        <v>1.0136982181790843</v>
      </c>
      <c r="S33" s="70">
        <f>'Water Reading'!E33-'Water Reading'!E32</f>
        <v>-286002</v>
      </c>
      <c r="T33" s="78">
        <f t="shared" si="10"/>
        <v>4.3004586121344257</v>
      </c>
      <c r="U33" s="70">
        <f>'Water Reading'!G33-'Water Reading'!G32</f>
        <v>-124607</v>
      </c>
      <c r="V33" s="78">
        <f t="shared" si="11"/>
        <v>1.8736485978497857</v>
      </c>
      <c r="W33" s="71">
        <f>'Water Reading'!J33-'Water Reading'!J32</f>
        <v>-24052</v>
      </c>
      <c r="X33" s="78">
        <f t="shared" si="12"/>
        <v>0.36165701826930308</v>
      </c>
      <c r="Y33" s="53">
        <f t="shared" si="0"/>
        <v>-883714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2022-12-30T04:12:48Z</dcterms:modified>
  <cp:category/>
  <cp:contentStatus/>
</cp:coreProperties>
</file>