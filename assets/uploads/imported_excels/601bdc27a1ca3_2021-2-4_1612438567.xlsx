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4" i="7" l="1"/>
  <c r="CM5" i="7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AX28" i="6"/>
  <c r="AX29" i="6"/>
  <c r="AX30" i="6"/>
  <c r="AX31" i="6"/>
  <c r="AX32" i="6"/>
  <c r="AX33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M6" i="7" s="1"/>
  <c r="CS7" i="7"/>
  <c r="CM7" i="7" s="1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<sst xmlns="http://schemas.openxmlformats.org/spreadsheetml/2006/main" count="313" uniqueCount="148">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</sst>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 t="e">
        <f>(Submetering!AX28+Submetering!AY28+Submetering!AZ28+Submetering!BA28+Submetering!BB28)</f>
        <v>#REF!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 t="e">
        <f>(Submetering!AX29+Submetering!AY29+Submetering!AZ29+Submetering!BA29+Submetering!BB29)</f>
        <v>#REF!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 t="e">
        <f>(Submetering!AX30+Submetering!AY30+Submetering!AZ30+Submetering!BA30+Submetering!BB30)</f>
        <v>#REF!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 t="e">
        <f>(Submetering!AX31+Submetering!AY31+Submetering!AZ31+Submetering!BA31+Submetering!BB31)</f>
        <v>#REF!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 t="e">
        <f>(Submetering!AX32+Submetering!AY32+Submetering!AZ32+Submetering!BA32+Submetering!BB32)</f>
        <v>#REF!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0" sqref="B30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129.99999999999545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 t="str">
        <f>'FS Desroches Daily'!X7</f>
        <v/>
      </c>
      <c r="P4" s="31">
        <f>'FS Desroches Daily'!Z6</f>
        <v>500.00000000016701</v>
      </c>
      <c r="Q4" s="31">
        <f>'FS Desroches Daily'!AB6</f>
        <v>20.000000000038654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2009.9999999999909</v>
      </c>
      <c r="AL4" s="32">
        <f>'FS Desroches Daily'!BR6</f>
        <v>4</v>
      </c>
      <c r="AM4" s="32">
        <f>'FS Desroches Daily'!BT6</f>
        <v>10.000000000019327</v>
      </c>
      <c r="AN4" s="32" t="str">
        <f>'FS Desroches Daily'!BV6</f>
        <v/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 t="e">
        <f>IF(LPG!#REF!-LPG!F34&lt;0,"0",(LPG!#REF!-LPG!F34)*1.8315)</f>
        <v>#REF!</v>
      </c>
      <c r="AY28" s="31" t="e">
        <f>IF(LPG!#REF!-LPG!H34&lt;0,"0",(LPG!#REF!-LPG!H34)*1.8315)</f>
        <v>#REF!</v>
      </c>
      <c r="AZ28" s="31" t="e">
        <f>IF(LPG!#REF!-LPG!J34&lt;0,"0",(LPG!#REF!-LPG!J34)*1.8315)</f>
        <v>#REF!</v>
      </c>
      <c r="BA28" s="31" t="e">
        <f>IF(LPG!#REF!-LPG!M34&lt;0,"0",(LPG!#REF!-LPG!M34)*1.8315)</f>
        <v>#REF!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 t="e">
        <f>IF(LPG!#REF!-LPG!F35&lt;0,"0",(LPG!#REF!-LPG!F35)*1.8315)</f>
        <v>#REF!</v>
      </c>
      <c r="AY29" s="31" t="e">
        <f>IF(LPG!#REF!-LPG!H35&lt;0,"0",(LPG!#REF!-LPG!H35)*1.8315)</f>
        <v>#REF!</v>
      </c>
      <c r="AZ29" s="31" t="e">
        <f>IF(LPG!#REF!-LPG!J35&lt;0,"0",(LPG!#REF!-LPG!J35)*1.8315)</f>
        <v>#REF!</v>
      </c>
      <c r="BA29" s="31" t="e">
        <f>IF(LPG!#REF!-LPG!M35&lt;0,"0",(LPG!#REF!-LPG!M35)*1.8315)</f>
        <v>#REF!</v>
      </c>
      <c r="BB29" s="31" t="e">
        <f>IF(LPG!#REF!-LPG!Q35&lt;0,"0",(LPG!#REF!-LPG!Q35)*1.8315)</f>
        <v>#REF!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 t="e">
        <f>IF(LPG!#REF!-LPG!#REF!&lt;0,"0",(LPG!#REF!-LPG!#REF!)*1.8315)</f>
        <v>#REF!</v>
      </c>
      <c r="AY30" s="31" t="e">
        <f>IF(LPG!#REF!-LPG!#REF!&lt;0,"0",(LPG!#REF!-LPG!#REF!)*1.8315)</f>
        <v>#REF!</v>
      </c>
      <c r="AZ30" s="31" t="e">
        <f>IF(LPG!#REF!-LPG!#REF!&lt;0,"0",(LPG!#REF!-LPG!#REF!)*1.8315)</f>
        <v>#REF!</v>
      </c>
      <c r="BA30" s="31" t="e">
        <f>IF(LPG!#REF!-LPG!#REF!&lt;0,"0",(LPG!#REF!-LPG!#REF!)*1.8315)</f>
        <v>#REF!</v>
      </c>
      <c r="BB30" s="31" t="e">
        <f>IF(LPG!#REF!-LPG!#REF!&lt;0,"0",(LPG!#REF!-LPG!#REF!)*1.8315)</f>
        <v>#REF!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e">
        <f>IF(LPG!#REF!-LPG!#REF!&lt;0,"0",(LPG!#REF!-LPG!#REF!)*1.8315)</f>
        <v>#REF!</v>
      </c>
      <c r="AY31" s="31" t="e">
        <f>IF(LPG!#REF!-LPG!#REF!&lt;0,"0",(LPG!#REF!-LPG!#REF!)*1.8315)</f>
        <v>#REF!</v>
      </c>
      <c r="AZ31" s="31" t="e">
        <f>IF(LPG!#REF!-LPG!#REF!&lt;0,"0",(LPG!#REF!-LPG!#REF!)*1.8315)</f>
        <v>#REF!</v>
      </c>
      <c r="BA31" s="31" t="e">
        <f>IF(LPG!#REF!-LPG!#REF!&lt;0,"0",(LPG!#REF!-LPG!#REF!)*1.8315)</f>
        <v>#REF!</v>
      </c>
      <c r="BB31" s="31" t="e">
        <f>IF(LPG!#REF!-LPG!#REF!&lt;0,"0",(LPG!#REF!-LPG!#REF!)*1.8315)</f>
        <v>#REF!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 t="e">
        <f>IF(LPG!F36-LPG!#REF!&lt;0,"0",(LPG!F36-LPG!#REF!)*1.8315)</f>
        <v>#REF!</v>
      </c>
      <c r="AY32" s="31" t="e">
        <f>IF(LPG!H36-LPG!#REF!&lt;0,"0",(LPG!H36-LPG!#REF!)*1.8315)</f>
        <v>#REF!</v>
      </c>
      <c r="AZ32" s="31" t="e">
        <f>IF(LPG!J36-LPG!#REF!&lt;0,"0",(LPG!J36-LPG!#REF!)*1.8315)</f>
        <v>#REF!</v>
      </c>
      <c r="BA32" s="31" t="e">
        <f>IF(LPG!M36-LPG!#REF!&lt;0,"0",(LPG!M36-LPG!#REF!)*1.8315)</f>
        <v>#REF!</v>
      </c>
      <c r="BB32" s="31" t="e">
        <f>IF(LPG!#REF!-LPG!#REF!&lt;0,"0",(LPG!#REF!-LPG!#REF!)*1.8315)</f>
        <v>#REF!</v>
      </c>
      <c r="BC32" s="13">
        <f>'FS Desroches Daily'!CN34</f>
        <v>0</v>
      </c>
      <c r="BD32" s="9"/>
    </row>
    <row r="33" spans="5:55" x14ac:dyDescent="0.25">
      <c r="E33" s="35">
        <f>SUM(E2:E32)</f>
        <v>2799.9999999996917</v>
      </c>
      <c r="F33" s="17">
        <f t="shared" ref="F33:BC33" si="1">SUM(F2:F32)</f>
        <v>2200.0000000002019</v>
      </c>
      <c r="G33" s="17">
        <f t="shared" si="1"/>
        <v>5099.9999999996598</v>
      </c>
      <c r="H33" s="17">
        <f t="shared" si="1"/>
        <v>2499.9999999999468</v>
      </c>
      <c r="I33" s="17">
        <f t="shared" si="1"/>
        <v>5500.00000000006</v>
      </c>
      <c r="J33" s="17">
        <f t="shared" si="1"/>
        <v>1500.0000000000568</v>
      </c>
      <c r="K33" s="17">
        <f t="shared" si="1"/>
        <v>1</v>
      </c>
      <c r="L33" s="17">
        <f t="shared" si="1"/>
        <v>7</v>
      </c>
      <c r="M33" s="17">
        <f t="shared" si="1"/>
        <v>827.79999999993015</v>
      </c>
      <c r="N33" s="17">
        <f t="shared" si="1"/>
        <v>546.70000000001164</v>
      </c>
      <c r="O33" s="17">
        <f t="shared" si="1"/>
        <v>310.00000000000227</v>
      </c>
      <c r="P33" s="17">
        <f t="shared" si="1"/>
        <v>1399.9999999998458</v>
      </c>
      <c r="Q33" s="17">
        <f t="shared" si="1"/>
        <v>230.00000000001819</v>
      </c>
      <c r="R33" s="17">
        <f t="shared" si="1"/>
        <v>349.99999999996589</v>
      </c>
      <c r="S33" s="17">
        <f t="shared" si="1"/>
        <v>549.99999999995453</v>
      </c>
      <c r="T33" s="17">
        <f t="shared" si="1"/>
        <v>4.7999999999999545</v>
      </c>
      <c r="U33" s="35">
        <f t="shared" si="1"/>
        <v>730.00000000001819</v>
      </c>
      <c r="V33" s="35">
        <f t="shared" si="1"/>
        <v>89.999999999974989</v>
      </c>
      <c r="W33" s="35">
        <f t="shared" si="1"/>
        <v>69.999999999993179</v>
      </c>
      <c r="X33" s="35">
        <f t="shared" si="1"/>
        <v>70.0000000000216</v>
      </c>
      <c r="Y33" s="35">
        <f t="shared" si="1"/>
        <v>60.000000000002274</v>
      </c>
      <c r="Z33" s="35">
        <f t="shared" si="1"/>
        <v>50.000000000011369</v>
      </c>
      <c r="AA33" s="35">
        <f t="shared" si="1"/>
        <v>50.000000000011369</v>
      </c>
      <c r="AB33" s="35">
        <f t="shared" si="1"/>
        <v>50.000000000011369</v>
      </c>
      <c r="AC33" s="35">
        <f t="shared" si="1"/>
        <v>59.99999999994543</v>
      </c>
      <c r="AD33" s="35">
        <f t="shared" si="1"/>
        <v>89.999999999974989</v>
      </c>
      <c r="AE33" s="35">
        <f t="shared" si="1"/>
        <v>30.000000000001137</v>
      </c>
      <c r="AF33" s="17">
        <f t="shared" si="1"/>
        <v>66</v>
      </c>
      <c r="AG33" s="32">
        <f t="shared" si="1"/>
        <v>60.000000000002274</v>
      </c>
      <c r="AH33" s="32">
        <f t="shared" si="1"/>
        <v>100.00000000002274</v>
      </c>
      <c r="AI33" s="32">
        <f t="shared" si="1"/>
        <v>20.000000000010232</v>
      </c>
      <c r="AJ33" s="32">
        <f t="shared" si="1"/>
        <v>60.000000000002274</v>
      </c>
      <c r="AK33" s="32">
        <f t="shared" si="1"/>
        <v>2040.0000000000205</v>
      </c>
      <c r="AL33" s="32">
        <f t="shared" si="1"/>
        <v>16</v>
      </c>
      <c r="AM33" s="32">
        <f t="shared" si="1"/>
        <v>30.000000000001137</v>
      </c>
      <c r="AN33" s="32">
        <f t="shared" si="1"/>
        <v>18</v>
      </c>
      <c r="AO33" s="32">
        <f t="shared" si="1"/>
        <v>39.999999999992042</v>
      </c>
      <c r="AP33" s="32">
        <f t="shared" si="1"/>
        <v>43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117.89999999999418</v>
      </c>
      <c r="AU33" s="17">
        <f t="shared" si="1"/>
        <v>687</v>
      </c>
      <c r="AV33" s="17">
        <f t="shared" si="1"/>
        <v>1299.9999999999545</v>
      </c>
      <c r="AW33" s="17" t="e">
        <f t="shared" si="1"/>
        <v>#VALUE!</v>
      </c>
      <c r="AX33" s="31" t="e">
        <f>IF(LPG!F37-LPG!#REF!&lt;0,"0",(LPG!F37-LPG!#REF!)*1.8315)</f>
        <v>#REF!</v>
      </c>
      <c r="AY33" s="31" t="e">
        <f>IF(LPG!H37-LPG!#REF!&lt;0,"0",(LPG!H37-LPG!#REF!)*1.8315)</f>
        <v>#REF!</v>
      </c>
      <c r="AZ33" s="31" t="e">
        <f>IF(LPG!J37-LPG!#REF!&lt;0,"0",(LPG!J37-LPG!#REF!)*1.8315)</f>
        <v>#REF!</v>
      </c>
      <c r="BA33" s="31" t="e">
        <f>IF(LPG!M37-LPG!#REF!&lt;0,"0",(LPG!M37-LPG!#REF!)*1.8315)</f>
        <v>#REF!</v>
      </c>
      <c r="BB33" s="17" t="e">
        <f t="shared" si="1"/>
        <v>#REF!</v>
      </c>
      <c r="BC33" s="17">
        <f t="shared" si="1"/>
        <v>0</v>
      </c>
    </row>
    <row r="35" spans="5:55" x14ac:dyDescent="0.25">
      <c r="E35" s="38">
        <f>E33/E37</f>
        <v>0.53455517373041794</v>
      </c>
      <c r="G35" s="29">
        <f>G33-M36</f>
        <v>3725.4999999997181</v>
      </c>
      <c r="AE35" s="35">
        <f>SUM(U33:AE33)</f>
        <v>1349.9999999999659</v>
      </c>
      <c r="AG35" s="32">
        <f>SUM(AG33:AP33)</f>
        <v>2427.0000000000509</v>
      </c>
    </row>
    <row r="36" spans="5:55" x14ac:dyDescent="0.25">
      <c r="G36" s="29">
        <f>G35-633*14</f>
        <v>-5136.5000000002819</v>
      </c>
      <c r="M36" s="29">
        <f>M33+N33</f>
        <v>1374.4999999999418</v>
      </c>
    </row>
    <row r="37" spans="5:55" x14ac:dyDescent="0.25">
      <c r="E37" s="17">
        <f>E33+F33+G33+H33+J33-633*14</f>
        <v>5237.9999999995562</v>
      </c>
      <c r="G37" s="37">
        <f>M36/E37</f>
        <v>0.26240931653303901</v>
      </c>
      <c r="M37" s="35">
        <f>AE35</f>
        <v>1349.9999999999659</v>
      </c>
    </row>
    <row r="38" spans="5:55" x14ac:dyDescent="0.25">
      <c r="L38" s="27">
        <f>M38/E37</f>
        <v>0.46334478808710511</v>
      </c>
      <c r="M38" s="29">
        <f>AG35</f>
        <v>2427.0000000000509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2" activePane="bottomLeft" state="frozen"/>
      <selection pane="bottomLeft" activeCell="F29" sqref="F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355.27</v>
      </c>
      <c r="AB5" s="65">
        <f t="shared" si="11"/>
        <v>129.99999999999545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20.000000000038654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285.55</v>
      </c>
      <c r="BP6" s="65">
        <f t="shared" si="26"/>
        <v>2009.9999999999909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353.16</v>
      </c>
      <c r="BV6" s="65" t="str">
        <f t="shared" si="28"/>
        <v/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39"/>
        <v>0</v>
      </c>
      <c r="M7" s="58"/>
      <c r="N7" s="64" t="str">
        <f t="shared" si="4"/>
        <v/>
      </c>
      <c r="O7" s="58"/>
      <c r="P7" s="67" t="str">
        <f t="shared" si="5"/>
        <v/>
      </c>
      <c r="Q7" s="58"/>
      <c r="R7" s="67" t="str">
        <f t="shared" si="6"/>
        <v/>
      </c>
      <c r="S7" s="58"/>
      <c r="T7" s="67" t="str">
        <f t="shared" si="7"/>
        <v/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5"/>
        <v/>
      </c>
      <c r="AM7" s="58"/>
      <c r="AN7" s="65" t="str">
        <f t="shared" si="15"/>
        <v/>
      </c>
      <c r="AO7" s="58"/>
      <c r="AP7" s="65" t="str">
        <f t="shared" si="15"/>
        <v/>
      </c>
      <c r="AQ7" s="58"/>
      <c r="AR7" s="65" t="str">
        <f t="shared" si="16"/>
        <v/>
      </c>
      <c r="AS7" s="58"/>
      <c r="AT7" s="65" t="str">
        <f t="shared" si="17"/>
        <v/>
      </c>
      <c r="AU7" s="58"/>
      <c r="AV7" s="65" t="str">
        <f t="shared" si="18"/>
        <v/>
      </c>
      <c r="AW7" s="58"/>
      <c r="AX7" s="65" t="str">
        <f t="shared" si="19"/>
        <v/>
      </c>
      <c r="AY7" s="58"/>
      <c r="AZ7" s="65" t="str">
        <f t="shared" si="20"/>
        <v/>
      </c>
      <c r="BA7" s="58"/>
      <c r="BB7" s="65" t="str">
        <f t="shared" si="21"/>
        <v/>
      </c>
      <c r="BC7" s="58"/>
      <c r="BD7" s="65" t="str">
        <f t="shared" si="22"/>
        <v/>
      </c>
      <c r="BE7" s="59"/>
      <c r="BF7" s="67" t="str">
        <f t="shared" si="40"/>
        <v/>
      </c>
      <c r="BG7" s="60"/>
      <c r="BH7" s="65" t="str">
        <f t="shared" si="23"/>
        <v/>
      </c>
      <c r="BI7" s="60"/>
      <c r="BJ7" s="65" t="str">
        <f t="shared" si="41"/>
        <v/>
      </c>
      <c r="BK7" s="60"/>
      <c r="BL7" s="65" t="str">
        <f t="shared" si="24"/>
        <v/>
      </c>
      <c r="BM7" s="60"/>
      <c r="BN7" s="65" t="str">
        <f t="shared" si="25"/>
        <v/>
      </c>
      <c r="BO7" s="60"/>
      <c r="BP7" s="65" t="str">
        <f t="shared" si="26"/>
        <v/>
      </c>
      <c r="BQ7" s="60"/>
      <c r="BR7" s="65" t="str">
        <f t="shared" si="27"/>
        <v/>
      </c>
      <c r="BS7" s="60"/>
      <c r="BT7" s="65" t="str">
        <f t="shared" si="42"/>
        <v/>
      </c>
      <c r="BU7" s="60"/>
      <c r="BV7" s="65" t="str">
        <f t="shared" si="28"/>
        <v/>
      </c>
      <c r="BW7" s="60"/>
      <c r="BX7" s="65" t="str">
        <f t="shared" si="29"/>
        <v/>
      </c>
      <c r="BY7" s="60"/>
      <c r="BZ7" s="67" t="str">
        <f t="shared" si="30"/>
        <v/>
      </c>
      <c r="CA7" s="60"/>
      <c r="CB7" s="67" t="str">
        <f t="shared" si="31"/>
        <v/>
      </c>
      <c r="CC7" s="60"/>
      <c r="CD7" s="67" t="str">
        <f t="shared" si="32"/>
        <v/>
      </c>
      <c r="CE7" s="60"/>
      <c r="CF7" s="67" t="str">
        <f t="shared" si="33"/>
        <v/>
      </c>
      <c r="CG7" s="60"/>
      <c r="CH7" s="67" t="str">
        <f t="shared" si="34"/>
        <v/>
      </c>
      <c r="CI7" s="60"/>
      <c r="CJ7" s="67" t="str">
        <f t="shared" si="35"/>
        <v/>
      </c>
      <c r="CK7" s="60"/>
      <c r="CL7" s="64" t="str">
        <f t="shared" si="36"/>
        <v/>
      </c>
      <c r="CM7" s="65" t="e">
        <f t="shared" si="37"/>
        <v>#VALUE!</v>
      </c>
      <c r="CN7" s="62">
        <v>0</v>
      </c>
      <c r="CO7" s="62">
        <v>0</v>
      </c>
      <c r="CP7" s="68"/>
      <c r="CQ7" s="67" t="str">
        <f t="shared" si="38"/>
        <v/>
      </c>
      <c r="CR7" s="68"/>
      <c r="CS7" s="67" t="str">
        <f t="shared" si="38"/>
        <v/>
      </c>
      <c r="CT7" s="75"/>
      <c r="CU7" s="67" t="str">
        <f t="shared" si="38"/>
        <v/>
      </c>
      <c r="CV7" s="68"/>
      <c r="CW7" s="67" t="str">
        <f t="shared" si="38"/>
        <v/>
      </c>
    </row>
    <row r="8" spans="1:102" ht="25.5" customHeight="1" thickBot="1" x14ac:dyDescent="0.45">
      <c r="A8" s="63">
        <v>44232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39"/>
        <v>0</v>
      </c>
      <c r="M8" s="58"/>
      <c r="N8" s="64">
        <f t="shared" si="4"/>
        <v>0</v>
      </c>
      <c r="O8" s="58"/>
      <c r="P8" s="67">
        <f t="shared" si="5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40"/>
        <v>0</v>
      </c>
      <c r="BG8" s="60"/>
      <c r="BH8" s="65">
        <f t="shared" si="23"/>
        <v>0</v>
      </c>
      <c r="BI8" s="60"/>
      <c r="BJ8" s="65">
        <f t="shared" si="41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8"/>
        <v>0</v>
      </c>
      <c r="BW8" s="60"/>
      <c r="BX8" s="65">
        <f t="shared" si="29"/>
        <v>0</v>
      </c>
      <c r="BY8" s="60"/>
      <c r="BZ8" s="67">
        <f t="shared" si="30"/>
        <v>0</v>
      </c>
      <c r="CA8" s="60"/>
      <c r="CB8" s="67">
        <f t="shared" si="31"/>
        <v>0</v>
      </c>
      <c r="CC8" s="60"/>
      <c r="CD8" s="67">
        <f t="shared" si="32"/>
        <v>0</v>
      </c>
      <c r="CE8" s="60"/>
      <c r="CF8" s="67">
        <f t="shared" si="33"/>
        <v>0</v>
      </c>
      <c r="CG8" s="60"/>
      <c r="CH8" s="67">
        <f t="shared" si="34"/>
        <v>0</v>
      </c>
      <c r="CI8" s="60"/>
      <c r="CJ8" s="67">
        <f t="shared" si="35"/>
        <v>0</v>
      </c>
      <c r="CK8" s="60"/>
      <c r="CL8" s="64">
        <f t="shared" si="36"/>
        <v>0</v>
      </c>
      <c r="CM8" s="65">
        <f t="shared" si="37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44233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9"/>
        <v>0</v>
      </c>
      <c r="M9" s="58"/>
      <c r="N9" s="64">
        <f t="shared" si="4"/>
        <v>0</v>
      </c>
      <c r="O9" s="58"/>
      <c r="P9" s="67">
        <f t="shared" si="5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40"/>
        <v>0</v>
      </c>
      <c r="BG9" s="60"/>
      <c r="BH9" s="65">
        <f t="shared" si="23"/>
        <v>0</v>
      </c>
      <c r="BI9" s="60"/>
      <c r="BJ9" s="65">
        <f t="shared" si="41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8"/>
        <v>0</v>
      </c>
      <c r="BW9" s="60"/>
      <c r="BX9" s="65">
        <f t="shared" si="29"/>
        <v>0</v>
      </c>
      <c r="BY9" s="60"/>
      <c r="BZ9" s="67">
        <f t="shared" si="30"/>
        <v>0</v>
      </c>
      <c r="CA9" s="60"/>
      <c r="CB9" s="67">
        <f t="shared" si="31"/>
        <v>0</v>
      </c>
      <c r="CC9" s="60"/>
      <c r="CD9" s="67">
        <f t="shared" si="32"/>
        <v>0</v>
      </c>
      <c r="CE9" s="60"/>
      <c r="CF9" s="67">
        <f t="shared" si="33"/>
        <v>0</v>
      </c>
      <c r="CG9" s="60"/>
      <c r="CH9" s="67">
        <f t="shared" si="34"/>
        <v>0</v>
      </c>
      <c r="CI9" s="60"/>
      <c r="CJ9" s="67">
        <f t="shared" si="35"/>
        <v>0</v>
      </c>
      <c r="CK9" s="60"/>
      <c r="CL9" s="64">
        <f t="shared" si="36"/>
        <v>0</v>
      </c>
      <c r="CM9" s="65">
        <f t="shared" si="37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44234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9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40"/>
        <v>0</v>
      </c>
      <c r="BG10" s="60"/>
      <c r="BH10" s="65">
        <f t="shared" si="23"/>
        <v>0</v>
      </c>
      <c r="BI10" s="60"/>
      <c r="BJ10" s="65">
        <f t="shared" si="41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 t="shared" si="32"/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37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44235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9"/>
        <v>0</v>
      </c>
      <c r="M11" s="58"/>
      <c r="N11" s="64">
        <f t="shared" si="4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40"/>
        <v>0</v>
      </c>
      <c r="BG11" s="60"/>
      <c r="BH11" s="65">
        <f t="shared" si="23"/>
        <v>0</v>
      </c>
      <c r="BI11" s="60"/>
      <c r="BJ11" s="65">
        <f t="shared" si="41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37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44236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44237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44238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44239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44240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44241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44242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44243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44244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44245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44246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44247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44248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44250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44251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44252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44253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tabSelected="1" zoomScaleNormal="100" workbookViewId="0">
      <selection activeCell="G26" sqref="G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4957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4957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4957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7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-197</v>
      </c>
    </row>
    <row r="12" spans="1:20" x14ac:dyDescent="0.25">
      <c r="A12" s="73">
        <v>44233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44234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44235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44236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44237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44238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44239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44240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44241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44242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44243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44244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44245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44246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44247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44248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44249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44250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44251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44252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44253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Hany Metwally</cp:lastModifiedBy>
  <dcterms:created xsi:type="dcterms:W3CDTF">2019-08-14T08:16:24Z</dcterms:created>
  <dcterms:modified xsi:type="dcterms:W3CDTF">2021-02-04T11:34:52Z</dcterms:modified>
</cp:coreProperties>
</file>