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8824360B-DF24-4951-A728-722EC4711A81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C39" i="3" s="1"/>
  <c r="D38" i="3"/>
  <c r="E38" i="3"/>
  <c r="F38" i="3"/>
  <c r="G38" i="3"/>
  <c r="H38" i="3"/>
  <c r="I38" i="3"/>
  <c r="J38" i="3"/>
  <c r="B38" i="3"/>
  <c r="B39" i="3" s="1"/>
  <c r="L27" i="6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<sst xmlns="http://schemas.openxmlformats.org/spreadsheetml/2006/main" count="103" uniqueCount="31">
  <si>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</si>
  <si>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</si>
  <si>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</si>
  <si>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</si>
  <si>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</si>
  <si>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</si>
  <si>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</si>
  <si>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</si>
  <si>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</si>
  <si>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</si>
  <si>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</si>
  <si>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</si>
  <si>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</si>
  <si>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</si>
  <si>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</si>
  <si>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</si>
  <si>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</si>
  <si>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</si>
  <si>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</si>
  <si>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</si>
  <si>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</si>
  <si>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</si>
  <si>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OCTOBER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</si>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</sst>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9" fillId="0" borderId="0" xfId="0" applyFont="1"/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topLeftCell="A15" workbookViewId="0">
      <selection activeCell="H2" sqref="H2:H32"/>
    </sheetView>
  </sheetViews>
  <sheetFormatPr defaultColWidth="11.5703125" defaultRowHeight="15"/>
  <cols>
    <col min="1" max="1" width="16" style="3" customWidth="1"/>
    <col min="2" max="2" width="11.5703125" style="10"/>
    <col min="3" max="3" width="11.5703125" style="11"/>
    <col min="4" max="4" width="13.42578125" style="10" customWidth="1"/>
    <col min="5" max="5" width="12.5703125" style="7" customWidth="1"/>
    <col min="6" max="6" width="12.5703125" style="9" customWidth="1"/>
    <col min="7" max="7" width="11.5703125" style="7"/>
    <col min="8" max="8" width="11.5703125" style="9"/>
    <col min="9" max="9" width="11.5703125" style="7"/>
    <col min="10" max="10" width="11.5703125" style="8"/>
    <col min="11" max="23" width="11.5703125" style="7"/>
  </cols>
  <sheetData>
    <row r="1" spans="1:23" s="3" customFormat="1" ht="41.25">
      <c r="A1" s="18" t="s">
        <v>0</v>
      </c>
      <c r="B1" s="16" t="s">
        <v>1</v>
      </c>
      <c r="C1" s="17" t="s">
        <v>2</v>
      </c>
      <c r="D1" s="16" t="s">
        <v>3</v>
      </c>
      <c r="E1" s="13" t="s">
        <v>4</v>
      </c>
      <c r="F1" s="15" t="s">
        <v>5</v>
      </c>
      <c r="G1" s="13" t="s">
        <v>6</v>
      </c>
      <c r="H1" s="15" t="s">
        <v>7</v>
      </c>
      <c r="I1" s="13" t="s">
        <v>8</v>
      </c>
      <c r="J1" s="14" t="s">
        <v>9</v>
      </c>
      <c r="K1" s="13" t="s">
        <v>10</v>
      </c>
      <c r="L1" s="1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>
      <c r="A2" s="3" t="s">
        <v>12</v>
      </c>
      <c r="B2" s="10">
        <v>1</v>
      </c>
      <c r="C2" s="11">
        <v>10</v>
      </c>
      <c r="D2" s="11">
        <v>2022</v>
      </c>
      <c r="E2" s="12">
        <f>IF(('DAILY READINGS'!B7-'DAILY READINGS'!B6)&gt;0,('DAILY READINGS'!B7-'DAILY READINGS'!B6),0)</f>
        <v>7008</v>
      </c>
      <c r="F2" s="9">
        <v>0.27</v>
      </c>
      <c r="G2" s="12">
        <f>IF(('DAILY READINGS'!D7-'DAILY READINGS'!D6)+('DAILY READINGS'!E7-'DAILY READINGS'!E6)&gt;0,('DAILY READINGS'!D7-'DAILY READINGS'!D6)+('DAILY READINGS'!E7-'DAILY READINGS'!E6),0)</f>
        <v>275</v>
      </c>
      <c r="H2" s="9">
        <v>1.45</v>
      </c>
      <c r="I2" s="12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63</v>
      </c>
      <c r="J2" s="9">
        <v>1.45</v>
      </c>
      <c r="K2" s="12">
        <f>'DAILY READINGS'!K7</f>
        <v>79</v>
      </c>
      <c r="L2" s="7">
        <f>'DAILY READINGS'!L7</f>
        <v>143</v>
      </c>
    </row>
    <row r="3" spans="1:23">
      <c r="A3" s="3" t="s">
        <v>12</v>
      </c>
      <c r="B3" s="10">
        <f t="shared" ref="B3:B32" si="0">B2+1</f>
        <v>2</v>
      </c>
      <c r="C3" s="11">
        <v>10</v>
      </c>
      <c r="D3" s="11">
        <v>2022</v>
      </c>
      <c r="E3" s="12">
        <f>IF(('DAILY READINGS'!B8-'DAILY READINGS'!B7)&gt;0,('DAILY READINGS'!B8-'DAILY READINGS'!B7),0)</f>
        <v>6614</v>
      </c>
      <c r="F3" s="9">
        <v>0.27</v>
      </c>
      <c r="G3" s="12">
        <f>IF(('DAILY READINGS'!D8-'DAILY READINGS'!D7)+('DAILY READINGS'!E8-'DAILY READINGS'!E7)&gt;0,('DAILY READINGS'!D8-'DAILY READINGS'!D7)+('DAILY READINGS'!E8-'DAILY READINGS'!E7),0)</f>
        <v>286</v>
      </c>
      <c r="H3" s="9">
        <v>1.45</v>
      </c>
      <c r="I3" s="12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215</v>
      </c>
      <c r="J3" s="9">
        <v>1.45</v>
      </c>
      <c r="K3" s="12">
        <f>'DAILY READINGS'!K8</f>
        <v>82</v>
      </c>
      <c r="L3" s="7">
        <f>'DAILY READINGS'!L8</f>
        <v>154</v>
      </c>
      <c r="M3" s="12"/>
    </row>
    <row r="4" spans="1:23">
      <c r="A4" s="3" t="s">
        <v>12</v>
      </c>
      <c r="B4" s="10">
        <f t="shared" si="0"/>
        <v>3</v>
      </c>
      <c r="C4" s="11">
        <v>10</v>
      </c>
      <c r="D4" s="11">
        <v>2022</v>
      </c>
      <c r="E4" s="12">
        <f>IF(('DAILY READINGS'!B9-'DAILY READINGS'!B8)&gt;0,('DAILY READINGS'!B9-'DAILY READINGS'!B8),0)</f>
        <v>6582</v>
      </c>
      <c r="F4" s="9">
        <v>0.27</v>
      </c>
      <c r="G4" s="12">
        <f>IF(('DAILY READINGS'!D9-'DAILY READINGS'!D8)+('DAILY READINGS'!E9-'DAILY READINGS'!E8)&gt;0,('DAILY READINGS'!D9-'DAILY READINGS'!D8)+('DAILY READINGS'!E9-'DAILY READINGS'!E8),0)</f>
        <v>246</v>
      </c>
      <c r="H4" s="9">
        <v>1.45</v>
      </c>
      <c r="I4" s="12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109</v>
      </c>
      <c r="J4" s="9">
        <v>1.45</v>
      </c>
      <c r="K4" s="12">
        <f>'DAILY READINGS'!K9</f>
        <v>85</v>
      </c>
      <c r="L4" s="7">
        <f>'DAILY READINGS'!L9</f>
        <v>164</v>
      </c>
    </row>
    <row r="5" spans="1:23">
      <c r="A5" s="3" t="s">
        <v>12</v>
      </c>
      <c r="B5" s="10">
        <f t="shared" si="0"/>
        <v>4</v>
      </c>
      <c r="C5" s="11">
        <v>10</v>
      </c>
      <c r="D5" s="11">
        <v>2022</v>
      </c>
      <c r="E5" s="12">
        <f>IF(('DAILY READINGS'!B10-'DAILY READINGS'!B9)&gt;0,('DAILY READINGS'!B10-'DAILY READINGS'!B9),0)</f>
        <v>6556</v>
      </c>
      <c r="F5" s="9">
        <v>0.27</v>
      </c>
      <c r="G5" s="12">
        <f>IF(('DAILY READINGS'!D10-'DAILY READINGS'!D9)+('DAILY READINGS'!E10-'DAILY READINGS'!E9)&gt;0,('DAILY READINGS'!D10-'DAILY READINGS'!D9)+('DAILY READINGS'!E10-'DAILY READINGS'!E9),0)</f>
        <v>333</v>
      </c>
      <c r="H5" s="9">
        <v>1.45</v>
      </c>
      <c r="I5" s="12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101</v>
      </c>
      <c r="J5" s="9">
        <v>1.45</v>
      </c>
      <c r="K5" s="12">
        <f>'DAILY READINGS'!K10</f>
        <v>97</v>
      </c>
      <c r="L5" s="7">
        <f>'DAILY READINGS'!L10</f>
        <v>181</v>
      </c>
    </row>
    <row r="6" spans="1:23">
      <c r="A6" s="3" t="s">
        <v>12</v>
      </c>
      <c r="B6" s="10">
        <f t="shared" si="0"/>
        <v>5</v>
      </c>
      <c r="C6" s="11">
        <v>10</v>
      </c>
      <c r="D6" s="11">
        <v>2022</v>
      </c>
      <c r="E6" s="12">
        <f>IF(('DAILY READINGS'!B11-'DAILY READINGS'!B10)&gt;0,('DAILY READINGS'!B11-'DAILY READINGS'!B10),0)</f>
        <v>7192</v>
      </c>
      <c r="F6" s="9">
        <v>0.27</v>
      </c>
      <c r="G6" s="12">
        <f>IF(('DAILY READINGS'!D11-'DAILY READINGS'!D10)+('DAILY READINGS'!E11-'DAILY READINGS'!E10)&gt;0,('DAILY READINGS'!D11-'DAILY READINGS'!D10)+('DAILY READINGS'!E11-'DAILY READINGS'!E10),0)</f>
        <v>339</v>
      </c>
      <c r="H6" s="9">
        <v>1.45</v>
      </c>
      <c r="I6" s="12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138</v>
      </c>
      <c r="J6" s="9">
        <v>1.45</v>
      </c>
      <c r="K6" s="12">
        <f>'DAILY READINGS'!K11</f>
        <v>99</v>
      </c>
      <c r="L6" s="7">
        <f>'DAILY READINGS'!L11</f>
        <v>184</v>
      </c>
    </row>
    <row r="7" spans="1:23">
      <c r="A7" s="3" t="s">
        <v>12</v>
      </c>
      <c r="B7" s="10">
        <f t="shared" si="0"/>
        <v>6</v>
      </c>
      <c r="C7" s="11">
        <v>10</v>
      </c>
      <c r="D7" s="11">
        <v>2022</v>
      </c>
      <c r="E7" s="12">
        <f>IF(('DAILY READINGS'!B12-'DAILY READINGS'!B11)&gt;0,('DAILY READINGS'!B12-'DAILY READINGS'!B11),0)</f>
        <v>7204</v>
      </c>
      <c r="F7" s="9">
        <v>0.27</v>
      </c>
      <c r="G7" s="12">
        <f>IF(('DAILY READINGS'!D12-'DAILY READINGS'!D11)+('DAILY READINGS'!E12-'DAILY READINGS'!E11)&gt;0,('DAILY READINGS'!D12-'DAILY READINGS'!D11)+('DAILY READINGS'!E12-'DAILY READINGS'!E11),0)</f>
        <v>357</v>
      </c>
      <c r="H7" s="9">
        <v>1.45</v>
      </c>
      <c r="I7" s="12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118</v>
      </c>
      <c r="J7" s="9">
        <v>1.45</v>
      </c>
      <c r="K7" s="12">
        <f>'DAILY READINGS'!K12</f>
        <v>103</v>
      </c>
      <c r="L7" s="7">
        <f>'DAILY READINGS'!L12</f>
        <v>187</v>
      </c>
    </row>
    <row r="8" spans="1:23">
      <c r="A8" s="3" t="s">
        <v>12</v>
      </c>
      <c r="B8" s="10">
        <f t="shared" si="0"/>
        <v>7</v>
      </c>
      <c r="C8" s="11">
        <v>10</v>
      </c>
      <c r="D8" s="11">
        <v>2022</v>
      </c>
      <c r="E8" s="12">
        <f>IF(('DAILY READINGS'!B13-'DAILY READINGS'!B12)&gt;0,('DAILY READINGS'!B13-'DAILY READINGS'!B12),0)</f>
        <v>6012</v>
      </c>
      <c r="F8" s="9">
        <v>0.27</v>
      </c>
      <c r="G8" s="12">
        <f>IF(('DAILY READINGS'!D13-'DAILY READINGS'!D12)+('DAILY READINGS'!E13-'DAILY READINGS'!E12)&gt;0,('DAILY READINGS'!D13-'DAILY READINGS'!D12)+('DAILY READINGS'!E13-'DAILY READINGS'!E12),0)</f>
        <v>301</v>
      </c>
      <c r="H8" s="9">
        <v>1.45</v>
      </c>
      <c r="I8" s="12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113</v>
      </c>
      <c r="J8" s="9">
        <v>1.45</v>
      </c>
      <c r="K8" s="12">
        <f>'DAILY READINGS'!K13</f>
        <v>111</v>
      </c>
      <c r="L8" s="7">
        <f>'DAILY READINGS'!L13</f>
        <v>203</v>
      </c>
    </row>
    <row r="9" spans="1:23">
      <c r="A9" s="3" t="s">
        <v>12</v>
      </c>
      <c r="B9" s="10">
        <f t="shared" si="0"/>
        <v>8</v>
      </c>
      <c r="C9" s="11">
        <v>10</v>
      </c>
      <c r="D9" s="11">
        <v>2022</v>
      </c>
      <c r="E9" s="12">
        <f>IF(('DAILY READINGS'!B14-'DAILY READINGS'!B13)&gt;0,('DAILY READINGS'!B14-'DAILY READINGS'!B13),0)</f>
        <v>6290</v>
      </c>
      <c r="F9" s="9">
        <v>0.27</v>
      </c>
      <c r="G9" s="12">
        <f>IF(('DAILY READINGS'!D14-'DAILY READINGS'!D13)+('DAILY READINGS'!E14-'DAILY READINGS'!E13)&gt;0,('DAILY READINGS'!D14-'DAILY READINGS'!D13)+('DAILY READINGS'!E14-'DAILY READINGS'!E13),0)</f>
        <v>325</v>
      </c>
      <c r="H9" s="9">
        <v>1.45</v>
      </c>
      <c r="I9" s="12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115</v>
      </c>
      <c r="J9" s="9">
        <v>1.45</v>
      </c>
      <c r="K9" s="12">
        <f>'DAILY READINGS'!K14</f>
        <v>111</v>
      </c>
      <c r="L9" s="7">
        <f>'DAILY READINGS'!L14</f>
        <v>203</v>
      </c>
    </row>
    <row r="10" spans="1:23">
      <c r="A10" s="3" t="s">
        <v>12</v>
      </c>
      <c r="B10" s="10">
        <f t="shared" si="0"/>
        <v>9</v>
      </c>
      <c r="C10" s="11">
        <v>10</v>
      </c>
      <c r="D10" s="11">
        <v>2022</v>
      </c>
      <c r="E10" s="12">
        <f>IF(('DAILY READINGS'!B15-'DAILY READINGS'!B14)&gt;0,('DAILY READINGS'!B15-'DAILY READINGS'!B14),0)</f>
        <v>6490</v>
      </c>
      <c r="F10" s="9">
        <v>0.27</v>
      </c>
      <c r="G10" s="12">
        <f>IF(('DAILY READINGS'!D15-'DAILY READINGS'!D14)+('DAILY READINGS'!E15-'DAILY READINGS'!E14)&gt;0,('DAILY READINGS'!D15-'DAILY READINGS'!D14)+('DAILY READINGS'!E15-'DAILY READINGS'!E14),0)</f>
        <v>301</v>
      </c>
      <c r="H10" s="9">
        <v>1.45</v>
      </c>
      <c r="I10" s="12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110</v>
      </c>
      <c r="J10" s="9">
        <v>1.45</v>
      </c>
      <c r="K10" s="12">
        <f>'DAILY READINGS'!K15</f>
        <v>61</v>
      </c>
      <c r="L10" s="7">
        <f>'DAILY READINGS'!L15</f>
        <v>111</v>
      </c>
    </row>
    <row r="11" spans="1:23">
      <c r="A11" s="3" t="s">
        <v>12</v>
      </c>
      <c r="B11" s="10">
        <f t="shared" si="0"/>
        <v>10</v>
      </c>
      <c r="C11" s="11">
        <v>10</v>
      </c>
      <c r="D11" s="11">
        <v>2022</v>
      </c>
      <c r="E11" s="12">
        <f>IF(('DAILY READINGS'!B16-'DAILY READINGS'!B15)&gt;0,('DAILY READINGS'!B16-'DAILY READINGS'!B15),0)</f>
        <v>6428</v>
      </c>
      <c r="F11" s="9">
        <v>0.27</v>
      </c>
      <c r="G11" s="12">
        <f>IF(('DAILY READINGS'!D16-'DAILY READINGS'!D15)+('DAILY READINGS'!E16-'DAILY READINGS'!E15)&gt;0,('DAILY READINGS'!D16-'DAILY READINGS'!D15)+('DAILY READINGS'!E16-'DAILY READINGS'!E15),0)</f>
        <v>321</v>
      </c>
      <c r="H11" s="9">
        <v>1.45</v>
      </c>
      <c r="I11" s="12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104</v>
      </c>
      <c r="J11" s="9">
        <v>1.45</v>
      </c>
      <c r="K11" s="12">
        <f>'DAILY READINGS'!K16</f>
        <v>46</v>
      </c>
      <c r="L11" s="7">
        <f>'DAILY READINGS'!L16</f>
        <v>77</v>
      </c>
    </row>
    <row r="12" spans="1:23">
      <c r="A12" s="3" t="s">
        <v>12</v>
      </c>
      <c r="B12" s="10">
        <f t="shared" si="0"/>
        <v>11</v>
      </c>
      <c r="C12" s="11">
        <v>10</v>
      </c>
      <c r="D12" s="11">
        <v>2022</v>
      </c>
      <c r="E12" s="12">
        <f>IF(('DAILY READINGS'!B17-'DAILY READINGS'!B16)&gt;0,('DAILY READINGS'!B17-'DAILY READINGS'!B16),0)</f>
        <v>5892</v>
      </c>
      <c r="F12" s="9">
        <v>0.27</v>
      </c>
      <c r="G12" s="12">
        <f>IF(('DAILY READINGS'!D17-'DAILY READINGS'!D16)+('DAILY READINGS'!E17-'DAILY READINGS'!E16)&gt;0,('DAILY READINGS'!D17-'DAILY READINGS'!D16)+('DAILY READINGS'!E17-'DAILY READINGS'!E16),0)</f>
        <v>266</v>
      </c>
      <c r="H12" s="9">
        <v>1.45</v>
      </c>
      <c r="I12" s="12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69</v>
      </c>
      <c r="J12" s="9">
        <v>1.45</v>
      </c>
      <c r="K12" s="12">
        <f>'DAILY READINGS'!K17</f>
        <v>50</v>
      </c>
      <c r="L12" s="7">
        <f>'DAILY READINGS'!L17</f>
        <v>88</v>
      </c>
    </row>
    <row r="13" spans="1:23">
      <c r="A13" s="3" t="s">
        <v>12</v>
      </c>
      <c r="B13" s="10">
        <f t="shared" si="0"/>
        <v>12</v>
      </c>
      <c r="C13" s="11">
        <v>10</v>
      </c>
      <c r="D13" s="11">
        <v>2022</v>
      </c>
      <c r="E13" s="12">
        <f>IF(('DAILY READINGS'!B18-'DAILY READINGS'!B17)&gt;0,('DAILY READINGS'!B18-'DAILY READINGS'!B17),0)</f>
        <v>6994</v>
      </c>
      <c r="F13" s="9">
        <v>0.27</v>
      </c>
      <c r="G13" s="12">
        <f>IF(('DAILY READINGS'!D18-'DAILY READINGS'!D17)+('DAILY READINGS'!E18-'DAILY READINGS'!E17)&gt;0,('DAILY READINGS'!D18-'DAILY READINGS'!D17)+('DAILY READINGS'!E18-'DAILY READINGS'!E17),0)</f>
        <v>290</v>
      </c>
      <c r="H13" s="9">
        <v>1.45</v>
      </c>
      <c r="I13" s="12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117</v>
      </c>
      <c r="J13" s="9">
        <v>1.45</v>
      </c>
      <c r="K13" s="12">
        <f>'DAILY READINGS'!K18</f>
        <v>89</v>
      </c>
      <c r="L13" s="7">
        <f>'DAILY READINGS'!L18</f>
        <v>164</v>
      </c>
    </row>
    <row r="14" spans="1:23">
      <c r="A14" s="3" t="s">
        <v>12</v>
      </c>
      <c r="B14" s="10">
        <f t="shared" si="0"/>
        <v>13</v>
      </c>
      <c r="C14" s="11">
        <v>10</v>
      </c>
      <c r="D14" s="11">
        <v>2022</v>
      </c>
      <c r="E14" s="12">
        <f>IF(('DAILY READINGS'!B19-'DAILY READINGS'!B18)&gt;0,('DAILY READINGS'!B19-'DAILY READINGS'!B18),0)</f>
        <v>6602</v>
      </c>
      <c r="F14" s="9">
        <v>0.27</v>
      </c>
      <c r="G14" s="12">
        <f>IF(('DAILY READINGS'!D19-'DAILY READINGS'!D18)+('DAILY READINGS'!E19-'DAILY READINGS'!E18)&gt;0,('DAILY READINGS'!D19-'DAILY READINGS'!D18)+('DAILY READINGS'!E19-'DAILY READINGS'!E18),0)</f>
        <v>320</v>
      </c>
      <c r="H14" s="9">
        <v>1.45</v>
      </c>
      <c r="I14" s="12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94</v>
      </c>
      <c r="J14" s="9">
        <v>1.45</v>
      </c>
      <c r="K14" s="12">
        <v>82</v>
      </c>
      <c r="L14" s="7">
        <f>'DAILY READINGS'!L19</f>
        <v>166</v>
      </c>
    </row>
    <row r="15" spans="1:23">
      <c r="A15" s="3" t="s">
        <v>12</v>
      </c>
      <c r="B15" s="10">
        <f t="shared" si="0"/>
        <v>14</v>
      </c>
      <c r="C15" s="11">
        <v>10</v>
      </c>
      <c r="D15" s="11">
        <v>2022</v>
      </c>
      <c r="E15" s="12">
        <f>IF(('DAILY READINGS'!B20-'DAILY READINGS'!B19)&gt;0,('DAILY READINGS'!B20-'DAILY READINGS'!B19),0)</f>
        <v>6780</v>
      </c>
      <c r="F15" s="9">
        <v>0.27</v>
      </c>
      <c r="G15" s="12">
        <f>IF(('DAILY READINGS'!D20-'DAILY READINGS'!D19)+('DAILY READINGS'!E20-'DAILY READINGS'!E19)&gt;0,('DAILY READINGS'!D20-'DAILY READINGS'!D19)+('DAILY READINGS'!E20-'DAILY READINGS'!E19),0)</f>
        <v>424</v>
      </c>
      <c r="H15" s="9">
        <v>1.45</v>
      </c>
      <c r="I15" s="12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108</v>
      </c>
      <c r="J15" s="9">
        <v>1.45</v>
      </c>
      <c r="K15" s="12">
        <f>'DAILY READINGS'!K20</f>
        <v>89</v>
      </c>
      <c r="L15" s="7">
        <f>'DAILY READINGS'!L20</f>
        <v>163</v>
      </c>
    </row>
    <row r="16" spans="1:23">
      <c r="A16" s="3" t="s">
        <v>12</v>
      </c>
      <c r="B16" s="10">
        <f t="shared" si="0"/>
        <v>15</v>
      </c>
      <c r="C16" s="11">
        <v>10</v>
      </c>
      <c r="D16" s="11">
        <v>2022</v>
      </c>
      <c r="E16" s="12">
        <f>IF(('DAILY READINGS'!B21-'DAILY READINGS'!B20)&gt;0,('DAILY READINGS'!B21-'DAILY READINGS'!B20),0)</f>
        <v>5952</v>
      </c>
      <c r="F16" s="9">
        <v>0.27</v>
      </c>
      <c r="G16" s="12">
        <f>IF(('DAILY READINGS'!D21-'DAILY READINGS'!D20)+('DAILY READINGS'!E21-'DAILY READINGS'!E20)&gt;0,('DAILY READINGS'!D21-'DAILY READINGS'!D20)+('DAILY READINGS'!E21-'DAILY READINGS'!E20),0)</f>
        <v>373</v>
      </c>
      <c r="H16" s="9">
        <v>1.45</v>
      </c>
      <c r="I16" s="12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100</v>
      </c>
      <c r="J16" s="9">
        <v>1.45</v>
      </c>
      <c r="K16" s="12">
        <f>'DAILY READINGS'!K21</f>
        <v>94</v>
      </c>
      <c r="L16" s="7">
        <f>'DAILY READINGS'!L21</f>
        <v>171</v>
      </c>
    </row>
    <row r="17" spans="1:12">
      <c r="A17" s="3" t="s">
        <v>12</v>
      </c>
      <c r="B17" s="10">
        <f t="shared" si="0"/>
        <v>16</v>
      </c>
      <c r="C17" s="11">
        <v>10</v>
      </c>
      <c r="D17" s="11">
        <v>2022</v>
      </c>
      <c r="E17" s="12">
        <f>IF(('DAILY READINGS'!B22-'DAILY READINGS'!B21)&gt;0,('DAILY READINGS'!B22-'DAILY READINGS'!B21),0)</f>
        <v>6808</v>
      </c>
      <c r="F17" s="9">
        <v>0.27</v>
      </c>
      <c r="G17" s="12">
        <f>IF(('DAILY READINGS'!D22-'DAILY READINGS'!D21)+('DAILY READINGS'!E22-'DAILY READINGS'!E21)&gt;0,('DAILY READINGS'!D22-'DAILY READINGS'!D21)+('DAILY READINGS'!E22-'DAILY READINGS'!E21),0)</f>
        <v>334</v>
      </c>
      <c r="H17" s="9">
        <v>1.45</v>
      </c>
      <c r="I17" s="12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96</v>
      </c>
      <c r="J17" s="9">
        <v>1.45</v>
      </c>
      <c r="K17" s="12">
        <f>'DAILY READINGS'!K22</f>
        <v>94</v>
      </c>
      <c r="L17" s="7">
        <f>'DAILY READINGS'!L22</f>
        <v>170</v>
      </c>
    </row>
    <row r="18" spans="1:12">
      <c r="A18" s="3" t="s">
        <v>12</v>
      </c>
      <c r="B18" s="10">
        <f t="shared" si="0"/>
        <v>17</v>
      </c>
      <c r="C18" s="11">
        <v>10</v>
      </c>
      <c r="D18" s="11">
        <v>2022</v>
      </c>
      <c r="E18" s="12">
        <f>IF(('DAILY READINGS'!B23-'DAILY READINGS'!B22)&gt;0,('DAILY READINGS'!B23-'DAILY READINGS'!B22),0)</f>
        <v>7122</v>
      </c>
      <c r="F18" s="9">
        <v>0.27</v>
      </c>
      <c r="G18" s="12">
        <f>IF(('DAILY READINGS'!D23-'DAILY READINGS'!D22)+('DAILY READINGS'!E23-'DAILY READINGS'!E22)&gt;0,('DAILY READINGS'!D23-'DAILY READINGS'!D22)+('DAILY READINGS'!E23-'DAILY READINGS'!E22),0)</f>
        <v>385</v>
      </c>
      <c r="H18" s="9">
        <v>1.45</v>
      </c>
      <c r="I18" s="12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121</v>
      </c>
      <c r="J18" s="9">
        <v>1.45</v>
      </c>
      <c r="K18" s="12">
        <f>'DAILY READINGS'!K23</f>
        <v>68</v>
      </c>
      <c r="L18" s="7">
        <f>'DAILY READINGS'!L23</f>
        <v>123</v>
      </c>
    </row>
    <row r="19" spans="1:12">
      <c r="A19" s="3" t="s">
        <v>12</v>
      </c>
      <c r="B19" s="10">
        <f t="shared" si="0"/>
        <v>18</v>
      </c>
      <c r="C19" s="11">
        <v>10</v>
      </c>
      <c r="D19" s="11">
        <v>2022</v>
      </c>
      <c r="E19" s="12">
        <f>IF(('DAILY READINGS'!B24-'DAILY READINGS'!B23)&gt;0,('DAILY READINGS'!B24-'DAILY READINGS'!B23),0)</f>
        <v>6172</v>
      </c>
      <c r="F19" s="9">
        <v>0.27</v>
      </c>
      <c r="G19" s="12">
        <f>IF(('DAILY READINGS'!D24-'DAILY READINGS'!D23)+('DAILY READINGS'!E24-'DAILY READINGS'!E23)&gt;0,('DAILY READINGS'!D24-'DAILY READINGS'!D23)+('DAILY READINGS'!E24-'DAILY READINGS'!E23),0)</f>
        <v>357</v>
      </c>
      <c r="H19" s="9">
        <v>1.45</v>
      </c>
      <c r="I19" s="12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63</v>
      </c>
      <c r="J19" s="9">
        <v>1.45</v>
      </c>
      <c r="K19" s="12">
        <f>'DAILY READINGS'!K24</f>
        <v>66</v>
      </c>
      <c r="L19" s="7">
        <f>'DAILY READINGS'!L24</f>
        <v>128</v>
      </c>
    </row>
    <row r="20" spans="1:12">
      <c r="A20" s="3" t="s">
        <v>12</v>
      </c>
      <c r="B20" s="10">
        <f t="shared" si="0"/>
        <v>19</v>
      </c>
      <c r="C20" s="11">
        <v>10</v>
      </c>
      <c r="D20" s="11">
        <v>2022</v>
      </c>
      <c r="E20" s="12">
        <f>IF(('DAILY READINGS'!B25-'DAILY READINGS'!B24)&gt;0,('DAILY READINGS'!B25-'DAILY READINGS'!B24),0)</f>
        <v>5842</v>
      </c>
      <c r="F20" s="9">
        <v>0.27</v>
      </c>
      <c r="G20" s="12">
        <f>IF(('DAILY READINGS'!D25-'DAILY READINGS'!D24)+('DAILY READINGS'!E25-'DAILY READINGS'!E24)&gt;0,('DAILY READINGS'!D25-'DAILY READINGS'!D24)+('DAILY READINGS'!E25-'DAILY READINGS'!E24),0)</f>
        <v>339</v>
      </c>
      <c r="H20" s="9">
        <v>1.45</v>
      </c>
      <c r="I20" s="12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131</v>
      </c>
      <c r="J20" s="9">
        <v>1.45</v>
      </c>
      <c r="K20" s="12">
        <f>'DAILY READINGS'!K25</f>
        <v>84</v>
      </c>
      <c r="L20" s="7">
        <f>'DAILY READINGS'!L25</f>
        <v>164</v>
      </c>
    </row>
    <row r="21" spans="1:12">
      <c r="A21" s="3" t="s">
        <v>12</v>
      </c>
      <c r="B21" s="10">
        <f t="shared" si="0"/>
        <v>20</v>
      </c>
      <c r="C21" s="11">
        <v>10</v>
      </c>
      <c r="D21" s="11">
        <v>2022</v>
      </c>
      <c r="E21" s="12">
        <f>IF(('DAILY READINGS'!B26-'DAILY READINGS'!B25)&gt;0,('DAILY READINGS'!B26-'DAILY READINGS'!B25),0)</f>
        <v>5367</v>
      </c>
      <c r="F21" s="9">
        <v>0.27</v>
      </c>
      <c r="G21" s="12">
        <f>IF(('DAILY READINGS'!D26-'DAILY READINGS'!D25)+('DAILY READINGS'!E26-'DAILY READINGS'!E25)&gt;0,('DAILY READINGS'!D26-'DAILY READINGS'!D25)+('DAILY READINGS'!E26-'DAILY READINGS'!E25),0)</f>
        <v>401</v>
      </c>
      <c r="H21" s="9">
        <v>1.45</v>
      </c>
      <c r="I21" s="12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102</v>
      </c>
      <c r="J21" s="9">
        <v>1.45</v>
      </c>
      <c r="K21" s="12">
        <f>'DAILY READINGS'!K26</f>
        <v>91</v>
      </c>
      <c r="L21" s="7">
        <f>'DAILY READINGS'!L26</f>
        <v>171</v>
      </c>
    </row>
    <row r="22" spans="1:12">
      <c r="A22" s="3" t="s">
        <v>12</v>
      </c>
      <c r="B22" s="10">
        <f t="shared" si="0"/>
        <v>21</v>
      </c>
      <c r="C22" s="11">
        <v>10</v>
      </c>
      <c r="D22" s="11">
        <v>2022</v>
      </c>
      <c r="E22" s="12">
        <f>IF(('DAILY READINGS'!B27-'DAILY READINGS'!B26)&gt;0,('DAILY READINGS'!B27-'DAILY READINGS'!B26),0)</f>
        <v>8357</v>
      </c>
      <c r="F22" s="9">
        <v>0.27</v>
      </c>
      <c r="G22" s="12">
        <f>IF(('DAILY READINGS'!D27-'DAILY READINGS'!D26)+('DAILY READINGS'!E27-'DAILY READINGS'!E26)&gt;0,('DAILY READINGS'!D27-'DAILY READINGS'!D26)+('DAILY READINGS'!E27-'DAILY READINGS'!E26),0)</f>
        <v>331</v>
      </c>
      <c r="H22" s="9">
        <v>1.45</v>
      </c>
      <c r="I22" s="12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83</v>
      </c>
      <c r="J22" s="9">
        <v>1.45</v>
      </c>
      <c r="K22" s="12">
        <f>'DAILY READINGS'!K27</f>
        <v>82</v>
      </c>
      <c r="L22" s="7">
        <f>'DAILY READINGS'!L27</f>
        <v>167</v>
      </c>
    </row>
    <row r="23" spans="1:12">
      <c r="A23" s="3" t="s">
        <v>12</v>
      </c>
      <c r="B23" s="10">
        <f t="shared" si="0"/>
        <v>22</v>
      </c>
      <c r="C23" s="11">
        <v>10</v>
      </c>
      <c r="D23" s="11">
        <v>2022</v>
      </c>
      <c r="E23" s="12">
        <f>IF(('DAILY READINGS'!B28-'DAILY READINGS'!B27)&gt;0,('DAILY READINGS'!B28-'DAILY READINGS'!B27),0)</f>
        <v>7468</v>
      </c>
      <c r="F23" s="9">
        <v>0.27</v>
      </c>
      <c r="G23" s="12">
        <f>IF(('DAILY READINGS'!D28-'DAILY READINGS'!D27)+('DAILY READINGS'!E28-'DAILY READINGS'!E27)&gt;0,('DAILY READINGS'!D28-'DAILY READINGS'!D27)+('DAILY READINGS'!E28-'DAILY READINGS'!E27),0)</f>
        <v>362</v>
      </c>
      <c r="H23" s="9">
        <v>1.45</v>
      </c>
      <c r="I23" s="12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138</v>
      </c>
      <c r="J23" s="9">
        <v>1.45</v>
      </c>
      <c r="K23" s="12">
        <f>'DAILY READINGS'!K28</f>
        <v>98</v>
      </c>
      <c r="L23" s="7">
        <f>'DAILY READINGS'!L28</f>
        <v>186</v>
      </c>
    </row>
    <row r="24" spans="1:12">
      <c r="A24" s="3" t="s">
        <v>12</v>
      </c>
      <c r="B24" s="10">
        <f t="shared" si="0"/>
        <v>23</v>
      </c>
      <c r="C24" s="11">
        <v>10</v>
      </c>
      <c r="D24" s="11">
        <v>2022</v>
      </c>
      <c r="E24" s="12">
        <f>IF(('DAILY READINGS'!B29-'DAILY READINGS'!B28)&gt;0,('DAILY READINGS'!B29-'DAILY READINGS'!B28),0)</f>
        <v>5964</v>
      </c>
      <c r="F24" s="9">
        <v>0.27</v>
      </c>
      <c r="G24" s="12">
        <f>IF(('DAILY READINGS'!D29-'DAILY READINGS'!D28)+('DAILY READINGS'!E29-'DAILY READINGS'!E28)&gt;0,('DAILY READINGS'!D29-'DAILY READINGS'!D28)+('DAILY READINGS'!E29-'DAILY READINGS'!E28),0)</f>
        <v>345</v>
      </c>
      <c r="H24" s="9">
        <v>1.45</v>
      </c>
      <c r="I24" s="12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103</v>
      </c>
      <c r="J24" s="9">
        <v>1.45</v>
      </c>
      <c r="K24" s="12">
        <f>'DAILY READINGS'!K29</f>
        <v>93</v>
      </c>
      <c r="L24" s="7">
        <f>'DAILY READINGS'!L29</f>
        <v>173</v>
      </c>
    </row>
    <row r="25" spans="1:12">
      <c r="A25" s="3" t="s">
        <v>12</v>
      </c>
      <c r="B25" s="10">
        <f t="shared" si="0"/>
        <v>24</v>
      </c>
      <c r="C25" s="11">
        <v>10</v>
      </c>
      <c r="D25" s="11">
        <v>2022</v>
      </c>
      <c r="E25" s="12">
        <f>IF(('DAILY READINGS'!B30-'DAILY READINGS'!B29)&gt;0,('DAILY READINGS'!B30-'DAILY READINGS'!B29),0)</f>
        <v>6746</v>
      </c>
      <c r="F25" s="9">
        <v>0.27</v>
      </c>
      <c r="G25" s="12">
        <f>IF(('DAILY READINGS'!D30-'DAILY READINGS'!D29)+('DAILY READINGS'!E30-'DAILY READINGS'!E29)&gt;0,('DAILY READINGS'!D30-'DAILY READINGS'!D29)+('DAILY READINGS'!E30-'DAILY READINGS'!E29),0)</f>
        <v>352</v>
      </c>
      <c r="H25" s="9">
        <v>1.45</v>
      </c>
      <c r="I25" s="12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107</v>
      </c>
      <c r="J25" s="9">
        <v>1.45</v>
      </c>
      <c r="K25" s="12">
        <f>'DAILY READINGS'!K30</f>
        <v>87</v>
      </c>
      <c r="L25" s="7">
        <f>'DAILY READINGS'!L30</f>
        <v>160</v>
      </c>
    </row>
    <row r="26" spans="1:12">
      <c r="A26" s="3" t="s">
        <v>12</v>
      </c>
      <c r="B26" s="10">
        <f t="shared" si="0"/>
        <v>25</v>
      </c>
      <c r="C26" s="11">
        <v>10</v>
      </c>
      <c r="D26" s="11">
        <v>2022</v>
      </c>
      <c r="E26" s="12">
        <f>IF(('DAILY READINGS'!B31-'DAILY READINGS'!B30)&gt;0,('DAILY READINGS'!B31-'DAILY READINGS'!B30),0)</f>
        <v>6580</v>
      </c>
      <c r="F26" s="9">
        <v>0.27</v>
      </c>
      <c r="G26" s="12">
        <f>IF(('DAILY READINGS'!D31-'DAILY READINGS'!D30)+('DAILY READINGS'!E31-'DAILY READINGS'!E30)&gt;0,('DAILY READINGS'!D31-'DAILY READINGS'!D30)+('DAILY READINGS'!E31-'DAILY READINGS'!E30),0)</f>
        <v>369</v>
      </c>
      <c r="H26" s="9">
        <v>1.45</v>
      </c>
      <c r="I26" s="12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110</v>
      </c>
      <c r="J26" s="9">
        <v>1.45</v>
      </c>
      <c r="K26" s="12">
        <f>'DAILY READINGS'!K31</f>
        <v>88</v>
      </c>
      <c r="L26" s="7">
        <f>'DAILY READINGS'!L31</f>
        <v>157</v>
      </c>
    </row>
    <row r="27" spans="1:12">
      <c r="A27" s="3" t="s">
        <v>12</v>
      </c>
      <c r="B27" s="10">
        <f t="shared" si="0"/>
        <v>26</v>
      </c>
      <c r="C27" s="11">
        <v>10</v>
      </c>
      <c r="D27" s="11">
        <v>2022</v>
      </c>
      <c r="E27" s="12">
        <f>IF(('DAILY READINGS'!B32-'DAILY READINGS'!B31)&gt;0,('DAILY READINGS'!B32-'DAILY READINGS'!B31),0)</f>
        <v>6894</v>
      </c>
      <c r="F27" s="9">
        <v>0.27</v>
      </c>
      <c r="G27" s="12">
        <f>IF(('DAILY READINGS'!D32-'DAILY READINGS'!D31)+('DAILY READINGS'!E32-'DAILY READINGS'!E31)&gt;0,('DAILY READINGS'!D32-'DAILY READINGS'!D31)+('DAILY READINGS'!E32-'DAILY READINGS'!E31),0)</f>
        <v>352</v>
      </c>
      <c r="H27" s="9">
        <v>1.45</v>
      </c>
      <c r="I27" s="12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109</v>
      </c>
      <c r="J27" s="9">
        <v>1.45</v>
      </c>
      <c r="K27" s="12">
        <f>'DAILY READINGS'!K32</f>
        <v>93</v>
      </c>
      <c r="L27" s="7">
        <f>'DAILY READINGS'!L32</f>
        <v>172</v>
      </c>
    </row>
    <row r="28" spans="1:12">
      <c r="A28" s="3" t="s">
        <v>12</v>
      </c>
      <c r="B28" s="10">
        <f t="shared" si="0"/>
        <v>27</v>
      </c>
      <c r="C28" s="11">
        <v>10</v>
      </c>
      <c r="D28" s="11">
        <v>2022</v>
      </c>
      <c r="E28" s="12">
        <f>IF(('DAILY READINGS'!B33-'DAILY READINGS'!B32)&gt;0,('DAILY READINGS'!B33-'DAILY READINGS'!B32),0)</f>
        <v>6628</v>
      </c>
      <c r="F28" s="9">
        <v>0.27</v>
      </c>
      <c r="G28" s="12">
        <f>IF(('DAILY READINGS'!D33-'DAILY READINGS'!D32)+('DAILY READINGS'!E33-'DAILY READINGS'!E32)&gt;0,('DAILY READINGS'!D33-'DAILY READINGS'!D32)+('DAILY READINGS'!E33-'DAILY READINGS'!E32),0)</f>
        <v>362</v>
      </c>
      <c r="H28" s="9">
        <v>1.45</v>
      </c>
      <c r="I28" s="12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109</v>
      </c>
      <c r="J28" s="9">
        <v>1.45</v>
      </c>
      <c r="K28" s="12">
        <f>'DAILY READINGS'!K33</f>
        <v>94</v>
      </c>
      <c r="L28" s="7">
        <f>'DAILY READINGS'!L33</f>
        <v>163</v>
      </c>
    </row>
    <row r="29" spans="1:12">
      <c r="A29" s="3" t="s">
        <v>12</v>
      </c>
      <c r="B29" s="10">
        <f t="shared" si="0"/>
        <v>28</v>
      </c>
      <c r="C29" s="11">
        <v>10</v>
      </c>
      <c r="D29" s="11">
        <v>2022</v>
      </c>
      <c r="E29" s="12">
        <f>IF(('DAILY READINGS'!B34-'DAILY READINGS'!B33)&gt;0,('DAILY READINGS'!B34-'DAILY READINGS'!B33),0)</f>
        <v>5762</v>
      </c>
      <c r="F29" s="9">
        <v>0.27</v>
      </c>
      <c r="G29" s="12">
        <f>IF(('DAILY READINGS'!D34-'DAILY READINGS'!D33)+('DAILY READINGS'!E34-'DAILY READINGS'!E33)&gt;0,('DAILY READINGS'!D34-'DAILY READINGS'!D33)+('DAILY READINGS'!E34-'DAILY READINGS'!E33),0)</f>
        <v>331</v>
      </c>
      <c r="H29" s="9">
        <v>1.45</v>
      </c>
      <c r="I29" s="12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39</v>
      </c>
      <c r="J29" s="9">
        <v>1.45</v>
      </c>
      <c r="K29" s="12">
        <f>'DAILY READINGS'!K34</f>
        <v>69</v>
      </c>
      <c r="L29" s="7">
        <f>'DAILY READINGS'!L34</f>
        <v>135</v>
      </c>
    </row>
    <row r="30" spans="1:12">
      <c r="A30" s="3" t="s">
        <v>12</v>
      </c>
      <c r="B30" s="10">
        <f t="shared" si="0"/>
        <v>29</v>
      </c>
      <c r="C30" s="11">
        <v>10</v>
      </c>
      <c r="D30" s="11">
        <v>2022</v>
      </c>
      <c r="E30" s="12">
        <f>IF(('DAILY READINGS'!B35-'DAILY READINGS'!B34)&gt;0,('DAILY READINGS'!B35-'DAILY READINGS'!B34),0)</f>
        <v>6368</v>
      </c>
      <c r="F30" s="9">
        <v>0.27</v>
      </c>
      <c r="G30" s="12">
        <f>IF(('DAILY READINGS'!D35-'DAILY READINGS'!D34)+('DAILY READINGS'!E35-'DAILY READINGS'!E34)&gt;0,('DAILY READINGS'!D35-'DAILY READINGS'!D34)+('DAILY READINGS'!E35-'DAILY READINGS'!E34),0)</f>
        <v>328</v>
      </c>
      <c r="H30" s="9">
        <v>1.45</v>
      </c>
      <c r="I30" s="12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149</v>
      </c>
      <c r="J30" s="9">
        <v>1.45</v>
      </c>
      <c r="K30" s="12">
        <f>'DAILY READINGS'!K35</f>
        <v>65</v>
      </c>
      <c r="L30" s="7">
        <f>'DAILY READINGS'!L35</f>
        <v>98</v>
      </c>
    </row>
    <row r="31" spans="1:12">
      <c r="A31" s="3" t="s">
        <v>12</v>
      </c>
      <c r="B31" s="10">
        <f t="shared" si="0"/>
        <v>30</v>
      </c>
      <c r="C31" s="11">
        <v>10</v>
      </c>
      <c r="D31" s="11">
        <v>2022</v>
      </c>
      <c r="E31" s="12">
        <f>IF(('DAILY READINGS'!B36-'DAILY READINGS'!B35)&gt;0,('DAILY READINGS'!B36-'DAILY READINGS'!B35),0)</f>
        <v>6242</v>
      </c>
      <c r="F31" s="9">
        <v>0.27</v>
      </c>
      <c r="G31" s="12">
        <f>IF(('DAILY READINGS'!D36-'DAILY READINGS'!D35)+('DAILY READINGS'!E36-'DAILY READINGS'!E35)&gt;0,('DAILY READINGS'!D36-'DAILY READINGS'!D35)+('DAILY READINGS'!E36-'DAILY READINGS'!E35),0)</f>
        <v>317</v>
      </c>
      <c r="H31" s="9">
        <v>1.45</v>
      </c>
      <c r="I31" s="12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103</v>
      </c>
      <c r="J31" s="9">
        <v>1.45</v>
      </c>
      <c r="K31" s="12">
        <f>'DAILY READINGS'!K36</f>
        <v>57</v>
      </c>
      <c r="L31" s="7">
        <f>'DAILY READINGS'!L36</f>
        <v>75</v>
      </c>
    </row>
    <row r="32" spans="1:12">
      <c r="A32" s="3" t="s">
        <v>12</v>
      </c>
      <c r="B32" s="10">
        <f t="shared" si="0"/>
        <v>31</v>
      </c>
      <c r="C32" s="11">
        <v>10</v>
      </c>
      <c r="D32" s="11">
        <v>2022</v>
      </c>
      <c r="E32" s="12">
        <f>IF(('DAILY READINGS'!B37-'DAILY READINGS'!B36)&gt;0,('DAILY READINGS'!B37-'DAILY READINGS'!B36),0)</f>
        <v>6760</v>
      </c>
      <c r="F32" s="9">
        <v>0.27</v>
      </c>
      <c r="G32" s="12">
        <f>IF(('DAILY READINGS'!D37-'DAILY READINGS'!D36)+('DAILY READINGS'!E37-'DAILY READINGS'!E36)&gt;0,('DAILY READINGS'!D37-'DAILY READINGS'!D36)+('DAILY READINGS'!E37-'DAILY READINGS'!E36),0)</f>
        <v>348</v>
      </c>
      <c r="H32" s="9">
        <v>1.45</v>
      </c>
      <c r="I32" s="12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107</v>
      </c>
      <c r="J32" s="9">
        <v>1.45</v>
      </c>
      <c r="K32" s="12">
        <f>'DAILY READINGS'!K37</f>
        <v>52</v>
      </c>
      <c r="L32" s="7">
        <f>'DAILY READINGS'!L37</f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6" workbookViewId="0">
      <selection activeCell="T6" sqref="T6"/>
    </sheetView>
  </sheetViews>
  <sheetFormatPr defaultColWidth="11.5703125" defaultRowHeight="15"/>
  <cols>
    <col min="1" max="1" width="22.28515625" style="22" bestFit="1" customWidth="1"/>
    <col min="2" max="3" width="11.5703125" style="21"/>
    <col min="4" max="4" width="13.42578125" style="21" customWidth="1"/>
    <col min="5" max="12" width="12.5703125" style="12" customWidth="1"/>
  </cols>
  <sheetData>
    <row r="1" spans="1:14" s="3" customFormat="1" ht="81">
      <c r="A1" s="19" t="s">
        <v>0</v>
      </c>
      <c r="B1" s="17" t="s">
        <v>1</v>
      </c>
      <c r="C1" s="17" t="s">
        <v>2</v>
      </c>
      <c r="D1" s="17" t="s">
        <v>3</v>
      </c>
      <c r="E1" s="20" t="s">
        <v>13</v>
      </c>
      <c r="F1" s="20" t="s">
        <v>14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13" t="s">
        <v>10</v>
      </c>
      <c r="N1" s="13" t="s">
        <v>11</v>
      </c>
    </row>
    <row r="2" spans="1:14">
      <c r="A2" s="7" t="s">
        <v>12</v>
      </c>
      <c r="B2" s="21">
        <v>1</v>
      </c>
      <c r="C2" s="21">
        <v>10</v>
      </c>
      <c r="D2" s="21">
        <v>2022</v>
      </c>
      <c r="E2" s="12">
        <f>IF(('DAILY READINGS'!B7-'DAILY READINGS'!B6)&gt;0,('DAILY READINGS'!B7-'DAILY READINGS'!B6),0)</f>
        <v>7008</v>
      </c>
      <c r="F2" s="12">
        <f>IF(('DAILY READINGS'!D7-'DAILY READINGS'!D6)&gt;0,('DAILY READINGS'!D7-'DAILY READINGS'!D6),0)</f>
        <v>137</v>
      </c>
      <c r="G2" s="12">
        <f>IF(('DAILY READINGS'!E7-'DAILY READINGS'!E6)&gt;0,('DAILY READINGS'!E7-'DAILY READINGS'!E6),0)</f>
        <v>138</v>
      </c>
      <c r="H2" s="12">
        <f>IF(('DAILY READINGS'!F7-'DAILY READINGS'!F6)&gt;0,('DAILY READINGS'!F7-'DAILY READINGS'!F6),0)</f>
        <v>0</v>
      </c>
      <c r="I2" s="12">
        <f>IF(('DAILY READINGS'!G7-'DAILY READINGS'!G6)&gt;0,('DAILY READINGS'!G7-'DAILY READINGS'!G6),0)</f>
        <v>23</v>
      </c>
      <c r="J2" s="12">
        <f>IF(('DAILY READINGS'!H7-'DAILY READINGS'!H6)&gt;0,('DAILY READINGS'!H7-'DAILY READINGS'!H6),0)</f>
        <v>0</v>
      </c>
      <c r="K2" s="12">
        <f>IF(('DAILY READINGS'!I7-'DAILY READINGS'!I6)&gt;0,('DAILY READINGS'!I7-'DAILY READINGS'!I6),0)</f>
        <v>1</v>
      </c>
      <c r="L2" s="12">
        <f>IF(('DAILY READINGS'!J7-'DAILY READINGS'!J6)&gt;0,('DAILY READINGS'!J7-'DAILY READINGS'!J6),0)</f>
        <v>39</v>
      </c>
      <c r="M2" s="12">
        <f>'DAILY READINGS'!K7</f>
        <v>79</v>
      </c>
      <c r="N2" s="7">
        <f>'DAILY READINGS'!L7</f>
        <v>143</v>
      </c>
    </row>
    <row r="3" spans="1:14">
      <c r="A3" s="7" t="s">
        <v>12</v>
      </c>
      <c r="B3" s="21">
        <f>B2+1</f>
        <v>2</v>
      </c>
      <c r="C3" s="21">
        <v>10</v>
      </c>
      <c r="D3" s="21">
        <v>2022</v>
      </c>
      <c r="E3" s="12">
        <f>IF(('DAILY READINGS'!B8-'DAILY READINGS'!B7)&gt;0,('DAILY READINGS'!B8-'DAILY READINGS'!B7),0)</f>
        <v>6614</v>
      </c>
      <c r="F3" s="12">
        <f>IF(('DAILY READINGS'!D8-'DAILY READINGS'!D7)&gt;0,('DAILY READINGS'!D8-'DAILY READINGS'!D7),0)</f>
        <v>128</v>
      </c>
      <c r="G3" s="12">
        <f>IF(('DAILY READINGS'!E8-'DAILY READINGS'!E7)&gt;0,('DAILY READINGS'!E8-'DAILY READINGS'!E7),0)</f>
        <v>158</v>
      </c>
      <c r="H3" s="12">
        <f>IF(('DAILY READINGS'!F8-'DAILY READINGS'!F7)&gt;0,('DAILY READINGS'!F8-'DAILY READINGS'!F7),0)</f>
        <v>1</v>
      </c>
      <c r="I3" s="12">
        <f>IF(('DAILY READINGS'!G8-'DAILY READINGS'!G7)&gt;0,('DAILY READINGS'!G8-'DAILY READINGS'!G7),0)</f>
        <v>84</v>
      </c>
      <c r="J3" s="12">
        <f>IF(('DAILY READINGS'!H8-'DAILY READINGS'!H7)&gt;0,('DAILY READINGS'!H8-'DAILY READINGS'!H7),0)</f>
        <v>0</v>
      </c>
      <c r="K3" s="12">
        <f>IF(('DAILY READINGS'!I8-'DAILY READINGS'!I7)&gt;0,('DAILY READINGS'!I8-'DAILY READINGS'!I7),0)</f>
        <v>0</v>
      </c>
      <c r="L3" s="12">
        <f>IF(('DAILY READINGS'!J8-'DAILY READINGS'!J7)&gt;0,('DAILY READINGS'!J8-'DAILY READINGS'!J7),0)</f>
        <v>130</v>
      </c>
      <c r="M3" s="12">
        <f>'DAILY READINGS'!K8</f>
        <v>82</v>
      </c>
      <c r="N3" s="7">
        <f>'DAILY READINGS'!L8</f>
        <v>154</v>
      </c>
    </row>
    <row r="4" spans="1:14">
      <c r="A4" s="7" t="s">
        <v>12</v>
      </c>
      <c r="B4" s="21">
        <f t="shared" ref="B4:B32" si="0">B3+1</f>
        <v>3</v>
      </c>
      <c r="C4" s="21">
        <v>10</v>
      </c>
      <c r="D4" s="21">
        <v>2022</v>
      </c>
      <c r="E4" s="12">
        <f>IF(('DAILY READINGS'!B9-'DAILY READINGS'!B8)&gt;0,('DAILY READINGS'!B9-'DAILY READINGS'!B8),0)</f>
        <v>6582</v>
      </c>
      <c r="F4" s="12">
        <f>IF(('DAILY READINGS'!D9-'DAILY READINGS'!D8)&gt;0,('DAILY READINGS'!D9-'DAILY READINGS'!D8),0)</f>
        <v>118</v>
      </c>
      <c r="G4" s="12">
        <f>IF(('DAILY READINGS'!E9-'DAILY READINGS'!E8)&gt;0,('DAILY READINGS'!E9-'DAILY READINGS'!E8),0)</f>
        <v>128</v>
      </c>
      <c r="H4" s="12">
        <f>IF(('DAILY READINGS'!F9-'DAILY READINGS'!F8)&gt;0,('DAILY READINGS'!F9-'DAILY READINGS'!F8),0)</f>
        <v>1</v>
      </c>
      <c r="I4" s="12">
        <f>IF(('DAILY READINGS'!G9-'DAILY READINGS'!G8)&gt;0,('DAILY READINGS'!G9-'DAILY READINGS'!G8),0)</f>
        <v>41</v>
      </c>
      <c r="J4" s="12">
        <f>IF(('DAILY READINGS'!H9-'DAILY READINGS'!H8)&gt;0,('DAILY READINGS'!H9-'DAILY READINGS'!H8),0)</f>
        <v>0</v>
      </c>
      <c r="K4" s="12">
        <f>IF(('DAILY READINGS'!I9-'DAILY READINGS'!I8)&gt;0,('DAILY READINGS'!I9-'DAILY READINGS'!I8),0)</f>
        <v>1</v>
      </c>
      <c r="L4" s="12">
        <f>IF(('DAILY READINGS'!J9-'DAILY READINGS'!J8)&gt;0,('DAILY READINGS'!J9-'DAILY READINGS'!J8),0)</f>
        <v>66</v>
      </c>
      <c r="M4" s="12">
        <f>'DAILY READINGS'!K9</f>
        <v>85</v>
      </c>
      <c r="N4" s="7">
        <f>'DAILY READINGS'!L9</f>
        <v>164</v>
      </c>
    </row>
    <row r="5" spans="1:14">
      <c r="A5" s="7" t="s">
        <v>12</v>
      </c>
      <c r="B5" s="21">
        <f t="shared" si="0"/>
        <v>4</v>
      </c>
      <c r="C5" s="21">
        <v>10</v>
      </c>
      <c r="D5" s="21">
        <v>2022</v>
      </c>
      <c r="E5" s="12">
        <f>IF(('DAILY READINGS'!B10-'DAILY READINGS'!B9)&gt;0,('DAILY READINGS'!B10-'DAILY READINGS'!B9),0)</f>
        <v>6556</v>
      </c>
      <c r="F5" s="12">
        <f>IF(('DAILY READINGS'!D10-'DAILY READINGS'!D9)&gt;0,('DAILY READINGS'!D10-'DAILY READINGS'!D9),0)</f>
        <v>129</v>
      </c>
      <c r="G5" s="12">
        <f>IF(('DAILY READINGS'!E10-'DAILY READINGS'!E9)&gt;0,('DAILY READINGS'!E10-'DAILY READINGS'!E9),0)</f>
        <v>204</v>
      </c>
      <c r="H5" s="12">
        <f>IF(('DAILY READINGS'!F10-'DAILY READINGS'!F9)&gt;0,('DAILY READINGS'!F10-'DAILY READINGS'!F9),0)</f>
        <v>0</v>
      </c>
      <c r="I5" s="12">
        <f>IF(('DAILY READINGS'!G10-'DAILY READINGS'!G9)&gt;0,('DAILY READINGS'!G10-'DAILY READINGS'!G9),0)</f>
        <v>33</v>
      </c>
      <c r="J5" s="12">
        <f>IF(('DAILY READINGS'!H10-'DAILY READINGS'!H9)&gt;0,('DAILY READINGS'!H10-'DAILY READINGS'!H9),0)</f>
        <v>0</v>
      </c>
      <c r="K5" s="12">
        <f>IF(('DAILY READINGS'!I10-'DAILY READINGS'!I9)&gt;0,('DAILY READINGS'!I10-'DAILY READINGS'!I9),0)</f>
        <v>0</v>
      </c>
      <c r="L5" s="12">
        <f>IF(('DAILY READINGS'!J10-'DAILY READINGS'!J9)&gt;0,('DAILY READINGS'!J10-'DAILY READINGS'!J9),0)</f>
        <v>68</v>
      </c>
      <c r="M5" s="12">
        <f>'DAILY READINGS'!K10</f>
        <v>97</v>
      </c>
      <c r="N5" s="7">
        <f>'DAILY READINGS'!L10</f>
        <v>181</v>
      </c>
    </row>
    <row r="6" spans="1:14">
      <c r="A6" s="7" t="s">
        <v>12</v>
      </c>
      <c r="B6" s="21">
        <f t="shared" si="0"/>
        <v>5</v>
      </c>
      <c r="C6" s="21">
        <v>10</v>
      </c>
      <c r="D6" s="21">
        <v>2022</v>
      </c>
      <c r="E6" s="12">
        <f>IF(('DAILY READINGS'!B11-'DAILY READINGS'!B10)&gt;0,('DAILY READINGS'!B11-'DAILY READINGS'!B10),0)</f>
        <v>7192</v>
      </c>
      <c r="F6" s="12">
        <f>IF(('DAILY READINGS'!D11-'DAILY READINGS'!D10)&gt;0,('DAILY READINGS'!D11-'DAILY READINGS'!D10),0)</f>
        <v>155</v>
      </c>
      <c r="G6" s="12">
        <f>IF(('DAILY READINGS'!E11-'DAILY READINGS'!E10)&gt;0,('DAILY READINGS'!E11-'DAILY READINGS'!E10),0)</f>
        <v>184</v>
      </c>
      <c r="H6" s="12">
        <f>IF(('DAILY READINGS'!F11-'DAILY READINGS'!F10)&gt;0,('DAILY READINGS'!F11-'DAILY READINGS'!F10),0)</f>
        <v>1</v>
      </c>
      <c r="I6" s="12">
        <f>IF(('DAILY READINGS'!G11-'DAILY READINGS'!G10)&gt;0,('DAILY READINGS'!G11-'DAILY READINGS'!G10),0)</f>
        <v>50</v>
      </c>
      <c r="J6" s="12">
        <f>IF(('DAILY READINGS'!H11-'DAILY READINGS'!H10)&gt;0,('DAILY READINGS'!H11-'DAILY READINGS'!H10),0)</f>
        <v>0</v>
      </c>
      <c r="K6" s="12">
        <f>IF(('DAILY READINGS'!I11-'DAILY READINGS'!I10)&gt;0,('DAILY READINGS'!I11-'DAILY READINGS'!I10),0)</f>
        <v>1</v>
      </c>
      <c r="L6" s="12">
        <f>IF(('DAILY READINGS'!J11-'DAILY READINGS'!J10)&gt;0,('DAILY READINGS'!J11-'DAILY READINGS'!J10),0)</f>
        <v>86</v>
      </c>
      <c r="M6" s="12">
        <f>'DAILY READINGS'!K11</f>
        <v>99</v>
      </c>
      <c r="N6" s="7">
        <f>'DAILY READINGS'!L11</f>
        <v>184</v>
      </c>
    </row>
    <row r="7" spans="1:14">
      <c r="A7" s="7" t="s">
        <v>12</v>
      </c>
      <c r="B7" s="21">
        <f t="shared" si="0"/>
        <v>6</v>
      </c>
      <c r="C7" s="21">
        <v>10</v>
      </c>
      <c r="D7" s="21">
        <v>2022</v>
      </c>
      <c r="E7" s="12">
        <f>IF(('DAILY READINGS'!B12-'DAILY READINGS'!B11)&gt;0,('DAILY READINGS'!B12-'DAILY READINGS'!B11),0)</f>
        <v>7204</v>
      </c>
      <c r="F7" s="12">
        <f>IF(('DAILY READINGS'!D12-'DAILY READINGS'!D11)&gt;0,('DAILY READINGS'!D12-'DAILY READINGS'!D11),0)</f>
        <v>164</v>
      </c>
      <c r="G7" s="12">
        <f>IF(('DAILY READINGS'!E12-'DAILY READINGS'!E11)&gt;0,('DAILY READINGS'!E12-'DAILY READINGS'!E11),0)</f>
        <v>193</v>
      </c>
      <c r="H7" s="12">
        <f>IF(('DAILY READINGS'!F12-'DAILY READINGS'!F11)&gt;0,('DAILY READINGS'!F12-'DAILY READINGS'!F11),0)</f>
        <v>1</v>
      </c>
      <c r="I7" s="12">
        <f>IF(('DAILY READINGS'!G12-'DAILY READINGS'!G11)&gt;0,('DAILY READINGS'!G12-'DAILY READINGS'!G11),0)</f>
        <v>47</v>
      </c>
      <c r="J7" s="12">
        <f>IF(('DAILY READINGS'!H12-'DAILY READINGS'!H11)&gt;0,('DAILY READINGS'!H12-'DAILY READINGS'!H11),0)</f>
        <v>0</v>
      </c>
      <c r="K7" s="12">
        <f>IF(('DAILY READINGS'!I12-'DAILY READINGS'!I11)&gt;0,('DAILY READINGS'!I12-'DAILY READINGS'!I11),0)</f>
        <v>0</v>
      </c>
      <c r="L7" s="12">
        <f>IF(('DAILY READINGS'!J12-'DAILY READINGS'!J11)&gt;0,('DAILY READINGS'!J12-'DAILY READINGS'!J11),0)</f>
        <v>70</v>
      </c>
      <c r="M7" s="12">
        <f>'DAILY READINGS'!K12</f>
        <v>103</v>
      </c>
      <c r="N7" s="7">
        <f>'DAILY READINGS'!L12</f>
        <v>187</v>
      </c>
    </row>
    <row r="8" spans="1:14">
      <c r="A8" s="7" t="s">
        <v>12</v>
      </c>
      <c r="B8" s="21">
        <f t="shared" si="0"/>
        <v>7</v>
      </c>
      <c r="C8" s="21">
        <v>10</v>
      </c>
      <c r="D8" s="21">
        <v>2022</v>
      </c>
      <c r="E8" s="12">
        <f>IF(('DAILY READINGS'!B13-'DAILY READINGS'!B12)&gt;0,('DAILY READINGS'!B13-'DAILY READINGS'!B12),0)</f>
        <v>6012</v>
      </c>
      <c r="F8" s="12">
        <f>IF(('DAILY READINGS'!D13-'DAILY READINGS'!D12)&gt;0,('DAILY READINGS'!D13-'DAILY READINGS'!D12),0)</f>
        <v>141</v>
      </c>
      <c r="G8" s="12">
        <f>IF(('DAILY READINGS'!E13-'DAILY READINGS'!E12)&gt;0,('DAILY READINGS'!E13-'DAILY READINGS'!E12),0)</f>
        <v>160</v>
      </c>
      <c r="H8" s="12">
        <f>IF(('DAILY READINGS'!F13-'DAILY READINGS'!F12)&gt;0,('DAILY READINGS'!F13-'DAILY READINGS'!F12),0)</f>
        <v>1</v>
      </c>
      <c r="I8" s="12">
        <f>IF(('DAILY READINGS'!G13-'DAILY READINGS'!G12)&gt;0,('DAILY READINGS'!G13-'DAILY READINGS'!G12),0)</f>
        <v>46</v>
      </c>
      <c r="J8" s="12">
        <f>IF(('DAILY READINGS'!H13-'DAILY READINGS'!H12)&gt;0,('DAILY READINGS'!H13-'DAILY READINGS'!H12),0)</f>
        <v>0</v>
      </c>
      <c r="K8" s="12">
        <f>IF(('DAILY READINGS'!I13-'DAILY READINGS'!I12)&gt;0,('DAILY READINGS'!I13-'DAILY READINGS'!I12),0)</f>
        <v>0</v>
      </c>
      <c r="L8" s="12">
        <f>IF(('DAILY READINGS'!J13-'DAILY READINGS'!J12)&gt;0,('DAILY READINGS'!J13-'DAILY READINGS'!J12),0)</f>
        <v>66</v>
      </c>
      <c r="M8" s="12">
        <f>'DAILY READINGS'!K13</f>
        <v>111</v>
      </c>
      <c r="N8" s="7">
        <f>'DAILY READINGS'!L13</f>
        <v>203</v>
      </c>
    </row>
    <row r="9" spans="1:14">
      <c r="A9" s="7" t="s">
        <v>12</v>
      </c>
      <c r="B9" s="21">
        <f t="shared" si="0"/>
        <v>8</v>
      </c>
      <c r="C9" s="21">
        <v>10</v>
      </c>
      <c r="D9" s="21">
        <v>2022</v>
      </c>
      <c r="E9" s="12">
        <f>IF(('DAILY READINGS'!B14-'DAILY READINGS'!B13)&gt;0,('DAILY READINGS'!B14-'DAILY READINGS'!B13),0)</f>
        <v>6290</v>
      </c>
      <c r="F9" s="12">
        <f>IF(('DAILY READINGS'!D14-'DAILY READINGS'!D13)&gt;0,('DAILY READINGS'!D14-'DAILY READINGS'!D13),0)</f>
        <v>152</v>
      </c>
      <c r="G9" s="12">
        <f>IF(('DAILY READINGS'!E14-'DAILY READINGS'!E13)&gt;0,('DAILY READINGS'!E14-'DAILY READINGS'!E13),0)</f>
        <v>173</v>
      </c>
      <c r="H9" s="12">
        <f>IF(('DAILY READINGS'!F14-'DAILY READINGS'!F13)&gt;0,('DAILY READINGS'!F14-'DAILY READINGS'!F13),0)</f>
        <v>0</v>
      </c>
      <c r="I9" s="12">
        <f>IF(('DAILY READINGS'!G14-'DAILY READINGS'!G13)&gt;0,('DAILY READINGS'!G14-'DAILY READINGS'!G13),0)</f>
        <v>47</v>
      </c>
      <c r="J9" s="12">
        <f>IF(('DAILY READINGS'!H14-'DAILY READINGS'!H13)&gt;0,('DAILY READINGS'!H14-'DAILY READINGS'!H13),0)</f>
        <v>0</v>
      </c>
      <c r="K9" s="12">
        <f>IF(('DAILY READINGS'!I14-'DAILY READINGS'!I13)&gt;0,('DAILY READINGS'!I14-'DAILY READINGS'!I13),0)</f>
        <v>1</v>
      </c>
      <c r="L9" s="12">
        <f>IF(('DAILY READINGS'!J14-'DAILY READINGS'!J13)&gt;0,('DAILY READINGS'!J14-'DAILY READINGS'!J13),0)</f>
        <v>67</v>
      </c>
      <c r="M9" s="12">
        <f>'DAILY READINGS'!K14</f>
        <v>111</v>
      </c>
      <c r="N9" s="7">
        <f>'DAILY READINGS'!L14</f>
        <v>203</v>
      </c>
    </row>
    <row r="10" spans="1:14">
      <c r="A10" s="7" t="s">
        <v>12</v>
      </c>
      <c r="B10" s="21">
        <f t="shared" si="0"/>
        <v>9</v>
      </c>
      <c r="C10" s="21">
        <v>10</v>
      </c>
      <c r="D10" s="21">
        <v>2022</v>
      </c>
      <c r="E10" s="12">
        <f>IF(('DAILY READINGS'!B15-'DAILY READINGS'!B14)&gt;0,('DAILY READINGS'!B15-'DAILY READINGS'!B14),0)</f>
        <v>6490</v>
      </c>
      <c r="F10" s="12">
        <f>IF(('DAILY READINGS'!D15-'DAILY READINGS'!D14)&gt;0,('DAILY READINGS'!D15-'DAILY READINGS'!D14),0)</f>
        <v>133</v>
      </c>
      <c r="G10" s="12">
        <f>IF(('DAILY READINGS'!E15-'DAILY READINGS'!E14)&gt;0,('DAILY READINGS'!E15-'DAILY READINGS'!E14),0)</f>
        <v>168</v>
      </c>
      <c r="H10" s="12">
        <f>IF(('DAILY READINGS'!F15-'DAILY READINGS'!F14)&gt;0,('DAILY READINGS'!F15-'DAILY READINGS'!F14),0)</f>
        <v>0</v>
      </c>
      <c r="I10" s="12">
        <f>IF(('DAILY READINGS'!G15-'DAILY READINGS'!G14)&gt;0,('DAILY READINGS'!G15-'DAILY READINGS'!G14),0)</f>
        <v>42</v>
      </c>
      <c r="J10" s="12">
        <f>IF(('DAILY READINGS'!H15-'DAILY READINGS'!H14)&gt;0,('DAILY READINGS'!H15-'DAILY READINGS'!H14),0)</f>
        <v>0</v>
      </c>
      <c r="K10" s="12">
        <f>IF(('DAILY READINGS'!I15-'DAILY READINGS'!I14)&gt;0,('DAILY READINGS'!I15-'DAILY READINGS'!I14),0)</f>
        <v>0</v>
      </c>
      <c r="L10" s="12">
        <f>IF(('DAILY READINGS'!J15-'DAILY READINGS'!J14)&gt;0,('DAILY READINGS'!J15-'DAILY READINGS'!J14),0)</f>
        <v>68</v>
      </c>
      <c r="M10" s="12">
        <f>'DAILY READINGS'!K15</f>
        <v>61</v>
      </c>
      <c r="N10" s="7">
        <f>'DAILY READINGS'!L15</f>
        <v>111</v>
      </c>
    </row>
    <row r="11" spans="1:14">
      <c r="A11" s="7" t="s">
        <v>12</v>
      </c>
      <c r="B11" s="21">
        <f t="shared" si="0"/>
        <v>10</v>
      </c>
      <c r="C11" s="21">
        <v>10</v>
      </c>
      <c r="D11" s="21">
        <v>2022</v>
      </c>
      <c r="E11" s="12">
        <f>IF(('DAILY READINGS'!B16-'DAILY READINGS'!B15)&gt;0,('DAILY READINGS'!B16-'DAILY READINGS'!B15),0)</f>
        <v>6428</v>
      </c>
      <c r="F11" s="12">
        <f>IF(('DAILY READINGS'!D16-'DAILY READINGS'!D15)&gt;0,('DAILY READINGS'!D16-'DAILY READINGS'!D15),0)</f>
        <v>154</v>
      </c>
      <c r="G11" s="12">
        <f>IF(('DAILY READINGS'!E16-'DAILY READINGS'!E15)&gt;0,('DAILY READINGS'!E16-'DAILY READINGS'!E15),0)</f>
        <v>167</v>
      </c>
      <c r="H11" s="12">
        <f>IF(('DAILY READINGS'!F16-'DAILY READINGS'!F15)&gt;0,('DAILY READINGS'!F16-'DAILY READINGS'!F15),0)</f>
        <v>1</v>
      </c>
      <c r="I11" s="12">
        <f>IF(('DAILY READINGS'!G16-'DAILY READINGS'!G15)&gt;0,('DAILY READINGS'!G16-'DAILY READINGS'!G15),0)</f>
        <v>42</v>
      </c>
      <c r="J11" s="12">
        <f>IF(('DAILY READINGS'!H16-'DAILY READINGS'!H15)&gt;0,('DAILY READINGS'!H16-'DAILY READINGS'!H15),0)</f>
        <v>0</v>
      </c>
      <c r="K11" s="12">
        <f>IF(('DAILY READINGS'!I16-'DAILY READINGS'!I15)&gt;0,('DAILY READINGS'!I16-'DAILY READINGS'!I15),0)</f>
        <v>0</v>
      </c>
      <c r="L11" s="12">
        <f>IF(('DAILY READINGS'!J16-'DAILY READINGS'!J15)&gt;0,('DAILY READINGS'!J16-'DAILY READINGS'!J15),0)</f>
        <v>61</v>
      </c>
      <c r="M11" s="12">
        <f>'DAILY READINGS'!K16</f>
        <v>46</v>
      </c>
      <c r="N11" s="7">
        <f>'DAILY READINGS'!L16</f>
        <v>77</v>
      </c>
    </row>
    <row r="12" spans="1:14">
      <c r="A12" s="7" t="s">
        <v>12</v>
      </c>
      <c r="B12" s="21">
        <f t="shared" si="0"/>
        <v>11</v>
      </c>
      <c r="C12" s="21">
        <v>10</v>
      </c>
      <c r="D12" s="21">
        <v>2022</v>
      </c>
      <c r="E12" s="12">
        <f>IF(('DAILY READINGS'!B17-'DAILY READINGS'!B16)&gt;0,('DAILY READINGS'!B17-'DAILY READINGS'!B16),0)</f>
        <v>5892</v>
      </c>
      <c r="F12" s="12">
        <f>IF(('DAILY READINGS'!D17-'DAILY READINGS'!D16)&gt;0,('DAILY READINGS'!D17-'DAILY READINGS'!D16),0)</f>
        <v>122</v>
      </c>
      <c r="G12" s="12">
        <f>IF(('DAILY READINGS'!E17-'DAILY READINGS'!E16)&gt;0,('DAILY READINGS'!E17-'DAILY READINGS'!E16),0)</f>
        <v>144</v>
      </c>
      <c r="H12" s="12">
        <f>IF(('DAILY READINGS'!F17-'DAILY READINGS'!F16)&gt;0,('DAILY READINGS'!F17-'DAILY READINGS'!F16),0)</f>
        <v>0</v>
      </c>
      <c r="I12" s="12">
        <f>IF(('DAILY READINGS'!G17-'DAILY READINGS'!G16)&gt;0,('DAILY READINGS'!G17-'DAILY READINGS'!G16),0)</f>
        <v>30</v>
      </c>
      <c r="J12" s="12">
        <f>IF(('DAILY READINGS'!H17-'DAILY READINGS'!H16)&gt;0,('DAILY READINGS'!H17-'DAILY READINGS'!H16),0)</f>
        <v>0</v>
      </c>
      <c r="K12" s="12">
        <f>IF(('DAILY READINGS'!I17-'DAILY READINGS'!I16)&gt;0,('DAILY READINGS'!I17-'DAILY READINGS'!I16),0)</f>
        <v>1</v>
      </c>
      <c r="L12" s="12">
        <f>IF(('DAILY READINGS'!J17-'DAILY READINGS'!J16)&gt;0,('DAILY READINGS'!J17-'DAILY READINGS'!J16),0)</f>
        <v>38</v>
      </c>
      <c r="M12" s="12">
        <f>'DAILY READINGS'!K17</f>
        <v>50</v>
      </c>
      <c r="N12" s="7">
        <f>'DAILY READINGS'!L17</f>
        <v>88</v>
      </c>
    </row>
    <row r="13" spans="1:14">
      <c r="A13" s="7" t="s">
        <v>12</v>
      </c>
      <c r="B13" s="21">
        <f t="shared" si="0"/>
        <v>12</v>
      </c>
      <c r="C13" s="21">
        <v>10</v>
      </c>
      <c r="D13" s="21">
        <v>2022</v>
      </c>
      <c r="E13" s="12">
        <f>IF(('DAILY READINGS'!B18-'DAILY READINGS'!B17)&gt;0,('DAILY READINGS'!B18-'DAILY READINGS'!B17),0)</f>
        <v>6994</v>
      </c>
      <c r="F13" s="12">
        <f>IF(('DAILY READINGS'!D18-'DAILY READINGS'!D17)&gt;0,('DAILY READINGS'!D18-'DAILY READINGS'!D17),0)</f>
        <v>143</v>
      </c>
      <c r="G13" s="12">
        <f>IF(('DAILY READINGS'!E18-'DAILY READINGS'!E17)&gt;0,('DAILY READINGS'!E18-'DAILY READINGS'!E17),0)</f>
        <v>147</v>
      </c>
      <c r="H13" s="12">
        <f>IF(('DAILY READINGS'!F18-'DAILY READINGS'!F17)&gt;0,('DAILY READINGS'!F18-'DAILY READINGS'!F17),0)</f>
        <v>1</v>
      </c>
      <c r="I13" s="12">
        <f>IF(('DAILY READINGS'!G18-'DAILY READINGS'!G17)&gt;0,('DAILY READINGS'!G18-'DAILY READINGS'!G17),0)</f>
        <v>43</v>
      </c>
      <c r="J13" s="12">
        <f>IF(('DAILY READINGS'!H18-'DAILY READINGS'!H17)&gt;0,('DAILY READINGS'!H18-'DAILY READINGS'!H17),0)</f>
        <v>0</v>
      </c>
      <c r="K13" s="12">
        <f>IF(('DAILY READINGS'!I18-'DAILY READINGS'!I17)&gt;0,('DAILY READINGS'!I18-'DAILY READINGS'!I17),0)</f>
        <v>1</v>
      </c>
      <c r="L13" s="12">
        <f>IF(('DAILY READINGS'!J18-'DAILY READINGS'!J17)&gt;0,('DAILY READINGS'!J18-'DAILY READINGS'!J17),0)</f>
        <v>72</v>
      </c>
      <c r="M13" s="12">
        <f>'DAILY READINGS'!K18</f>
        <v>89</v>
      </c>
      <c r="N13" s="7">
        <f>'DAILY READINGS'!L18</f>
        <v>164</v>
      </c>
    </row>
    <row r="14" spans="1:14">
      <c r="A14" s="7" t="s">
        <v>12</v>
      </c>
      <c r="B14" s="21">
        <f t="shared" si="0"/>
        <v>13</v>
      </c>
      <c r="C14" s="21">
        <v>10</v>
      </c>
      <c r="D14" s="21">
        <v>2022</v>
      </c>
      <c r="E14" s="12">
        <f>IF(('DAILY READINGS'!B19-'DAILY READINGS'!B18)&gt;0,('DAILY READINGS'!B19-'DAILY READINGS'!B18),0)</f>
        <v>6602</v>
      </c>
      <c r="F14" s="12">
        <f>IF(('DAILY READINGS'!D19-'DAILY READINGS'!D18)&gt;0,('DAILY READINGS'!D19-'DAILY READINGS'!D18),0)</f>
        <v>139</v>
      </c>
      <c r="G14" s="12">
        <f>IF(('DAILY READINGS'!E19-'DAILY READINGS'!E18)&gt;0,('DAILY READINGS'!E19-'DAILY READINGS'!E18),0)</f>
        <v>181</v>
      </c>
      <c r="H14" s="12">
        <f>IF(('DAILY READINGS'!F19-'DAILY READINGS'!F18)&gt;0,('DAILY READINGS'!F19-'DAILY READINGS'!F18),0)</f>
        <v>1</v>
      </c>
      <c r="I14" s="12">
        <f>IF(('DAILY READINGS'!G19-'DAILY READINGS'!G18)&gt;0,('DAILY READINGS'!G19-'DAILY READINGS'!G18),0)</f>
        <v>37</v>
      </c>
      <c r="J14" s="12">
        <f>IF(('DAILY READINGS'!H19-'DAILY READINGS'!H18)&gt;0,('DAILY READINGS'!H19-'DAILY READINGS'!H18),0)</f>
        <v>0</v>
      </c>
      <c r="K14" s="12">
        <f>IF(('DAILY READINGS'!I19-'DAILY READINGS'!I18)&gt;0,('DAILY READINGS'!I19-'DAILY READINGS'!I18),0)</f>
        <v>0</v>
      </c>
      <c r="L14" s="12">
        <f>IF(('DAILY READINGS'!J19-'DAILY READINGS'!J18)&gt;0,('DAILY READINGS'!J19-'DAILY READINGS'!J18),0)</f>
        <v>56</v>
      </c>
      <c r="M14" s="12">
        <f>'DAILY READINGS'!K19</f>
        <v>90</v>
      </c>
      <c r="N14" s="7">
        <f>'DAILY READINGS'!L19</f>
        <v>166</v>
      </c>
    </row>
    <row r="15" spans="1:14">
      <c r="A15" s="7" t="s">
        <v>12</v>
      </c>
      <c r="B15" s="21">
        <f t="shared" si="0"/>
        <v>14</v>
      </c>
      <c r="C15" s="21">
        <v>10</v>
      </c>
      <c r="D15" s="21">
        <v>2022</v>
      </c>
      <c r="E15" s="12">
        <f>IF(('DAILY READINGS'!B20-'DAILY READINGS'!B19)&gt;0,('DAILY READINGS'!B20-'DAILY READINGS'!B19),0)</f>
        <v>6780</v>
      </c>
      <c r="F15" s="12">
        <f>IF(('DAILY READINGS'!D20-'DAILY READINGS'!D19)&gt;0,('DAILY READINGS'!D20-'DAILY READINGS'!D19),0)</f>
        <v>173</v>
      </c>
      <c r="G15" s="12">
        <f>IF(('DAILY READINGS'!E20-'DAILY READINGS'!E19)&gt;0,('DAILY READINGS'!E20-'DAILY READINGS'!E19),0)</f>
        <v>251</v>
      </c>
      <c r="H15" s="12">
        <f>IF(('DAILY READINGS'!F20-'DAILY READINGS'!F19)&gt;0,('DAILY READINGS'!F20-'DAILY READINGS'!F19),0)</f>
        <v>1</v>
      </c>
      <c r="I15" s="12">
        <f>IF(('DAILY READINGS'!G20-'DAILY READINGS'!G19)&gt;0,('DAILY READINGS'!G20-'DAILY READINGS'!G19),0)</f>
        <v>47</v>
      </c>
      <c r="J15" s="12">
        <f>IF(('DAILY READINGS'!H20-'DAILY READINGS'!H19)&gt;0,('DAILY READINGS'!H20-'DAILY READINGS'!H19),0)</f>
        <v>0</v>
      </c>
      <c r="K15" s="12">
        <f>IF(('DAILY READINGS'!I20-'DAILY READINGS'!I19)&gt;0,('DAILY READINGS'!I20-'DAILY READINGS'!I19),0)</f>
        <v>1</v>
      </c>
      <c r="L15" s="12">
        <f>IF(('DAILY READINGS'!J20-'DAILY READINGS'!J19)&gt;0,('DAILY READINGS'!J20-'DAILY READINGS'!J19),0)</f>
        <v>59</v>
      </c>
      <c r="M15" s="12">
        <f>'DAILY READINGS'!K20</f>
        <v>89</v>
      </c>
      <c r="N15" s="7">
        <f>'DAILY READINGS'!L20</f>
        <v>163</v>
      </c>
    </row>
    <row r="16" spans="1:14">
      <c r="A16" s="7" t="s">
        <v>12</v>
      </c>
      <c r="B16" s="21">
        <f t="shared" si="0"/>
        <v>15</v>
      </c>
      <c r="C16" s="21">
        <v>10</v>
      </c>
      <c r="D16" s="21">
        <v>2022</v>
      </c>
      <c r="E16" s="12">
        <f>IF(('DAILY READINGS'!B21-'DAILY READINGS'!B20)&gt;0,('DAILY READINGS'!B21-'DAILY READINGS'!B20),0)</f>
        <v>5952</v>
      </c>
      <c r="F16" s="12">
        <f>IF(('DAILY READINGS'!D21-'DAILY READINGS'!D20)&gt;0,('DAILY READINGS'!D21-'DAILY READINGS'!D20),0)</f>
        <v>182</v>
      </c>
      <c r="G16" s="12">
        <f>IF(('DAILY READINGS'!E21-'DAILY READINGS'!E20)&gt;0,('DAILY READINGS'!E21-'DAILY READINGS'!E20),0)</f>
        <v>191</v>
      </c>
      <c r="H16" s="12">
        <f>IF(('DAILY READINGS'!F21-'DAILY READINGS'!F20)&gt;0,('DAILY READINGS'!F21-'DAILY READINGS'!F20),0)</f>
        <v>0</v>
      </c>
      <c r="I16" s="12">
        <f>IF(('DAILY READINGS'!G21-'DAILY READINGS'!G20)&gt;0,('DAILY READINGS'!G21-'DAILY READINGS'!G20),0)</f>
        <v>45</v>
      </c>
      <c r="J16" s="12">
        <f>IF(('DAILY READINGS'!H21-'DAILY READINGS'!H20)&gt;0,('DAILY READINGS'!H21-'DAILY READINGS'!H20),0)</f>
        <v>0</v>
      </c>
      <c r="K16" s="12">
        <f>IF(('DAILY READINGS'!I21-'DAILY READINGS'!I20)&gt;0,('DAILY READINGS'!I21-'DAILY READINGS'!I20),0)</f>
        <v>0</v>
      </c>
      <c r="L16" s="12">
        <f>IF(('DAILY READINGS'!J21-'DAILY READINGS'!J20)&gt;0,('DAILY READINGS'!J21-'DAILY READINGS'!J20),0)</f>
        <v>55</v>
      </c>
      <c r="M16" s="12">
        <f>'DAILY READINGS'!K21</f>
        <v>94</v>
      </c>
      <c r="N16" s="7">
        <f>'DAILY READINGS'!L21</f>
        <v>171</v>
      </c>
    </row>
    <row r="17" spans="1:14">
      <c r="A17" s="7" t="s">
        <v>12</v>
      </c>
      <c r="B17" s="21">
        <f t="shared" si="0"/>
        <v>16</v>
      </c>
      <c r="C17" s="21">
        <v>10</v>
      </c>
      <c r="D17" s="21">
        <v>2022</v>
      </c>
      <c r="E17" s="12">
        <f>IF(('DAILY READINGS'!B22-'DAILY READINGS'!B21)&gt;0,('DAILY READINGS'!B22-'DAILY READINGS'!B21),0)</f>
        <v>6808</v>
      </c>
      <c r="F17" s="12">
        <f>IF(('DAILY READINGS'!D22-'DAILY READINGS'!D21)&gt;0,('DAILY READINGS'!D22-'DAILY READINGS'!D21),0)</f>
        <v>173</v>
      </c>
      <c r="G17" s="12">
        <f>IF(('DAILY READINGS'!E22-'DAILY READINGS'!E21)&gt;0,('DAILY READINGS'!E22-'DAILY READINGS'!E21),0)</f>
        <v>161</v>
      </c>
      <c r="H17" s="12">
        <f>IF(('DAILY READINGS'!F22-'DAILY READINGS'!F21)&gt;0,('DAILY READINGS'!F22-'DAILY READINGS'!F21),0)</f>
        <v>0</v>
      </c>
      <c r="I17" s="12">
        <f>IF(('DAILY READINGS'!G22-'DAILY READINGS'!G21)&gt;0,('DAILY READINGS'!G22-'DAILY READINGS'!G21),0)</f>
        <v>37</v>
      </c>
      <c r="J17" s="12">
        <f>IF(('DAILY READINGS'!H22-'DAILY READINGS'!H21)&gt;0,('DAILY READINGS'!H22-'DAILY READINGS'!H21),0)</f>
        <v>0</v>
      </c>
      <c r="K17" s="12">
        <f>IF(('DAILY READINGS'!I22-'DAILY READINGS'!I21)&gt;0,('DAILY READINGS'!I22-'DAILY READINGS'!I21),0)</f>
        <v>1</v>
      </c>
      <c r="L17" s="12">
        <f>IF(('DAILY READINGS'!J22-'DAILY READINGS'!J21)&gt;0,('DAILY READINGS'!J22-'DAILY READINGS'!J21),0)</f>
        <v>58</v>
      </c>
      <c r="M17" s="12">
        <f>'DAILY READINGS'!K22</f>
        <v>94</v>
      </c>
      <c r="N17" s="7">
        <f>'DAILY READINGS'!L22</f>
        <v>170</v>
      </c>
    </row>
    <row r="18" spans="1:14">
      <c r="A18" s="7" t="s">
        <v>12</v>
      </c>
      <c r="B18" s="21">
        <f t="shared" si="0"/>
        <v>17</v>
      </c>
      <c r="C18" s="21">
        <v>10</v>
      </c>
      <c r="D18" s="21">
        <v>2022</v>
      </c>
      <c r="E18" s="12">
        <f>IF(('DAILY READINGS'!B23-'DAILY READINGS'!B22)&gt;0,('DAILY READINGS'!B23-'DAILY READINGS'!B22),0)</f>
        <v>7122</v>
      </c>
      <c r="F18" s="12">
        <f>IF(('DAILY READINGS'!D23-'DAILY READINGS'!D22)&gt;0,('DAILY READINGS'!D23-'DAILY READINGS'!D22),0)</f>
        <v>204</v>
      </c>
      <c r="G18" s="12">
        <f>IF(('DAILY READINGS'!E23-'DAILY READINGS'!E22)&gt;0,('DAILY READINGS'!E23-'DAILY READINGS'!E22),0)</f>
        <v>181</v>
      </c>
      <c r="H18" s="12">
        <f>IF(('DAILY READINGS'!F23-'DAILY READINGS'!F22)&gt;0,('DAILY READINGS'!F23-'DAILY READINGS'!F22),0)</f>
        <v>1</v>
      </c>
      <c r="I18" s="12">
        <f>IF(('DAILY READINGS'!G23-'DAILY READINGS'!G22)&gt;0,('DAILY READINGS'!G23-'DAILY READINGS'!G22),0)</f>
        <v>46</v>
      </c>
      <c r="J18" s="12">
        <f>IF(('DAILY READINGS'!H23-'DAILY READINGS'!H22)&gt;0,('DAILY READINGS'!H23-'DAILY READINGS'!H22),0)</f>
        <v>0</v>
      </c>
      <c r="K18" s="12">
        <f>IF(('DAILY READINGS'!I23-'DAILY READINGS'!I22)&gt;0,('DAILY READINGS'!I23-'DAILY READINGS'!I22),0)</f>
        <v>0</v>
      </c>
      <c r="L18" s="12">
        <f>IF(('DAILY READINGS'!J23-'DAILY READINGS'!J22)&gt;0,('DAILY READINGS'!J23-'DAILY READINGS'!J22),0)</f>
        <v>74</v>
      </c>
      <c r="M18" s="12">
        <f>'DAILY READINGS'!K23</f>
        <v>68</v>
      </c>
      <c r="N18" s="7">
        <f>'DAILY READINGS'!L23</f>
        <v>123</v>
      </c>
    </row>
    <row r="19" spans="1:14">
      <c r="A19" s="7" t="s">
        <v>12</v>
      </c>
      <c r="B19" s="21">
        <f t="shared" si="0"/>
        <v>18</v>
      </c>
      <c r="C19" s="21">
        <v>10</v>
      </c>
      <c r="D19" s="21">
        <v>2022</v>
      </c>
      <c r="E19" s="12">
        <f>IF(('DAILY READINGS'!B24-'DAILY READINGS'!B23)&gt;0,('DAILY READINGS'!B24-'DAILY READINGS'!B23),0)</f>
        <v>6172</v>
      </c>
      <c r="F19" s="12">
        <f>IF(('DAILY READINGS'!D24-'DAILY READINGS'!D23)&gt;0,('DAILY READINGS'!D24-'DAILY READINGS'!D23),0)</f>
        <v>181</v>
      </c>
      <c r="G19" s="12">
        <f>IF(('DAILY READINGS'!E24-'DAILY READINGS'!E23)&gt;0,('DAILY READINGS'!E24-'DAILY READINGS'!E23),0)</f>
        <v>176</v>
      </c>
      <c r="H19" s="12">
        <f>IF(('DAILY READINGS'!F24-'DAILY READINGS'!F23)&gt;0,('DAILY READINGS'!F24-'DAILY READINGS'!F23),0)</f>
        <v>1</v>
      </c>
      <c r="I19" s="12">
        <f>IF(('DAILY READINGS'!G24-'DAILY READINGS'!G23)&gt;0,('DAILY READINGS'!G24-'DAILY READINGS'!G23),0)</f>
        <v>22</v>
      </c>
      <c r="J19" s="12">
        <f>IF(('DAILY READINGS'!H24-'DAILY READINGS'!H23)&gt;0,('DAILY READINGS'!H24-'DAILY READINGS'!H23),0)</f>
        <v>0</v>
      </c>
      <c r="K19" s="12">
        <f>IF(('DAILY READINGS'!I24-'DAILY READINGS'!I23)&gt;0,('DAILY READINGS'!I24-'DAILY READINGS'!I23),0)</f>
        <v>0</v>
      </c>
      <c r="L19" s="12">
        <f>IF(('DAILY READINGS'!J24-'DAILY READINGS'!J23)&gt;0,('DAILY READINGS'!J24-'DAILY READINGS'!J23),0)</f>
        <v>40</v>
      </c>
      <c r="M19" s="12">
        <f>'DAILY READINGS'!K24</f>
        <v>66</v>
      </c>
      <c r="N19" s="7">
        <f>'DAILY READINGS'!L24</f>
        <v>128</v>
      </c>
    </row>
    <row r="20" spans="1:14">
      <c r="A20" s="7" t="s">
        <v>12</v>
      </c>
      <c r="B20" s="21">
        <f t="shared" si="0"/>
        <v>19</v>
      </c>
      <c r="C20" s="21">
        <v>10</v>
      </c>
      <c r="D20" s="21">
        <v>2022</v>
      </c>
      <c r="E20" s="12">
        <f>IF(('DAILY READINGS'!B25-'DAILY READINGS'!B24)&gt;0,('DAILY READINGS'!B25-'DAILY READINGS'!B24),0)</f>
        <v>5842</v>
      </c>
      <c r="F20" s="12">
        <f>IF(('DAILY READINGS'!D25-'DAILY READINGS'!D24)&gt;0,('DAILY READINGS'!D25-'DAILY READINGS'!D24),0)</f>
        <v>172</v>
      </c>
      <c r="G20" s="12">
        <f>IF(('DAILY READINGS'!E25-'DAILY READINGS'!E24)&gt;0,('DAILY READINGS'!E25-'DAILY READINGS'!E24),0)</f>
        <v>167</v>
      </c>
      <c r="H20" s="12">
        <f>IF(('DAILY READINGS'!F25-'DAILY READINGS'!F24)&gt;0,('DAILY READINGS'!F25-'DAILY READINGS'!F24),0)</f>
        <v>0</v>
      </c>
      <c r="I20" s="12">
        <f>IF(('DAILY READINGS'!G25-'DAILY READINGS'!G24)&gt;0,('DAILY READINGS'!G25-'DAILY READINGS'!G24),0)</f>
        <v>49</v>
      </c>
      <c r="J20" s="12">
        <f>IF(('DAILY READINGS'!H25-'DAILY READINGS'!H24)&gt;0,('DAILY READINGS'!H25-'DAILY READINGS'!H24),0)</f>
        <v>0</v>
      </c>
      <c r="K20" s="12">
        <f>IF(('DAILY READINGS'!I25-'DAILY READINGS'!I24)&gt;0,('DAILY READINGS'!I25-'DAILY READINGS'!I24),0)</f>
        <v>0</v>
      </c>
      <c r="L20" s="12">
        <f>IF(('DAILY READINGS'!J25-'DAILY READINGS'!J24)&gt;0,('DAILY READINGS'!J25-'DAILY READINGS'!J24),0)</f>
        <v>82</v>
      </c>
      <c r="M20" s="12">
        <f>'DAILY READINGS'!K25</f>
        <v>84</v>
      </c>
      <c r="N20" s="7">
        <f>'DAILY READINGS'!L25</f>
        <v>164</v>
      </c>
    </row>
    <row r="21" spans="1:14">
      <c r="A21" s="7" t="s">
        <v>12</v>
      </c>
      <c r="B21" s="21">
        <f t="shared" si="0"/>
        <v>20</v>
      </c>
      <c r="C21" s="21">
        <v>10</v>
      </c>
      <c r="D21" s="21">
        <v>2022</v>
      </c>
      <c r="E21" s="12">
        <f>IF(('DAILY READINGS'!B26-'DAILY READINGS'!B25)&gt;0,('DAILY READINGS'!B26-'DAILY READINGS'!B25),0)</f>
        <v>5367</v>
      </c>
      <c r="F21" s="12">
        <f>IF(('DAILY READINGS'!D26-'DAILY READINGS'!D25)&gt;0,('DAILY READINGS'!D26-'DAILY READINGS'!D25),0)</f>
        <v>206</v>
      </c>
      <c r="G21" s="12">
        <f>IF(('DAILY READINGS'!E26-'DAILY READINGS'!E25)&gt;0,('DAILY READINGS'!E26-'DAILY READINGS'!E25),0)</f>
        <v>195</v>
      </c>
      <c r="H21" s="12">
        <f>IF(('DAILY READINGS'!F26-'DAILY READINGS'!F25)&gt;0,('DAILY READINGS'!F26-'DAILY READINGS'!F25),0)</f>
        <v>1</v>
      </c>
      <c r="I21" s="12">
        <f>IF(('DAILY READINGS'!G26-'DAILY READINGS'!G25)&gt;0,('DAILY READINGS'!G26-'DAILY READINGS'!G25),0)</f>
        <v>44</v>
      </c>
      <c r="J21" s="12">
        <f>IF(('DAILY READINGS'!H26-'DAILY READINGS'!H25)&gt;0,('DAILY READINGS'!H26-'DAILY READINGS'!H25),0)</f>
        <v>0</v>
      </c>
      <c r="K21" s="12">
        <f>IF(('DAILY READINGS'!I26-'DAILY READINGS'!I25)&gt;0,('DAILY READINGS'!I26-'DAILY READINGS'!I25),0)</f>
        <v>0</v>
      </c>
      <c r="L21" s="12">
        <f>IF(('DAILY READINGS'!J26-'DAILY READINGS'!J25)&gt;0,('DAILY READINGS'!J26-'DAILY READINGS'!J25),0)</f>
        <v>57</v>
      </c>
      <c r="M21" s="12">
        <f>'DAILY READINGS'!K26</f>
        <v>91</v>
      </c>
      <c r="N21" s="7">
        <f>'DAILY READINGS'!L26</f>
        <v>171</v>
      </c>
    </row>
    <row r="22" spans="1:14">
      <c r="A22" s="7" t="s">
        <v>12</v>
      </c>
      <c r="B22" s="21">
        <f t="shared" si="0"/>
        <v>21</v>
      </c>
      <c r="C22" s="21">
        <v>10</v>
      </c>
      <c r="D22" s="21">
        <v>2022</v>
      </c>
      <c r="E22" s="12">
        <f>IF(('DAILY READINGS'!B27-'DAILY READINGS'!B26)&gt;0,('DAILY READINGS'!B27-'DAILY READINGS'!B26),0)</f>
        <v>8357</v>
      </c>
      <c r="F22" s="12">
        <f>IF(('DAILY READINGS'!D27-'DAILY READINGS'!D26)&gt;0,('DAILY READINGS'!D27-'DAILY READINGS'!D26),0)</f>
        <v>161</v>
      </c>
      <c r="G22" s="12">
        <f>IF(('DAILY READINGS'!E27-'DAILY READINGS'!E26)&gt;0,('DAILY READINGS'!E27-'DAILY READINGS'!E26),0)</f>
        <v>170</v>
      </c>
      <c r="H22" s="12">
        <f>IF(('DAILY READINGS'!F27-'DAILY READINGS'!F26)&gt;0,('DAILY READINGS'!F27-'DAILY READINGS'!F26),0)</f>
        <v>0</v>
      </c>
      <c r="I22" s="12">
        <f>IF(('DAILY READINGS'!G27-'DAILY READINGS'!G26)&gt;0,('DAILY READINGS'!G27-'DAILY READINGS'!G26),0)</f>
        <v>36</v>
      </c>
      <c r="J22" s="12">
        <f>IF(('DAILY READINGS'!H27-'DAILY READINGS'!H26)&gt;0,('DAILY READINGS'!H27-'DAILY READINGS'!H26),0)</f>
        <v>0</v>
      </c>
      <c r="K22" s="12">
        <f>IF(('DAILY READINGS'!I27-'DAILY READINGS'!I26)&gt;0,('DAILY READINGS'!I27-'DAILY READINGS'!I26),0)</f>
        <v>1</v>
      </c>
      <c r="L22" s="12">
        <f>IF(('DAILY READINGS'!J27-'DAILY READINGS'!J26)&gt;0,('DAILY READINGS'!J27-'DAILY READINGS'!J26),0)</f>
        <v>46</v>
      </c>
      <c r="M22" s="12">
        <f>'DAILY READINGS'!K27</f>
        <v>82</v>
      </c>
      <c r="N22" s="7">
        <f>'DAILY READINGS'!L27</f>
        <v>167</v>
      </c>
    </row>
    <row r="23" spans="1:14">
      <c r="A23" s="7" t="s">
        <v>12</v>
      </c>
      <c r="B23" s="21">
        <f t="shared" si="0"/>
        <v>22</v>
      </c>
      <c r="C23" s="21">
        <v>10</v>
      </c>
      <c r="D23" s="21">
        <v>2022</v>
      </c>
      <c r="E23" s="12">
        <f>IF(('DAILY READINGS'!B28-'DAILY READINGS'!B27)&gt;0,('DAILY READINGS'!B28-'DAILY READINGS'!B27),0)</f>
        <v>7468</v>
      </c>
      <c r="F23" s="12">
        <f>IF(('DAILY READINGS'!D28-'DAILY READINGS'!D27)&gt;0,('DAILY READINGS'!D28-'DAILY READINGS'!D27),0)</f>
        <v>178</v>
      </c>
      <c r="G23" s="12">
        <f>IF(('DAILY READINGS'!E28-'DAILY READINGS'!E27)&gt;0,('DAILY READINGS'!E28-'DAILY READINGS'!E27),0)</f>
        <v>184</v>
      </c>
      <c r="H23" s="12">
        <f>IF(('DAILY READINGS'!F28-'DAILY READINGS'!F27)&gt;0,('DAILY READINGS'!F28-'DAILY READINGS'!F27),0)</f>
        <v>0</v>
      </c>
      <c r="I23" s="12">
        <f>IF(('DAILY READINGS'!G28-'DAILY READINGS'!G27)&gt;0,('DAILY READINGS'!G28-'DAILY READINGS'!G27),0)</f>
        <v>42</v>
      </c>
      <c r="J23" s="12">
        <f>IF(('DAILY READINGS'!H28-'DAILY READINGS'!H27)&gt;0,('DAILY READINGS'!H28-'DAILY READINGS'!H27),0)</f>
        <v>0</v>
      </c>
      <c r="K23" s="12">
        <f>IF(('DAILY READINGS'!I28-'DAILY READINGS'!I27)&gt;0,('DAILY READINGS'!I28-'DAILY READINGS'!I27),0)</f>
        <v>0</v>
      </c>
      <c r="L23" s="12">
        <f>IF(('DAILY READINGS'!J28-'DAILY READINGS'!J27)&gt;0,('DAILY READINGS'!J28-'DAILY READINGS'!J27),0)</f>
        <v>96</v>
      </c>
      <c r="M23" s="12">
        <f>'DAILY READINGS'!K28</f>
        <v>98</v>
      </c>
      <c r="N23" s="7">
        <f>'DAILY READINGS'!L28</f>
        <v>186</v>
      </c>
    </row>
    <row r="24" spans="1:14">
      <c r="A24" s="7" t="s">
        <v>12</v>
      </c>
      <c r="B24" s="21">
        <f t="shared" si="0"/>
        <v>23</v>
      </c>
      <c r="C24" s="21">
        <v>10</v>
      </c>
      <c r="D24" s="21">
        <v>2022</v>
      </c>
      <c r="E24" s="12">
        <f>IF(('DAILY READINGS'!B29-'DAILY READINGS'!B28)&gt;0,('DAILY READINGS'!B29-'DAILY READINGS'!B28),0)</f>
        <v>5964</v>
      </c>
      <c r="F24" s="12">
        <f>IF(('DAILY READINGS'!D29-'DAILY READINGS'!D28)&gt;0,('DAILY READINGS'!D29-'DAILY READINGS'!D28),0)</f>
        <v>165</v>
      </c>
      <c r="G24" s="12">
        <f>IF(('DAILY READINGS'!E29-'DAILY READINGS'!E28)&gt;0,('DAILY READINGS'!E29-'DAILY READINGS'!E28),0)</f>
        <v>180</v>
      </c>
      <c r="H24" s="12">
        <f>IF(('DAILY READINGS'!F29-'DAILY READINGS'!F28)&gt;0,('DAILY READINGS'!F29-'DAILY READINGS'!F28),0)</f>
        <v>1</v>
      </c>
      <c r="I24" s="12">
        <f>IF(('DAILY READINGS'!G29-'DAILY READINGS'!G28)&gt;0,('DAILY READINGS'!G29-'DAILY READINGS'!G28),0)</f>
        <v>36</v>
      </c>
      <c r="J24" s="12">
        <f>IF(('DAILY READINGS'!H29-'DAILY READINGS'!H28)&gt;0,('DAILY READINGS'!H29-'DAILY READINGS'!H28),0)</f>
        <v>0</v>
      </c>
      <c r="K24" s="12">
        <f>IF(('DAILY READINGS'!I29-'DAILY READINGS'!I28)&gt;0,('DAILY READINGS'!I29-'DAILY READINGS'!I28),0)</f>
        <v>0</v>
      </c>
      <c r="L24" s="12">
        <f>IF(('DAILY READINGS'!J29-'DAILY READINGS'!J28)&gt;0,('DAILY READINGS'!J29-'DAILY READINGS'!J28),0)</f>
        <v>66</v>
      </c>
      <c r="M24" s="12">
        <f>'DAILY READINGS'!K29</f>
        <v>93</v>
      </c>
      <c r="N24" s="7">
        <f>'DAILY READINGS'!L29</f>
        <v>173</v>
      </c>
    </row>
    <row r="25" spans="1:14">
      <c r="A25" s="7" t="s">
        <v>12</v>
      </c>
      <c r="B25" s="21">
        <f t="shared" si="0"/>
        <v>24</v>
      </c>
      <c r="C25" s="21">
        <v>10</v>
      </c>
      <c r="D25" s="21">
        <v>2022</v>
      </c>
      <c r="E25" s="12">
        <f>IF(('DAILY READINGS'!B30-'DAILY READINGS'!B29)&gt;0,('DAILY READINGS'!B30-'DAILY READINGS'!B29),0)</f>
        <v>6746</v>
      </c>
      <c r="F25" s="12">
        <f>IF(('DAILY READINGS'!D30-'DAILY READINGS'!D29)&gt;0,('DAILY READINGS'!D30-'DAILY READINGS'!D29),0)</f>
        <v>178</v>
      </c>
      <c r="G25" s="12">
        <f>IF(('DAILY READINGS'!E30-'DAILY READINGS'!E29)&gt;0,('DAILY READINGS'!E30-'DAILY READINGS'!E29),0)</f>
        <v>174</v>
      </c>
      <c r="H25" s="12">
        <f>IF(('DAILY READINGS'!F30-'DAILY READINGS'!F29)&gt;0,('DAILY READINGS'!F30-'DAILY READINGS'!F29),0)</f>
        <v>1</v>
      </c>
      <c r="I25" s="12">
        <f>IF(('DAILY READINGS'!G30-'DAILY READINGS'!G29)&gt;0,('DAILY READINGS'!G30-'DAILY READINGS'!G29),0)</f>
        <v>36</v>
      </c>
      <c r="J25" s="12">
        <f>IF(('DAILY READINGS'!H30-'DAILY READINGS'!H29)&gt;0,('DAILY READINGS'!H30-'DAILY READINGS'!H29),0)</f>
        <v>0</v>
      </c>
      <c r="K25" s="12">
        <f>IF(('DAILY READINGS'!I30-'DAILY READINGS'!I29)&gt;0,('DAILY READINGS'!I30-'DAILY READINGS'!I29),0)</f>
        <v>0</v>
      </c>
      <c r="L25" s="12">
        <f>IF(('DAILY READINGS'!J30-'DAILY READINGS'!J29)&gt;0,('DAILY READINGS'!J30-'DAILY READINGS'!J29),0)</f>
        <v>70</v>
      </c>
      <c r="M25" s="12">
        <f>'DAILY READINGS'!K30</f>
        <v>87</v>
      </c>
      <c r="N25" s="7">
        <f>'DAILY READINGS'!L30</f>
        <v>160</v>
      </c>
    </row>
    <row r="26" spans="1:14">
      <c r="A26" s="7" t="s">
        <v>12</v>
      </c>
      <c r="B26" s="21">
        <f>B25+1</f>
        <v>25</v>
      </c>
      <c r="C26" s="21">
        <v>10</v>
      </c>
      <c r="D26" s="21">
        <v>2022</v>
      </c>
      <c r="E26" s="12">
        <f>IF(('DAILY READINGS'!B31-'DAILY READINGS'!B30)&gt;0,('DAILY READINGS'!B31-'DAILY READINGS'!B30),0)</f>
        <v>6580</v>
      </c>
      <c r="F26" s="12">
        <f>IF(('DAILY READINGS'!D31-'DAILY READINGS'!D30)&gt;0,('DAILY READINGS'!D31-'DAILY READINGS'!D30),0)</f>
        <v>166</v>
      </c>
      <c r="G26" s="12">
        <f>IF(('DAILY READINGS'!E31-'DAILY READINGS'!E30)&gt;0,('DAILY READINGS'!E31-'DAILY READINGS'!E30),0)</f>
        <v>203</v>
      </c>
      <c r="H26" s="12">
        <f>IF(('DAILY READINGS'!F31-'DAILY READINGS'!F30)&gt;0,('DAILY READINGS'!F31-'DAILY READINGS'!F30),0)</f>
        <v>1</v>
      </c>
      <c r="I26" s="12">
        <f>IF(('DAILY READINGS'!G31-'DAILY READINGS'!G30)&gt;0,('DAILY READINGS'!G31-'DAILY READINGS'!G30),0)</f>
        <v>40</v>
      </c>
      <c r="J26" s="12">
        <f>IF(('DAILY READINGS'!H31-'DAILY READINGS'!H30)&gt;0,('DAILY READINGS'!H31-'DAILY READINGS'!H30),0)</f>
        <v>0</v>
      </c>
      <c r="K26" s="12">
        <f>IF(('DAILY READINGS'!I31-'DAILY READINGS'!I30)&gt;0,('DAILY READINGS'!I31-'DAILY READINGS'!I30),0)</f>
        <v>0</v>
      </c>
      <c r="L26" s="12">
        <f>IF(('DAILY READINGS'!J31-'DAILY READINGS'!J30)&gt;0,('DAILY READINGS'!J31-'DAILY READINGS'!J30),0)</f>
        <v>69</v>
      </c>
      <c r="M26" s="12">
        <f>'DAILY READINGS'!K31</f>
        <v>88</v>
      </c>
      <c r="N26" s="7">
        <f>'DAILY READINGS'!L31</f>
        <v>157</v>
      </c>
    </row>
    <row r="27" spans="1:14">
      <c r="A27" s="7" t="s">
        <v>12</v>
      </c>
      <c r="B27" s="21">
        <f t="shared" si="0"/>
        <v>26</v>
      </c>
      <c r="C27" s="21">
        <v>10</v>
      </c>
      <c r="D27" s="21">
        <v>2022</v>
      </c>
      <c r="E27" s="12">
        <f>IF(('DAILY READINGS'!B32-'DAILY READINGS'!B31)&gt;0,('DAILY READINGS'!B32-'DAILY READINGS'!B31),0)</f>
        <v>6894</v>
      </c>
      <c r="F27" s="12">
        <f>IF(('DAILY READINGS'!D32-'DAILY READINGS'!D31)&gt;0,('DAILY READINGS'!D32-'DAILY READINGS'!D31),0)</f>
        <v>175</v>
      </c>
      <c r="G27" s="12">
        <f>IF(('DAILY READINGS'!E32-'DAILY READINGS'!E31)&gt;0,('DAILY READINGS'!E32-'DAILY READINGS'!E31),0)</f>
        <v>177</v>
      </c>
      <c r="H27" s="12">
        <f>IF(('DAILY READINGS'!F32-'DAILY READINGS'!F31)&gt;0,('DAILY READINGS'!F32-'DAILY READINGS'!F31),0)</f>
        <v>1</v>
      </c>
      <c r="I27" s="12">
        <f>IF(('DAILY READINGS'!G32-'DAILY READINGS'!G31)&gt;0,('DAILY READINGS'!G32-'DAILY READINGS'!G31),0)</f>
        <v>35</v>
      </c>
      <c r="J27" s="12">
        <f>IF(('DAILY READINGS'!H32-'DAILY READINGS'!H31)&gt;0,('DAILY READINGS'!H32-'DAILY READINGS'!H31),0)</f>
        <v>0</v>
      </c>
      <c r="K27" s="12">
        <f>IF(('DAILY READINGS'!I32-'DAILY READINGS'!I31)&gt;0,('DAILY READINGS'!I32-'DAILY READINGS'!I31),0)</f>
        <v>2</v>
      </c>
      <c r="L27" s="12">
        <f>IF(('DAILY READINGS'!J32-'DAILY READINGS'!J31)&gt;0,('DAILY READINGS'!J32-'DAILY READINGS'!J31),0)</f>
        <v>71</v>
      </c>
      <c r="M27" s="12">
        <f>'DAILY READINGS'!K32</f>
        <v>93</v>
      </c>
      <c r="N27" s="7">
        <f>'DAILY READINGS'!L32</f>
        <v>172</v>
      </c>
    </row>
    <row r="28" spans="1:14">
      <c r="A28" s="7" t="s">
        <v>12</v>
      </c>
      <c r="B28" s="21">
        <f t="shared" si="0"/>
        <v>27</v>
      </c>
      <c r="C28" s="21">
        <v>10</v>
      </c>
      <c r="D28" s="21">
        <v>2022</v>
      </c>
      <c r="E28" s="12">
        <f>IF(('DAILY READINGS'!B33-'DAILY READINGS'!B32)&gt;0,('DAILY READINGS'!B33-'DAILY READINGS'!B32),0)</f>
        <v>6628</v>
      </c>
      <c r="F28" s="12">
        <f>IF(('DAILY READINGS'!D33-'DAILY READINGS'!D32)&gt;0,('DAILY READINGS'!D33-'DAILY READINGS'!D32),0)</f>
        <v>171</v>
      </c>
      <c r="G28" s="12">
        <f>IF(('DAILY READINGS'!E33-'DAILY READINGS'!E32)&gt;0,('DAILY READINGS'!E33-'DAILY READINGS'!E32),0)</f>
        <v>191</v>
      </c>
      <c r="H28" s="12">
        <f>IF(('DAILY READINGS'!F33-'DAILY READINGS'!F32)&gt;0,('DAILY READINGS'!F33-'DAILY READINGS'!F32),0)</f>
        <v>0</v>
      </c>
      <c r="I28" s="12">
        <f>IF(('DAILY READINGS'!G33-'DAILY READINGS'!G32)&gt;0,('DAILY READINGS'!G33-'DAILY READINGS'!G32),0)</f>
        <v>41</v>
      </c>
      <c r="J28" s="12">
        <f>IF(('DAILY READINGS'!H33-'DAILY READINGS'!H32)&gt;0,('DAILY READINGS'!H33-'DAILY READINGS'!H32),0)</f>
        <v>0</v>
      </c>
      <c r="K28" s="12">
        <f>IF(('DAILY READINGS'!I33-'DAILY READINGS'!I32)&gt;0,('DAILY READINGS'!I33-'DAILY READINGS'!I32),0)</f>
        <v>0</v>
      </c>
      <c r="L28" s="12">
        <f>IF(('DAILY READINGS'!J33-'DAILY READINGS'!J32)&gt;0,('DAILY READINGS'!J33-'DAILY READINGS'!J32),0)</f>
        <v>68</v>
      </c>
      <c r="M28" s="12">
        <f>'DAILY READINGS'!K33</f>
        <v>94</v>
      </c>
      <c r="N28" s="7">
        <f>'DAILY READINGS'!L33</f>
        <v>163</v>
      </c>
    </row>
    <row r="29" spans="1:14">
      <c r="A29" s="7" t="s">
        <v>12</v>
      </c>
      <c r="B29" s="21">
        <f t="shared" si="0"/>
        <v>28</v>
      </c>
      <c r="C29" s="21">
        <v>10</v>
      </c>
      <c r="D29" s="21">
        <v>2022</v>
      </c>
      <c r="E29" s="12">
        <f>IF(('DAILY READINGS'!B34-'DAILY READINGS'!B33)&gt;0,('DAILY READINGS'!B34-'DAILY READINGS'!B33),0)</f>
        <v>5762</v>
      </c>
      <c r="F29" s="12">
        <f>IF(('DAILY READINGS'!D34-'DAILY READINGS'!D33)&gt;0,('DAILY READINGS'!D34-'DAILY READINGS'!D33),0)</f>
        <v>154</v>
      </c>
      <c r="G29" s="12">
        <f>IF(('DAILY READINGS'!E34-'DAILY READINGS'!E33)&gt;0,('DAILY READINGS'!E34-'DAILY READINGS'!E33),0)</f>
        <v>177</v>
      </c>
      <c r="H29" s="12">
        <f>IF(('DAILY READINGS'!F34-'DAILY READINGS'!F33)&gt;0,('DAILY READINGS'!F34-'DAILY READINGS'!F33),0)</f>
        <v>0</v>
      </c>
      <c r="I29" s="12">
        <f>IF(('DAILY READINGS'!G34-'DAILY READINGS'!G33)&gt;0,('DAILY READINGS'!G34-'DAILY READINGS'!G33),0)</f>
        <v>12</v>
      </c>
      <c r="J29" s="12">
        <f>IF(('DAILY READINGS'!H34-'DAILY READINGS'!H33)&gt;0,('DAILY READINGS'!H34-'DAILY READINGS'!H33),0)</f>
        <v>0</v>
      </c>
      <c r="K29" s="12">
        <f>IF(('DAILY READINGS'!I34-'DAILY READINGS'!I33)&gt;0,('DAILY READINGS'!I34-'DAILY READINGS'!I33),0)</f>
        <v>1</v>
      </c>
      <c r="L29" s="12">
        <f>IF(('DAILY READINGS'!J34-'DAILY READINGS'!J33)&gt;0,('DAILY READINGS'!J34-'DAILY READINGS'!J33),0)</f>
        <v>26</v>
      </c>
      <c r="M29" s="12">
        <f>'DAILY READINGS'!K34</f>
        <v>69</v>
      </c>
      <c r="N29" s="7">
        <f>'DAILY READINGS'!L34</f>
        <v>135</v>
      </c>
    </row>
    <row r="30" spans="1:14">
      <c r="A30" s="7" t="s">
        <v>12</v>
      </c>
      <c r="B30" s="21">
        <f t="shared" si="0"/>
        <v>29</v>
      </c>
      <c r="C30" s="21">
        <v>10</v>
      </c>
      <c r="D30" s="21">
        <v>2022</v>
      </c>
      <c r="E30" s="12">
        <f>IF(('DAILY READINGS'!B35-'DAILY READINGS'!B34)&gt;0,('DAILY READINGS'!B35-'DAILY READINGS'!B34),0)</f>
        <v>6368</v>
      </c>
      <c r="F30" s="12">
        <f>IF(('DAILY READINGS'!D35-'DAILY READINGS'!D34)&gt;0,('DAILY READINGS'!D35-'DAILY READINGS'!D34),0)</f>
        <v>153</v>
      </c>
      <c r="G30" s="12">
        <f>IF(('DAILY READINGS'!E35-'DAILY READINGS'!E34)&gt;0,('DAILY READINGS'!E35-'DAILY READINGS'!E34),0)</f>
        <v>175</v>
      </c>
      <c r="H30" s="12">
        <f>IF(('DAILY READINGS'!F35-'DAILY READINGS'!F34)&gt;0,('DAILY READINGS'!F35-'DAILY READINGS'!F34),0)</f>
        <v>2</v>
      </c>
      <c r="I30" s="12">
        <f>IF(('DAILY READINGS'!G35-'DAILY READINGS'!G34)&gt;0,('DAILY READINGS'!G35-'DAILY READINGS'!G34),0)</f>
        <v>54</v>
      </c>
      <c r="J30" s="12">
        <f>IF(('DAILY READINGS'!H35-'DAILY READINGS'!H34)&gt;0,('DAILY READINGS'!H35-'DAILY READINGS'!H34),0)</f>
        <v>0</v>
      </c>
      <c r="K30" s="12">
        <f>IF(('DAILY READINGS'!I35-'DAILY READINGS'!I34)&gt;0,('DAILY READINGS'!I35-'DAILY READINGS'!I34),0)</f>
        <v>1</v>
      </c>
      <c r="L30" s="12">
        <f>IF(('DAILY READINGS'!J35-'DAILY READINGS'!J34)&gt;0,('DAILY READINGS'!J35-'DAILY READINGS'!J34),0)</f>
        <v>92</v>
      </c>
      <c r="M30" s="12">
        <f>'DAILY READINGS'!K35</f>
        <v>65</v>
      </c>
      <c r="N30" s="7">
        <f>'DAILY READINGS'!L35</f>
        <v>98</v>
      </c>
    </row>
    <row r="31" spans="1:14">
      <c r="A31" s="7" t="s">
        <v>12</v>
      </c>
      <c r="B31" s="21">
        <f t="shared" si="0"/>
        <v>30</v>
      </c>
      <c r="C31" s="21">
        <v>10</v>
      </c>
      <c r="D31" s="21">
        <v>2022</v>
      </c>
      <c r="E31" s="12">
        <f>IF(('DAILY READINGS'!B36-'DAILY READINGS'!B35)&gt;0,('DAILY READINGS'!B36-'DAILY READINGS'!B35),0)</f>
        <v>6242</v>
      </c>
      <c r="F31" s="12">
        <f>IF(('DAILY READINGS'!D36-'DAILY READINGS'!D35)&gt;0,('DAILY READINGS'!D36-'DAILY READINGS'!D35),0)</f>
        <v>126</v>
      </c>
      <c r="G31" s="12">
        <f>IF(('DAILY READINGS'!E36-'DAILY READINGS'!E35)&gt;0,('DAILY READINGS'!E36-'DAILY READINGS'!E35),0)</f>
        <v>191</v>
      </c>
      <c r="H31" s="12">
        <f>IF(('DAILY READINGS'!F36-'DAILY READINGS'!F35)&gt;0,('DAILY READINGS'!F36-'DAILY READINGS'!F35),0)</f>
        <v>0</v>
      </c>
      <c r="I31" s="12">
        <f>IF(('DAILY READINGS'!G36-'DAILY READINGS'!G35)&gt;0,('DAILY READINGS'!G36-'DAILY READINGS'!G35),0)</f>
        <v>36</v>
      </c>
      <c r="J31" s="12">
        <f>IF(('DAILY READINGS'!H36-'DAILY READINGS'!H35)&gt;0,('DAILY READINGS'!H36-'DAILY READINGS'!H35),0)</f>
        <v>0</v>
      </c>
      <c r="K31" s="12">
        <f>IF(('DAILY READINGS'!I36-'DAILY READINGS'!I35)&gt;0,('DAILY READINGS'!I36-'DAILY READINGS'!I35),0)</f>
        <v>0</v>
      </c>
      <c r="L31" s="12">
        <f>IF(('DAILY READINGS'!J36-'DAILY READINGS'!J35)&gt;0,('DAILY READINGS'!J36-'DAILY READINGS'!J35),0)</f>
        <v>67</v>
      </c>
      <c r="M31" s="12">
        <f>'DAILY READINGS'!K36</f>
        <v>57</v>
      </c>
      <c r="N31" s="7">
        <f>'DAILY READINGS'!L36</f>
        <v>75</v>
      </c>
    </row>
    <row r="32" spans="1:14">
      <c r="A32" s="7" t="s">
        <v>12</v>
      </c>
      <c r="B32" s="21">
        <f t="shared" si="0"/>
        <v>31</v>
      </c>
      <c r="C32" s="21">
        <v>10</v>
      </c>
      <c r="D32" s="21">
        <v>2022</v>
      </c>
      <c r="E32" s="12">
        <f>IF(('DAILY READINGS'!B37-'DAILY READINGS'!B36)&gt;0,('DAILY READINGS'!B37-'DAILY READINGS'!B36),0)</f>
        <v>6760</v>
      </c>
      <c r="F32" s="12">
        <f>IF(('DAILY READINGS'!D37-'DAILY READINGS'!D36)&gt;0,('DAILY READINGS'!D37-'DAILY READINGS'!D36),0)</f>
        <v>138</v>
      </c>
      <c r="G32" s="12">
        <f>IF(('DAILY READINGS'!E37-'DAILY READINGS'!E36)&gt;0,('DAILY READINGS'!E37-'DAILY READINGS'!E36),0)</f>
        <v>210</v>
      </c>
      <c r="H32" s="12">
        <f>IF(('DAILY READINGS'!F37-'DAILY READINGS'!F36)&gt;0,('DAILY READINGS'!F37-'DAILY READINGS'!F36),0)</f>
        <v>0</v>
      </c>
      <c r="I32" s="12">
        <f>IF(('DAILY READINGS'!G37-'DAILY READINGS'!G36)&gt;0,('DAILY READINGS'!G37-'DAILY READINGS'!G36),0)</f>
        <v>38</v>
      </c>
      <c r="J32" s="12">
        <f>IF(('DAILY READINGS'!H37-'DAILY READINGS'!H36)&gt;0,('DAILY READINGS'!H37-'DAILY READINGS'!H36),0)</f>
        <v>0</v>
      </c>
      <c r="K32" s="12">
        <f>IF(('DAILY READINGS'!I37-'DAILY READINGS'!I36)&gt;0,('DAILY READINGS'!I37-'DAILY READINGS'!I36),0)</f>
        <v>1</v>
      </c>
      <c r="L32" s="12">
        <f>IF(('DAILY READINGS'!J37-'DAILY READINGS'!J36)&gt;0,('DAILY READINGS'!J37-'DAILY READINGS'!J36),0)</f>
        <v>68</v>
      </c>
      <c r="M32" s="12">
        <f>'DAILY READINGS'!K37</f>
        <v>52</v>
      </c>
      <c r="N32" s="7">
        <f>'DAILY READINGS'!L37</f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opLeftCell="A25" workbookViewId="0">
      <selection activeCell="O38" sqref="O38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27" t="s">
        <v>22</v>
      </c>
    </row>
    <row r="5" spans="1:12" ht="88.5" customHeight="1">
      <c r="A5" s="4" t="s">
        <v>23</v>
      </c>
      <c r="B5" s="32" t="s">
        <v>24</v>
      </c>
      <c r="C5" s="33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30</v>
      </c>
      <c r="B6" s="24">
        <v>4618436</v>
      </c>
      <c r="C6" s="25">
        <v>651175</v>
      </c>
      <c r="D6" s="25">
        <v>38508</v>
      </c>
      <c r="E6" s="25">
        <v>60337</v>
      </c>
      <c r="F6" s="25">
        <v>6894</v>
      </c>
      <c r="G6" s="25">
        <v>73934</v>
      </c>
      <c r="H6" s="25">
        <v>49451</v>
      </c>
      <c r="I6" s="25">
        <v>45308</v>
      </c>
      <c r="J6" s="25">
        <v>59938</v>
      </c>
      <c r="K6" s="5">
        <v>80</v>
      </c>
      <c r="L6" s="5">
        <v>140</v>
      </c>
    </row>
    <row r="7" spans="1:12" ht="22.5" customHeight="1">
      <c r="A7" s="1">
        <v>1</v>
      </c>
      <c r="B7" s="23">
        <v>4625444</v>
      </c>
      <c r="C7" s="23">
        <v>651800</v>
      </c>
      <c r="D7" s="23">
        <v>38645</v>
      </c>
      <c r="E7" s="23">
        <v>60475</v>
      </c>
      <c r="F7" s="23">
        <v>6894</v>
      </c>
      <c r="G7" s="23">
        <v>73957</v>
      </c>
      <c r="H7" s="23">
        <v>49451</v>
      </c>
      <c r="I7" s="23">
        <v>45309</v>
      </c>
      <c r="J7" s="23">
        <v>59977</v>
      </c>
      <c r="K7" s="23">
        <v>79</v>
      </c>
      <c r="L7" s="23">
        <v>143</v>
      </c>
    </row>
    <row r="8" spans="1:12" ht="22.5" customHeight="1">
      <c r="A8" s="1">
        <v>2</v>
      </c>
      <c r="B8" s="23">
        <v>4632058</v>
      </c>
      <c r="C8" s="23">
        <v>652344</v>
      </c>
      <c r="D8" s="23">
        <v>38773</v>
      </c>
      <c r="E8" s="23">
        <v>60633</v>
      </c>
      <c r="F8" s="23">
        <v>6895</v>
      </c>
      <c r="G8" s="23">
        <v>74041</v>
      </c>
      <c r="H8" s="23">
        <v>49451</v>
      </c>
      <c r="I8" s="23">
        <v>45309</v>
      </c>
      <c r="J8" s="23">
        <v>60107</v>
      </c>
      <c r="K8" s="23">
        <v>82</v>
      </c>
      <c r="L8" s="23">
        <v>154</v>
      </c>
    </row>
    <row r="9" spans="1:12" ht="22.5" customHeight="1">
      <c r="A9" s="1">
        <v>3</v>
      </c>
      <c r="B9" s="23">
        <v>4638640</v>
      </c>
      <c r="C9" s="23">
        <v>652882</v>
      </c>
      <c r="D9" s="23">
        <v>38891</v>
      </c>
      <c r="E9" s="23">
        <v>60761</v>
      </c>
      <c r="F9" s="23">
        <v>6896</v>
      </c>
      <c r="G9" s="23">
        <v>74082</v>
      </c>
      <c r="H9" s="23">
        <v>49451</v>
      </c>
      <c r="I9" s="23">
        <v>45310</v>
      </c>
      <c r="J9" s="23">
        <v>60173</v>
      </c>
      <c r="K9" s="23">
        <v>85</v>
      </c>
      <c r="L9" s="23">
        <v>164</v>
      </c>
    </row>
    <row r="10" spans="1:12" ht="22.5" customHeight="1">
      <c r="A10" s="1">
        <v>4</v>
      </c>
      <c r="B10" s="23">
        <v>4645196</v>
      </c>
      <c r="C10" s="23">
        <v>653407</v>
      </c>
      <c r="D10" s="23">
        <v>39020</v>
      </c>
      <c r="E10" s="23">
        <v>60965</v>
      </c>
      <c r="F10" s="23">
        <v>6896</v>
      </c>
      <c r="G10" s="23">
        <v>74115</v>
      </c>
      <c r="H10" s="23">
        <v>49451</v>
      </c>
      <c r="I10" s="23">
        <v>45310</v>
      </c>
      <c r="J10" s="23">
        <v>60241</v>
      </c>
      <c r="K10" s="23">
        <v>97</v>
      </c>
      <c r="L10" s="23">
        <v>181</v>
      </c>
    </row>
    <row r="11" spans="1:12" ht="22.5" customHeight="1">
      <c r="A11" s="1">
        <v>5</v>
      </c>
      <c r="B11" s="23">
        <v>4652388</v>
      </c>
      <c r="C11" s="23">
        <v>653918</v>
      </c>
      <c r="D11" s="23">
        <v>39175</v>
      </c>
      <c r="E11" s="23">
        <v>61149</v>
      </c>
      <c r="F11" s="23">
        <v>6897</v>
      </c>
      <c r="G11" s="23">
        <v>74165</v>
      </c>
      <c r="H11" s="23">
        <v>49451</v>
      </c>
      <c r="I11" s="23">
        <v>45311</v>
      </c>
      <c r="J11" s="23">
        <v>60327</v>
      </c>
      <c r="K11" s="23">
        <v>99</v>
      </c>
      <c r="L11" s="23">
        <v>184</v>
      </c>
    </row>
    <row r="12" spans="1:12" ht="22.5" customHeight="1">
      <c r="A12" s="1">
        <v>6</v>
      </c>
      <c r="B12" s="23">
        <v>4659592</v>
      </c>
      <c r="C12" s="23">
        <v>654424</v>
      </c>
      <c r="D12" s="23">
        <v>39339</v>
      </c>
      <c r="E12" s="23">
        <v>61342</v>
      </c>
      <c r="F12" s="23">
        <v>6898</v>
      </c>
      <c r="G12" s="23">
        <v>74212</v>
      </c>
      <c r="H12" s="23">
        <v>49451</v>
      </c>
      <c r="I12" s="23">
        <v>45311</v>
      </c>
      <c r="J12" s="23">
        <v>60397</v>
      </c>
      <c r="K12" s="23">
        <v>103</v>
      </c>
      <c r="L12" s="23">
        <v>187</v>
      </c>
    </row>
    <row r="13" spans="1:12" ht="22.5" customHeight="1">
      <c r="A13" s="1">
        <v>7</v>
      </c>
      <c r="B13" s="23">
        <v>4665604</v>
      </c>
      <c r="C13" s="23">
        <v>654818</v>
      </c>
      <c r="D13" s="23">
        <v>39480</v>
      </c>
      <c r="E13" s="23">
        <v>61502</v>
      </c>
      <c r="F13" s="23">
        <v>6899</v>
      </c>
      <c r="G13" s="23">
        <v>74258</v>
      </c>
      <c r="H13" s="23">
        <v>49451</v>
      </c>
      <c r="I13" s="23">
        <v>45311</v>
      </c>
      <c r="J13" s="23">
        <v>60463</v>
      </c>
      <c r="K13" s="23">
        <v>111</v>
      </c>
      <c r="L13" s="23">
        <v>203</v>
      </c>
    </row>
    <row r="14" spans="1:12" ht="22.5" customHeight="1">
      <c r="A14" s="1">
        <v>8</v>
      </c>
      <c r="B14" s="23">
        <v>4671894</v>
      </c>
      <c r="C14" s="23">
        <v>655223</v>
      </c>
      <c r="D14" s="23">
        <v>39632</v>
      </c>
      <c r="E14" s="23">
        <v>61675</v>
      </c>
      <c r="F14" s="23">
        <v>6899</v>
      </c>
      <c r="G14" s="23">
        <v>74305</v>
      </c>
      <c r="H14" s="23">
        <v>49451</v>
      </c>
      <c r="I14" s="23">
        <v>45312</v>
      </c>
      <c r="J14" s="23">
        <v>60530</v>
      </c>
      <c r="K14" s="23">
        <v>111</v>
      </c>
      <c r="L14" s="23">
        <v>203</v>
      </c>
    </row>
    <row r="15" spans="1:12" ht="22.5" customHeight="1">
      <c r="A15" s="1">
        <v>9</v>
      </c>
      <c r="B15" s="23">
        <v>4678384</v>
      </c>
      <c r="C15" s="23">
        <v>655698</v>
      </c>
      <c r="D15" s="23">
        <v>39765</v>
      </c>
      <c r="E15" s="23">
        <v>61843</v>
      </c>
      <c r="F15" s="23">
        <v>6899</v>
      </c>
      <c r="G15" s="23">
        <v>74347</v>
      </c>
      <c r="H15" s="23">
        <v>49451</v>
      </c>
      <c r="I15" s="23">
        <v>45312</v>
      </c>
      <c r="J15" s="23">
        <v>60598</v>
      </c>
      <c r="K15" s="23">
        <v>61</v>
      </c>
      <c r="L15" s="23">
        <v>111</v>
      </c>
    </row>
    <row r="16" spans="1:12" ht="22.5" customHeight="1">
      <c r="A16" s="1">
        <v>10</v>
      </c>
      <c r="B16" s="23">
        <v>4684812</v>
      </c>
      <c r="C16" s="23">
        <v>656142</v>
      </c>
      <c r="D16" s="23">
        <v>39919</v>
      </c>
      <c r="E16" s="23">
        <v>62010</v>
      </c>
      <c r="F16" s="23">
        <v>6900</v>
      </c>
      <c r="G16" s="23">
        <v>74389</v>
      </c>
      <c r="H16" s="23">
        <v>49451</v>
      </c>
      <c r="I16" s="23">
        <v>45312</v>
      </c>
      <c r="J16" s="23">
        <v>60659</v>
      </c>
      <c r="K16" s="23">
        <v>46</v>
      </c>
      <c r="L16" s="23">
        <v>77</v>
      </c>
    </row>
    <row r="17" spans="1:12" ht="22.5" customHeight="1">
      <c r="A17" s="1">
        <v>11</v>
      </c>
      <c r="B17" s="23">
        <v>4690704</v>
      </c>
      <c r="C17" s="23">
        <v>656531</v>
      </c>
      <c r="D17" s="23">
        <v>40041</v>
      </c>
      <c r="E17" s="23">
        <v>62154</v>
      </c>
      <c r="F17" s="23">
        <v>6900</v>
      </c>
      <c r="G17" s="23">
        <v>74419</v>
      </c>
      <c r="H17" s="23">
        <v>49451</v>
      </c>
      <c r="I17" s="23">
        <v>45313</v>
      </c>
      <c r="J17" s="23">
        <v>60697</v>
      </c>
      <c r="K17" s="23">
        <v>50</v>
      </c>
      <c r="L17" s="23">
        <v>88</v>
      </c>
    </row>
    <row r="18" spans="1:12" ht="22.5" customHeight="1">
      <c r="A18" s="1">
        <v>12</v>
      </c>
      <c r="B18" s="23">
        <v>4697698</v>
      </c>
      <c r="C18" s="23">
        <v>657038</v>
      </c>
      <c r="D18" s="23">
        <v>40184</v>
      </c>
      <c r="E18" s="23">
        <v>62301</v>
      </c>
      <c r="F18" s="23">
        <v>6901</v>
      </c>
      <c r="G18" s="23">
        <v>74462</v>
      </c>
      <c r="H18" s="23">
        <v>49451</v>
      </c>
      <c r="I18" s="23">
        <v>45314</v>
      </c>
      <c r="J18" s="23">
        <v>60769</v>
      </c>
      <c r="K18" s="23">
        <v>89</v>
      </c>
      <c r="L18" s="23">
        <v>164</v>
      </c>
    </row>
    <row r="19" spans="1:12" ht="22.5" customHeight="1">
      <c r="A19" s="1">
        <v>13</v>
      </c>
      <c r="B19" s="23">
        <v>4704300</v>
      </c>
      <c r="C19" s="23">
        <v>657514</v>
      </c>
      <c r="D19" s="23">
        <v>40323</v>
      </c>
      <c r="E19" s="23">
        <v>62482</v>
      </c>
      <c r="F19" s="23">
        <v>6902</v>
      </c>
      <c r="G19" s="23">
        <v>74499</v>
      </c>
      <c r="H19" s="23">
        <v>49451</v>
      </c>
      <c r="I19" s="23">
        <v>45314</v>
      </c>
      <c r="J19" s="23">
        <v>60825</v>
      </c>
      <c r="K19" s="23">
        <v>90</v>
      </c>
      <c r="L19" s="23">
        <v>166</v>
      </c>
    </row>
    <row r="20" spans="1:12" ht="22.5" customHeight="1">
      <c r="A20" s="1">
        <v>14</v>
      </c>
      <c r="B20" s="23">
        <v>4711080</v>
      </c>
      <c r="C20" s="23">
        <v>657976</v>
      </c>
      <c r="D20" s="23">
        <v>40496</v>
      </c>
      <c r="E20" s="23">
        <v>62733</v>
      </c>
      <c r="F20" s="23">
        <v>6903</v>
      </c>
      <c r="G20" s="23">
        <v>74546</v>
      </c>
      <c r="H20" s="23">
        <v>49451</v>
      </c>
      <c r="I20" s="23">
        <v>45315</v>
      </c>
      <c r="J20" s="23">
        <v>60884</v>
      </c>
      <c r="K20" s="23">
        <v>89</v>
      </c>
      <c r="L20" s="23">
        <v>163</v>
      </c>
    </row>
    <row r="21" spans="1:12" ht="22.5" customHeight="1">
      <c r="A21" s="1">
        <v>15</v>
      </c>
      <c r="B21" s="23">
        <v>4717032</v>
      </c>
      <c r="C21" s="23">
        <v>658406</v>
      </c>
      <c r="D21" s="23">
        <v>40678</v>
      </c>
      <c r="E21" s="23">
        <v>62924</v>
      </c>
      <c r="F21" s="23">
        <v>6903</v>
      </c>
      <c r="G21" s="23">
        <v>74591</v>
      </c>
      <c r="H21" s="23">
        <v>49451</v>
      </c>
      <c r="I21" s="23">
        <v>45315</v>
      </c>
      <c r="J21" s="23">
        <v>60939</v>
      </c>
      <c r="K21" s="23">
        <v>94</v>
      </c>
      <c r="L21" s="23">
        <v>171</v>
      </c>
    </row>
    <row r="22" spans="1:12" ht="22.5" customHeight="1">
      <c r="A22" s="1">
        <v>16</v>
      </c>
      <c r="B22" s="23">
        <v>4723840</v>
      </c>
      <c r="C22" s="23">
        <v>658901</v>
      </c>
      <c r="D22" s="23">
        <v>40851</v>
      </c>
      <c r="E22" s="23">
        <v>63085</v>
      </c>
      <c r="F22" s="23">
        <v>6903</v>
      </c>
      <c r="G22" s="23">
        <v>74628</v>
      </c>
      <c r="H22" s="23">
        <v>49451</v>
      </c>
      <c r="I22" s="23">
        <v>45316</v>
      </c>
      <c r="J22" s="23">
        <v>60997</v>
      </c>
      <c r="K22" s="23">
        <v>94</v>
      </c>
      <c r="L22" s="23">
        <v>170</v>
      </c>
    </row>
    <row r="23" spans="1:12" ht="22.5" customHeight="1">
      <c r="A23" s="1">
        <v>17</v>
      </c>
      <c r="B23" s="23">
        <v>4730962</v>
      </c>
      <c r="C23" s="23">
        <v>659421</v>
      </c>
      <c r="D23" s="23">
        <v>41055</v>
      </c>
      <c r="E23" s="23">
        <v>63266</v>
      </c>
      <c r="F23" s="23">
        <v>6904</v>
      </c>
      <c r="G23" s="23">
        <v>74674</v>
      </c>
      <c r="H23" s="23">
        <v>49451</v>
      </c>
      <c r="I23" s="23">
        <v>45316</v>
      </c>
      <c r="J23" s="23">
        <v>61071</v>
      </c>
      <c r="K23" s="23">
        <v>68</v>
      </c>
      <c r="L23" s="23">
        <v>123</v>
      </c>
    </row>
    <row r="24" spans="1:12" ht="22.5" customHeight="1">
      <c r="A24" s="1">
        <v>18</v>
      </c>
      <c r="B24" s="23">
        <v>4737134</v>
      </c>
      <c r="C24" s="23">
        <v>659843</v>
      </c>
      <c r="D24" s="23">
        <v>41236</v>
      </c>
      <c r="E24" s="23">
        <v>63442</v>
      </c>
      <c r="F24" s="23">
        <v>6905</v>
      </c>
      <c r="G24" s="23">
        <v>74696</v>
      </c>
      <c r="H24" s="23">
        <v>49451</v>
      </c>
      <c r="I24" s="23">
        <v>45316</v>
      </c>
      <c r="J24" s="23">
        <v>61111</v>
      </c>
      <c r="K24" s="23">
        <v>66</v>
      </c>
      <c r="L24" s="23">
        <v>128</v>
      </c>
    </row>
    <row r="25" spans="1:12" ht="22.5" customHeight="1">
      <c r="A25" s="1">
        <v>19</v>
      </c>
      <c r="B25" s="23">
        <v>4742976</v>
      </c>
      <c r="C25" s="23">
        <v>660286</v>
      </c>
      <c r="D25" s="23">
        <v>41408</v>
      </c>
      <c r="E25" s="23">
        <v>63609</v>
      </c>
      <c r="F25" s="23">
        <v>6905</v>
      </c>
      <c r="G25" s="23">
        <v>74745</v>
      </c>
      <c r="H25" s="23">
        <v>49451</v>
      </c>
      <c r="I25" s="23">
        <v>45316</v>
      </c>
      <c r="J25" s="23">
        <v>61193</v>
      </c>
      <c r="K25" s="23">
        <v>84</v>
      </c>
      <c r="L25" s="23">
        <v>164</v>
      </c>
    </row>
    <row r="26" spans="1:12" ht="22.5" customHeight="1">
      <c r="A26" s="1">
        <v>20</v>
      </c>
      <c r="B26" s="23">
        <v>4748343</v>
      </c>
      <c r="C26" s="23">
        <v>660945</v>
      </c>
      <c r="D26" s="23">
        <v>41614</v>
      </c>
      <c r="E26" s="23">
        <v>63804</v>
      </c>
      <c r="F26" s="23">
        <v>6906</v>
      </c>
      <c r="G26" s="23">
        <v>74789</v>
      </c>
      <c r="H26" s="23">
        <v>49451</v>
      </c>
      <c r="I26" s="23">
        <v>45316</v>
      </c>
      <c r="J26" s="23">
        <v>61250</v>
      </c>
      <c r="K26" s="23">
        <v>91</v>
      </c>
      <c r="L26" s="23">
        <v>171</v>
      </c>
    </row>
    <row r="27" spans="1:12" ht="22.5" customHeight="1">
      <c r="A27" s="1">
        <v>21</v>
      </c>
      <c r="B27" s="23">
        <v>4756700</v>
      </c>
      <c r="C27" s="23">
        <v>661414</v>
      </c>
      <c r="D27" s="23">
        <v>41775</v>
      </c>
      <c r="E27" s="23">
        <v>63974</v>
      </c>
      <c r="F27" s="23">
        <v>6906</v>
      </c>
      <c r="G27" s="23">
        <v>74825</v>
      </c>
      <c r="H27" s="23">
        <v>49451</v>
      </c>
      <c r="I27" s="23">
        <v>45317</v>
      </c>
      <c r="J27" s="23">
        <v>61296</v>
      </c>
      <c r="K27" s="23">
        <v>82</v>
      </c>
      <c r="L27" s="23">
        <v>167</v>
      </c>
    </row>
    <row r="28" spans="1:12" ht="22.5" customHeight="1">
      <c r="A28" s="1">
        <v>22</v>
      </c>
      <c r="B28" s="23">
        <v>4764168</v>
      </c>
      <c r="C28" s="23">
        <v>661975</v>
      </c>
      <c r="D28" s="23">
        <v>41953</v>
      </c>
      <c r="E28" s="23">
        <v>64158</v>
      </c>
      <c r="F28" s="23">
        <v>6906</v>
      </c>
      <c r="G28" s="23">
        <v>74867</v>
      </c>
      <c r="H28" s="23">
        <v>49451</v>
      </c>
      <c r="I28" s="23">
        <v>45317</v>
      </c>
      <c r="J28" s="23">
        <v>61392</v>
      </c>
      <c r="K28" s="23">
        <v>98</v>
      </c>
      <c r="L28" s="23">
        <v>186</v>
      </c>
    </row>
    <row r="29" spans="1:12" ht="22.5" customHeight="1">
      <c r="A29" s="1">
        <v>23</v>
      </c>
      <c r="B29" s="23">
        <v>4770132</v>
      </c>
      <c r="C29" s="23">
        <v>662415</v>
      </c>
      <c r="D29" s="23">
        <v>42118</v>
      </c>
      <c r="E29" s="23">
        <v>64338</v>
      </c>
      <c r="F29" s="23">
        <v>6907</v>
      </c>
      <c r="G29" s="23">
        <v>74903</v>
      </c>
      <c r="H29" s="23">
        <v>49451</v>
      </c>
      <c r="I29" s="23">
        <v>45317</v>
      </c>
      <c r="J29" s="23">
        <v>61458</v>
      </c>
      <c r="K29" s="23">
        <v>93</v>
      </c>
      <c r="L29" s="23">
        <v>173</v>
      </c>
    </row>
    <row r="30" spans="1:12" ht="22.5" customHeight="1">
      <c r="A30" s="1">
        <v>24</v>
      </c>
      <c r="B30" s="23">
        <v>4776878</v>
      </c>
      <c r="C30" s="23">
        <v>662921</v>
      </c>
      <c r="D30" s="23">
        <v>42296</v>
      </c>
      <c r="E30" s="23">
        <v>64512</v>
      </c>
      <c r="F30" s="23">
        <v>6908</v>
      </c>
      <c r="G30" s="23">
        <v>74939</v>
      </c>
      <c r="H30" s="23">
        <v>49451</v>
      </c>
      <c r="I30" s="23">
        <v>45317</v>
      </c>
      <c r="J30" s="23">
        <v>61528</v>
      </c>
      <c r="K30" s="23">
        <v>87</v>
      </c>
      <c r="L30" s="23">
        <v>160</v>
      </c>
    </row>
    <row r="31" spans="1:12" ht="22.5" customHeight="1">
      <c r="A31" s="1">
        <v>25</v>
      </c>
      <c r="B31" s="23">
        <v>4783458</v>
      </c>
      <c r="C31" s="23">
        <v>663423</v>
      </c>
      <c r="D31" s="23">
        <v>42462</v>
      </c>
      <c r="E31" s="23">
        <v>64715</v>
      </c>
      <c r="F31" s="23">
        <v>6909</v>
      </c>
      <c r="G31" s="23">
        <v>74979</v>
      </c>
      <c r="H31" s="23">
        <v>49451</v>
      </c>
      <c r="I31" s="23">
        <v>45317</v>
      </c>
      <c r="J31" s="23">
        <v>61597</v>
      </c>
      <c r="K31" s="23">
        <v>88</v>
      </c>
      <c r="L31" s="23">
        <v>157</v>
      </c>
    </row>
    <row r="32" spans="1:12" ht="22.5" customHeight="1">
      <c r="A32" s="1">
        <v>26</v>
      </c>
      <c r="B32" s="23">
        <v>4790352</v>
      </c>
      <c r="C32" s="23">
        <v>663947</v>
      </c>
      <c r="D32" s="23">
        <v>42637</v>
      </c>
      <c r="E32" s="23">
        <v>64892</v>
      </c>
      <c r="F32" s="23">
        <v>6910</v>
      </c>
      <c r="G32" s="23">
        <v>75014</v>
      </c>
      <c r="H32" s="23">
        <v>49451</v>
      </c>
      <c r="I32" s="23">
        <v>45319</v>
      </c>
      <c r="J32" s="23">
        <v>61668</v>
      </c>
      <c r="K32" s="23">
        <v>93</v>
      </c>
      <c r="L32" s="23">
        <v>172</v>
      </c>
    </row>
    <row r="33" spans="1:12" ht="22.5" customHeight="1">
      <c r="A33" s="1">
        <v>27</v>
      </c>
      <c r="B33" s="23">
        <v>4796980</v>
      </c>
      <c r="C33" s="23">
        <v>664427</v>
      </c>
      <c r="D33" s="23">
        <v>42808</v>
      </c>
      <c r="E33" s="23">
        <v>65083</v>
      </c>
      <c r="F33" s="23">
        <v>6910</v>
      </c>
      <c r="G33" s="23">
        <v>75055</v>
      </c>
      <c r="H33" s="23">
        <v>49451</v>
      </c>
      <c r="I33" s="23">
        <v>45319</v>
      </c>
      <c r="J33" s="23">
        <v>61736</v>
      </c>
      <c r="K33" s="23">
        <v>94</v>
      </c>
      <c r="L33" s="23">
        <v>163</v>
      </c>
    </row>
    <row r="34" spans="1:12" ht="22.5" customHeight="1">
      <c r="A34" s="1">
        <v>28</v>
      </c>
      <c r="B34" s="23">
        <v>4802742</v>
      </c>
      <c r="C34" s="23">
        <v>664845</v>
      </c>
      <c r="D34" s="23">
        <v>42962</v>
      </c>
      <c r="E34" s="23">
        <v>65260</v>
      </c>
      <c r="F34" s="23">
        <v>6910</v>
      </c>
      <c r="G34" s="23">
        <v>75067</v>
      </c>
      <c r="H34" s="23">
        <v>49451</v>
      </c>
      <c r="I34" s="23">
        <v>45320</v>
      </c>
      <c r="J34" s="23">
        <v>61762</v>
      </c>
      <c r="K34" s="23">
        <v>69</v>
      </c>
      <c r="L34" s="23">
        <v>135</v>
      </c>
    </row>
    <row r="35" spans="1:12" ht="22.5" customHeight="1">
      <c r="A35" s="2">
        <v>29</v>
      </c>
      <c r="B35" s="23">
        <v>4809110</v>
      </c>
      <c r="C35" s="23">
        <v>665274</v>
      </c>
      <c r="D35" s="23">
        <v>43115</v>
      </c>
      <c r="E35" s="23">
        <v>65435</v>
      </c>
      <c r="F35" s="23">
        <v>6912</v>
      </c>
      <c r="G35" s="23">
        <v>75121</v>
      </c>
      <c r="H35" s="23">
        <v>49451</v>
      </c>
      <c r="I35" s="23">
        <v>45321</v>
      </c>
      <c r="J35" s="23">
        <v>61854</v>
      </c>
      <c r="K35" s="23">
        <v>65</v>
      </c>
      <c r="L35" s="23">
        <v>98</v>
      </c>
    </row>
    <row r="36" spans="1:12" ht="22.5" customHeight="1">
      <c r="A36" s="1">
        <v>30</v>
      </c>
      <c r="B36" s="23">
        <v>4815352</v>
      </c>
      <c r="C36" s="23">
        <v>665685</v>
      </c>
      <c r="D36" s="23">
        <v>43241</v>
      </c>
      <c r="E36" s="23">
        <v>65626</v>
      </c>
      <c r="F36" s="23">
        <v>6912</v>
      </c>
      <c r="G36" s="23">
        <v>75157</v>
      </c>
      <c r="H36" s="23">
        <v>49451</v>
      </c>
      <c r="I36" s="23">
        <v>45321</v>
      </c>
      <c r="J36" s="23">
        <v>61921</v>
      </c>
      <c r="K36" s="23">
        <v>57</v>
      </c>
      <c r="L36" s="23">
        <v>75</v>
      </c>
    </row>
    <row r="37" spans="1:12" ht="22.5" customHeight="1">
      <c r="A37" s="1">
        <v>31</v>
      </c>
      <c r="B37" s="23">
        <v>4822112</v>
      </c>
      <c r="C37" s="23">
        <v>666094</v>
      </c>
      <c r="D37" s="23">
        <v>43379</v>
      </c>
      <c r="E37" s="23">
        <v>65836</v>
      </c>
      <c r="F37" s="23">
        <v>6912</v>
      </c>
      <c r="G37" s="23">
        <v>75195</v>
      </c>
      <c r="H37" s="23">
        <v>49451</v>
      </c>
      <c r="I37" s="23">
        <v>45322</v>
      </c>
      <c r="J37" s="23">
        <v>61989</v>
      </c>
      <c r="K37" s="23">
        <v>52</v>
      </c>
      <c r="L37" s="23">
        <v>97</v>
      </c>
    </row>
    <row r="38" spans="1:12" ht="27">
      <c r="A38" s="26" t="s">
        <v>29</v>
      </c>
      <c r="B38" s="23">
        <f>B37-B6</f>
        <v>203676</v>
      </c>
      <c r="C38" s="23">
        <f t="shared" ref="C38:J38" si="0">C37-C6</f>
        <v>14919</v>
      </c>
      <c r="D38" s="23">
        <f t="shared" si="0"/>
        <v>4871</v>
      </c>
      <c r="E38" s="23">
        <f t="shared" si="0"/>
        <v>5499</v>
      </c>
      <c r="F38" s="23">
        <f t="shared" si="0"/>
        <v>18</v>
      </c>
      <c r="G38" s="23">
        <f t="shared" si="0"/>
        <v>1261</v>
      </c>
      <c r="H38" s="23">
        <f t="shared" si="0"/>
        <v>0</v>
      </c>
      <c r="I38" s="23">
        <f t="shared" si="0"/>
        <v>14</v>
      </c>
      <c r="J38" s="23">
        <f t="shared" si="0"/>
        <v>2051</v>
      </c>
      <c r="K38" s="23">
        <f>K7+K8+K9+K10+K11+K12+K13+K14+K15+K16+K17+K18+K19+K20+K21+K22+K23+K24+K25+K26+K27+K28+K29+K30+K31+K32+K33+K34+K35+K36+K37</f>
        <v>2567</v>
      </c>
      <c r="L38" s="23">
        <f>L7+L8+L9+L10+L11+L12+L13+L14+L15+L16+L17+L18+L19+L20+L21+L22+L23+L24+L25+L26+L27+L28+L29+L30+L31+L32+L33+L34+L35+L36+L37</f>
        <v>4698</v>
      </c>
    </row>
    <row r="39" spans="1:12" ht="22.5" customHeight="1">
      <c r="A39" s="1" t="s">
        <v>30</v>
      </c>
      <c r="B39" s="23">
        <f>B38</f>
        <v>203676</v>
      </c>
      <c r="C39" s="28">
        <f>C38</f>
        <v>14919</v>
      </c>
      <c r="D39" s="29">
        <f>SUM(D38:E38)</f>
        <v>10370</v>
      </c>
      <c r="E39" s="30"/>
      <c r="F39" s="29">
        <f>SUM(F38:J38)</f>
        <v>3344</v>
      </c>
      <c r="G39" s="31"/>
      <c r="H39" s="31"/>
      <c r="I39" s="31"/>
      <c r="J39" s="30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EB173B-38FE-4AF0-9A59-A4DF190A8A99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2022-11-26T13:45:51Z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