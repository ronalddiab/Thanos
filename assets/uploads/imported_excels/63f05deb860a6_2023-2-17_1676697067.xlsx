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/>
  <mc:AlternateContent xmlns:mc="http://schemas.openxmlformats.org/markup-compatibility/2006">
    <mc:Choice Requires="x15">
      <x15ac:absPath xmlns:x15ac="http://schemas.microsoft.com/office/spreadsheetml/2010/11/ac" url="/Users/madclown/Downloads/"/>
    </mc:Choice>
  </mc:AlternateContent>
  <xr:revisionPtr revIDLastSave="71" documentId="13_ncr:1_{1589C4DB-BBF1-B541-800B-9CDF495C18B7}" xr6:coauthVersionLast="47" xr6:coauthVersionMax="47" xr10:uidLastSave="{7B0EB0C6-3779-4CD8-9EBB-D44DEBC1A0D6}"/>
  <bookViews>
    <workbookView xWindow="-38400" yWindow="0" windowWidth="38400" windowHeight="21600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F32" i="1"/>
  <c r="H32" i="1"/>
  <c r="G32" i="1"/>
  <c r="I32" i="1"/>
  <c r="N32" i="1"/>
  <c r="M32" i="1"/>
  <c r="L32" i="1"/>
  <c r="K32" i="1"/>
  <c r="M31" i="1"/>
  <c r="N31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" i="1"/>
  <c r="N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" i="1"/>
  <c r="M2" i="1"/>
  <c r="F39" i="3"/>
  <c r="F9" i="4"/>
  <c r="L39" i="3"/>
  <c r="O39" i="3"/>
  <c r="I39" i="3"/>
  <c r="G2" i="1"/>
  <c r="F27" i="4"/>
  <c r="F28" i="4"/>
  <c r="F29" i="4"/>
  <c r="F30" i="4"/>
  <c r="F31" i="4"/>
  <c r="F32" i="4"/>
  <c r="F33" i="4"/>
  <c r="F34" i="4"/>
  <c r="F35" i="4"/>
  <c r="F36" i="4"/>
  <c r="F37" i="4"/>
  <c r="F38" i="4"/>
  <c r="O40" i="3" l="1"/>
  <c r="H32" i="4"/>
  <c r="F37" i="2"/>
  <c r="G37" i="2" s="1"/>
  <c r="F26" i="4"/>
  <c r="I19" i="1" s="1"/>
  <c r="F25" i="4"/>
  <c r="I18" i="1" s="1"/>
  <c r="F24" i="4"/>
  <c r="I17" i="1" s="1"/>
  <c r="F23" i="4"/>
  <c r="I16" i="1" s="1"/>
  <c r="F22" i="4"/>
  <c r="G22" i="4" s="1"/>
  <c r="F21" i="4"/>
  <c r="I14" i="1" s="1"/>
  <c r="F20" i="4"/>
  <c r="I13" i="1" s="1"/>
  <c r="F19" i="4"/>
  <c r="G19" i="4" s="1"/>
  <c r="F18" i="4"/>
  <c r="I11" i="1" s="1"/>
  <c r="F17" i="4"/>
  <c r="F16" i="4"/>
  <c r="I9" i="1" s="1"/>
  <c r="F15" i="4"/>
  <c r="G15" i="4" s="1"/>
  <c r="F14" i="4"/>
  <c r="I7" i="1" s="1"/>
  <c r="F13" i="4"/>
  <c r="I6" i="1" s="1"/>
  <c r="F12" i="4"/>
  <c r="I5" i="1" s="1"/>
  <c r="F11" i="4"/>
  <c r="I4" i="1" s="1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9" i="3"/>
  <c r="C9" i="4" s="1"/>
  <c r="C9" i="5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G34" i="4"/>
  <c r="I8" i="1"/>
  <c r="I10" i="1"/>
  <c r="I20" i="1"/>
  <c r="I21" i="1"/>
  <c r="I23" i="1"/>
  <c r="I24" i="1"/>
  <c r="I25" i="1"/>
  <c r="I26" i="1"/>
  <c r="I27" i="1"/>
  <c r="I28" i="1"/>
  <c r="I29" i="1"/>
  <c r="I30" i="1"/>
  <c r="I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K2" i="1"/>
  <c r="I2" i="1"/>
  <c r="I39" i="5"/>
  <c r="G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8" i="4"/>
  <c r="G37" i="4"/>
  <c r="G36" i="4"/>
  <c r="G35" i="4"/>
  <c r="G33" i="4"/>
  <c r="G31" i="4"/>
  <c r="G30" i="4"/>
  <c r="I22" i="1"/>
  <c r="G28" i="4"/>
  <c r="G25" i="4"/>
  <c r="G23" i="4"/>
  <c r="G17" i="4"/>
  <c r="G11" i="4"/>
  <c r="H11" i="4" s="1"/>
  <c r="G9" i="4"/>
  <c r="J8" i="3"/>
  <c r="J35" i="3" s="1"/>
  <c r="J38" i="3"/>
  <c r="G38" i="3"/>
  <c r="G37" i="3"/>
  <c r="J36" i="3"/>
  <c r="G36" i="3"/>
  <c r="G35" i="3"/>
  <c r="G34" i="3"/>
  <c r="G33" i="3"/>
  <c r="G32" i="3"/>
  <c r="G31" i="3"/>
  <c r="J30" i="3"/>
  <c r="G30" i="3"/>
  <c r="G29" i="3"/>
  <c r="J28" i="3"/>
  <c r="G28" i="3"/>
  <c r="J27" i="3"/>
  <c r="G27" i="3"/>
  <c r="G26" i="3"/>
  <c r="G25" i="3"/>
  <c r="J24" i="3"/>
  <c r="G24" i="3"/>
  <c r="G23" i="3"/>
  <c r="G22" i="3"/>
  <c r="J21" i="3"/>
  <c r="G21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8" i="2"/>
  <c r="C38" i="2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E18" i="1" s="1"/>
  <c r="I23" i="2"/>
  <c r="J23" i="2" s="1"/>
  <c r="F23" i="2"/>
  <c r="I22" i="2"/>
  <c r="J22" i="2" s="1"/>
  <c r="F22" i="2"/>
  <c r="E16" i="1" s="1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G16" i="2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G12" i="4"/>
  <c r="G20" i="4"/>
  <c r="G13" i="4"/>
  <c r="G21" i="4"/>
  <c r="K10" i="5"/>
  <c r="L10" i="5" s="1"/>
  <c r="K15" i="5"/>
  <c r="K38" i="5"/>
  <c r="L38" i="5" s="1"/>
  <c r="G29" i="4"/>
  <c r="E25" i="1"/>
  <c r="E15" i="1"/>
  <c r="G27" i="4"/>
  <c r="J34" i="3"/>
  <c r="P8" i="3"/>
  <c r="J18" i="3"/>
  <c r="M8" i="3"/>
  <c r="M17" i="3" s="1"/>
  <c r="J31" i="3"/>
  <c r="J23" i="3"/>
  <c r="J26" i="3"/>
  <c r="J9" i="3"/>
  <c r="J10" i="3"/>
  <c r="J11" i="3"/>
  <c r="J12" i="3"/>
  <c r="J13" i="3"/>
  <c r="J14" i="3"/>
  <c r="J15" i="3"/>
  <c r="J16" i="3"/>
  <c r="J17" i="3"/>
  <c r="J25" i="3"/>
  <c r="P17" i="3"/>
  <c r="M32" i="3"/>
  <c r="M24" i="3"/>
  <c r="P14" i="3"/>
  <c r="M31" i="3"/>
  <c r="P31" i="3"/>
  <c r="P23" i="3"/>
  <c r="M33" i="3"/>
  <c r="M15" i="3"/>
  <c r="P38" i="3"/>
  <c r="M30" i="3"/>
  <c r="M22" i="3"/>
  <c r="P22" i="3"/>
  <c r="M10" i="3"/>
  <c r="M37" i="3"/>
  <c r="P37" i="3"/>
  <c r="P29" i="3"/>
  <c r="M21" i="3"/>
  <c r="M18" i="3"/>
  <c r="P11" i="3"/>
  <c r="M36" i="3"/>
  <c r="M28" i="3"/>
  <c r="P28" i="3"/>
  <c r="M20" i="3"/>
  <c r="P20" i="3"/>
  <c r="M34" i="3"/>
  <c r="P34" i="3"/>
  <c r="M26" i="3"/>
  <c r="M25" i="3"/>
  <c r="M13" i="3"/>
  <c r="P13" i="3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P24" i="3"/>
  <c r="P35" i="3"/>
  <c r="P26" i="3"/>
  <c r="P18" i="3"/>
  <c r="P9" i="3"/>
  <c r="P32" i="3"/>
  <c r="K9" i="5" l="1"/>
  <c r="L9" i="5" s="1"/>
  <c r="K18" i="5"/>
  <c r="L18" i="5" s="1"/>
  <c r="K25" i="5"/>
  <c r="L25" i="5" s="1"/>
  <c r="K26" i="5"/>
  <c r="L26" i="5" s="1"/>
  <c r="L8" i="1"/>
  <c r="Q36" i="3"/>
  <c r="R36" i="3" s="1"/>
  <c r="G14" i="4"/>
  <c r="H14" i="4" s="1"/>
  <c r="G26" i="4"/>
  <c r="H26" i="4" s="1"/>
  <c r="Q15" i="3"/>
  <c r="R15" i="3" s="1"/>
  <c r="J29" i="3"/>
  <c r="Q26" i="3"/>
  <c r="Q28" i="3"/>
  <c r="R28" i="3" s="1"/>
  <c r="M11" i="3"/>
  <c r="Q11" i="3" s="1"/>
  <c r="M29" i="3"/>
  <c r="M38" i="3"/>
  <c r="M23" i="3"/>
  <c r="M14" i="3"/>
  <c r="J20" i="3"/>
  <c r="Q20" i="3" s="1"/>
  <c r="J22" i="3"/>
  <c r="J32" i="3"/>
  <c r="Q32" i="3" s="1"/>
  <c r="E29" i="1"/>
  <c r="E10" i="1"/>
  <c r="E8" i="1"/>
  <c r="Q13" i="3"/>
  <c r="R13" i="3" s="1"/>
  <c r="Q9" i="3"/>
  <c r="R9" i="3" s="1"/>
  <c r="K24" i="5"/>
  <c r="L24" i="5" s="1"/>
  <c r="Q38" i="3"/>
  <c r="R38" i="3" s="1"/>
  <c r="Q23" i="3"/>
  <c r="Q24" i="3"/>
  <c r="R24" i="3" s="1"/>
  <c r="Q29" i="3"/>
  <c r="R29" i="3" s="1"/>
  <c r="Q22" i="3"/>
  <c r="R22" i="3" s="1"/>
  <c r="Q34" i="3"/>
  <c r="R34" i="3" s="1"/>
  <c r="E11" i="1"/>
  <c r="G22" i="2"/>
  <c r="K22" i="2" s="1"/>
  <c r="L22" i="2" s="1"/>
  <c r="M22" i="2" s="1"/>
  <c r="Q17" i="3"/>
  <c r="H10" i="1" s="1"/>
  <c r="Q12" i="3"/>
  <c r="R12" i="3" s="1"/>
  <c r="Q10" i="3"/>
  <c r="R10" i="3" s="1"/>
  <c r="Q18" i="3"/>
  <c r="R18" i="3" s="1"/>
  <c r="Q33" i="3"/>
  <c r="R33" i="3" s="1"/>
  <c r="Q19" i="3"/>
  <c r="H12" i="1" s="1"/>
  <c r="Q21" i="3"/>
  <c r="R21" i="3" s="1"/>
  <c r="Q35" i="3"/>
  <c r="H28" i="1" s="1"/>
  <c r="H9" i="4"/>
  <c r="K11" i="5"/>
  <c r="L4" i="1" s="1"/>
  <c r="K14" i="5"/>
  <c r="L14" i="5" s="1"/>
  <c r="K22" i="5"/>
  <c r="L15" i="1" s="1"/>
  <c r="K27" i="5"/>
  <c r="L27" i="5" s="1"/>
  <c r="K28" i="5"/>
  <c r="L21" i="1" s="1"/>
  <c r="K30" i="5"/>
  <c r="L30" i="5" s="1"/>
  <c r="K31" i="5"/>
  <c r="L31" i="5" s="1"/>
  <c r="K33" i="5"/>
  <c r="L33" i="5" s="1"/>
  <c r="K34" i="5"/>
  <c r="L27" i="1" s="1"/>
  <c r="K35" i="5"/>
  <c r="L35" i="5" s="1"/>
  <c r="K36" i="5"/>
  <c r="L36" i="5" s="1"/>
  <c r="D39" i="3"/>
  <c r="L11" i="5"/>
  <c r="L2" i="1"/>
  <c r="K17" i="5"/>
  <c r="L10" i="1" s="1"/>
  <c r="K13" i="5"/>
  <c r="K32" i="5"/>
  <c r="L25" i="1" s="1"/>
  <c r="K19" i="5"/>
  <c r="L22" i="5"/>
  <c r="L31" i="1"/>
  <c r="K20" i="5"/>
  <c r="L20" i="5" s="1"/>
  <c r="L11" i="1"/>
  <c r="K21" i="5"/>
  <c r="L14" i="1" s="1"/>
  <c r="K29" i="5"/>
  <c r="L29" i="5" s="1"/>
  <c r="K37" i="5"/>
  <c r="L37" i="5" s="1"/>
  <c r="K16" i="5"/>
  <c r="L9" i="1" s="1"/>
  <c r="I12" i="1"/>
  <c r="Q16" i="3"/>
  <c r="R16" i="3" s="1"/>
  <c r="Q27" i="3"/>
  <c r="H20" i="1" s="1"/>
  <c r="H2" i="1"/>
  <c r="Q14" i="3"/>
  <c r="R14" i="3" s="1"/>
  <c r="Q25" i="3"/>
  <c r="R25" i="3" s="1"/>
  <c r="Q30" i="3"/>
  <c r="R30" i="3" s="1"/>
  <c r="Q31" i="3"/>
  <c r="R31" i="3" s="1"/>
  <c r="H19" i="1"/>
  <c r="J37" i="3"/>
  <c r="Q37" i="3" s="1"/>
  <c r="H16" i="1"/>
  <c r="H6" i="1"/>
  <c r="H29" i="1"/>
  <c r="I38" i="2"/>
  <c r="E6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G8" i="2"/>
  <c r="K26" i="2"/>
  <c r="L26" i="2" s="1"/>
  <c r="M26" i="2" s="1"/>
  <c r="K20" i="2"/>
  <c r="L20" i="2" s="1"/>
  <c r="M20" i="2" s="1"/>
  <c r="E19" i="1"/>
  <c r="F38" i="2"/>
  <c r="L22" i="1"/>
  <c r="L19" i="1"/>
  <c r="K12" i="5"/>
  <c r="L12" i="5" s="1"/>
  <c r="K23" i="5"/>
  <c r="L23" i="5" s="1"/>
  <c r="L26" i="1"/>
  <c r="L18" i="1"/>
  <c r="L20" i="1"/>
  <c r="I40" i="5"/>
  <c r="L19" i="5"/>
  <c r="L12" i="1"/>
  <c r="L28" i="5"/>
  <c r="L29" i="1"/>
  <c r="L5" i="1"/>
  <c r="L34" i="5"/>
  <c r="L6" i="1"/>
  <c r="L13" i="5"/>
  <c r="L17" i="1"/>
  <c r="J39" i="5"/>
  <c r="L15" i="5"/>
  <c r="L30" i="1"/>
  <c r="L3" i="1"/>
  <c r="H34" i="4"/>
  <c r="H31" i="4"/>
  <c r="H30" i="4"/>
  <c r="H38" i="4"/>
  <c r="H29" i="4"/>
  <c r="H35" i="4"/>
  <c r="H37" i="4"/>
  <c r="H28" i="4"/>
  <c r="H36" i="4"/>
  <c r="H27" i="4"/>
  <c r="H33" i="4"/>
  <c r="H22" i="4"/>
  <c r="H10" i="4"/>
  <c r="G24" i="4"/>
  <c r="H25" i="4"/>
  <c r="H17" i="4"/>
  <c r="G16" i="4"/>
  <c r="I15" i="1"/>
  <c r="I3" i="1"/>
  <c r="H23" i="4"/>
  <c r="H15" i="4"/>
  <c r="F39" i="4"/>
  <c r="G18" i="4"/>
  <c r="H21" i="4"/>
  <c r="H13" i="4"/>
  <c r="H20" i="4"/>
  <c r="H12" i="4"/>
  <c r="H19" i="4"/>
  <c r="R26" i="3"/>
  <c r="H17" i="1"/>
  <c r="H31" i="1"/>
  <c r="H15" i="1"/>
  <c r="R23" i="3"/>
  <c r="H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K27" i="2"/>
  <c r="L27" i="2" s="1"/>
  <c r="M27" i="2" s="1"/>
  <c r="K29" i="2"/>
  <c r="L29" i="2" s="1"/>
  <c r="M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E14" i="1"/>
  <c r="K24" i="2"/>
  <c r="L24" i="2" s="1"/>
  <c r="F18" i="1" s="1"/>
  <c r="K33" i="2"/>
  <c r="L33" i="2" s="1"/>
  <c r="M33" i="2" s="1"/>
  <c r="E22" i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30" i="2"/>
  <c r="E9" i="1"/>
  <c r="E26" i="1"/>
  <c r="F29" i="1"/>
  <c r="E28" i="1"/>
  <c r="E24" i="1"/>
  <c r="D14" i="4"/>
  <c r="D14" i="5" s="1"/>
  <c r="C39" i="3"/>
  <c r="C10" i="4"/>
  <c r="C10" i="5" s="1"/>
  <c r="C39" i="5" s="1"/>
  <c r="D9" i="5"/>
  <c r="L28" i="1" l="1"/>
  <c r="H27" i="1"/>
  <c r="H8" i="1"/>
  <c r="R27" i="3"/>
  <c r="H11" i="1"/>
  <c r="R17" i="3"/>
  <c r="H21" i="1"/>
  <c r="F10" i="1"/>
  <c r="L24" i="1"/>
  <c r="D39" i="5"/>
  <c r="D39" i="4"/>
  <c r="R32" i="3"/>
  <c r="H25" i="1"/>
  <c r="R20" i="3"/>
  <c r="H13" i="1"/>
  <c r="R11" i="3"/>
  <c r="H4" i="1"/>
  <c r="R19" i="3"/>
  <c r="H24" i="1"/>
  <c r="M16" i="2"/>
  <c r="F22" i="1"/>
  <c r="F19" i="1"/>
  <c r="L32" i="5"/>
  <c r="L21" i="5"/>
  <c r="L23" i="1"/>
  <c r="L17" i="5"/>
  <c r="L7" i="1"/>
  <c r="H22" i="1"/>
  <c r="H7" i="1"/>
  <c r="H26" i="1"/>
  <c r="H23" i="1"/>
  <c r="R35" i="3"/>
  <c r="H14" i="1"/>
  <c r="H5" i="1"/>
  <c r="F30" i="1"/>
  <c r="L16" i="5"/>
  <c r="L16" i="1"/>
  <c r="L13" i="1"/>
  <c r="H18" i="1"/>
  <c r="H9" i="1"/>
  <c r="R37" i="3"/>
  <c r="H30" i="1"/>
  <c r="F26" i="1"/>
  <c r="F11" i="1"/>
  <c r="F17" i="1"/>
  <c r="F9" i="1"/>
  <c r="M36" i="2"/>
  <c r="F23" i="1"/>
  <c r="F14" i="1"/>
  <c r="I40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8" i="2" s="1"/>
  <c r="H16" i="4"/>
  <c r="H24" i="4"/>
  <c r="H18" i="4"/>
  <c r="M37" i="2"/>
  <c r="F31" i="1"/>
  <c r="F4" i="1"/>
  <c r="F7" i="1"/>
  <c r="F15" i="1"/>
  <c r="M23" i="2"/>
  <c r="C39" i="4"/>
  <c r="R39" i="3" l="1"/>
  <c r="L39" i="5"/>
  <c r="H39" i="4"/>
  <c r="M8" i="2"/>
  <c r="F2" i="1"/>
  <c r="M38" i="2" l="1"/>
</calcChain>
</file>

<file path=xl/sharedStrings.xml><?xml version="1.0" encoding="utf-8"?>
<sst xmlns="http://schemas.openxmlformats.org/spreadsheetml/2006/main" count="112" uniqueCount="59">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</sst>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Arial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5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5" fontId="10" fillId="0" borderId="1" xfId="1" applyFont="1" applyFill="1" applyBorder="1" applyAlignment="1">
      <alignment horizontal="center" shrinkToFit="1"/>
    </xf>
    <xf numFmtId="165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6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5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5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5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5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5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5" fontId="9" fillId="0" borderId="0" xfId="1" applyFont="1" applyFill="1" applyBorder="1" applyAlignment="1">
      <alignment shrinkToFit="1"/>
    </xf>
    <xf numFmtId="165" fontId="7" fillId="0" borderId="0" xfId="1" applyFont="1" applyAlignment="1">
      <alignment vertical="center"/>
    </xf>
    <xf numFmtId="165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Border="1" applyAlignment="1">
      <alignment horizontal="center" vertical="center" shrinkToFit="1"/>
    </xf>
    <xf numFmtId="43" fontId="10" fillId="0" borderId="1" xfId="1" applyNumberFormat="1" applyFont="1" applyFill="1" applyBorder="1" applyAlignment="1">
      <alignment horizontal="center" shrinkToFit="1"/>
    </xf>
    <xf numFmtId="1" fontId="18" fillId="2" borderId="7" xfId="0" applyNumberFormat="1" applyFont="1" applyFill="1" applyBorder="1" applyAlignment="1">
      <alignment horizontal="center" shrinkToFit="1"/>
    </xf>
    <xf numFmtId="1" fontId="18" fillId="2" borderId="8" xfId="0" applyNumberFormat="1" applyFont="1" applyFill="1" applyBorder="1" applyAlignment="1">
      <alignment horizontal="center" shrinkToFit="1"/>
    </xf>
    <xf numFmtId="1" fontId="18" fillId="3" borderId="7" xfId="0" applyNumberFormat="1" applyFont="1" applyFill="1" applyBorder="1" applyAlignment="1">
      <alignment horizontal="center" shrinkToFit="1"/>
    </xf>
    <xf numFmtId="1" fontId="18" fillId="3" borderId="8" xfId="0" applyNumberFormat="1" applyFont="1" applyFill="1" applyBorder="1" applyAlignment="1">
      <alignment horizontal="center" shrinkToFit="1"/>
    </xf>
    <xf numFmtId="167" fontId="17" fillId="0" borderId="1" xfId="4" applyNumberFormat="1" applyFont="1" applyBorder="1" applyAlignment="1">
      <alignment horizontal="center" vertical="center"/>
    </xf>
    <xf numFmtId="43" fontId="11" fillId="0" borderId="1" xfId="0" applyNumberFormat="1" applyFont="1" applyBorder="1" applyAlignment="1">
      <alignment horizontal="center" vertical="center" shrinkToFit="1"/>
    </xf>
    <xf numFmtId="2" fontId="19" fillId="11" borderId="1" xfId="0" applyNumberFormat="1" applyFont="1" applyFill="1" applyBorder="1" applyAlignment="1">
      <alignment horizontal="center" vertical="center"/>
    </xf>
    <xf numFmtId="2" fontId="19" fillId="11" borderId="5" xfId="0" applyNumberFormat="1" applyFont="1" applyFill="1" applyBorder="1" applyAlignment="1">
      <alignment horizontal="center" vertical="center"/>
    </xf>
    <xf numFmtId="2" fontId="19" fillId="11" borderId="5" xfId="0" applyNumberFormat="1" applyFont="1" applyFill="1" applyBorder="1" applyAlignment="1">
      <alignment horizontal="center"/>
    </xf>
    <xf numFmtId="170" fontId="20" fillId="3" borderId="6" xfId="2" applyNumberFormat="1" applyFont="1" applyFill="1" applyBorder="1" applyAlignment="1">
      <alignment horizontal="center" shrinkToFi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5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pane xSplit="1" ySplit="1" topLeftCell="B13" activePane="bottomRight" state="frozen"/>
      <selection pane="bottomRight" activeCell="J34" sqref="J34"/>
      <selection pane="bottomLeft" activeCell="A2" sqref="A2"/>
      <selection pane="topRight" activeCell="B1" sqref="B1"/>
    </sheetView>
  </sheetViews>
  <sheetFormatPr defaultColWidth="8.85546875" defaultRowHeight="15"/>
  <cols>
    <col min="1" max="1" width="12.7109375" bestFit="1" customWidth="1"/>
    <col min="2" max="2" width="4.28515625" bestFit="1" customWidth="1"/>
    <col min="3" max="3" width="7" bestFit="1" customWidth="1"/>
    <col min="4" max="4" width="5.42578125" bestFit="1" customWidth="1"/>
    <col min="5" max="5" width="10.7109375" customWidth="1"/>
    <col min="6" max="6" width="12.140625" customWidth="1"/>
    <col min="7" max="7" width="8.42578125" bestFit="1" customWidth="1"/>
    <col min="8" max="8" width="11.42578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9</v>
      </c>
      <c r="D2" s="7">
        <v>2022</v>
      </c>
      <c r="E2" s="9">
        <f>Electricity!F8+Electricity!I8</f>
        <v>9839.9999999998035</v>
      </c>
      <c r="F2" s="10">
        <f>Electricity!L8/TOTAL!E2</f>
        <v>1233.9708333333347</v>
      </c>
      <c r="G2" s="9">
        <f>Gas!F9+Gas!I9+Gas!L9+Gas!O9</f>
        <v>128.05012000000352</v>
      </c>
      <c r="H2" s="10">
        <f>Gas!Q9/TOTAL!G2</f>
        <v>15840</v>
      </c>
      <c r="I2" s="9">
        <f>'Fuel Diesel'!F9</f>
        <v>0</v>
      </c>
      <c r="J2" s="11">
        <v>24300</v>
      </c>
      <c r="K2" s="9">
        <f>Water!E9+Water!G9+Water!I9</f>
        <v>191</v>
      </c>
      <c r="L2" s="10">
        <f>Water!K9/TOTAL!K2</f>
        <v>4000</v>
      </c>
      <c r="M2" s="9">
        <f>Electricity!C8</f>
        <v>25</v>
      </c>
      <c r="N2" s="9">
        <f>Electricity!D8</f>
        <v>128</v>
      </c>
    </row>
    <row r="3" spans="1:14">
      <c r="A3" s="6" t="s">
        <v>14</v>
      </c>
      <c r="B3" s="7">
        <f>B2+1</f>
        <v>2</v>
      </c>
      <c r="C3" s="8">
        <v>9</v>
      </c>
      <c r="D3" s="7">
        <v>2022</v>
      </c>
      <c r="E3" s="9">
        <f>Electricity!F9+Electricity!I9</f>
        <v>9900.0000000003183</v>
      </c>
      <c r="F3" s="10">
        <f>Electricity!L9/TOTAL!E3</f>
        <v>1240.2988888888851</v>
      </c>
      <c r="G3" s="9">
        <f>Gas!F10+Gas!I10+Gas!L10+Gas!O10</f>
        <v>157.46703999999659</v>
      </c>
      <c r="H3" s="10">
        <f>Gas!Q10/TOTAL!G3</f>
        <v>15839.999999999998</v>
      </c>
      <c r="I3" s="9">
        <f>'Fuel Diesel'!F10</f>
        <v>0</v>
      </c>
      <c r="J3" s="11">
        <v>24300</v>
      </c>
      <c r="K3" s="9">
        <f>Water!E10+Water!G10+Water!I10</f>
        <v>172</v>
      </c>
      <c r="L3" s="10">
        <f>Water!K10/TOTAL!K3</f>
        <v>4000</v>
      </c>
      <c r="M3" s="9">
        <f>Electricity!C9</f>
        <v>32</v>
      </c>
      <c r="N3" s="9">
        <f>Electricity!D9</f>
        <v>139</v>
      </c>
    </row>
    <row r="4" spans="1:14">
      <c r="A4" s="6" t="s">
        <v>14</v>
      </c>
      <c r="B4" s="7">
        <f t="shared" ref="B4:B30" si="0">B3+1</f>
        <v>3</v>
      </c>
      <c r="C4" s="8">
        <v>9</v>
      </c>
      <c r="D4" s="7">
        <v>2022</v>
      </c>
      <c r="E4" s="9">
        <f>Electricity!F10+Electricity!I10</f>
        <v>9919.9999999998454</v>
      </c>
      <c r="F4" s="10">
        <f>Electricity!L10/TOTAL!E4</f>
        <v>1240.0947580645175</v>
      </c>
      <c r="G4" s="9">
        <f>Gas!F11+Gas!I11+Gas!L11+Gas!O11</f>
        <v>107.99067999999977</v>
      </c>
      <c r="H4" s="10">
        <f>Gas!Q11/TOTAL!G4</f>
        <v>15840</v>
      </c>
      <c r="I4" s="9">
        <f>'Fuel Diesel'!F11</f>
        <v>0</v>
      </c>
      <c r="J4" s="11">
        <v>24300</v>
      </c>
      <c r="K4" s="9">
        <f>Water!E11+Water!G11+Water!I11</f>
        <v>185</v>
      </c>
      <c r="L4" s="10">
        <f>Water!K11/TOTAL!K4</f>
        <v>4000</v>
      </c>
      <c r="M4" s="9">
        <f>Electricity!C10</f>
        <v>37</v>
      </c>
      <c r="N4" s="9">
        <f>Electricity!D10</f>
        <v>154</v>
      </c>
    </row>
    <row r="5" spans="1:14">
      <c r="A5" s="6" t="s">
        <v>14</v>
      </c>
      <c r="B5" s="7">
        <f t="shared" si="0"/>
        <v>4</v>
      </c>
      <c r="C5" s="8">
        <v>9</v>
      </c>
      <c r="D5" s="7">
        <v>2022</v>
      </c>
      <c r="E5" s="9">
        <f>Electricity!F11+Electricity!I11</f>
        <v>10020.000000000209</v>
      </c>
      <c r="F5" s="10">
        <f>Electricity!L11/TOTAL!E5</f>
        <v>1236.8127744510975</v>
      </c>
      <c r="G5" s="9">
        <f>Gas!F12+Gas!I12+Gas!L12+Gas!O12</f>
        <v>154.24464000000501</v>
      </c>
      <c r="H5" s="10">
        <f>Gas!Q12/TOTAL!G5</f>
        <v>15839.999999999998</v>
      </c>
      <c r="I5" s="9">
        <f>'Fuel Diesel'!F12</f>
        <v>0</v>
      </c>
      <c r="J5" s="11">
        <v>24300</v>
      </c>
      <c r="K5" s="9">
        <f>Water!E12+Water!G12+Water!I12</f>
        <v>179</v>
      </c>
      <c r="L5" s="10">
        <f>Water!K12/TOTAL!K5</f>
        <v>4000</v>
      </c>
      <c r="M5" s="9">
        <f>Electricity!C11</f>
        <v>40</v>
      </c>
      <c r="N5" s="9">
        <f>Electricity!D11</f>
        <v>190</v>
      </c>
    </row>
    <row r="6" spans="1:14">
      <c r="A6" s="6" t="s">
        <v>14</v>
      </c>
      <c r="B6" s="7">
        <f t="shared" si="0"/>
        <v>5</v>
      </c>
      <c r="C6" s="8">
        <v>9</v>
      </c>
      <c r="D6" s="7">
        <v>2022</v>
      </c>
      <c r="E6" s="9">
        <f>Electricity!F12+Electricity!I12</f>
        <v>10459.999999999694</v>
      </c>
      <c r="F6" s="10">
        <f>Electricity!L12/TOTAL!E6</f>
        <v>1232.700382409176</v>
      </c>
      <c r="G6" s="9">
        <f>Gas!F13+Gas!I13+Gas!L13+Gas!O13</f>
        <v>125.27079999999688</v>
      </c>
      <c r="H6" s="10">
        <f>Gas!Q13/TOTAL!G6</f>
        <v>15840</v>
      </c>
      <c r="I6" s="9">
        <f>'Fuel Diesel'!F13</f>
        <v>6</v>
      </c>
      <c r="J6" s="11">
        <v>24300</v>
      </c>
      <c r="K6" s="9">
        <f>Water!E13+Water!G13+Water!I13</f>
        <v>198</v>
      </c>
      <c r="L6" s="10">
        <f>Water!K13/TOTAL!K6</f>
        <v>4000</v>
      </c>
      <c r="M6" s="9">
        <f>Electricity!C12</f>
        <v>36</v>
      </c>
      <c r="N6" s="9">
        <f>Electricity!D12</f>
        <v>154</v>
      </c>
    </row>
    <row r="7" spans="1:14">
      <c r="A7" s="6" t="s">
        <v>14</v>
      </c>
      <c r="B7" s="7">
        <f t="shared" si="0"/>
        <v>6</v>
      </c>
      <c r="C7" s="8">
        <v>9</v>
      </c>
      <c r="D7" s="7">
        <v>2022</v>
      </c>
      <c r="E7" s="9">
        <f>Electricity!F13+Electricity!I13</f>
        <v>10000.000000000682</v>
      </c>
      <c r="F7" s="10">
        <f>Electricity!L13/TOTAL!E7</f>
        <v>1234.7301999999972</v>
      </c>
      <c r="G7" s="9">
        <f>Gas!F14+Gas!I14+Gas!L14+Gas!O14</f>
        <v>120.03440000000347</v>
      </c>
      <c r="H7" s="10">
        <f>Gas!Q14/TOTAL!G7</f>
        <v>15840.000000000002</v>
      </c>
      <c r="I7" s="9">
        <f>'Fuel Diesel'!F14</f>
        <v>0</v>
      </c>
      <c r="J7" s="11">
        <v>24300</v>
      </c>
      <c r="K7" s="9">
        <f>Water!E14+Water!G14+Water!I14</f>
        <v>199</v>
      </c>
      <c r="L7" s="10">
        <f>Water!K14/TOTAL!K7</f>
        <v>4000</v>
      </c>
      <c r="M7" s="9">
        <f>Electricity!C13</f>
        <v>32</v>
      </c>
      <c r="N7" s="9">
        <f>Electricity!D13</f>
        <v>156</v>
      </c>
    </row>
    <row r="8" spans="1:14">
      <c r="A8" s="6" t="s">
        <v>14</v>
      </c>
      <c r="B8" s="7">
        <f t="shared" si="0"/>
        <v>7</v>
      </c>
      <c r="C8" s="8">
        <v>9</v>
      </c>
      <c r="D8" s="7">
        <v>2022</v>
      </c>
      <c r="E8" s="9">
        <f>Electricity!F14+Electricity!I14</f>
        <v>10299.9999999995</v>
      </c>
      <c r="F8" s="10">
        <f>Electricity!L14/TOTAL!E8</f>
        <v>1239.6845145631082</v>
      </c>
      <c r="G8" s="9">
        <f>Gas!F15+Gas!I15+Gas!L15+Gas!O15</f>
        <v>113.26735999999313</v>
      </c>
      <c r="H8" s="10">
        <f>Gas!Q15/TOTAL!G8</f>
        <v>15840</v>
      </c>
      <c r="I8" s="9">
        <f>'Fuel Diesel'!F15</f>
        <v>0</v>
      </c>
      <c r="J8" s="11">
        <v>24300</v>
      </c>
      <c r="K8" s="9">
        <f>Water!E15+Water!G15+Water!I15</f>
        <v>165</v>
      </c>
      <c r="L8" s="10">
        <f>Water!K15/TOTAL!K8</f>
        <v>4000</v>
      </c>
      <c r="M8" s="9">
        <f>Electricity!C14</f>
        <v>49</v>
      </c>
      <c r="N8" s="9">
        <f>Electricity!D14</f>
        <v>119</v>
      </c>
    </row>
    <row r="9" spans="1:14">
      <c r="A9" s="6" t="s">
        <v>14</v>
      </c>
      <c r="B9" s="7">
        <f t="shared" si="0"/>
        <v>8</v>
      </c>
      <c r="C9" s="8">
        <v>9</v>
      </c>
      <c r="D9" s="7">
        <v>2022</v>
      </c>
      <c r="E9" s="9">
        <f>Electricity!F15+Electricity!I15</f>
        <v>10580.000000000269</v>
      </c>
      <c r="F9" s="10">
        <f>Electricity!L15/TOTAL!E9</f>
        <v>1234.8680056710798</v>
      </c>
      <c r="G9" s="9">
        <f>Gas!F16+Gas!I16+Gas!L16+Gas!O16</f>
        <v>102.71400000000182</v>
      </c>
      <c r="H9" s="10">
        <f>Gas!Q16/TOTAL!G9</f>
        <v>15839.999999999998</v>
      </c>
      <c r="I9" s="9">
        <f>'Fuel Diesel'!F16</f>
        <v>0</v>
      </c>
      <c r="J9" s="11">
        <v>24300</v>
      </c>
      <c r="K9" s="9">
        <f>Water!E16+Water!G16+Water!I16</f>
        <v>194</v>
      </c>
      <c r="L9" s="10">
        <f>Water!K16/TOTAL!K9</f>
        <v>4000</v>
      </c>
      <c r="M9" s="9">
        <f>Electricity!C15</f>
        <v>47</v>
      </c>
      <c r="N9" s="9">
        <f>Electricity!D15</f>
        <v>201</v>
      </c>
    </row>
    <row r="10" spans="1:14">
      <c r="A10" s="6" t="s">
        <v>14</v>
      </c>
      <c r="B10" s="7">
        <f t="shared" si="0"/>
        <v>9</v>
      </c>
      <c r="C10" s="8">
        <v>9</v>
      </c>
      <c r="D10" s="7">
        <v>2022</v>
      </c>
      <c r="E10" s="9">
        <f>Electricity!F16+Electricity!I16</f>
        <v>10360.00000000024</v>
      </c>
      <c r="F10" s="10">
        <f>Electricity!L16/TOTAL!E10</f>
        <v>1231.4054054054009</v>
      </c>
      <c r="G10" s="9">
        <f>Gas!F17+Gas!I17+Gas!L17+Gas!O17</f>
        <v>160.76999999999907</v>
      </c>
      <c r="H10" s="10">
        <f>Gas!Q17/TOTAL!G10</f>
        <v>15839.999999999998</v>
      </c>
      <c r="I10" s="9">
        <f>'Fuel Diesel'!F17</f>
        <v>0</v>
      </c>
      <c r="J10" s="11">
        <v>24300</v>
      </c>
      <c r="K10" s="9">
        <f>Water!E17+Water!G17+Water!I17</f>
        <v>178</v>
      </c>
      <c r="L10" s="10">
        <f>Water!K17/TOTAL!K10</f>
        <v>4000</v>
      </c>
      <c r="M10" s="9">
        <f>Electricity!C16</f>
        <v>32</v>
      </c>
      <c r="N10" s="9">
        <f>Electricity!D16</f>
        <v>178</v>
      </c>
    </row>
    <row r="11" spans="1:14">
      <c r="A11" s="6" t="s">
        <v>14</v>
      </c>
      <c r="B11" s="7">
        <f t="shared" si="0"/>
        <v>10</v>
      </c>
      <c r="C11" s="8">
        <v>9</v>
      </c>
      <c r="D11" s="7">
        <v>2022</v>
      </c>
      <c r="E11" s="9">
        <f>Electricity!F17+Electricity!I17</f>
        <v>10039.999999999736</v>
      </c>
      <c r="F11" s="10">
        <f>Electricity!L17/TOTAL!E11</f>
        <v>1234.3490039840701</v>
      </c>
      <c r="G11" s="9">
        <f>Gas!F18+Gas!I18+Gas!L18+Gas!O18</f>
        <v>116.77172000000094</v>
      </c>
      <c r="H11" s="10">
        <f>Gas!Q18/TOTAL!G11</f>
        <v>15840.000000000002</v>
      </c>
      <c r="I11" s="9">
        <f>'Fuel Diesel'!F18</f>
        <v>0</v>
      </c>
      <c r="J11" s="11">
        <v>24300</v>
      </c>
      <c r="K11" s="9">
        <f>Water!E18+Water!G18+Water!I18</f>
        <v>181</v>
      </c>
      <c r="L11" s="10">
        <f>Water!K18/TOTAL!K11</f>
        <v>4000</v>
      </c>
      <c r="M11" s="9">
        <f>Electricity!C17</f>
        <v>35</v>
      </c>
      <c r="N11" s="9">
        <f>Electricity!D17</f>
        <v>148</v>
      </c>
    </row>
    <row r="12" spans="1:14">
      <c r="A12" s="6" t="s">
        <v>14</v>
      </c>
      <c r="B12" s="7">
        <f t="shared" si="0"/>
        <v>11</v>
      </c>
      <c r="C12" s="8">
        <v>9</v>
      </c>
      <c r="D12" s="7">
        <v>2022</v>
      </c>
      <c r="E12" s="9">
        <f>Electricity!F18+Electricity!I18</f>
        <v>9819.9999999998217</v>
      </c>
      <c r="F12" s="10">
        <f>Electricity!L18/TOTAL!E12</f>
        <v>1235.3240835030551</v>
      </c>
      <c r="G12" s="9">
        <f>Gas!F19+Gas!I19+Gas!L19+Gas!O19</f>
        <v>106.82255999999899</v>
      </c>
      <c r="H12" s="10">
        <f>Gas!Q19/TOTAL!G12</f>
        <v>15840</v>
      </c>
      <c r="I12" s="9">
        <f>'Fuel Diesel'!F19</f>
        <v>0</v>
      </c>
      <c r="J12" s="11">
        <v>24300</v>
      </c>
      <c r="K12" s="9">
        <f>Water!E19+Water!G19+Water!I19</f>
        <v>158</v>
      </c>
      <c r="L12" s="10">
        <f>Water!K19/TOTAL!K12</f>
        <v>4000</v>
      </c>
      <c r="M12" s="9">
        <f>Electricity!C18</f>
        <v>37</v>
      </c>
      <c r="N12" s="9">
        <f>Electricity!D18</f>
        <v>161</v>
      </c>
    </row>
    <row r="13" spans="1:14">
      <c r="A13" s="6" t="s">
        <v>14</v>
      </c>
      <c r="B13" s="7">
        <f t="shared" si="0"/>
        <v>12</v>
      </c>
      <c r="C13" s="8">
        <v>9</v>
      </c>
      <c r="D13" s="7">
        <v>2022</v>
      </c>
      <c r="E13" s="9">
        <f>Electricity!F19+Electricity!I19</f>
        <v>10360.000000000355</v>
      </c>
      <c r="F13" s="10">
        <f>Electricity!L19/TOTAL!E13</f>
        <v>1233.6043436293421</v>
      </c>
      <c r="G13" s="9">
        <f>Gas!F20+Gas!I20+Gas!L20+Gas!O20</f>
        <v>160.7700000000018</v>
      </c>
      <c r="H13" s="10">
        <f>Gas!Q20/TOTAL!G13</f>
        <v>15840.000000000002</v>
      </c>
      <c r="I13" s="9">
        <f>'Fuel Diesel'!F20</f>
        <v>0</v>
      </c>
      <c r="J13" s="11">
        <v>24300</v>
      </c>
      <c r="K13" s="9">
        <f>Water!E20+Water!G20+Water!I20</f>
        <v>197</v>
      </c>
      <c r="L13" s="10">
        <f>Water!K20/TOTAL!K13</f>
        <v>4000</v>
      </c>
      <c r="M13" s="9">
        <f>Electricity!C19</f>
        <v>30</v>
      </c>
      <c r="N13" s="9">
        <f>Electricity!D19</f>
        <v>158</v>
      </c>
    </row>
    <row r="14" spans="1:14">
      <c r="A14" s="6" t="s">
        <v>14</v>
      </c>
      <c r="B14" s="7">
        <f t="shared" si="0"/>
        <v>13</v>
      </c>
      <c r="C14" s="8">
        <v>9</v>
      </c>
      <c r="D14" s="7">
        <v>2022</v>
      </c>
      <c r="E14" s="9">
        <f>Electricity!F20+Electricity!I20</f>
        <v>10399.999999999409</v>
      </c>
      <c r="F14" s="10">
        <f>Electricity!L20/TOTAL!E14</f>
        <v>1235.4311538461586</v>
      </c>
      <c r="G14" s="9">
        <f>Gas!F21+Gas!I21+Gas!L21+Gas!O21</f>
        <v>109.44075999999754</v>
      </c>
      <c r="H14" s="10">
        <f>Gas!Q21/TOTAL!G14</f>
        <v>15840</v>
      </c>
      <c r="I14" s="9">
        <f>'Fuel Diesel'!F21</f>
        <v>0</v>
      </c>
      <c r="J14" s="11">
        <v>24300</v>
      </c>
      <c r="K14" s="9">
        <f>Water!E21+Water!G21+Water!I21</f>
        <v>143</v>
      </c>
      <c r="L14" s="10">
        <f>Water!K21/TOTAL!K14</f>
        <v>4000</v>
      </c>
      <c r="M14" s="9">
        <f>Electricity!C20</f>
        <v>35</v>
      </c>
      <c r="N14" s="9">
        <f>Electricity!D20</f>
        <v>159</v>
      </c>
    </row>
    <row r="15" spans="1:14">
      <c r="A15" s="6" t="s">
        <v>14</v>
      </c>
      <c r="B15" s="7">
        <f t="shared" si="0"/>
        <v>14</v>
      </c>
      <c r="C15" s="8">
        <v>9</v>
      </c>
      <c r="D15" s="7">
        <v>2022</v>
      </c>
      <c r="E15" s="9">
        <f>Electricity!F21+Electricity!I21</f>
        <v>10100.000000000591</v>
      </c>
      <c r="F15" s="10">
        <f>Electricity!L21/TOTAL!E15</f>
        <v>1239.4217326732601</v>
      </c>
      <c r="G15" s="9">
        <f>Gas!F22+Gas!I22+Gas!L22+Gas!O22</f>
        <v>117.65788000000104</v>
      </c>
      <c r="H15" s="10">
        <f>Gas!Q22/TOTAL!G15</f>
        <v>15840</v>
      </c>
      <c r="I15" s="9">
        <f>'Fuel Diesel'!F22</f>
        <v>0</v>
      </c>
      <c r="J15" s="11">
        <v>24300</v>
      </c>
      <c r="K15" s="9">
        <f>Water!E22+Water!G22+Water!I22</f>
        <v>170</v>
      </c>
      <c r="L15" s="10">
        <f>Water!K22/TOTAL!K15</f>
        <v>4000</v>
      </c>
      <c r="M15" s="9">
        <f>Electricity!C21</f>
        <v>37</v>
      </c>
      <c r="N15" s="9">
        <f>Electricity!D21</f>
        <v>185</v>
      </c>
    </row>
    <row r="16" spans="1:14">
      <c r="A16" s="6" t="s">
        <v>14</v>
      </c>
      <c r="B16" s="7">
        <f t="shared" si="0"/>
        <v>15</v>
      </c>
      <c r="C16" s="8">
        <v>9</v>
      </c>
      <c r="D16" s="7">
        <v>2022</v>
      </c>
      <c r="E16" s="9">
        <f>Electricity!F22+Electricity!I22</f>
        <v>10399.999999999864</v>
      </c>
      <c r="F16" s="10">
        <f>Electricity!L22/TOTAL!E16</f>
        <v>1236.526394230769</v>
      </c>
      <c r="G16" s="9">
        <f>Gas!F23+Gas!I23+Gas!L23+Gas!O23</f>
        <v>126.60004000000482</v>
      </c>
      <c r="H16" s="10">
        <f>Gas!Q23/TOTAL!G16</f>
        <v>15839.999999999998</v>
      </c>
      <c r="I16" s="9">
        <f>'Fuel Diesel'!F23</f>
        <v>0</v>
      </c>
      <c r="J16" s="11">
        <v>24300</v>
      </c>
      <c r="K16" s="9">
        <f>Water!E23+Water!G23+Water!I23</f>
        <v>179</v>
      </c>
      <c r="L16" s="10">
        <f>Water!K23/TOTAL!K16</f>
        <v>4000</v>
      </c>
      <c r="M16" s="9">
        <f>Electricity!C22</f>
        <v>37</v>
      </c>
      <c r="N16" s="9">
        <f>Electricity!D22</f>
        <v>188</v>
      </c>
    </row>
    <row r="17" spans="1:14">
      <c r="A17" s="6" t="s">
        <v>14</v>
      </c>
      <c r="B17" s="7">
        <f t="shared" si="0"/>
        <v>16</v>
      </c>
      <c r="C17" s="8">
        <v>9</v>
      </c>
      <c r="D17" s="7">
        <v>2022</v>
      </c>
      <c r="E17" s="9">
        <f>Electricity!F23+Electricity!I23</f>
        <v>10259.999999999991</v>
      </c>
      <c r="F17" s="10">
        <f>Electricity!L23/TOTAL!E17</f>
        <v>1234.5259259259278</v>
      </c>
      <c r="G17" s="9">
        <f>Gas!F24+Gas!I24+Gas!L24+Gas!O24</f>
        <v>114.11323999999512</v>
      </c>
      <c r="H17" s="10">
        <f>Gas!Q24/TOTAL!G17</f>
        <v>15839.999999999998</v>
      </c>
      <c r="I17" s="9">
        <f>'Fuel Diesel'!F24</f>
        <v>0</v>
      </c>
      <c r="J17" s="11">
        <v>24300</v>
      </c>
      <c r="K17" s="9">
        <f>Water!E24+Water!G24+Water!I24</f>
        <v>185</v>
      </c>
      <c r="L17" s="10">
        <f>Water!K24/TOTAL!K17</f>
        <v>4000</v>
      </c>
      <c r="M17" s="9">
        <f>Electricity!C23</f>
        <v>39</v>
      </c>
      <c r="N17" s="9">
        <f>Electricity!D23</f>
        <v>195</v>
      </c>
    </row>
    <row r="18" spans="1:14">
      <c r="A18" s="6" t="s">
        <v>14</v>
      </c>
      <c r="B18" s="7">
        <f t="shared" si="0"/>
        <v>17</v>
      </c>
      <c r="C18" s="8">
        <v>9</v>
      </c>
      <c r="D18" s="7">
        <v>2022</v>
      </c>
      <c r="E18" s="9">
        <f>Electricity!F24+Electricity!I24</f>
        <v>9679.9999999994943</v>
      </c>
      <c r="F18" s="10">
        <f>Electricity!L24/TOTAL!E18</f>
        <v>1236.7164772727308</v>
      </c>
      <c r="G18" s="9">
        <f>Gas!F25+Gas!I25+Gas!L25+Gas!O25</f>
        <v>100.25692000000132</v>
      </c>
      <c r="H18" s="10">
        <f>Gas!Q25/TOTAL!G18</f>
        <v>15839.999999999998</v>
      </c>
      <c r="I18" s="9">
        <f>'Fuel Diesel'!F25</f>
        <v>0</v>
      </c>
      <c r="J18" s="11">
        <v>24300</v>
      </c>
      <c r="K18" s="9">
        <f>Water!E25+Water!G25+Water!I25</f>
        <v>239</v>
      </c>
      <c r="L18" s="10">
        <f>Water!K25/TOTAL!K18</f>
        <v>6084.7866108786611</v>
      </c>
      <c r="M18" s="9">
        <f>Electricity!C24</f>
        <v>34</v>
      </c>
      <c r="N18" s="9">
        <f>Electricity!D24</f>
        <v>147</v>
      </c>
    </row>
    <row r="19" spans="1:14">
      <c r="A19" s="6" t="s">
        <v>14</v>
      </c>
      <c r="B19" s="7">
        <f t="shared" si="0"/>
        <v>18</v>
      </c>
      <c r="C19" s="8">
        <v>9</v>
      </c>
      <c r="D19" s="7">
        <v>2022</v>
      </c>
      <c r="E19" s="9">
        <f>Electricity!F25+Electricity!I25</f>
        <v>9960.0000000001492</v>
      </c>
      <c r="F19" s="10">
        <f>Electricity!L25/TOTAL!E19</f>
        <v>1231.6835843373485</v>
      </c>
      <c r="G19" s="9">
        <f>Gas!F26+Gas!I26+Gas!L26+Gas!O26</f>
        <v>104.44603999999842</v>
      </c>
      <c r="H19" s="10">
        <f>Gas!Q26/TOTAL!G19</f>
        <v>15839.999999999998</v>
      </c>
      <c r="I19" s="9">
        <f>'Fuel Diesel'!F26</f>
        <v>0</v>
      </c>
      <c r="J19" s="11">
        <v>24300</v>
      </c>
      <c r="K19" s="9">
        <f>Water!E26+Water!G26+Water!I26</f>
        <v>184</v>
      </c>
      <c r="L19" s="10">
        <f>Water!K26/TOTAL!K19</f>
        <v>4000</v>
      </c>
      <c r="M19" s="9">
        <f>Electricity!C25</f>
        <v>30</v>
      </c>
      <c r="N19" s="9">
        <f>Electricity!D25</f>
        <v>171</v>
      </c>
    </row>
    <row r="20" spans="1:14">
      <c r="A20" s="6" t="s">
        <v>14</v>
      </c>
      <c r="B20" s="7">
        <f t="shared" si="0"/>
        <v>19</v>
      </c>
      <c r="C20" s="8">
        <v>9</v>
      </c>
      <c r="D20" s="7">
        <v>2022</v>
      </c>
      <c r="E20" s="9">
        <f>Electricity!F26+Electricity!I26</f>
        <v>9440.0000000006221</v>
      </c>
      <c r="F20" s="10">
        <f>Electricity!L26/TOTAL!E20</f>
        <v>1234.3730402542337</v>
      </c>
      <c r="G20" s="9">
        <f>Gas!F27+Gas!I27+Gas!L27+Gas!O27</f>
        <v>108.95740000000529</v>
      </c>
      <c r="H20" s="10">
        <f>Gas!Q27/TOTAL!G20</f>
        <v>15840</v>
      </c>
      <c r="I20" s="9">
        <f>'Fuel Diesel'!F27</f>
        <v>0</v>
      </c>
      <c r="J20" s="11">
        <v>24300</v>
      </c>
      <c r="K20" s="9">
        <f>Water!E27+Water!G27+Water!I27</f>
        <v>190</v>
      </c>
      <c r="L20" s="10">
        <f>Water!K27/TOTAL!K20</f>
        <v>4000</v>
      </c>
      <c r="M20" s="9">
        <f>Electricity!C26</f>
        <v>17</v>
      </c>
      <c r="N20" s="9">
        <f>Electricity!D26</f>
        <v>136</v>
      </c>
    </row>
    <row r="21" spans="1:14">
      <c r="A21" s="6" t="s">
        <v>14</v>
      </c>
      <c r="B21" s="7">
        <f t="shared" si="0"/>
        <v>20</v>
      </c>
      <c r="C21" s="8">
        <v>9</v>
      </c>
      <c r="D21" s="7">
        <v>2022</v>
      </c>
      <c r="E21" s="9">
        <f>Electricity!F27+Electricity!I27</f>
        <v>9719.9999999994579</v>
      </c>
      <c r="F21" s="10">
        <f>Electricity!L27/TOTAL!E21</f>
        <v>1233.9708333333392</v>
      </c>
      <c r="G21" s="9">
        <f>Gas!F28+Gas!I28+Gas!L28+Gas!O28</f>
        <v>113.42847999999574</v>
      </c>
      <c r="H21" s="10">
        <f>Gas!Q28/TOTAL!G21</f>
        <v>15840</v>
      </c>
      <c r="I21" s="9">
        <f>'Fuel Diesel'!F28</f>
        <v>0</v>
      </c>
      <c r="J21" s="11">
        <v>24300</v>
      </c>
      <c r="K21" s="9">
        <f>Water!E28+Water!G28+Water!I28</f>
        <v>168</v>
      </c>
      <c r="L21" s="10">
        <f>Water!K28/TOTAL!K21</f>
        <v>4000</v>
      </c>
      <c r="M21" s="9">
        <f>Electricity!C27</f>
        <v>23</v>
      </c>
      <c r="N21" s="9">
        <f>Electricity!D27</f>
        <v>98</v>
      </c>
    </row>
    <row r="22" spans="1:14">
      <c r="A22" s="6" t="s">
        <v>14</v>
      </c>
      <c r="B22" s="7">
        <f t="shared" si="0"/>
        <v>21</v>
      </c>
      <c r="C22" s="8">
        <v>9</v>
      </c>
      <c r="D22" s="7">
        <v>2022</v>
      </c>
      <c r="E22" s="9">
        <f>Electricity!F28+Electricity!I28</f>
        <v>9779.9999999998581</v>
      </c>
      <c r="F22" s="10">
        <f>Electricity!L28/TOTAL!E22</f>
        <v>1235.717842535787</v>
      </c>
      <c r="G22" s="9">
        <f>Gas!F29+Gas!I29+Gas!L29+Gas!O29</f>
        <v>106.54059999999834</v>
      </c>
      <c r="H22" s="10">
        <f>Gas!Q29/TOTAL!G22</f>
        <v>15840.000000000002</v>
      </c>
      <c r="I22" s="9">
        <f>'Fuel Diesel'!F29</f>
        <v>1</v>
      </c>
      <c r="J22" s="11">
        <v>24300</v>
      </c>
      <c r="K22" s="9">
        <f>Water!E29+Water!G29+Water!I29</f>
        <v>162</v>
      </c>
      <c r="L22" s="10">
        <f>Water!K29/TOTAL!K22</f>
        <v>4000</v>
      </c>
      <c r="M22" s="9">
        <f>Electricity!C28</f>
        <v>34</v>
      </c>
      <c r="N22" s="9">
        <f>Electricity!D28</f>
        <v>159</v>
      </c>
    </row>
    <row r="23" spans="1:14">
      <c r="A23" s="6" t="s">
        <v>14</v>
      </c>
      <c r="B23" s="7">
        <f t="shared" si="0"/>
        <v>22</v>
      </c>
      <c r="C23" s="8">
        <v>9</v>
      </c>
      <c r="D23" s="7">
        <v>2022</v>
      </c>
      <c r="E23" s="9">
        <f>Electricity!F29+Electricity!I29</f>
        <v>9919.9999999998454</v>
      </c>
      <c r="F23" s="10">
        <f>Electricity!L29/TOTAL!E23</f>
        <v>1235.5018145161343</v>
      </c>
      <c r="G23" s="9">
        <f>Gas!F30+Gas!I30+Gas!L30+Gas!O30</f>
        <v>105.13080000000144</v>
      </c>
      <c r="H23" s="10">
        <f>Gas!Q30/TOTAL!G23</f>
        <v>15840</v>
      </c>
      <c r="I23" s="9">
        <f>'Fuel Diesel'!F30</f>
        <v>0</v>
      </c>
      <c r="J23" s="11">
        <v>24300</v>
      </c>
      <c r="K23" s="9">
        <f>Water!E30+Water!G30+Water!I30</f>
        <v>177</v>
      </c>
      <c r="L23" s="10">
        <f>Water!K30/TOTAL!K23</f>
        <v>4000</v>
      </c>
      <c r="M23" s="9">
        <f>Electricity!C29</f>
        <v>41</v>
      </c>
      <c r="N23" s="9">
        <f>Electricity!D29</f>
        <v>181</v>
      </c>
    </row>
    <row r="24" spans="1:14">
      <c r="A24" s="6" t="s">
        <v>14</v>
      </c>
      <c r="B24" s="7">
        <f t="shared" si="0"/>
        <v>23</v>
      </c>
      <c r="C24" s="8">
        <v>9</v>
      </c>
      <c r="D24" s="7">
        <v>2022</v>
      </c>
      <c r="E24" s="9">
        <f>Electricity!F30+Electricity!I30</f>
        <v>10120.000000000573</v>
      </c>
      <c r="F24" s="10">
        <f>Electricity!L30/TOTAL!E24</f>
        <v>1240.34891304347</v>
      </c>
      <c r="G24" s="9">
        <f>Gas!F31+Gas!I31+Gas!L31+Gas!O31</f>
        <v>107.91011999999985</v>
      </c>
      <c r="H24" s="10">
        <f>Gas!Q31/TOTAL!G24</f>
        <v>15839.999999999998</v>
      </c>
      <c r="I24" s="9">
        <f>'Fuel Diesel'!F31</f>
        <v>0</v>
      </c>
      <c r="J24" s="11">
        <v>24300</v>
      </c>
      <c r="K24" s="9">
        <f>Water!E31+Water!G31+Water!I31</f>
        <v>177</v>
      </c>
      <c r="L24" s="10">
        <f>Water!K31/TOTAL!K24</f>
        <v>4000</v>
      </c>
      <c r="M24" s="9">
        <f>Electricity!C30</f>
        <v>39</v>
      </c>
      <c r="N24" s="9">
        <f>Electricity!D30</f>
        <v>186</v>
      </c>
    </row>
    <row r="25" spans="1:14">
      <c r="A25" s="6" t="s">
        <v>14</v>
      </c>
      <c r="B25" s="7">
        <f t="shared" si="0"/>
        <v>24</v>
      </c>
      <c r="C25" s="8">
        <v>9</v>
      </c>
      <c r="D25" s="7">
        <v>2022</v>
      </c>
      <c r="E25" s="9">
        <f>Electricity!F31+Electricity!I31</f>
        <v>10379.999999999427</v>
      </c>
      <c r="F25" s="10">
        <f>Electricity!L31/TOTAL!E25</f>
        <v>1238.9089113680177</v>
      </c>
      <c r="G25" s="9">
        <f>Gas!F32+Gas!I32+Gas!L32+Gas!O32</f>
        <v>106.62115999999918</v>
      </c>
      <c r="H25" s="10">
        <f>Gas!Q32/TOTAL!G25</f>
        <v>15840.000000000002</v>
      </c>
      <c r="I25" s="9">
        <f>'Fuel Diesel'!F32</f>
        <v>0</v>
      </c>
      <c r="J25" s="11">
        <v>24300</v>
      </c>
      <c r="K25" s="9">
        <f>Water!E32+Water!G32+Water!I32</f>
        <v>188</v>
      </c>
      <c r="L25" s="10">
        <f>Water!K32/TOTAL!K25</f>
        <v>4000</v>
      </c>
      <c r="M25" s="9">
        <f>Electricity!C31</f>
        <v>40</v>
      </c>
      <c r="N25" s="9">
        <f>Electricity!D31</f>
        <v>208</v>
      </c>
    </row>
    <row r="26" spans="1:14">
      <c r="A26" s="6" t="s">
        <v>14</v>
      </c>
      <c r="B26" s="7">
        <f>B25+1</f>
        <v>25</v>
      </c>
      <c r="C26" s="8">
        <v>9</v>
      </c>
      <c r="D26" s="7">
        <v>2022</v>
      </c>
      <c r="E26" s="9">
        <f>Electricity!F32+Electricity!I32</f>
        <v>9940.0000000007367</v>
      </c>
      <c r="F26" s="10">
        <f>Electricity!L32/TOTAL!E26</f>
        <v>1236.4536720321887</v>
      </c>
      <c r="G26" s="9">
        <f>Gas!F33+Gas!I33+Gas!L33+Gas!O33</f>
        <v>114.39519999999943</v>
      </c>
      <c r="H26" s="10">
        <f>Gas!Q33/TOTAL!G26</f>
        <v>15840</v>
      </c>
      <c r="I26" s="9">
        <f>'Fuel Diesel'!F33</f>
        <v>0</v>
      </c>
      <c r="J26" s="11">
        <v>24300</v>
      </c>
      <c r="K26" s="9">
        <f>Water!E33+Water!G33+Water!I33</f>
        <v>184</v>
      </c>
      <c r="L26" s="10">
        <f>Water!K33/TOTAL!K26</f>
        <v>4000</v>
      </c>
      <c r="M26" s="9">
        <f>Electricity!C32</f>
        <v>44</v>
      </c>
      <c r="N26" s="9">
        <f>Electricity!D32</f>
        <v>232</v>
      </c>
    </row>
    <row r="27" spans="1:14">
      <c r="A27" s="6" t="s">
        <v>14</v>
      </c>
      <c r="B27" s="7">
        <f t="shared" si="0"/>
        <v>26</v>
      </c>
      <c r="C27" s="8">
        <v>9</v>
      </c>
      <c r="D27" s="7">
        <v>2022</v>
      </c>
      <c r="E27" s="9">
        <f>Electricity!F33+Electricity!I33</f>
        <v>10159.999999999967</v>
      </c>
      <c r="F27" s="10">
        <f>Electricity!L33/TOTAL!E27</f>
        <v>1232.1023129921248</v>
      </c>
      <c r="G27" s="9">
        <f>Gas!F34+Gas!I34+Gas!L34+Gas!O34</f>
        <v>106.82256000000083</v>
      </c>
      <c r="H27" s="10">
        <f>Gas!Q34/TOTAL!G27</f>
        <v>15840</v>
      </c>
      <c r="I27" s="9">
        <f>'Fuel Diesel'!F34</f>
        <v>7</v>
      </c>
      <c r="J27" s="11">
        <v>24300</v>
      </c>
      <c r="K27" s="9">
        <f>Water!E34+Water!G34+Water!I34</f>
        <v>189</v>
      </c>
      <c r="L27" s="10">
        <f>Water!K34/TOTAL!K27</f>
        <v>4000</v>
      </c>
      <c r="M27" s="9">
        <f>Electricity!C33</f>
        <v>37</v>
      </c>
      <c r="N27" s="9">
        <f>Electricity!D33</f>
        <v>198</v>
      </c>
    </row>
    <row r="28" spans="1:14">
      <c r="A28" s="6" t="s">
        <v>14</v>
      </c>
      <c r="B28" s="7">
        <f t="shared" si="0"/>
        <v>27</v>
      </c>
      <c r="C28" s="8">
        <v>9</v>
      </c>
      <c r="D28" s="7">
        <v>2022</v>
      </c>
      <c r="E28" s="9">
        <f>Electricity!F34+Electricity!I34</f>
        <v>9799.9999999994998</v>
      </c>
      <c r="F28" s="10">
        <f>Electricity!L34/TOTAL!E28</f>
        <v>1235.5205612244995</v>
      </c>
      <c r="G28" s="9">
        <f>Gas!F35+Gas!I35+Gas!L35+Gas!O35</f>
        <v>98.363760000003026</v>
      </c>
      <c r="H28" s="10">
        <f>Gas!Q35/TOTAL!G28</f>
        <v>15840</v>
      </c>
      <c r="I28" s="9">
        <f>'Fuel Diesel'!F35</f>
        <v>0</v>
      </c>
      <c r="J28" s="11">
        <v>24300</v>
      </c>
      <c r="K28" s="9">
        <f>Water!E35+Water!G35+Water!I35</f>
        <v>185</v>
      </c>
      <c r="L28" s="10">
        <f>Water!K35/TOTAL!K28</f>
        <v>4000</v>
      </c>
      <c r="M28" s="9">
        <f>Electricity!C34</f>
        <v>32</v>
      </c>
      <c r="N28" s="9">
        <f>Electricity!D34</f>
        <v>156</v>
      </c>
    </row>
    <row r="29" spans="1:14">
      <c r="A29" s="6" t="s">
        <v>14</v>
      </c>
      <c r="B29" s="7">
        <f t="shared" si="0"/>
        <v>28</v>
      </c>
      <c r="C29" s="8">
        <v>9</v>
      </c>
      <c r="D29" s="7">
        <v>2022</v>
      </c>
      <c r="E29" s="9">
        <f>Electricity!F35+Electricity!I35</f>
        <v>9820.0000000002765</v>
      </c>
      <c r="F29" s="10">
        <f>Electricity!L35/TOTAL!E29</f>
        <v>1236.4840122199539</v>
      </c>
      <c r="G29" s="9">
        <f>Gas!F36+Gas!I36+Gas!L36+Gas!O36</f>
        <v>105.4933199999993</v>
      </c>
      <c r="H29" s="10">
        <f>Gas!Q36/TOTAL!G29</f>
        <v>15840</v>
      </c>
      <c r="I29" s="9">
        <f>'Fuel Diesel'!F36</f>
        <v>0</v>
      </c>
      <c r="J29" s="11">
        <v>24300</v>
      </c>
      <c r="K29" s="9">
        <f>Water!E36+Water!G36+Water!I36</f>
        <v>226</v>
      </c>
      <c r="L29" s="10">
        <f>Water!K36/TOTAL!K29</f>
        <v>4000</v>
      </c>
      <c r="M29" s="9">
        <f>Electricity!C35</f>
        <v>33</v>
      </c>
      <c r="N29" s="9">
        <f>Electricity!D35</f>
        <v>156</v>
      </c>
    </row>
    <row r="30" spans="1:14">
      <c r="A30" s="6" t="s">
        <v>14</v>
      </c>
      <c r="B30" s="7">
        <f t="shared" si="0"/>
        <v>29</v>
      </c>
      <c r="C30" s="8">
        <v>9</v>
      </c>
      <c r="D30" s="7">
        <v>2022</v>
      </c>
      <c r="E30" s="9">
        <f>Electricity!F36+Electricity!I36</f>
        <v>9880.0000000002219</v>
      </c>
      <c r="F30" s="10">
        <f>Electricity!L36/TOTAL!E30</f>
        <v>1232.4336538461521</v>
      </c>
      <c r="G30" s="9">
        <f>Gas!F37+Gas!I37+Gas!L37+Gas!O37</f>
        <v>100.45831999999655</v>
      </c>
      <c r="H30" s="10">
        <f>Gas!Q37/TOTAL!G30</f>
        <v>15840</v>
      </c>
      <c r="I30" s="9">
        <f>'Fuel Diesel'!F37</f>
        <v>0</v>
      </c>
      <c r="J30" s="11">
        <v>24300</v>
      </c>
      <c r="K30" s="9">
        <f>Water!E37+Water!G37+Water!I37</f>
        <v>207</v>
      </c>
      <c r="L30" s="10">
        <f>Water!K37/TOTAL!K30</f>
        <v>4000</v>
      </c>
      <c r="M30" s="9">
        <f>Electricity!C36</f>
        <v>27</v>
      </c>
      <c r="N30" s="9">
        <f>Electricity!D36</f>
        <v>105</v>
      </c>
    </row>
    <row r="31" spans="1:14">
      <c r="A31" s="6" t="s">
        <v>14</v>
      </c>
      <c r="B31" s="7">
        <v>30</v>
      </c>
      <c r="C31" s="8">
        <v>9</v>
      </c>
      <c r="D31" s="7">
        <v>2022</v>
      </c>
      <c r="E31" s="9">
        <f>Electricity!F37+Electricity!I37</f>
        <v>9480.000000000131</v>
      </c>
      <c r="F31" s="10">
        <f>Electricity!L37/TOTAL!E31</f>
        <v>1235.1723628691987</v>
      </c>
      <c r="G31" s="9">
        <f>Gas!F38+Gas!I38+Gas!L38+Gas!O38</f>
        <v>103.51960000000109</v>
      </c>
      <c r="H31" s="10">
        <f>Gas!Q38/TOTAL!G31</f>
        <v>15840.000000000002</v>
      </c>
      <c r="I31" s="9">
        <f>'Fuel Diesel'!F38</f>
        <v>0</v>
      </c>
      <c r="J31" s="11">
        <v>24300</v>
      </c>
      <c r="K31" s="9">
        <f>Water!E38+Water!G38+Water!I38</f>
        <v>184</v>
      </c>
      <c r="L31" s="10">
        <f>Water!K38/TOTAL!K31</f>
        <v>4000</v>
      </c>
      <c r="M31" s="9">
        <f>Electricity!C37</f>
        <v>23</v>
      </c>
      <c r="N31" s="9">
        <f>Electricity!D37</f>
        <v>112</v>
      </c>
    </row>
    <row r="32" spans="1:14">
      <c r="E32" s="81">
        <f>SUM(E2:E31)</f>
        <v>300840.00000000058</v>
      </c>
      <c r="F32" s="81">
        <f>SUM(F2:F31)/30</f>
        <v>1235.6378797474788</v>
      </c>
      <c r="G32" s="81">
        <f>SUM(G2:G31)</f>
        <v>3504.3295199999993</v>
      </c>
      <c r="H32" s="91">
        <f>SUM(H2:H31)/30</f>
        <v>15840</v>
      </c>
      <c r="I32" s="81">
        <f>SUM(I2:I31)</f>
        <v>14</v>
      </c>
      <c r="J32" s="11">
        <v>24300</v>
      </c>
      <c r="K32" s="81">
        <f>SUM(K2:K31)</f>
        <v>5534</v>
      </c>
      <c r="L32" s="91">
        <f>SUM(L2:L31)/30</f>
        <v>4069.4928870292883</v>
      </c>
      <c r="M32" s="81">
        <f>SUM(M2:M31)</f>
        <v>1034</v>
      </c>
      <c r="N32" s="81">
        <f>SUM(N2:N31)</f>
        <v>4858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19" workbookViewId="0">
      <selection activeCell="D37" sqref="D37"/>
    </sheetView>
  </sheetViews>
  <sheetFormatPr defaultColWidth="8.85546875" defaultRowHeight="15"/>
  <cols>
    <col min="1" max="1" width="2.42578125" customWidth="1"/>
    <col min="2" max="2" width="5.85546875" customWidth="1"/>
    <col min="3" max="3" width="6.42578125" customWidth="1"/>
    <col min="4" max="4" width="7.42578125" style="19" customWidth="1"/>
    <col min="5" max="5" width="9.42578125" style="31" customWidth="1"/>
    <col min="6" max="6" width="11.28515625" style="31" customWidth="1"/>
    <col min="7" max="7" width="16.42578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42578125" customWidth="1"/>
    <col min="16" max="16" width="16.7109375" customWidth="1"/>
  </cols>
  <sheetData>
    <row r="1" spans="1:14" ht="15.95">
      <c r="B1" s="104" t="s">
        <v>15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2"/>
      <c r="N1" s="12"/>
    </row>
    <row r="2" spans="1:14" ht="15.95">
      <c r="B2" s="104" t="s">
        <v>16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05">
        <v>44805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6"/>
    </row>
    <row r="5" spans="1:14">
      <c r="A5" s="17"/>
      <c r="B5" s="106" t="s">
        <v>17</v>
      </c>
      <c r="C5" s="106" t="s">
        <v>18</v>
      </c>
      <c r="D5" s="106" t="s">
        <v>13</v>
      </c>
      <c r="E5" s="107" t="s">
        <v>19</v>
      </c>
      <c r="F5" s="107"/>
      <c r="G5" s="107"/>
      <c r="H5" s="108" t="s">
        <v>20</v>
      </c>
      <c r="I5" s="108"/>
      <c r="J5" s="108"/>
      <c r="K5" s="106" t="s">
        <v>21</v>
      </c>
      <c r="L5" s="106" t="s">
        <v>22</v>
      </c>
      <c r="M5" s="106" t="s">
        <v>23</v>
      </c>
      <c r="N5" s="18"/>
    </row>
    <row r="6" spans="1:14" s="19" customFormat="1">
      <c r="A6" s="17"/>
      <c r="B6" s="106"/>
      <c r="C6" s="106"/>
      <c r="D6" s="106"/>
      <c r="E6" s="106" t="s">
        <v>24</v>
      </c>
      <c r="F6" s="106" t="s">
        <v>25</v>
      </c>
      <c r="G6" s="106" t="s">
        <v>26</v>
      </c>
      <c r="H6" s="106" t="s">
        <v>24</v>
      </c>
      <c r="I6" s="106" t="s">
        <v>25</v>
      </c>
      <c r="J6" s="106" t="s">
        <v>27</v>
      </c>
      <c r="K6" s="106"/>
      <c r="L6" s="106"/>
      <c r="M6" s="106"/>
      <c r="N6" s="18"/>
    </row>
    <row r="7" spans="1:14">
      <c r="A7" s="20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21"/>
    </row>
    <row r="8" spans="1:14">
      <c r="A8" s="20"/>
      <c r="B8" s="22">
        <v>1</v>
      </c>
      <c r="C8" s="94">
        <v>25</v>
      </c>
      <c r="D8" s="98">
        <v>128</v>
      </c>
      <c r="E8" s="24">
        <v>4.0999999999999091</v>
      </c>
      <c r="F8" s="25">
        <f t="shared" ref="F8:F37" si="0">E8*2000</f>
        <v>8199.9999999998181</v>
      </c>
      <c r="G8" s="26">
        <f t="shared" ref="G8:G36" si="1">F8*1035.5</f>
        <v>8491099.9999998119</v>
      </c>
      <c r="H8" s="24">
        <v>0.81999999999999318</v>
      </c>
      <c r="I8" s="25">
        <f t="shared" ref="I8:I37" si="2">H8*2000</f>
        <v>1639.9999999999864</v>
      </c>
      <c r="J8" s="26">
        <f t="shared" ref="J8:J37" si="3">I8*1553.25</f>
        <v>2547329.9999999786</v>
      </c>
      <c r="K8" s="24">
        <f t="shared" ref="K8:K37" si="4">G8+J8</f>
        <v>11038429.999999791</v>
      </c>
      <c r="L8" s="27">
        <f t="shared" ref="L8:L37" si="5">K8*1.1</f>
        <v>12142272.999999771</v>
      </c>
      <c r="M8" s="28">
        <f>L8/14381</f>
        <v>844.32744593559357</v>
      </c>
      <c r="N8" s="29"/>
    </row>
    <row r="9" spans="1:14">
      <c r="A9" s="20"/>
      <c r="B9" s="22">
        <v>2</v>
      </c>
      <c r="C9" s="95">
        <v>32</v>
      </c>
      <c r="D9" s="98">
        <v>139</v>
      </c>
      <c r="E9" s="24">
        <v>4.0700000000001637</v>
      </c>
      <c r="F9" s="25">
        <f t="shared" si="0"/>
        <v>8140.0000000003274</v>
      </c>
      <c r="G9" s="26">
        <f t="shared" si="1"/>
        <v>8428970.000000339</v>
      </c>
      <c r="H9" s="24">
        <v>0.87999999999999545</v>
      </c>
      <c r="I9" s="25">
        <f t="shared" si="2"/>
        <v>1759.9999999999909</v>
      </c>
      <c r="J9" s="26">
        <f t="shared" si="3"/>
        <v>2733719.999999986</v>
      </c>
      <c r="K9" s="24">
        <f t="shared" si="4"/>
        <v>11162690.000000324</v>
      </c>
      <c r="L9" s="27">
        <f t="shared" si="5"/>
        <v>12278959.000000358</v>
      </c>
      <c r="M9" s="28">
        <f t="shared" ref="M9:M37" si="6">L9/14381</f>
        <v>853.83207009250805</v>
      </c>
      <c r="N9" s="29"/>
    </row>
    <row r="10" spans="1:14">
      <c r="A10" s="20"/>
      <c r="B10" s="22">
        <v>3</v>
      </c>
      <c r="C10" s="94">
        <v>37</v>
      </c>
      <c r="D10" s="98">
        <v>154</v>
      </c>
      <c r="E10" s="24">
        <v>4.0799999999999272</v>
      </c>
      <c r="F10" s="25">
        <f t="shared" si="0"/>
        <v>8159.9999999998545</v>
      </c>
      <c r="G10" s="26">
        <f t="shared" si="1"/>
        <v>8449679.9999998491</v>
      </c>
      <c r="H10" s="24">
        <v>0.87999999999999545</v>
      </c>
      <c r="I10" s="25">
        <f t="shared" si="2"/>
        <v>1759.9999999999909</v>
      </c>
      <c r="J10" s="26">
        <f t="shared" si="3"/>
        <v>2733719.999999986</v>
      </c>
      <c r="K10" s="24">
        <f t="shared" si="4"/>
        <v>11183399.999999836</v>
      </c>
      <c r="L10" s="27">
        <f t="shared" si="5"/>
        <v>12301739.999999821</v>
      </c>
      <c r="M10" s="28">
        <f t="shared" si="6"/>
        <v>855.41617411861637</v>
      </c>
      <c r="N10" s="29"/>
    </row>
    <row r="11" spans="1:14">
      <c r="A11" s="20"/>
      <c r="B11" s="22">
        <v>4</v>
      </c>
      <c r="C11" s="94">
        <v>40</v>
      </c>
      <c r="D11" s="98">
        <v>190</v>
      </c>
      <c r="E11" s="24">
        <v>4.1500000000000909</v>
      </c>
      <c r="F11" s="25">
        <f t="shared" si="0"/>
        <v>8300.0000000001819</v>
      </c>
      <c r="G11" s="26">
        <f t="shared" si="1"/>
        <v>8594650.0000001881</v>
      </c>
      <c r="H11" s="24">
        <v>0.86000000000001364</v>
      </c>
      <c r="I11" s="25">
        <f t="shared" si="2"/>
        <v>1720.0000000000273</v>
      </c>
      <c r="J11" s="26">
        <f t="shared" si="3"/>
        <v>2671590.0000000424</v>
      </c>
      <c r="K11" s="24">
        <f t="shared" si="4"/>
        <v>11266240.000000231</v>
      </c>
      <c r="L11" s="27">
        <f t="shared" si="5"/>
        <v>12392864.000000255</v>
      </c>
      <c r="M11" s="28">
        <f t="shared" si="6"/>
        <v>861.75259022322894</v>
      </c>
      <c r="N11" s="29"/>
    </row>
    <row r="12" spans="1:14">
      <c r="A12" s="20"/>
      <c r="B12" s="22">
        <v>5</v>
      </c>
      <c r="C12" s="95">
        <v>36</v>
      </c>
      <c r="D12" s="98">
        <v>154</v>
      </c>
      <c r="E12" s="24">
        <v>4.3699999999998909</v>
      </c>
      <c r="F12" s="25">
        <f t="shared" si="0"/>
        <v>8739.9999999997817</v>
      </c>
      <c r="G12" s="26">
        <f t="shared" si="1"/>
        <v>9050269.9999997746</v>
      </c>
      <c r="H12" s="24">
        <v>0.8599999999999568</v>
      </c>
      <c r="I12" s="25">
        <f t="shared" si="2"/>
        <v>1719.9999999999136</v>
      </c>
      <c r="J12" s="26">
        <f t="shared" si="3"/>
        <v>2671589.9999998659</v>
      </c>
      <c r="K12" s="24">
        <f t="shared" si="4"/>
        <v>11721859.999999641</v>
      </c>
      <c r="L12" s="27">
        <f t="shared" si="5"/>
        <v>12894045.999999605</v>
      </c>
      <c r="M12" s="28">
        <f t="shared" si="6"/>
        <v>896.60287879838711</v>
      </c>
      <c r="N12" s="29"/>
    </row>
    <row r="13" spans="1:14">
      <c r="A13" s="20"/>
      <c r="B13" s="22">
        <v>6</v>
      </c>
      <c r="C13" s="94">
        <v>32</v>
      </c>
      <c r="D13" s="98">
        <v>156</v>
      </c>
      <c r="E13" s="24">
        <v>4.1600000000003092</v>
      </c>
      <c r="F13" s="25">
        <f t="shared" si="0"/>
        <v>8320.0000000006185</v>
      </c>
      <c r="G13" s="26">
        <f t="shared" si="1"/>
        <v>8615360.0000006407</v>
      </c>
      <c r="H13" s="24">
        <v>0.84000000000003183</v>
      </c>
      <c r="I13" s="25">
        <f t="shared" si="2"/>
        <v>1680.0000000000637</v>
      </c>
      <c r="J13" s="26">
        <f t="shared" si="3"/>
        <v>2609460.0000000987</v>
      </c>
      <c r="K13" s="24">
        <f t="shared" si="4"/>
        <v>11224820.000000739</v>
      </c>
      <c r="L13" s="27">
        <f t="shared" si="5"/>
        <v>12347302.000000814</v>
      </c>
      <c r="M13" s="28">
        <f t="shared" si="6"/>
        <v>858.5843821709766</v>
      </c>
      <c r="N13" s="29"/>
    </row>
    <row r="14" spans="1:14">
      <c r="A14" s="20"/>
      <c r="B14" s="22">
        <v>7</v>
      </c>
      <c r="C14" s="95">
        <v>49</v>
      </c>
      <c r="D14" s="98">
        <v>119</v>
      </c>
      <c r="E14" s="24">
        <v>4.2399999999997817</v>
      </c>
      <c r="F14" s="25">
        <f t="shared" si="0"/>
        <v>8479.9999999995634</v>
      </c>
      <c r="G14" s="26">
        <f t="shared" si="1"/>
        <v>8781039.9999995474</v>
      </c>
      <c r="H14" s="24">
        <v>0.90999999999996817</v>
      </c>
      <c r="I14" s="25">
        <f t="shared" si="2"/>
        <v>1819.9999999999363</v>
      </c>
      <c r="J14" s="26">
        <f t="shared" si="3"/>
        <v>2826914.9999999013</v>
      </c>
      <c r="K14" s="24">
        <f t="shared" si="4"/>
        <v>11607954.999999449</v>
      </c>
      <c r="L14" s="27">
        <f t="shared" si="5"/>
        <v>12768750.499999395</v>
      </c>
      <c r="M14" s="28">
        <f t="shared" si="6"/>
        <v>887.89030665457165</v>
      </c>
      <c r="N14" s="29"/>
    </row>
    <row r="15" spans="1:14">
      <c r="A15" s="20"/>
      <c r="B15" s="22">
        <v>8</v>
      </c>
      <c r="C15" s="94">
        <v>47</v>
      </c>
      <c r="D15" s="98">
        <v>201</v>
      </c>
      <c r="E15" s="24">
        <v>4.4000000000000909</v>
      </c>
      <c r="F15" s="25">
        <f t="shared" si="0"/>
        <v>8800.0000000001819</v>
      </c>
      <c r="G15" s="26">
        <f t="shared" si="1"/>
        <v>9112400.0000001881</v>
      </c>
      <c r="H15" s="24">
        <v>0.8900000000000432</v>
      </c>
      <c r="I15" s="25">
        <f t="shared" si="2"/>
        <v>1780.0000000000864</v>
      </c>
      <c r="J15" s="26">
        <f t="shared" si="3"/>
        <v>2764785.0000001341</v>
      </c>
      <c r="K15" s="24">
        <f t="shared" si="4"/>
        <v>11877185.000000322</v>
      </c>
      <c r="L15" s="27">
        <f t="shared" si="5"/>
        <v>13064903.500000356</v>
      </c>
      <c r="M15" s="28">
        <f t="shared" si="6"/>
        <v>908.48365899453142</v>
      </c>
      <c r="N15" s="29"/>
    </row>
    <row r="16" spans="1:14">
      <c r="A16" s="20"/>
      <c r="B16" s="22">
        <v>9</v>
      </c>
      <c r="C16" s="95">
        <v>32</v>
      </c>
      <c r="D16" s="98">
        <v>178</v>
      </c>
      <c r="E16" s="24">
        <v>4.3400000000001455</v>
      </c>
      <c r="F16" s="25">
        <f t="shared" si="0"/>
        <v>8680.000000000291</v>
      </c>
      <c r="G16" s="26">
        <f t="shared" si="1"/>
        <v>8988140.0000003017</v>
      </c>
      <c r="H16" s="24">
        <v>0.83999999999997499</v>
      </c>
      <c r="I16" s="25">
        <f t="shared" si="2"/>
        <v>1679.99999999995</v>
      </c>
      <c r="J16" s="26">
        <f t="shared" si="3"/>
        <v>2609459.9999999222</v>
      </c>
      <c r="K16" s="24">
        <f t="shared" si="4"/>
        <v>11597600.000000224</v>
      </c>
      <c r="L16" s="27">
        <f t="shared" si="5"/>
        <v>12757360.000000248</v>
      </c>
      <c r="M16" s="28">
        <f t="shared" si="6"/>
        <v>887.09825464155813</v>
      </c>
      <c r="N16" s="29"/>
    </row>
    <row r="17" spans="1:14">
      <c r="A17" s="20"/>
      <c r="B17" s="22">
        <v>10</v>
      </c>
      <c r="C17" s="94">
        <v>35</v>
      </c>
      <c r="D17" s="98">
        <v>148</v>
      </c>
      <c r="E17" s="24">
        <v>4.1799999999998363</v>
      </c>
      <c r="F17" s="25">
        <f t="shared" si="0"/>
        <v>8359.9999999996726</v>
      </c>
      <c r="G17" s="26">
        <f t="shared" si="1"/>
        <v>8656779.999999661</v>
      </c>
      <c r="H17" s="24">
        <v>0.84000000000003183</v>
      </c>
      <c r="I17" s="25">
        <f t="shared" si="2"/>
        <v>1680.0000000000637</v>
      </c>
      <c r="J17" s="26">
        <f t="shared" si="3"/>
        <v>2609460.0000000987</v>
      </c>
      <c r="K17" s="24">
        <f t="shared" si="4"/>
        <v>11266239.99999976</v>
      </c>
      <c r="L17" s="27">
        <f t="shared" si="5"/>
        <v>12392863.999999737</v>
      </c>
      <c r="M17" s="28">
        <f t="shared" si="6"/>
        <v>861.7525902231929</v>
      </c>
      <c r="N17" s="29"/>
    </row>
    <row r="18" spans="1:14">
      <c r="A18" s="20"/>
      <c r="B18" s="22">
        <v>11</v>
      </c>
      <c r="C18" s="95">
        <v>37</v>
      </c>
      <c r="D18" s="98">
        <v>161</v>
      </c>
      <c r="E18" s="24">
        <v>4.0799999999999272</v>
      </c>
      <c r="F18" s="25">
        <f t="shared" si="0"/>
        <v>8159.9999999998545</v>
      </c>
      <c r="G18" s="26">
        <f t="shared" si="1"/>
        <v>8449679.9999998491</v>
      </c>
      <c r="H18" s="24">
        <v>0.82999999999998408</v>
      </c>
      <c r="I18" s="25">
        <f t="shared" si="2"/>
        <v>1659.9999999999682</v>
      </c>
      <c r="J18" s="26">
        <f t="shared" si="3"/>
        <v>2578394.9999999506</v>
      </c>
      <c r="K18" s="24">
        <f t="shared" si="4"/>
        <v>11028074.999999799</v>
      </c>
      <c r="L18" s="27">
        <f t="shared" si="5"/>
        <v>12130882.49999978</v>
      </c>
      <c r="M18" s="28">
        <f t="shared" si="6"/>
        <v>843.53539392252139</v>
      </c>
      <c r="N18" s="29"/>
    </row>
    <row r="19" spans="1:14">
      <c r="A19" s="20"/>
      <c r="B19" s="22">
        <v>12</v>
      </c>
      <c r="C19" s="96">
        <v>30</v>
      </c>
      <c r="D19" s="98">
        <v>158</v>
      </c>
      <c r="E19" s="24">
        <v>4.3200000000001637</v>
      </c>
      <c r="F19" s="25">
        <f t="shared" si="0"/>
        <v>8640.0000000003274</v>
      </c>
      <c r="G19" s="26">
        <f t="shared" si="1"/>
        <v>8946720.000000339</v>
      </c>
      <c r="H19" s="24">
        <v>0.86000000000001364</v>
      </c>
      <c r="I19" s="25">
        <f t="shared" si="2"/>
        <v>1720.0000000000273</v>
      </c>
      <c r="J19" s="26">
        <f t="shared" si="3"/>
        <v>2671590.0000000424</v>
      </c>
      <c r="K19" s="24">
        <f t="shared" si="4"/>
        <v>11618310.000000382</v>
      </c>
      <c r="L19" s="27">
        <f t="shared" si="5"/>
        <v>12780141.000000421</v>
      </c>
      <c r="M19" s="28">
        <f t="shared" si="6"/>
        <v>888.68235866771579</v>
      </c>
      <c r="N19" s="29"/>
    </row>
    <row r="20" spans="1:14">
      <c r="A20" s="20"/>
      <c r="B20" s="22">
        <v>13</v>
      </c>
      <c r="C20" s="97">
        <v>35</v>
      </c>
      <c r="D20" s="98">
        <v>159</v>
      </c>
      <c r="E20" s="24">
        <v>4.319999999999709</v>
      </c>
      <c r="F20" s="25">
        <f t="shared" si="0"/>
        <v>8639.9999999994179</v>
      </c>
      <c r="G20" s="26">
        <f t="shared" si="1"/>
        <v>8946719.9999993965</v>
      </c>
      <c r="H20" s="24">
        <v>0.87999999999999545</v>
      </c>
      <c r="I20" s="25">
        <f t="shared" si="2"/>
        <v>1759.9999999999909</v>
      </c>
      <c r="J20" s="26">
        <f t="shared" si="3"/>
        <v>2733719.999999986</v>
      </c>
      <c r="K20" s="24">
        <f t="shared" si="4"/>
        <v>11680439.999999382</v>
      </c>
      <c r="L20" s="27">
        <f t="shared" si="5"/>
        <v>12848483.99999932</v>
      </c>
      <c r="M20" s="28">
        <f t="shared" si="6"/>
        <v>893.43467074607611</v>
      </c>
      <c r="N20" s="29"/>
    </row>
    <row r="21" spans="1:14">
      <c r="A21" s="20"/>
      <c r="B21" s="22">
        <v>14</v>
      </c>
      <c r="C21" s="97">
        <v>37</v>
      </c>
      <c r="D21" s="98">
        <v>185</v>
      </c>
      <c r="E21" s="24">
        <v>4.1600000000003092</v>
      </c>
      <c r="F21" s="25">
        <f t="shared" si="0"/>
        <v>8320.0000000006185</v>
      </c>
      <c r="G21" s="26">
        <f t="shared" si="1"/>
        <v>8615360.0000006407</v>
      </c>
      <c r="H21" s="24">
        <v>0.88999999999998636</v>
      </c>
      <c r="I21" s="25">
        <f t="shared" si="2"/>
        <v>1779.9999999999727</v>
      </c>
      <c r="J21" s="26">
        <f t="shared" si="3"/>
        <v>2764784.9999999576</v>
      </c>
      <c r="K21" s="24">
        <f t="shared" si="4"/>
        <v>11380145.000000598</v>
      </c>
      <c r="L21" s="27">
        <f t="shared" si="5"/>
        <v>12518159.500000659</v>
      </c>
      <c r="M21" s="28">
        <f t="shared" si="6"/>
        <v>870.46516236705793</v>
      </c>
      <c r="N21" s="29"/>
    </row>
    <row r="22" spans="1:14">
      <c r="A22" s="20"/>
      <c r="B22" s="22">
        <v>15</v>
      </c>
      <c r="C22" s="94">
        <v>37</v>
      </c>
      <c r="D22" s="98">
        <v>188</v>
      </c>
      <c r="E22" s="24">
        <v>4.3099999999999454</v>
      </c>
      <c r="F22" s="25">
        <f t="shared" si="0"/>
        <v>8619.9999999998909</v>
      </c>
      <c r="G22" s="26">
        <f t="shared" si="1"/>
        <v>8926009.9999998864</v>
      </c>
      <c r="H22" s="24">
        <v>0.88999999999998636</v>
      </c>
      <c r="I22" s="25">
        <f t="shared" si="2"/>
        <v>1779.9999999999727</v>
      </c>
      <c r="J22" s="26">
        <f t="shared" si="3"/>
        <v>2764784.9999999576</v>
      </c>
      <c r="K22" s="24">
        <f t="shared" si="4"/>
        <v>11690794.999999844</v>
      </c>
      <c r="L22" s="27">
        <f t="shared" si="5"/>
        <v>12859874.499999829</v>
      </c>
      <c r="M22" s="28">
        <f t="shared" si="6"/>
        <v>894.22672275918421</v>
      </c>
      <c r="N22" s="29"/>
    </row>
    <row r="23" spans="1:14">
      <c r="A23" s="20"/>
      <c r="B23" s="22">
        <v>16</v>
      </c>
      <c r="C23" s="94">
        <v>39</v>
      </c>
      <c r="D23" s="98">
        <v>195</v>
      </c>
      <c r="E23" s="24">
        <v>4.2699999999999818</v>
      </c>
      <c r="F23" s="25">
        <f t="shared" si="0"/>
        <v>8539.9999999999636</v>
      </c>
      <c r="G23" s="26">
        <f t="shared" si="1"/>
        <v>8843169.9999999627</v>
      </c>
      <c r="H23" s="24">
        <v>0.86000000000001364</v>
      </c>
      <c r="I23" s="25">
        <f t="shared" si="2"/>
        <v>1720.0000000000273</v>
      </c>
      <c r="J23" s="26">
        <f t="shared" si="3"/>
        <v>2671590.0000000424</v>
      </c>
      <c r="K23" s="24">
        <f t="shared" si="4"/>
        <v>11514760.000000006</v>
      </c>
      <c r="L23" s="27">
        <f t="shared" si="5"/>
        <v>12666236.000000007</v>
      </c>
      <c r="M23" s="28">
        <f t="shared" si="6"/>
        <v>880.76183853695898</v>
      </c>
      <c r="N23" s="29"/>
    </row>
    <row r="24" spans="1:14">
      <c r="A24" s="20"/>
      <c r="B24" s="22">
        <v>17</v>
      </c>
      <c r="C24" s="94">
        <v>34</v>
      </c>
      <c r="D24" s="98">
        <v>147</v>
      </c>
      <c r="E24" s="24">
        <v>4.0099999999997635</v>
      </c>
      <c r="F24" s="25">
        <f t="shared" si="0"/>
        <v>8019.9999999995271</v>
      </c>
      <c r="G24" s="26">
        <f t="shared" si="1"/>
        <v>8304709.9999995101</v>
      </c>
      <c r="H24" s="24">
        <v>0.82999999999998408</v>
      </c>
      <c r="I24" s="25">
        <f t="shared" si="2"/>
        <v>1659.9999999999682</v>
      </c>
      <c r="J24" s="26">
        <f t="shared" si="3"/>
        <v>2578394.9999999506</v>
      </c>
      <c r="K24" s="24">
        <f t="shared" si="4"/>
        <v>10883104.99999946</v>
      </c>
      <c r="L24" s="27">
        <f t="shared" si="5"/>
        <v>11971415.499999408</v>
      </c>
      <c r="M24" s="28">
        <f t="shared" si="6"/>
        <v>832.4466657394762</v>
      </c>
      <c r="N24" s="29"/>
    </row>
    <row r="25" spans="1:14">
      <c r="A25" s="20"/>
      <c r="B25" s="22">
        <v>18</v>
      </c>
      <c r="C25" s="95">
        <v>30</v>
      </c>
      <c r="D25" s="98">
        <v>171</v>
      </c>
      <c r="E25" s="24">
        <v>4.1700000000000728</v>
      </c>
      <c r="F25" s="25">
        <f t="shared" si="0"/>
        <v>8340.0000000001455</v>
      </c>
      <c r="G25" s="26">
        <f t="shared" si="1"/>
        <v>8636070.0000001509</v>
      </c>
      <c r="H25" s="24">
        <v>0.81000000000000227</v>
      </c>
      <c r="I25" s="25">
        <f t="shared" si="2"/>
        <v>1620.0000000000045</v>
      </c>
      <c r="J25" s="26">
        <f t="shared" si="3"/>
        <v>2516265.000000007</v>
      </c>
      <c r="K25" s="24">
        <f t="shared" si="4"/>
        <v>11152335.000000158</v>
      </c>
      <c r="L25" s="27">
        <f t="shared" si="5"/>
        <v>12267568.500000175</v>
      </c>
      <c r="M25" s="28">
        <f t="shared" si="6"/>
        <v>853.04001807942245</v>
      </c>
      <c r="N25" s="29"/>
    </row>
    <row r="26" spans="1:14">
      <c r="A26" s="20"/>
      <c r="B26" s="22">
        <v>19</v>
      </c>
      <c r="C26" s="94">
        <v>17</v>
      </c>
      <c r="D26" s="98">
        <v>136</v>
      </c>
      <c r="E26" s="24">
        <v>3.930000000000291</v>
      </c>
      <c r="F26" s="25">
        <f t="shared" si="0"/>
        <v>7860.0000000005821</v>
      </c>
      <c r="G26" s="26">
        <f t="shared" si="1"/>
        <v>8139030.0000006026</v>
      </c>
      <c r="H26" s="24">
        <v>0.79000000000002046</v>
      </c>
      <c r="I26" s="25">
        <f t="shared" si="2"/>
        <v>1580.0000000000409</v>
      </c>
      <c r="J26" s="26">
        <f t="shared" si="3"/>
        <v>2454135.0000000638</v>
      </c>
      <c r="K26" s="24">
        <f t="shared" si="4"/>
        <v>10593165.000000667</v>
      </c>
      <c r="L26" s="27">
        <f t="shared" si="5"/>
        <v>11652481.500000734</v>
      </c>
      <c r="M26" s="28">
        <f t="shared" si="6"/>
        <v>810.26920937352997</v>
      </c>
      <c r="N26" s="29"/>
    </row>
    <row r="27" spans="1:14">
      <c r="A27" s="20"/>
      <c r="B27" s="22">
        <v>20</v>
      </c>
      <c r="C27" s="95">
        <v>23</v>
      </c>
      <c r="D27" s="98">
        <v>98</v>
      </c>
      <c r="E27" s="24">
        <v>4.0499999999997272</v>
      </c>
      <c r="F27" s="25">
        <f t="shared" si="0"/>
        <v>8099.9999999994543</v>
      </c>
      <c r="G27" s="26">
        <f t="shared" si="1"/>
        <v>8387549.9999994347</v>
      </c>
      <c r="H27" s="24">
        <v>0.81000000000000227</v>
      </c>
      <c r="I27" s="25">
        <f t="shared" si="2"/>
        <v>1620.0000000000045</v>
      </c>
      <c r="J27" s="26">
        <f t="shared" si="3"/>
        <v>2516265.000000007</v>
      </c>
      <c r="K27" s="24">
        <f t="shared" si="4"/>
        <v>10903814.999999441</v>
      </c>
      <c r="L27" s="27">
        <f t="shared" si="5"/>
        <v>11994196.499999387</v>
      </c>
      <c r="M27" s="28">
        <f t="shared" si="6"/>
        <v>834.03076976562045</v>
      </c>
      <c r="N27" s="29"/>
    </row>
    <row r="28" spans="1:14">
      <c r="A28" s="20"/>
      <c r="B28" s="22">
        <v>21</v>
      </c>
      <c r="C28" s="94">
        <v>34</v>
      </c>
      <c r="D28" s="98">
        <v>159</v>
      </c>
      <c r="E28" s="24">
        <v>4.0599999999999454</v>
      </c>
      <c r="F28" s="25">
        <f t="shared" si="0"/>
        <v>8119.9999999998909</v>
      </c>
      <c r="G28" s="26">
        <f t="shared" si="1"/>
        <v>8408259.9999998864</v>
      </c>
      <c r="H28" s="24">
        <v>0.82999999999998408</v>
      </c>
      <c r="I28" s="25">
        <f t="shared" si="2"/>
        <v>1659.9999999999682</v>
      </c>
      <c r="J28" s="26">
        <f t="shared" si="3"/>
        <v>2578394.9999999506</v>
      </c>
      <c r="K28" s="24">
        <f t="shared" si="4"/>
        <v>10986654.999999836</v>
      </c>
      <c r="L28" s="27">
        <f t="shared" si="5"/>
        <v>12085320.499999821</v>
      </c>
      <c r="M28" s="28">
        <f t="shared" si="6"/>
        <v>840.36718587023302</v>
      </c>
      <c r="N28" s="29"/>
    </row>
    <row r="29" spans="1:14">
      <c r="A29" s="20"/>
      <c r="B29" s="22">
        <v>22</v>
      </c>
      <c r="C29" s="95">
        <v>41</v>
      </c>
      <c r="D29" s="98">
        <v>181</v>
      </c>
      <c r="E29" s="24">
        <v>4.1199999999998909</v>
      </c>
      <c r="F29" s="25">
        <f t="shared" si="0"/>
        <v>8239.9999999997817</v>
      </c>
      <c r="G29" s="26">
        <f t="shared" si="1"/>
        <v>8532519.9999997746</v>
      </c>
      <c r="H29" s="24">
        <v>0.84000000000003183</v>
      </c>
      <c r="I29" s="25">
        <f t="shared" si="2"/>
        <v>1680.0000000000637</v>
      </c>
      <c r="J29" s="26">
        <f t="shared" si="3"/>
        <v>2609460.0000000987</v>
      </c>
      <c r="K29" s="24">
        <f t="shared" si="4"/>
        <v>11141979.999999873</v>
      </c>
      <c r="L29" s="27">
        <f t="shared" si="5"/>
        <v>12256177.999999862</v>
      </c>
      <c r="M29" s="28">
        <f t="shared" si="6"/>
        <v>852.24796606632799</v>
      </c>
      <c r="N29" s="29"/>
    </row>
    <row r="30" spans="1:14">
      <c r="A30" s="20"/>
      <c r="B30" s="22">
        <v>23</v>
      </c>
      <c r="C30" s="94">
        <v>39</v>
      </c>
      <c r="D30" s="98">
        <v>186</v>
      </c>
      <c r="E30" s="24">
        <v>4.1600000000003092</v>
      </c>
      <c r="F30" s="25">
        <f t="shared" si="0"/>
        <v>8320.0000000006185</v>
      </c>
      <c r="G30" s="26">
        <f>F30*1035.5</f>
        <v>8615360.0000006407</v>
      </c>
      <c r="H30" s="24">
        <v>0.89999999999997726</v>
      </c>
      <c r="I30" s="25">
        <f t="shared" si="2"/>
        <v>1799.9999999999545</v>
      </c>
      <c r="J30" s="26">
        <f t="shared" si="3"/>
        <v>2795849.9999999292</v>
      </c>
      <c r="K30" s="24">
        <f t="shared" si="4"/>
        <v>11411210.00000057</v>
      </c>
      <c r="L30" s="27">
        <f t="shared" si="5"/>
        <v>12552331.000000628</v>
      </c>
      <c r="M30" s="28">
        <f t="shared" si="6"/>
        <v>872.84131840627413</v>
      </c>
      <c r="N30" s="29"/>
    </row>
    <row r="31" spans="1:14">
      <c r="A31" s="20"/>
      <c r="B31" s="22">
        <v>24</v>
      </c>
      <c r="C31" s="95">
        <v>40</v>
      </c>
      <c r="D31" s="98">
        <v>208</v>
      </c>
      <c r="E31" s="24">
        <v>4.2799999999997453</v>
      </c>
      <c r="F31" s="25">
        <f t="shared" si="0"/>
        <v>8559.9999999994907</v>
      </c>
      <c r="G31" s="26">
        <f t="shared" si="1"/>
        <v>8863879.9999994729</v>
      </c>
      <c r="H31" s="24">
        <v>0.90999999999996817</v>
      </c>
      <c r="I31" s="25">
        <f t="shared" si="2"/>
        <v>1819.9999999999363</v>
      </c>
      <c r="J31" s="26">
        <f t="shared" si="3"/>
        <v>2826914.9999999013</v>
      </c>
      <c r="K31" s="24">
        <f t="shared" si="4"/>
        <v>11690794.999999374</v>
      </c>
      <c r="L31" s="27">
        <f t="shared" si="5"/>
        <v>12859874.499999313</v>
      </c>
      <c r="M31" s="28">
        <f t="shared" si="6"/>
        <v>894.2267227591484</v>
      </c>
      <c r="N31" s="29"/>
    </row>
    <row r="32" spans="1:14">
      <c r="A32" s="20"/>
      <c r="B32" s="22">
        <v>25</v>
      </c>
      <c r="C32" s="94">
        <v>44</v>
      </c>
      <c r="D32" s="98">
        <v>232</v>
      </c>
      <c r="E32" s="24">
        <v>4.1200000000003456</v>
      </c>
      <c r="F32" s="25">
        <f t="shared" si="0"/>
        <v>8240.0000000006912</v>
      </c>
      <c r="G32" s="26">
        <f t="shared" si="1"/>
        <v>8532520.0000007153</v>
      </c>
      <c r="H32" s="24">
        <v>0.85000000000002274</v>
      </c>
      <c r="I32" s="25">
        <f t="shared" si="2"/>
        <v>1700.0000000000455</v>
      </c>
      <c r="J32" s="26">
        <f t="shared" si="3"/>
        <v>2640525.0000000708</v>
      </c>
      <c r="K32" s="24">
        <f t="shared" si="4"/>
        <v>11173045.000000786</v>
      </c>
      <c r="L32" s="27">
        <f t="shared" si="5"/>
        <v>12290349.500000866</v>
      </c>
      <c r="M32" s="28">
        <f t="shared" si="6"/>
        <v>854.62412210561615</v>
      </c>
      <c r="N32" s="29"/>
    </row>
    <row r="33" spans="1:16">
      <c r="A33" s="20"/>
      <c r="B33" s="22">
        <v>26</v>
      </c>
      <c r="C33" s="94">
        <v>37</v>
      </c>
      <c r="D33" s="98">
        <v>198</v>
      </c>
      <c r="E33" s="24">
        <v>4.25</v>
      </c>
      <c r="F33" s="25">
        <f t="shared" si="0"/>
        <v>8500</v>
      </c>
      <c r="G33" s="26">
        <f t="shared" si="1"/>
        <v>8801750</v>
      </c>
      <c r="H33" s="24">
        <v>0.82999999999998408</v>
      </c>
      <c r="I33" s="25">
        <f t="shared" si="2"/>
        <v>1659.9999999999682</v>
      </c>
      <c r="J33" s="26">
        <f t="shared" si="3"/>
        <v>2578394.9999999506</v>
      </c>
      <c r="K33" s="24">
        <f t="shared" si="4"/>
        <v>11380144.999999952</v>
      </c>
      <c r="L33" s="27">
        <f t="shared" si="5"/>
        <v>12518159.499999948</v>
      </c>
      <c r="M33" s="28">
        <f t="shared" si="6"/>
        <v>870.46516236700836</v>
      </c>
      <c r="N33" s="29"/>
    </row>
    <row r="34" spans="1:16">
      <c r="A34" s="20"/>
      <c r="B34" s="22">
        <v>27</v>
      </c>
      <c r="C34" s="94">
        <v>32</v>
      </c>
      <c r="D34" s="98">
        <v>156</v>
      </c>
      <c r="E34" s="24">
        <v>4.069999999999709</v>
      </c>
      <c r="F34" s="25">
        <f t="shared" si="0"/>
        <v>8139.9999999994179</v>
      </c>
      <c r="G34" s="26">
        <f t="shared" si="1"/>
        <v>8428969.9999993965</v>
      </c>
      <c r="H34" s="24">
        <v>0.83000000000004093</v>
      </c>
      <c r="I34" s="25">
        <f t="shared" si="2"/>
        <v>1660.0000000000819</v>
      </c>
      <c r="J34" s="26">
        <f t="shared" si="3"/>
        <v>2578395.0000001271</v>
      </c>
      <c r="K34" s="24">
        <f t="shared" si="4"/>
        <v>11007364.999999523</v>
      </c>
      <c r="L34" s="27">
        <f t="shared" si="5"/>
        <v>12108101.499999477</v>
      </c>
      <c r="M34" s="28">
        <f t="shared" si="6"/>
        <v>841.95128989635464</v>
      </c>
      <c r="N34" s="29"/>
    </row>
    <row r="35" spans="1:16">
      <c r="A35" s="20"/>
      <c r="B35" s="22">
        <v>28</v>
      </c>
      <c r="C35" s="94">
        <v>33</v>
      </c>
      <c r="D35" s="98">
        <v>156</v>
      </c>
      <c r="E35" s="24">
        <v>4.0700000000001637</v>
      </c>
      <c r="F35" s="25">
        <f t="shared" si="0"/>
        <v>8140.0000000003274</v>
      </c>
      <c r="G35" s="26">
        <f t="shared" si="1"/>
        <v>8428970.000000339</v>
      </c>
      <c r="H35" s="24">
        <v>0.83999999999997499</v>
      </c>
      <c r="I35" s="25">
        <f t="shared" si="2"/>
        <v>1679.99999999995</v>
      </c>
      <c r="J35" s="26">
        <f t="shared" si="3"/>
        <v>2609459.9999999222</v>
      </c>
      <c r="K35" s="24">
        <f t="shared" si="4"/>
        <v>11038430.000000261</v>
      </c>
      <c r="L35" s="27">
        <f t="shared" si="5"/>
        <v>12142273.000000289</v>
      </c>
      <c r="M35" s="28">
        <f t="shared" si="6"/>
        <v>844.32744593562961</v>
      </c>
      <c r="N35" s="29"/>
    </row>
    <row r="36" spans="1:16">
      <c r="A36" s="20"/>
      <c r="B36" s="22">
        <v>29</v>
      </c>
      <c r="C36" s="94">
        <v>27</v>
      </c>
      <c r="D36" s="98">
        <v>105</v>
      </c>
      <c r="E36" s="24">
        <v>4.1300000000001091</v>
      </c>
      <c r="F36" s="25">
        <f t="shared" si="0"/>
        <v>8260.0000000002183</v>
      </c>
      <c r="G36" s="26">
        <f t="shared" si="1"/>
        <v>8553230.0000002254</v>
      </c>
      <c r="H36" s="24">
        <v>0.81000000000000227</v>
      </c>
      <c r="I36" s="25">
        <f t="shared" si="2"/>
        <v>1620.0000000000045</v>
      </c>
      <c r="J36" s="26">
        <f t="shared" si="3"/>
        <v>2516265.000000007</v>
      </c>
      <c r="K36" s="24">
        <f t="shared" si="4"/>
        <v>11069495.000000233</v>
      </c>
      <c r="L36" s="27">
        <f t="shared" si="5"/>
        <v>12176444.500000257</v>
      </c>
      <c r="M36" s="28">
        <f t="shared" si="6"/>
        <v>846.70360197484581</v>
      </c>
      <c r="N36" s="29"/>
    </row>
    <row r="37" spans="1:16">
      <c r="A37" s="20"/>
      <c r="B37" s="22">
        <v>30</v>
      </c>
      <c r="C37" s="94">
        <v>23</v>
      </c>
      <c r="D37" s="98">
        <v>112</v>
      </c>
      <c r="E37" s="24">
        <v>3.9400000000000546</v>
      </c>
      <c r="F37" s="25">
        <f t="shared" si="0"/>
        <v>7880.0000000001091</v>
      </c>
      <c r="G37" s="26">
        <f>F37*1035.5</f>
        <v>8159740.0000001127</v>
      </c>
      <c r="H37" s="24">
        <v>0.80000000000001137</v>
      </c>
      <c r="I37" s="25">
        <f t="shared" si="2"/>
        <v>1600.0000000000227</v>
      </c>
      <c r="J37" s="26">
        <f t="shared" si="3"/>
        <v>2485200.0000000354</v>
      </c>
      <c r="K37" s="24">
        <f t="shared" si="4"/>
        <v>10644940.000000149</v>
      </c>
      <c r="L37" s="27">
        <f t="shared" si="5"/>
        <v>11709434.000000166</v>
      </c>
      <c r="M37" s="28">
        <f t="shared" si="6"/>
        <v>814.22946943885449</v>
      </c>
      <c r="N37" s="29"/>
    </row>
    <row r="38" spans="1:16">
      <c r="C38" s="30">
        <f>SUM(C8:C37)</f>
        <v>1034</v>
      </c>
      <c r="D38" s="30">
        <f>SUM(D8:D37)</f>
        <v>4858</v>
      </c>
      <c r="E38" s="31">
        <v>3.2799999999999727</v>
      </c>
      <c r="F38" s="30">
        <f>SUM(F8:F37)</f>
        <v>249820.00000000058</v>
      </c>
      <c r="I38" s="30">
        <f>SUM(I8:I37)</f>
        <v>51019.999999999978</v>
      </c>
      <c r="L38" s="32">
        <f>SUM(L8:L37)</f>
        <v>371728967.50000072</v>
      </c>
      <c r="M38" s="33">
        <f>SUM(M8:M37)</f>
        <v>25848.617446631015</v>
      </c>
      <c r="N38" s="34"/>
      <c r="P38" s="35"/>
    </row>
    <row r="40" spans="1:16">
      <c r="G40" s="84" t="s">
        <v>28</v>
      </c>
      <c r="H40" s="85"/>
      <c r="I40" s="86">
        <f>F38+I38</f>
        <v>300840.00000000058</v>
      </c>
      <c r="M40" s="36"/>
      <c r="P40" s="37"/>
    </row>
    <row r="41" spans="1:16">
      <c r="M41" s="38"/>
    </row>
  </sheetData>
  <mergeCells count="17"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21" workbookViewId="0">
      <selection activeCell="I33" sqref="I33:I38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42578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42578125" customWidth="1"/>
    <col min="21" max="21" width="21.42578125" customWidth="1"/>
  </cols>
  <sheetData>
    <row r="1" spans="1:21" ht="15.95">
      <c r="B1" s="104" t="s">
        <v>29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21" ht="15.95">
      <c r="B2" s="104" t="s">
        <v>16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09">
        <v>44805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6"/>
    </row>
    <row r="5" spans="1:21">
      <c r="A5" s="17"/>
      <c r="B5" s="106" t="s">
        <v>17</v>
      </c>
      <c r="C5" s="106" t="s">
        <v>18</v>
      </c>
      <c r="D5" s="106" t="s">
        <v>13</v>
      </c>
      <c r="E5" s="110" t="s">
        <v>30</v>
      </c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1" t="s">
        <v>31</v>
      </c>
      <c r="R5" s="111"/>
      <c r="S5" s="18"/>
    </row>
    <row r="6" spans="1:21" s="19" customFormat="1">
      <c r="A6" s="17"/>
      <c r="B6" s="106"/>
      <c r="C6" s="106"/>
      <c r="D6" s="106"/>
      <c r="E6" s="110" t="s">
        <v>32</v>
      </c>
      <c r="F6" s="110"/>
      <c r="G6" s="110"/>
      <c r="H6" s="110" t="s">
        <v>33</v>
      </c>
      <c r="I6" s="110"/>
      <c r="J6" s="110"/>
      <c r="K6" s="110" t="s">
        <v>34</v>
      </c>
      <c r="L6" s="110"/>
      <c r="M6" s="110"/>
      <c r="N6" s="112" t="s">
        <v>35</v>
      </c>
      <c r="O6" s="112"/>
      <c r="P6" s="112"/>
      <c r="Q6" s="111"/>
      <c r="R6" s="111"/>
      <c r="S6" s="18"/>
    </row>
    <row r="7" spans="1:21" ht="24">
      <c r="A7" s="20"/>
      <c r="B7" s="106"/>
      <c r="C7" s="106"/>
      <c r="D7" s="106"/>
      <c r="E7" s="106" t="s">
        <v>36</v>
      </c>
      <c r="F7" s="113" t="s">
        <v>37</v>
      </c>
      <c r="G7" s="43" t="s">
        <v>38</v>
      </c>
      <c r="H7" s="106" t="s">
        <v>39</v>
      </c>
      <c r="I7" s="106" t="s">
        <v>37</v>
      </c>
      <c r="J7" s="43" t="s">
        <v>38</v>
      </c>
      <c r="K7" s="106" t="s">
        <v>36</v>
      </c>
      <c r="L7" s="106" t="s">
        <v>37</v>
      </c>
      <c r="M7" s="43" t="s">
        <v>40</v>
      </c>
      <c r="N7" s="106" t="s">
        <v>41</v>
      </c>
      <c r="O7" s="106" t="s">
        <v>37</v>
      </c>
      <c r="P7" s="43" t="s">
        <v>40</v>
      </c>
      <c r="Q7" s="111"/>
      <c r="R7" s="111"/>
      <c r="S7" s="21"/>
    </row>
    <row r="8" spans="1:21">
      <c r="A8" s="20"/>
      <c r="B8" s="106"/>
      <c r="C8" s="106"/>
      <c r="D8" s="106"/>
      <c r="E8" s="106"/>
      <c r="F8" s="114"/>
      <c r="G8" s="44">
        <v>15840</v>
      </c>
      <c r="H8" s="106"/>
      <c r="I8" s="106"/>
      <c r="J8" s="44">
        <f>G8</f>
        <v>15840</v>
      </c>
      <c r="K8" s="106"/>
      <c r="L8" s="106"/>
      <c r="M8" s="44">
        <f>J8</f>
        <v>15840</v>
      </c>
      <c r="N8" s="106"/>
      <c r="O8" s="106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25</v>
      </c>
      <c r="D9" s="47">
        <f>Electricity!D8</f>
        <v>128</v>
      </c>
      <c r="E9" s="92">
        <v>11897.6</v>
      </c>
      <c r="F9" s="100">
        <v>95.463600000002927</v>
      </c>
      <c r="G9" s="49">
        <f>F9*$G$8</f>
        <v>1512143.4240000464</v>
      </c>
      <c r="H9" s="48">
        <v>1419.2</v>
      </c>
      <c r="I9" s="93">
        <v>32.586520000000583</v>
      </c>
      <c r="J9" s="49">
        <f>I9*$J$8</f>
        <v>516170.47680000926</v>
      </c>
      <c r="K9" s="48"/>
      <c r="L9" s="24">
        <v>0</v>
      </c>
      <c r="M9" s="25">
        <f>L9*$M$8</f>
        <v>0</v>
      </c>
      <c r="N9" s="48"/>
      <c r="O9" s="24">
        <v>0</v>
      </c>
      <c r="P9" s="50">
        <f>O9*$P$8</f>
        <v>0</v>
      </c>
      <c r="Q9" s="51">
        <f>P9+G9+J9+M9</f>
        <v>2028313.9008000558</v>
      </c>
      <c r="R9" s="52">
        <f>Q9/14381</f>
        <v>141.04122806481161</v>
      </c>
      <c r="S9" s="21"/>
    </row>
    <row r="10" spans="1:21">
      <c r="A10" s="20"/>
      <c r="B10" s="22">
        <v>2</v>
      </c>
      <c r="C10" s="46">
        <f>Electricity!C9</f>
        <v>32</v>
      </c>
      <c r="D10" s="47">
        <f>Electricity!D9</f>
        <v>139</v>
      </c>
      <c r="E10" s="92">
        <v>11917.9</v>
      </c>
      <c r="F10" s="101">
        <v>81.768399999997058</v>
      </c>
      <c r="G10" s="49">
        <f>F10*$G$8</f>
        <v>1295211.4559999534</v>
      </c>
      <c r="H10" s="48">
        <v>1425.58</v>
      </c>
      <c r="I10" s="93">
        <v>25.698639999999521</v>
      </c>
      <c r="J10" s="49">
        <f>I10*$J$8</f>
        <v>407066.4575999924</v>
      </c>
      <c r="K10" s="48"/>
      <c r="L10" s="24">
        <v>0</v>
      </c>
      <c r="M10" s="25">
        <f t="shared" ref="M10:M38" si="0">L10*$M$8</f>
        <v>0</v>
      </c>
      <c r="N10" s="48"/>
      <c r="O10" s="24">
        <v>50</v>
      </c>
      <c r="P10" s="50">
        <f>O10*$P$8</f>
        <v>792000</v>
      </c>
      <c r="Q10" s="51">
        <f>J10+M10+G10+P10</f>
        <v>2494277.9135999456</v>
      </c>
      <c r="R10" s="52">
        <f t="shared" ref="R10:R38" si="1">Q10/14381</f>
        <v>173.44259186426157</v>
      </c>
      <c r="S10" s="21"/>
    </row>
    <row r="11" spans="1:21">
      <c r="A11" s="20"/>
      <c r="B11" s="22">
        <v>3</v>
      </c>
      <c r="C11" s="46">
        <f>Electricity!C10</f>
        <v>37</v>
      </c>
      <c r="D11" s="47">
        <f>Electricity!D10</f>
        <v>154</v>
      </c>
      <c r="E11" s="92">
        <v>11938.73</v>
      </c>
      <c r="F11" s="101">
        <v>83.903239999999698</v>
      </c>
      <c r="G11" s="49">
        <f t="shared" ref="G11:G38" si="2">F11*$G$8</f>
        <v>1329027.3215999953</v>
      </c>
      <c r="H11" s="48">
        <v>1431.56</v>
      </c>
      <c r="I11" s="93">
        <v>24.087440000000072</v>
      </c>
      <c r="J11" s="49">
        <f t="shared" ref="J11:J38" si="3">I11*$J$8</f>
        <v>381545.04960000113</v>
      </c>
      <c r="K11" s="48"/>
      <c r="L11" s="24">
        <v>0</v>
      </c>
      <c r="M11" s="25">
        <f t="shared" si="0"/>
        <v>0</v>
      </c>
      <c r="N11" s="48"/>
      <c r="O11" s="24">
        <v>0</v>
      </c>
      <c r="P11" s="50">
        <f t="shared" ref="P11:P38" si="4">O11*$P$8</f>
        <v>0</v>
      </c>
      <c r="Q11" s="51">
        <f t="shared" ref="Q11:Q38" si="5">J11+M11+G11+P11</f>
        <v>1710572.3711999964</v>
      </c>
      <c r="R11" s="52">
        <f t="shared" si="1"/>
        <v>118.94669155135223</v>
      </c>
      <c r="S11" s="21"/>
    </row>
    <row r="12" spans="1:21">
      <c r="A12" s="20"/>
      <c r="B12" s="22">
        <v>4</v>
      </c>
      <c r="C12" s="46">
        <f>Electricity!C11</f>
        <v>40</v>
      </c>
      <c r="D12" s="47">
        <f>Electricity!D11</f>
        <v>190</v>
      </c>
      <c r="E12" s="92">
        <v>11960.2</v>
      </c>
      <c r="F12" s="101">
        <v>86.481160000004678</v>
      </c>
      <c r="G12" s="49">
        <f t="shared" si="2"/>
        <v>1369861.5744000741</v>
      </c>
      <c r="H12" s="48">
        <v>1435.97</v>
      </c>
      <c r="I12" s="93">
        <v>17.763480000000328</v>
      </c>
      <c r="J12" s="49">
        <f t="shared" si="3"/>
        <v>281373.52320000518</v>
      </c>
      <c r="K12" s="48"/>
      <c r="L12" s="24">
        <v>50</v>
      </c>
      <c r="M12" s="25">
        <f t="shared" si="0"/>
        <v>792000</v>
      </c>
      <c r="N12" s="48"/>
      <c r="O12" s="24">
        <v>0</v>
      </c>
      <c r="P12" s="50">
        <f t="shared" si="4"/>
        <v>0</v>
      </c>
      <c r="Q12" s="51">
        <f t="shared" si="5"/>
        <v>2443235.0976000791</v>
      </c>
      <c r="R12" s="52">
        <f t="shared" si="1"/>
        <v>169.89326872957923</v>
      </c>
      <c r="S12" s="21"/>
    </row>
    <row r="13" spans="1:21">
      <c r="A13" s="20"/>
      <c r="B13" s="22">
        <v>5</v>
      </c>
      <c r="C13" s="46">
        <f>Electricity!C12</f>
        <v>36</v>
      </c>
      <c r="D13" s="47">
        <f>Electricity!D12</f>
        <v>154</v>
      </c>
      <c r="E13" s="92">
        <v>11985.67</v>
      </c>
      <c r="F13" s="101">
        <v>102.59315999999735</v>
      </c>
      <c r="G13" s="49">
        <f t="shared" si="2"/>
        <v>1625075.6543999582</v>
      </c>
      <c r="H13" s="48">
        <v>1441.6</v>
      </c>
      <c r="I13" s="93">
        <v>22.677639999999521</v>
      </c>
      <c r="J13" s="49">
        <f t="shared" si="3"/>
        <v>359213.81759999238</v>
      </c>
      <c r="K13" s="48"/>
      <c r="L13" s="24">
        <v>0</v>
      </c>
      <c r="M13" s="25">
        <f t="shared" si="0"/>
        <v>0</v>
      </c>
      <c r="N13" s="48"/>
      <c r="O13" s="24">
        <v>0</v>
      </c>
      <c r="P13" s="50">
        <f t="shared" si="4"/>
        <v>0</v>
      </c>
      <c r="Q13" s="51">
        <f t="shared" si="5"/>
        <v>1984289.4719999507</v>
      </c>
      <c r="R13" s="52">
        <f t="shared" si="1"/>
        <v>137.97993686113278</v>
      </c>
      <c r="S13" s="21"/>
    </row>
    <row r="14" spans="1:21">
      <c r="A14" s="20"/>
      <c r="B14" s="22">
        <v>6</v>
      </c>
      <c r="C14" s="46">
        <f>Electricity!C13</f>
        <v>32</v>
      </c>
      <c r="D14" s="47">
        <f>Electricity!D13</f>
        <v>156</v>
      </c>
      <c r="E14" s="92">
        <v>12009.79</v>
      </c>
      <c r="F14" s="101">
        <v>97.155360000003213</v>
      </c>
      <c r="G14" s="49">
        <f t="shared" si="2"/>
        <v>1538940.902400051</v>
      </c>
      <c r="H14" s="48">
        <v>1447.28</v>
      </c>
      <c r="I14" s="93">
        <v>22.879040000000256</v>
      </c>
      <c r="J14" s="49">
        <f t="shared" si="3"/>
        <v>362403.99360000406</v>
      </c>
      <c r="K14" s="48"/>
      <c r="L14" s="24">
        <v>0</v>
      </c>
      <c r="M14" s="25">
        <f t="shared" si="0"/>
        <v>0</v>
      </c>
      <c r="N14" s="48"/>
      <c r="O14" s="24">
        <v>0</v>
      </c>
      <c r="P14" s="50">
        <f t="shared" si="4"/>
        <v>0</v>
      </c>
      <c r="Q14" s="51">
        <f t="shared" si="5"/>
        <v>1901344.8960000551</v>
      </c>
      <c r="R14" s="52">
        <f t="shared" si="1"/>
        <v>132.21228676726619</v>
      </c>
      <c r="S14" s="21"/>
    </row>
    <row r="15" spans="1:21">
      <c r="A15" s="20"/>
      <c r="B15" s="22">
        <v>7</v>
      </c>
      <c r="C15" s="46">
        <f>Electricity!C14</f>
        <v>49</v>
      </c>
      <c r="D15" s="47">
        <f>Electricity!D14</f>
        <v>119</v>
      </c>
      <c r="E15" s="92">
        <v>12032.38</v>
      </c>
      <c r="F15" s="101">
        <v>90.992519999993249</v>
      </c>
      <c r="G15" s="49">
        <f t="shared" si="2"/>
        <v>1441321.516799893</v>
      </c>
      <c r="H15" s="48">
        <v>1452.81</v>
      </c>
      <c r="I15" s="93">
        <v>22.274839999999887</v>
      </c>
      <c r="J15" s="49">
        <f t="shared" si="3"/>
        <v>352833.46559999819</v>
      </c>
      <c r="K15" s="48"/>
      <c r="L15" s="24">
        <v>0</v>
      </c>
      <c r="M15" s="25">
        <f t="shared" si="0"/>
        <v>0</v>
      </c>
      <c r="N15" s="48"/>
      <c r="O15" s="24">
        <v>0</v>
      </c>
      <c r="P15" s="50">
        <f t="shared" si="4"/>
        <v>0</v>
      </c>
      <c r="Q15" s="51">
        <f t="shared" si="5"/>
        <v>1794154.9823998911</v>
      </c>
      <c r="R15" s="52">
        <f t="shared" si="1"/>
        <v>124.75870818440241</v>
      </c>
      <c r="S15" s="21"/>
    </row>
    <row r="16" spans="1:21">
      <c r="A16" s="20"/>
      <c r="B16" s="22">
        <v>8</v>
      </c>
      <c r="C16" s="46">
        <f>Electricity!C15</f>
        <v>47</v>
      </c>
      <c r="D16" s="47">
        <f>Electricity!D15</f>
        <v>201</v>
      </c>
      <c r="E16" s="92">
        <v>12054.65</v>
      </c>
      <c r="F16" s="101">
        <v>89.703560000001744</v>
      </c>
      <c r="G16" s="49">
        <f t="shared" si="2"/>
        <v>1420904.3904000276</v>
      </c>
      <c r="H16" s="48">
        <v>1456.04</v>
      </c>
      <c r="I16" s="93">
        <v>13.010440000000072</v>
      </c>
      <c r="J16" s="49">
        <f t="shared" si="3"/>
        <v>206085.36960000114</v>
      </c>
      <c r="K16" s="48"/>
      <c r="L16" s="24">
        <v>0</v>
      </c>
      <c r="M16" s="25">
        <f t="shared" si="0"/>
        <v>0</v>
      </c>
      <c r="N16" s="48"/>
      <c r="O16" s="24">
        <v>0</v>
      </c>
      <c r="P16" s="50">
        <f t="shared" si="4"/>
        <v>0</v>
      </c>
      <c r="Q16" s="51">
        <f t="shared" si="5"/>
        <v>1626989.7600000286</v>
      </c>
      <c r="R16" s="52">
        <f t="shared" si="1"/>
        <v>113.13467491829697</v>
      </c>
      <c r="S16" s="21"/>
    </row>
    <row r="17" spans="1:19">
      <c r="A17" s="20"/>
      <c r="B17" s="22">
        <v>9</v>
      </c>
      <c r="C17" s="46">
        <f>Electricity!C16</f>
        <v>32</v>
      </c>
      <c r="D17" s="47">
        <f>Electricity!D16</f>
        <v>178</v>
      </c>
      <c r="E17" s="80">
        <v>12077.14</v>
      </c>
      <c r="F17" s="101">
        <v>90.589719999999105</v>
      </c>
      <c r="G17" s="49">
        <f t="shared" si="2"/>
        <v>1434941.1647999857</v>
      </c>
      <c r="H17" s="48">
        <v>1461.05</v>
      </c>
      <c r="I17" s="93">
        <v>20.180279999999961</v>
      </c>
      <c r="J17" s="49">
        <f t="shared" si="3"/>
        <v>319655.63519999938</v>
      </c>
      <c r="K17" s="48"/>
      <c r="L17" s="24">
        <v>0</v>
      </c>
      <c r="M17" s="25">
        <f t="shared" si="0"/>
        <v>0</v>
      </c>
      <c r="N17" s="48"/>
      <c r="O17" s="24">
        <v>50</v>
      </c>
      <c r="P17" s="50">
        <f t="shared" si="4"/>
        <v>792000</v>
      </c>
      <c r="Q17" s="51">
        <f t="shared" si="5"/>
        <v>2546596.7999999849</v>
      </c>
      <c r="R17" s="52">
        <f t="shared" si="1"/>
        <v>177.08064807732319</v>
      </c>
      <c r="S17" s="21"/>
    </row>
    <row r="18" spans="1:19">
      <c r="A18" s="20"/>
      <c r="B18" s="22">
        <v>10</v>
      </c>
      <c r="C18" s="46">
        <f>Electricity!C17</f>
        <v>35</v>
      </c>
      <c r="D18" s="47">
        <f>Electricity!D17</f>
        <v>148</v>
      </c>
      <c r="E18" s="92">
        <v>12098.98</v>
      </c>
      <c r="F18" s="101">
        <v>87.971520000000581</v>
      </c>
      <c r="G18" s="49">
        <f t="shared" si="2"/>
        <v>1393468.8768000093</v>
      </c>
      <c r="H18" s="48">
        <v>1468.2</v>
      </c>
      <c r="I18" s="93">
        <v>28.800200000000363</v>
      </c>
      <c r="J18" s="49">
        <f t="shared" si="3"/>
        <v>456195.16800000577</v>
      </c>
      <c r="K18" s="48"/>
      <c r="L18" s="24">
        <v>0</v>
      </c>
      <c r="M18" s="25">
        <f t="shared" si="0"/>
        <v>0</v>
      </c>
      <c r="N18" s="48"/>
      <c r="O18" s="24">
        <v>0</v>
      </c>
      <c r="P18" s="50">
        <f t="shared" si="4"/>
        <v>0</v>
      </c>
      <c r="Q18" s="51">
        <f t="shared" si="5"/>
        <v>1849664.0448000152</v>
      </c>
      <c r="R18" s="52">
        <f t="shared" si="1"/>
        <v>128.61859709338816</v>
      </c>
      <c r="S18" s="21"/>
    </row>
    <row r="19" spans="1:19">
      <c r="A19" s="20"/>
      <c r="B19" s="22">
        <v>11</v>
      </c>
      <c r="C19" s="46">
        <f>Electricity!C18</f>
        <v>37</v>
      </c>
      <c r="D19" s="47">
        <f>Electricity!D18</f>
        <v>161</v>
      </c>
      <c r="E19" s="92">
        <v>12120.05</v>
      </c>
      <c r="F19" s="102">
        <v>84.869959999998812</v>
      </c>
      <c r="G19" s="49">
        <f t="shared" si="2"/>
        <v>1344340.1663999811</v>
      </c>
      <c r="H19" s="48">
        <v>1473.65</v>
      </c>
      <c r="I19" s="93">
        <v>21.952600000000182</v>
      </c>
      <c r="J19" s="49">
        <f t="shared" si="3"/>
        <v>347729.18400000286</v>
      </c>
      <c r="K19" s="48"/>
      <c r="L19" s="24">
        <v>0</v>
      </c>
      <c r="M19" s="25">
        <f t="shared" si="0"/>
        <v>0</v>
      </c>
      <c r="N19" s="48"/>
      <c r="O19" s="24">
        <v>0</v>
      </c>
      <c r="P19" s="50">
        <f t="shared" si="4"/>
        <v>0</v>
      </c>
      <c r="Q19" s="51">
        <f t="shared" si="5"/>
        <v>1692069.350399984</v>
      </c>
      <c r="R19" s="52">
        <f t="shared" si="1"/>
        <v>117.66006191502566</v>
      </c>
      <c r="S19" s="21"/>
    </row>
    <row r="20" spans="1:19">
      <c r="A20" s="20"/>
      <c r="B20" s="22">
        <v>12</v>
      </c>
      <c r="C20" s="46">
        <f>Electricity!C19</f>
        <v>30</v>
      </c>
      <c r="D20" s="47">
        <f>Electricity!D19</f>
        <v>158</v>
      </c>
      <c r="E20" s="92">
        <v>12141.91</v>
      </c>
      <c r="F20" s="102">
        <v>88.052080000002334</v>
      </c>
      <c r="G20" s="49">
        <f t="shared" si="2"/>
        <v>1394744.9472000371</v>
      </c>
      <c r="H20" s="48">
        <v>1479.29</v>
      </c>
      <c r="I20" s="93">
        <v>22.717919999999484</v>
      </c>
      <c r="J20" s="49">
        <f t="shared" si="3"/>
        <v>359851.85279999184</v>
      </c>
      <c r="K20" s="48"/>
      <c r="L20" s="24">
        <v>50</v>
      </c>
      <c r="M20" s="25">
        <f t="shared" si="0"/>
        <v>792000</v>
      </c>
      <c r="N20" s="48"/>
      <c r="O20" s="24">
        <v>0</v>
      </c>
      <c r="P20" s="50">
        <f t="shared" si="4"/>
        <v>0</v>
      </c>
      <c r="Q20" s="51">
        <f t="shared" si="5"/>
        <v>2546596.8000000287</v>
      </c>
      <c r="R20" s="52">
        <f t="shared" si="1"/>
        <v>177.08064807732623</v>
      </c>
      <c r="S20" s="21"/>
    </row>
    <row r="21" spans="1:19">
      <c r="A21" s="20"/>
      <c r="B21" s="22">
        <v>13</v>
      </c>
      <c r="C21" s="46">
        <f>Electricity!C20</f>
        <v>35</v>
      </c>
      <c r="D21" s="47">
        <f>Electricity!D20</f>
        <v>159</v>
      </c>
      <c r="E21" s="92">
        <v>12163.05</v>
      </c>
      <c r="F21" s="102">
        <v>85.151919999997645</v>
      </c>
      <c r="G21" s="49">
        <f t="shared" si="2"/>
        <v>1348806.4127999628</v>
      </c>
      <c r="H21" s="48">
        <v>1485.32</v>
      </c>
      <c r="I21" s="93">
        <v>24.288839999999887</v>
      </c>
      <c r="J21" s="49">
        <f t="shared" si="3"/>
        <v>384735.2255999982</v>
      </c>
      <c r="K21" s="48"/>
      <c r="L21" s="24">
        <v>0</v>
      </c>
      <c r="M21" s="25">
        <f t="shared" si="0"/>
        <v>0</v>
      </c>
      <c r="N21" s="48"/>
      <c r="O21" s="24">
        <v>0</v>
      </c>
      <c r="P21" s="50">
        <f t="shared" si="4"/>
        <v>0</v>
      </c>
      <c r="Q21" s="51">
        <f t="shared" si="5"/>
        <v>1733541.6383999609</v>
      </c>
      <c r="R21" s="52">
        <f t="shared" si="1"/>
        <v>120.54388696196098</v>
      </c>
      <c r="S21" s="21"/>
    </row>
    <row r="22" spans="1:19">
      <c r="A22" s="20"/>
      <c r="B22" s="22">
        <v>14</v>
      </c>
      <c r="C22" s="46">
        <f>Electricity!C21</f>
        <v>37</v>
      </c>
      <c r="D22" s="47">
        <f>Electricity!D21</f>
        <v>185</v>
      </c>
      <c r="E22" s="92">
        <v>12186.56</v>
      </c>
      <c r="F22" s="102">
        <v>94.698280000000864</v>
      </c>
      <c r="G22" s="49">
        <f t="shared" si="2"/>
        <v>1500020.7552000138</v>
      </c>
      <c r="H22" s="48">
        <v>1491.02</v>
      </c>
      <c r="I22" s="93">
        <v>22.959600000000179</v>
      </c>
      <c r="J22" s="49">
        <f t="shared" si="3"/>
        <v>363680.06400000287</v>
      </c>
      <c r="K22" s="48"/>
      <c r="L22" s="24">
        <v>0</v>
      </c>
      <c r="M22" s="25">
        <f t="shared" si="0"/>
        <v>0</v>
      </c>
      <c r="N22" s="48"/>
      <c r="O22" s="24">
        <v>0</v>
      </c>
      <c r="P22" s="50">
        <f t="shared" si="4"/>
        <v>0</v>
      </c>
      <c r="Q22" s="51">
        <f t="shared" si="5"/>
        <v>1863700.8192000166</v>
      </c>
      <c r="R22" s="52">
        <f t="shared" si="1"/>
        <v>129.59466095542845</v>
      </c>
      <c r="S22" s="21"/>
    </row>
    <row r="23" spans="1:19">
      <c r="A23" s="20"/>
      <c r="B23" s="22">
        <v>15</v>
      </c>
      <c r="C23" s="46">
        <f>Electricity!C22</f>
        <v>37</v>
      </c>
      <c r="D23" s="47">
        <f>Electricity!D22</f>
        <v>188</v>
      </c>
      <c r="E23" s="92">
        <v>12212.2</v>
      </c>
      <c r="F23" s="102">
        <v>103.27792000000497</v>
      </c>
      <c r="G23" s="49">
        <f t="shared" si="2"/>
        <v>1635922.2528000786</v>
      </c>
      <c r="H23" s="48">
        <v>1496.81</v>
      </c>
      <c r="I23" s="93">
        <v>23.322119999999853</v>
      </c>
      <c r="J23" s="49">
        <f t="shared" si="3"/>
        <v>369422.38079999766</v>
      </c>
      <c r="K23" s="48"/>
      <c r="L23" s="24">
        <v>0</v>
      </c>
      <c r="M23" s="25">
        <f t="shared" si="0"/>
        <v>0</v>
      </c>
      <c r="N23" s="48"/>
      <c r="O23" s="24">
        <v>0</v>
      </c>
      <c r="P23" s="50">
        <f t="shared" si="4"/>
        <v>0</v>
      </c>
      <c r="Q23" s="51">
        <f t="shared" si="5"/>
        <v>2005344.6336000762</v>
      </c>
      <c r="R23" s="52">
        <f t="shared" si="1"/>
        <v>139.44403265420181</v>
      </c>
      <c r="S23" s="21"/>
    </row>
    <row r="24" spans="1:19">
      <c r="A24" s="20"/>
      <c r="B24" s="22">
        <v>16</v>
      </c>
      <c r="C24" s="46">
        <f>Electricity!C23</f>
        <v>39</v>
      </c>
      <c r="D24" s="47">
        <f>Electricity!D23</f>
        <v>195</v>
      </c>
      <c r="E24" s="92">
        <v>12234.73</v>
      </c>
      <c r="F24" s="102">
        <v>90.750839999995307</v>
      </c>
      <c r="G24" s="49">
        <f t="shared" si="2"/>
        <v>1437493.3055999256</v>
      </c>
      <c r="H24" s="48">
        <v>1502.61</v>
      </c>
      <c r="I24" s="93">
        <v>23.362399999999813</v>
      </c>
      <c r="J24" s="49">
        <f t="shared" si="3"/>
        <v>370060.41599999706</v>
      </c>
      <c r="K24" s="48"/>
      <c r="L24" s="24">
        <v>0</v>
      </c>
      <c r="M24" s="25">
        <f t="shared" si="0"/>
        <v>0</v>
      </c>
      <c r="N24" s="48"/>
      <c r="O24" s="24">
        <v>0</v>
      </c>
      <c r="P24" s="50">
        <f t="shared" si="4"/>
        <v>0</v>
      </c>
      <c r="Q24" s="51">
        <f t="shared" si="5"/>
        <v>1807553.7215999225</v>
      </c>
      <c r="R24" s="52">
        <f t="shared" si="1"/>
        <v>125.69040550726115</v>
      </c>
      <c r="S24" s="21"/>
    </row>
    <row r="25" spans="1:19">
      <c r="A25" s="20"/>
      <c r="B25" s="22">
        <v>17</v>
      </c>
      <c r="C25" s="46">
        <f>Electricity!C24</f>
        <v>34</v>
      </c>
      <c r="D25" s="47">
        <f>Electricity!D24</f>
        <v>147</v>
      </c>
      <c r="E25" s="92">
        <v>12254.57</v>
      </c>
      <c r="F25" s="102">
        <v>79.915520000000583</v>
      </c>
      <c r="G25" s="49">
        <f t="shared" si="2"/>
        <v>1265861.8368000092</v>
      </c>
      <c r="H25" s="48">
        <v>1507.66</v>
      </c>
      <c r="I25" s="93">
        <v>20.341400000000732</v>
      </c>
      <c r="J25" s="49">
        <f t="shared" si="3"/>
        <v>322207.7760000116</v>
      </c>
      <c r="K25" s="48"/>
      <c r="L25" s="24">
        <v>0</v>
      </c>
      <c r="M25" s="25">
        <f t="shared" si="0"/>
        <v>0</v>
      </c>
      <c r="N25" s="48"/>
      <c r="O25" s="24">
        <v>0</v>
      </c>
      <c r="P25" s="50">
        <f t="shared" si="4"/>
        <v>0</v>
      </c>
      <c r="Q25" s="51">
        <f t="shared" si="5"/>
        <v>1588069.6128000207</v>
      </c>
      <c r="R25" s="52">
        <f t="shared" si="1"/>
        <v>110.42831602809406</v>
      </c>
      <c r="S25" s="21"/>
    </row>
    <row r="26" spans="1:19">
      <c r="A26" s="20"/>
      <c r="B26" s="22">
        <v>18</v>
      </c>
      <c r="C26" s="46">
        <f>Electricity!C25</f>
        <v>30</v>
      </c>
      <c r="D26" s="47">
        <f>Electricity!D25</f>
        <v>171</v>
      </c>
      <c r="E26" s="92">
        <v>12275.14</v>
      </c>
      <c r="F26" s="102">
        <v>82.855959999998817</v>
      </c>
      <c r="G26" s="49">
        <f t="shared" si="2"/>
        <v>1312438.4063999814</v>
      </c>
      <c r="H26" s="48">
        <v>1513.02</v>
      </c>
      <c r="I26" s="93">
        <v>21.590079999999595</v>
      </c>
      <c r="J26" s="49">
        <f t="shared" si="3"/>
        <v>341986.86719999358</v>
      </c>
      <c r="K26" s="48"/>
      <c r="L26" s="24">
        <v>0</v>
      </c>
      <c r="M26" s="25">
        <f t="shared" si="0"/>
        <v>0</v>
      </c>
      <c r="N26" s="48"/>
      <c r="O26" s="24">
        <v>0</v>
      </c>
      <c r="P26" s="50">
        <f t="shared" si="4"/>
        <v>0</v>
      </c>
      <c r="Q26" s="51">
        <f t="shared" si="5"/>
        <v>1654425.2735999748</v>
      </c>
      <c r="R26" s="52">
        <f t="shared" si="1"/>
        <v>115.04243610318996</v>
      </c>
      <c r="S26" s="21"/>
    </row>
    <row r="27" spans="1:19">
      <c r="A27" s="20"/>
      <c r="B27" s="22">
        <v>19</v>
      </c>
      <c r="C27" s="46">
        <f>Electricity!C26</f>
        <v>17</v>
      </c>
      <c r="D27" s="47">
        <f>Electricity!D26</f>
        <v>136</v>
      </c>
      <c r="E27" s="99">
        <v>12296.53</v>
      </c>
      <c r="F27" s="102">
        <v>86.158920000004969</v>
      </c>
      <c r="G27" s="49">
        <f t="shared" si="2"/>
        <v>1364757.2928000786</v>
      </c>
      <c r="H27" s="48">
        <v>1518.68</v>
      </c>
      <c r="I27" s="93">
        <v>22.798480000000328</v>
      </c>
      <c r="J27" s="49">
        <f t="shared" si="3"/>
        <v>361127.9232000052</v>
      </c>
      <c r="K27" s="48"/>
      <c r="L27" s="24">
        <v>0</v>
      </c>
      <c r="M27" s="25">
        <f t="shared" si="0"/>
        <v>0</v>
      </c>
      <c r="N27" s="48"/>
      <c r="O27" s="24">
        <v>0</v>
      </c>
      <c r="P27" s="50">
        <f t="shared" si="4"/>
        <v>0</v>
      </c>
      <c r="Q27" s="51">
        <f t="shared" si="5"/>
        <v>1725885.2160000838</v>
      </c>
      <c r="R27" s="52">
        <f t="shared" si="1"/>
        <v>120.01148849176579</v>
      </c>
      <c r="S27" s="21"/>
    </row>
    <row r="28" spans="1:19">
      <c r="A28" s="20"/>
      <c r="B28" s="22">
        <v>20</v>
      </c>
      <c r="C28" s="46">
        <f>Electricity!C27</f>
        <v>23</v>
      </c>
      <c r="D28" s="47">
        <f>Electricity!D27</f>
        <v>98</v>
      </c>
      <c r="E28" s="99">
        <v>12318.82</v>
      </c>
      <c r="F28" s="102">
        <v>89.784119999996179</v>
      </c>
      <c r="G28" s="49">
        <f t="shared" si="2"/>
        <v>1422180.4607999395</v>
      </c>
      <c r="H28" s="48">
        <v>1524.55</v>
      </c>
      <c r="I28" s="93">
        <v>23.644359999999558</v>
      </c>
      <c r="J28" s="49">
        <f t="shared" si="3"/>
        <v>374526.66239999299</v>
      </c>
      <c r="K28" s="48"/>
      <c r="L28" s="24">
        <v>0</v>
      </c>
      <c r="M28" s="25">
        <f t="shared" si="0"/>
        <v>0</v>
      </c>
      <c r="N28" s="48"/>
      <c r="O28" s="24">
        <v>0</v>
      </c>
      <c r="P28" s="50">
        <f t="shared" si="4"/>
        <v>0</v>
      </c>
      <c r="Q28" s="51">
        <f t="shared" si="5"/>
        <v>1796707.1231999325</v>
      </c>
      <c r="R28" s="52">
        <f t="shared" si="1"/>
        <v>124.93617434113987</v>
      </c>
      <c r="S28" s="21"/>
    </row>
    <row r="29" spans="1:19">
      <c r="A29" s="20"/>
      <c r="B29" s="22">
        <v>21</v>
      </c>
      <c r="C29" s="46">
        <f>Electricity!C28</f>
        <v>34</v>
      </c>
      <c r="D29" s="47">
        <f>Electricity!D28</f>
        <v>159</v>
      </c>
      <c r="E29" s="99">
        <v>12340.05</v>
      </c>
      <c r="F29" s="102">
        <v>85.514439999998231</v>
      </c>
      <c r="G29" s="49">
        <f t="shared" si="2"/>
        <v>1354548.729599972</v>
      </c>
      <c r="H29" s="48">
        <v>1529.77</v>
      </c>
      <c r="I29" s="93">
        <v>21.026160000000107</v>
      </c>
      <c r="J29" s="49">
        <f t="shared" si="3"/>
        <v>333054.37440000172</v>
      </c>
      <c r="K29" s="48"/>
      <c r="L29" s="24">
        <v>0</v>
      </c>
      <c r="M29" s="25">
        <f t="shared" si="0"/>
        <v>0</v>
      </c>
      <c r="N29" s="48"/>
      <c r="O29" s="24">
        <v>0</v>
      </c>
      <c r="P29" s="50">
        <f t="shared" si="4"/>
        <v>0</v>
      </c>
      <c r="Q29" s="51">
        <f t="shared" si="5"/>
        <v>1687603.1039999737</v>
      </c>
      <c r="R29" s="52">
        <f t="shared" si="1"/>
        <v>117.34949614073943</v>
      </c>
      <c r="S29" s="21"/>
    </row>
    <row r="30" spans="1:19">
      <c r="A30" s="20"/>
      <c r="B30" s="22">
        <v>22</v>
      </c>
      <c r="C30" s="46">
        <f>Electricity!C29</f>
        <v>41</v>
      </c>
      <c r="D30" s="47">
        <f>Electricity!D29</f>
        <v>181</v>
      </c>
      <c r="E30" s="99">
        <v>12361.65</v>
      </c>
      <c r="F30" s="102">
        <v>87.004800000001453</v>
      </c>
      <c r="G30" s="49">
        <f t="shared" si="2"/>
        <v>1378156.0320000229</v>
      </c>
      <c r="H30" s="48">
        <v>1534.27</v>
      </c>
      <c r="I30" s="93">
        <v>18.125999999999998</v>
      </c>
      <c r="J30" s="49">
        <f t="shared" si="3"/>
        <v>287115.83999999997</v>
      </c>
      <c r="K30" s="48"/>
      <c r="L30" s="24">
        <v>0</v>
      </c>
      <c r="M30" s="25">
        <f t="shared" si="0"/>
        <v>0</v>
      </c>
      <c r="N30" s="48"/>
      <c r="O30" s="24">
        <v>0</v>
      </c>
      <c r="P30" s="50">
        <f t="shared" si="4"/>
        <v>0</v>
      </c>
      <c r="Q30" s="51">
        <f t="shared" si="5"/>
        <v>1665271.8720000228</v>
      </c>
      <c r="R30" s="52">
        <f t="shared" si="1"/>
        <v>115.79666726931526</v>
      </c>
      <c r="S30" s="21"/>
    </row>
    <row r="31" spans="1:19">
      <c r="A31" s="20"/>
      <c r="B31" s="22">
        <v>23</v>
      </c>
      <c r="C31" s="46">
        <f>Electricity!C30</f>
        <v>39</v>
      </c>
      <c r="D31" s="47">
        <f>Electricity!D30</f>
        <v>186</v>
      </c>
      <c r="E31" s="99">
        <v>12382.06</v>
      </c>
      <c r="F31" s="102">
        <v>82.211479999999412</v>
      </c>
      <c r="G31" s="49">
        <f t="shared" si="2"/>
        <v>1302229.8431999907</v>
      </c>
      <c r="H31" s="48">
        <v>1540.65</v>
      </c>
      <c r="I31" s="93">
        <v>25.698640000000438</v>
      </c>
      <c r="J31" s="49">
        <f t="shared" si="3"/>
        <v>407066.45760000695</v>
      </c>
      <c r="K31" s="48"/>
      <c r="L31" s="24">
        <v>0</v>
      </c>
      <c r="M31" s="25">
        <f t="shared" si="0"/>
        <v>0</v>
      </c>
      <c r="N31" s="48"/>
      <c r="O31" s="24">
        <v>0</v>
      </c>
      <c r="P31" s="50">
        <f t="shared" si="4"/>
        <v>0</v>
      </c>
      <c r="Q31" s="51">
        <f t="shared" si="5"/>
        <v>1709296.3007999975</v>
      </c>
      <c r="R31" s="52">
        <f t="shared" si="1"/>
        <v>118.85795847298502</v>
      </c>
      <c r="S31" s="21"/>
    </row>
    <row r="32" spans="1:19">
      <c r="A32" s="20"/>
      <c r="B32" s="22">
        <v>24</v>
      </c>
      <c r="C32" s="46">
        <f>Electricity!C31</f>
        <v>40</v>
      </c>
      <c r="D32" s="47">
        <f>Electricity!D31</f>
        <v>208</v>
      </c>
      <c r="E32" s="99">
        <v>12402.72</v>
      </c>
      <c r="F32" s="102">
        <v>83.218479999999403</v>
      </c>
      <c r="G32" s="49">
        <f t="shared" si="2"/>
        <v>1318180.7231999906</v>
      </c>
      <c r="H32" s="48">
        <v>1546.46</v>
      </c>
      <c r="I32" s="93">
        <v>23.402679999999776</v>
      </c>
      <c r="J32" s="49">
        <f t="shared" si="3"/>
        <v>370698.45119999646</v>
      </c>
      <c r="K32" s="48"/>
      <c r="L32" s="24">
        <v>0</v>
      </c>
      <c r="M32" s="25">
        <f t="shared" si="0"/>
        <v>0</v>
      </c>
      <c r="N32" s="48"/>
      <c r="O32" s="24">
        <v>0</v>
      </c>
      <c r="P32" s="50">
        <f t="shared" si="4"/>
        <v>0</v>
      </c>
      <c r="Q32" s="51">
        <f t="shared" si="5"/>
        <v>1688879.1743999871</v>
      </c>
      <c r="R32" s="52">
        <f t="shared" si="1"/>
        <v>117.43822921910765</v>
      </c>
      <c r="S32" s="21"/>
    </row>
    <row r="33" spans="1:21">
      <c r="A33" s="20"/>
      <c r="B33" s="22">
        <v>25</v>
      </c>
      <c r="C33" s="46">
        <f>Electricity!C32</f>
        <v>44</v>
      </c>
      <c r="D33" s="47">
        <f>Electricity!D32</f>
        <v>232</v>
      </c>
      <c r="E33" s="103">
        <v>12425.47</v>
      </c>
      <c r="F33" s="102">
        <v>91.636999999999986</v>
      </c>
      <c r="G33" s="49">
        <f t="shared" si="2"/>
        <v>1451530.0799999998</v>
      </c>
      <c r="H33" s="48">
        <v>1552.11</v>
      </c>
      <c r="I33" s="93">
        <v>22.758199999999448</v>
      </c>
      <c r="J33" s="49">
        <f t="shared" si="3"/>
        <v>360489.88799999125</v>
      </c>
      <c r="K33" s="48"/>
      <c r="L33" s="24">
        <v>0</v>
      </c>
      <c r="M33" s="25">
        <f t="shared" si="0"/>
        <v>0</v>
      </c>
      <c r="N33" s="48"/>
      <c r="O33" s="24">
        <v>0</v>
      </c>
      <c r="P33" s="50">
        <f t="shared" si="4"/>
        <v>0</v>
      </c>
      <c r="Q33" s="51">
        <f t="shared" si="5"/>
        <v>1812019.967999991</v>
      </c>
      <c r="R33" s="52">
        <f t="shared" si="1"/>
        <v>126.00097128155143</v>
      </c>
      <c r="S33" s="21"/>
    </row>
    <row r="34" spans="1:21">
      <c r="A34" s="20"/>
      <c r="B34" s="22">
        <v>26</v>
      </c>
      <c r="C34" s="46">
        <f>Electricity!C33</f>
        <v>37</v>
      </c>
      <c r="D34" s="47">
        <f>Electricity!D33</f>
        <v>198</v>
      </c>
      <c r="E34" s="103">
        <v>12446.98</v>
      </c>
      <c r="F34" s="102">
        <v>86.642280000000866</v>
      </c>
      <c r="G34" s="49">
        <f t="shared" si="2"/>
        <v>1372413.7152000137</v>
      </c>
      <c r="H34" s="48">
        <v>1557.12</v>
      </c>
      <c r="I34" s="93">
        <v>20.180279999999961</v>
      </c>
      <c r="J34" s="49">
        <f t="shared" si="3"/>
        <v>319655.63519999938</v>
      </c>
      <c r="K34" s="48"/>
      <c r="L34" s="24">
        <v>0</v>
      </c>
      <c r="M34" s="25">
        <f t="shared" si="0"/>
        <v>0</v>
      </c>
      <c r="N34" s="48"/>
      <c r="O34" s="24">
        <v>0</v>
      </c>
      <c r="P34" s="50">
        <f t="shared" si="4"/>
        <v>0</v>
      </c>
      <c r="Q34" s="51">
        <f t="shared" si="5"/>
        <v>1692069.3504000132</v>
      </c>
      <c r="R34" s="52">
        <f t="shared" si="1"/>
        <v>117.66006191502768</v>
      </c>
      <c r="S34" s="21"/>
    </row>
    <row r="35" spans="1:21">
      <c r="A35" s="20"/>
      <c r="B35" s="22">
        <v>27</v>
      </c>
      <c r="C35" s="46">
        <f>Electricity!C34</f>
        <v>32</v>
      </c>
      <c r="D35" s="47">
        <f>Electricity!D34</f>
        <v>156</v>
      </c>
      <c r="E35" s="103">
        <v>12466.59</v>
      </c>
      <c r="F35" s="102">
        <v>78.989080000002332</v>
      </c>
      <c r="G35" s="49">
        <f t="shared" si="2"/>
        <v>1251187.0272000369</v>
      </c>
      <c r="H35" s="48">
        <v>1561.93</v>
      </c>
      <c r="I35" s="93">
        <v>19.374680000000694</v>
      </c>
      <c r="J35" s="49">
        <f t="shared" si="3"/>
        <v>306894.93120001099</v>
      </c>
      <c r="K35" s="48"/>
      <c r="L35" s="24">
        <v>0</v>
      </c>
      <c r="M35" s="25">
        <f t="shared" si="0"/>
        <v>0</v>
      </c>
      <c r="N35" s="48"/>
      <c r="O35" s="24">
        <v>0</v>
      </c>
      <c r="P35" s="50">
        <f t="shared" si="4"/>
        <v>0</v>
      </c>
      <c r="Q35" s="51">
        <f t="shared" si="5"/>
        <v>1558081.9584000478</v>
      </c>
      <c r="R35" s="52">
        <f t="shared" si="1"/>
        <v>108.34308868646463</v>
      </c>
      <c r="S35" s="21"/>
    </row>
    <row r="36" spans="1:21">
      <c r="A36" s="20"/>
      <c r="B36" s="22">
        <v>28</v>
      </c>
      <c r="C36" s="46">
        <f>Electricity!C35</f>
        <v>33</v>
      </c>
      <c r="D36" s="47">
        <f>Electricity!D35</f>
        <v>156</v>
      </c>
      <c r="E36" s="103">
        <v>12487.67</v>
      </c>
      <c r="F36" s="102">
        <v>84.910239999999703</v>
      </c>
      <c r="G36" s="49">
        <f t="shared" si="2"/>
        <v>1344978.2015999954</v>
      </c>
      <c r="H36" s="48">
        <v>1567.04</v>
      </c>
      <c r="I36" s="93">
        <v>20.583079999999594</v>
      </c>
      <c r="J36" s="49">
        <f t="shared" si="3"/>
        <v>326035.98719999357</v>
      </c>
      <c r="K36" s="48"/>
      <c r="L36" s="24">
        <v>0</v>
      </c>
      <c r="M36" s="25">
        <f t="shared" si="0"/>
        <v>0</v>
      </c>
      <c r="N36" s="48"/>
      <c r="O36" s="24">
        <v>0</v>
      </c>
      <c r="P36" s="50">
        <f t="shared" si="4"/>
        <v>0</v>
      </c>
      <c r="Q36" s="51">
        <f t="shared" si="5"/>
        <v>1671014.1887999889</v>
      </c>
      <c r="R36" s="52">
        <f t="shared" si="1"/>
        <v>116.19596612196571</v>
      </c>
      <c r="S36" s="21"/>
    </row>
    <row r="37" spans="1:21">
      <c r="A37" s="20"/>
      <c r="B37" s="22">
        <v>29</v>
      </c>
      <c r="C37" s="46">
        <f>Electricity!C36</f>
        <v>27</v>
      </c>
      <c r="D37" s="47">
        <f>Electricity!D36</f>
        <v>105</v>
      </c>
      <c r="E37" s="103">
        <v>12507.8</v>
      </c>
      <c r="F37" s="102">
        <v>81.083639999996763</v>
      </c>
      <c r="G37" s="49">
        <f t="shared" si="2"/>
        <v>1284364.8575999488</v>
      </c>
      <c r="H37" s="48">
        <v>1571.85</v>
      </c>
      <c r="I37" s="93">
        <v>19.374679999999778</v>
      </c>
      <c r="J37" s="49">
        <f t="shared" si="3"/>
        <v>306894.9311999965</v>
      </c>
      <c r="K37" s="48"/>
      <c r="L37" s="24">
        <v>0</v>
      </c>
      <c r="M37" s="25">
        <f t="shared" si="0"/>
        <v>0</v>
      </c>
      <c r="N37" s="48"/>
      <c r="O37" s="24">
        <v>0</v>
      </c>
      <c r="P37" s="50">
        <f t="shared" si="4"/>
        <v>0</v>
      </c>
      <c r="Q37" s="51">
        <f t="shared" si="5"/>
        <v>1591259.7887999453</v>
      </c>
      <c r="R37" s="52">
        <f t="shared" si="1"/>
        <v>110.65014872400704</v>
      </c>
      <c r="S37" s="21"/>
    </row>
    <row r="38" spans="1:21">
      <c r="A38" s="20"/>
      <c r="B38" s="22">
        <v>30</v>
      </c>
      <c r="C38" s="46">
        <f>Electricity!C37</f>
        <v>23</v>
      </c>
      <c r="D38" s="47">
        <f>Electricity!D37</f>
        <v>112</v>
      </c>
      <c r="E38" s="103">
        <v>12528.73</v>
      </c>
      <c r="F38" s="102">
        <v>84.306040000001161</v>
      </c>
      <c r="G38" s="49">
        <f t="shared" si="2"/>
        <v>1335407.6736000185</v>
      </c>
      <c r="H38" s="48">
        <v>1576.62</v>
      </c>
      <c r="I38" s="93">
        <v>19.213559999999926</v>
      </c>
      <c r="J38" s="49">
        <f t="shared" si="3"/>
        <v>304342.79039999883</v>
      </c>
      <c r="K38" s="48"/>
      <c r="L38" s="24">
        <v>0</v>
      </c>
      <c r="M38" s="25">
        <f t="shared" si="0"/>
        <v>0</v>
      </c>
      <c r="N38" s="48"/>
      <c r="O38" s="24">
        <v>0</v>
      </c>
      <c r="P38" s="50">
        <f t="shared" si="4"/>
        <v>0</v>
      </c>
      <c r="Q38" s="51">
        <f t="shared" si="5"/>
        <v>1639750.4640000174</v>
      </c>
      <c r="R38" s="52">
        <f t="shared" si="1"/>
        <v>114.02200570196908</v>
      </c>
      <c r="S38" s="21"/>
    </row>
    <row r="39" spans="1:21">
      <c r="C39" s="53">
        <f>SUM(C9:C38)</f>
        <v>1034</v>
      </c>
      <c r="D39" s="53">
        <f>SUM(D9:D38)</f>
        <v>4858</v>
      </c>
      <c r="E39" s="30"/>
      <c r="F39" s="30">
        <f>SUM(F9:F38)</f>
        <v>2637.65524</v>
      </c>
      <c r="G39" s="40"/>
      <c r="H39" s="40"/>
      <c r="I39" s="30">
        <f>SUM(I9:I38)</f>
        <v>666.67427999999984</v>
      </c>
      <c r="J39" s="40"/>
      <c r="K39" s="40"/>
      <c r="L39" s="30">
        <f>SUM(L9:L38)</f>
        <v>100</v>
      </c>
      <c r="M39" s="40"/>
      <c r="N39" s="39"/>
      <c r="O39" s="30">
        <f>SUM(O9:O38)</f>
        <v>100</v>
      </c>
      <c r="P39" s="40"/>
      <c r="Q39"/>
      <c r="R39" s="90">
        <f>SUM(R9:R38)</f>
        <v>3859.8553366803412</v>
      </c>
      <c r="U39" s="35"/>
    </row>
    <row r="40" spans="1:21">
      <c r="E40" s="54"/>
      <c r="F40" s="55"/>
      <c r="G40" s="41"/>
      <c r="H40" s="41"/>
      <c r="I40" s="41"/>
      <c r="J40" s="41"/>
      <c r="K40" s="41"/>
      <c r="L40" s="41"/>
      <c r="M40" s="41"/>
      <c r="N40" s="59" t="s">
        <v>43</v>
      </c>
      <c r="O40" s="63">
        <f>F39+I39+L39+O39</f>
        <v>3504.3295199999998</v>
      </c>
      <c r="P40" s="56"/>
      <c r="Q40" s="30"/>
      <c r="R40" s="41"/>
      <c r="U40" s="37"/>
    </row>
    <row r="41" spans="1:21">
      <c r="B41" s="57"/>
      <c r="E41" s="39"/>
      <c r="F41" s="40"/>
      <c r="G41" s="40"/>
      <c r="H41" s="40"/>
      <c r="I41" s="40"/>
      <c r="J41" s="40"/>
      <c r="K41" s="40"/>
      <c r="L41" s="40"/>
      <c r="M41" s="41"/>
      <c r="N41" s="39"/>
      <c r="O41" s="40"/>
      <c r="P41" s="40"/>
      <c r="Q41" s="42"/>
      <c r="R41" s="58"/>
    </row>
    <row r="42" spans="1:21">
      <c r="E42" s="59"/>
      <c r="F42" s="59"/>
      <c r="G42" s="59"/>
      <c r="H42" s="59"/>
      <c r="I42" s="59"/>
      <c r="J42" s="59"/>
      <c r="K42" s="59"/>
      <c r="L42" s="59"/>
      <c r="M42" s="60"/>
      <c r="N42" s="59"/>
      <c r="O42" s="59"/>
      <c r="Q42" s="59"/>
      <c r="R42" s="61"/>
    </row>
    <row r="43" spans="1:21">
      <c r="R43" s="61"/>
    </row>
  </sheetData>
  <mergeCells count="20"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7" workbookViewId="0">
      <selection activeCell="K9" sqref="K9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4" style="76" customWidth="1"/>
    <col min="8" max="8" width="16.28515625" style="31" customWidth="1"/>
    <col min="9" max="9" width="2.42578125" customWidth="1"/>
    <col min="11" max="11" width="21.42578125" customWidth="1"/>
  </cols>
  <sheetData>
    <row r="1" spans="1:9" ht="15.95">
      <c r="B1" s="104" t="s">
        <v>44</v>
      </c>
      <c r="C1" s="104"/>
      <c r="D1" s="104"/>
      <c r="E1" s="104"/>
      <c r="F1" s="104"/>
      <c r="G1" s="104"/>
      <c r="H1" s="104"/>
    </row>
    <row r="2" spans="1:9" ht="15.95">
      <c r="B2" s="104" t="s">
        <v>16</v>
      </c>
      <c r="C2" s="104"/>
      <c r="D2" s="104"/>
      <c r="E2" s="104"/>
      <c r="F2" s="104"/>
      <c r="G2" s="104"/>
      <c r="H2" s="104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09">
        <v>44805</v>
      </c>
      <c r="C4" s="109"/>
      <c r="D4" s="109"/>
      <c r="E4" s="109"/>
      <c r="F4" s="109"/>
      <c r="G4" s="109"/>
      <c r="H4" s="109"/>
      <c r="I4" s="16"/>
    </row>
    <row r="5" spans="1:9">
      <c r="A5" s="66"/>
      <c r="B5" s="106" t="s">
        <v>45</v>
      </c>
      <c r="C5" s="106" t="s">
        <v>18</v>
      </c>
      <c r="D5" s="106" t="s">
        <v>13</v>
      </c>
      <c r="E5" s="106" t="s">
        <v>46</v>
      </c>
      <c r="F5" s="106"/>
      <c r="G5" s="106"/>
      <c r="H5" s="106" t="s">
        <v>23</v>
      </c>
      <c r="I5" s="18"/>
    </row>
    <row r="6" spans="1:9">
      <c r="A6" s="66"/>
      <c r="B6" s="106"/>
      <c r="C6" s="106"/>
      <c r="D6" s="106"/>
      <c r="E6" s="106"/>
      <c r="F6" s="106"/>
      <c r="G6" s="106"/>
      <c r="H6" s="106"/>
      <c r="I6" s="18"/>
    </row>
    <row r="7" spans="1:9" s="19" customFormat="1" ht="24">
      <c r="A7" s="66"/>
      <c r="B7" s="106"/>
      <c r="C7" s="106"/>
      <c r="D7" s="106"/>
      <c r="E7" s="43" t="s">
        <v>36</v>
      </c>
      <c r="F7" s="115" t="s">
        <v>47</v>
      </c>
      <c r="G7" s="67" t="s">
        <v>40</v>
      </c>
      <c r="H7" s="106"/>
      <c r="I7" s="18"/>
    </row>
    <row r="8" spans="1:9" s="19" customFormat="1">
      <c r="A8" s="66"/>
      <c r="B8" s="106"/>
      <c r="C8" s="106"/>
      <c r="D8" s="106"/>
      <c r="E8" s="68">
        <v>5422</v>
      </c>
      <c r="F8" s="115"/>
      <c r="G8" s="67">
        <v>24300</v>
      </c>
      <c r="H8" s="106"/>
      <c r="I8" s="18"/>
    </row>
    <row r="9" spans="1:9">
      <c r="A9" s="69"/>
      <c r="B9" s="22">
        <v>1</v>
      </c>
      <c r="C9" s="23">
        <f>Gas!C9</f>
        <v>25</v>
      </c>
      <c r="D9" s="23">
        <f>Gas!D9</f>
        <v>128</v>
      </c>
      <c r="E9" s="70">
        <v>5422</v>
      </c>
      <c r="F9" s="71">
        <f>E9-E8</f>
        <v>0</v>
      </c>
      <c r="G9" s="71">
        <f t="shared" ref="G9:G38" si="0">F9*$G$8</f>
        <v>0</v>
      </c>
      <c r="H9" s="82">
        <f>G9/14381</f>
        <v>0</v>
      </c>
      <c r="I9" s="21"/>
    </row>
    <row r="10" spans="1:9">
      <c r="A10" s="69"/>
      <c r="B10" s="22">
        <v>2</v>
      </c>
      <c r="C10" s="23">
        <f>Gas!C10</f>
        <v>32</v>
      </c>
      <c r="D10" s="23">
        <f>Gas!D10</f>
        <v>139</v>
      </c>
      <c r="E10" s="70">
        <v>5422</v>
      </c>
      <c r="F10" s="72">
        <f t="shared" ref="F10:F38" si="1">E10-E9</f>
        <v>0</v>
      </c>
      <c r="G10" s="71">
        <f>F10*$G$8</f>
        <v>0</v>
      </c>
      <c r="H10" s="82">
        <f t="shared" ref="H10:H38" si="2">G10/14381</f>
        <v>0</v>
      </c>
      <c r="I10" s="21"/>
    </row>
    <row r="11" spans="1:9">
      <c r="A11" s="69"/>
      <c r="B11" s="22">
        <v>3</v>
      </c>
      <c r="C11" s="23">
        <f>Gas!C11</f>
        <v>37</v>
      </c>
      <c r="D11" s="23">
        <f>Gas!D11</f>
        <v>154</v>
      </c>
      <c r="E11" s="70">
        <v>5422</v>
      </c>
      <c r="F11" s="72">
        <f t="shared" si="1"/>
        <v>0</v>
      </c>
      <c r="G11" s="71">
        <f t="shared" si="0"/>
        <v>0</v>
      </c>
      <c r="H11" s="82">
        <f t="shared" si="2"/>
        <v>0</v>
      </c>
      <c r="I11" s="21"/>
    </row>
    <row r="12" spans="1:9">
      <c r="A12" s="69"/>
      <c r="B12" s="22">
        <v>4</v>
      </c>
      <c r="C12" s="23">
        <f>Gas!C12</f>
        <v>40</v>
      </c>
      <c r="D12" s="23">
        <f>Gas!D12</f>
        <v>190</v>
      </c>
      <c r="E12" s="70">
        <v>5422</v>
      </c>
      <c r="F12" s="72">
        <f t="shared" si="1"/>
        <v>0</v>
      </c>
      <c r="G12" s="71">
        <f t="shared" si="0"/>
        <v>0</v>
      </c>
      <c r="H12" s="82">
        <f t="shared" si="2"/>
        <v>0</v>
      </c>
      <c r="I12" s="21"/>
    </row>
    <row r="13" spans="1:9">
      <c r="A13" s="69"/>
      <c r="B13" s="22">
        <v>5</v>
      </c>
      <c r="C13" s="23">
        <f>Gas!C13</f>
        <v>36</v>
      </c>
      <c r="D13" s="23">
        <f>Gas!D13</f>
        <v>154</v>
      </c>
      <c r="E13" s="70">
        <v>5428</v>
      </c>
      <c r="F13" s="72">
        <f t="shared" si="1"/>
        <v>6</v>
      </c>
      <c r="G13" s="71">
        <f t="shared" si="0"/>
        <v>145800</v>
      </c>
      <c r="H13" s="82">
        <f t="shared" si="2"/>
        <v>10.138377025241638</v>
      </c>
      <c r="I13" s="21"/>
    </row>
    <row r="14" spans="1:9">
      <c r="A14" s="69"/>
      <c r="B14" s="22">
        <v>6</v>
      </c>
      <c r="C14" s="23">
        <f>Gas!C14</f>
        <v>32</v>
      </c>
      <c r="D14" s="23">
        <f>Gas!D14</f>
        <v>156</v>
      </c>
      <c r="E14" s="70">
        <v>5428</v>
      </c>
      <c r="F14" s="72">
        <f t="shared" si="1"/>
        <v>0</v>
      </c>
      <c r="G14" s="71">
        <f t="shared" si="0"/>
        <v>0</v>
      </c>
      <c r="H14" s="82">
        <f t="shared" si="2"/>
        <v>0</v>
      </c>
      <c r="I14" s="21"/>
    </row>
    <row r="15" spans="1:9">
      <c r="A15" s="69"/>
      <c r="B15" s="22">
        <v>7</v>
      </c>
      <c r="C15" s="23">
        <f>Gas!C15</f>
        <v>49</v>
      </c>
      <c r="D15" s="23">
        <f>Gas!D15</f>
        <v>119</v>
      </c>
      <c r="E15" s="70">
        <v>5428</v>
      </c>
      <c r="F15" s="72">
        <f t="shared" si="1"/>
        <v>0</v>
      </c>
      <c r="G15" s="71">
        <f t="shared" si="0"/>
        <v>0</v>
      </c>
      <c r="H15" s="82">
        <f t="shared" si="2"/>
        <v>0</v>
      </c>
      <c r="I15" s="21"/>
    </row>
    <row r="16" spans="1:9">
      <c r="A16" s="69"/>
      <c r="B16" s="22">
        <v>8</v>
      </c>
      <c r="C16" s="23">
        <f>Gas!C16</f>
        <v>47</v>
      </c>
      <c r="D16" s="23">
        <f>Gas!D16</f>
        <v>201</v>
      </c>
      <c r="E16" s="70">
        <v>5428</v>
      </c>
      <c r="F16" s="72">
        <f t="shared" si="1"/>
        <v>0</v>
      </c>
      <c r="G16" s="71">
        <f t="shared" si="0"/>
        <v>0</v>
      </c>
      <c r="H16" s="82">
        <f t="shared" si="2"/>
        <v>0</v>
      </c>
      <c r="I16" s="21"/>
    </row>
    <row r="17" spans="1:9">
      <c r="A17" s="69"/>
      <c r="B17" s="22">
        <v>9</v>
      </c>
      <c r="C17" s="23">
        <f>Gas!C17</f>
        <v>32</v>
      </c>
      <c r="D17" s="23">
        <f>Gas!D17</f>
        <v>178</v>
      </c>
      <c r="E17" s="70">
        <v>5428</v>
      </c>
      <c r="F17" s="72">
        <f t="shared" si="1"/>
        <v>0</v>
      </c>
      <c r="G17" s="71">
        <f t="shared" si="0"/>
        <v>0</v>
      </c>
      <c r="H17" s="82">
        <f t="shared" si="2"/>
        <v>0</v>
      </c>
      <c r="I17" s="21"/>
    </row>
    <row r="18" spans="1:9">
      <c r="A18" s="69"/>
      <c r="B18" s="22">
        <v>10</v>
      </c>
      <c r="C18" s="23">
        <f>Gas!C18</f>
        <v>35</v>
      </c>
      <c r="D18" s="23">
        <f>Gas!D18</f>
        <v>148</v>
      </c>
      <c r="E18" s="70">
        <v>5428</v>
      </c>
      <c r="F18" s="72">
        <f t="shared" si="1"/>
        <v>0</v>
      </c>
      <c r="G18" s="71">
        <f t="shared" si="0"/>
        <v>0</v>
      </c>
      <c r="H18" s="82">
        <f t="shared" si="2"/>
        <v>0</v>
      </c>
      <c r="I18" s="21"/>
    </row>
    <row r="19" spans="1:9">
      <c r="A19" s="69"/>
      <c r="B19" s="22">
        <v>11</v>
      </c>
      <c r="C19" s="23">
        <f>Gas!C19</f>
        <v>37</v>
      </c>
      <c r="D19" s="23">
        <f>Gas!D19</f>
        <v>161</v>
      </c>
      <c r="E19" s="70">
        <v>5428</v>
      </c>
      <c r="F19" s="72">
        <f t="shared" si="1"/>
        <v>0</v>
      </c>
      <c r="G19" s="71">
        <f t="shared" si="0"/>
        <v>0</v>
      </c>
      <c r="H19" s="82">
        <f t="shared" si="2"/>
        <v>0</v>
      </c>
      <c r="I19" s="21"/>
    </row>
    <row r="20" spans="1:9">
      <c r="A20" s="69"/>
      <c r="B20" s="22">
        <v>12</v>
      </c>
      <c r="C20" s="23">
        <f>Gas!C20</f>
        <v>30</v>
      </c>
      <c r="D20" s="23">
        <f>Gas!D20</f>
        <v>158</v>
      </c>
      <c r="E20" s="70">
        <v>5428</v>
      </c>
      <c r="F20" s="72">
        <f t="shared" si="1"/>
        <v>0</v>
      </c>
      <c r="G20" s="71">
        <f t="shared" si="0"/>
        <v>0</v>
      </c>
      <c r="H20" s="82">
        <f t="shared" si="2"/>
        <v>0</v>
      </c>
      <c r="I20" s="21"/>
    </row>
    <row r="21" spans="1:9">
      <c r="A21" s="69"/>
      <c r="B21" s="22">
        <v>13</v>
      </c>
      <c r="C21" s="23">
        <f>Gas!C21</f>
        <v>35</v>
      </c>
      <c r="D21" s="23">
        <f>Gas!D21</f>
        <v>159</v>
      </c>
      <c r="E21" s="70">
        <v>5428</v>
      </c>
      <c r="F21" s="72">
        <f t="shared" si="1"/>
        <v>0</v>
      </c>
      <c r="G21" s="71">
        <f t="shared" si="0"/>
        <v>0</v>
      </c>
      <c r="H21" s="82">
        <f t="shared" si="2"/>
        <v>0</v>
      </c>
      <c r="I21" s="21"/>
    </row>
    <row r="22" spans="1:9">
      <c r="A22" s="69"/>
      <c r="B22" s="22">
        <v>14</v>
      </c>
      <c r="C22" s="23">
        <f>Gas!C22</f>
        <v>37</v>
      </c>
      <c r="D22" s="23">
        <f>Gas!D22</f>
        <v>185</v>
      </c>
      <c r="E22" s="70">
        <v>5428</v>
      </c>
      <c r="F22" s="72">
        <f t="shared" si="1"/>
        <v>0</v>
      </c>
      <c r="G22" s="71">
        <f t="shared" si="0"/>
        <v>0</v>
      </c>
      <c r="H22" s="82">
        <f t="shared" si="2"/>
        <v>0</v>
      </c>
      <c r="I22" s="21"/>
    </row>
    <row r="23" spans="1:9">
      <c r="A23" s="69"/>
      <c r="B23" s="22">
        <v>15</v>
      </c>
      <c r="C23" s="23">
        <f>Gas!C23</f>
        <v>37</v>
      </c>
      <c r="D23" s="23">
        <f>Gas!D23</f>
        <v>188</v>
      </c>
      <c r="E23" s="70">
        <v>5428</v>
      </c>
      <c r="F23" s="72">
        <f t="shared" si="1"/>
        <v>0</v>
      </c>
      <c r="G23" s="71">
        <f t="shared" si="0"/>
        <v>0</v>
      </c>
      <c r="H23" s="82">
        <f t="shared" si="2"/>
        <v>0</v>
      </c>
      <c r="I23" s="21"/>
    </row>
    <row r="24" spans="1:9">
      <c r="A24" s="69"/>
      <c r="B24" s="22">
        <v>16</v>
      </c>
      <c r="C24" s="23">
        <f>Gas!C24</f>
        <v>39</v>
      </c>
      <c r="D24" s="23">
        <f>Gas!D24</f>
        <v>195</v>
      </c>
      <c r="E24" s="70">
        <v>5428</v>
      </c>
      <c r="F24" s="72">
        <f t="shared" si="1"/>
        <v>0</v>
      </c>
      <c r="G24" s="71">
        <f t="shared" si="0"/>
        <v>0</v>
      </c>
      <c r="H24" s="82">
        <f t="shared" si="2"/>
        <v>0</v>
      </c>
      <c r="I24" s="21"/>
    </row>
    <row r="25" spans="1:9">
      <c r="A25" s="69"/>
      <c r="B25" s="22">
        <v>17</v>
      </c>
      <c r="C25" s="23">
        <f>Gas!C25</f>
        <v>34</v>
      </c>
      <c r="D25" s="23">
        <f>Gas!D25</f>
        <v>147</v>
      </c>
      <c r="E25" s="70">
        <v>5428</v>
      </c>
      <c r="F25" s="72">
        <f t="shared" si="1"/>
        <v>0</v>
      </c>
      <c r="G25" s="71">
        <f t="shared" si="0"/>
        <v>0</v>
      </c>
      <c r="H25" s="82">
        <f t="shared" si="2"/>
        <v>0</v>
      </c>
      <c r="I25" s="21"/>
    </row>
    <row r="26" spans="1:9">
      <c r="A26" s="69"/>
      <c r="B26" s="22">
        <v>18</v>
      </c>
      <c r="C26" s="23">
        <f>Gas!C26</f>
        <v>30</v>
      </c>
      <c r="D26" s="23">
        <f>Gas!D26</f>
        <v>171</v>
      </c>
      <c r="E26" s="70">
        <v>5428</v>
      </c>
      <c r="F26" s="72">
        <f t="shared" si="1"/>
        <v>0</v>
      </c>
      <c r="G26" s="71">
        <f t="shared" si="0"/>
        <v>0</v>
      </c>
      <c r="H26" s="82">
        <f t="shared" si="2"/>
        <v>0</v>
      </c>
      <c r="I26" s="21"/>
    </row>
    <row r="27" spans="1:9">
      <c r="A27" s="69"/>
      <c r="B27" s="22">
        <v>19</v>
      </c>
      <c r="C27" s="23">
        <f>Gas!C27</f>
        <v>17</v>
      </c>
      <c r="D27" s="23">
        <f>Gas!D27</f>
        <v>136</v>
      </c>
      <c r="E27" s="70">
        <v>5428</v>
      </c>
      <c r="F27" s="72">
        <f t="shared" si="1"/>
        <v>0</v>
      </c>
      <c r="G27" s="71">
        <f t="shared" si="0"/>
        <v>0</v>
      </c>
      <c r="H27" s="82">
        <f t="shared" si="2"/>
        <v>0</v>
      </c>
      <c r="I27" s="21"/>
    </row>
    <row r="28" spans="1:9">
      <c r="A28" s="69"/>
      <c r="B28" s="22">
        <v>20</v>
      </c>
      <c r="C28" s="23">
        <f>Gas!C28</f>
        <v>23</v>
      </c>
      <c r="D28" s="23">
        <f>Gas!D28</f>
        <v>98</v>
      </c>
      <c r="E28" s="70">
        <v>5428</v>
      </c>
      <c r="F28" s="72">
        <f t="shared" si="1"/>
        <v>0</v>
      </c>
      <c r="G28" s="71">
        <f t="shared" si="0"/>
        <v>0</v>
      </c>
      <c r="H28" s="82">
        <f t="shared" si="2"/>
        <v>0</v>
      </c>
      <c r="I28" s="21"/>
    </row>
    <row r="29" spans="1:9">
      <c r="A29" s="69"/>
      <c r="B29" s="22">
        <v>21</v>
      </c>
      <c r="C29" s="23">
        <f>Gas!C29</f>
        <v>34</v>
      </c>
      <c r="D29" s="23">
        <f>Gas!D29</f>
        <v>159</v>
      </c>
      <c r="E29" s="70">
        <v>5429</v>
      </c>
      <c r="F29" s="72">
        <f t="shared" si="1"/>
        <v>1</v>
      </c>
      <c r="G29" s="71">
        <f t="shared" si="0"/>
        <v>24300</v>
      </c>
      <c r="H29" s="82">
        <f t="shared" si="2"/>
        <v>1.6897295042069398</v>
      </c>
      <c r="I29" s="21"/>
    </row>
    <row r="30" spans="1:9">
      <c r="A30" s="69"/>
      <c r="B30" s="22">
        <v>22</v>
      </c>
      <c r="C30" s="23">
        <f>Gas!C30</f>
        <v>41</v>
      </c>
      <c r="D30" s="23">
        <f>Gas!D30</f>
        <v>181</v>
      </c>
      <c r="E30" s="70">
        <v>5429</v>
      </c>
      <c r="F30" s="72">
        <f t="shared" si="1"/>
        <v>0</v>
      </c>
      <c r="G30" s="71">
        <f t="shared" si="0"/>
        <v>0</v>
      </c>
      <c r="H30" s="82">
        <f t="shared" si="2"/>
        <v>0</v>
      </c>
      <c r="I30" s="21"/>
    </row>
    <row r="31" spans="1:9">
      <c r="A31" s="69"/>
      <c r="B31" s="22">
        <v>23</v>
      </c>
      <c r="C31" s="23">
        <f>Gas!C31</f>
        <v>39</v>
      </c>
      <c r="D31" s="23">
        <f>Gas!D31</f>
        <v>186</v>
      </c>
      <c r="E31" s="70">
        <v>5429</v>
      </c>
      <c r="F31" s="72">
        <f t="shared" si="1"/>
        <v>0</v>
      </c>
      <c r="G31" s="71">
        <f t="shared" si="0"/>
        <v>0</v>
      </c>
      <c r="H31" s="82">
        <f t="shared" si="2"/>
        <v>0</v>
      </c>
      <c r="I31" s="21"/>
    </row>
    <row r="32" spans="1:9">
      <c r="A32" s="69"/>
      <c r="B32" s="22">
        <v>24</v>
      </c>
      <c r="C32" s="23">
        <f>Gas!C32</f>
        <v>40</v>
      </c>
      <c r="D32" s="23">
        <f>Gas!D32</f>
        <v>208</v>
      </c>
      <c r="E32" s="70">
        <v>5429</v>
      </c>
      <c r="F32" s="72">
        <f t="shared" si="1"/>
        <v>0</v>
      </c>
      <c r="G32" s="71"/>
      <c r="H32" s="82">
        <f t="shared" si="2"/>
        <v>0</v>
      </c>
      <c r="I32" s="21"/>
    </row>
    <row r="33" spans="1:11">
      <c r="A33" s="69"/>
      <c r="B33" s="22">
        <v>25</v>
      </c>
      <c r="C33" s="23">
        <f>Gas!C33</f>
        <v>44</v>
      </c>
      <c r="D33" s="23">
        <f>Gas!D33</f>
        <v>232</v>
      </c>
      <c r="E33" s="70">
        <v>5429</v>
      </c>
      <c r="F33" s="72">
        <f t="shared" si="1"/>
        <v>0</v>
      </c>
      <c r="G33" s="71">
        <f t="shared" si="0"/>
        <v>0</v>
      </c>
      <c r="H33" s="82">
        <f t="shared" si="2"/>
        <v>0</v>
      </c>
      <c r="I33" s="21"/>
    </row>
    <row r="34" spans="1:11">
      <c r="A34" s="69"/>
      <c r="B34" s="22">
        <v>26</v>
      </c>
      <c r="C34" s="23">
        <f>Gas!C34</f>
        <v>37</v>
      </c>
      <c r="D34" s="23">
        <f>Gas!D34</f>
        <v>198</v>
      </c>
      <c r="E34" s="70">
        <v>5436</v>
      </c>
      <c r="F34" s="72">
        <f t="shared" si="1"/>
        <v>7</v>
      </c>
      <c r="G34" s="71">
        <f t="shared" si="0"/>
        <v>170100</v>
      </c>
      <c r="H34" s="82">
        <f t="shared" si="2"/>
        <v>11.828106529448577</v>
      </c>
      <c r="I34" s="21"/>
    </row>
    <row r="35" spans="1:11">
      <c r="A35" s="69"/>
      <c r="B35" s="22">
        <v>27</v>
      </c>
      <c r="C35" s="23">
        <f>Gas!C35</f>
        <v>32</v>
      </c>
      <c r="D35" s="23">
        <f>Gas!D35</f>
        <v>156</v>
      </c>
      <c r="E35" s="70">
        <v>5436</v>
      </c>
      <c r="F35" s="72">
        <f t="shared" si="1"/>
        <v>0</v>
      </c>
      <c r="G35" s="71">
        <f t="shared" si="0"/>
        <v>0</v>
      </c>
      <c r="H35" s="82">
        <f t="shared" si="2"/>
        <v>0</v>
      </c>
      <c r="I35" s="21"/>
    </row>
    <row r="36" spans="1:11">
      <c r="A36" s="69"/>
      <c r="B36" s="22">
        <v>28</v>
      </c>
      <c r="C36" s="23">
        <f>Gas!C36</f>
        <v>33</v>
      </c>
      <c r="D36" s="23">
        <f>Gas!D36</f>
        <v>156</v>
      </c>
      <c r="E36" s="70">
        <v>5436</v>
      </c>
      <c r="F36" s="72">
        <f t="shared" si="1"/>
        <v>0</v>
      </c>
      <c r="G36" s="71">
        <f t="shared" si="0"/>
        <v>0</v>
      </c>
      <c r="H36" s="82">
        <f t="shared" si="2"/>
        <v>0</v>
      </c>
      <c r="I36" s="21"/>
    </row>
    <row r="37" spans="1:11">
      <c r="A37" s="69"/>
      <c r="B37" s="22">
        <v>29</v>
      </c>
      <c r="C37" s="23">
        <f>Gas!C37</f>
        <v>27</v>
      </c>
      <c r="D37" s="23">
        <f>Gas!D37</f>
        <v>105</v>
      </c>
      <c r="E37" s="70">
        <v>5436</v>
      </c>
      <c r="F37" s="72">
        <f t="shared" si="1"/>
        <v>0</v>
      </c>
      <c r="G37" s="71">
        <f t="shared" si="0"/>
        <v>0</v>
      </c>
      <c r="H37" s="82">
        <f t="shared" si="2"/>
        <v>0</v>
      </c>
      <c r="I37" s="21"/>
    </row>
    <row r="38" spans="1:11">
      <c r="A38" s="69"/>
      <c r="B38" s="22">
        <v>30</v>
      </c>
      <c r="C38" s="23">
        <f>Gas!C38</f>
        <v>23</v>
      </c>
      <c r="D38" s="23">
        <f>Gas!D38</f>
        <v>112</v>
      </c>
      <c r="E38" s="70">
        <v>5436</v>
      </c>
      <c r="F38" s="72">
        <f t="shared" si="1"/>
        <v>0</v>
      </c>
      <c r="G38" s="71">
        <f t="shared" si="0"/>
        <v>0</v>
      </c>
      <c r="H38" s="82">
        <f t="shared" si="2"/>
        <v>0</v>
      </c>
      <c r="I38" s="21"/>
    </row>
    <row r="39" spans="1:11">
      <c r="C39" s="30">
        <f>SUM(C9:C38)</f>
        <v>1034</v>
      </c>
      <c r="D39" s="30">
        <f>SUM(D9:D38)</f>
        <v>4858</v>
      </c>
      <c r="E39" s="30"/>
      <c r="F39" s="30">
        <f>SUM(F9:F38)</f>
        <v>14</v>
      </c>
      <c r="G39" s="30"/>
      <c r="H39" s="73">
        <f>SUM(H9:H38)</f>
        <v>23.656213058897155</v>
      </c>
      <c r="K39" s="35"/>
    </row>
    <row r="40" spans="1:11">
      <c r="E40" s="30"/>
      <c r="F40" s="74"/>
      <c r="G40" s="74"/>
      <c r="H40" s="41"/>
    </row>
    <row r="41" spans="1:11">
      <c r="E41" s="59"/>
      <c r="F41" s="75"/>
      <c r="G41" s="75"/>
    </row>
    <row r="42" spans="1:11">
      <c r="E42" s="59"/>
      <c r="F42" s="75"/>
      <c r="G42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2"/>
  <sheetViews>
    <sheetView topLeftCell="A13" workbookViewId="0">
      <selection activeCell="I33" sqref="I33:I38"/>
    </sheetView>
  </sheetViews>
  <sheetFormatPr defaultColWidth="8.85546875" defaultRowHeight="15"/>
  <cols>
    <col min="1" max="1" width="2.42578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42578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42578125" customWidth="1"/>
    <col min="15" max="15" width="20.42578125" customWidth="1"/>
  </cols>
  <sheetData>
    <row r="2" spans="1:13" ht="15.95">
      <c r="B2" s="104" t="s">
        <v>48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3" ht="15.95">
      <c r="B3" s="104" t="s">
        <v>16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105">
        <v>44805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6"/>
    </row>
    <row r="6" spans="1:13">
      <c r="A6" s="17"/>
      <c r="B6" s="106">
        <v>3</v>
      </c>
      <c r="C6" s="106" t="s">
        <v>49</v>
      </c>
      <c r="D6" s="106" t="s">
        <v>13</v>
      </c>
      <c r="E6" s="110" t="s">
        <v>50</v>
      </c>
      <c r="F6" s="110"/>
      <c r="G6" s="112" t="s">
        <v>51</v>
      </c>
      <c r="H6" s="112"/>
      <c r="I6" s="112"/>
      <c r="J6" s="112"/>
      <c r="K6" s="106" t="s">
        <v>52</v>
      </c>
      <c r="L6" s="106" t="s">
        <v>53</v>
      </c>
      <c r="M6" s="18"/>
    </row>
    <row r="7" spans="1:13" s="19" customFormat="1">
      <c r="A7" s="17"/>
      <c r="B7" s="106"/>
      <c r="C7" s="106"/>
      <c r="D7" s="106"/>
      <c r="E7" s="106" t="s">
        <v>54</v>
      </c>
      <c r="F7" s="106" t="s">
        <v>55</v>
      </c>
      <c r="G7" s="106" t="s">
        <v>54</v>
      </c>
      <c r="H7" s="106" t="s">
        <v>56</v>
      </c>
      <c r="I7" s="106" t="s">
        <v>54</v>
      </c>
      <c r="J7" s="106" t="s">
        <v>57</v>
      </c>
      <c r="K7" s="106"/>
      <c r="L7" s="106"/>
      <c r="M7" s="18"/>
    </row>
    <row r="8" spans="1:13">
      <c r="A8" s="20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21"/>
    </row>
    <row r="9" spans="1:13">
      <c r="A9" s="20"/>
      <c r="B9" s="22">
        <v>1</v>
      </c>
      <c r="C9" s="23">
        <f>'Fuel Diesel'!C9</f>
        <v>25</v>
      </c>
      <c r="D9" s="23">
        <f>'Fuel Diesel'!D9</f>
        <v>128</v>
      </c>
      <c r="E9" s="24">
        <v>0</v>
      </c>
      <c r="F9" s="26">
        <f>E9*13582</f>
        <v>0</v>
      </c>
      <c r="G9" s="24">
        <v>72</v>
      </c>
      <c r="H9" s="26">
        <f>G9*4000</f>
        <v>288000</v>
      </c>
      <c r="I9" s="24">
        <v>119</v>
      </c>
      <c r="J9" s="26">
        <f>I9*4000</f>
        <v>476000</v>
      </c>
      <c r="K9" s="24">
        <f t="shared" ref="K9:K38" si="0">F9+H9+J9</f>
        <v>764000</v>
      </c>
      <c r="L9" s="77">
        <f>K9/14381</f>
        <v>53.125651901814898</v>
      </c>
      <c r="M9" s="21"/>
    </row>
    <row r="10" spans="1:13">
      <c r="A10" s="20"/>
      <c r="B10" s="22">
        <v>2</v>
      </c>
      <c r="C10" s="23">
        <f>'Fuel Diesel'!C10</f>
        <v>32</v>
      </c>
      <c r="D10" s="23">
        <f>'Fuel Diesel'!D10</f>
        <v>139</v>
      </c>
      <c r="E10" s="24">
        <v>0</v>
      </c>
      <c r="F10" s="26">
        <f>E10*13582</f>
        <v>0</v>
      </c>
      <c r="G10" s="24">
        <v>63</v>
      </c>
      <c r="H10" s="26">
        <f>G10*4000</f>
        <v>252000</v>
      </c>
      <c r="I10" s="24">
        <v>109</v>
      </c>
      <c r="J10" s="26">
        <f>I10*4000</f>
        <v>436000</v>
      </c>
      <c r="K10" s="24">
        <f t="shared" si="0"/>
        <v>688000</v>
      </c>
      <c r="L10" s="77">
        <f t="shared" ref="L10:L38" si="1">K10/14381</f>
        <v>47.840901189068909</v>
      </c>
      <c r="M10" s="21"/>
    </row>
    <row r="11" spans="1:13">
      <c r="A11" s="20"/>
      <c r="B11" s="22">
        <v>3</v>
      </c>
      <c r="C11" s="23">
        <f>'Fuel Diesel'!C11</f>
        <v>37</v>
      </c>
      <c r="D11" s="23">
        <f>'Fuel Diesel'!D11</f>
        <v>154</v>
      </c>
      <c r="E11" s="24">
        <v>0</v>
      </c>
      <c r="F11" s="26">
        <f t="shared" ref="F11:F38" si="2">E11*13582</f>
        <v>0</v>
      </c>
      <c r="G11" s="24">
        <v>68</v>
      </c>
      <c r="H11" s="26">
        <f t="shared" ref="H11:H38" si="3">G11*4000</f>
        <v>272000</v>
      </c>
      <c r="I11" s="24">
        <v>117</v>
      </c>
      <c r="J11" s="26">
        <f t="shared" ref="J11:J38" si="4">I11*4000</f>
        <v>468000</v>
      </c>
      <c r="K11" s="24">
        <f t="shared" si="0"/>
        <v>740000</v>
      </c>
      <c r="L11" s="77">
        <f t="shared" si="1"/>
        <v>51.456783255684584</v>
      </c>
      <c r="M11" s="21"/>
    </row>
    <row r="12" spans="1:13">
      <c r="A12" s="20"/>
      <c r="B12" s="22">
        <v>4</v>
      </c>
      <c r="C12" s="23">
        <f>'Fuel Diesel'!C12</f>
        <v>40</v>
      </c>
      <c r="D12" s="23">
        <f>'Fuel Diesel'!D12</f>
        <v>190</v>
      </c>
      <c r="E12" s="24">
        <v>0</v>
      </c>
      <c r="F12" s="26">
        <f t="shared" si="2"/>
        <v>0</v>
      </c>
      <c r="G12" s="24">
        <v>66</v>
      </c>
      <c r="H12" s="26">
        <f t="shared" si="3"/>
        <v>264000</v>
      </c>
      <c r="I12" s="24">
        <v>113</v>
      </c>
      <c r="J12" s="26">
        <f t="shared" si="4"/>
        <v>452000</v>
      </c>
      <c r="K12" s="24">
        <f t="shared" si="0"/>
        <v>716000</v>
      </c>
      <c r="L12" s="77">
        <f t="shared" si="1"/>
        <v>49.787914609554271</v>
      </c>
      <c r="M12" s="21"/>
    </row>
    <row r="13" spans="1:13">
      <c r="A13" s="20"/>
      <c r="B13" s="22">
        <v>5</v>
      </c>
      <c r="C13" s="23">
        <f>'Fuel Diesel'!C13</f>
        <v>36</v>
      </c>
      <c r="D13" s="23">
        <f>'Fuel Diesel'!D13</f>
        <v>154</v>
      </c>
      <c r="E13" s="24">
        <v>0</v>
      </c>
      <c r="F13" s="26">
        <f t="shared" si="2"/>
        <v>0</v>
      </c>
      <c r="G13" s="24">
        <v>70</v>
      </c>
      <c r="H13" s="26">
        <f t="shared" si="3"/>
        <v>280000</v>
      </c>
      <c r="I13" s="24">
        <v>128</v>
      </c>
      <c r="J13" s="26">
        <f t="shared" si="4"/>
        <v>512000</v>
      </c>
      <c r="K13" s="24">
        <f t="shared" si="0"/>
        <v>792000</v>
      </c>
      <c r="L13" s="77">
        <f t="shared" si="1"/>
        <v>55.07266532230026</v>
      </c>
      <c r="M13" s="21"/>
    </row>
    <row r="14" spans="1:13">
      <c r="A14" s="20"/>
      <c r="B14" s="22">
        <v>6</v>
      </c>
      <c r="C14" s="23">
        <f>'Fuel Diesel'!C14</f>
        <v>32</v>
      </c>
      <c r="D14" s="23">
        <f>'Fuel Diesel'!D14</f>
        <v>156</v>
      </c>
      <c r="E14" s="24">
        <v>0</v>
      </c>
      <c r="F14" s="26">
        <f t="shared" si="2"/>
        <v>0</v>
      </c>
      <c r="G14" s="24">
        <v>78</v>
      </c>
      <c r="H14" s="26">
        <f t="shared" si="3"/>
        <v>312000</v>
      </c>
      <c r="I14" s="24">
        <v>121</v>
      </c>
      <c r="J14" s="26">
        <f t="shared" si="4"/>
        <v>484000</v>
      </c>
      <c r="K14" s="24">
        <f t="shared" si="0"/>
        <v>796000</v>
      </c>
      <c r="L14" s="77">
        <f t="shared" si="1"/>
        <v>55.350810096655309</v>
      </c>
      <c r="M14" s="21"/>
    </row>
    <row r="15" spans="1:13">
      <c r="A15" s="20"/>
      <c r="B15" s="22">
        <v>7</v>
      </c>
      <c r="C15" s="23">
        <f>'Fuel Diesel'!C15</f>
        <v>49</v>
      </c>
      <c r="D15" s="23">
        <f>'Fuel Diesel'!D15</f>
        <v>119</v>
      </c>
      <c r="E15" s="24">
        <v>0</v>
      </c>
      <c r="F15" s="26">
        <f t="shared" si="2"/>
        <v>0</v>
      </c>
      <c r="G15" s="24">
        <v>61</v>
      </c>
      <c r="H15" s="26">
        <f t="shared" si="3"/>
        <v>244000</v>
      </c>
      <c r="I15" s="24">
        <v>104</v>
      </c>
      <c r="J15" s="26">
        <f t="shared" si="4"/>
        <v>416000</v>
      </c>
      <c r="K15" s="24">
        <f t="shared" si="0"/>
        <v>660000</v>
      </c>
      <c r="L15" s="77">
        <f t="shared" si="1"/>
        <v>45.893887768583546</v>
      </c>
      <c r="M15" s="21"/>
    </row>
    <row r="16" spans="1:13">
      <c r="A16" s="20"/>
      <c r="B16" s="22">
        <v>8</v>
      </c>
      <c r="C16" s="23">
        <f>'Fuel Diesel'!C16</f>
        <v>47</v>
      </c>
      <c r="D16" s="23">
        <f>'Fuel Diesel'!D16</f>
        <v>201</v>
      </c>
      <c r="E16" s="24">
        <v>0</v>
      </c>
      <c r="F16" s="26">
        <f t="shared" si="2"/>
        <v>0</v>
      </c>
      <c r="G16" s="24">
        <v>73</v>
      </c>
      <c r="H16" s="26">
        <f t="shared" si="3"/>
        <v>292000</v>
      </c>
      <c r="I16" s="24">
        <v>121</v>
      </c>
      <c r="J16" s="26">
        <f t="shared" si="4"/>
        <v>484000</v>
      </c>
      <c r="K16" s="24">
        <f t="shared" si="0"/>
        <v>776000</v>
      </c>
      <c r="L16" s="77">
        <f t="shared" si="1"/>
        <v>53.960086224880051</v>
      </c>
      <c r="M16" s="21"/>
    </row>
    <row r="17" spans="1:13">
      <c r="A17" s="20"/>
      <c r="B17" s="22">
        <v>9</v>
      </c>
      <c r="C17" s="23">
        <f>'Fuel Diesel'!C17</f>
        <v>32</v>
      </c>
      <c r="D17" s="23">
        <f>'Fuel Diesel'!D17</f>
        <v>178</v>
      </c>
      <c r="E17" s="24">
        <v>0</v>
      </c>
      <c r="F17" s="26">
        <f t="shared" si="2"/>
        <v>0</v>
      </c>
      <c r="G17" s="24">
        <v>63</v>
      </c>
      <c r="H17" s="26">
        <f t="shared" si="3"/>
        <v>252000</v>
      </c>
      <c r="I17" s="24">
        <v>115</v>
      </c>
      <c r="J17" s="26">
        <f t="shared" si="4"/>
        <v>460000</v>
      </c>
      <c r="K17" s="24">
        <f t="shared" si="0"/>
        <v>712000</v>
      </c>
      <c r="L17" s="77">
        <f t="shared" si="1"/>
        <v>49.509769835199222</v>
      </c>
      <c r="M17" s="21"/>
    </row>
    <row r="18" spans="1:13">
      <c r="A18" s="20"/>
      <c r="B18" s="22">
        <v>10</v>
      </c>
      <c r="C18" s="23">
        <f>'Fuel Diesel'!C18</f>
        <v>35</v>
      </c>
      <c r="D18" s="23">
        <f>'Fuel Diesel'!D18</f>
        <v>148</v>
      </c>
      <c r="E18" s="24">
        <v>0</v>
      </c>
      <c r="F18" s="26">
        <f t="shared" si="2"/>
        <v>0</v>
      </c>
      <c r="G18" s="24">
        <v>68</v>
      </c>
      <c r="H18" s="26">
        <f t="shared" si="3"/>
        <v>272000</v>
      </c>
      <c r="I18" s="24">
        <v>113</v>
      </c>
      <c r="J18" s="26">
        <f t="shared" si="4"/>
        <v>452000</v>
      </c>
      <c r="K18" s="24">
        <f t="shared" si="0"/>
        <v>724000</v>
      </c>
      <c r="L18" s="77">
        <f t="shared" si="1"/>
        <v>50.344204158264375</v>
      </c>
      <c r="M18" s="21"/>
    </row>
    <row r="19" spans="1:13">
      <c r="A19" s="20"/>
      <c r="B19" s="22">
        <v>11</v>
      </c>
      <c r="C19" s="23">
        <f>'Fuel Diesel'!C19</f>
        <v>37</v>
      </c>
      <c r="D19" s="23">
        <f>'Fuel Diesel'!D19</f>
        <v>161</v>
      </c>
      <c r="E19" s="24">
        <v>0</v>
      </c>
      <c r="F19" s="26">
        <f t="shared" si="2"/>
        <v>0</v>
      </c>
      <c r="G19" s="24">
        <v>58</v>
      </c>
      <c r="H19" s="26">
        <f t="shared" si="3"/>
        <v>232000</v>
      </c>
      <c r="I19" s="24">
        <v>100</v>
      </c>
      <c r="J19" s="26">
        <f t="shared" si="4"/>
        <v>400000</v>
      </c>
      <c r="K19" s="24">
        <f t="shared" si="0"/>
        <v>632000</v>
      </c>
      <c r="L19" s="77">
        <f t="shared" si="1"/>
        <v>43.946874348098184</v>
      </c>
      <c r="M19" s="21"/>
    </row>
    <row r="20" spans="1:13">
      <c r="A20" s="20"/>
      <c r="B20" s="22">
        <v>12</v>
      </c>
      <c r="C20" s="23">
        <f>'Fuel Diesel'!C20</f>
        <v>30</v>
      </c>
      <c r="D20" s="23">
        <f>'Fuel Diesel'!D20</f>
        <v>158</v>
      </c>
      <c r="E20" s="24">
        <v>0</v>
      </c>
      <c r="F20" s="26">
        <f t="shared" si="2"/>
        <v>0</v>
      </c>
      <c r="G20" s="24">
        <v>74</v>
      </c>
      <c r="H20" s="26">
        <f>G20*4000</f>
        <v>296000</v>
      </c>
      <c r="I20" s="24">
        <v>123</v>
      </c>
      <c r="J20" s="26">
        <f t="shared" si="4"/>
        <v>492000</v>
      </c>
      <c r="K20" s="24">
        <f t="shared" si="0"/>
        <v>788000</v>
      </c>
      <c r="L20" s="77">
        <f t="shared" si="1"/>
        <v>54.794520547945204</v>
      </c>
      <c r="M20" s="21"/>
    </row>
    <row r="21" spans="1:13">
      <c r="A21" s="20"/>
      <c r="B21" s="22">
        <v>13</v>
      </c>
      <c r="C21" s="23">
        <f>'Fuel Diesel'!C21</f>
        <v>35</v>
      </c>
      <c r="D21" s="23">
        <f>'Fuel Diesel'!D21</f>
        <v>159</v>
      </c>
      <c r="E21" s="24">
        <v>0</v>
      </c>
      <c r="F21" s="26">
        <f t="shared" si="2"/>
        <v>0</v>
      </c>
      <c r="G21" s="24">
        <v>52</v>
      </c>
      <c r="H21" s="26">
        <f t="shared" si="3"/>
        <v>208000</v>
      </c>
      <c r="I21" s="24">
        <v>91</v>
      </c>
      <c r="J21" s="26">
        <f t="shared" si="4"/>
        <v>364000</v>
      </c>
      <c r="K21" s="24">
        <f t="shared" si="0"/>
        <v>572000</v>
      </c>
      <c r="L21" s="77">
        <f t="shared" si="1"/>
        <v>39.774702732772411</v>
      </c>
      <c r="M21" s="21"/>
    </row>
    <row r="22" spans="1:13">
      <c r="A22" s="20"/>
      <c r="B22" s="22">
        <v>14</v>
      </c>
      <c r="C22" s="23">
        <f>'Fuel Diesel'!C22</f>
        <v>37</v>
      </c>
      <c r="D22" s="23">
        <f>'Fuel Diesel'!D22</f>
        <v>185</v>
      </c>
      <c r="E22" s="24">
        <v>0</v>
      </c>
      <c r="F22" s="26">
        <f t="shared" si="2"/>
        <v>0</v>
      </c>
      <c r="G22" s="24">
        <v>62</v>
      </c>
      <c r="H22" s="26">
        <f t="shared" si="3"/>
        <v>248000</v>
      </c>
      <c r="I22" s="24">
        <v>108</v>
      </c>
      <c r="J22" s="26">
        <f t="shared" si="4"/>
        <v>432000</v>
      </c>
      <c r="K22" s="24">
        <f t="shared" si="0"/>
        <v>680000</v>
      </c>
      <c r="L22" s="77">
        <f t="shared" si="1"/>
        <v>47.284611640358804</v>
      </c>
      <c r="M22" s="21"/>
    </row>
    <row r="23" spans="1:13">
      <c r="A23" s="20"/>
      <c r="B23" s="22">
        <v>15</v>
      </c>
      <c r="C23" s="23">
        <f>'Fuel Diesel'!C23</f>
        <v>37</v>
      </c>
      <c r="D23" s="23">
        <f>'Fuel Diesel'!D23</f>
        <v>188</v>
      </c>
      <c r="E23" s="24">
        <v>0</v>
      </c>
      <c r="F23" s="26">
        <f t="shared" si="2"/>
        <v>0</v>
      </c>
      <c r="G23" s="24">
        <v>67</v>
      </c>
      <c r="H23" s="26">
        <f t="shared" si="3"/>
        <v>268000</v>
      </c>
      <c r="I23" s="24">
        <v>112</v>
      </c>
      <c r="J23" s="26">
        <f t="shared" si="4"/>
        <v>448000</v>
      </c>
      <c r="K23" s="24">
        <f t="shared" si="0"/>
        <v>716000</v>
      </c>
      <c r="L23" s="77">
        <f t="shared" si="1"/>
        <v>49.787914609554271</v>
      </c>
      <c r="M23" s="21"/>
    </row>
    <row r="24" spans="1:13">
      <c r="A24" s="20"/>
      <c r="B24" s="22">
        <v>16</v>
      </c>
      <c r="C24" s="23">
        <f>'Fuel Diesel'!C24</f>
        <v>39</v>
      </c>
      <c r="D24" s="23">
        <f>'Fuel Diesel'!D24</f>
        <v>195</v>
      </c>
      <c r="E24" s="24">
        <v>0</v>
      </c>
      <c r="F24" s="26">
        <f t="shared" si="2"/>
        <v>0</v>
      </c>
      <c r="G24" s="24">
        <v>70</v>
      </c>
      <c r="H24" s="26">
        <f t="shared" si="3"/>
        <v>280000</v>
      </c>
      <c r="I24" s="24">
        <v>115</v>
      </c>
      <c r="J24" s="26">
        <f t="shared" si="4"/>
        <v>460000</v>
      </c>
      <c r="K24" s="24">
        <f t="shared" si="0"/>
        <v>740000</v>
      </c>
      <c r="L24" s="77">
        <f t="shared" si="1"/>
        <v>51.456783255684584</v>
      </c>
      <c r="M24" s="21"/>
    </row>
    <row r="25" spans="1:13">
      <c r="A25" s="20"/>
      <c r="B25" s="22">
        <v>17</v>
      </c>
      <c r="C25" s="23">
        <f>'Fuel Diesel'!C25</f>
        <v>34</v>
      </c>
      <c r="D25" s="23">
        <f>'Fuel Diesel'!D25</f>
        <v>147</v>
      </c>
      <c r="E25" s="24">
        <v>52</v>
      </c>
      <c r="F25" s="26">
        <f t="shared" si="2"/>
        <v>706264</v>
      </c>
      <c r="G25" s="24">
        <v>65</v>
      </c>
      <c r="H25" s="26">
        <f t="shared" si="3"/>
        <v>260000</v>
      </c>
      <c r="I25" s="24">
        <v>122</v>
      </c>
      <c r="J25" s="26">
        <f t="shared" si="4"/>
        <v>488000</v>
      </c>
      <c r="K25" s="24">
        <f t="shared" si="0"/>
        <v>1454264</v>
      </c>
      <c r="L25" s="77">
        <f t="shared" si="1"/>
        <v>101.12398303316877</v>
      </c>
      <c r="M25" s="21"/>
    </row>
    <row r="26" spans="1:13">
      <c r="A26" s="20"/>
      <c r="B26" s="22">
        <v>18</v>
      </c>
      <c r="C26" s="23">
        <f>'Fuel Diesel'!C26</f>
        <v>30</v>
      </c>
      <c r="D26" s="23">
        <f>'Fuel Diesel'!D26</f>
        <v>171</v>
      </c>
      <c r="E26" s="24">
        <v>0</v>
      </c>
      <c r="F26" s="26">
        <f t="shared" si="2"/>
        <v>0</v>
      </c>
      <c r="G26" s="24">
        <v>69</v>
      </c>
      <c r="H26" s="26">
        <f t="shared" si="3"/>
        <v>276000</v>
      </c>
      <c r="I26" s="24">
        <v>115</v>
      </c>
      <c r="J26" s="26">
        <f t="shared" si="4"/>
        <v>460000</v>
      </c>
      <c r="K26" s="24">
        <f t="shared" si="0"/>
        <v>736000</v>
      </c>
      <c r="L26" s="77">
        <f t="shared" si="1"/>
        <v>51.178638481329529</v>
      </c>
      <c r="M26" s="21"/>
    </row>
    <row r="27" spans="1:13">
      <c r="A27" s="20"/>
      <c r="B27" s="22">
        <v>19</v>
      </c>
      <c r="C27" s="23">
        <f>'Fuel Diesel'!C27</f>
        <v>17</v>
      </c>
      <c r="D27" s="23">
        <f>'Fuel Diesel'!D27</f>
        <v>136</v>
      </c>
      <c r="E27" s="24">
        <v>0</v>
      </c>
      <c r="F27" s="26">
        <f t="shared" si="2"/>
        <v>0</v>
      </c>
      <c r="G27" s="24">
        <v>69</v>
      </c>
      <c r="H27" s="26">
        <f t="shared" si="3"/>
        <v>276000</v>
      </c>
      <c r="I27" s="24">
        <v>121</v>
      </c>
      <c r="J27" s="26">
        <f t="shared" si="4"/>
        <v>484000</v>
      </c>
      <c r="K27" s="24">
        <f t="shared" si="0"/>
        <v>760000</v>
      </c>
      <c r="L27" s="77">
        <f t="shared" si="1"/>
        <v>52.847507127459842</v>
      </c>
      <c r="M27" s="21"/>
    </row>
    <row r="28" spans="1:13">
      <c r="A28" s="20"/>
      <c r="B28" s="22">
        <v>20</v>
      </c>
      <c r="C28" s="23">
        <f>'Fuel Diesel'!C28</f>
        <v>23</v>
      </c>
      <c r="D28" s="23">
        <f>'Fuel Diesel'!D28</f>
        <v>98</v>
      </c>
      <c r="E28" s="24">
        <v>0</v>
      </c>
      <c r="F28" s="26">
        <f t="shared" si="2"/>
        <v>0</v>
      </c>
      <c r="G28" s="24">
        <v>63</v>
      </c>
      <c r="H28" s="26">
        <f t="shared" si="3"/>
        <v>252000</v>
      </c>
      <c r="I28" s="24">
        <v>105</v>
      </c>
      <c r="J28" s="26">
        <f t="shared" si="4"/>
        <v>420000</v>
      </c>
      <c r="K28" s="24">
        <f t="shared" si="0"/>
        <v>672000</v>
      </c>
      <c r="L28" s="77">
        <f t="shared" si="1"/>
        <v>46.7283220916487</v>
      </c>
      <c r="M28" s="21"/>
    </row>
    <row r="29" spans="1:13">
      <c r="A29" s="20"/>
      <c r="B29" s="22">
        <v>21</v>
      </c>
      <c r="C29" s="23">
        <f>'Fuel Diesel'!C29</f>
        <v>34</v>
      </c>
      <c r="D29" s="23">
        <f>'Fuel Diesel'!D29</f>
        <v>159</v>
      </c>
      <c r="E29" s="24">
        <v>0</v>
      </c>
      <c r="F29" s="26">
        <f t="shared" si="2"/>
        <v>0</v>
      </c>
      <c r="G29" s="24">
        <v>58</v>
      </c>
      <c r="H29" s="26">
        <f t="shared" si="3"/>
        <v>232000</v>
      </c>
      <c r="I29" s="24">
        <v>104</v>
      </c>
      <c r="J29" s="26">
        <f t="shared" si="4"/>
        <v>416000</v>
      </c>
      <c r="K29" s="24">
        <f t="shared" si="0"/>
        <v>648000</v>
      </c>
      <c r="L29" s="77">
        <f t="shared" si="1"/>
        <v>45.059453445518393</v>
      </c>
      <c r="M29" s="21"/>
    </row>
    <row r="30" spans="1:13">
      <c r="A30" s="20"/>
      <c r="B30" s="22">
        <v>22</v>
      </c>
      <c r="C30" s="23">
        <f>'Fuel Diesel'!C30</f>
        <v>41</v>
      </c>
      <c r="D30" s="23">
        <f>'Fuel Diesel'!D30</f>
        <v>181</v>
      </c>
      <c r="E30" s="24">
        <v>0</v>
      </c>
      <c r="F30" s="26">
        <f t="shared" si="2"/>
        <v>0</v>
      </c>
      <c r="G30" s="24">
        <v>66</v>
      </c>
      <c r="H30" s="26">
        <f t="shared" si="3"/>
        <v>264000</v>
      </c>
      <c r="I30" s="24">
        <v>111</v>
      </c>
      <c r="J30" s="26">
        <f t="shared" si="4"/>
        <v>444000</v>
      </c>
      <c r="K30" s="24">
        <f t="shared" si="0"/>
        <v>708000</v>
      </c>
      <c r="L30" s="77">
        <f t="shared" si="1"/>
        <v>49.231625060844166</v>
      </c>
      <c r="M30" s="21"/>
    </row>
    <row r="31" spans="1:13">
      <c r="A31" s="20"/>
      <c r="B31" s="22">
        <v>23</v>
      </c>
      <c r="C31" s="23">
        <f>'Fuel Diesel'!C31</f>
        <v>39</v>
      </c>
      <c r="D31" s="23">
        <f>'Fuel Diesel'!D31</f>
        <v>186</v>
      </c>
      <c r="E31" s="24">
        <v>0</v>
      </c>
      <c r="F31" s="26">
        <f t="shared" si="2"/>
        <v>0</v>
      </c>
      <c r="G31" s="24">
        <v>64</v>
      </c>
      <c r="H31" s="26">
        <f t="shared" si="3"/>
        <v>256000</v>
      </c>
      <c r="I31" s="24">
        <v>113</v>
      </c>
      <c r="J31" s="26">
        <f t="shared" si="4"/>
        <v>452000</v>
      </c>
      <c r="K31" s="24">
        <f t="shared" si="0"/>
        <v>708000</v>
      </c>
      <c r="L31" s="77">
        <f t="shared" si="1"/>
        <v>49.231625060844166</v>
      </c>
      <c r="M31" s="21"/>
    </row>
    <row r="32" spans="1:13">
      <c r="A32" s="20"/>
      <c r="B32" s="22">
        <v>24</v>
      </c>
      <c r="C32" s="23">
        <f>'Fuel Diesel'!C32</f>
        <v>40</v>
      </c>
      <c r="D32" s="23">
        <f>'Fuel Diesel'!D32</f>
        <v>208</v>
      </c>
      <c r="E32" s="24">
        <v>0</v>
      </c>
      <c r="F32" s="26">
        <f t="shared" si="2"/>
        <v>0</v>
      </c>
      <c r="G32" s="24">
        <v>69</v>
      </c>
      <c r="H32" s="26">
        <f t="shared" si="3"/>
        <v>276000</v>
      </c>
      <c r="I32" s="24">
        <v>119</v>
      </c>
      <c r="J32" s="26">
        <f t="shared" si="4"/>
        <v>476000</v>
      </c>
      <c r="K32" s="24">
        <f t="shared" si="0"/>
        <v>752000</v>
      </c>
      <c r="L32" s="77">
        <f t="shared" si="1"/>
        <v>52.291217578749738</v>
      </c>
      <c r="M32" s="21"/>
    </row>
    <row r="33" spans="1:15">
      <c r="A33" s="20"/>
      <c r="B33" s="22">
        <v>25</v>
      </c>
      <c r="C33" s="23">
        <f>'Fuel Diesel'!C33</f>
        <v>44</v>
      </c>
      <c r="D33" s="23">
        <f>'Fuel Diesel'!D33</f>
        <v>232</v>
      </c>
      <c r="E33" s="24">
        <v>0</v>
      </c>
      <c r="F33" s="26">
        <f t="shared" si="2"/>
        <v>0</v>
      </c>
      <c r="G33" s="24">
        <v>65</v>
      </c>
      <c r="H33" s="26">
        <f t="shared" si="3"/>
        <v>260000</v>
      </c>
      <c r="I33" s="24">
        <v>119</v>
      </c>
      <c r="J33" s="26">
        <f t="shared" si="4"/>
        <v>476000</v>
      </c>
      <c r="K33" s="24">
        <f t="shared" si="0"/>
        <v>736000</v>
      </c>
      <c r="L33" s="77">
        <f t="shared" si="1"/>
        <v>51.178638481329529</v>
      </c>
      <c r="M33" s="21"/>
    </row>
    <row r="34" spans="1:15">
      <c r="A34" s="20"/>
      <c r="B34" s="22">
        <v>26</v>
      </c>
      <c r="C34" s="23">
        <f>'Fuel Diesel'!C34</f>
        <v>37</v>
      </c>
      <c r="D34" s="23">
        <f>'Fuel Diesel'!D34</f>
        <v>198</v>
      </c>
      <c r="E34" s="24">
        <v>0</v>
      </c>
      <c r="F34" s="26">
        <f t="shared" si="2"/>
        <v>0</v>
      </c>
      <c r="G34" s="24">
        <v>70</v>
      </c>
      <c r="H34" s="26">
        <f t="shared" si="3"/>
        <v>280000</v>
      </c>
      <c r="I34" s="24">
        <v>119</v>
      </c>
      <c r="J34" s="26">
        <f t="shared" si="4"/>
        <v>476000</v>
      </c>
      <c r="K34" s="24">
        <f t="shared" si="0"/>
        <v>756000</v>
      </c>
      <c r="L34" s="77">
        <f t="shared" si="1"/>
        <v>52.569362353104793</v>
      </c>
      <c r="M34" s="21"/>
    </row>
    <row r="35" spans="1:15">
      <c r="A35" s="20"/>
      <c r="B35" s="22">
        <v>27</v>
      </c>
      <c r="C35" s="23">
        <f>'Fuel Diesel'!C35</f>
        <v>32</v>
      </c>
      <c r="D35" s="23">
        <f>'Fuel Diesel'!D35</f>
        <v>156</v>
      </c>
      <c r="E35" s="24">
        <v>0</v>
      </c>
      <c r="F35" s="26">
        <f t="shared" si="2"/>
        <v>0</v>
      </c>
      <c r="G35" s="24">
        <v>69</v>
      </c>
      <c r="H35" s="26">
        <f t="shared" si="3"/>
        <v>276000</v>
      </c>
      <c r="I35" s="24">
        <v>116</v>
      </c>
      <c r="J35" s="26">
        <f t="shared" si="4"/>
        <v>464000</v>
      </c>
      <c r="K35" s="24">
        <f t="shared" si="0"/>
        <v>740000</v>
      </c>
      <c r="L35" s="77">
        <f t="shared" si="1"/>
        <v>51.456783255684584</v>
      </c>
      <c r="M35" s="21"/>
    </row>
    <row r="36" spans="1:15">
      <c r="A36" s="20"/>
      <c r="B36" s="22">
        <v>28</v>
      </c>
      <c r="C36" s="23">
        <f>'Fuel Diesel'!C36</f>
        <v>33</v>
      </c>
      <c r="D36" s="23">
        <f>'Fuel Diesel'!D36</f>
        <v>156</v>
      </c>
      <c r="E36" s="24">
        <v>0</v>
      </c>
      <c r="F36" s="26">
        <f t="shared" si="2"/>
        <v>0</v>
      </c>
      <c r="G36" s="24">
        <v>81</v>
      </c>
      <c r="H36" s="26">
        <f t="shared" si="3"/>
        <v>324000</v>
      </c>
      <c r="I36" s="24">
        <v>145</v>
      </c>
      <c r="J36" s="26">
        <f t="shared" si="4"/>
        <v>580000</v>
      </c>
      <c r="K36" s="24">
        <f t="shared" si="0"/>
        <v>904000</v>
      </c>
      <c r="L36" s="77">
        <f t="shared" si="1"/>
        <v>62.860719004241709</v>
      </c>
      <c r="M36" s="21"/>
    </row>
    <row r="37" spans="1:15">
      <c r="A37" s="20"/>
      <c r="B37" s="22">
        <v>29</v>
      </c>
      <c r="C37" s="23">
        <f>'Fuel Diesel'!C37</f>
        <v>27</v>
      </c>
      <c r="D37" s="23">
        <f>'Fuel Diesel'!D37</f>
        <v>105</v>
      </c>
      <c r="E37" s="24">
        <v>0</v>
      </c>
      <c r="F37" s="26">
        <f t="shared" si="2"/>
        <v>0</v>
      </c>
      <c r="G37" s="24">
        <v>76</v>
      </c>
      <c r="H37" s="26">
        <f t="shared" si="3"/>
        <v>304000</v>
      </c>
      <c r="I37" s="24">
        <v>131</v>
      </c>
      <c r="J37" s="26">
        <f t="shared" si="4"/>
        <v>524000</v>
      </c>
      <c r="K37" s="24">
        <f t="shared" si="0"/>
        <v>828000</v>
      </c>
      <c r="L37" s="77">
        <f t="shared" si="1"/>
        <v>57.575968291495727</v>
      </c>
      <c r="M37" s="21"/>
    </row>
    <row r="38" spans="1:15">
      <c r="A38" s="20"/>
      <c r="B38" s="22">
        <v>30</v>
      </c>
      <c r="C38" s="23">
        <f>'Fuel Diesel'!C38</f>
        <v>23</v>
      </c>
      <c r="D38" s="23">
        <f>'Fuel Diesel'!D38</f>
        <v>112</v>
      </c>
      <c r="E38" s="24">
        <v>0</v>
      </c>
      <c r="F38" s="26">
        <f t="shared" si="2"/>
        <v>0</v>
      </c>
      <c r="G38" s="24">
        <v>68</v>
      </c>
      <c r="H38" s="26">
        <f t="shared" si="3"/>
        <v>272000</v>
      </c>
      <c r="I38" s="24">
        <v>116</v>
      </c>
      <c r="J38" s="26">
        <f t="shared" si="4"/>
        <v>464000</v>
      </c>
      <c r="K38" s="24">
        <f t="shared" si="0"/>
        <v>736000</v>
      </c>
      <c r="L38" s="77">
        <f t="shared" si="1"/>
        <v>51.178638481329529</v>
      </c>
      <c r="M38" s="21"/>
    </row>
    <row r="39" spans="1:15">
      <c r="C39" s="30">
        <f>SUM(C9:C38)</f>
        <v>1034</v>
      </c>
      <c r="D39" s="30">
        <f>SUM(D9:D38)</f>
        <v>4858</v>
      </c>
      <c r="E39" s="30">
        <v>0</v>
      </c>
      <c r="G39" s="30">
        <f>SUM(G9:G38)</f>
        <v>2017</v>
      </c>
      <c r="I39" s="30">
        <f>SUM(I9:I38)</f>
        <v>3465</v>
      </c>
      <c r="J39" s="89">
        <f>G39+I39</f>
        <v>5482</v>
      </c>
      <c r="K39" s="78"/>
      <c r="L39" s="83">
        <f>SUM(L9:L38)</f>
        <v>1573.9005632431679</v>
      </c>
      <c r="O39" s="35"/>
    </row>
    <row r="40" spans="1:15">
      <c r="H40" s="88" t="s">
        <v>58</v>
      </c>
      <c r="I40" s="87">
        <f>G39+I39</f>
        <v>5482</v>
      </c>
      <c r="L40" s="36"/>
    </row>
    <row r="41" spans="1:15">
      <c r="E41" s="19"/>
      <c r="F41" s="19"/>
      <c r="G41" s="19"/>
      <c r="H41" s="19"/>
      <c r="I41" s="79"/>
      <c r="J41" s="79"/>
      <c r="L41" s="38"/>
    </row>
    <row r="42" spans="1:15">
      <c r="E42" s="19"/>
      <c r="F42" s="19"/>
      <c r="G42" s="19"/>
      <c r="H42" s="19"/>
      <c r="I42" s="79"/>
      <c r="J42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0D56E-76D4-4A07-ADB0-326CB9B396F7}"/>
</file>

<file path=customXml/itemProps2.xml><?xml version="1.0" encoding="utf-8"?>
<ds:datastoreItem xmlns:ds="http://schemas.openxmlformats.org/officeDocument/2006/customXml" ds:itemID="{38AAAFBA-24AE-41D5-B538-7FF216155BDB}"/>
</file>

<file path=customXml/itemProps3.xml><?xml version="1.0" encoding="utf-8"?>
<ds:datastoreItem xmlns:ds="http://schemas.openxmlformats.org/officeDocument/2006/customXml" ds:itemID="{E1F59F86-2A63-47CA-80BE-C2B9142462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</cp:lastModifiedBy>
  <cp:revision/>
  <dcterms:created xsi:type="dcterms:W3CDTF">2022-01-19T02:48:06Z</dcterms:created>
  <dcterms:modified xsi:type="dcterms:W3CDTF">2022-11-07T09:52:38Z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