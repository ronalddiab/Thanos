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K18" i="3" l="1"/>
  <c r="I18" i="3"/>
  <c r="G18" i="3"/>
  <c r="E18" i="3"/>
  <c r="J18" i="2"/>
  <c r="I18" i="2"/>
  <c r="H18" i="2"/>
  <c r="F18" i="2"/>
  <c r="E1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<sst xmlns="http://schemas.openxmlformats.org/spreadsheetml/2006/main" count="106" uniqueCount="39">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</sst>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selection activeCell="N22" sqref="N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10083</v>
      </c>
      <c r="F10" s="13">
        <v>0.11799999999999999</v>
      </c>
      <c r="G10" s="15">
        <f>'11 - 2022'!D16-'11 - 2022'!D15+'11 - 2022'!E16-'11 - 2022'!E15</f>
        <v>21.009999999999309</v>
      </c>
      <c r="H10" s="13">
        <v>0.99</v>
      </c>
      <c r="I10" s="15">
        <f>'11 - 2022'!J16-'11 - 2022'!J15</f>
        <v>24200</v>
      </c>
      <c r="J10" s="13">
        <v>8.1000000000000003E-2</v>
      </c>
      <c r="K10" s="21">
        <f>'11 - 2022'!H16-'11 - 2022'!H15</f>
        <v>0</v>
      </c>
      <c r="L10" s="15">
        <f>'11 - 2022'!I16-'11 - 2022'!I15</f>
        <v>108</v>
      </c>
      <c r="M10" s="14">
        <v>4.393629424766913</v>
      </c>
      <c r="N10" s="16">
        <v>96</v>
      </c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10286</v>
      </c>
      <c r="F11" s="13">
        <v>0.11799999999999999</v>
      </c>
      <c r="G11" s="15">
        <f>'11 - 2022'!D17-'11 - 2022'!D16+'11 - 2022'!E17-'11 - 2022'!E16</f>
        <v>29.600000000000364</v>
      </c>
      <c r="H11" s="13">
        <v>0.99</v>
      </c>
      <c r="I11" s="15">
        <f>'11 - 2022'!J17-'11 - 2022'!J16</f>
        <v>23429</v>
      </c>
      <c r="J11" s="13">
        <v>8.1000000000000003E-2</v>
      </c>
      <c r="K11" s="21">
        <f>'11 - 2022'!H17-'11 - 2022'!H16</f>
        <v>0</v>
      </c>
      <c r="L11" s="15">
        <f>'11 - 2022'!I17-'11 - 2022'!I16</f>
        <v>121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10137</v>
      </c>
      <c r="F12" s="13">
        <v>0.11799999999999999</v>
      </c>
      <c r="G12" s="15">
        <f>'11 - 2022'!D18-'11 - 2022'!D17+'11 - 2022'!E18-'11 - 2022'!E17</f>
        <v>24.130000000000109</v>
      </c>
      <c r="H12" s="13">
        <v>0.99</v>
      </c>
      <c r="I12" s="15">
        <f>'11 - 2022'!J18-'11 - 2022'!J17</f>
        <v>25763</v>
      </c>
      <c r="J12" s="13">
        <v>8.1000000000000003E-2</v>
      </c>
      <c r="K12" s="21">
        <f>'11 - 2022'!H18-'11 - 2022'!H17</f>
        <v>0</v>
      </c>
      <c r="L12" s="15">
        <f>'11 - 2022'!I18-'11 - 2022'!I17</f>
        <v>121</v>
      </c>
      <c r="M12" s="14">
        <v>4.393629424766913</v>
      </c>
      <c r="N12" s="16">
        <v>102</v>
      </c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10208</v>
      </c>
      <c r="F13" s="13">
        <v>0.11799999999999999</v>
      </c>
      <c r="G13" s="15">
        <f>'11 - 2022'!D19-'11 - 2022'!D18+'11 - 2022'!E19-'11 - 2022'!E18</f>
        <v>24.739999999999782</v>
      </c>
      <c r="H13" s="13">
        <v>0.99</v>
      </c>
      <c r="I13" s="15">
        <f>'11 - 2022'!J19-'11 - 2022'!J18</f>
        <v>24942</v>
      </c>
      <c r="J13" s="13">
        <v>8.1000000000000003E-2</v>
      </c>
      <c r="K13" s="21">
        <f>'11 - 2022'!H19-'11 - 2022'!H18</f>
        <v>0</v>
      </c>
      <c r="L13" s="15">
        <f>'11 - 2022'!I19-'11 - 2022'!I18</f>
        <v>126</v>
      </c>
      <c r="M13" s="14">
        <v>4.393629424766913</v>
      </c>
      <c r="N13" s="16">
        <v>103</v>
      </c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9991</v>
      </c>
      <c r="F14" s="13">
        <v>0.11799999999999999</v>
      </c>
      <c r="G14" s="15">
        <f>'11 - 2022'!D20-'11 - 2022'!D19+'11 - 2022'!E20-'11 - 2022'!E19</f>
        <v>23.180000000000291</v>
      </c>
      <c r="H14" s="13">
        <v>0.99</v>
      </c>
      <c r="I14" s="15">
        <f>'11 - 2022'!J20-'11 - 2022'!J19</f>
        <v>25916</v>
      </c>
      <c r="J14" s="13">
        <v>8.1000000000000003E-2</v>
      </c>
      <c r="K14" s="21">
        <f>'11 - 2022'!H20-'11 - 2022'!H19</f>
        <v>0</v>
      </c>
      <c r="L14" s="15">
        <f>'11 - 2022'!I20-'11 - 2022'!I19</f>
        <v>131</v>
      </c>
      <c r="M14" s="14">
        <v>4.393629424766913</v>
      </c>
      <c r="N14" s="16">
        <v>78</v>
      </c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10053</v>
      </c>
      <c r="F15" s="13">
        <v>0.11799999999999999</v>
      </c>
      <c r="G15" s="15">
        <f>'11 - 2022'!D21-'11 - 2022'!D20+'11 - 2022'!E21-'11 - 2022'!E20</f>
        <v>23.059999999999491</v>
      </c>
      <c r="H15" s="13">
        <v>0.99</v>
      </c>
      <c r="I15" s="15">
        <f>'11 - 2022'!J21-'11 - 2022'!J20</f>
        <v>27723</v>
      </c>
      <c r="J15" s="13">
        <v>8.1000000000000003E-2</v>
      </c>
      <c r="K15" s="21">
        <f>'11 - 2022'!H21-'11 - 2022'!H20</f>
        <v>0</v>
      </c>
      <c r="L15" s="15">
        <f>'11 - 2022'!I21-'11 - 2022'!I20</f>
        <v>104</v>
      </c>
      <c r="M15" s="14">
        <v>4.393629424766913</v>
      </c>
      <c r="N15" s="16">
        <v>88</v>
      </c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10206</v>
      </c>
      <c r="F16" s="13">
        <v>0.11799999999999999</v>
      </c>
      <c r="G16" s="15">
        <f>'11 - 2022'!D22-'11 - 2022'!D21+'11 - 2022'!E22-'11 - 2022'!E21</f>
        <v>23.719999999999345</v>
      </c>
      <c r="H16" s="13">
        <v>0.99</v>
      </c>
      <c r="I16" s="15">
        <f>'11 - 2022'!J22-'11 - 2022'!J21</f>
        <v>26257</v>
      </c>
      <c r="J16" s="13">
        <v>8.1000000000000003E-2</v>
      </c>
      <c r="K16" s="21">
        <f>'11 - 2022'!H22-'11 - 2022'!H21</f>
        <v>0</v>
      </c>
      <c r="L16" s="15">
        <f>'11 - 2022'!I22-'11 - 2022'!I21</f>
        <v>111</v>
      </c>
      <c r="M16" s="14">
        <v>4.393629424766913</v>
      </c>
      <c r="N16" s="16">
        <v>89</v>
      </c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v>0</v>
      </c>
      <c r="F17" s="13">
        <v>0.11799999999999999</v>
      </c>
      <c r="G17" s="15">
        <v>0</v>
      </c>
      <c r="H17" s="13">
        <v>0.99</v>
      </c>
      <c r="I17" s="15">
        <v>0</v>
      </c>
      <c r="J17" s="13">
        <v>8.1000000000000003E-2</v>
      </c>
      <c r="K17" s="21">
        <v>0</v>
      </c>
      <c r="L17" s="15"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0" sqref="N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4112</v>
      </c>
      <c r="F10" s="15">
        <f>'11 - 2022'!C16-'11 - 2022'!C15</f>
        <v>5971</v>
      </c>
      <c r="G10" s="13">
        <v>0.11799999999999999</v>
      </c>
      <c r="H10" s="15">
        <f>'11 - 2022'!E16-'11 - 2022'!E15</f>
        <v>20.549999999999272</v>
      </c>
      <c r="I10" s="15">
        <f>'11 - 2022'!F16-'11 - 2022'!F15</f>
        <v>10.980000000000018</v>
      </c>
      <c r="J10" s="15">
        <f>'11 - 2022'!G16-'11 - 2022'!G15</f>
        <v>31.260000000002037</v>
      </c>
      <c r="K10" s="13">
        <v>0.74</v>
      </c>
      <c r="L10" s="16">
        <v>96</v>
      </c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4262</v>
      </c>
      <c r="F11" s="15">
        <f>'11 - 2022'!C17-'11 - 2022'!C16</f>
        <v>6024</v>
      </c>
      <c r="G11" s="13">
        <v>0.11799999999999999</v>
      </c>
      <c r="H11" s="15">
        <f>'11 - 2022'!E17-'11 - 2022'!E16</f>
        <v>29.650000000000546</v>
      </c>
      <c r="I11" s="15">
        <f>'11 - 2022'!F17-'11 - 2022'!F16</f>
        <v>10.840000000000146</v>
      </c>
      <c r="J11" s="15">
        <f>'11 - 2022'!G17-'11 - 2022'!G16</f>
        <v>33.510000000002037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4099</v>
      </c>
      <c r="F12" s="15">
        <f>'11 - 2022'!C18-'11 - 2022'!C17</f>
        <v>6038</v>
      </c>
      <c r="G12" s="13">
        <v>0.11799999999999999</v>
      </c>
      <c r="H12" s="15">
        <f>'11 - 2022'!E18-'11 - 2022'!E17</f>
        <v>24.279999999999745</v>
      </c>
      <c r="I12" s="15">
        <f>'11 - 2022'!F18-'11 - 2022'!F17</f>
        <v>10.570000000000164</v>
      </c>
      <c r="J12" s="15">
        <f>'11 - 2022'!G18-'11 - 2022'!G17</f>
        <v>33.029999999998836</v>
      </c>
      <c r="K12" s="13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4147</v>
      </c>
      <c r="F13" s="15">
        <f>'11 - 2022'!C19-'11 - 2022'!C18</f>
        <v>6061</v>
      </c>
      <c r="G13" s="13">
        <v>0.11799999999999999</v>
      </c>
      <c r="H13" s="15">
        <f>'11 - 2022'!E19-'11 - 2022'!E18</f>
        <v>24.789999999999964</v>
      </c>
      <c r="I13" s="15">
        <f>'11 - 2022'!F19-'11 - 2022'!F18</f>
        <v>10.409999999999854</v>
      </c>
      <c r="J13" s="15">
        <f>'11 - 2022'!G19-'11 - 2022'!G18</f>
        <v>32.220000000001164</v>
      </c>
      <c r="K13" s="13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3996</v>
      </c>
      <c r="F14" s="15">
        <f>'11 - 2022'!C20-'11 - 2022'!C19</f>
        <v>5995</v>
      </c>
      <c r="G14" s="13">
        <v>0.11799999999999999</v>
      </c>
      <c r="H14" s="15">
        <f>'11 - 2022'!E20-'11 - 2022'!E19</f>
        <v>23.230000000000473</v>
      </c>
      <c r="I14" s="15">
        <f>'11 - 2022'!F20-'11 - 2022'!F19</f>
        <v>10.549999999999727</v>
      </c>
      <c r="J14" s="15">
        <f>'11 - 2022'!G20-'11 - 2022'!G19</f>
        <v>29.849999999998545</v>
      </c>
      <c r="K14" s="13">
        <v>0.74</v>
      </c>
      <c r="L14" s="16">
        <v>78</v>
      </c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4071</v>
      </c>
      <c r="F15" s="15">
        <f>'11 - 2022'!C21-'11 - 2022'!C20</f>
        <v>5982</v>
      </c>
      <c r="G15" s="13">
        <v>0.11799999999999999</v>
      </c>
      <c r="H15" s="15">
        <f>'11 - 2022'!E21-'11 - 2022'!E20</f>
        <v>23.159999999999854</v>
      </c>
      <c r="I15" s="15">
        <f>'11 - 2022'!F21-'11 - 2022'!F20</f>
        <v>8.9700000000002547</v>
      </c>
      <c r="J15" s="15">
        <f>'11 - 2022'!G21-'11 - 2022'!G20</f>
        <v>29.989999999997963</v>
      </c>
      <c r="K15" s="13">
        <v>0.74</v>
      </c>
      <c r="L15" s="16">
        <v>88</v>
      </c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4073</v>
      </c>
      <c r="F16" s="15">
        <f>'11 - 2022'!C22-'11 - 2022'!C21</f>
        <v>6133</v>
      </c>
      <c r="G16" s="13">
        <v>0.11799999999999999</v>
      </c>
      <c r="H16" s="15">
        <f>'11 - 2022'!E22-'11 - 2022'!E21</f>
        <v>23.819999999999709</v>
      </c>
      <c r="I16" s="15">
        <f>'11 - 2022'!F22-'11 - 2022'!F21</f>
        <v>10.420000000000073</v>
      </c>
      <c r="J16" s="15">
        <f>'11 - 2022'!G22-'11 - 2022'!G21</f>
        <v>37.690000000002328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v>0</v>
      </c>
      <c r="F17" s="15">
        <v>0</v>
      </c>
      <c r="G17" s="13">
        <v>0.11799999999999999</v>
      </c>
      <c r="H17" s="15">
        <v>0</v>
      </c>
      <c r="I17" s="15">
        <v>0</v>
      </c>
      <c r="J17" s="15"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F28" sqref="F27:F28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  <c r="K3" s="49"/>
      <c r="L3" s="49"/>
    </row>
    <row r="4" spans="1:17" ht="16.5" thickBot="1" x14ac:dyDescent="0.3">
      <c r="A4" s="92" t="s">
        <v>38</v>
      </c>
      <c r="B4" s="92"/>
      <c r="C4" s="92"/>
      <c r="D4" s="92"/>
      <c r="E4" s="92"/>
      <c r="F4" s="92"/>
      <c r="G4" s="92"/>
      <c r="H4" s="92"/>
      <c r="I4" s="92"/>
      <c r="J4" s="92"/>
      <c r="K4" s="49"/>
      <c r="L4" s="49"/>
    </row>
    <row r="5" spans="1:17" ht="16.5" thickBot="1" x14ac:dyDescent="0.3">
      <c r="A5" s="50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0" t="s">
        <v>31</v>
      </c>
      <c r="L6" s="71" t="s">
        <v>32</v>
      </c>
    </row>
    <row r="7" spans="1:17" s="27" customFormat="1" ht="12.95" customHeight="1" thickBot="1" x14ac:dyDescent="0.3">
      <c r="A7" s="72">
        <v>44865</v>
      </c>
      <c r="B7" s="73">
        <v>733438</v>
      </c>
      <c r="C7" s="74">
        <v>805563</v>
      </c>
      <c r="D7" s="75">
        <v>0.42</v>
      </c>
      <c r="E7" s="76">
        <v>5686.06</v>
      </c>
      <c r="F7" s="77">
        <v>3685.88</v>
      </c>
      <c r="G7" s="77">
        <v>47050.26</v>
      </c>
      <c r="H7" s="73">
        <v>14528</v>
      </c>
      <c r="I7" s="73">
        <v>176040</v>
      </c>
      <c r="J7" s="73">
        <v>61124038</v>
      </c>
      <c r="K7" s="78"/>
      <c r="L7" s="79"/>
      <c r="M7" s="26"/>
    </row>
    <row r="8" spans="1:17" s="29" customFormat="1" ht="12.95" customHeight="1" thickTop="1" x14ac:dyDescent="0.25">
      <c r="A8" s="84">
        <f>A7+1</f>
        <v>44866</v>
      </c>
      <c r="B8" s="85">
        <v>737533</v>
      </c>
      <c r="C8" s="85">
        <v>811658</v>
      </c>
      <c r="D8" s="86">
        <v>0.38</v>
      </c>
      <c r="E8" s="87">
        <v>5708.86</v>
      </c>
      <c r="F8" s="87">
        <v>3696.64</v>
      </c>
      <c r="G8" s="85">
        <v>47079.95</v>
      </c>
      <c r="H8" s="85">
        <v>14528</v>
      </c>
      <c r="I8" s="85">
        <v>176162</v>
      </c>
      <c r="J8" s="85">
        <v>61153249</v>
      </c>
      <c r="K8" s="88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41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41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89">
        <v>61207393</v>
      </c>
      <c r="K10" s="56"/>
      <c r="L10" s="59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59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40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59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41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0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41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59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1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59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90">
        <v>770432</v>
      </c>
      <c r="C16" s="43">
        <v>859009</v>
      </c>
      <c r="D16" s="42">
        <v>0.8</v>
      </c>
      <c r="E16" s="41">
        <v>5896.61</v>
      </c>
      <c r="F16" s="61">
        <v>3779.35</v>
      </c>
      <c r="G16" s="41">
        <v>47332.57</v>
      </c>
      <c r="H16" s="43">
        <v>14528</v>
      </c>
      <c r="I16" s="43">
        <v>177165</v>
      </c>
      <c r="J16" s="43">
        <v>61354592</v>
      </c>
      <c r="K16" s="56"/>
      <c r="L16" s="59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>
        <v>774694</v>
      </c>
      <c r="C17" s="41">
        <v>865033</v>
      </c>
      <c r="D17" s="42">
        <v>0.75</v>
      </c>
      <c r="E17" s="41">
        <v>5926.26</v>
      </c>
      <c r="F17" s="61">
        <v>3790.19</v>
      </c>
      <c r="G17" s="41">
        <v>47366.080000000002</v>
      </c>
      <c r="H17" s="43">
        <v>14528</v>
      </c>
      <c r="I17" s="41">
        <v>177286</v>
      </c>
      <c r="J17" s="41">
        <v>61378021</v>
      </c>
      <c r="K17" s="56"/>
      <c r="L17" s="59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>
        <v>778793</v>
      </c>
      <c r="C18" s="43">
        <v>871071</v>
      </c>
      <c r="D18" s="42">
        <v>0.6</v>
      </c>
      <c r="E18" s="41">
        <v>5950.54</v>
      </c>
      <c r="F18" s="41">
        <v>3800.76</v>
      </c>
      <c r="G18" s="41">
        <v>47399.11</v>
      </c>
      <c r="H18" s="43">
        <v>14528</v>
      </c>
      <c r="I18" s="43">
        <v>177407</v>
      </c>
      <c r="J18" s="43">
        <v>61403784</v>
      </c>
      <c r="K18" s="56"/>
      <c r="L18" s="59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>
        <v>782940</v>
      </c>
      <c r="C19" s="43">
        <v>877132</v>
      </c>
      <c r="D19" s="42">
        <v>0.55000000000000004</v>
      </c>
      <c r="E19" s="41">
        <v>5975.33</v>
      </c>
      <c r="F19" s="41">
        <v>3811.17</v>
      </c>
      <c r="G19" s="41">
        <v>47431.33</v>
      </c>
      <c r="H19" s="43">
        <v>14528</v>
      </c>
      <c r="I19" s="43">
        <v>177533</v>
      </c>
      <c r="J19" s="43">
        <v>61428726</v>
      </c>
      <c r="K19" s="56"/>
      <c r="L19" s="59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>
        <v>786936</v>
      </c>
      <c r="C20" s="46">
        <v>883127</v>
      </c>
      <c r="D20" s="42">
        <v>0.5</v>
      </c>
      <c r="E20" s="43">
        <v>5998.56</v>
      </c>
      <c r="F20" s="43">
        <v>3821.72</v>
      </c>
      <c r="G20" s="47">
        <v>47461.18</v>
      </c>
      <c r="H20" s="43">
        <v>14528</v>
      </c>
      <c r="I20" s="46">
        <v>177664</v>
      </c>
      <c r="J20" s="46">
        <v>61454642</v>
      </c>
      <c r="K20" s="56"/>
      <c r="L20" s="62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>
        <v>791007</v>
      </c>
      <c r="C21" s="46">
        <v>889109</v>
      </c>
      <c r="D21" s="42">
        <v>0.4</v>
      </c>
      <c r="E21" s="47">
        <v>6021.72</v>
      </c>
      <c r="F21" s="41">
        <v>3830.69</v>
      </c>
      <c r="G21" s="47">
        <v>47491.17</v>
      </c>
      <c r="H21" s="43">
        <v>14528</v>
      </c>
      <c r="I21" s="46">
        <v>177768</v>
      </c>
      <c r="J21" s="46">
        <v>61482365</v>
      </c>
      <c r="K21" s="56"/>
      <c r="L21" s="62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>
        <v>795080</v>
      </c>
      <c r="C22" s="90">
        <v>895242</v>
      </c>
      <c r="D22" s="42">
        <v>0.3</v>
      </c>
      <c r="E22" s="41">
        <v>6045.54</v>
      </c>
      <c r="F22" s="41">
        <v>3841.11</v>
      </c>
      <c r="G22" s="47">
        <v>47528.86</v>
      </c>
      <c r="H22" s="43">
        <v>14528</v>
      </c>
      <c r="I22" s="47">
        <v>177879</v>
      </c>
      <c r="J22" s="46">
        <v>61508622</v>
      </c>
      <c r="K22" s="56"/>
      <c r="L22" s="62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/>
      <c r="C23" s="46"/>
      <c r="D23" s="42"/>
      <c r="E23" s="47"/>
      <c r="F23" s="41"/>
      <c r="G23" s="47"/>
      <c r="H23" s="43"/>
      <c r="I23" s="46"/>
      <c r="J23" s="46"/>
      <c r="K23" s="56"/>
      <c r="L23" s="62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/>
      <c r="C24" s="46"/>
      <c r="D24" s="42"/>
      <c r="E24" s="47"/>
      <c r="F24" s="41"/>
      <c r="G24" s="47"/>
      <c r="H24" s="43"/>
      <c r="I24" s="46"/>
      <c r="J24" s="46"/>
      <c r="K24" s="56"/>
      <c r="L24" s="63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/>
      <c r="C25" s="47"/>
      <c r="D25" s="42"/>
      <c r="E25" s="47"/>
      <c r="F25" s="41"/>
      <c r="G25" s="47"/>
      <c r="H25" s="43"/>
      <c r="I25" s="46"/>
      <c r="J25" s="46"/>
      <c r="K25" s="64"/>
      <c r="L25" s="63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/>
      <c r="C26" s="47"/>
      <c r="D26" s="45"/>
      <c r="E26" s="47"/>
      <c r="F26" s="41"/>
      <c r="G26" s="47"/>
      <c r="H26" s="43"/>
      <c r="I26" s="46"/>
      <c r="J26" s="46"/>
      <c r="K26" s="56"/>
      <c r="L26" s="63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/>
      <c r="C27" s="46"/>
      <c r="D27" s="42"/>
      <c r="E27" s="47"/>
      <c r="F27" s="41"/>
      <c r="G27" s="47"/>
      <c r="H27" s="43"/>
      <c r="I27" s="46"/>
      <c r="J27" s="46"/>
      <c r="K27" s="65"/>
      <c r="L27" s="62"/>
      <c r="M27" s="28"/>
    </row>
    <row r="28" spans="1:19" s="29" customFormat="1" ht="12.95" customHeight="1" x14ac:dyDescent="0.25">
      <c r="A28" s="55">
        <f t="shared" si="0"/>
        <v>44886</v>
      </c>
      <c r="B28" s="46"/>
      <c r="C28" s="46"/>
      <c r="D28" s="42"/>
      <c r="E28" s="47"/>
      <c r="F28" s="41"/>
      <c r="G28" s="47"/>
      <c r="H28" s="43"/>
      <c r="I28" s="46"/>
      <c r="J28" s="46"/>
      <c r="K28" s="56"/>
      <c r="L28" s="62"/>
      <c r="M28" s="28"/>
    </row>
    <row r="29" spans="1:19" s="29" customFormat="1" ht="12.95" customHeight="1" x14ac:dyDescent="0.25">
      <c r="A29" s="55">
        <f t="shared" si="0"/>
        <v>44887</v>
      </c>
      <c r="B29" s="46"/>
      <c r="C29" s="46"/>
      <c r="D29" s="42"/>
      <c r="E29" s="47"/>
      <c r="F29" s="41"/>
      <c r="G29" s="47"/>
      <c r="H29" s="43"/>
      <c r="I29" s="46"/>
      <c r="J29" s="46"/>
      <c r="K29" s="56"/>
      <c r="L29" s="62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/>
      <c r="C30" s="46"/>
      <c r="D30" s="42"/>
      <c r="E30" s="47"/>
      <c r="F30" s="41"/>
      <c r="G30" s="47"/>
      <c r="H30" s="43"/>
      <c r="I30" s="46"/>
      <c r="J30" s="46"/>
      <c r="K30" s="56"/>
      <c r="L30" s="62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2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2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2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6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2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7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2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68"/>
      <c r="F39" s="68"/>
      <c r="G39" s="68"/>
      <c r="H39" s="37">
        <f>H38*219.969</f>
        <v>-3195709.6319999998</v>
      </c>
      <c r="I39" s="36">
        <f>I38*219.969</f>
        <v>-38723342.759999998</v>
      </c>
      <c r="J39" s="68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69" t="s">
        <v>37</v>
      </c>
      <c r="I40" s="49"/>
      <c r="J40" s="49"/>
      <c r="K40" s="49"/>
      <c r="L40" s="49"/>
    </row>
    <row r="41" spans="1:16" x14ac:dyDescent="0.25">
      <c r="A41" s="80"/>
      <c r="B41" s="81">
        <f>B32-B10</f>
        <v>-745537</v>
      </c>
      <c r="C41" s="81">
        <f>C32-C10</f>
        <v>-823516</v>
      </c>
      <c r="D41" s="80"/>
      <c r="E41" s="81" t="e">
        <f>E32-#REF!</f>
        <v>#REF!</v>
      </c>
      <c r="F41" s="81">
        <f>F32-F10</f>
        <v>-3716.3</v>
      </c>
      <c r="G41" s="81">
        <f>G32-G10</f>
        <v>-47143.8</v>
      </c>
      <c r="H41" s="81">
        <f>H32-H10</f>
        <v>-14528</v>
      </c>
      <c r="I41" s="81">
        <f t="shared" ref="I41:J41" si="2">I32-I10</f>
        <v>-176410</v>
      </c>
      <c r="J41" s="81">
        <f t="shared" si="2"/>
        <v>-61207393</v>
      </c>
      <c r="K41" s="80"/>
      <c r="L41" s="80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68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2">
        <f>SUM(J42-J41)/J41</f>
        <v>-1.0125574863154194</v>
      </c>
      <c r="K44" s="49"/>
      <c r="L44" s="49"/>
    </row>
    <row r="45" spans="1:16" x14ac:dyDescent="0.25">
      <c r="A45" s="49"/>
      <c r="B45" s="49"/>
      <c r="C45" s="83">
        <f>SUM(C44-C43)/C43</f>
        <v>-1.1138661345410257</v>
      </c>
      <c r="D45" s="49"/>
      <c r="E45" s="49"/>
      <c r="F45" s="49"/>
      <c r="G45" s="49"/>
      <c r="H45" s="49"/>
      <c r="I45" s="82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2022-11-15T05:02:34Z</dcterms:modified>
</cp:coreProperties>
</file>