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20" yWindow="195" windowWidth="14100" windowHeight="10425" tabRatio="58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U21" i="2"/>
  <c r="AV22" i="5" l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N18" i="2" l="1"/>
  <c r="F17" i="1" l="1"/>
  <c r="H17"/>
  <c r="AM22" i="2"/>
  <c r="AM23" s="1"/>
  <c r="AM24" s="1"/>
  <c r="AM25" s="1"/>
  <c r="AM26" s="1"/>
  <c r="AM27" s="1"/>
  <c r="AM28" s="1"/>
  <c r="AM29" s="1"/>
  <c r="AM30" s="1"/>
  <c r="AM31" s="1"/>
  <c r="AM32" s="1"/>
  <c r="AM33" s="1"/>
  <c r="C15" i="77"/>
  <c r="C16"/>
  <c r="C17"/>
  <c r="C18"/>
  <c r="C19"/>
  <c r="C14"/>
  <c r="A14" i="5"/>
  <c r="AN12" i="2" l="1"/>
  <c r="AN11"/>
  <c r="AL22"/>
  <c r="AL23" s="1"/>
  <c r="AL24" s="1"/>
  <c r="AL25" s="1"/>
  <c r="AL26" s="1"/>
  <c r="AL27" s="1"/>
  <c r="AL28" s="1"/>
  <c r="AL29" s="1"/>
  <c r="AL30" s="1"/>
  <c r="AL31" s="1"/>
  <c r="AL32" s="1"/>
  <c r="AL33" s="1"/>
  <c r="AN9" l="1"/>
  <c r="AN10"/>
  <c r="AN13"/>
  <c r="AN14"/>
  <c r="AN15"/>
  <c r="AN16"/>
  <c r="AN17"/>
  <c r="AN19"/>
  <c r="AN20"/>
  <c r="AN21"/>
  <c r="AN22"/>
  <c r="AN23"/>
  <c r="AN24"/>
  <c r="AN25"/>
  <c r="AN26"/>
  <c r="AN27"/>
  <c r="AN28"/>
  <c r="AN29"/>
  <c r="AN30"/>
  <c r="AN31"/>
  <c r="AN32"/>
  <c r="AN33"/>
  <c r="AO8" l="1"/>
  <c r="H7" i="82" s="1"/>
  <c r="AN6" i="2"/>
  <c r="AN7"/>
  <c r="AN8"/>
  <c r="P34" i="3"/>
  <c r="AS37" i="7"/>
  <c r="AU37" s="1"/>
  <c r="AT37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T38" i="7" l="1"/>
  <c r="AO12" i="2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AO13"/>
  <c r="H12" i="82" s="1"/>
  <c r="AO14" i="2"/>
  <c r="H13" i="82" s="1"/>
  <c r="K5" i="73"/>
  <c r="G5"/>
  <c r="D5"/>
  <c r="AZ5" i="7"/>
  <c r="BA5"/>
  <c r="BB5"/>
  <c r="D12" i="2" l="1"/>
  <c r="D13" s="1"/>
  <c r="D14" s="1"/>
  <c r="E11"/>
  <c r="AO15"/>
  <c r="H14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J19" i="76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H19"/>
  <c r="H23" s="1"/>
  <c r="H24" s="1"/>
  <c r="H25" s="1"/>
  <c r="H26" s="1"/>
  <c r="H27" s="1"/>
  <c r="H28" s="1"/>
  <c r="H29" s="1"/>
  <c r="H30" s="1"/>
  <c r="H31" s="1"/>
  <c r="H32" s="1"/>
  <c r="H33" s="1"/>
  <c r="H34" s="1"/>
  <c r="F23"/>
  <c r="F24" s="1"/>
  <c r="F25" s="1"/>
  <c r="F26" s="1"/>
  <c r="F27" s="1"/>
  <c r="F28" s="1"/>
  <c r="F29" s="1"/>
  <c r="F30" s="1"/>
  <c r="F31" s="1"/>
  <c r="F32" s="1"/>
  <c r="F33" s="1"/>
  <c r="F34" s="1"/>
  <c r="B23"/>
  <c r="B24" s="1"/>
  <c r="B25" s="1"/>
  <c r="B26" s="1"/>
  <c r="B27" s="1"/>
  <c r="B28" s="1"/>
  <c r="B29" s="1"/>
  <c r="B30" s="1"/>
  <c r="B31" s="1"/>
  <c r="B32" s="1"/>
  <c r="B33" s="1"/>
  <c r="B34" s="1"/>
  <c r="C34" s="1"/>
  <c r="AC34"/>
  <c r="AB34"/>
  <c r="A34"/>
  <c r="T4" i="3"/>
  <c r="T5"/>
  <c r="T6" s="1"/>
  <c r="T7" s="1"/>
  <c r="T8" s="1"/>
  <c r="T9" s="1"/>
  <c r="T10" s="1"/>
  <c r="T11" s="1"/>
  <c r="T13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4"/>
  <c r="R5" s="1"/>
  <c r="R6" s="1"/>
  <c r="R8" s="1"/>
  <c r="R9" s="1"/>
  <c r="R10" s="1"/>
  <c r="R11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T3"/>
  <c r="R3"/>
  <c r="D22"/>
  <c r="D23" s="1"/>
  <c r="D24" s="1"/>
  <c r="D25" s="1"/>
  <c r="D26" s="1"/>
  <c r="D27" s="1"/>
  <c r="D28" s="1"/>
  <c r="D29" s="1"/>
  <c r="D30" s="1"/>
  <c r="D31" s="1"/>
  <c r="D32" s="1"/>
  <c r="D33" s="1"/>
  <c r="E33" s="1"/>
  <c r="B13"/>
  <c r="B22" s="1"/>
  <c r="B23" s="1"/>
  <c r="B24" s="1"/>
  <c r="B25" s="1"/>
  <c r="B26" s="1"/>
  <c r="B27" s="1"/>
  <c r="B28" s="1"/>
  <c r="B29" s="1"/>
  <c r="B30" s="1"/>
  <c r="B31" s="1"/>
  <c r="B32" s="1"/>
  <c r="B33" s="1"/>
  <c r="AJ33"/>
  <c r="A33"/>
  <c r="A33" i="2"/>
  <c r="AZ36" i="7" s="1"/>
  <c r="BB36"/>
  <c r="D16" i="2" l="1"/>
  <c r="AO17"/>
  <c r="H16" i="82" s="1"/>
  <c r="W26" i="76"/>
  <c r="I34"/>
  <c r="M34" s="1"/>
  <c r="W27"/>
  <c r="G34"/>
  <c r="L34" s="1"/>
  <c r="W28"/>
  <c r="S33" i="3"/>
  <c r="U33" s="1"/>
  <c r="C33"/>
  <c r="F33" s="1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6" i="73"/>
  <c r="K36"/>
  <c r="G36"/>
  <c r="D36"/>
  <c r="BA36" i="7" s="1"/>
  <c r="K7" i="5"/>
  <c r="A35" i="79"/>
  <c r="L35" s="1"/>
  <c r="A36"/>
  <c r="L36" s="1"/>
  <c r="H8"/>
  <c r="H9" s="1"/>
  <c r="H10" s="1"/>
  <c r="H12" s="1"/>
  <c r="H13" s="1"/>
  <c r="H15" s="1"/>
  <c r="H16" s="1"/>
  <c r="H17" s="1"/>
  <c r="H18" s="1"/>
  <c r="H19" s="1"/>
  <c r="H20" s="1"/>
  <c r="H22" s="1"/>
  <c r="H25" s="1"/>
  <c r="H26" s="1"/>
  <c r="H27" s="1"/>
  <c r="H28" s="1"/>
  <c r="H29" s="1"/>
  <c r="H30" s="1"/>
  <c r="H31" s="1"/>
  <c r="H32" s="1"/>
  <c r="H33" s="1"/>
  <c r="H34" s="1"/>
  <c r="K34" i="5" s="1"/>
  <c r="H6" i="79"/>
  <c r="K6" i="5" s="1"/>
  <c r="AX19"/>
  <c r="AX25" s="1"/>
  <c r="AX26" s="1"/>
  <c r="AX27" s="1"/>
  <c r="AX28" s="1"/>
  <c r="AX29" s="1"/>
  <c r="AX30" s="1"/>
  <c r="AX31" s="1"/>
  <c r="AX32" s="1"/>
  <c r="AX33" s="1"/>
  <c r="AX34" s="1"/>
  <c r="AX35" s="1"/>
  <c r="AV19"/>
  <c r="AT11"/>
  <c r="AT17" s="1"/>
  <c r="AT18" s="1"/>
  <c r="AT19" s="1"/>
  <c r="AT21" s="1"/>
  <c r="AT22" s="1"/>
  <c r="AT25" s="1"/>
  <c r="AT26" s="1"/>
  <c r="AT27" s="1"/>
  <c r="AT28" s="1"/>
  <c r="AT29" s="1"/>
  <c r="AT30" s="1"/>
  <c r="AT31" s="1"/>
  <c r="AT32" s="1"/>
  <c r="AT33" s="1"/>
  <c r="AT34" s="1"/>
  <c r="AT35" s="1"/>
  <c r="AS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6"/>
  <c r="AC7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B6"/>
  <c r="Z6"/>
  <c r="Z7" s="1"/>
  <c r="X7"/>
  <c r="X11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G7" i="5"/>
  <c r="G9" s="1"/>
  <c r="G11" s="1"/>
  <c r="G13" s="1"/>
  <c r="G14" s="1"/>
  <c r="G15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A36"/>
  <c r="AM36"/>
  <c r="AN36"/>
  <c r="AP36"/>
  <c r="V6"/>
  <c r="V7" s="1"/>
  <c r="V8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Q8" i="1"/>
  <c r="Q11" s="1"/>
  <c r="Q14" s="1"/>
  <c r="Q15" s="1"/>
  <c r="Q17" s="1"/>
  <c r="Q20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P8"/>
  <c r="P11" s="1"/>
  <c r="P14" s="1"/>
  <c r="P15" s="1"/>
  <c r="P17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M7"/>
  <c r="M10" s="1"/>
  <c r="M13" s="1"/>
  <c r="M15" s="1"/>
  <c r="M16" s="1"/>
  <c r="M18" s="1"/>
  <c r="M19" s="1"/>
  <c r="M22" s="1"/>
  <c r="M24" s="1"/>
  <c r="M25" s="1"/>
  <c r="M26" s="1"/>
  <c r="M27" s="1"/>
  <c r="M28" s="1"/>
  <c r="M29" s="1"/>
  <c r="M30" s="1"/>
  <c r="M31" s="1"/>
  <c r="M32" s="1"/>
  <c r="M33" s="1"/>
  <c r="M34" s="1"/>
  <c r="M35" s="1"/>
  <c r="N35" s="1"/>
  <c r="K7"/>
  <c r="K10" s="1"/>
  <c r="K13" s="1"/>
  <c r="K15" s="1"/>
  <c r="K16" s="1"/>
  <c r="K18" s="1"/>
  <c r="K19" s="1"/>
  <c r="K22" s="1"/>
  <c r="K24" s="1"/>
  <c r="K25" s="1"/>
  <c r="K26" s="1"/>
  <c r="K27" s="1"/>
  <c r="K28" s="1"/>
  <c r="K29" s="1"/>
  <c r="K30" s="1"/>
  <c r="K31" s="1"/>
  <c r="K32" s="1"/>
  <c r="K33" s="1"/>
  <c r="K34" s="1"/>
  <c r="K35" s="1"/>
  <c r="L35" s="1"/>
  <c r="H6"/>
  <c r="H8"/>
  <c r="H9" s="1"/>
  <c r="H12" s="1"/>
  <c r="H14" s="1"/>
  <c r="H18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35" s="1"/>
  <c r="F6"/>
  <c r="F8" s="1"/>
  <c r="F9" s="1"/>
  <c r="F12" s="1"/>
  <c r="F14" s="1"/>
  <c r="F18" s="1"/>
  <c r="F20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35" s="1"/>
  <c r="J35" s="1"/>
  <c r="Z5"/>
  <c r="Z6" s="1"/>
  <c r="Z7" s="1"/>
  <c r="Z8" s="1"/>
  <c r="Z9" s="1"/>
  <c r="Z10" s="1"/>
  <c r="Z11" s="1"/>
  <c r="Z12" s="1"/>
  <c r="Z13" s="1"/>
  <c r="Z14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AB35" s="1"/>
  <c r="B24"/>
  <c r="B25" s="1"/>
  <c r="B26" s="1"/>
  <c r="B27" s="1"/>
  <c r="B28" s="1"/>
  <c r="B29" s="1"/>
  <c r="B30" s="1"/>
  <c r="B31" s="1"/>
  <c r="B32" s="1"/>
  <c r="B33" s="1"/>
  <c r="B34" s="1"/>
  <c r="B35" s="1"/>
  <c r="B36" i="7" s="1"/>
  <c r="C24" i="1"/>
  <c r="C25" s="1"/>
  <c r="C26" s="1"/>
  <c r="C27" s="1"/>
  <c r="C28" s="1"/>
  <c r="C29" s="1"/>
  <c r="C30" s="1"/>
  <c r="C31" s="1"/>
  <c r="C32" s="1"/>
  <c r="C33" s="1"/>
  <c r="C34" s="1"/>
  <c r="A35"/>
  <c r="AJ35"/>
  <c r="AC6" i="2"/>
  <c r="AC12" s="1"/>
  <c r="AC13" s="1"/>
  <c r="AC14" s="1"/>
  <c r="AC15" s="1"/>
  <c r="AC17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3" s="1"/>
  <c r="AA12"/>
  <c r="AA13" s="1"/>
  <c r="AA14" s="1"/>
  <c r="AA15" s="1"/>
  <c r="AA17" s="1"/>
  <c r="AA18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W4"/>
  <c r="W5" s="1"/>
  <c r="W8" s="1"/>
  <c r="W9" s="1"/>
  <c r="W10" s="1"/>
  <c r="W11" s="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P22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I33" s="1"/>
  <c r="L22" i="2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22" i="2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22" i="2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22" i="2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Y3" i="2"/>
  <c r="Y4" s="1"/>
  <c r="Y5" s="1"/>
  <c r="Y8" s="1"/>
  <c r="Y9" s="1"/>
  <c r="Y10" s="1"/>
  <c r="S3"/>
  <c r="F37" i="73"/>
  <c r="Y22" i="2" l="1"/>
  <c r="Y23" s="1"/>
  <c r="Y24" s="1"/>
  <c r="Y25" s="1"/>
  <c r="Y26" s="1"/>
  <c r="Y27" s="1"/>
  <c r="Y28" s="1"/>
  <c r="Y29" s="1"/>
  <c r="Y30" s="1"/>
  <c r="Y31" s="1"/>
  <c r="Y32" s="1"/>
  <c r="Y33" s="1"/>
  <c r="Z33" s="1"/>
  <c r="Y11"/>
  <c r="AF36" i="5"/>
  <c r="O32" i="81"/>
  <c r="L32" i="82"/>
  <c r="D17" i="2"/>
  <c r="AO18"/>
  <c r="H17" i="82" s="1"/>
  <c r="K22" i="5"/>
  <c r="K31"/>
  <c r="K23"/>
  <c r="K15"/>
  <c r="K32"/>
  <c r="K24"/>
  <c r="K16"/>
  <c r="K8"/>
  <c r="I17" i="79"/>
  <c r="K14" i="5"/>
  <c r="H35" i="79"/>
  <c r="H36" s="1"/>
  <c r="K36" i="5" s="1"/>
  <c r="K33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D36" i="7"/>
  <c r="AI36" i="5"/>
  <c r="AA36"/>
  <c r="AJ36"/>
  <c r="Q36"/>
  <c r="M32" i="81" s="1"/>
  <c r="E36" i="5"/>
  <c r="D36"/>
  <c r="I36"/>
  <c r="V35" i="1"/>
  <c r="C35"/>
  <c r="Z36" i="7" s="1"/>
  <c r="AB36" s="1"/>
  <c r="AD36" s="1"/>
  <c r="U35" i="1"/>
  <c r="AL35"/>
  <c r="O33" i="2"/>
  <c r="L17" i="1"/>
  <c r="E26" i="3"/>
  <c r="AL36" i="5" l="1"/>
  <c r="K32" i="82"/>
  <c r="J36" i="5"/>
  <c r="L32" i="81" s="1"/>
  <c r="K32"/>
  <c r="D18" i="2"/>
  <c r="AO19"/>
  <c r="H18" i="82" s="1"/>
  <c r="I35" i="79"/>
  <c r="K35" i="5"/>
  <c r="D35" i="1"/>
  <c r="E35" s="1"/>
  <c r="F36" i="7"/>
  <c r="AF36"/>
  <c r="I36" i="79"/>
  <c r="Q15" i="2"/>
  <c r="D19" l="1"/>
  <c r="AO20"/>
  <c r="H19" i="82" s="1"/>
  <c r="H36" i="7"/>
  <c r="AH36"/>
  <c r="Q20" i="2"/>
  <c r="D20" l="1"/>
  <c r="AO21"/>
  <c r="H20" i="82" s="1"/>
  <c r="J36" i="7"/>
  <c r="AJ36"/>
  <c r="G15" i="73"/>
  <c r="D21" i="2" l="1"/>
  <c r="AO22"/>
  <c r="H21" i="82" s="1"/>
  <c r="L36" i="7"/>
  <c r="AL36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43" l="1"/>
  <c r="J43"/>
  <c r="D22" i="2"/>
  <c r="AO23"/>
  <c r="H22" i="82" s="1"/>
  <c r="G43" i="74"/>
  <c r="F43"/>
  <c r="N36" i="7"/>
  <c r="D23" i="2" l="1"/>
  <c r="AO24"/>
  <c r="H23" i="82" s="1"/>
  <c r="P36" i="7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R36" i="7"/>
  <c r="D25" i="2" l="1"/>
  <c r="AO26"/>
  <c r="H25" i="82" s="1"/>
  <c r="T36" i="7"/>
  <c r="D26" i="2" l="1"/>
  <c r="AO27"/>
  <c r="H26" i="82" s="1"/>
  <c r="V36" i="7"/>
  <c r="D27" i="2" l="1"/>
  <c r="D28" s="1"/>
  <c r="AO28"/>
  <c r="H27" i="82" s="1"/>
  <c r="AO29" i="2" l="1"/>
  <c r="H28" i="82" s="1"/>
  <c r="D29" i="2" l="1"/>
  <c r="AO30"/>
  <c r="H29" i="82" s="1"/>
  <c r="A32" i="2"/>
  <c r="B32" s="1"/>
  <c r="A31"/>
  <c r="B31" s="1"/>
  <c r="D30" l="1"/>
  <c r="AO3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T34" s="1"/>
  <c r="F32" i="81" s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I35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2" s="1"/>
  <c r="U23" s="1"/>
  <c r="U24" s="1"/>
  <c r="U25" s="1"/>
  <c r="U26" s="1"/>
  <c r="U27" s="1"/>
  <c r="U28" s="1"/>
  <c r="U29" s="1"/>
  <c r="U30" s="1"/>
  <c r="U31" s="1"/>
  <c r="U32" s="1"/>
  <c r="U33" s="1"/>
  <c r="V33" s="1"/>
  <c r="AF33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AW36" i="7" l="1"/>
  <c r="G32" i="81" s="1"/>
  <c r="AK35" i="1"/>
  <c r="AG35"/>
  <c r="AM35"/>
  <c r="S23" i="3"/>
  <c r="U23" s="1"/>
  <c r="E25"/>
  <c r="K29" i="76"/>
  <c r="V31" i="2"/>
  <c r="M31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N31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D24" i="73"/>
  <c r="AM24" i="5" s="1"/>
  <c r="AP24"/>
  <c r="AN24"/>
  <c r="N43" i="74" l="1"/>
  <c r="O43"/>
  <c r="S43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l="1"/>
  <c r="C25" i="76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A12" i="7" l="1"/>
  <c r="AA13"/>
  <c r="AF3" i="2"/>
  <c r="AA36" i="7"/>
  <c r="AE36"/>
  <c r="AC36"/>
  <c r="AG36"/>
  <c r="AI36"/>
  <c r="AK36"/>
  <c r="AM36"/>
  <c r="AA10"/>
  <c r="C36"/>
  <c r="E36"/>
  <c r="G36"/>
  <c r="I36"/>
  <c r="K36"/>
  <c r="M36"/>
  <c r="O36"/>
  <c r="Q36"/>
  <c r="S36"/>
  <c r="U36"/>
  <c r="W36"/>
  <c r="A35" i="76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AO36" i="7" l="1"/>
  <c r="AN36" s="1"/>
  <c r="Y36"/>
  <c r="U13" i="3"/>
  <c r="L11" i="82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6" i="7" l="1"/>
  <c r="AQ36" s="1"/>
  <c r="X36"/>
  <c r="AR35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AQ34"/>
  <c r="AS35"/>
  <c r="AX35" s="1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AG13" i="2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G14" i="2" l="1"/>
  <c r="B13" i="63"/>
  <c r="AF15" i="2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G15" i="2" l="1"/>
  <c r="U19" i="3"/>
  <c r="H17" i="65"/>
  <c r="AF16" i="2"/>
  <c r="B15" i="63" s="1"/>
  <c r="F18" i="3"/>
  <c r="T20" i="1"/>
  <c r="J16" i="82"/>
  <c r="S16" i="76"/>
  <c r="R15" i="2"/>
  <c r="AN7" i="7"/>
  <c r="O15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M36" i="79" l="1"/>
  <c r="O36" s="1"/>
  <c r="O35"/>
  <c r="AG16" i="2"/>
  <c r="H18" i="65"/>
  <c r="AF17" i="2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G17" i="2" l="1"/>
  <c r="H19" i="65"/>
  <c r="AF18" i="2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8" i="2" l="1"/>
  <c r="AG19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F20" i="2" l="1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G20" i="2" l="1"/>
  <c r="AS7" i="7"/>
  <c r="AS9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G22" i="2"/>
  <c r="AF2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BJ7" l="1"/>
  <c r="Q5" i="76"/>
  <c r="H24" i="65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U30" i="3" l="1"/>
  <c r="S35"/>
  <c r="B25" i="63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B26" i="63" l="1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V32" i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O35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s="1"/>
  <c r="Y26" l="1"/>
  <c r="X28" l="1"/>
  <c r="Y27"/>
  <c r="X29" l="1"/>
  <c r="Y28"/>
  <c r="X30" l="1"/>
  <c r="X31" s="1"/>
  <c r="Y29"/>
  <c r="Y31" l="1"/>
  <c r="X32"/>
  <c r="X33" s="1"/>
  <c r="Y33" s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K33" i="3" l="1"/>
  <c r="AT35" i="1"/>
  <c r="Q22" i="3"/>
  <c r="P23"/>
  <c r="P24" s="1"/>
  <c r="AD7" i="5"/>
  <c r="K3" i="3"/>
  <c r="Q3"/>
  <c r="AQ5" i="1"/>
  <c r="AO5"/>
  <c r="AS5"/>
  <c r="N33" i="3" l="1"/>
  <c r="AB33" s="1"/>
  <c r="Z33"/>
  <c r="AT5" i="1"/>
  <c r="P25" i="3"/>
  <c r="P26" s="1"/>
  <c r="P27" s="1"/>
  <c r="P28" s="1"/>
  <c r="P29" s="1"/>
  <c r="P30" s="1"/>
  <c r="P31" s="1"/>
  <c r="P32" s="1"/>
  <c r="P33" s="1"/>
  <c r="Q33" s="1"/>
  <c r="AD8" i="5"/>
  <c r="AS6" i="1"/>
  <c r="K4" i="3"/>
  <c r="Q4"/>
  <c r="AQ6" i="1"/>
  <c r="AO6"/>
  <c r="Z3" i="3"/>
  <c r="N3"/>
  <c r="AB3" s="1"/>
  <c r="AK33" l="1"/>
  <c r="AE33"/>
  <c r="AF33" s="1"/>
  <c r="AG33" s="1"/>
  <c r="AC33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H33" i="3" l="1"/>
  <c r="AG3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AU34" i="1" l="1"/>
  <c r="I31" i="81" s="1"/>
  <c r="AU35" i="1"/>
  <c r="I32" i="81" s="1"/>
  <c r="E18" i="77"/>
  <c r="B19"/>
  <c r="F18"/>
  <c r="AK32" i="3"/>
  <c r="AE32"/>
  <c r="AF32" s="1"/>
  <c r="AG32" s="1"/>
  <c r="AU5" i="1" l="1"/>
  <c r="AU36" l="1"/>
  <c r="AU38" s="1"/>
  <c r="I2" i="81"/>
  <c r="F2" i="63" l="1"/>
  <c r="L3" i="3" l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M3" l="1"/>
  <c r="AA3" s="1"/>
  <c r="AC3" s="1"/>
  <c r="AH3" s="1"/>
  <c r="P6" i="5" l="1"/>
  <c r="Q6" s="1"/>
  <c r="M2" i="81" s="1"/>
  <c r="N6" i="5"/>
  <c r="M4" i="3"/>
  <c r="AA4" s="1"/>
  <c r="AC4" s="1"/>
  <c r="AH4" s="1"/>
  <c r="C6" i="5"/>
  <c r="G2" i="63"/>
  <c r="M5" i="3" l="1"/>
  <c r="AA5" s="1"/>
  <c r="AC5" s="1"/>
  <c r="AH5" s="1"/>
  <c r="P7" i="5"/>
  <c r="C7"/>
  <c r="N7"/>
  <c r="D6"/>
  <c r="E6"/>
  <c r="I6"/>
  <c r="G3" i="63"/>
  <c r="M6" i="3" l="1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H32" i="81" s="1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AJ39"/>
  <c r="AM39" s="1"/>
  <c r="H39"/>
  <c r="Q35"/>
  <c r="M31" i="81" s="1"/>
  <c r="K39" i="5" l="1"/>
  <c r="K31" i="81"/>
  <c r="J35" i="5"/>
  <c r="L31" i="81" s="1"/>
  <c r="AC28" i="76" l="1"/>
  <c r="AC27"/>
  <c r="AC26" l="1"/>
  <c r="AC29" s="1"/>
  <c r="O34" l="1"/>
  <c r="P34" s="1"/>
  <c r="R34" s="1"/>
  <c r="AC33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P7" s="1"/>
  <c r="R7" s="1"/>
  <c r="T7" s="1"/>
  <c r="F5" i="81" s="1"/>
  <c r="O24" i="76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O33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1" s="1"/>
  <c r="R11" s="1"/>
  <c r="T11" s="1"/>
  <c r="F9" i="81" s="1"/>
  <c r="P17" i="76"/>
  <c r="R17" s="1"/>
  <c r="T17" s="1"/>
  <c r="F15" i="81" s="1"/>
  <c r="P15" i="76"/>
  <c r="R15" s="1"/>
  <c r="T15" s="1"/>
  <c r="F13" i="81" s="1"/>
  <c r="P5" i="76"/>
  <c r="R5" s="1"/>
  <c r="T5" s="1"/>
  <c r="F3" i="81" s="1"/>
  <c r="P33" i="76" l="1"/>
  <c r="R33" s="1"/>
  <c r="T33" s="1"/>
  <c r="F31" i="81" s="1"/>
  <c r="AD35" i="76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V6" s="1"/>
  <c r="H2" i="81" l="1"/>
  <c r="AV7" i="7"/>
  <c r="AW5"/>
  <c r="H3" i="81" l="1"/>
  <c r="AV8" i="7"/>
  <c r="AX5"/>
  <c r="H4" i="81" l="1"/>
  <c r="AV9" i="7"/>
  <c r="AY5"/>
  <c r="H5" i="81" l="1"/>
  <c r="AV10" i="7"/>
  <c r="H6" i="81" l="1"/>
  <c r="AV11" i="7"/>
  <c r="AV12" l="1"/>
  <c r="H7" i="81"/>
  <c r="AV13" i="7" l="1"/>
  <c r="H8" i="81"/>
  <c r="H9" l="1"/>
  <c r="AV14" i="7"/>
  <c r="AV15" l="1"/>
  <c r="H11" i="81" s="1"/>
  <c r="H10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suzan.abousleiman</author>
  </authors>
  <commentList>
    <comment ref="A19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records are not taken neither recorded - they copy paste 15th May record to 16th on the excel sheet they work on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<sst xmlns="http://schemas.openxmlformats.org/spreadsheetml/2006/main" count="664" uniqueCount="423">
  <si>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</si>
  <si>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</si>
  <si>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</si>
  <si>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</si>
  <si>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</si>
  <si>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</si>
  <si>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</si>
  <si>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</si>
  <si>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</si>
  <si>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</si>
  <si>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</si>
  <si>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</si>
  <si>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</si>
  <si>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</si>
  <si>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</si>
  <si>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</si>
  <si>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</si>
  <si>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</si>
  <si>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</si>
  <si>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</si>
  <si>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</si>
  <si>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</si>
  <si>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</si>
  <si>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</si>
  <si>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</si>
  <si>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</si>
  <si>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</si>
  <si>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</si>
  <si>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</si>
  <si>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</si>
  <si>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</si>
  <si>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</si>
  <si>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</si>
  <si>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</si>
  <si>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</si>
  <si>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</si>
  <si>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</si>
  <si>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</si>
  <si>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</si>
  <si>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</si>
  <si>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</si>
  <si>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</si>
  <si>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</si>
  <si>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</si>
  <si>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</si>
  <si>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</si>
  <si>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</si>
  <si>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</si>
  <si>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</si>
  <si>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</si>
  <si>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</si>
  <si>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</si>
  <si>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</si>
  <si>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</si>
  <si>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</si>
  <si>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</si>
  <si>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</si>
  <si>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</si>
  <si>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</si>
  <si>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</si>
  <si>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</si>
  <si>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</si>
  <si>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</si>
  <si>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</si>
  <si>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</si>
  <si>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</si>
  <si>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</si>
  <si>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</si>
  <si>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</si>
  <si>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</si>
  <si>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</si>
  <si>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</si>
  <si>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</si>
  <si>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</si>
  <si>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</si>
  <si>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</si>
  <si>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</si>
  <si>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</si>
  <si>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</si>
  <si>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</si>
  <si>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</si>
  <si>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</si>
  <si>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</si>
  <si>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</si>
  <si>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</si>
  <si>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</si>
  <si>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</si>
  <si>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</si>
  <si>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</si>
  <si>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</si>
  <si>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</si>
  <si>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</si>
  <si>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</si>
  <si>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</si>
  <si>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</si>
  <si>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</si>
  <si>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</si>
  <si>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</si>
  <si>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</si>
  <si>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</si>
  <si>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</si>
  <si>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</si>
  <si>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</si>
  <si>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</si>
  <si>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</si>
  <si>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</si>
  <si>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</si>
  <si>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</si>
  <si>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</si>
  <si>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</si>
  <si>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</si>
  <si>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</si>
  <si>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</si>
  <si>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</si>
  <si>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</si>
  <si>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</si>
  <si>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</si>
  <si>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</si>
  <si>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</si>
  <si>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</si>
  <si>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</si>
  <si>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</si>
  <si>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</si>
  <si>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</si>
  <si>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</si>
  <si>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</si>
  <si>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</si>
  <si>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</si>
  <si>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</si>
  <si>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</si>
  <si>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</si>
  <si>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</si>
  <si>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</si>
  <si>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</si>
  <si>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</si>
  <si>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</si>
  <si>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</si>
  <si>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</si>
  <si>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</si>
  <si>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</si>
  <si>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</si>
  <si>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</si>
  <si>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</si>
  <si>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</si>
  <si>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</si>
  <si>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</si>
  <si>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</si>
  <si>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</si>
  <si>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</si>
  <si>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</si>
  <si>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</si>
  <si>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</si>
  <si>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</si>
  <si>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</si>
  <si>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</si>
  <si>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</si>
  <si>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</si>
  <si>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</si>
  <si>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</si>
  <si>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</si>
  <si>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</si>
  <si>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</si>
  <si>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</si>
  <si>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</si>
  <si>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</si>
  <si>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</si>
  <si>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</si>
  <si>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</si>
  <si>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</si>
  <si>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</si>
  <si>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</si>
  <si>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</si>
  <si>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</si>
  <si>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</si>
  <si>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</si>
  <si>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</si>
  <si>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</si>
  <si>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</si>
  <si>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</si>
  <si>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</si>
  <si>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</si>
  <si>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</si>
  <si>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</si>
  <si>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</si>
  <si>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</si>
  <si>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</si>
  <si>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</si>
  <si>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</si>
  <si>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</si>
  <si>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</si>
  <si>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</si>
  <si>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</si>
  <si>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</si>
  <si>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</si>
  <si>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</si>
  <si>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</si>
  <si>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</si>
  <si>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</si>
  <si>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</si>
  <si>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</si>
  <si>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</si>
  <si>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</si>
  <si>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</si>
  <si>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</si>
  <si>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</si>
  <si>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</si>
  <si>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</si>
  <si>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</si>
  <si>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</si>
  <si>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</si>
  <si>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</si>
  <si>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</si>
  <si>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</si>
  <si>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</si>
  <si>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</si>
  <si>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</si>
  <si>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</si>
  <si>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</si>
  <si>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</si>
  <si>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</si>
  <si>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</si>
  <si>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</si>
  <si>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</si>
  <si>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</si>
  <si>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</si>
  <si>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</si>
  <si>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</si>
  <si>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</si>
  <si>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</si>
  <si>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</si>
  <si>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</si>
  <si>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</si>
  <si>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</si>
  <si>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</si>
  <si>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</si>
  <si>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</si>
  <si>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</si>
  <si>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</si>
  <si>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</si>
  <si>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</si>
  <si>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</si>
  <si>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</si>
  <si>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</si>
  <si>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</si>
  <si>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</si>
  <si>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</si>
  <si>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</si>
  <si>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</si>
  <si>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</si>
  <si>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</si>
  <si>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</si>
  <si>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</si>
  <si>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</si>
  <si>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</si>
  <si>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</si>
  <si>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</si>
  <si>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</si>
  <si>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</si>
  <si>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</si>
  <si>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</si>
  <si>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</si>
  <si>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</si>
  <si>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</si>
  <si>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</si>
  <si>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</si>
  <si>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</si>
  <si>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</si>
  <si>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</si>
  <si>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</si>
  <si>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</si>
  <si>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</si>
  <si>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</si>
  <si>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</si>
  <si>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</si>
  <si>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</si>
  <si>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</si>
  <si>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</si>
  <si>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</si>
  <si>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</si>
  <si>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</si>
  <si>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</si>
  <si>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</si>
  <si>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</si>
  <si>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</si>
  <si>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</si>
  <si>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</si>
  <si>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</si>
  <si>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</si>
  <si>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</si>
  <si>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</si>
  <si>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</si>
  <si>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</si>
  <si>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</si>
  <si>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</si>
  <si>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</si>
  <si>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</si>
  <si>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</si>
  <si>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</si>
  <si>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</si>
  <si>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</si>
  <si>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</si>
  <si>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</si>
  <si>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</si>
  <si>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</si>
  <si>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</si>
  <si>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</si>
  <si>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</si>
  <si>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</si>
  <si>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</si>
  <si>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</si>
  <si>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</si>
  <si>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</si>
  <si>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</si>
  <si>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</si>
  <si>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</si>
  <si>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</si>
  <si>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</si>
  <si>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</si>
  <si>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</si>
  <si>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</si>
  <si>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</si>
  <si>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</si>
  <si>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</si>
  <si>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</si>
  <si>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</si>
  <si>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</si>
  <si>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</si>
  <si>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</si>
  <si>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</si>
  <si>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</si>
  <si>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</si>
  <si>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</si>
  <si>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</si>
  <si>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</si>
  <si>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</si>
  <si>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</si>
  <si>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</si>
  <si>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</si>
  <si>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</si>
  <si>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</si>
  <si>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</si>
  <si>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</si>
  <si>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</si>
  <si>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</si>
  <si>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</si>
  <si>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</si>
  <si>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</si>
  <si>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</si>
  <si>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</si>
  <si>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</si>
  <si>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</si>
  <si>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</si>
  <si>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</si>
  <si>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</si>
  <si>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</si>
  <si>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</si>
  <si>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</si>
  <si>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</si>
  <si>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</si>
  <si>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</si>
  <si>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</si>
  <si>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</si>
  <si>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</si>
  <si>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</si>
  <si>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</si>
  <si>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</si>
  <si>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</si>
  <si>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</si>
  <si>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</si>
  <si>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</si>
  <si>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</si>
  <si>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</si>
  <si>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</si>
  <si>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</si>
  <si>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</si>
  <si>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</si>
  <si>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</si>
  <si>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</si>
  <si>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</si>
  <si>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</si>
  <si>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</si>
  <si>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</si>
  <si>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</si>
  <si>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</si>
  <si>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</si>
  <si>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</si>
  <si>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</si>
  <si>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</si>
  <si>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</si>
  <si>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</si>
  <si>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</si>
  <si>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</si>
  <si>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</si>
  <si>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</si>
  <si>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</si>
  <si>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</si>
  <si>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</si>
  <si>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</si>
  <si>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</si>
  <si>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</si>
  <si>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</si>
  <si>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</si>
  <si>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</si>
  <si>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</si>
  <si>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</si>
  <si>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</si>
  <si>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</si>
  <si>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</si>
  <si>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</si>
  <si>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</si>
  <si>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</si>
  <si>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</si>
  <si>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</si>
  <si>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</si>
  <si>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</si>
  <si>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</si>
  <si>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</si>
  <si>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</si>
  <si>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</si>
  <si>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</si>
  <si>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</si>
  <si>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</si>
  <si>
    <t>0,4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</si>
</sst>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4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/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66179200"/>
        <c:axId val="166180736"/>
      </c:lineChart>
      <c:catAx>
        <c:axId val="16617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80736"/>
        <c:crosses val="autoZero"/>
        <c:auto val="1"/>
        <c:lblAlgn val="ctr"/>
        <c:lblOffset val="100"/>
      </c:catAx>
      <c:valAx>
        <c:axId val="1661807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7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1742</c:v>
                </c:pt>
                <c:pt idx="19">
                  <c:v>1828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70130048"/>
        <c:axId val="102269312"/>
      </c:lineChart>
      <c:catAx>
        <c:axId val="17013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69312"/>
        <c:crosses val="autoZero"/>
        <c:auto val="1"/>
        <c:lblAlgn val="ctr"/>
        <c:lblOffset val="100"/>
      </c:catAx>
      <c:valAx>
        <c:axId val="10226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3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491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2502784"/>
        <c:axId val="102504320"/>
      </c:lineChart>
      <c:catAx>
        <c:axId val="10250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04320"/>
        <c:crosses val="autoZero"/>
        <c:auto val="1"/>
        <c:lblAlgn val="ctr"/>
        <c:lblOffset val="100"/>
      </c:catAx>
      <c:valAx>
        <c:axId val="1025043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0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16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2512512"/>
        <c:axId val="102514048"/>
      </c:lineChart>
      <c:catAx>
        <c:axId val="10251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14048"/>
        <c:crosses val="autoZero"/>
        <c:auto val="1"/>
        <c:lblAlgn val="ctr"/>
        <c:lblOffset val="100"/>
      </c:catAx>
      <c:valAx>
        <c:axId val="102514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1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36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213.2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2538624"/>
        <c:axId val="102540416"/>
      </c:lineChart>
      <c:catAx>
        <c:axId val="10253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40416"/>
        <c:crosses val="autoZero"/>
        <c:auto val="1"/>
        <c:lblAlgn val="ctr"/>
        <c:lblOffset val="100"/>
      </c:catAx>
      <c:valAx>
        <c:axId val="102540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3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17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4748544"/>
        <c:axId val="104750080"/>
      </c:lineChart>
      <c:catAx>
        <c:axId val="10474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50080"/>
        <c:crosses val="autoZero"/>
        <c:auto val="1"/>
        <c:lblAlgn val="ctr"/>
        <c:lblOffset val="100"/>
      </c:catAx>
      <c:valAx>
        <c:axId val="10475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4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4758272"/>
        <c:axId val="104764160"/>
      </c:lineChart>
      <c:catAx>
        <c:axId val="10475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64160"/>
        <c:crosses val="autoZero"/>
        <c:auto val="1"/>
        <c:lblAlgn val="ctr"/>
        <c:lblOffset val="100"/>
      </c:catAx>
      <c:valAx>
        <c:axId val="104764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5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6533632"/>
        <c:axId val="106535168"/>
      </c:lineChart>
      <c:catAx>
        <c:axId val="10653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35168"/>
        <c:crosses val="autoZero"/>
        <c:auto val="1"/>
        <c:lblAlgn val="ctr"/>
        <c:lblOffset val="100"/>
      </c:catAx>
      <c:valAx>
        <c:axId val="10653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3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9363840"/>
        <c:axId val="119382016"/>
      </c:lineChart>
      <c:catAx>
        <c:axId val="11936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82016"/>
        <c:crosses val="autoZero"/>
        <c:auto val="1"/>
        <c:lblAlgn val="ctr"/>
        <c:lblOffset val="100"/>
      </c:catAx>
      <c:valAx>
        <c:axId val="119382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6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437"/>
          <c:w val="0.1272403315177454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4321792"/>
        <c:axId val="124323328"/>
      </c:lineChart>
      <c:catAx>
        <c:axId val="12432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23328"/>
        <c:crosses val="autoZero"/>
        <c:auto val="1"/>
        <c:lblAlgn val="ctr"/>
        <c:lblOffset val="100"/>
      </c:catAx>
      <c:valAx>
        <c:axId val="12432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2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82</c:v>
                </c:pt>
                <c:pt idx="11">
                  <c:v>137</c:v>
                </c:pt>
                <c:pt idx="12">
                  <c:v>154</c:v>
                </c:pt>
                <c:pt idx="13">
                  <c:v>115</c:v>
                </c:pt>
                <c:pt idx="14">
                  <c:v>89</c:v>
                </c:pt>
                <c:pt idx="15">
                  <c:v>139</c:v>
                </c:pt>
                <c:pt idx="16">
                  <c:v>115</c:v>
                </c:pt>
                <c:pt idx="17">
                  <c:v>93</c:v>
                </c:pt>
                <c:pt idx="18">
                  <c:v>136</c:v>
                </c:pt>
                <c:pt idx="19">
                  <c:v>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4376576"/>
        <c:axId val="124378112"/>
      </c:lineChart>
      <c:catAx>
        <c:axId val="12437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78112"/>
        <c:crosses val="autoZero"/>
        <c:auto val="1"/>
        <c:lblAlgn val="ctr"/>
        <c:lblOffset val="100"/>
      </c:catAx>
      <c:valAx>
        <c:axId val="12437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7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437"/>
          <c:w val="0.135416885389359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4922880"/>
        <c:axId val="124936960"/>
      </c:lineChart>
      <c:catAx>
        <c:axId val="12492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6960"/>
        <c:crosses val="autoZero"/>
        <c:auto val="1"/>
        <c:lblAlgn val="ctr"/>
        <c:lblOffset val="100"/>
      </c:catAx>
      <c:valAx>
        <c:axId val="124936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2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43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4966016"/>
        <c:axId val="124967552"/>
      </c:lineChart>
      <c:catAx>
        <c:axId val="12496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67552"/>
        <c:crosses val="autoZero"/>
        <c:auto val="1"/>
        <c:lblAlgn val="ctr"/>
        <c:lblOffset val="100"/>
      </c:catAx>
      <c:valAx>
        <c:axId val="124967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6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1742</c:v>
                </c:pt>
                <c:pt idx="19">
                  <c:v>1828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5057664"/>
        <c:axId val="125063552"/>
      </c:lineChart>
      <c:catAx>
        <c:axId val="12505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63552"/>
        <c:crosses val="autoZero"/>
        <c:auto val="1"/>
        <c:lblAlgn val="ctr"/>
        <c:lblOffset val="100"/>
      </c:catAx>
      <c:valAx>
        <c:axId val="12506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437"/>
          <c:w val="0.135416885389359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5084032"/>
        <c:axId val="125085568"/>
      </c:lineChart>
      <c:catAx>
        <c:axId val="12508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5568"/>
        <c:crosses val="autoZero"/>
        <c:auto val="1"/>
        <c:lblAlgn val="ctr"/>
        <c:lblOffset val="100"/>
      </c:catAx>
      <c:valAx>
        <c:axId val="125085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25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-1533.3870967741823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-2313.4193548386975</c:v>
                </c:pt>
                <c:pt idx="10">
                  <c:v>718.87096774193196</c:v>
                </c:pt>
                <c:pt idx="11">
                  <c:v>-2760.0967741935601</c:v>
                </c:pt>
                <c:pt idx="12">
                  <c:v>-2216.7419354838639</c:v>
                </c:pt>
                <c:pt idx="13">
                  <c:v>-1840.0645161290231</c:v>
                </c:pt>
                <c:pt idx="14">
                  <c:v>-1770.0645161290522</c:v>
                </c:pt>
                <c:pt idx="15">
                  <c:v>-3443.4516129031981</c:v>
                </c:pt>
                <c:pt idx="16">
                  <c:v>-2146.7419354838858</c:v>
                </c:pt>
                <c:pt idx="17">
                  <c:v>-2690.0967741935383</c:v>
                </c:pt>
                <c:pt idx="18">
                  <c:v>-2690.0967741935601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5106048"/>
        <c:axId val="125107584"/>
      </c:lineChart>
      <c:catAx>
        <c:axId val="12510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07584"/>
        <c:crosses val="autoZero"/>
        <c:auto val="1"/>
        <c:lblAlgn val="ctr"/>
        <c:lblOffset val="100"/>
      </c:catAx>
      <c:valAx>
        <c:axId val="125107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0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6803968"/>
        <c:axId val="126805504"/>
      </c:lineChart>
      <c:catAx>
        <c:axId val="12680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5504"/>
        <c:crosses val="autoZero"/>
        <c:auto val="1"/>
        <c:lblAlgn val="ctr"/>
        <c:lblOffset val="100"/>
      </c:catAx>
      <c:valAx>
        <c:axId val="12680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00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7034880"/>
        <c:axId val="127036416"/>
      </c:lineChart>
      <c:catAx>
        <c:axId val="12703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36416"/>
        <c:crosses val="autoZero"/>
        <c:auto val="1"/>
        <c:lblAlgn val="ctr"/>
        <c:lblOffset val="100"/>
      </c:catAx>
      <c:valAx>
        <c:axId val="1270364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3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24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7044608"/>
        <c:axId val="127054592"/>
      </c:lineChart>
      <c:catAx>
        <c:axId val="12704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54592"/>
        <c:crosses val="autoZero"/>
        <c:auto val="1"/>
        <c:lblAlgn val="ctr"/>
        <c:lblOffset val="100"/>
      </c:catAx>
      <c:valAx>
        <c:axId val="1270545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4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7410944"/>
        <c:axId val="127412480"/>
      </c:lineChart>
      <c:catAx>
        <c:axId val="1274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12480"/>
        <c:crosses val="autoZero"/>
        <c:auto val="1"/>
        <c:lblAlgn val="ctr"/>
        <c:lblOffset val="100"/>
      </c:catAx>
      <c:valAx>
        <c:axId val="1274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96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7449344"/>
        <c:axId val="127459328"/>
      </c:lineChart>
      <c:catAx>
        <c:axId val="12744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59328"/>
        <c:crosses val="autoZero"/>
        <c:auto val="1"/>
        <c:lblAlgn val="ctr"/>
        <c:lblOffset val="100"/>
      </c:catAx>
      <c:valAx>
        <c:axId val="12745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4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43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7537152"/>
        <c:axId val="127538688"/>
      </c:lineChart>
      <c:catAx>
        <c:axId val="12753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38688"/>
        <c:crosses val="autoZero"/>
        <c:auto val="1"/>
        <c:lblAlgn val="ctr"/>
        <c:lblOffset val="100"/>
      </c:catAx>
      <c:valAx>
        <c:axId val="12753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3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361"/>
          <c:w val="0.1234311819809346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-219.60000000000005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84.300000000000026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7560320"/>
        <c:axId val="127570304"/>
      </c:lineChart>
      <c:catAx>
        <c:axId val="1275603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70304"/>
        <c:crosses val="autoZero"/>
        <c:auto val="1"/>
        <c:lblAlgn val="ctr"/>
        <c:lblOffset val="100"/>
      </c:catAx>
      <c:valAx>
        <c:axId val="127570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6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686"/>
          <c:w val="0.1569039853282265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213.2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7676416"/>
        <c:axId val="127677952"/>
      </c:lineChart>
      <c:catAx>
        <c:axId val="12767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7952"/>
        <c:crosses val="autoZero"/>
        <c:auto val="1"/>
        <c:lblAlgn val="ctr"/>
        <c:lblOffset val="100"/>
      </c:catAx>
      <c:valAx>
        <c:axId val="127677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68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7739776"/>
        <c:axId val="127741312"/>
      </c:lineChart>
      <c:catAx>
        <c:axId val="12773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41312"/>
        <c:crosses val="autoZero"/>
        <c:auto val="1"/>
        <c:lblAlgn val="ctr"/>
        <c:lblOffset val="100"/>
      </c:catAx>
      <c:valAx>
        <c:axId val="12774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3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21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9679744"/>
        <c:axId val="129681280"/>
      </c:lineChart>
      <c:catAx>
        <c:axId val="12967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81280"/>
        <c:crosses val="autoZero"/>
        <c:auto val="1"/>
        <c:lblAlgn val="ctr"/>
        <c:lblOffset val="100"/>
      </c:catAx>
      <c:valAx>
        <c:axId val="129681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7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1742</c:v>
                </c:pt>
                <c:pt idx="19">
                  <c:v>1828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2781952"/>
        <c:axId val="132783488"/>
      </c:lineChart>
      <c:catAx>
        <c:axId val="13278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83488"/>
        <c:crosses val="autoZero"/>
        <c:auto val="1"/>
        <c:lblAlgn val="ctr"/>
        <c:lblOffset val="100"/>
      </c:catAx>
      <c:valAx>
        <c:axId val="132783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8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80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-219.60000000000005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84.300000000000026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3141632"/>
        <c:axId val="133143168"/>
      </c:lineChart>
      <c:catAx>
        <c:axId val="1331416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43168"/>
        <c:crosses val="autoZero"/>
        <c:auto val="1"/>
        <c:lblAlgn val="ctr"/>
        <c:lblOffset val="100"/>
      </c:catAx>
      <c:valAx>
        <c:axId val="1331431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4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68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25.29999999999999</v>
          </cell>
        </row>
        <row r="15">
          <cell r="B15">
            <v>-54.600000000000009</v>
          </cell>
        </row>
        <row r="16">
          <cell r="B16">
            <v>22.516129032258064</v>
          </cell>
        </row>
        <row r="17">
          <cell r="B17">
            <v>1.9296774193548385E-2</v>
          </cell>
        </row>
        <row r="18">
          <cell r="B18">
            <v>119.48999999999978</v>
          </cell>
        </row>
        <row r="19">
          <cell r="B19">
            <v>3.8545161290322509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1" sqref="D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0.19591975549435631</v>
      </c>
      <c r="G2" s="203">
        <f>-tanks!AW6</f>
        <v>195</v>
      </c>
      <c r="H2" s="330">
        <f>SUM(tanks!AV6)</f>
        <v>0.92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0.1549984897276479</v>
      </c>
      <c r="G3" s="203">
        <f>-tanks!AW7</f>
        <v>153</v>
      </c>
      <c r="H3" s="330">
        <f>SUM(tanks!AV7)</f>
        <v>0.92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0.15992607348505758</v>
      </c>
      <c r="G4" s="203">
        <f>-tanks!AW8</f>
        <v>141</v>
      </c>
      <c r="H4" s="330">
        <f>SUM(tanks!AV8)</f>
        <v>0.92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0.22229998785157631</v>
      </c>
      <c r="G5" s="203">
        <f>-tanks!AW9</f>
        <v>95</v>
      </c>
      <c r="H5" s="330">
        <f>SUM(tanks!AV9)</f>
        <v>0.92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0.4164137788721109</v>
      </c>
      <c r="G6" s="203">
        <f>-tanks!AW10</f>
        <v>164</v>
      </c>
      <c r="H6" s="330">
        <f>SUM(tanks!AV10)</f>
        <v>0.92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0.32267671170938744</v>
      </c>
      <c r="G7" s="203">
        <f>-tanks!AW11</f>
        <v>155</v>
      </c>
      <c r="H7" s="330">
        <f>SUM(tanks!AV11)</f>
        <v>0.92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0.2398672784201098</v>
      </c>
      <c r="G8" s="203">
        <f>-tanks!AW12</f>
        <v>166</v>
      </c>
      <c r="H8" s="330">
        <f>SUM(tanks!AV12)</f>
        <v>0.92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0.25935973765783965</v>
      </c>
      <c r="G9" s="203">
        <f>-tanks!AW13</f>
        <v>156</v>
      </c>
      <c r="H9" s="330">
        <f>SUM(tanks!AV13)</f>
        <v>0.92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0.21968384959805082</v>
      </c>
      <c r="G10" s="203">
        <f>-tanks!AW14</f>
        <v>112</v>
      </c>
      <c r="H10" s="330">
        <f>SUM(tanks!AV14)</f>
        <v>0.92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9481</v>
      </c>
      <c r="F11" s="330">
        <f>SUM('EDl log'!T13)</f>
        <v>0.25199309345193577</v>
      </c>
      <c r="G11" s="203">
        <f>-tanks!AW15</f>
        <v>82</v>
      </c>
      <c r="H11" s="330">
        <f>SUM(tanks!AV15)</f>
        <v>0.92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9028</v>
      </c>
      <c r="F12" s="330">
        <f>SUM('EDl log'!T14)</f>
        <v>-5.7144375169900272E-2</v>
      </c>
      <c r="G12" s="203">
        <f>-tanks!AW16</f>
        <v>137</v>
      </c>
      <c r="H12" s="330">
        <f>SUM(tanks!AV16)</f>
        <v>0.94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9411</v>
      </c>
      <c r="F13" s="330">
        <f>SUM('EDl log'!T15)</f>
        <v>0.28851139862731784</v>
      </c>
      <c r="G13" s="203">
        <f>-tanks!AW17</f>
        <v>154</v>
      </c>
      <c r="H13" s="330">
        <f>SUM(tanks!AV17)</f>
        <v>0.94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9646</v>
      </c>
      <c r="F14" s="330">
        <f>SUM('EDl log'!T16)</f>
        <v>0.23476720965788039</v>
      </c>
      <c r="G14" s="203">
        <f>-tanks!AW18</f>
        <v>115</v>
      </c>
      <c r="H14" s="330">
        <f>SUM(tanks!AV18)</f>
        <v>0.94</v>
      </c>
      <c r="I14" s="10">
        <f>('B5'!AU17)*0.51</f>
        <v>0</v>
      </c>
      <c r="J14" s="309">
        <f>'B5'!AX17/0.51</f>
        <v>1.5686274509803921</v>
      </c>
      <c r="K14" s="203">
        <f>WATER!I18</f>
        <v>341</v>
      </c>
      <c r="L14" s="331">
        <f>SUM(WATER!J18)</f>
        <v>0.70948822249550658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8868</v>
      </c>
      <c r="F15" s="330">
        <f>SUM('EDl log'!T17)</f>
        <v>0.216363345894628</v>
      </c>
      <c r="G15" s="203">
        <f>-tanks!AW19</f>
        <v>89</v>
      </c>
      <c r="H15" s="330">
        <f>SUM(tanks!AV19)</f>
        <v>0.94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7587</v>
      </c>
      <c r="F16" s="330">
        <f>SUM('EDl log'!T18)</f>
        <v>0.24219708567796183</v>
      </c>
      <c r="G16" s="203">
        <f>-tanks!AW20</f>
        <v>139</v>
      </c>
      <c r="H16" s="330">
        <f>SUM(tanks!AV20)</f>
        <v>0.94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12839</v>
      </c>
      <c r="F17" s="330">
        <f>SUM('EDl log'!T19)</f>
        <v>0.25574792076482544</v>
      </c>
      <c r="G17" s="203">
        <f>-tanks!AW21</f>
        <v>115</v>
      </c>
      <c r="H17" s="330">
        <f>SUM(tanks!AV21)</f>
        <v>0.94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10089</v>
      </c>
      <c r="F18" s="330">
        <f>SUM('EDl log'!T20)</f>
        <v>0.23226863602643613</v>
      </c>
      <c r="G18" s="203">
        <f>-tanks!AW22</f>
        <v>93</v>
      </c>
      <c r="H18" s="330">
        <f>SUM(tanks!AV22)</f>
        <v>0.94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10297</v>
      </c>
      <c r="F19" s="330">
        <f>SUM('EDl log'!T21)</f>
        <v>0.25865508587431651</v>
      </c>
      <c r="G19" s="203">
        <f>-tanks!AW23</f>
        <v>136</v>
      </c>
      <c r="H19" s="330">
        <f>SUM(tanks!AV23)</f>
        <v>0.94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15339</v>
      </c>
      <c r="F20" s="330">
        <f>SUM('EDl log'!T22)</f>
        <v>0.17840361028229762</v>
      </c>
      <c r="G20" s="203">
        <f>-tanks!AW24</f>
        <v>95</v>
      </c>
      <c r="H20" s="330">
        <f>SUM(tanks!AV24)</f>
        <v>0.94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0.94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0.94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0.94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0.94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0.94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0.94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0.94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0.94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0.94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0</v>
      </c>
      <c r="F32" s="330">
        <f>SUM('EDl log'!T34)</f>
        <v>0</v>
      </c>
      <c r="G32" s="203">
        <f>-tanks!AW36</f>
        <v>0</v>
      </c>
      <c r="H32" s="330">
        <f>SUM(tanks!AV36)</f>
        <v>0.94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P20" sqref="P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1812</v>
      </c>
      <c r="F11" s="203">
        <f>ELEC!K12</f>
        <v>3382</v>
      </c>
      <c r="G11" s="203">
        <f>ELEC!I12</f>
        <v>836</v>
      </c>
      <c r="H11" s="203">
        <f>ELEC!AO12</f>
        <v>2791</v>
      </c>
      <c r="I11" s="203">
        <f>ELEC!G12</f>
        <v>660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1774</v>
      </c>
      <c r="F12" s="203">
        <f>ELEC!K13</f>
        <v>2956</v>
      </c>
      <c r="G12" s="203">
        <f>ELEC!I13</f>
        <v>906</v>
      </c>
      <c r="H12" s="203">
        <f>ELEC!AO13</f>
        <v>2692</v>
      </c>
      <c r="I12" s="203">
        <f>ELEC!G13</f>
        <v>700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1894</v>
      </c>
      <c r="F13" s="203">
        <f>ELEC!K14</f>
        <v>3444</v>
      </c>
      <c r="G13" s="203">
        <f>ELEC!I14</f>
        <v>910</v>
      </c>
      <c r="H13" s="203">
        <f>ELEC!AO14</f>
        <v>2489</v>
      </c>
      <c r="I13" s="203">
        <f>ELEC!G14</f>
        <v>674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1736</v>
      </c>
      <c r="F14" s="203">
        <f>ELEC!K15</f>
        <v>4104</v>
      </c>
      <c r="G14" s="203">
        <f>ELEC!I15</f>
        <v>788</v>
      </c>
      <c r="H14" s="203">
        <f>ELEC!AO15</f>
        <v>2415</v>
      </c>
      <c r="I14" s="203">
        <f>ELEC!G15</f>
        <v>603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1296</v>
      </c>
      <c r="F15" s="203">
        <f>ELEC!K16</f>
        <v>3042</v>
      </c>
      <c r="G15" s="203">
        <f>ELEC!I16</f>
        <v>748</v>
      </c>
      <c r="H15" s="203">
        <f>ELEC!AO16</f>
        <v>3136</v>
      </c>
      <c r="I15" s="203">
        <f>ELEC!G16</f>
        <v>646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1584</v>
      </c>
      <c r="F16" s="203">
        <f>ELEC!K17</f>
        <v>2474</v>
      </c>
      <c r="G16" s="203">
        <f>ELEC!I17</f>
        <v>836</v>
      </c>
      <c r="H16" s="203">
        <f>ELEC!AO17</f>
        <v>2032</v>
      </c>
      <c r="I16" s="203">
        <f>ELEC!G17</f>
        <v>661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2340</v>
      </c>
      <c r="F17" s="203">
        <f>ELEC!K18</f>
        <v>5432</v>
      </c>
      <c r="G17" s="203">
        <f>ELEC!I18</f>
        <v>1032</v>
      </c>
      <c r="H17" s="203">
        <f>ELEC!AO18</f>
        <v>3443</v>
      </c>
      <c r="I17" s="203">
        <f>ELEC!G18</f>
        <v>592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2048</v>
      </c>
      <c r="F18" s="203">
        <f>ELEC!K19</f>
        <v>2824</v>
      </c>
      <c r="G18" s="203">
        <f>ELEC!I19</f>
        <v>836</v>
      </c>
      <c r="H18" s="203">
        <f>ELEC!AO19</f>
        <v>3701</v>
      </c>
      <c r="I18" s="203">
        <f>ELEC!G19</f>
        <v>680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1882</v>
      </c>
      <c r="F19" s="203">
        <f>ELEC!K20</f>
        <v>3480</v>
      </c>
      <c r="G19" s="203">
        <f>ELEC!I20</f>
        <v>1684</v>
      </c>
      <c r="H19" s="203">
        <f>ELEC!AO20</f>
        <v>2450</v>
      </c>
      <c r="I19" s="203">
        <f>ELEC!G20</f>
        <v>801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2524</v>
      </c>
      <c r="F20" s="203">
        <f>ELEC!K21</f>
        <v>6644</v>
      </c>
      <c r="G20" s="203">
        <f>ELEC!I21</f>
        <v>1176</v>
      </c>
      <c r="H20" s="203">
        <f>ELEC!AO21</f>
        <v>3949</v>
      </c>
      <c r="I20" s="203">
        <f>ELEC!G21</f>
        <v>1046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ELEC!AO22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ELEC!AO23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ELEC!AO24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ELEC!AO25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ELEC!AO26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ELEC!AO27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ELEC!AO28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ELEC!AO29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ELEC!AO30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ELEC!AO31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ELEC!AO32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ELEC!AO33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tabSelected="1" zoomScale="90" zoomScaleNormal="90" zoomScaleSheetLayoutView="100" workbookViewId="0">
      <pane ySplit="1" topLeftCell="A2" activePane="bottomLeft" state="frozen"/>
      <selection activeCell="C1" sqref="C1"/>
      <selection pane="bottomLeft" activeCell="F26" sqref="F26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0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33"/>
      <c r="AL4" s="662" t="s">
        <v>421</v>
      </c>
      <c r="AM4" s="662"/>
      <c r="AN4" s="662"/>
      <c r="AO4" s="663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34"/>
      <c r="AL5" s="631" t="s">
        <v>419</v>
      </c>
      <c r="AM5" s="632" t="s">
        <v>418</v>
      </c>
      <c r="AN5" s="632" t="s">
        <v>391</v>
      </c>
      <c r="AO5" s="635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36">
        <v>44320</v>
      </c>
      <c r="AL6" s="17">
        <v>270643</v>
      </c>
      <c r="AM6" s="17">
        <v>409413</v>
      </c>
      <c r="AN6" s="17">
        <f>AM6+AL6</f>
        <v>680056</v>
      </c>
      <c r="AO6" s="637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36">
        <v>44321</v>
      </c>
      <c r="AL7" s="17">
        <v>270643</v>
      </c>
      <c r="AM7" s="17">
        <v>409413</v>
      </c>
      <c r="AN7" s="17">
        <f>AM7+AL7</f>
        <v>680056</v>
      </c>
      <c r="AO7" s="637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47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47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47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36">
        <v>44322</v>
      </c>
      <c r="AL8" s="17">
        <v>274499</v>
      </c>
      <c r="AM8" s="17">
        <v>411324</v>
      </c>
      <c r="AN8" s="17">
        <f>AM8+AL8</f>
        <v>685823</v>
      </c>
      <c r="AO8" s="637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36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37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36">
        <v>44324</v>
      </c>
      <c r="AL10" s="17">
        <v>280877</v>
      </c>
      <c r="AM10" s="17">
        <v>413100</v>
      </c>
      <c r="AN10" s="17">
        <f t="shared" si="26"/>
        <v>693977</v>
      </c>
      <c r="AO10" s="637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47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47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47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36">
        <v>44325</v>
      </c>
      <c r="AL11" s="17">
        <v>284469</v>
      </c>
      <c r="AM11" s="17">
        <v>414008</v>
      </c>
      <c r="AN11" s="17">
        <f>AM11+AL11</f>
        <v>698477</v>
      </c>
      <c r="AO11" s="637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32847755</v>
      </c>
      <c r="E12" s="311">
        <f t="shared" si="13"/>
        <v>2791</v>
      </c>
      <c r="F12" s="444">
        <v>4016327</v>
      </c>
      <c r="G12" s="312">
        <f t="shared" si="1"/>
        <v>660</v>
      </c>
      <c r="H12" s="444">
        <v>17864398</v>
      </c>
      <c r="I12" s="312">
        <f t="shared" si="14"/>
        <v>836</v>
      </c>
      <c r="J12" s="444">
        <v>29026418</v>
      </c>
      <c r="K12" s="312">
        <f t="shared" si="15"/>
        <v>3382</v>
      </c>
      <c r="L12" s="444">
        <v>24192866</v>
      </c>
      <c r="M12" s="312">
        <f t="shared" si="16"/>
        <v>1812</v>
      </c>
      <c r="N12" s="310">
        <f>M12+K12+I12+G12+E12</f>
        <v>9481</v>
      </c>
      <c r="O12" s="466">
        <f t="shared" si="28"/>
        <v>0</v>
      </c>
      <c r="P12" s="591">
        <v>17019.087</v>
      </c>
      <c r="Q12" s="448">
        <f t="shared" si="3"/>
        <v>6337.9999999997381</v>
      </c>
      <c r="R12" s="448">
        <f t="shared" si="21"/>
        <v>3143.0000000002619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v>32325</v>
      </c>
      <c r="X12" s="448">
        <f t="shared" si="25"/>
        <v>8</v>
      </c>
      <c r="Y12" s="444">
        <v>724713</v>
      </c>
      <c r="Z12" s="448">
        <f t="shared" si="22"/>
        <v>2061</v>
      </c>
      <c r="AA12" s="444">
        <f t="shared" ref="AA12:AA33" si="30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8</v>
      </c>
      <c r="AF12" s="472">
        <f t="shared" si="6"/>
        <v>2061</v>
      </c>
      <c r="AG12" s="464">
        <f t="shared" si="29"/>
        <v>257.625</v>
      </c>
      <c r="AI12" s="465">
        <f>R12-'EDl log'!B10</f>
        <v>-1020409.9999999998</v>
      </c>
      <c r="AK12" s="636">
        <v>44326</v>
      </c>
      <c r="AL12" s="17">
        <v>286090</v>
      </c>
      <c r="AM12" s="17">
        <v>415178</v>
      </c>
      <c r="AN12" s="17">
        <f>AM12+AL12</f>
        <v>701268</v>
      </c>
      <c r="AO12" s="637">
        <f t="shared" si="27"/>
        <v>2791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32850447</v>
      </c>
      <c r="E13" s="311">
        <f t="shared" si="13"/>
        <v>2692</v>
      </c>
      <c r="F13" s="444">
        <v>4017027</v>
      </c>
      <c r="G13" s="312">
        <f t="shared" si="1"/>
        <v>700</v>
      </c>
      <c r="H13" s="444">
        <v>17865304</v>
      </c>
      <c r="I13" s="312">
        <f t="shared" si="14"/>
        <v>906</v>
      </c>
      <c r="J13" s="444">
        <v>29029374</v>
      </c>
      <c r="K13" s="312">
        <f t="shared" si="15"/>
        <v>2956</v>
      </c>
      <c r="L13" s="444">
        <v>24194640</v>
      </c>
      <c r="M13" s="312">
        <f t="shared" si="16"/>
        <v>1774</v>
      </c>
      <c r="N13" s="310">
        <f t="shared" si="17"/>
        <v>9028</v>
      </c>
      <c r="O13" s="466">
        <f t="shared" si="28"/>
        <v>0</v>
      </c>
      <c r="P13" s="591">
        <v>17024.830999999998</v>
      </c>
      <c r="Q13" s="448">
        <f>(P13-P12)*1000</f>
        <v>5743.9999999987776</v>
      </c>
      <c r="R13" s="448">
        <f t="shared" ref="R13" si="31">N13-Q13</f>
        <v>3284.0000000012224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v>32332</v>
      </c>
      <c r="X13" s="448">
        <f t="shared" si="25"/>
        <v>7</v>
      </c>
      <c r="Y13" s="444">
        <v>726135</v>
      </c>
      <c r="Z13" s="448">
        <f t="shared" si="22"/>
        <v>1422</v>
      </c>
      <c r="AA13" s="444">
        <f t="shared" si="30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7</v>
      </c>
      <c r="AF13" s="472">
        <f t="shared" si="6"/>
        <v>1422</v>
      </c>
      <c r="AG13" s="464">
        <f t="shared" si="29"/>
        <v>203.14285714285714</v>
      </c>
      <c r="AI13" s="465">
        <f>R13-'EDl log'!B11</f>
        <v>-1021852.9999999988</v>
      </c>
      <c r="AK13" s="636">
        <v>44327</v>
      </c>
      <c r="AL13" s="17">
        <v>287725</v>
      </c>
      <c r="AM13" s="17">
        <v>416235</v>
      </c>
      <c r="AN13" s="17">
        <f t="shared" si="26"/>
        <v>703960</v>
      </c>
      <c r="AO13" s="637">
        <f t="shared" si="27"/>
        <v>2692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32852936</v>
      </c>
      <c r="E14" s="311">
        <f t="shared" si="13"/>
        <v>2489</v>
      </c>
      <c r="F14" s="444">
        <v>4017701</v>
      </c>
      <c r="G14" s="312">
        <f t="shared" si="1"/>
        <v>674</v>
      </c>
      <c r="H14" s="444">
        <v>17866214</v>
      </c>
      <c r="I14" s="312">
        <f t="shared" si="14"/>
        <v>910</v>
      </c>
      <c r="J14" s="444">
        <v>29032818</v>
      </c>
      <c r="K14" s="312">
        <f t="shared" si="15"/>
        <v>3444</v>
      </c>
      <c r="L14" s="444">
        <v>24196534</v>
      </c>
      <c r="M14" s="312">
        <f t="shared" si="16"/>
        <v>1894</v>
      </c>
      <c r="N14" s="310">
        <f t="shared" si="17"/>
        <v>9411</v>
      </c>
      <c r="O14" s="466">
        <f t="shared" si="28"/>
        <v>0</v>
      </c>
      <c r="P14" s="591">
        <v>17032.099999999999</v>
      </c>
      <c r="Q14" s="448">
        <f t="shared" ref="Q14:Q30" si="32">(P14-P13)*1000</f>
        <v>7269.0000000002328</v>
      </c>
      <c r="R14" s="448">
        <f t="shared" ref="R14:R30" si="33">N14-Q14</f>
        <v>2141.9999999997672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v>32341</v>
      </c>
      <c r="X14" s="448">
        <f t="shared" si="25"/>
        <v>9</v>
      </c>
      <c r="Y14" s="444">
        <v>728306</v>
      </c>
      <c r="Z14" s="448">
        <f t="shared" si="22"/>
        <v>2171</v>
      </c>
      <c r="AA14" s="444">
        <f t="shared" si="30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9</v>
      </c>
      <c r="AF14" s="472">
        <f t="shared" si="6"/>
        <v>2171</v>
      </c>
      <c r="AG14" s="464">
        <f t="shared" si="29"/>
        <v>241.22222222222223</v>
      </c>
      <c r="AI14" s="465">
        <f>R14-'EDl log'!B12</f>
        <v>-1024547.0000000002</v>
      </c>
      <c r="AK14" s="636">
        <v>44328</v>
      </c>
      <c r="AL14" s="17">
        <v>289550</v>
      </c>
      <c r="AM14" s="17">
        <v>416899</v>
      </c>
      <c r="AN14" s="17">
        <f t="shared" si="26"/>
        <v>706449</v>
      </c>
      <c r="AO14" s="637">
        <f t="shared" si="27"/>
        <v>2489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32855351</v>
      </c>
      <c r="E15" s="311">
        <f t="shared" si="13"/>
        <v>2415</v>
      </c>
      <c r="F15" s="444">
        <v>4018304</v>
      </c>
      <c r="G15" s="312">
        <f t="shared" si="1"/>
        <v>603</v>
      </c>
      <c r="H15" s="444">
        <v>17867002</v>
      </c>
      <c r="I15" s="312">
        <f t="shared" si="14"/>
        <v>788</v>
      </c>
      <c r="J15" s="444">
        <v>29036922</v>
      </c>
      <c r="K15" s="312">
        <f t="shared" si="15"/>
        <v>4104</v>
      </c>
      <c r="L15" s="444">
        <v>24198270</v>
      </c>
      <c r="M15" s="312">
        <f t="shared" si="16"/>
        <v>1736</v>
      </c>
      <c r="N15" s="310">
        <f t="shared" si="17"/>
        <v>9646</v>
      </c>
      <c r="O15" s="466">
        <f t="shared" si="28"/>
        <v>0</v>
      </c>
      <c r="P15" s="591">
        <v>17038.805</v>
      </c>
      <c r="Q15" s="448">
        <f>(P15-P14)*1000</f>
        <v>6705.0000000017462</v>
      </c>
      <c r="R15" s="448">
        <f t="shared" si="33"/>
        <v>2940.9999999982538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v>32349</v>
      </c>
      <c r="X15" s="448">
        <f t="shared" si="25"/>
        <v>8</v>
      </c>
      <c r="Y15" s="444">
        <v>730287</v>
      </c>
      <c r="Z15" s="448">
        <f t="shared" si="22"/>
        <v>1981</v>
      </c>
      <c r="AA15" s="444">
        <f t="shared" si="30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8</v>
      </c>
      <c r="AF15" s="472">
        <f t="shared" si="6"/>
        <v>1981</v>
      </c>
      <c r="AG15" s="464">
        <f t="shared" si="29"/>
        <v>247.625</v>
      </c>
      <c r="AI15" s="465">
        <f>R15-'EDl log'!B13</f>
        <v>-1025522.0000000017</v>
      </c>
      <c r="AK15" s="636">
        <v>44329</v>
      </c>
      <c r="AL15" s="17">
        <v>291124</v>
      </c>
      <c r="AM15" s="17">
        <v>417740</v>
      </c>
      <c r="AN15" s="17">
        <f t="shared" si="26"/>
        <v>708864</v>
      </c>
      <c r="AO15" s="637">
        <f t="shared" si="27"/>
        <v>2415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32858487</v>
      </c>
      <c r="E16" s="311">
        <f t="shared" si="13"/>
        <v>3136</v>
      </c>
      <c r="F16" s="444">
        <v>4018950</v>
      </c>
      <c r="G16" s="312">
        <f t="shared" si="1"/>
        <v>646</v>
      </c>
      <c r="H16" s="444">
        <v>17867750</v>
      </c>
      <c r="I16" s="312">
        <f t="shared" si="14"/>
        <v>748</v>
      </c>
      <c r="J16" s="444">
        <v>29039964</v>
      </c>
      <c r="K16" s="312">
        <f t="shared" si="15"/>
        <v>3042</v>
      </c>
      <c r="L16" s="444">
        <v>24199566</v>
      </c>
      <c r="M16" s="312">
        <f t="shared" si="16"/>
        <v>1296</v>
      </c>
      <c r="N16" s="310">
        <f t="shared" si="17"/>
        <v>8868</v>
      </c>
      <c r="O16" s="466">
        <f t="shared" si="28"/>
        <v>0</v>
      </c>
      <c r="P16" s="591">
        <v>17044.189999999999</v>
      </c>
      <c r="Q16" s="448">
        <f t="shared" si="32"/>
        <v>5384.9999999983993</v>
      </c>
      <c r="R16" s="448">
        <f t="shared" si="33"/>
        <v>3483.0000000016007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v>32354</v>
      </c>
      <c r="X16" s="448">
        <f>W16-W15</f>
        <v>5</v>
      </c>
      <c r="Y16" s="444">
        <v>731328</v>
      </c>
      <c r="Z16" s="448">
        <f>Y16-Y15</f>
        <v>1041</v>
      </c>
      <c r="AA16" s="444">
        <v>35935</v>
      </c>
      <c r="AB16" s="448">
        <f>AA16-AA15</f>
        <v>3</v>
      </c>
      <c r="AC16" s="444">
        <v>960881</v>
      </c>
      <c r="AD16" s="448">
        <f t="shared" si="20"/>
        <v>643</v>
      </c>
      <c r="AE16" s="471">
        <f t="shared" si="12"/>
        <v>8</v>
      </c>
      <c r="AF16" s="472">
        <f t="shared" si="6"/>
        <v>1684</v>
      </c>
      <c r="AG16" s="464">
        <f t="shared" si="29"/>
        <v>210.5</v>
      </c>
      <c r="AI16" s="465">
        <f>R16-'EDl log'!B14</f>
        <v>-1026782.9999999984</v>
      </c>
      <c r="AK16" s="636">
        <v>44330</v>
      </c>
      <c r="AL16" s="17">
        <v>292977</v>
      </c>
      <c r="AM16" s="17">
        <v>419023</v>
      </c>
      <c r="AN16" s="17">
        <f t="shared" si="26"/>
        <v>712000</v>
      </c>
      <c r="AO16" s="637">
        <f t="shared" si="27"/>
        <v>3136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32860519</v>
      </c>
      <c r="E17" s="311">
        <f t="shared" si="13"/>
        <v>2032</v>
      </c>
      <c r="F17" s="444">
        <v>4019611</v>
      </c>
      <c r="G17" s="312">
        <f t="shared" si="1"/>
        <v>661</v>
      </c>
      <c r="H17" s="444">
        <v>17868586</v>
      </c>
      <c r="I17" s="312">
        <f t="shared" si="14"/>
        <v>836</v>
      </c>
      <c r="J17" s="444">
        <v>29042438</v>
      </c>
      <c r="K17" s="312">
        <f t="shared" si="15"/>
        <v>2474</v>
      </c>
      <c r="L17" s="444">
        <v>24201150</v>
      </c>
      <c r="M17" s="312">
        <f t="shared" si="16"/>
        <v>1584</v>
      </c>
      <c r="N17" s="310">
        <f t="shared" si="17"/>
        <v>7587</v>
      </c>
      <c r="O17" s="466">
        <f t="shared" si="28"/>
        <v>0</v>
      </c>
      <c r="P17" s="591">
        <v>17050.585999999999</v>
      </c>
      <c r="Q17" s="448">
        <f t="shared" si="32"/>
        <v>6396.0000000006403</v>
      </c>
      <c r="R17" s="448">
        <f t="shared" si="33"/>
        <v>1190.9999999993597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v>32359</v>
      </c>
      <c r="X17" s="448">
        <f t="shared" si="25"/>
        <v>5</v>
      </c>
      <c r="Y17" s="647">
        <v>732497</v>
      </c>
      <c r="Z17" s="448">
        <f t="shared" si="22"/>
        <v>1169</v>
      </c>
      <c r="AA17" s="444">
        <f t="shared" si="30"/>
        <v>35935</v>
      </c>
      <c r="AB17" s="448">
        <f t="shared" si="19"/>
        <v>0</v>
      </c>
      <c r="AC17" s="444">
        <f t="shared" si="23"/>
        <v>960881</v>
      </c>
      <c r="AD17" s="448">
        <f t="shared" ref="AD17:AD30" si="34">AC17-AC16</f>
        <v>0</v>
      </c>
      <c r="AE17" s="471">
        <f t="shared" si="12"/>
        <v>5</v>
      </c>
      <c r="AF17" s="472">
        <f t="shared" si="6"/>
        <v>1169</v>
      </c>
      <c r="AG17" s="464">
        <f t="shared" si="29"/>
        <v>233.8</v>
      </c>
      <c r="AI17" s="465">
        <f>R17-'EDl log'!B15</f>
        <v>-1030324.0000000007</v>
      </c>
      <c r="AK17" s="636">
        <v>44331</v>
      </c>
      <c r="AL17" s="17">
        <v>294108</v>
      </c>
      <c r="AM17" s="17">
        <v>419924</v>
      </c>
      <c r="AN17" s="17">
        <f t="shared" si="26"/>
        <v>714032</v>
      </c>
      <c r="AO17" s="637">
        <f t="shared" si="27"/>
        <v>2032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32863962</v>
      </c>
      <c r="E18" s="311">
        <f t="shared" si="13"/>
        <v>3443</v>
      </c>
      <c r="F18" s="444">
        <v>4020203</v>
      </c>
      <c r="G18" s="312">
        <f t="shared" si="1"/>
        <v>592</v>
      </c>
      <c r="H18" s="444">
        <v>17869618</v>
      </c>
      <c r="I18" s="312">
        <f t="shared" si="14"/>
        <v>1032</v>
      </c>
      <c r="J18" s="647">
        <v>29047870</v>
      </c>
      <c r="K18" s="312">
        <f t="shared" si="15"/>
        <v>5432</v>
      </c>
      <c r="L18" s="444">
        <v>24203490</v>
      </c>
      <c r="M18" s="312">
        <f t="shared" si="16"/>
        <v>2340</v>
      </c>
      <c r="N18" s="310">
        <f t="shared" si="17"/>
        <v>12839</v>
      </c>
      <c r="O18" s="466">
        <f t="shared" si="28"/>
        <v>0</v>
      </c>
      <c r="P18" s="591">
        <v>17055.611000000001</v>
      </c>
      <c r="Q18" s="448">
        <f t="shared" si="32"/>
        <v>5025.0000000014552</v>
      </c>
      <c r="R18" s="448">
        <f t="shared" si="33"/>
        <v>7813.9999999985448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v>32370</v>
      </c>
      <c r="X18" s="448">
        <f t="shared" si="25"/>
        <v>11</v>
      </c>
      <c r="Y18" s="444">
        <v>735160</v>
      </c>
      <c r="Z18" s="448">
        <f t="shared" si="22"/>
        <v>2663</v>
      </c>
      <c r="AA18" s="444">
        <f t="shared" si="30"/>
        <v>35935</v>
      </c>
      <c r="AB18" s="448">
        <f t="shared" si="19"/>
        <v>0</v>
      </c>
      <c r="AC18" s="444">
        <f t="shared" si="23"/>
        <v>960881</v>
      </c>
      <c r="AD18" s="448">
        <f t="shared" si="34"/>
        <v>0</v>
      </c>
      <c r="AE18" s="471">
        <f t="shared" si="12"/>
        <v>11</v>
      </c>
      <c r="AF18" s="472">
        <f t="shared" si="6"/>
        <v>2663</v>
      </c>
      <c r="AG18" s="464">
        <f t="shared" si="29"/>
        <v>242.09090909090909</v>
      </c>
      <c r="AI18" s="465">
        <f>R18-'EDl log'!B16</f>
        <v>-1025368.0000000014</v>
      </c>
      <c r="AK18" s="636">
        <v>44332</v>
      </c>
      <c r="AL18" s="17">
        <v>296883</v>
      </c>
      <c r="AM18" s="17">
        <v>420592</v>
      </c>
      <c r="AN18" s="17">
        <f t="shared" si="26"/>
        <v>717475</v>
      </c>
      <c r="AO18" s="637">
        <f t="shared" si="27"/>
        <v>3443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32867663</v>
      </c>
      <c r="E19" s="311">
        <f t="shared" si="13"/>
        <v>3701</v>
      </c>
      <c r="F19" s="444">
        <v>4020883</v>
      </c>
      <c r="G19" s="312">
        <f t="shared" si="1"/>
        <v>680</v>
      </c>
      <c r="H19" s="444">
        <v>17870454</v>
      </c>
      <c r="I19" s="312">
        <f t="shared" si="14"/>
        <v>836</v>
      </c>
      <c r="J19" s="444">
        <v>29050694</v>
      </c>
      <c r="K19" s="312">
        <f t="shared" si="15"/>
        <v>2824</v>
      </c>
      <c r="L19" s="444">
        <v>24205538</v>
      </c>
      <c r="M19" s="312">
        <f t="shared" si="16"/>
        <v>2048</v>
      </c>
      <c r="N19" s="310">
        <f t="shared" si="17"/>
        <v>10089</v>
      </c>
      <c r="O19" s="466">
        <f t="shared" si="28"/>
        <v>0</v>
      </c>
      <c r="P19" s="591">
        <v>17066.044999999998</v>
      </c>
      <c r="Q19" s="448">
        <f t="shared" si="32"/>
        <v>10433.999999997468</v>
      </c>
      <c r="R19" s="448">
        <f t="shared" si="33"/>
        <v>-344.99999999746797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v>32376</v>
      </c>
      <c r="X19" s="448">
        <f t="shared" si="25"/>
        <v>6</v>
      </c>
      <c r="Y19" s="444">
        <v>736671</v>
      </c>
      <c r="Z19" s="448">
        <f t="shared" si="22"/>
        <v>1511</v>
      </c>
      <c r="AA19" s="444">
        <v>35939</v>
      </c>
      <c r="AB19" s="448">
        <f t="shared" si="19"/>
        <v>4</v>
      </c>
      <c r="AC19" s="444">
        <v>961645</v>
      </c>
      <c r="AD19" s="448">
        <f t="shared" si="34"/>
        <v>764</v>
      </c>
      <c r="AE19" s="471">
        <f t="shared" si="12"/>
        <v>10</v>
      </c>
      <c r="AF19" s="472">
        <f t="shared" si="6"/>
        <v>2275</v>
      </c>
      <c r="AG19" s="464">
        <f t="shared" si="29"/>
        <v>227.5</v>
      </c>
      <c r="AI19" s="465">
        <f>R19-'EDl log'!B17</f>
        <v>-1035453.9999999974</v>
      </c>
      <c r="AK19" s="636">
        <v>44333</v>
      </c>
      <c r="AL19" s="17">
        <v>299259</v>
      </c>
      <c r="AM19" s="17">
        <v>421917</v>
      </c>
      <c r="AN19" s="17">
        <f t="shared" si="26"/>
        <v>721176</v>
      </c>
      <c r="AO19" s="637">
        <f t="shared" si="27"/>
        <v>3701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32870113</v>
      </c>
      <c r="E20" s="311">
        <f t="shared" si="13"/>
        <v>2450</v>
      </c>
      <c r="F20" s="647">
        <v>4021684</v>
      </c>
      <c r="G20" s="312">
        <f t="shared" si="1"/>
        <v>801</v>
      </c>
      <c r="H20" s="444">
        <v>17872138</v>
      </c>
      <c r="I20" s="312">
        <f t="shared" si="14"/>
        <v>1684</v>
      </c>
      <c r="J20" s="647">
        <v>29054174</v>
      </c>
      <c r="K20" s="312">
        <f t="shared" si="15"/>
        <v>3480</v>
      </c>
      <c r="L20" s="444">
        <v>24207420</v>
      </c>
      <c r="M20" s="312">
        <f t="shared" si="16"/>
        <v>1882</v>
      </c>
      <c r="N20" s="310">
        <f t="shared" si="17"/>
        <v>10297</v>
      </c>
      <c r="O20" s="466">
        <f t="shared" si="28"/>
        <v>0</v>
      </c>
      <c r="P20" s="591">
        <v>17073.79</v>
      </c>
      <c r="Q20" s="448">
        <f>(P20-P19)*1000</f>
        <v>7745.0000000026193</v>
      </c>
      <c r="R20" s="448">
        <f t="shared" si="33"/>
        <v>2551.9999999973807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v>32387</v>
      </c>
      <c r="X20" s="448">
        <f t="shared" si="25"/>
        <v>11</v>
      </c>
      <c r="Y20" s="647">
        <v>738782</v>
      </c>
      <c r="Z20" s="448">
        <f t="shared" si="22"/>
        <v>2111</v>
      </c>
      <c r="AA20" s="444">
        <f t="shared" si="30"/>
        <v>35939</v>
      </c>
      <c r="AB20" s="448">
        <f t="shared" si="19"/>
        <v>0</v>
      </c>
      <c r="AC20" s="444">
        <f t="shared" si="23"/>
        <v>961645</v>
      </c>
      <c r="AD20" s="448">
        <f t="shared" si="34"/>
        <v>0</v>
      </c>
      <c r="AE20" s="471">
        <f t="shared" si="12"/>
        <v>11</v>
      </c>
      <c r="AF20" s="472">
        <f t="shared" si="6"/>
        <v>2111</v>
      </c>
      <c r="AG20" s="464">
        <f t="shared" si="29"/>
        <v>191.90909090909091</v>
      </c>
      <c r="AI20" s="465">
        <f>R20-'EDl log'!B18</f>
        <v>-1034253.0000000026</v>
      </c>
      <c r="AK20" s="636">
        <v>44334</v>
      </c>
      <c r="AL20" s="17">
        <v>301110</v>
      </c>
      <c r="AM20" s="17">
        <v>422516</v>
      </c>
      <c r="AN20" s="17">
        <f t="shared" si="26"/>
        <v>723626</v>
      </c>
      <c r="AO20" s="637">
        <f t="shared" si="27"/>
        <v>2450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32874062</v>
      </c>
      <c r="E21" s="311">
        <f t="shared" si="13"/>
        <v>3949</v>
      </c>
      <c r="F21" s="647">
        <v>4022730</v>
      </c>
      <c r="G21" s="312">
        <f t="shared" si="1"/>
        <v>1046</v>
      </c>
      <c r="H21" s="444">
        <v>17873314</v>
      </c>
      <c r="I21" s="312">
        <f t="shared" si="14"/>
        <v>1176</v>
      </c>
      <c r="J21" s="647">
        <v>29060818</v>
      </c>
      <c r="K21" s="312">
        <f t="shared" si="15"/>
        <v>6644</v>
      </c>
      <c r="L21" s="444">
        <v>24209944</v>
      </c>
      <c r="M21" s="312">
        <f t="shared" si="16"/>
        <v>2524</v>
      </c>
      <c r="N21" s="310">
        <f t="shared" si="17"/>
        <v>15339</v>
      </c>
      <c r="O21" s="466">
        <f t="shared" si="28"/>
        <v>0</v>
      </c>
      <c r="P21" s="591">
        <v>17086.036</v>
      </c>
      <c r="Q21" s="448">
        <f t="shared" si="32"/>
        <v>12245.999999999185</v>
      </c>
      <c r="R21" s="448">
        <f t="shared" si="33"/>
        <v>3093.0000000008149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v>32397</v>
      </c>
      <c r="X21" s="448">
        <f t="shared" si="25"/>
        <v>10</v>
      </c>
      <c r="Y21" s="647">
        <v>740914</v>
      </c>
      <c r="Z21" s="448">
        <f t="shared" si="22"/>
        <v>2132</v>
      </c>
      <c r="AA21" s="444">
        <f t="shared" si="30"/>
        <v>35939</v>
      </c>
      <c r="AB21" s="448">
        <f t="shared" si="19"/>
        <v>0</v>
      </c>
      <c r="AC21" s="444">
        <f t="shared" si="23"/>
        <v>961645</v>
      </c>
      <c r="AD21" s="448">
        <f t="shared" si="34"/>
        <v>0</v>
      </c>
      <c r="AE21" s="471">
        <f t="shared" si="12"/>
        <v>10</v>
      </c>
      <c r="AF21" s="472">
        <f t="shared" si="6"/>
        <v>2132</v>
      </c>
      <c r="AG21" s="464">
        <f t="shared" si="29"/>
        <v>213.2</v>
      </c>
      <c r="AI21" s="465">
        <f>R21-'EDl log'!B19</f>
        <v>-1033711.9999999992</v>
      </c>
      <c r="AK21" s="636">
        <v>44335</v>
      </c>
      <c r="AL21" s="661">
        <v>304137</v>
      </c>
      <c r="AM21" s="661">
        <v>423438</v>
      </c>
      <c r="AN21" s="17">
        <f t="shared" si="26"/>
        <v>727575</v>
      </c>
      <c r="AO21" s="637">
        <f t="shared" si="27"/>
        <v>3949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32874062</v>
      </c>
      <c r="E22" s="311">
        <f t="shared" si="13"/>
        <v>0</v>
      </c>
      <c r="F22" s="444">
        <f t="shared" ref="F22:F33" si="35">F21</f>
        <v>4022730</v>
      </c>
      <c r="G22" s="312">
        <f t="shared" si="1"/>
        <v>0</v>
      </c>
      <c r="H22" s="444">
        <f t="shared" ref="H22:H33" si="36">H21</f>
        <v>17873314</v>
      </c>
      <c r="I22" s="312">
        <f t="shared" si="14"/>
        <v>0</v>
      </c>
      <c r="J22" s="444">
        <f t="shared" ref="J22:J33" si="37">J21</f>
        <v>29060818</v>
      </c>
      <c r="K22" s="312">
        <f t="shared" si="15"/>
        <v>0</v>
      </c>
      <c r="L22" s="444">
        <f t="shared" ref="L22:L33" si="38">L21</f>
        <v>24209944</v>
      </c>
      <c r="M22" s="312">
        <f t="shared" si="16"/>
        <v>0</v>
      </c>
      <c r="N22" s="310">
        <f t="shared" si="17"/>
        <v>0</v>
      </c>
      <c r="O22" s="466">
        <f t="shared" si="28"/>
        <v>0</v>
      </c>
      <c r="P22" s="591">
        <f t="shared" ref="P22:P33" si="39">P21</f>
        <v>17086.036</v>
      </c>
      <c r="Q22" s="448">
        <f t="shared" si="32"/>
        <v>0</v>
      </c>
      <c r="R22" s="448">
        <f t="shared" si="33"/>
        <v>0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f t="shared" si="10"/>
        <v>32397</v>
      </c>
      <c r="X22" s="448">
        <f t="shared" si="25"/>
        <v>0</v>
      </c>
      <c r="Y22" s="444">
        <f t="shared" si="11"/>
        <v>740914</v>
      </c>
      <c r="Z22" s="448">
        <f t="shared" si="22"/>
        <v>0</v>
      </c>
      <c r="AA22" s="444">
        <f t="shared" si="30"/>
        <v>35939</v>
      </c>
      <c r="AB22" s="448">
        <f t="shared" si="19"/>
        <v>0</v>
      </c>
      <c r="AC22" s="444">
        <f t="shared" si="23"/>
        <v>961645</v>
      </c>
      <c r="AD22" s="448">
        <f t="shared" si="34"/>
        <v>0</v>
      </c>
      <c r="AE22" s="471">
        <f t="shared" si="12"/>
        <v>0</v>
      </c>
      <c r="AF22" s="472">
        <f t="shared" si="6"/>
        <v>0</v>
      </c>
      <c r="AG22" s="464">
        <f t="shared" si="29"/>
        <v>0</v>
      </c>
      <c r="AI22" s="465">
        <f>R22-'EDl log'!B20</f>
        <v>-1039767</v>
      </c>
      <c r="AK22" s="636">
        <v>44336</v>
      </c>
      <c r="AL22" s="17">
        <f t="shared" ref="AL22:AM33" si="40">AL21</f>
        <v>304137</v>
      </c>
      <c r="AM22" s="17">
        <f t="shared" si="40"/>
        <v>423438</v>
      </c>
      <c r="AN22" s="17">
        <f t="shared" si="26"/>
        <v>727575</v>
      </c>
      <c r="AO22" s="637">
        <f t="shared" si="27"/>
        <v>0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32874062</v>
      </c>
      <c r="E23" s="311">
        <f t="shared" si="13"/>
        <v>0</v>
      </c>
      <c r="F23" s="444">
        <f t="shared" si="35"/>
        <v>4022730</v>
      </c>
      <c r="G23" s="312">
        <f t="shared" si="1"/>
        <v>0</v>
      </c>
      <c r="H23" s="444">
        <f t="shared" si="36"/>
        <v>17873314</v>
      </c>
      <c r="I23" s="437">
        <f t="shared" si="14"/>
        <v>0</v>
      </c>
      <c r="J23" s="444">
        <f t="shared" si="37"/>
        <v>29060818</v>
      </c>
      <c r="K23" s="312">
        <f t="shared" si="15"/>
        <v>0</v>
      </c>
      <c r="L23" s="444">
        <f t="shared" si="38"/>
        <v>24209944</v>
      </c>
      <c r="M23" s="312">
        <f t="shared" si="16"/>
        <v>0</v>
      </c>
      <c r="N23" s="310">
        <f t="shared" si="17"/>
        <v>0</v>
      </c>
      <c r="O23" s="466">
        <f t="shared" si="28"/>
        <v>0</v>
      </c>
      <c r="P23" s="591">
        <f t="shared" si="39"/>
        <v>17086.036</v>
      </c>
      <c r="Q23" s="448">
        <f t="shared" si="32"/>
        <v>0</v>
      </c>
      <c r="R23" s="448">
        <f t="shared" si="33"/>
        <v>0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f t="shared" si="10"/>
        <v>32397</v>
      </c>
      <c r="X23" s="448">
        <f t="shared" si="25"/>
        <v>0</v>
      </c>
      <c r="Y23" s="444">
        <f t="shared" si="11"/>
        <v>740914</v>
      </c>
      <c r="Z23" s="448">
        <f t="shared" si="22"/>
        <v>0</v>
      </c>
      <c r="AA23" s="444">
        <f t="shared" si="30"/>
        <v>35939</v>
      </c>
      <c r="AB23" s="448">
        <f t="shared" si="19"/>
        <v>0</v>
      </c>
      <c r="AC23" s="444">
        <f t="shared" si="23"/>
        <v>961645</v>
      </c>
      <c r="AD23" s="448">
        <f t="shared" si="34"/>
        <v>0</v>
      </c>
      <c r="AE23" s="471">
        <f t="shared" si="12"/>
        <v>0</v>
      </c>
      <c r="AF23" s="472">
        <f t="shared" si="6"/>
        <v>0</v>
      </c>
      <c r="AG23" s="464">
        <f t="shared" si="29"/>
        <v>0</v>
      </c>
      <c r="AI23" s="465">
        <f>R23-'EDl log'!B21</f>
        <v>-1041509</v>
      </c>
      <c r="AK23" s="636">
        <v>44337</v>
      </c>
      <c r="AL23" s="17">
        <f t="shared" si="40"/>
        <v>304137</v>
      </c>
      <c r="AM23" s="17">
        <f t="shared" si="40"/>
        <v>423438</v>
      </c>
      <c r="AN23" s="17">
        <f t="shared" si="26"/>
        <v>727575</v>
      </c>
      <c r="AO23" s="637">
        <f t="shared" si="27"/>
        <v>0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32874062</v>
      </c>
      <c r="E24" s="311">
        <f t="shared" si="13"/>
        <v>0</v>
      </c>
      <c r="F24" s="444">
        <f t="shared" si="35"/>
        <v>4022730</v>
      </c>
      <c r="G24" s="312">
        <f t="shared" si="1"/>
        <v>0</v>
      </c>
      <c r="H24" s="444">
        <f t="shared" si="36"/>
        <v>17873314</v>
      </c>
      <c r="I24" s="312">
        <f t="shared" si="14"/>
        <v>0</v>
      </c>
      <c r="J24" s="444">
        <f t="shared" si="37"/>
        <v>29060818</v>
      </c>
      <c r="K24" s="312">
        <f t="shared" si="15"/>
        <v>0</v>
      </c>
      <c r="L24" s="444">
        <f t="shared" si="38"/>
        <v>24209944</v>
      </c>
      <c r="M24" s="312">
        <f t="shared" si="16"/>
        <v>0</v>
      </c>
      <c r="N24" s="310">
        <f t="shared" si="17"/>
        <v>0</v>
      </c>
      <c r="O24" s="466">
        <f t="shared" si="28"/>
        <v>0</v>
      </c>
      <c r="P24" s="591">
        <f t="shared" si="39"/>
        <v>17086.036</v>
      </c>
      <c r="Q24" s="448">
        <f t="shared" si="32"/>
        <v>0</v>
      </c>
      <c r="R24" s="448">
        <f t="shared" si="33"/>
        <v>0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f t="shared" si="10"/>
        <v>32397</v>
      </c>
      <c r="X24" s="448">
        <f t="shared" si="25"/>
        <v>0</v>
      </c>
      <c r="Y24" s="444">
        <f t="shared" si="11"/>
        <v>740914</v>
      </c>
      <c r="Z24" s="448">
        <f t="shared" si="22"/>
        <v>0</v>
      </c>
      <c r="AA24" s="444">
        <f t="shared" si="30"/>
        <v>35939</v>
      </c>
      <c r="AB24" s="448">
        <f t="shared" si="19"/>
        <v>0</v>
      </c>
      <c r="AC24" s="444">
        <f t="shared" si="23"/>
        <v>961645</v>
      </c>
      <c r="AD24" s="448">
        <f t="shared" si="34"/>
        <v>0</v>
      </c>
      <c r="AE24" s="471">
        <f t="shared" si="12"/>
        <v>0</v>
      </c>
      <c r="AF24" s="472">
        <f t="shared" si="6"/>
        <v>0</v>
      </c>
      <c r="AG24" s="464">
        <f t="shared" si="29"/>
        <v>0</v>
      </c>
      <c r="AI24" s="465">
        <f>R24-'EDl log'!B22</f>
        <v>-1043337</v>
      </c>
      <c r="AK24" s="636">
        <v>44338</v>
      </c>
      <c r="AL24" s="17">
        <f t="shared" si="40"/>
        <v>304137</v>
      </c>
      <c r="AM24" s="17">
        <f t="shared" si="40"/>
        <v>423438</v>
      </c>
      <c r="AN24" s="17">
        <f t="shared" si="26"/>
        <v>727575</v>
      </c>
      <c r="AO24" s="637">
        <f t="shared" si="27"/>
        <v>0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32874062</v>
      </c>
      <c r="E25" s="311">
        <f t="shared" si="13"/>
        <v>0</v>
      </c>
      <c r="F25" s="444">
        <f t="shared" si="35"/>
        <v>4022730</v>
      </c>
      <c r="G25" s="312">
        <f t="shared" si="1"/>
        <v>0</v>
      </c>
      <c r="H25" s="444">
        <f t="shared" si="36"/>
        <v>17873314</v>
      </c>
      <c r="I25" s="312">
        <f t="shared" si="14"/>
        <v>0</v>
      </c>
      <c r="J25" s="444">
        <f t="shared" si="37"/>
        <v>29060818</v>
      </c>
      <c r="K25" s="312">
        <f t="shared" si="15"/>
        <v>0</v>
      </c>
      <c r="L25" s="444">
        <f t="shared" si="38"/>
        <v>24209944</v>
      </c>
      <c r="M25" s="312">
        <f t="shared" si="16"/>
        <v>0</v>
      </c>
      <c r="N25" s="310">
        <f t="shared" si="17"/>
        <v>0</v>
      </c>
      <c r="O25" s="466">
        <f t="shared" si="28"/>
        <v>0</v>
      </c>
      <c r="P25" s="591">
        <f t="shared" si="39"/>
        <v>17086.036</v>
      </c>
      <c r="Q25" s="448">
        <f t="shared" si="32"/>
        <v>0</v>
      </c>
      <c r="R25" s="448">
        <f t="shared" si="33"/>
        <v>0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f t="shared" si="10"/>
        <v>32397</v>
      </c>
      <c r="X25" s="448">
        <f t="shared" si="25"/>
        <v>0</v>
      </c>
      <c r="Y25" s="444">
        <f t="shared" si="11"/>
        <v>740914</v>
      </c>
      <c r="Z25" s="448">
        <f t="shared" si="22"/>
        <v>0</v>
      </c>
      <c r="AA25" s="444">
        <f t="shared" si="30"/>
        <v>35939</v>
      </c>
      <c r="AB25" s="448">
        <f t="shared" si="19"/>
        <v>0</v>
      </c>
      <c r="AC25" s="444">
        <f t="shared" si="23"/>
        <v>961645</v>
      </c>
      <c r="AD25" s="448">
        <f t="shared" si="34"/>
        <v>0</v>
      </c>
      <c r="AE25" s="471">
        <f t="shared" si="12"/>
        <v>0</v>
      </c>
      <c r="AF25" s="472">
        <f t="shared" si="6"/>
        <v>0</v>
      </c>
      <c r="AG25" s="464">
        <f t="shared" si="29"/>
        <v>0</v>
      </c>
      <c r="AI25" s="465">
        <f>R25-'EDl log'!B23</f>
        <v>-1043337</v>
      </c>
      <c r="AK25" s="636">
        <v>44339</v>
      </c>
      <c r="AL25" s="17">
        <f t="shared" si="40"/>
        <v>304137</v>
      </c>
      <c r="AM25" s="17">
        <f t="shared" si="40"/>
        <v>423438</v>
      </c>
      <c r="AN25" s="17">
        <f t="shared" si="26"/>
        <v>727575</v>
      </c>
      <c r="AO25" s="637">
        <f t="shared" si="27"/>
        <v>0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32874062</v>
      </c>
      <c r="E26" s="311">
        <f t="shared" si="13"/>
        <v>0</v>
      </c>
      <c r="F26" s="444">
        <f t="shared" si="35"/>
        <v>4022730</v>
      </c>
      <c r="G26" s="312">
        <f t="shared" si="1"/>
        <v>0</v>
      </c>
      <c r="H26" s="444">
        <f t="shared" si="36"/>
        <v>17873314</v>
      </c>
      <c r="I26" s="312">
        <f t="shared" si="14"/>
        <v>0</v>
      </c>
      <c r="J26" s="444">
        <f t="shared" si="37"/>
        <v>29060818</v>
      </c>
      <c r="K26" s="312">
        <f t="shared" si="15"/>
        <v>0</v>
      </c>
      <c r="L26" s="444">
        <f t="shared" si="38"/>
        <v>24209944</v>
      </c>
      <c r="M26" s="312">
        <f t="shared" si="16"/>
        <v>0</v>
      </c>
      <c r="N26" s="310">
        <f t="shared" si="17"/>
        <v>0</v>
      </c>
      <c r="O26" s="466">
        <f t="shared" si="28"/>
        <v>0</v>
      </c>
      <c r="P26" s="591">
        <f t="shared" si="39"/>
        <v>17086.036</v>
      </c>
      <c r="Q26" s="448">
        <f t="shared" si="32"/>
        <v>0</v>
      </c>
      <c r="R26" s="448">
        <f t="shared" si="33"/>
        <v>0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f t="shared" si="10"/>
        <v>32397</v>
      </c>
      <c r="X26" s="448">
        <f t="shared" si="25"/>
        <v>0</v>
      </c>
      <c r="Y26" s="444">
        <f t="shared" si="11"/>
        <v>740914</v>
      </c>
      <c r="Z26" s="448">
        <f t="shared" si="22"/>
        <v>0</v>
      </c>
      <c r="AA26" s="444">
        <f t="shared" si="30"/>
        <v>35939</v>
      </c>
      <c r="AB26" s="448">
        <f t="shared" si="19"/>
        <v>0</v>
      </c>
      <c r="AC26" s="444">
        <f t="shared" si="23"/>
        <v>961645</v>
      </c>
      <c r="AD26" s="448">
        <f t="shared" si="34"/>
        <v>0</v>
      </c>
      <c r="AE26" s="471">
        <f t="shared" si="12"/>
        <v>0</v>
      </c>
      <c r="AF26" s="472">
        <f t="shared" si="6"/>
        <v>0</v>
      </c>
      <c r="AG26" s="464">
        <f t="shared" si="29"/>
        <v>0</v>
      </c>
      <c r="AI26" s="465">
        <f>R26-'EDl log'!B24</f>
        <v>-1043337</v>
      </c>
      <c r="AK26" s="636">
        <v>44340</v>
      </c>
      <c r="AL26" s="17">
        <f t="shared" si="40"/>
        <v>304137</v>
      </c>
      <c r="AM26" s="17">
        <f t="shared" si="40"/>
        <v>423438</v>
      </c>
      <c r="AN26" s="17">
        <f t="shared" si="26"/>
        <v>727575</v>
      </c>
      <c r="AO26" s="637">
        <f t="shared" si="27"/>
        <v>0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32874062</v>
      </c>
      <c r="E27" s="311">
        <f t="shared" si="13"/>
        <v>0</v>
      </c>
      <c r="F27" s="444">
        <f t="shared" si="35"/>
        <v>4022730</v>
      </c>
      <c r="G27" s="312">
        <f>F27-F26</f>
        <v>0</v>
      </c>
      <c r="H27" s="444">
        <f t="shared" si="36"/>
        <v>17873314</v>
      </c>
      <c r="I27" s="312">
        <f t="shared" si="14"/>
        <v>0</v>
      </c>
      <c r="J27" s="444">
        <f t="shared" si="37"/>
        <v>29060818</v>
      </c>
      <c r="K27" s="312">
        <f t="shared" si="15"/>
        <v>0</v>
      </c>
      <c r="L27" s="444">
        <f t="shared" si="38"/>
        <v>24209944</v>
      </c>
      <c r="M27" s="312">
        <f t="shared" si="16"/>
        <v>0</v>
      </c>
      <c r="N27" s="310">
        <f t="shared" si="17"/>
        <v>0</v>
      </c>
      <c r="O27" s="466">
        <f t="shared" si="28"/>
        <v>0</v>
      </c>
      <c r="P27" s="591">
        <f t="shared" si="39"/>
        <v>17086.036</v>
      </c>
      <c r="Q27" s="448">
        <f t="shared" si="32"/>
        <v>0</v>
      </c>
      <c r="R27" s="448">
        <f t="shared" si="33"/>
        <v>0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f t="shared" si="10"/>
        <v>32397</v>
      </c>
      <c r="X27" s="448">
        <f t="shared" si="25"/>
        <v>0</v>
      </c>
      <c r="Y27" s="444">
        <f t="shared" si="11"/>
        <v>740914</v>
      </c>
      <c r="Z27" s="448">
        <f t="shared" si="22"/>
        <v>0</v>
      </c>
      <c r="AA27" s="444">
        <f t="shared" si="30"/>
        <v>35939</v>
      </c>
      <c r="AB27" s="448">
        <f t="shared" si="19"/>
        <v>0</v>
      </c>
      <c r="AC27" s="444">
        <f t="shared" si="23"/>
        <v>961645</v>
      </c>
      <c r="AD27" s="448">
        <f t="shared" si="34"/>
        <v>0</v>
      </c>
      <c r="AE27" s="471">
        <f t="shared" si="12"/>
        <v>0</v>
      </c>
      <c r="AF27" s="472">
        <f t="shared" si="6"/>
        <v>0</v>
      </c>
      <c r="AG27" s="464">
        <f t="shared" si="29"/>
        <v>0</v>
      </c>
      <c r="AI27" s="465">
        <f>R27-'EDl log'!B25</f>
        <v>-1043337</v>
      </c>
      <c r="AK27" s="636">
        <v>44341</v>
      </c>
      <c r="AL27" s="17">
        <f t="shared" si="40"/>
        <v>304137</v>
      </c>
      <c r="AM27" s="17">
        <f t="shared" si="40"/>
        <v>423438</v>
      </c>
      <c r="AN27" s="17">
        <f t="shared" si="26"/>
        <v>727575</v>
      </c>
      <c r="AO27" s="637">
        <f t="shared" si="27"/>
        <v>0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32874062</v>
      </c>
      <c r="E28" s="311">
        <f t="shared" si="13"/>
        <v>0</v>
      </c>
      <c r="F28" s="444">
        <f t="shared" si="35"/>
        <v>4022730</v>
      </c>
      <c r="G28" s="312">
        <f t="shared" si="1"/>
        <v>0</v>
      </c>
      <c r="H28" s="444">
        <f t="shared" si="36"/>
        <v>17873314</v>
      </c>
      <c r="I28" s="312">
        <f t="shared" si="14"/>
        <v>0</v>
      </c>
      <c r="J28" s="444">
        <f t="shared" si="37"/>
        <v>29060818</v>
      </c>
      <c r="K28" s="312">
        <f t="shared" si="15"/>
        <v>0</v>
      </c>
      <c r="L28" s="444">
        <f t="shared" si="38"/>
        <v>24209944</v>
      </c>
      <c r="M28" s="312">
        <f t="shared" si="16"/>
        <v>0</v>
      </c>
      <c r="N28" s="310">
        <f t="shared" si="17"/>
        <v>0</v>
      </c>
      <c r="O28" s="466">
        <f t="shared" si="28"/>
        <v>0</v>
      </c>
      <c r="P28" s="591">
        <f t="shared" si="39"/>
        <v>17086.036</v>
      </c>
      <c r="Q28" s="448">
        <f t="shared" si="32"/>
        <v>0</v>
      </c>
      <c r="R28" s="448">
        <f t="shared" si="33"/>
        <v>0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f t="shared" si="10"/>
        <v>32397</v>
      </c>
      <c r="X28" s="448">
        <f t="shared" si="25"/>
        <v>0</v>
      </c>
      <c r="Y28" s="444">
        <f t="shared" si="11"/>
        <v>740914</v>
      </c>
      <c r="Z28" s="448">
        <f t="shared" si="22"/>
        <v>0</v>
      </c>
      <c r="AA28" s="444">
        <f t="shared" si="30"/>
        <v>35939</v>
      </c>
      <c r="AB28" s="448">
        <f t="shared" si="19"/>
        <v>0</v>
      </c>
      <c r="AC28" s="444">
        <f t="shared" si="23"/>
        <v>961645</v>
      </c>
      <c r="AD28" s="448">
        <f t="shared" si="34"/>
        <v>0</v>
      </c>
      <c r="AE28" s="471">
        <f t="shared" si="12"/>
        <v>0</v>
      </c>
      <c r="AF28" s="472">
        <f t="shared" si="6"/>
        <v>0</v>
      </c>
      <c r="AG28" s="464">
        <f t="shared" si="29"/>
        <v>0</v>
      </c>
      <c r="AI28" s="465">
        <f>R28-'EDl log'!B26</f>
        <v>-1043337</v>
      </c>
      <c r="AK28" s="636">
        <v>44342</v>
      </c>
      <c r="AL28" s="17">
        <f t="shared" si="40"/>
        <v>304137</v>
      </c>
      <c r="AM28" s="17">
        <f t="shared" si="40"/>
        <v>423438</v>
      </c>
      <c r="AN28" s="17">
        <f t="shared" si="26"/>
        <v>727575</v>
      </c>
      <c r="AO28" s="637">
        <f t="shared" si="27"/>
        <v>0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32874062</v>
      </c>
      <c r="E29" s="311">
        <f t="shared" si="13"/>
        <v>0</v>
      </c>
      <c r="F29" s="444">
        <f t="shared" si="35"/>
        <v>4022730</v>
      </c>
      <c r="G29" s="312">
        <f t="shared" si="1"/>
        <v>0</v>
      </c>
      <c r="H29" s="444">
        <f t="shared" si="36"/>
        <v>17873314</v>
      </c>
      <c r="I29" s="312">
        <f t="shared" si="14"/>
        <v>0</v>
      </c>
      <c r="J29" s="444">
        <f t="shared" si="37"/>
        <v>29060818</v>
      </c>
      <c r="K29" s="312">
        <f t="shared" si="15"/>
        <v>0</v>
      </c>
      <c r="L29" s="444">
        <f t="shared" si="38"/>
        <v>24209944</v>
      </c>
      <c r="M29" s="312">
        <f t="shared" si="16"/>
        <v>0</v>
      </c>
      <c r="N29" s="310">
        <f t="shared" si="17"/>
        <v>0</v>
      </c>
      <c r="O29" s="466">
        <f t="shared" si="28"/>
        <v>0</v>
      </c>
      <c r="P29" s="591">
        <f t="shared" si="39"/>
        <v>17086.036</v>
      </c>
      <c r="Q29" s="448">
        <f t="shared" si="32"/>
        <v>0</v>
      </c>
      <c r="R29" s="448">
        <f t="shared" si="33"/>
        <v>0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f t="shared" si="10"/>
        <v>32397</v>
      </c>
      <c r="X29" s="448">
        <f t="shared" si="25"/>
        <v>0</v>
      </c>
      <c r="Y29" s="444">
        <f t="shared" si="11"/>
        <v>740914</v>
      </c>
      <c r="Z29" s="448">
        <f t="shared" si="22"/>
        <v>0</v>
      </c>
      <c r="AA29" s="444">
        <f t="shared" si="30"/>
        <v>35939</v>
      </c>
      <c r="AB29" s="448">
        <f t="shared" si="19"/>
        <v>0</v>
      </c>
      <c r="AC29" s="444">
        <f t="shared" si="23"/>
        <v>961645</v>
      </c>
      <c r="AD29" s="448">
        <f t="shared" si="34"/>
        <v>0</v>
      </c>
      <c r="AE29" s="471">
        <f t="shared" si="12"/>
        <v>0</v>
      </c>
      <c r="AF29" s="472">
        <f t="shared" si="6"/>
        <v>0</v>
      </c>
      <c r="AG29" s="464">
        <f t="shared" si="29"/>
        <v>0</v>
      </c>
      <c r="AI29" s="465">
        <f>R29-'EDl log'!B27</f>
        <v>-1043337</v>
      </c>
      <c r="AK29" s="636">
        <v>44343</v>
      </c>
      <c r="AL29" s="17">
        <f t="shared" si="40"/>
        <v>304137</v>
      </c>
      <c r="AM29" s="17">
        <f t="shared" si="40"/>
        <v>423438</v>
      </c>
      <c r="AN29" s="17">
        <f t="shared" si="26"/>
        <v>727575</v>
      </c>
      <c r="AO29" s="637">
        <f t="shared" si="27"/>
        <v>0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32874062</v>
      </c>
      <c r="E30" s="311">
        <f t="shared" si="13"/>
        <v>0</v>
      </c>
      <c r="F30" s="444">
        <f t="shared" si="35"/>
        <v>4022730</v>
      </c>
      <c r="G30" s="312">
        <f t="shared" si="1"/>
        <v>0</v>
      </c>
      <c r="H30" s="444">
        <f t="shared" si="36"/>
        <v>17873314</v>
      </c>
      <c r="I30" s="312">
        <f t="shared" si="14"/>
        <v>0</v>
      </c>
      <c r="J30" s="444">
        <f t="shared" si="37"/>
        <v>29060818</v>
      </c>
      <c r="K30" s="312">
        <f t="shared" si="15"/>
        <v>0</v>
      </c>
      <c r="L30" s="444">
        <f t="shared" si="38"/>
        <v>24209944</v>
      </c>
      <c r="M30" s="312">
        <f t="shared" si="16"/>
        <v>0</v>
      </c>
      <c r="N30" s="310">
        <f t="shared" si="17"/>
        <v>0</v>
      </c>
      <c r="O30" s="466">
        <f t="shared" si="28"/>
        <v>0</v>
      </c>
      <c r="P30" s="591">
        <f t="shared" si="39"/>
        <v>17086.036</v>
      </c>
      <c r="Q30" s="448">
        <f t="shared" si="32"/>
        <v>0</v>
      </c>
      <c r="R30" s="448">
        <f t="shared" si="33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32397</v>
      </c>
      <c r="X30" s="469">
        <f t="shared" si="25"/>
        <v>0</v>
      </c>
      <c r="Y30" s="444">
        <f t="shared" si="11"/>
        <v>740914</v>
      </c>
      <c r="Z30" s="448">
        <f t="shared" si="22"/>
        <v>0</v>
      </c>
      <c r="AA30" s="444">
        <f t="shared" si="30"/>
        <v>35939</v>
      </c>
      <c r="AB30" s="448">
        <f t="shared" si="19"/>
        <v>0</v>
      </c>
      <c r="AC30" s="444">
        <f t="shared" si="23"/>
        <v>961645</v>
      </c>
      <c r="AD30" s="448">
        <f t="shared" si="34"/>
        <v>0</v>
      </c>
      <c r="AE30" s="471">
        <f t="shared" si="12"/>
        <v>0</v>
      </c>
      <c r="AF30" s="472">
        <f t="shared" si="6"/>
        <v>0</v>
      </c>
      <c r="AG30" s="464">
        <f t="shared" si="29"/>
        <v>0</v>
      </c>
      <c r="AI30" s="465">
        <f>R30-'EDl log'!B28</f>
        <v>-1043337</v>
      </c>
      <c r="AK30" s="636">
        <v>44344</v>
      </c>
      <c r="AL30" s="17">
        <f t="shared" si="40"/>
        <v>304137</v>
      </c>
      <c r="AM30" s="17">
        <f t="shared" si="40"/>
        <v>423438</v>
      </c>
      <c r="AN30" s="17">
        <f t="shared" si="26"/>
        <v>727575</v>
      </c>
      <c r="AO30" s="637">
        <f t="shared" si="27"/>
        <v>0</v>
      </c>
    </row>
    <row r="31" spans="1:41">
      <c r="A31" s="456">
        <f>'General information '!F34</f>
        <v>0</v>
      </c>
      <c r="B31" s="450">
        <f t="shared" ref="B31:B32" si="41">SUM(230*A31)</f>
        <v>0</v>
      </c>
      <c r="C31" s="457">
        <v>44345</v>
      </c>
      <c r="D31" s="444">
        <f t="shared" si="24"/>
        <v>32874062</v>
      </c>
      <c r="E31" s="311">
        <f t="shared" si="13"/>
        <v>0</v>
      </c>
      <c r="F31" s="444">
        <f t="shared" si="35"/>
        <v>4022730</v>
      </c>
      <c r="G31" s="312">
        <f t="shared" si="1"/>
        <v>0</v>
      </c>
      <c r="H31" s="444">
        <f t="shared" si="36"/>
        <v>17873314</v>
      </c>
      <c r="I31" s="312">
        <f t="shared" si="14"/>
        <v>0</v>
      </c>
      <c r="J31" s="444">
        <f t="shared" si="37"/>
        <v>29060818</v>
      </c>
      <c r="K31" s="312">
        <f t="shared" si="15"/>
        <v>0</v>
      </c>
      <c r="L31" s="444">
        <f t="shared" si="38"/>
        <v>24209944</v>
      </c>
      <c r="M31" s="312">
        <f t="shared" si="16"/>
        <v>0</v>
      </c>
      <c r="N31" s="310">
        <f t="shared" ref="N31:N32" si="42">M31+K31+I31+G31+E31</f>
        <v>0</v>
      </c>
      <c r="O31" s="466">
        <f t="shared" ref="O31:O32" si="43">IF(B31&gt;0,N31/B31,0)</f>
        <v>0</v>
      </c>
      <c r="P31" s="591">
        <f t="shared" si="39"/>
        <v>17086.036</v>
      </c>
      <c r="Q31" s="448">
        <f t="shared" ref="Q31:Q32" si="44">(P31-P30)*1000</f>
        <v>0</v>
      </c>
      <c r="R31" s="448">
        <f t="shared" ref="R31:R32" si="45">N31-Q31</f>
        <v>0</v>
      </c>
      <c r="S31" s="444">
        <f t="shared" si="9"/>
        <v>10175</v>
      </c>
      <c r="T31" s="468">
        <f t="shared" ref="T31:T32" si="46">S31-S30</f>
        <v>0</v>
      </c>
      <c r="U31" s="444">
        <f t="shared" si="9"/>
        <v>429166</v>
      </c>
      <c r="V31" s="448">
        <f t="shared" ref="V31:V32" si="47">U31-U30</f>
        <v>0</v>
      </c>
      <c r="W31" s="444">
        <f t="shared" si="10"/>
        <v>32397</v>
      </c>
      <c r="X31" s="469">
        <f t="shared" ref="X31:X32" si="48">W31-W30</f>
        <v>0</v>
      </c>
      <c r="Y31" s="444">
        <f t="shared" si="11"/>
        <v>740914</v>
      </c>
      <c r="Z31" s="448">
        <f t="shared" ref="Z31:Z32" si="49">Y31-Y30</f>
        <v>0</v>
      </c>
      <c r="AA31" s="444">
        <f t="shared" si="30"/>
        <v>35939</v>
      </c>
      <c r="AB31" s="448">
        <f t="shared" ref="AB31:AB32" si="50">AA31-AA30</f>
        <v>0</v>
      </c>
      <c r="AC31" s="444">
        <f t="shared" si="23"/>
        <v>961645</v>
      </c>
      <c r="AD31" s="448">
        <f t="shared" ref="AD31:AD32" si="51">AC31-AC30</f>
        <v>0</v>
      </c>
      <c r="AE31" s="471">
        <f t="shared" ref="AE31:AE32" si="52">AB31+X31+T31</f>
        <v>0</v>
      </c>
      <c r="AF31" s="472">
        <f t="shared" ref="AF31:AF32" si="53">V31+Z31+AD31</f>
        <v>0</v>
      </c>
      <c r="AG31" s="464">
        <f t="shared" ref="AG31:AG32" si="54">IF(AE31&gt;0,AF31/AE31,0)</f>
        <v>0</v>
      </c>
      <c r="AI31" s="465">
        <f>R31-'EDl log'!B29</f>
        <v>-1043337</v>
      </c>
      <c r="AK31" s="636">
        <v>44345</v>
      </c>
      <c r="AL31" s="17">
        <f t="shared" si="40"/>
        <v>304137</v>
      </c>
      <c r="AM31" s="17">
        <f t="shared" si="40"/>
        <v>423438</v>
      </c>
      <c r="AN31" s="17">
        <f t="shared" si="26"/>
        <v>727575</v>
      </c>
      <c r="AO31" s="637">
        <f t="shared" si="27"/>
        <v>0</v>
      </c>
    </row>
    <row r="32" spans="1:41">
      <c r="A32" s="456">
        <f>'General information '!F35</f>
        <v>0</v>
      </c>
      <c r="B32" s="450">
        <f t="shared" si="41"/>
        <v>0</v>
      </c>
      <c r="C32" s="457">
        <v>44346</v>
      </c>
      <c r="D32" s="444">
        <f t="shared" si="24"/>
        <v>32874062</v>
      </c>
      <c r="E32" s="311">
        <f t="shared" si="13"/>
        <v>0</v>
      </c>
      <c r="F32" s="444">
        <f t="shared" si="35"/>
        <v>4022730</v>
      </c>
      <c r="G32" s="312">
        <f t="shared" si="1"/>
        <v>0</v>
      </c>
      <c r="H32" s="444">
        <f t="shared" si="36"/>
        <v>17873314</v>
      </c>
      <c r="I32" s="312">
        <f t="shared" si="14"/>
        <v>0</v>
      </c>
      <c r="J32" s="444">
        <f t="shared" si="37"/>
        <v>29060818</v>
      </c>
      <c r="K32" s="312">
        <f t="shared" si="15"/>
        <v>0</v>
      </c>
      <c r="L32" s="444">
        <f t="shared" si="38"/>
        <v>24209944</v>
      </c>
      <c r="M32" s="312">
        <f t="shared" si="16"/>
        <v>0</v>
      </c>
      <c r="N32" s="310">
        <f t="shared" si="42"/>
        <v>0</v>
      </c>
      <c r="O32" s="466">
        <f t="shared" si="43"/>
        <v>0</v>
      </c>
      <c r="P32" s="591">
        <f t="shared" si="39"/>
        <v>17086.036</v>
      </c>
      <c r="Q32" s="448">
        <f t="shared" si="44"/>
        <v>0</v>
      </c>
      <c r="R32" s="448">
        <f t="shared" si="45"/>
        <v>0</v>
      </c>
      <c r="S32" s="444">
        <f t="shared" si="9"/>
        <v>10175</v>
      </c>
      <c r="T32" s="468">
        <f t="shared" si="46"/>
        <v>0</v>
      </c>
      <c r="U32" s="444">
        <f t="shared" si="9"/>
        <v>429166</v>
      </c>
      <c r="V32" s="448">
        <f t="shared" si="47"/>
        <v>0</v>
      </c>
      <c r="W32" s="444">
        <f t="shared" si="10"/>
        <v>32397</v>
      </c>
      <c r="X32" s="469">
        <f t="shared" si="48"/>
        <v>0</v>
      </c>
      <c r="Y32" s="444">
        <f t="shared" si="11"/>
        <v>740914</v>
      </c>
      <c r="Z32" s="448">
        <f t="shared" si="49"/>
        <v>0</v>
      </c>
      <c r="AA32" s="444">
        <f t="shared" si="30"/>
        <v>35939</v>
      </c>
      <c r="AB32" s="448">
        <f t="shared" si="50"/>
        <v>0</v>
      </c>
      <c r="AC32" s="444">
        <f t="shared" si="23"/>
        <v>961645</v>
      </c>
      <c r="AD32" s="448">
        <f t="shared" si="51"/>
        <v>0</v>
      </c>
      <c r="AE32" s="471">
        <f t="shared" si="52"/>
        <v>0</v>
      </c>
      <c r="AF32" s="472">
        <f t="shared" si="53"/>
        <v>0</v>
      </c>
      <c r="AG32" s="464">
        <f t="shared" si="54"/>
        <v>0</v>
      </c>
      <c r="AI32" s="465">
        <f>R32-'EDl log'!B30</f>
        <v>-1043337</v>
      </c>
      <c r="AK32" s="636">
        <v>44346</v>
      </c>
      <c r="AL32" s="17">
        <f t="shared" si="40"/>
        <v>304137</v>
      </c>
      <c r="AM32" s="17">
        <f t="shared" si="40"/>
        <v>423438</v>
      </c>
      <c r="AN32" s="17">
        <f t="shared" si="26"/>
        <v>727575</v>
      </c>
      <c r="AO32" s="637">
        <f t="shared" si="27"/>
        <v>0</v>
      </c>
    </row>
    <row r="33" spans="1:41" ht="15.75" thickBot="1">
      <c r="A33" s="456">
        <f>'General information '!F36</f>
        <v>0</v>
      </c>
      <c r="B33" s="450">
        <f t="shared" ref="B33" si="55">SUM(230*A33)</f>
        <v>0</v>
      </c>
      <c r="C33" s="457">
        <v>44347</v>
      </c>
      <c r="D33" s="444">
        <f t="shared" si="24"/>
        <v>32874062</v>
      </c>
      <c r="E33" s="311">
        <f t="shared" ref="E33" si="56">D33-D32</f>
        <v>0</v>
      </c>
      <c r="F33" s="444">
        <f t="shared" si="35"/>
        <v>4022730</v>
      </c>
      <c r="G33" s="312">
        <f t="shared" ref="G33" si="57">F33-F32</f>
        <v>0</v>
      </c>
      <c r="H33" s="444">
        <f t="shared" si="36"/>
        <v>17873314</v>
      </c>
      <c r="I33" s="312">
        <f t="shared" ref="I33" si="58">H33-H32</f>
        <v>0</v>
      </c>
      <c r="J33" s="444">
        <f t="shared" si="37"/>
        <v>29060818</v>
      </c>
      <c r="K33" s="312">
        <f t="shared" ref="K33" si="59">J33-J32</f>
        <v>0</v>
      </c>
      <c r="L33" s="444">
        <f t="shared" si="38"/>
        <v>24209944</v>
      </c>
      <c r="M33" s="312">
        <f t="shared" ref="M33" si="60">L33-L32</f>
        <v>0</v>
      </c>
      <c r="N33" s="310">
        <f t="shared" ref="N33" si="61">M33+K33+I33+G33+E33</f>
        <v>0</v>
      </c>
      <c r="O33" s="466">
        <f t="shared" ref="O33" si="62">IF(B33&gt;0,N33/B33,0)</f>
        <v>0</v>
      </c>
      <c r="P33" s="591">
        <f t="shared" si="39"/>
        <v>17086.036</v>
      </c>
      <c r="Q33" s="448">
        <f t="shared" ref="Q33" si="63">(P33-P32)*1000</f>
        <v>0</v>
      </c>
      <c r="R33" s="448">
        <f t="shared" ref="R33" si="64">N33-Q33</f>
        <v>0</v>
      </c>
      <c r="S33" s="444">
        <f t="shared" si="9"/>
        <v>10175</v>
      </c>
      <c r="T33" s="468">
        <f t="shared" ref="T33" si="65">S33-S32</f>
        <v>0</v>
      </c>
      <c r="U33" s="444">
        <f t="shared" si="9"/>
        <v>429166</v>
      </c>
      <c r="V33" s="448">
        <f t="shared" ref="V33" si="66">U33-U32</f>
        <v>0</v>
      </c>
      <c r="W33" s="444">
        <f t="shared" si="10"/>
        <v>32397</v>
      </c>
      <c r="X33" s="469">
        <f t="shared" ref="X33" si="67">W33-W32</f>
        <v>0</v>
      </c>
      <c r="Y33" s="444">
        <f t="shared" si="11"/>
        <v>740914</v>
      </c>
      <c r="Z33" s="448">
        <f t="shared" ref="Z33" si="68">Y33-Y32</f>
        <v>0</v>
      </c>
      <c r="AA33" s="444">
        <f t="shared" si="30"/>
        <v>35939</v>
      </c>
      <c r="AB33" s="448">
        <f t="shared" ref="AB33" si="69">AA33-AA32</f>
        <v>0</v>
      </c>
      <c r="AC33" s="444">
        <f t="shared" si="23"/>
        <v>961645</v>
      </c>
      <c r="AD33" s="448">
        <f t="shared" ref="AD33" si="70">AC33-AC32</f>
        <v>0</v>
      </c>
      <c r="AE33" s="471">
        <f t="shared" ref="AE33" si="71">AB33+X33+T33</f>
        <v>0</v>
      </c>
      <c r="AF33" s="472">
        <f t="shared" ref="AF33" si="72">V33+Z33+AD33</f>
        <v>0</v>
      </c>
      <c r="AG33" s="464">
        <f t="shared" ref="AG33" si="73">IF(AE33&gt;0,AF33/AE33,0)</f>
        <v>0</v>
      </c>
      <c r="AI33" s="465">
        <f>R33-'EDl log'!B31</f>
        <v>-1043337</v>
      </c>
      <c r="AK33" s="636">
        <v>44347</v>
      </c>
      <c r="AL33" s="17">
        <f t="shared" si="40"/>
        <v>304137</v>
      </c>
      <c r="AM33" s="17">
        <f t="shared" si="40"/>
        <v>423438</v>
      </c>
      <c r="AN33" s="17">
        <f t="shared" si="26"/>
        <v>727575</v>
      </c>
      <c r="AO33" s="638">
        <f t="shared" si="27"/>
        <v>0</v>
      </c>
    </row>
    <row r="34" spans="1:41">
      <c r="AK34" s="639"/>
      <c r="AL34" s="640"/>
      <c r="AM34" s="640"/>
      <c r="AN34" s="640"/>
      <c r="AO34" s="641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K1" zoomScale="90" zoomScaleNormal="90" workbookViewId="0">
      <pane ySplit="1" topLeftCell="A2" activePane="bottomLeft" state="frozen"/>
      <selection activeCell="K1" sqref="K1"/>
      <selection pane="bottomLeft" activeCell="AW23" sqref="AW23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72" t="s">
        <v>2</v>
      </c>
      <c r="G1" s="673"/>
      <c r="H1" s="673"/>
      <c r="I1" s="674"/>
      <c r="J1" s="282">
        <f>J36</f>
        <v>64.777777777777771</v>
      </c>
      <c r="K1" s="675" t="s">
        <v>4</v>
      </c>
      <c r="L1" s="676"/>
      <c r="M1" s="676"/>
      <c r="N1" s="676"/>
      <c r="O1" s="677"/>
      <c r="P1" s="666" t="s">
        <v>6</v>
      </c>
      <c r="Q1" s="667"/>
      <c r="R1" s="667"/>
      <c r="S1" s="667"/>
      <c r="T1" s="668"/>
      <c r="U1" s="397"/>
      <c r="V1" s="27" t="s">
        <v>104</v>
      </c>
      <c r="W1" s="398"/>
      <c r="X1" s="666" t="s">
        <v>8</v>
      </c>
      <c r="Y1" s="667"/>
      <c r="Z1" s="667"/>
      <c r="AA1" s="667"/>
      <c r="AB1" s="667"/>
      <c r="AC1" s="669" t="s">
        <v>10</v>
      </c>
      <c r="AD1" s="670"/>
      <c r="AE1" s="670"/>
      <c r="AF1" s="67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4"/>
      <c r="R2" s="66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v>184</v>
      </c>
      <c r="C14" s="584">
        <v>192</v>
      </c>
      <c r="D14" s="45">
        <f t="shared" si="30"/>
        <v>6</v>
      </c>
      <c r="E14" s="45">
        <f t="shared" si="8"/>
        <v>50.28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v>2321</v>
      </c>
      <c r="L14" s="52">
        <f t="shared" si="12"/>
        <v>1</v>
      </c>
      <c r="M14" s="584">
        <v>171086</v>
      </c>
      <c r="N14" s="396">
        <f t="shared" si="2"/>
        <v>82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1</v>
      </c>
      <c r="V14" s="62">
        <f t="shared" si="15"/>
        <v>82</v>
      </c>
      <c r="W14" s="400">
        <f t="shared" si="16"/>
        <v>82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2">AC13</f>
        <v>1936</v>
      </c>
      <c r="AD14" s="45">
        <f t="shared" si="6"/>
        <v>0</v>
      </c>
      <c r="AE14" s="584">
        <f t="shared" si="62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82</v>
      </c>
      <c r="AJ14" s="318">
        <f>-tanks!AW15</f>
        <v>82</v>
      </c>
      <c r="AK14" s="318">
        <f t="shared" si="23"/>
        <v>0</v>
      </c>
      <c r="AL14" s="318">
        <f t="shared" si="7"/>
        <v>1</v>
      </c>
      <c r="AM14" s="318">
        <f t="shared" si="24"/>
        <v>0</v>
      </c>
      <c r="AN14" s="584">
        <f t="shared" ref="AN14:AP14" si="63">AN13</f>
        <v>67</v>
      </c>
      <c r="AO14" s="320">
        <f t="shared" si="26"/>
        <v>2010.0000000000002</v>
      </c>
      <c r="AP14" s="584">
        <f t="shared" si="63"/>
        <v>55</v>
      </c>
      <c r="AQ14" s="320">
        <f t="shared" si="27"/>
        <v>1650.0000000000002</v>
      </c>
      <c r="AR14" s="584">
        <f t="shared" ref="AR14" si="64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v>234</v>
      </c>
      <c r="C15" s="584">
        <v>241</v>
      </c>
      <c r="D15" s="45">
        <f t="shared" si="30"/>
        <v>-49</v>
      </c>
      <c r="E15" s="45">
        <f t="shared" si="8"/>
        <v>-410.62000000000006</v>
      </c>
      <c r="F15" s="584">
        <v>1831</v>
      </c>
      <c r="G15" s="52">
        <f t="shared" si="0"/>
        <v>1</v>
      </c>
      <c r="H15" s="584">
        <v>12644</v>
      </c>
      <c r="I15" s="396">
        <f t="shared" si="1"/>
        <v>81</v>
      </c>
      <c r="J15" s="66">
        <f t="shared" si="11"/>
        <v>81</v>
      </c>
      <c r="K15" s="584">
        <f t="shared" si="31"/>
        <v>2321</v>
      </c>
      <c r="L15" s="52">
        <f t="shared" si="12"/>
        <v>0</v>
      </c>
      <c r="M15" s="584">
        <f t="shared" si="32"/>
        <v>171086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1</v>
      </c>
      <c r="V15" s="62">
        <f t="shared" si="15"/>
        <v>81</v>
      </c>
      <c r="W15" s="400">
        <f t="shared" si="16"/>
        <v>81</v>
      </c>
      <c r="X15" s="584">
        <f t="shared" si="17"/>
        <v>2467</v>
      </c>
      <c r="Y15" s="52">
        <f t="shared" si="18"/>
        <v>0</v>
      </c>
      <c r="Z15" s="584">
        <v>138897</v>
      </c>
      <c r="AA15" s="65">
        <f t="shared" si="5"/>
        <v>56</v>
      </c>
      <c r="AB15" s="284">
        <f t="shared" si="34"/>
        <v>0</v>
      </c>
      <c r="AC15" s="584">
        <f t="shared" ref="AC15:AE15" si="65">AC14</f>
        <v>1936</v>
      </c>
      <c r="AD15" s="45">
        <f t="shared" si="6"/>
        <v>0</v>
      </c>
      <c r="AE15" s="584">
        <f t="shared" si="65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56</v>
      </c>
      <c r="AI15" s="318">
        <f t="shared" si="22"/>
        <v>137</v>
      </c>
      <c r="AJ15" s="318">
        <f>-tanks!AW16</f>
        <v>137</v>
      </c>
      <c r="AK15" s="318">
        <f t="shared" si="23"/>
        <v>0</v>
      </c>
      <c r="AL15" s="318">
        <f t="shared" si="7"/>
        <v>1</v>
      </c>
      <c r="AM15" s="318">
        <f t="shared" si="24"/>
        <v>0</v>
      </c>
      <c r="AN15" s="584">
        <f t="shared" ref="AN15:AP15" si="66">AN14</f>
        <v>67</v>
      </c>
      <c r="AO15" s="320">
        <f t="shared" si="26"/>
        <v>2010.0000000000002</v>
      </c>
      <c r="AP15" s="584">
        <f t="shared" si="66"/>
        <v>55</v>
      </c>
      <c r="AQ15" s="320">
        <f t="shared" si="27"/>
        <v>1650.0000000000002</v>
      </c>
      <c r="AR15" s="584">
        <f t="shared" ref="AR15" si="67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v>225</v>
      </c>
      <c r="C16" s="584">
        <v>232</v>
      </c>
      <c r="D16" s="45">
        <f t="shared" si="30"/>
        <v>9</v>
      </c>
      <c r="E16" s="45">
        <f t="shared" si="8"/>
        <v>75.42</v>
      </c>
      <c r="F16" s="584">
        <v>1832</v>
      </c>
      <c r="G16" s="52">
        <f t="shared" si="0"/>
        <v>1</v>
      </c>
      <c r="H16" s="584">
        <v>12721</v>
      </c>
      <c r="I16" s="396">
        <f t="shared" si="1"/>
        <v>77</v>
      </c>
      <c r="J16" s="66">
        <f t="shared" si="11"/>
        <v>77</v>
      </c>
      <c r="K16" s="584">
        <f t="shared" si="31"/>
        <v>2321</v>
      </c>
      <c r="L16" s="52">
        <f t="shared" si="12"/>
        <v>0</v>
      </c>
      <c r="M16" s="584">
        <f t="shared" si="32"/>
        <v>171086</v>
      </c>
      <c r="N16" s="396">
        <f t="shared" si="2"/>
        <v>0</v>
      </c>
      <c r="O16" s="64">
        <f t="shared" si="13"/>
        <v>1869</v>
      </c>
      <c r="P16" s="584">
        <v>2087</v>
      </c>
      <c r="Q16" s="584">
        <v>175515</v>
      </c>
      <c r="R16" s="395">
        <f t="shared" si="52"/>
        <v>77</v>
      </c>
      <c r="S16" s="52">
        <f t="shared" si="4"/>
        <v>1</v>
      </c>
      <c r="T16" s="67">
        <f t="shared" si="33"/>
        <v>0</v>
      </c>
      <c r="U16" s="402">
        <f t="shared" si="14"/>
        <v>2</v>
      </c>
      <c r="V16" s="62">
        <f t="shared" si="15"/>
        <v>154</v>
      </c>
      <c r="W16" s="400">
        <f t="shared" si="16"/>
        <v>77</v>
      </c>
      <c r="X16" s="584">
        <f t="shared" si="17"/>
        <v>2467</v>
      </c>
      <c r="Y16" s="52">
        <f t="shared" si="18"/>
        <v>0</v>
      </c>
      <c r="Z16" s="584">
        <f t="shared" si="19"/>
        <v>138897</v>
      </c>
      <c r="AA16" s="65">
        <f t="shared" si="5"/>
        <v>0</v>
      </c>
      <c r="AB16" s="284">
        <f t="shared" si="34"/>
        <v>0</v>
      </c>
      <c r="AC16" s="584">
        <f t="shared" ref="AC16:AE16" si="68">AC15</f>
        <v>1936</v>
      </c>
      <c r="AD16" s="45">
        <f t="shared" si="6"/>
        <v>0</v>
      </c>
      <c r="AE16" s="584">
        <f t="shared" si="68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154</v>
      </c>
      <c r="AJ16" s="318">
        <f>-tanks!AW17</f>
        <v>154</v>
      </c>
      <c r="AK16" s="318">
        <f t="shared" si="23"/>
        <v>0</v>
      </c>
      <c r="AL16" s="318">
        <f t="shared" si="7"/>
        <v>2</v>
      </c>
      <c r="AM16" s="318">
        <f t="shared" si="24"/>
        <v>0</v>
      </c>
      <c r="AN16" s="584">
        <f t="shared" ref="AN16:AP16" si="69">AN15</f>
        <v>67</v>
      </c>
      <c r="AO16" s="320">
        <f t="shared" si="26"/>
        <v>2010.0000000000002</v>
      </c>
      <c r="AP16" s="584">
        <f t="shared" si="69"/>
        <v>55</v>
      </c>
      <c r="AQ16" s="320">
        <f t="shared" si="27"/>
        <v>1650.0000000000002</v>
      </c>
      <c r="AR16" s="584">
        <f t="shared" ref="AR16" si="70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v>218</v>
      </c>
      <c r="C17" s="584">
        <v>224</v>
      </c>
      <c r="D17" s="45">
        <f t="shared" si="30"/>
        <v>8</v>
      </c>
      <c r="E17" s="45">
        <f t="shared" si="8"/>
        <v>67.040000000000006</v>
      </c>
      <c r="F17" s="584">
        <f t="shared" si="9"/>
        <v>1832</v>
      </c>
      <c r="G17" s="52">
        <f t="shared" si="0"/>
        <v>0</v>
      </c>
      <c r="H17" s="584">
        <f t="shared" si="10"/>
        <v>12721</v>
      </c>
      <c r="I17" s="396">
        <f t="shared" si="1"/>
        <v>0</v>
      </c>
      <c r="J17" s="66">
        <f t="shared" si="11"/>
        <v>0</v>
      </c>
      <c r="K17" s="584">
        <v>2322</v>
      </c>
      <c r="L17" s="52">
        <f t="shared" si="12"/>
        <v>1</v>
      </c>
      <c r="M17" s="584">
        <v>171201</v>
      </c>
      <c r="N17" s="396">
        <f t="shared" si="2"/>
        <v>115</v>
      </c>
      <c r="O17" s="64">
        <f t="shared" si="13"/>
        <v>1869</v>
      </c>
      <c r="P17" s="584">
        <f t="shared" si="13"/>
        <v>2087</v>
      </c>
      <c r="Q17" s="584">
        <f t="shared" si="13"/>
        <v>175515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1</v>
      </c>
      <c r="V17" s="62">
        <f t="shared" si="15"/>
        <v>115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138897</v>
      </c>
      <c r="AA17" s="65">
        <f t="shared" si="5"/>
        <v>0</v>
      </c>
      <c r="AB17" s="284">
        <f t="shared" si="34"/>
        <v>0</v>
      </c>
      <c r="AC17" s="584">
        <f t="shared" ref="AC17:AE17" si="71">AC16</f>
        <v>1936</v>
      </c>
      <c r="AD17" s="45">
        <f t="shared" si="6"/>
        <v>0</v>
      </c>
      <c r="AE17" s="584">
        <f t="shared" si="71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115</v>
      </c>
      <c r="AJ17" s="318">
        <f>-tanks!AW18</f>
        <v>115</v>
      </c>
      <c r="AK17" s="318">
        <f t="shared" si="23"/>
        <v>0</v>
      </c>
      <c r="AL17" s="318">
        <f t="shared" si="7"/>
        <v>1</v>
      </c>
      <c r="AM17" s="318">
        <f t="shared" si="24"/>
        <v>0</v>
      </c>
      <c r="AN17" s="584">
        <f t="shared" ref="AN17:AP17" si="72">AN16</f>
        <v>67</v>
      </c>
      <c r="AO17" s="320">
        <f t="shared" si="26"/>
        <v>2010.0000000000002</v>
      </c>
      <c r="AP17" s="584">
        <f t="shared" si="72"/>
        <v>55</v>
      </c>
      <c r="AQ17" s="320">
        <f t="shared" si="27"/>
        <v>1650.0000000000002</v>
      </c>
      <c r="AR17" s="584">
        <f t="shared" ref="AR17" si="7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v>212</v>
      </c>
      <c r="C18" s="584">
        <v>218</v>
      </c>
      <c r="D18" s="45">
        <f t="shared" si="30"/>
        <v>6</v>
      </c>
      <c r="E18" s="45">
        <f t="shared" si="8"/>
        <v>50.28</v>
      </c>
      <c r="F18" s="584">
        <f t="shared" si="9"/>
        <v>1832</v>
      </c>
      <c r="G18" s="52">
        <f t="shared" si="0"/>
        <v>0</v>
      </c>
      <c r="H18" s="584">
        <f t="shared" si="10"/>
        <v>12721</v>
      </c>
      <c r="I18" s="396">
        <f t="shared" si="1"/>
        <v>0</v>
      </c>
      <c r="J18" s="66">
        <f t="shared" si="11"/>
        <v>0</v>
      </c>
      <c r="K18" s="584">
        <f t="shared" si="31"/>
        <v>2322</v>
      </c>
      <c r="L18" s="52">
        <f t="shared" si="12"/>
        <v>0</v>
      </c>
      <c r="M18" s="584">
        <f t="shared" si="32"/>
        <v>171201</v>
      </c>
      <c r="N18" s="396">
        <f t="shared" si="2"/>
        <v>0</v>
      </c>
      <c r="O18" s="64">
        <v>1869</v>
      </c>
      <c r="P18" s="584">
        <v>2088</v>
      </c>
      <c r="Q18" s="584">
        <v>175604</v>
      </c>
      <c r="R18" s="395">
        <f t="shared" si="52"/>
        <v>89</v>
      </c>
      <c r="S18" s="52">
        <f t="shared" si="4"/>
        <v>1</v>
      </c>
      <c r="T18" s="67">
        <f t="shared" si="33"/>
        <v>0</v>
      </c>
      <c r="U18" s="402">
        <f t="shared" si="14"/>
        <v>1</v>
      </c>
      <c r="V18" s="62">
        <f t="shared" si="15"/>
        <v>89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138897</v>
      </c>
      <c r="AA18" s="65">
        <f t="shared" si="5"/>
        <v>0</v>
      </c>
      <c r="AB18" s="284">
        <f t="shared" ref="AB18:AB23" si="74">SUM(Y18*$AB$2)</f>
        <v>0</v>
      </c>
      <c r="AC18" s="584">
        <f t="shared" ref="AC18:AE18" si="75">AC17</f>
        <v>1936</v>
      </c>
      <c r="AD18" s="45">
        <f t="shared" si="6"/>
        <v>0</v>
      </c>
      <c r="AE18" s="584">
        <f t="shared" si="75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89</v>
      </c>
      <c r="AJ18" s="318">
        <f>-tanks!AW19</f>
        <v>89</v>
      </c>
      <c r="AK18" s="318">
        <f t="shared" si="23"/>
        <v>0</v>
      </c>
      <c r="AL18" s="318">
        <f t="shared" si="7"/>
        <v>1</v>
      </c>
      <c r="AM18" s="318">
        <f t="shared" si="24"/>
        <v>0</v>
      </c>
      <c r="AN18" s="584">
        <f t="shared" ref="AN18:AP18" si="76">AN17</f>
        <v>67</v>
      </c>
      <c r="AO18" s="320">
        <f t="shared" si="26"/>
        <v>2010.0000000000002</v>
      </c>
      <c r="AP18" s="584">
        <f t="shared" si="76"/>
        <v>55</v>
      </c>
      <c r="AQ18" s="320">
        <f t="shared" si="27"/>
        <v>1650.0000000000002</v>
      </c>
      <c r="AR18" s="584">
        <f t="shared" ref="AR18" si="77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v>206</v>
      </c>
      <c r="C19" s="584">
        <v>213</v>
      </c>
      <c r="D19" s="45">
        <f t="shared" si="30"/>
        <v>5</v>
      </c>
      <c r="E19" s="45">
        <f t="shared" si="8"/>
        <v>41.900000000000006</v>
      </c>
      <c r="F19" s="584">
        <v>1833</v>
      </c>
      <c r="G19" s="52">
        <f t="shared" si="0"/>
        <v>1</v>
      </c>
      <c r="H19" s="584">
        <v>12810</v>
      </c>
      <c r="I19" s="396">
        <f t="shared" si="1"/>
        <v>89</v>
      </c>
      <c r="J19" s="66">
        <f t="shared" si="11"/>
        <v>89</v>
      </c>
      <c r="K19" s="584">
        <f t="shared" si="31"/>
        <v>2322</v>
      </c>
      <c r="L19" s="52">
        <f t="shared" si="12"/>
        <v>0</v>
      </c>
      <c r="M19" s="584">
        <f t="shared" si="32"/>
        <v>171201</v>
      </c>
      <c r="N19" s="396">
        <f t="shared" si="2"/>
        <v>0</v>
      </c>
      <c r="O19" s="64">
        <f t="shared" si="13"/>
        <v>1869</v>
      </c>
      <c r="P19" s="584">
        <v>2089</v>
      </c>
      <c r="Q19" s="584">
        <v>175654</v>
      </c>
      <c r="R19" s="395">
        <f t="shared" si="52"/>
        <v>50</v>
      </c>
      <c r="S19" s="52">
        <f t="shared" si="4"/>
        <v>1</v>
      </c>
      <c r="T19" s="67">
        <f t="shared" si="33"/>
        <v>0</v>
      </c>
      <c r="U19" s="402">
        <f t="shared" si="14"/>
        <v>2</v>
      </c>
      <c r="V19" s="62">
        <f t="shared" si="15"/>
        <v>139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138897</v>
      </c>
      <c r="AA19" s="65">
        <f t="shared" si="5"/>
        <v>0</v>
      </c>
      <c r="AB19" s="284">
        <f t="shared" si="74"/>
        <v>0</v>
      </c>
      <c r="AC19" s="584">
        <f t="shared" ref="AC19:AE19" si="78">AC18</f>
        <v>1936</v>
      </c>
      <c r="AD19" s="45">
        <f t="shared" si="6"/>
        <v>0</v>
      </c>
      <c r="AE19" s="584">
        <f t="shared" si="78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139</v>
      </c>
      <c r="AJ19" s="318">
        <f>-tanks!AW20</f>
        <v>139</v>
      </c>
      <c r="AK19" s="318">
        <f t="shared" si="23"/>
        <v>0</v>
      </c>
      <c r="AL19" s="318">
        <f t="shared" si="7"/>
        <v>2</v>
      </c>
      <c r="AM19" s="318">
        <f t="shared" si="24"/>
        <v>0</v>
      </c>
      <c r="AN19" s="584">
        <f t="shared" ref="AN19:AP19" si="79">AN18</f>
        <v>67</v>
      </c>
      <c r="AO19" s="320">
        <f t="shared" si="26"/>
        <v>2010.0000000000002</v>
      </c>
      <c r="AP19" s="584">
        <f t="shared" si="79"/>
        <v>55</v>
      </c>
      <c r="AQ19" s="320">
        <f t="shared" si="27"/>
        <v>1650.0000000000002</v>
      </c>
      <c r="AR19" s="584">
        <f t="shared" ref="AR19" si="80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v>195</v>
      </c>
      <c r="C20" s="584">
        <v>201</v>
      </c>
      <c r="D20" s="45">
        <f>C19-C20</f>
        <v>12</v>
      </c>
      <c r="E20" s="45">
        <f t="shared" si="8"/>
        <v>100.56</v>
      </c>
      <c r="F20" s="584">
        <f t="shared" si="9"/>
        <v>1833</v>
      </c>
      <c r="G20" s="52">
        <f t="shared" si="0"/>
        <v>0</v>
      </c>
      <c r="H20" s="584">
        <v>12841</v>
      </c>
      <c r="I20" s="396">
        <f t="shared" si="1"/>
        <v>31</v>
      </c>
      <c r="J20" s="66">
        <f t="shared" si="11"/>
        <v>0</v>
      </c>
      <c r="K20" s="584">
        <v>2323</v>
      </c>
      <c r="L20" s="52">
        <f t="shared" si="12"/>
        <v>1</v>
      </c>
      <c r="M20" s="584">
        <v>171285</v>
      </c>
      <c r="N20" s="396">
        <f t="shared" si="2"/>
        <v>84</v>
      </c>
      <c r="O20" s="64">
        <f t="shared" si="13"/>
        <v>1869</v>
      </c>
      <c r="P20" s="584">
        <f t="shared" ref="P20:P35" si="81">P19</f>
        <v>2089</v>
      </c>
      <c r="Q20" s="584">
        <f t="shared" ref="Q20:Q35" si="82">Q19</f>
        <v>175654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1</v>
      </c>
      <c r="V20" s="62">
        <f t="shared" si="15"/>
        <v>115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138897</v>
      </c>
      <c r="AA20" s="65">
        <f t="shared" si="5"/>
        <v>0</v>
      </c>
      <c r="AB20" s="284">
        <f t="shared" si="74"/>
        <v>0</v>
      </c>
      <c r="AC20" s="584">
        <f t="shared" ref="AC20:AE20" si="83">AC19</f>
        <v>1936</v>
      </c>
      <c r="AD20" s="45">
        <f t="shared" si="6"/>
        <v>0</v>
      </c>
      <c r="AE20" s="584">
        <f t="shared" si="83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115</v>
      </c>
      <c r="AJ20" s="318">
        <f>-tanks!AW21</f>
        <v>115</v>
      </c>
      <c r="AK20" s="318">
        <f t="shared" si="23"/>
        <v>0</v>
      </c>
      <c r="AL20" s="318">
        <f t="shared" si="7"/>
        <v>1</v>
      </c>
      <c r="AM20" s="318">
        <f t="shared" si="24"/>
        <v>0</v>
      </c>
      <c r="AN20" s="584">
        <f t="shared" ref="AN20:AP20" si="84">AN19</f>
        <v>67</v>
      </c>
      <c r="AO20" s="320">
        <f t="shared" si="26"/>
        <v>2010.0000000000002</v>
      </c>
      <c r="AP20" s="584">
        <f t="shared" si="84"/>
        <v>55</v>
      </c>
      <c r="AQ20" s="320">
        <f t="shared" si="27"/>
        <v>1650.0000000000002</v>
      </c>
      <c r="AR20" s="584">
        <f t="shared" ref="AR20" si="85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v>188</v>
      </c>
      <c r="C21" s="584">
        <v>194</v>
      </c>
      <c r="D21" s="45">
        <f t="shared" ref="D21:D31" si="86">C20-C21</f>
        <v>7</v>
      </c>
      <c r="E21" s="45">
        <f t="shared" si="8"/>
        <v>58.660000000000004</v>
      </c>
      <c r="F21" s="584">
        <f t="shared" si="9"/>
        <v>1833</v>
      </c>
      <c r="G21" s="52">
        <f t="shared" si="0"/>
        <v>0</v>
      </c>
      <c r="H21" s="584">
        <f t="shared" si="10"/>
        <v>12841</v>
      </c>
      <c r="I21" s="396">
        <f t="shared" si="1"/>
        <v>0</v>
      </c>
      <c r="J21" s="66">
        <f t="shared" si="11"/>
        <v>0</v>
      </c>
      <c r="K21" s="584">
        <v>2324</v>
      </c>
      <c r="L21" s="52">
        <f t="shared" si="12"/>
        <v>1</v>
      </c>
      <c r="M21" s="584">
        <v>171322</v>
      </c>
      <c r="N21" s="396">
        <f t="shared" si="2"/>
        <v>37</v>
      </c>
      <c r="O21" s="64">
        <f t="shared" si="13"/>
        <v>1869</v>
      </c>
      <c r="P21" s="584">
        <f t="shared" si="81"/>
        <v>2089</v>
      </c>
      <c r="Q21" s="584">
        <v>175710</v>
      </c>
      <c r="R21" s="395">
        <f t="shared" si="52"/>
        <v>56</v>
      </c>
      <c r="S21" s="52">
        <f t="shared" si="4"/>
        <v>0</v>
      </c>
      <c r="T21" s="67">
        <f t="shared" si="33"/>
        <v>0</v>
      </c>
      <c r="U21" s="402">
        <f t="shared" si="14"/>
        <v>1</v>
      </c>
      <c r="V21" s="62">
        <f t="shared" si="15"/>
        <v>93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138897</v>
      </c>
      <c r="AA21" s="65">
        <f t="shared" si="5"/>
        <v>0</v>
      </c>
      <c r="AB21" s="284">
        <f t="shared" si="74"/>
        <v>0</v>
      </c>
      <c r="AC21" s="584">
        <f t="shared" ref="AC21:AE21" si="87">AC20</f>
        <v>1936</v>
      </c>
      <c r="AD21" s="45">
        <f t="shared" si="6"/>
        <v>0</v>
      </c>
      <c r="AE21" s="584">
        <f t="shared" si="87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93</v>
      </c>
      <c r="AJ21" s="318">
        <f>-tanks!AW22</f>
        <v>93</v>
      </c>
      <c r="AK21" s="318">
        <f t="shared" si="23"/>
        <v>0</v>
      </c>
      <c r="AL21" s="318">
        <f t="shared" si="7"/>
        <v>1</v>
      </c>
      <c r="AM21" s="318">
        <f t="shared" si="24"/>
        <v>0</v>
      </c>
      <c r="AN21" s="584">
        <f t="shared" ref="AN21:AP21" si="88">AN20</f>
        <v>67</v>
      </c>
      <c r="AO21" s="320">
        <f t="shared" si="26"/>
        <v>2010.0000000000002</v>
      </c>
      <c r="AP21" s="584">
        <f t="shared" si="88"/>
        <v>55</v>
      </c>
      <c r="AQ21" s="320">
        <f t="shared" si="27"/>
        <v>1650.0000000000002</v>
      </c>
      <c r="AR21" s="584">
        <f t="shared" ref="AR21" si="89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v>179</v>
      </c>
      <c r="C22" s="584">
        <v>186</v>
      </c>
      <c r="D22" s="45">
        <f t="shared" si="86"/>
        <v>8</v>
      </c>
      <c r="E22" s="45">
        <f t="shared" si="8"/>
        <v>67.040000000000006</v>
      </c>
      <c r="F22" s="584">
        <v>1835</v>
      </c>
      <c r="G22" s="52">
        <f t="shared" si="0"/>
        <v>2</v>
      </c>
      <c r="H22" s="584">
        <v>12933</v>
      </c>
      <c r="I22" s="396">
        <f t="shared" si="1"/>
        <v>92</v>
      </c>
      <c r="J22" s="66">
        <f t="shared" si="11"/>
        <v>46</v>
      </c>
      <c r="K22" s="584">
        <f t="shared" si="31"/>
        <v>2324</v>
      </c>
      <c r="L22" s="52">
        <f t="shared" si="12"/>
        <v>0</v>
      </c>
      <c r="M22" s="584">
        <f t="shared" si="32"/>
        <v>171322</v>
      </c>
      <c r="N22" s="396">
        <f t="shared" si="2"/>
        <v>0</v>
      </c>
      <c r="O22" s="64">
        <f t="shared" si="13"/>
        <v>1869</v>
      </c>
      <c r="P22" s="584">
        <v>2090</v>
      </c>
      <c r="Q22" s="584">
        <v>175754</v>
      </c>
      <c r="R22" s="395">
        <f t="shared" si="52"/>
        <v>44</v>
      </c>
      <c r="S22" s="52">
        <f t="shared" si="4"/>
        <v>1</v>
      </c>
      <c r="T22" s="67">
        <f t="shared" si="33"/>
        <v>0</v>
      </c>
      <c r="U22" s="402">
        <f t="shared" si="14"/>
        <v>3</v>
      </c>
      <c r="V22" s="62">
        <f t="shared" si="15"/>
        <v>136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138897</v>
      </c>
      <c r="AA22" s="65">
        <f t="shared" si="5"/>
        <v>0</v>
      </c>
      <c r="AB22" s="284">
        <f t="shared" si="74"/>
        <v>0</v>
      </c>
      <c r="AC22" s="584">
        <f t="shared" ref="AC22:AE22" si="90">AC21</f>
        <v>1936</v>
      </c>
      <c r="AD22" s="45">
        <f t="shared" si="6"/>
        <v>0</v>
      </c>
      <c r="AE22" s="584">
        <f t="shared" si="90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136</v>
      </c>
      <c r="AJ22" s="318">
        <f>-tanks!AW23</f>
        <v>136</v>
      </c>
      <c r="AK22" s="318">
        <f t="shared" si="23"/>
        <v>0</v>
      </c>
      <c r="AL22" s="318">
        <f t="shared" si="7"/>
        <v>3</v>
      </c>
      <c r="AM22" s="318">
        <f t="shared" si="24"/>
        <v>0</v>
      </c>
      <c r="AN22" s="584">
        <f t="shared" ref="AN22:AP22" si="91">AN21</f>
        <v>67</v>
      </c>
      <c r="AO22" s="320">
        <f t="shared" si="26"/>
        <v>2010.0000000000002</v>
      </c>
      <c r="AP22" s="584">
        <f t="shared" si="91"/>
        <v>55</v>
      </c>
      <c r="AQ22" s="320">
        <f t="shared" si="27"/>
        <v>1650.0000000000002</v>
      </c>
      <c r="AR22" s="584">
        <f t="shared" ref="AR22" si="92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v>170</v>
      </c>
      <c r="C23" s="584">
        <v>178</v>
      </c>
      <c r="D23" s="45">
        <f t="shared" si="86"/>
        <v>8</v>
      </c>
      <c r="E23" s="45">
        <f t="shared" si="8"/>
        <v>67.040000000000006</v>
      </c>
      <c r="F23" s="584">
        <f t="shared" si="9"/>
        <v>1835</v>
      </c>
      <c r="G23" s="52">
        <f t="shared" si="0"/>
        <v>0</v>
      </c>
      <c r="H23" s="584">
        <f t="shared" si="10"/>
        <v>12933</v>
      </c>
      <c r="I23" s="396">
        <f t="shared" si="1"/>
        <v>0</v>
      </c>
      <c r="J23" s="66">
        <f t="shared" si="11"/>
        <v>0</v>
      </c>
      <c r="K23" s="584">
        <v>2325</v>
      </c>
      <c r="L23" s="52">
        <f t="shared" si="12"/>
        <v>1</v>
      </c>
      <c r="M23" s="584">
        <v>171417</v>
      </c>
      <c r="N23" s="396">
        <f t="shared" si="2"/>
        <v>95</v>
      </c>
      <c r="O23" s="64">
        <f t="shared" si="13"/>
        <v>1869</v>
      </c>
      <c r="P23" s="584">
        <f t="shared" si="81"/>
        <v>2090</v>
      </c>
      <c r="Q23" s="584">
        <f t="shared" si="82"/>
        <v>175754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1</v>
      </c>
      <c r="V23" s="62">
        <f t="shared" si="15"/>
        <v>95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138897</v>
      </c>
      <c r="AA23" s="65">
        <f t="shared" si="5"/>
        <v>0</v>
      </c>
      <c r="AB23" s="284">
        <f t="shared" si="74"/>
        <v>0</v>
      </c>
      <c r="AC23" s="584">
        <f t="shared" ref="AC23:AE23" si="93">AC22</f>
        <v>1936</v>
      </c>
      <c r="AD23" s="45">
        <f t="shared" si="6"/>
        <v>0</v>
      </c>
      <c r="AE23" s="584">
        <f t="shared" si="93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4">SUM(AH23+V23)</f>
        <v>95</v>
      </c>
      <c r="AJ23" s="318">
        <f>-tanks!AW24</f>
        <v>95</v>
      </c>
      <c r="AK23" s="318">
        <f t="shared" ref="AK23" si="95">SUM(AJ23-AI23)</f>
        <v>0</v>
      </c>
      <c r="AL23" s="318">
        <f t="shared" ref="AL23" si="96">S23+L23+G23</f>
        <v>1</v>
      </c>
      <c r="AM23" s="318">
        <f t="shared" ref="AM23" si="97">Y23+AD23</f>
        <v>0</v>
      </c>
      <c r="AN23" s="584">
        <f t="shared" ref="AN23:AP23" si="98">AN22</f>
        <v>67</v>
      </c>
      <c r="AO23" s="320">
        <f t="shared" si="26"/>
        <v>2010.0000000000002</v>
      </c>
      <c r="AP23" s="584">
        <f t="shared" si="98"/>
        <v>55</v>
      </c>
      <c r="AQ23" s="320">
        <f t="shared" si="27"/>
        <v>1650.0000000000002</v>
      </c>
      <c r="AR23" s="584">
        <f t="shared" ref="AR23" si="99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f t="shared" ref="B24:B35" si="100">B23</f>
        <v>170</v>
      </c>
      <c r="C24" s="584">
        <f t="shared" ref="C24:C35" si="101">C23</f>
        <v>178</v>
      </c>
      <c r="D24" s="45">
        <f t="shared" si="86"/>
        <v>0</v>
      </c>
      <c r="E24" s="45">
        <f t="shared" si="8"/>
        <v>0</v>
      </c>
      <c r="F24" s="584">
        <f t="shared" si="9"/>
        <v>1835</v>
      </c>
      <c r="G24" s="52">
        <f t="shared" si="0"/>
        <v>0</v>
      </c>
      <c r="H24" s="584">
        <f t="shared" si="10"/>
        <v>12933</v>
      </c>
      <c r="I24" s="396">
        <f t="shared" si="1"/>
        <v>0</v>
      </c>
      <c r="J24" s="66">
        <f t="shared" si="11"/>
        <v>0</v>
      </c>
      <c r="K24" s="584">
        <f t="shared" si="31"/>
        <v>2325</v>
      </c>
      <c r="L24" s="52">
        <f t="shared" si="12"/>
        <v>0</v>
      </c>
      <c r="M24" s="584">
        <f t="shared" si="32"/>
        <v>171417</v>
      </c>
      <c r="N24" s="396">
        <f t="shared" si="2"/>
        <v>0</v>
      </c>
      <c r="O24" s="64">
        <f t="shared" si="13"/>
        <v>1869</v>
      </c>
      <c r="P24" s="584">
        <f t="shared" si="81"/>
        <v>2090</v>
      </c>
      <c r="Q24" s="584">
        <f t="shared" si="82"/>
        <v>175754</v>
      </c>
      <c r="R24" s="395">
        <f t="shared" si="52"/>
        <v>0</v>
      </c>
      <c r="S24" s="52">
        <f t="shared" si="4"/>
        <v>0</v>
      </c>
      <c r="T24" s="67">
        <f t="shared" si="33"/>
        <v>0</v>
      </c>
      <c r="U24" s="402">
        <f t="shared" si="14"/>
        <v>0</v>
      </c>
      <c r="V24" s="62">
        <f t="shared" si="15"/>
        <v>0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138897</v>
      </c>
      <c r="AA24" s="65">
        <f t="shared" si="5"/>
        <v>0</v>
      </c>
      <c r="AB24" s="284">
        <f t="shared" ref="AB24:AB32" si="102">SUM(Y24*$AB$2)</f>
        <v>0</v>
      </c>
      <c r="AC24" s="584">
        <f t="shared" ref="AC24:AE24" si="103">AC23</f>
        <v>1936</v>
      </c>
      <c r="AD24" s="45">
        <f t="shared" si="6"/>
        <v>0</v>
      </c>
      <c r="AE24" s="584">
        <f t="shared" si="103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0</v>
      </c>
      <c r="AJ24" s="318">
        <f>-tanks!AW25</f>
        <v>0</v>
      </c>
      <c r="AK24" s="318">
        <f t="shared" si="23"/>
        <v>0</v>
      </c>
      <c r="AL24" s="318">
        <f t="shared" si="7"/>
        <v>0</v>
      </c>
      <c r="AM24" s="318">
        <f t="shared" si="24"/>
        <v>0</v>
      </c>
      <c r="AN24" s="584">
        <f t="shared" ref="AN24:AP24" si="104">AN23</f>
        <v>67</v>
      </c>
      <c r="AO24" s="320">
        <f t="shared" si="26"/>
        <v>2010.0000000000002</v>
      </c>
      <c r="AP24" s="584">
        <f t="shared" si="104"/>
        <v>55</v>
      </c>
      <c r="AQ24" s="320">
        <f t="shared" si="27"/>
        <v>1650.0000000000002</v>
      </c>
      <c r="AR24" s="584">
        <f t="shared" ref="AR24" si="105">AR23</f>
        <v>61</v>
      </c>
      <c r="AS24" s="320">
        <f t="shared" si="40"/>
        <v>1830</v>
      </c>
      <c r="AT24" s="320">
        <f t="shared" ref="AT24:AT32" si="106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f t="shared" si="100"/>
        <v>170</v>
      </c>
      <c r="C25" s="584">
        <f t="shared" si="101"/>
        <v>178</v>
      </c>
      <c r="D25" s="45">
        <f t="shared" si="86"/>
        <v>0</v>
      </c>
      <c r="E25" s="45">
        <f t="shared" si="8"/>
        <v>0</v>
      </c>
      <c r="F25" s="584">
        <f t="shared" si="9"/>
        <v>1835</v>
      </c>
      <c r="G25" s="52">
        <f t="shared" si="0"/>
        <v>0</v>
      </c>
      <c r="H25" s="584">
        <f t="shared" si="10"/>
        <v>12933</v>
      </c>
      <c r="I25" s="396">
        <f t="shared" si="1"/>
        <v>0</v>
      </c>
      <c r="J25" s="66">
        <f t="shared" si="11"/>
        <v>0</v>
      </c>
      <c r="K25" s="584">
        <f t="shared" si="31"/>
        <v>2325</v>
      </c>
      <c r="L25" s="52">
        <f t="shared" si="12"/>
        <v>0</v>
      </c>
      <c r="M25" s="584">
        <f t="shared" si="32"/>
        <v>171417</v>
      </c>
      <c r="N25" s="396">
        <f t="shared" si="2"/>
        <v>0</v>
      </c>
      <c r="O25" s="64">
        <f>O24</f>
        <v>1869</v>
      </c>
      <c r="P25" s="584">
        <f t="shared" si="81"/>
        <v>2090</v>
      </c>
      <c r="Q25" s="584">
        <f t="shared" si="82"/>
        <v>175754</v>
      </c>
      <c r="R25" s="395">
        <f t="shared" si="52"/>
        <v>0</v>
      </c>
      <c r="S25" s="52">
        <f t="shared" si="4"/>
        <v>0</v>
      </c>
      <c r="T25" s="67">
        <f t="shared" si="33"/>
        <v>0</v>
      </c>
      <c r="U25" s="402">
        <f t="shared" si="14"/>
        <v>0</v>
      </c>
      <c r="V25" s="62">
        <f t="shared" si="15"/>
        <v>0</v>
      </c>
      <c r="W25" s="400"/>
      <c r="X25" s="584">
        <f t="shared" si="17"/>
        <v>2467</v>
      </c>
      <c r="Y25" s="52">
        <f t="shared" si="18"/>
        <v>0</v>
      </c>
      <c r="Z25" s="584">
        <f t="shared" si="19"/>
        <v>138897</v>
      </c>
      <c r="AA25" s="65">
        <f t="shared" si="5"/>
        <v>0</v>
      </c>
      <c r="AB25" s="284">
        <f t="shared" si="102"/>
        <v>0</v>
      </c>
      <c r="AC25" s="584">
        <f t="shared" ref="AC25:AE25" si="107">AC24</f>
        <v>1936</v>
      </c>
      <c r="AD25" s="45">
        <f t="shared" si="6"/>
        <v>0</v>
      </c>
      <c r="AE25" s="584">
        <f t="shared" si="107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0</v>
      </c>
      <c r="AI25" s="318">
        <f t="shared" si="22"/>
        <v>0</v>
      </c>
      <c r="AJ25" s="318">
        <f>-tanks!AW26</f>
        <v>0</v>
      </c>
      <c r="AK25" s="318">
        <f t="shared" si="23"/>
        <v>0</v>
      </c>
      <c r="AL25" s="318">
        <f t="shared" si="7"/>
        <v>0</v>
      </c>
      <c r="AM25" s="318">
        <f t="shared" si="24"/>
        <v>0</v>
      </c>
      <c r="AN25" s="584">
        <f t="shared" ref="AN25:AP25" si="108">AN24</f>
        <v>67</v>
      </c>
      <c r="AO25" s="320">
        <f t="shared" si="26"/>
        <v>2010.0000000000002</v>
      </c>
      <c r="AP25" s="584">
        <f t="shared" si="108"/>
        <v>55</v>
      </c>
      <c r="AQ25" s="320">
        <f t="shared" ref="AQ25:AQ32" si="109">(AP25/100)*3000</f>
        <v>1650.0000000000002</v>
      </c>
      <c r="AR25" s="584">
        <f t="shared" ref="AR25" si="110">AR24</f>
        <v>61</v>
      </c>
      <c r="AS25" s="320">
        <f t="shared" si="40"/>
        <v>1830</v>
      </c>
      <c r="AT25" s="320">
        <f t="shared" si="106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f t="shared" si="100"/>
        <v>170</v>
      </c>
      <c r="C26" s="584">
        <f t="shared" si="101"/>
        <v>178</v>
      </c>
      <c r="D26" s="45">
        <f t="shared" si="86"/>
        <v>0</v>
      </c>
      <c r="E26" s="45">
        <f t="shared" si="8"/>
        <v>0</v>
      </c>
      <c r="F26" s="584">
        <f t="shared" si="9"/>
        <v>1835</v>
      </c>
      <c r="G26" s="52">
        <f t="shared" si="0"/>
        <v>0</v>
      </c>
      <c r="H26" s="584">
        <f t="shared" si="10"/>
        <v>12933</v>
      </c>
      <c r="I26" s="396">
        <f t="shared" si="1"/>
        <v>0</v>
      </c>
      <c r="J26" s="66">
        <f t="shared" si="11"/>
        <v>0</v>
      </c>
      <c r="K26" s="584">
        <f t="shared" si="31"/>
        <v>2325</v>
      </c>
      <c r="L26" s="52">
        <f t="shared" si="12"/>
        <v>0</v>
      </c>
      <c r="M26" s="584">
        <f t="shared" si="32"/>
        <v>171417</v>
      </c>
      <c r="N26" s="396">
        <f t="shared" si="2"/>
        <v>0</v>
      </c>
      <c r="O26" s="64">
        <f t="shared" si="13"/>
        <v>1869</v>
      </c>
      <c r="P26" s="584">
        <f t="shared" si="81"/>
        <v>2090</v>
      </c>
      <c r="Q26" s="584">
        <f t="shared" si="82"/>
        <v>175754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0</v>
      </c>
      <c r="V26" s="62">
        <f t="shared" si="15"/>
        <v>0</v>
      </c>
      <c r="W26" s="400"/>
      <c r="X26" s="584">
        <f t="shared" si="17"/>
        <v>2467</v>
      </c>
      <c r="Y26" s="52">
        <f t="shared" si="18"/>
        <v>0</v>
      </c>
      <c r="Z26" s="584">
        <f t="shared" si="19"/>
        <v>138897</v>
      </c>
      <c r="AA26" s="65">
        <f t="shared" si="5"/>
        <v>0</v>
      </c>
      <c r="AB26" s="284">
        <f t="shared" si="102"/>
        <v>0</v>
      </c>
      <c r="AC26" s="584">
        <f t="shared" ref="AC26:AE26" si="111">AC25</f>
        <v>1936</v>
      </c>
      <c r="AD26" s="45">
        <f t="shared" si="6"/>
        <v>0</v>
      </c>
      <c r="AE26" s="584">
        <f t="shared" si="111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0</v>
      </c>
      <c r="AJ26" s="318">
        <f>-tanks!AW27</f>
        <v>0</v>
      </c>
      <c r="AK26" s="318">
        <f t="shared" si="23"/>
        <v>0</v>
      </c>
      <c r="AL26" s="318">
        <f t="shared" si="7"/>
        <v>0</v>
      </c>
      <c r="AM26" s="318">
        <f t="shared" si="24"/>
        <v>0</v>
      </c>
      <c r="AN26" s="584">
        <f t="shared" ref="AN26:AP26" si="112">AN25</f>
        <v>67</v>
      </c>
      <c r="AO26" s="320">
        <f t="shared" si="26"/>
        <v>2010.0000000000002</v>
      </c>
      <c r="AP26" s="584">
        <f t="shared" si="112"/>
        <v>55</v>
      </c>
      <c r="AQ26" s="320">
        <f t="shared" si="109"/>
        <v>1650.0000000000002</v>
      </c>
      <c r="AR26" s="584">
        <f t="shared" ref="AR26" si="113">AR25</f>
        <v>61</v>
      </c>
      <c r="AS26" s="320">
        <f t="shared" si="40"/>
        <v>1830</v>
      </c>
      <c r="AT26" s="320">
        <f t="shared" si="106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f t="shared" si="100"/>
        <v>170</v>
      </c>
      <c r="C27" s="584">
        <f t="shared" si="101"/>
        <v>178</v>
      </c>
      <c r="D27" s="45">
        <f t="shared" si="86"/>
        <v>0</v>
      </c>
      <c r="E27" s="45">
        <f t="shared" si="8"/>
        <v>0</v>
      </c>
      <c r="F27" s="584">
        <f t="shared" si="9"/>
        <v>1835</v>
      </c>
      <c r="G27" s="52">
        <f t="shared" si="0"/>
        <v>0</v>
      </c>
      <c r="H27" s="584">
        <f t="shared" si="10"/>
        <v>12933</v>
      </c>
      <c r="I27" s="396">
        <f t="shared" si="1"/>
        <v>0</v>
      </c>
      <c r="J27" s="66">
        <f t="shared" si="11"/>
        <v>0</v>
      </c>
      <c r="K27" s="584">
        <f t="shared" si="31"/>
        <v>2325</v>
      </c>
      <c r="L27" s="52">
        <f t="shared" si="12"/>
        <v>0</v>
      </c>
      <c r="M27" s="584">
        <f t="shared" si="32"/>
        <v>171417</v>
      </c>
      <c r="N27" s="396">
        <f t="shared" si="2"/>
        <v>0</v>
      </c>
      <c r="O27" s="64">
        <f t="shared" si="13"/>
        <v>1869</v>
      </c>
      <c r="P27" s="584">
        <f t="shared" si="81"/>
        <v>2090</v>
      </c>
      <c r="Q27" s="584">
        <f t="shared" si="82"/>
        <v>175754</v>
      </c>
      <c r="R27" s="395">
        <f t="shared" si="52"/>
        <v>0</v>
      </c>
      <c r="S27" s="52">
        <f t="shared" si="4"/>
        <v>0</v>
      </c>
      <c r="T27" s="67">
        <f t="shared" si="33"/>
        <v>0</v>
      </c>
      <c r="U27" s="402">
        <f t="shared" si="14"/>
        <v>0</v>
      </c>
      <c r="V27" s="62">
        <f t="shared" si="15"/>
        <v>0</v>
      </c>
      <c r="W27" s="400"/>
      <c r="X27" s="584">
        <f t="shared" si="17"/>
        <v>2467</v>
      </c>
      <c r="Y27" s="52">
        <f t="shared" si="18"/>
        <v>0</v>
      </c>
      <c r="Z27" s="584">
        <f t="shared" si="19"/>
        <v>138897</v>
      </c>
      <c r="AA27" s="65">
        <f t="shared" si="5"/>
        <v>0</v>
      </c>
      <c r="AB27" s="284">
        <f t="shared" si="102"/>
        <v>0</v>
      </c>
      <c r="AC27" s="584">
        <f t="shared" ref="AC27:AE27" si="114">AC26</f>
        <v>1936</v>
      </c>
      <c r="AD27" s="45">
        <f t="shared" si="6"/>
        <v>0</v>
      </c>
      <c r="AE27" s="584">
        <f t="shared" si="114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0</v>
      </c>
      <c r="AJ27" s="318">
        <f>-tanks!AW28</f>
        <v>0</v>
      </c>
      <c r="AK27" s="318">
        <f t="shared" si="23"/>
        <v>0</v>
      </c>
      <c r="AL27" s="318">
        <f t="shared" si="7"/>
        <v>0</v>
      </c>
      <c r="AM27" s="318">
        <f t="shared" si="24"/>
        <v>0</v>
      </c>
      <c r="AN27" s="584">
        <f t="shared" ref="AN27:AP27" si="115">AN26</f>
        <v>67</v>
      </c>
      <c r="AO27" s="320">
        <f>(AN27/100)*3000</f>
        <v>2010.0000000000002</v>
      </c>
      <c r="AP27" s="584">
        <f t="shared" si="115"/>
        <v>55</v>
      </c>
      <c r="AQ27" s="320">
        <f t="shared" si="109"/>
        <v>1650.0000000000002</v>
      </c>
      <c r="AR27" s="584">
        <f t="shared" ref="AR27" si="116">AR26</f>
        <v>61</v>
      </c>
      <c r="AS27" s="320">
        <f t="shared" si="40"/>
        <v>1830</v>
      </c>
      <c r="AT27" s="320">
        <f t="shared" si="106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f t="shared" si="100"/>
        <v>170</v>
      </c>
      <c r="C28" s="584">
        <f t="shared" si="101"/>
        <v>178</v>
      </c>
      <c r="D28" s="45">
        <f t="shared" si="86"/>
        <v>0</v>
      </c>
      <c r="E28" s="45">
        <f t="shared" si="8"/>
        <v>0</v>
      </c>
      <c r="F28" s="584">
        <f t="shared" si="9"/>
        <v>1835</v>
      </c>
      <c r="G28" s="52">
        <f t="shared" si="0"/>
        <v>0</v>
      </c>
      <c r="H28" s="584">
        <f t="shared" si="10"/>
        <v>12933</v>
      </c>
      <c r="I28" s="396">
        <f t="shared" si="1"/>
        <v>0</v>
      </c>
      <c r="J28" s="66">
        <f t="shared" si="11"/>
        <v>0</v>
      </c>
      <c r="K28" s="584">
        <f t="shared" si="31"/>
        <v>2325</v>
      </c>
      <c r="L28" s="52">
        <f t="shared" si="12"/>
        <v>0</v>
      </c>
      <c r="M28" s="584">
        <f t="shared" si="32"/>
        <v>171417</v>
      </c>
      <c r="N28" s="396">
        <f t="shared" si="2"/>
        <v>0</v>
      </c>
      <c r="O28" s="64">
        <f t="shared" si="13"/>
        <v>1869</v>
      </c>
      <c r="P28" s="584">
        <f t="shared" si="81"/>
        <v>2090</v>
      </c>
      <c r="Q28" s="584">
        <f t="shared" si="82"/>
        <v>175754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0</v>
      </c>
      <c r="V28" s="62">
        <f t="shared" si="15"/>
        <v>0</v>
      </c>
      <c r="W28" s="400"/>
      <c r="X28" s="584">
        <f t="shared" si="17"/>
        <v>2467</v>
      </c>
      <c r="Y28" s="52">
        <f t="shared" si="18"/>
        <v>0</v>
      </c>
      <c r="Z28" s="584">
        <f t="shared" si="19"/>
        <v>138897</v>
      </c>
      <c r="AA28" s="65">
        <f t="shared" si="5"/>
        <v>0</v>
      </c>
      <c r="AB28" s="284">
        <f t="shared" si="102"/>
        <v>0</v>
      </c>
      <c r="AC28" s="584">
        <f t="shared" ref="AC28:AE28" si="117">AC27</f>
        <v>1936</v>
      </c>
      <c r="AD28" s="45">
        <f t="shared" si="6"/>
        <v>0</v>
      </c>
      <c r="AE28" s="584">
        <f t="shared" si="117"/>
        <v>365520.8</v>
      </c>
      <c r="AF28" s="306">
        <f t="shared" si="21"/>
        <v>0</v>
      </c>
      <c r="AG28" s="209">
        <f t="shared" si="36"/>
        <v>0</v>
      </c>
      <c r="AH28" s="62">
        <f t="shared" si="37"/>
        <v>0</v>
      </c>
      <c r="AI28" s="318">
        <f t="shared" si="22"/>
        <v>0</v>
      </c>
      <c r="AJ28" s="318">
        <f>-tanks!AW29</f>
        <v>0</v>
      </c>
      <c r="AK28" s="318">
        <f t="shared" si="23"/>
        <v>0</v>
      </c>
      <c r="AL28" s="318">
        <f t="shared" si="7"/>
        <v>0</v>
      </c>
      <c r="AM28" s="318">
        <f t="shared" si="24"/>
        <v>0</v>
      </c>
      <c r="AN28" s="584">
        <f t="shared" ref="AN28:AP28" si="118">AN27</f>
        <v>67</v>
      </c>
      <c r="AO28" s="320">
        <f t="shared" ref="AO28:AO32" si="119">(AN28/100)*3000</f>
        <v>2010.0000000000002</v>
      </c>
      <c r="AP28" s="584">
        <f t="shared" si="118"/>
        <v>55</v>
      </c>
      <c r="AQ28" s="320">
        <f t="shared" si="109"/>
        <v>1650.0000000000002</v>
      </c>
      <c r="AR28" s="584">
        <f t="shared" ref="AR28" si="120">AR27</f>
        <v>61</v>
      </c>
      <c r="AS28" s="320">
        <f t="shared" si="40"/>
        <v>1830</v>
      </c>
      <c r="AT28" s="320">
        <f t="shared" si="106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f t="shared" si="100"/>
        <v>170</v>
      </c>
      <c r="C29" s="584">
        <f t="shared" si="101"/>
        <v>178</v>
      </c>
      <c r="D29" s="45">
        <f t="shared" si="86"/>
        <v>0</v>
      </c>
      <c r="E29" s="45">
        <f t="shared" si="8"/>
        <v>0</v>
      </c>
      <c r="F29" s="584">
        <f t="shared" si="9"/>
        <v>1835</v>
      </c>
      <c r="G29" s="52">
        <f t="shared" si="0"/>
        <v>0</v>
      </c>
      <c r="H29" s="584">
        <f t="shared" si="10"/>
        <v>12933</v>
      </c>
      <c r="I29" s="396">
        <f t="shared" si="1"/>
        <v>0</v>
      </c>
      <c r="J29" s="66">
        <f t="shared" si="11"/>
        <v>0</v>
      </c>
      <c r="K29" s="584">
        <f t="shared" si="31"/>
        <v>2325</v>
      </c>
      <c r="L29" s="52">
        <f t="shared" si="12"/>
        <v>0</v>
      </c>
      <c r="M29" s="584">
        <f t="shared" si="32"/>
        <v>171417</v>
      </c>
      <c r="N29" s="396">
        <f t="shared" si="2"/>
        <v>0</v>
      </c>
      <c r="O29" s="64">
        <f t="shared" si="13"/>
        <v>1869</v>
      </c>
      <c r="P29" s="584">
        <f t="shared" si="81"/>
        <v>2090</v>
      </c>
      <c r="Q29" s="584">
        <f t="shared" si="82"/>
        <v>175754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0</v>
      </c>
      <c r="V29" s="62">
        <f t="shared" si="15"/>
        <v>0</v>
      </c>
      <c r="W29" s="400"/>
      <c r="X29" s="584">
        <f t="shared" si="17"/>
        <v>2467</v>
      </c>
      <c r="Y29" s="52">
        <f t="shared" si="18"/>
        <v>0</v>
      </c>
      <c r="Z29" s="584">
        <f t="shared" si="19"/>
        <v>138897</v>
      </c>
      <c r="AA29" s="65">
        <f t="shared" si="5"/>
        <v>0</v>
      </c>
      <c r="AB29" s="284">
        <f t="shared" si="102"/>
        <v>0</v>
      </c>
      <c r="AC29" s="584">
        <f t="shared" ref="AC29:AE29" si="121">AC28</f>
        <v>1936</v>
      </c>
      <c r="AD29" s="45">
        <f t="shared" si="6"/>
        <v>0</v>
      </c>
      <c r="AE29" s="584">
        <f t="shared" si="121"/>
        <v>365520.8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0</v>
      </c>
      <c r="AJ29" s="318">
        <f>-tanks!AW30</f>
        <v>0</v>
      </c>
      <c r="AK29" s="318">
        <f t="shared" si="23"/>
        <v>0</v>
      </c>
      <c r="AL29" s="318">
        <f t="shared" si="7"/>
        <v>0</v>
      </c>
      <c r="AM29" s="318">
        <f t="shared" si="24"/>
        <v>0</v>
      </c>
      <c r="AN29" s="584">
        <f t="shared" ref="AN29:AP29" si="122">AN28</f>
        <v>67</v>
      </c>
      <c r="AO29" s="320">
        <f t="shared" si="119"/>
        <v>2010.0000000000002</v>
      </c>
      <c r="AP29" s="584">
        <f t="shared" si="122"/>
        <v>55</v>
      </c>
      <c r="AQ29" s="320">
        <f t="shared" si="109"/>
        <v>1650.0000000000002</v>
      </c>
      <c r="AR29" s="584">
        <f t="shared" ref="AR29" si="123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f t="shared" si="100"/>
        <v>170</v>
      </c>
      <c r="C30" s="584">
        <f t="shared" si="101"/>
        <v>178</v>
      </c>
      <c r="D30" s="45">
        <f t="shared" si="86"/>
        <v>0</v>
      </c>
      <c r="E30" s="45">
        <f t="shared" si="8"/>
        <v>0</v>
      </c>
      <c r="F30" s="584">
        <f t="shared" si="9"/>
        <v>1835</v>
      </c>
      <c r="G30" s="52">
        <f t="shared" si="0"/>
        <v>0</v>
      </c>
      <c r="H30" s="584">
        <f t="shared" si="10"/>
        <v>12933</v>
      </c>
      <c r="I30" s="396">
        <f t="shared" si="1"/>
        <v>0</v>
      </c>
      <c r="J30" s="66">
        <f t="shared" si="11"/>
        <v>0</v>
      </c>
      <c r="K30" s="584">
        <f t="shared" si="31"/>
        <v>2325</v>
      </c>
      <c r="L30" s="52">
        <f t="shared" si="12"/>
        <v>0</v>
      </c>
      <c r="M30" s="584">
        <f t="shared" si="32"/>
        <v>171417</v>
      </c>
      <c r="N30" s="396">
        <f t="shared" si="2"/>
        <v>0</v>
      </c>
      <c r="O30" s="64">
        <f t="shared" si="13"/>
        <v>1869</v>
      </c>
      <c r="P30" s="584">
        <f t="shared" si="81"/>
        <v>2090</v>
      </c>
      <c r="Q30" s="584">
        <f t="shared" si="82"/>
        <v>175754</v>
      </c>
      <c r="R30" s="395">
        <f t="shared" si="52"/>
        <v>0</v>
      </c>
      <c r="S30" s="52">
        <f t="shared" si="4"/>
        <v>0</v>
      </c>
      <c r="T30" s="67">
        <f t="shared" si="33"/>
        <v>0</v>
      </c>
      <c r="U30" s="402">
        <f t="shared" si="14"/>
        <v>0</v>
      </c>
      <c r="V30" s="62">
        <f t="shared" si="15"/>
        <v>0</v>
      </c>
      <c r="W30" s="400"/>
      <c r="X30" s="584">
        <f t="shared" si="17"/>
        <v>2467</v>
      </c>
      <c r="Y30" s="52">
        <f t="shared" si="18"/>
        <v>0</v>
      </c>
      <c r="Z30" s="584">
        <f t="shared" si="19"/>
        <v>138897</v>
      </c>
      <c r="AA30" s="65">
        <f t="shared" si="5"/>
        <v>0</v>
      </c>
      <c r="AB30" s="284">
        <f t="shared" si="102"/>
        <v>0</v>
      </c>
      <c r="AC30" s="584">
        <f t="shared" ref="AC30:AE30" si="124">AC29</f>
        <v>1936</v>
      </c>
      <c r="AD30" s="45">
        <f t="shared" si="6"/>
        <v>0</v>
      </c>
      <c r="AE30" s="584">
        <f t="shared" si="124"/>
        <v>365520.8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0</v>
      </c>
      <c r="AJ30" s="318">
        <f>-tanks!AW31</f>
        <v>0</v>
      </c>
      <c r="AK30" s="318">
        <f t="shared" si="23"/>
        <v>0</v>
      </c>
      <c r="AL30" s="318">
        <f t="shared" si="7"/>
        <v>0</v>
      </c>
      <c r="AM30" s="318">
        <f t="shared" si="24"/>
        <v>0</v>
      </c>
      <c r="AN30" s="584">
        <f t="shared" ref="AN30:AP30" si="125">AN29</f>
        <v>67</v>
      </c>
      <c r="AO30" s="320">
        <f t="shared" si="119"/>
        <v>2010.0000000000002</v>
      </c>
      <c r="AP30" s="584">
        <f t="shared" si="125"/>
        <v>55</v>
      </c>
      <c r="AQ30" s="320">
        <f t="shared" si="109"/>
        <v>1650.0000000000002</v>
      </c>
      <c r="AR30" s="584">
        <f t="shared" ref="AR30" si="126">AR29</f>
        <v>61</v>
      </c>
      <c r="AS30" s="320">
        <f t="shared" si="40"/>
        <v>1830</v>
      </c>
      <c r="AT30" s="320">
        <f t="shared" si="106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f t="shared" si="100"/>
        <v>170</v>
      </c>
      <c r="C31" s="584">
        <f t="shared" si="101"/>
        <v>178</v>
      </c>
      <c r="D31" s="45">
        <f t="shared" si="86"/>
        <v>0</v>
      </c>
      <c r="E31" s="45">
        <f t="shared" si="8"/>
        <v>0</v>
      </c>
      <c r="F31" s="584">
        <f t="shared" si="9"/>
        <v>1835</v>
      </c>
      <c r="G31" s="52">
        <f t="shared" si="0"/>
        <v>0</v>
      </c>
      <c r="H31" s="584">
        <f t="shared" si="10"/>
        <v>12933</v>
      </c>
      <c r="I31" s="396">
        <f t="shared" si="1"/>
        <v>0</v>
      </c>
      <c r="J31" s="66">
        <f t="shared" si="11"/>
        <v>0</v>
      </c>
      <c r="K31" s="584">
        <f t="shared" si="31"/>
        <v>2325</v>
      </c>
      <c r="L31" s="52">
        <f t="shared" si="12"/>
        <v>0</v>
      </c>
      <c r="M31" s="584">
        <f t="shared" si="32"/>
        <v>171417</v>
      </c>
      <c r="N31" s="396">
        <f t="shared" si="2"/>
        <v>0</v>
      </c>
      <c r="O31" s="64">
        <f t="shared" si="13"/>
        <v>1869</v>
      </c>
      <c r="P31" s="584">
        <f t="shared" si="81"/>
        <v>2090</v>
      </c>
      <c r="Q31" s="584">
        <f t="shared" si="82"/>
        <v>175754</v>
      </c>
      <c r="R31" s="395">
        <f t="shared" si="52"/>
        <v>0</v>
      </c>
      <c r="S31" s="52">
        <f t="shared" si="4"/>
        <v>0</v>
      </c>
      <c r="T31" s="67">
        <f t="shared" si="33"/>
        <v>0</v>
      </c>
      <c r="U31" s="402">
        <f t="shared" si="14"/>
        <v>0</v>
      </c>
      <c r="V31" s="62">
        <f t="shared" si="15"/>
        <v>0</v>
      </c>
      <c r="W31" s="400"/>
      <c r="X31" s="584">
        <f t="shared" si="17"/>
        <v>2467</v>
      </c>
      <c r="Y31" s="52">
        <f t="shared" si="18"/>
        <v>0</v>
      </c>
      <c r="Z31" s="584">
        <f t="shared" si="19"/>
        <v>138897</v>
      </c>
      <c r="AA31" s="65">
        <f t="shared" si="5"/>
        <v>0</v>
      </c>
      <c r="AB31" s="284">
        <f t="shared" si="102"/>
        <v>0</v>
      </c>
      <c r="AC31" s="584">
        <f t="shared" ref="AC31:AE31" si="127">AC30</f>
        <v>1936</v>
      </c>
      <c r="AD31" s="269">
        <f t="shared" si="6"/>
        <v>0</v>
      </c>
      <c r="AE31" s="584">
        <f t="shared" si="127"/>
        <v>365520.8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0</v>
      </c>
      <c r="AJ31" s="318">
        <f>-tanks!AW32</f>
        <v>0</v>
      </c>
      <c r="AK31" s="318">
        <f t="shared" si="23"/>
        <v>0</v>
      </c>
      <c r="AL31" s="318">
        <f t="shared" si="7"/>
        <v>0</v>
      </c>
      <c r="AM31" s="318">
        <f t="shared" si="24"/>
        <v>0</v>
      </c>
      <c r="AN31" s="584">
        <f t="shared" ref="AN31:AP31" si="128">AN30</f>
        <v>67</v>
      </c>
      <c r="AO31" s="320">
        <f t="shared" si="119"/>
        <v>2010.0000000000002</v>
      </c>
      <c r="AP31" s="584">
        <f t="shared" si="128"/>
        <v>55</v>
      </c>
      <c r="AQ31" s="320">
        <f t="shared" si="109"/>
        <v>1650.0000000000002</v>
      </c>
      <c r="AR31" s="584">
        <f t="shared" ref="AR31" si="129">AR30</f>
        <v>61</v>
      </c>
      <c r="AS31" s="320">
        <f t="shared" si="40"/>
        <v>1830</v>
      </c>
      <c r="AT31" s="320">
        <f t="shared" si="106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si="100"/>
        <v>170</v>
      </c>
      <c r="C32" s="584">
        <f t="shared" si="101"/>
        <v>178</v>
      </c>
      <c r="D32" s="45">
        <f t="shared" si="30"/>
        <v>0</v>
      </c>
      <c r="E32" s="45">
        <f t="shared" ref="E32" si="130">D32*8.38</f>
        <v>0</v>
      </c>
      <c r="F32" s="584">
        <f t="shared" si="9"/>
        <v>1835</v>
      </c>
      <c r="G32" s="52">
        <f t="shared" si="0"/>
        <v>0</v>
      </c>
      <c r="H32" s="584">
        <f t="shared" si="10"/>
        <v>12933</v>
      </c>
      <c r="I32" s="396">
        <f t="shared" si="1"/>
        <v>0</v>
      </c>
      <c r="J32" s="66">
        <f t="shared" si="11"/>
        <v>0</v>
      </c>
      <c r="K32" s="584">
        <f t="shared" si="31"/>
        <v>2325</v>
      </c>
      <c r="L32" s="52">
        <f t="shared" si="12"/>
        <v>0</v>
      </c>
      <c r="M32" s="584">
        <f t="shared" si="32"/>
        <v>171417</v>
      </c>
      <c r="N32" s="396">
        <f t="shared" si="2"/>
        <v>0</v>
      </c>
      <c r="O32" s="64">
        <f t="shared" si="13"/>
        <v>1869</v>
      </c>
      <c r="P32" s="584">
        <f t="shared" si="81"/>
        <v>2090</v>
      </c>
      <c r="Q32" s="584">
        <f t="shared" si="82"/>
        <v>175754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2467</v>
      </c>
      <c r="Y32" s="52">
        <f t="shared" si="18"/>
        <v>0</v>
      </c>
      <c r="Z32" s="584">
        <f t="shared" si="19"/>
        <v>138897</v>
      </c>
      <c r="AA32" s="65">
        <f t="shared" si="5"/>
        <v>0</v>
      </c>
      <c r="AB32" s="284">
        <f t="shared" si="102"/>
        <v>0</v>
      </c>
      <c r="AC32" s="584">
        <f t="shared" ref="AC32:AE32" si="131">AC31</f>
        <v>1936</v>
      </c>
      <c r="AD32" s="269">
        <f t="shared" si="6"/>
        <v>0</v>
      </c>
      <c r="AE32" s="584">
        <f t="shared" si="131"/>
        <v>365520.8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2">AN31</f>
        <v>67</v>
      </c>
      <c r="AO32" s="320">
        <f t="shared" si="119"/>
        <v>2010.0000000000002</v>
      </c>
      <c r="AP32" s="584">
        <f t="shared" si="132"/>
        <v>55</v>
      </c>
      <c r="AQ32" s="320">
        <f t="shared" si="109"/>
        <v>1650.0000000000002</v>
      </c>
      <c r="AR32" s="584">
        <f t="shared" ref="AR32" si="133">AR31</f>
        <v>61</v>
      </c>
      <c r="AS32" s="320">
        <f t="shared" si="40"/>
        <v>1830</v>
      </c>
      <c r="AT32" s="320">
        <f t="shared" si="106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100"/>
        <v>170</v>
      </c>
      <c r="C33" s="584">
        <f t="shared" si="101"/>
        <v>178</v>
      </c>
      <c r="D33" s="45">
        <f t="shared" ref="D33:D34" si="134">C32-C33</f>
        <v>0</v>
      </c>
      <c r="E33" s="45">
        <f t="shared" ref="E33:E34" si="135">D33*8.38</f>
        <v>0</v>
      </c>
      <c r="F33" s="584">
        <f t="shared" si="9"/>
        <v>1835</v>
      </c>
      <c r="G33" s="52">
        <f t="shared" ref="G33:G34" si="136">F33-F32</f>
        <v>0</v>
      </c>
      <c r="H33" s="584">
        <f t="shared" si="10"/>
        <v>12933</v>
      </c>
      <c r="I33" s="396">
        <f t="shared" ref="I33:I34" si="137">SUM(H33-H32)</f>
        <v>0</v>
      </c>
      <c r="J33" s="66">
        <f t="shared" ref="J33:J34" si="138">IF(G33&gt;0,I33/G33,0)</f>
        <v>0</v>
      </c>
      <c r="K33" s="584">
        <f t="shared" si="31"/>
        <v>2325</v>
      </c>
      <c r="L33" s="52">
        <f t="shared" ref="L33:L34" si="139">K33-K32</f>
        <v>0</v>
      </c>
      <c r="M33" s="584">
        <f t="shared" si="32"/>
        <v>171417</v>
      </c>
      <c r="N33" s="396">
        <f t="shared" ref="N33:N34" si="140">M33-M32</f>
        <v>0</v>
      </c>
      <c r="O33" s="64">
        <f t="shared" ref="O33" si="141">O32</f>
        <v>1869</v>
      </c>
      <c r="P33" s="584">
        <f t="shared" si="81"/>
        <v>2090</v>
      </c>
      <c r="Q33" s="584">
        <f t="shared" si="82"/>
        <v>175754</v>
      </c>
      <c r="R33" s="395">
        <f t="shared" ref="R33:R34" si="142">Q33-Q32</f>
        <v>0</v>
      </c>
      <c r="S33" s="52">
        <f t="shared" ref="S33:S34" si="143">SUM(P33-P32)</f>
        <v>0</v>
      </c>
      <c r="T33" s="67">
        <f t="shared" ref="T33:T34" si="144">SUM(S33*$T$2)</f>
        <v>0</v>
      </c>
      <c r="U33" s="402">
        <f t="shared" ref="U33:U34" si="145">SUM(G33+L33+S33)</f>
        <v>0</v>
      </c>
      <c r="V33" s="62">
        <f t="shared" ref="V33:V34" si="146">R33+N33+I33:I33</f>
        <v>0</v>
      </c>
      <c r="W33" s="400"/>
      <c r="X33" s="584">
        <f t="shared" si="17"/>
        <v>2467</v>
      </c>
      <c r="Y33" s="52">
        <f t="shared" ref="Y33:Y34" si="147">X33-X32</f>
        <v>0</v>
      </c>
      <c r="Z33" s="584">
        <f t="shared" si="19"/>
        <v>138897</v>
      </c>
      <c r="AA33" s="65">
        <f t="shared" ref="AA33:AA34" si="148">Z33-Z32</f>
        <v>0</v>
      </c>
      <c r="AB33" s="284">
        <f t="shared" ref="AB33:AB34" si="149">SUM(Y33*$AB$2)</f>
        <v>0</v>
      </c>
      <c r="AC33" s="584">
        <f t="shared" ref="AC33:AE33" si="150">AC32</f>
        <v>1936</v>
      </c>
      <c r="AD33" s="269">
        <f t="shared" ref="AD33:AD34" si="151">AC33-AC32</f>
        <v>0</v>
      </c>
      <c r="AE33" s="584">
        <f t="shared" si="150"/>
        <v>365520.8</v>
      </c>
      <c r="AF33" s="306">
        <f t="shared" ref="AF33:AF34" si="152">AE33-AE32</f>
        <v>0</v>
      </c>
      <c r="AG33" s="209">
        <f t="shared" ref="AG33:AG34" si="153">IF(AD33&gt;0,AF33/AD33,0)</f>
        <v>0</v>
      </c>
      <c r="AH33" s="62">
        <f t="shared" ref="AH33:AH34" si="154">AF33+AA33</f>
        <v>0</v>
      </c>
      <c r="AI33" s="318">
        <f t="shared" ref="AI33:AI34" si="155">SUM(AH33+V33)</f>
        <v>0</v>
      </c>
      <c r="AJ33" s="318">
        <f>-tanks!AW34</f>
        <v>0</v>
      </c>
      <c r="AK33" s="318">
        <f t="shared" ref="AK33:AK34" si="156">SUM(AJ33-AI33)</f>
        <v>0</v>
      </c>
      <c r="AL33" s="318">
        <f t="shared" ref="AL33:AL34" si="157">S33+L33+G33</f>
        <v>0</v>
      </c>
      <c r="AM33" s="318">
        <f t="shared" ref="AM33:AM34" si="158">Y33+AD33</f>
        <v>0</v>
      </c>
      <c r="AN33" s="584">
        <f t="shared" ref="AN33:AP33" si="159">AN32</f>
        <v>67</v>
      </c>
      <c r="AO33" s="320">
        <f t="shared" ref="AO33:AO34" si="160">(AN33/100)*3000</f>
        <v>2010.0000000000002</v>
      </c>
      <c r="AP33" s="584">
        <f t="shared" si="159"/>
        <v>55</v>
      </c>
      <c r="AQ33" s="320">
        <f t="shared" ref="AQ33:AQ34" si="161">(AP33/100)*3000</f>
        <v>1650.0000000000002</v>
      </c>
      <c r="AR33" s="584">
        <f t="shared" ref="AR33" si="162">AR32</f>
        <v>61</v>
      </c>
      <c r="AS33" s="320">
        <f t="shared" ref="AS33:AS34" si="163">(AR33/100)*3000</f>
        <v>1830</v>
      </c>
      <c r="AT33" s="320">
        <f t="shared" ref="AT33:AT34" si="164">SUM(AO33+AQ33+AS33)</f>
        <v>5490</v>
      </c>
      <c r="AU33" s="320">
        <f t="shared" ref="AU33:AU34" si="165">AT32-AT33+AV33</f>
        <v>0</v>
      </c>
      <c r="AV33" s="269"/>
      <c r="AW33" s="269"/>
      <c r="AX33" s="313">
        <f t="shared" ref="AX33:AX34" si="166">IF(AV33&gt;0,AW33,AX32)</f>
        <v>0.8</v>
      </c>
    </row>
    <row r="34" spans="1:50">
      <c r="A34" s="63">
        <f>ELEC!C32</f>
        <v>44346</v>
      </c>
      <c r="B34" s="584">
        <f t="shared" si="100"/>
        <v>170</v>
      </c>
      <c r="C34" s="584">
        <f t="shared" si="101"/>
        <v>178</v>
      </c>
      <c r="D34" s="45">
        <f t="shared" si="134"/>
        <v>0</v>
      </c>
      <c r="E34" s="45">
        <f t="shared" si="135"/>
        <v>0</v>
      </c>
      <c r="F34" s="584">
        <f t="shared" si="9"/>
        <v>1835</v>
      </c>
      <c r="G34" s="52">
        <f t="shared" si="136"/>
        <v>0</v>
      </c>
      <c r="H34" s="584">
        <f t="shared" si="10"/>
        <v>12933</v>
      </c>
      <c r="I34" s="396">
        <f t="shared" si="137"/>
        <v>0</v>
      </c>
      <c r="J34" s="66">
        <f t="shared" si="138"/>
        <v>0</v>
      </c>
      <c r="K34" s="584">
        <f t="shared" si="31"/>
        <v>2325</v>
      </c>
      <c r="L34" s="52">
        <f t="shared" si="139"/>
        <v>0</v>
      </c>
      <c r="M34" s="584">
        <f t="shared" si="32"/>
        <v>171417</v>
      </c>
      <c r="N34" s="396">
        <f t="shared" si="140"/>
        <v>0</v>
      </c>
      <c r="O34" s="64">
        <f t="shared" ref="O34:O35" si="167">O33</f>
        <v>1869</v>
      </c>
      <c r="P34" s="584">
        <f t="shared" si="81"/>
        <v>2090</v>
      </c>
      <c r="Q34" s="584">
        <f t="shared" si="82"/>
        <v>175754</v>
      </c>
      <c r="R34" s="395">
        <f t="shared" si="142"/>
        <v>0</v>
      </c>
      <c r="S34" s="52">
        <f t="shared" si="143"/>
        <v>0</v>
      </c>
      <c r="T34" s="67">
        <f t="shared" si="144"/>
        <v>0</v>
      </c>
      <c r="U34" s="402">
        <f t="shared" si="145"/>
        <v>0</v>
      </c>
      <c r="V34" s="62">
        <f t="shared" si="146"/>
        <v>0</v>
      </c>
      <c r="W34" s="400"/>
      <c r="X34" s="584">
        <f t="shared" si="17"/>
        <v>2467</v>
      </c>
      <c r="Y34" s="52">
        <f t="shared" si="147"/>
        <v>0</v>
      </c>
      <c r="Z34" s="584">
        <f t="shared" si="19"/>
        <v>138897</v>
      </c>
      <c r="AA34" s="65">
        <f t="shared" si="148"/>
        <v>0</v>
      </c>
      <c r="AB34" s="284">
        <f t="shared" si="149"/>
        <v>0</v>
      </c>
      <c r="AC34" s="584">
        <f t="shared" ref="AC34:AE35" si="168">AC33</f>
        <v>1936</v>
      </c>
      <c r="AD34" s="269">
        <f t="shared" si="151"/>
        <v>0</v>
      </c>
      <c r="AE34" s="584">
        <f t="shared" si="168"/>
        <v>365520.8</v>
      </c>
      <c r="AF34" s="306">
        <f t="shared" si="152"/>
        <v>0</v>
      </c>
      <c r="AG34" s="209">
        <f t="shared" si="153"/>
        <v>0</v>
      </c>
      <c r="AH34" s="62">
        <f t="shared" si="154"/>
        <v>0</v>
      </c>
      <c r="AI34" s="318">
        <f t="shared" si="155"/>
        <v>0</v>
      </c>
      <c r="AJ34" s="318">
        <f>-tanks!AW35</f>
        <v>0</v>
      </c>
      <c r="AK34" s="318">
        <f t="shared" si="156"/>
        <v>0</v>
      </c>
      <c r="AL34" s="318">
        <f t="shared" si="157"/>
        <v>0</v>
      </c>
      <c r="AM34" s="318">
        <f t="shared" si="158"/>
        <v>0</v>
      </c>
      <c r="AN34" s="584">
        <f t="shared" ref="AN34:AP35" si="169">AN33</f>
        <v>67</v>
      </c>
      <c r="AO34" s="320">
        <f t="shared" si="160"/>
        <v>2010.0000000000002</v>
      </c>
      <c r="AP34" s="584">
        <f t="shared" si="169"/>
        <v>55</v>
      </c>
      <c r="AQ34" s="320">
        <f t="shared" si="161"/>
        <v>1650.0000000000002</v>
      </c>
      <c r="AR34" s="584">
        <f t="shared" ref="AR34:AR35" si="170">AR33</f>
        <v>61</v>
      </c>
      <c r="AS34" s="320">
        <f t="shared" si="163"/>
        <v>1830</v>
      </c>
      <c r="AT34" s="320">
        <f t="shared" si="164"/>
        <v>5490</v>
      </c>
      <c r="AU34" s="320">
        <f t="shared" si="165"/>
        <v>0</v>
      </c>
      <c r="AV34" s="269"/>
      <c r="AW34" s="269"/>
      <c r="AX34" s="313">
        <f t="shared" si="166"/>
        <v>0.8</v>
      </c>
    </row>
    <row r="35" spans="1:50">
      <c r="A35" s="63">
        <f>ELEC!C33</f>
        <v>44347</v>
      </c>
      <c r="B35" s="584">
        <f t="shared" si="100"/>
        <v>170</v>
      </c>
      <c r="C35" s="584">
        <f t="shared" si="101"/>
        <v>178</v>
      </c>
      <c r="D35" s="45">
        <f t="shared" ref="D35" si="171">C34-C35</f>
        <v>0</v>
      </c>
      <c r="E35" s="45">
        <f t="shared" ref="E35" si="172">D35*8.38</f>
        <v>0</v>
      </c>
      <c r="F35" s="584">
        <f t="shared" si="9"/>
        <v>1835</v>
      </c>
      <c r="G35" s="52">
        <f t="shared" ref="G35" si="173">F35-F34</f>
        <v>0</v>
      </c>
      <c r="H35" s="584">
        <f t="shared" si="10"/>
        <v>12933</v>
      </c>
      <c r="I35" s="396">
        <f t="shared" ref="I35" si="174">SUM(H35-H34)</f>
        <v>0</v>
      </c>
      <c r="J35" s="66">
        <f t="shared" ref="J35" si="175">IF(G35&gt;0,I35/G35,0)</f>
        <v>0</v>
      </c>
      <c r="K35" s="584">
        <f t="shared" si="31"/>
        <v>2325</v>
      </c>
      <c r="L35" s="52">
        <f t="shared" ref="L35" si="176">K35-K34</f>
        <v>0</v>
      </c>
      <c r="M35" s="584">
        <f t="shared" si="32"/>
        <v>171417</v>
      </c>
      <c r="N35" s="396">
        <f t="shared" ref="N35" si="177">M35-M34</f>
        <v>0</v>
      </c>
      <c r="O35" s="64">
        <f t="shared" si="167"/>
        <v>1869</v>
      </c>
      <c r="P35" s="584">
        <f t="shared" si="81"/>
        <v>2090</v>
      </c>
      <c r="Q35" s="584">
        <f t="shared" si="82"/>
        <v>175754</v>
      </c>
      <c r="R35" s="395">
        <f t="shared" ref="R35" si="178">Q35-Q34</f>
        <v>0</v>
      </c>
      <c r="S35" s="52">
        <f t="shared" ref="S35" si="179">SUM(P35-P34)</f>
        <v>0</v>
      </c>
      <c r="T35" s="67">
        <f t="shared" ref="T35" si="180">SUM(S35*$T$2)</f>
        <v>0</v>
      </c>
      <c r="U35" s="402">
        <f t="shared" ref="U35" si="181">SUM(G35+L35+S35)</f>
        <v>0</v>
      </c>
      <c r="V35" s="62">
        <f t="shared" ref="V35" si="182">R35+N35+I35:I35</f>
        <v>0</v>
      </c>
      <c r="W35" s="400"/>
      <c r="X35" s="584">
        <f t="shared" si="17"/>
        <v>2467</v>
      </c>
      <c r="Y35" s="52">
        <f t="shared" ref="Y35" si="183">X35-X34</f>
        <v>0</v>
      </c>
      <c r="Z35" s="584">
        <f t="shared" si="19"/>
        <v>138897</v>
      </c>
      <c r="AA35" s="65">
        <f t="shared" ref="AA35" si="184">Z35-Z34</f>
        <v>0</v>
      </c>
      <c r="AB35" s="284">
        <f t="shared" ref="AB35" si="185">SUM(Y35*$AB$2)</f>
        <v>0</v>
      </c>
      <c r="AC35" s="584">
        <f t="shared" si="168"/>
        <v>1936</v>
      </c>
      <c r="AD35" s="269">
        <f t="shared" ref="AD35" si="186">AC35-AC34</f>
        <v>0</v>
      </c>
      <c r="AE35" s="584">
        <f t="shared" si="168"/>
        <v>365520.8</v>
      </c>
      <c r="AF35" s="306">
        <f t="shared" ref="AF35" si="187">AE35-AE34</f>
        <v>0</v>
      </c>
      <c r="AG35" s="209">
        <f t="shared" ref="AG35" si="188">IF(AD35&gt;0,AF35/AD35,0)</f>
        <v>0</v>
      </c>
      <c r="AH35" s="62">
        <f t="shared" ref="AH35" si="189">AF35+AA35</f>
        <v>0</v>
      </c>
      <c r="AI35" s="318">
        <f t="shared" ref="AI35" si="190">SUM(AH35+V35)</f>
        <v>0</v>
      </c>
      <c r="AJ35" s="318">
        <f>-tanks!AW37</f>
        <v>0</v>
      </c>
      <c r="AK35" s="318">
        <f t="shared" ref="AK35" si="191">SUM(AJ35-AI35)</f>
        <v>0</v>
      </c>
      <c r="AL35" s="318">
        <f t="shared" ref="AL35" si="192">S35+L35+G35</f>
        <v>0</v>
      </c>
      <c r="AM35" s="318">
        <f t="shared" ref="AM35" si="193">Y35+AD35</f>
        <v>0</v>
      </c>
      <c r="AN35" s="584">
        <f t="shared" si="169"/>
        <v>67</v>
      </c>
      <c r="AO35" s="320">
        <f t="shared" ref="AO35" si="194">(AN35/100)*3000</f>
        <v>2010.0000000000002</v>
      </c>
      <c r="AP35" s="584">
        <f t="shared" si="169"/>
        <v>55</v>
      </c>
      <c r="AQ35" s="320">
        <f t="shared" ref="AQ35" si="195">(AP35/100)*3000</f>
        <v>1650.0000000000002</v>
      </c>
      <c r="AR35" s="584">
        <f t="shared" si="170"/>
        <v>61</v>
      </c>
      <c r="AS35" s="320">
        <f t="shared" ref="AS35" si="196">(AR35/100)*3000</f>
        <v>1830</v>
      </c>
      <c r="AT35" s="320">
        <f t="shared" ref="AT35" si="197">SUM(AO35+AQ35+AS35)</f>
        <v>5490</v>
      </c>
      <c r="AU35" s="320">
        <f t="shared" ref="AU35" si="198">AT34-AT35+AV35</f>
        <v>0</v>
      </c>
      <c r="AV35" s="269"/>
      <c r="AW35" s="269"/>
      <c r="AX35" s="313">
        <f t="shared" ref="AX35" si="199">IF(AV35&gt;0,AW35,AX34)</f>
        <v>0.8</v>
      </c>
    </row>
    <row r="36" spans="1:50">
      <c r="J36" s="283">
        <f>SUM(J5:J32)/(COUNT(J5:J32)-COUNTIF(J5:J32,0))</f>
        <v>64.777777777777771</v>
      </c>
      <c r="V36" s="62">
        <f>SUM(V5:V32)</f>
        <v>2436</v>
      </c>
      <c r="AE36" s="71" t="s">
        <v>383</v>
      </c>
      <c r="AG36" s="344"/>
      <c r="AH36" s="62">
        <f>SUM(AH5:AH32)</f>
        <v>56</v>
      </c>
      <c r="AL36" s="62">
        <f>SUM(AL5:AL32)</f>
        <v>31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2492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="90" zoomScaleNormal="90" workbookViewId="0">
      <pane ySplit="3" topLeftCell="A4" activePane="bottomLeft" state="frozen"/>
      <selection pane="bottomLeft" activeCell="AY24" sqref="AY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8056308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81" t="s">
        <v>95</v>
      </c>
      <c r="AS2" s="682"/>
      <c r="AT2" s="682"/>
      <c r="AU2" s="682"/>
      <c r="AV2" s="683"/>
      <c r="AW2" s="681" t="s">
        <v>96</v>
      </c>
      <c r="AX2" s="682"/>
      <c r="AY2" s="683"/>
      <c r="AZ2" s="681" t="s">
        <v>98</v>
      </c>
      <c r="BA2" s="682"/>
      <c r="BB2" s="68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78" t="s">
        <v>126</v>
      </c>
      <c r="AO3" s="679"/>
      <c r="AP3" s="68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V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22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v>169</v>
      </c>
      <c r="AU15" s="425">
        <f t="shared" si="42"/>
        <v>1.1000000000000001</v>
      </c>
      <c r="AV15" s="201">
        <v>188</v>
      </c>
      <c r="AW15" s="5">
        <v>2.9</v>
      </c>
      <c r="AX15" s="201">
        <v>181</v>
      </c>
      <c r="AY15" s="426">
        <f t="shared" si="7"/>
        <v>152.1</v>
      </c>
      <c r="AZ15" s="426">
        <f t="shared" si="33"/>
        <v>206.8</v>
      </c>
      <c r="BA15" s="426">
        <f t="shared" si="34"/>
        <v>524.9</v>
      </c>
      <c r="BB15" s="21">
        <f t="shared" si="35"/>
        <v>4.5</v>
      </c>
      <c r="BC15" s="21">
        <f t="shared" si="36"/>
        <v>-1.0999999999999943</v>
      </c>
      <c r="BD15" s="21">
        <f t="shared" si="36"/>
        <v>-17.399999999999977</v>
      </c>
      <c r="BE15" s="24">
        <f t="shared" si="37"/>
        <v>-13.999999999999972</v>
      </c>
      <c r="BF15" s="96">
        <f t="shared" si="8"/>
        <v>13.999999999999972</v>
      </c>
      <c r="BG15" s="82">
        <f t="shared" si="9"/>
        <v>-13.999999999999972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21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v>133</v>
      </c>
      <c r="AU16" s="425">
        <f t="shared" si="42"/>
        <v>1.1000000000000001</v>
      </c>
      <c r="AV16" s="201">
        <v>185</v>
      </c>
      <c r="AW16" s="5">
        <v>2.9</v>
      </c>
      <c r="AX16" s="201">
        <v>177</v>
      </c>
      <c r="AY16" s="426">
        <f t="shared" si="7"/>
        <v>119.7</v>
      </c>
      <c r="AZ16" s="426">
        <f t="shared" si="33"/>
        <v>203.50000000000003</v>
      </c>
      <c r="BA16" s="426">
        <f t="shared" si="34"/>
        <v>513.29999999999995</v>
      </c>
      <c r="BB16" s="21">
        <f t="shared" si="35"/>
        <v>-32.399999999999991</v>
      </c>
      <c r="BC16" s="21">
        <f t="shared" si="36"/>
        <v>-3.2999999999999829</v>
      </c>
      <c r="BD16" s="21">
        <f t="shared" si="36"/>
        <v>-11.600000000000023</v>
      </c>
      <c r="BE16" s="24">
        <f t="shared" si="37"/>
        <v>-47.3</v>
      </c>
      <c r="BF16" s="96">
        <f t="shared" si="8"/>
        <v>47.3</v>
      </c>
      <c r="BG16" s="82">
        <f t="shared" si="9"/>
        <v>-47.3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133</v>
      </c>
      <c r="AU17" s="425">
        <f t="shared" si="42"/>
        <v>1.1000000000000001</v>
      </c>
      <c r="AV17" s="201">
        <v>184</v>
      </c>
      <c r="AW17" s="5">
        <v>2.9</v>
      </c>
      <c r="AX17" s="201">
        <v>172</v>
      </c>
      <c r="AY17" s="426">
        <f t="shared" si="7"/>
        <v>119.7</v>
      </c>
      <c r="AZ17" s="426">
        <f t="shared" si="33"/>
        <v>202.4</v>
      </c>
      <c r="BA17" s="426">
        <f t="shared" si="34"/>
        <v>498.8</v>
      </c>
      <c r="BB17" s="21">
        <f t="shared" si="35"/>
        <v>0</v>
      </c>
      <c r="BC17" s="21">
        <f t="shared" si="36"/>
        <v>-1.1000000000000227</v>
      </c>
      <c r="BD17" s="21">
        <f t="shared" si="36"/>
        <v>-14.499999999999943</v>
      </c>
      <c r="BE17" s="24">
        <f t="shared" si="37"/>
        <v>-15.599999999999966</v>
      </c>
      <c r="BF17" s="96">
        <f t="shared" si="8"/>
        <v>15.599999999999966</v>
      </c>
      <c r="BG17" s="82">
        <f t="shared" si="9"/>
        <v>-15.599999999999966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v>619716</v>
      </c>
      <c r="H18" s="5">
        <f t="shared" si="14"/>
        <v>341</v>
      </c>
      <c r="I18" s="5">
        <f t="shared" si="0"/>
        <v>341</v>
      </c>
      <c r="J18" s="334">
        <f t="shared" si="1"/>
        <v>0.70948822249550658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21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133</v>
      </c>
      <c r="AU18" s="425">
        <f t="shared" si="42"/>
        <v>1.1000000000000001</v>
      </c>
      <c r="AV18" s="201">
        <v>183</v>
      </c>
      <c r="AW18" s="5">
        <v>2.9</v>
      </c>
      <c r="AX18" s="201">
        <v>161</v>
      </c>
      <c r="AY18" s="426">
        <f t="shared" si="7"/>
        <v>119.7</v>
      </c>
      <c r="AZ18" s="426">
        <f t="shared" si="33"/>
        <v>201.3</v>
      </c>
      <c r="BA18" s="426">
        <f t="shared" si="34"/>
        <v>466.9</v>
      </c>
      <c r="BB18" s="21">
        <f t="shared" si="35"/>
        <v>0</v>
      </c>
      <c r="BC18" s="21">
        <f t="shared" si="36"/>
        <v>-1.0999999999999943</v>
      </c>
      <c r="BD18" s="21">
        <f t="shared" si="36"/>
        <v>-31.900000000000034</v>
      </c>
      <c r="BE18" s="24">
        <f t="shared" si="37"/>
        <v>-33.000000000000028</v>
      </c>
      <c r="BF18" s="96">
        <f t="shared" si="8"/>
        <v>374</v>
      </c>
      <c r="BG18" s="82">
        <f t="shared" si="9"/>
        <v>-33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619716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22.5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133</v>
      </c>
      <c r="AU19" s="425">
        <f t="shared" si="42"/>
        <v>1.1000000000000001</v>
      </c>
      <c r="AV19" s="201">
        <f t="shared" ref="AV19" si="46">AV18</f>
        <v>183</v>
      </c>
      <c r="AW19" s="5">
        <v>2.9</v>
      </c>
      <c r="AX19" s="201">
        <f t="shared" ref="AX19:AX35" si="47">AX18</f>
        <v>161</v>
      </c>
      <c r="AY19" s="426">
        <f t="shared" ref="AY19:AY21" si="48">AS19*AT19</f>
        <v>119.7</v>
      </c>
      <c r="AZ19" s="426">
        <f t="shared" ref="AZ19:AZ21" si="49">AU19*AV19</f>
        <v>201.3</v>
      </c>
      <c r="BA19" s="426">
        <f t="shared" ref="BA19:BA21" si="50">AW19*AX19</f>
        <v>466.9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619716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23.5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v>133</v>
      </c>
      <c r="AU20" s="425">
        <f t="shared" si="42"/>
        <v>1.1000000000000001</v>
      </c>
      <c r="AV20" s="201">
        <v>182</v>
      </c>
      <c r="AW20" s="5">
        <v>2.9</v>
      </c>
      <c r="AX20" s="201">
        <v>153</v>
      </c>
      <c r="AY20" s="426">
        <f t="shared" si="48"/>
        <v>119.7</v>
      </c>
      <c r="AZ20" s="426">
        <f t="shared" si="49"/>
        <v>200.20000000000002</v>
      </c>
      <c r="BA20" s="426">
        <f t="shared" si="50"/>
        <v>443.7</v>
      </c>
      <c r="BB20" s="21">
        <f t="shared" si="51"/>
        <v>0</v>
      </c>
      <c r="BC20" s="21">
        <f t="shared" si="52"/>
        <v>-1.0999999999999943</v>
      </c>
      <c r="BD20" s="21">
        <f t="shared" si="53"/>
        <v>-23.199999999999989</v>
      </c>
      <c r="BE20" s="24">
        <f t="shared" si="54"/>
        <v>-24.299999999999983</v>
      </c>
      <c r="BF20" s="96">
        <f t="shared" si="8"/>
        <v>24.299999999999983</v>
      </c>
      <c r="BG20" s="82">
        <f t="shared" si="9"/>
        <v>-24.299999999999983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619716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6766</v>
      </c>
      <c r="L21" s="83">
        <f t="shared" si="40"/>
        <v>4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-4</v>
      </c>
      <c r="AL21" s="327">
        <f t="shared" si="31"/>
        <v>0</v>
      </c>
      <c r="AM21" s="327">
        <f>'General information '!D21</f>
        <v>21.5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133</v>
      </c>
      <c r="AU21" s="425">
        <f t="shared" si="42"/>
        <v>1.1000000000000001</v>
      </c>
      <c r="AV21" s="201">
        <v>181</v>
      </c>
      <c r="AW21" s="5">
        <v>2.9</v>
      </c>
      <c r="AX21" s="201">
        <v>144</v>
      </c>
      <c r="AY21" s="426">
        <f t="shared" si="48"/>
        <v>119.7</v>
      </c>
      <c r="AZ21" s="426">
        <f t="shared" si="49"/>
        <v>199.10000000000002</v>
      </c>
      <c r="BA21" s="426">
        <f t="shared" si="50"/>
        <v>417.59999999999997</v>
      </c>
      <c r="BB21" s="21">
        <f t="shared" si="35"/>
        <v>0</v>
      </c>
      <c r="BC21" s="21">
        <f t="shared" si="36"/>
        <v>-1.0999999999999943</v>
      </c>
      <c r="BD21" s="21">
        <f t="shared" si="36"/>
        <v>-26.100000000000023</v>
      </c>
      <c r="BE21" s="24">
        <f t="shared" si="37"/>
        <v>-27.200000000000017</v>
      </c>
      <c r="BF21" s="96">
        <f t="shared" si="8"/>
        <v>27.200000000000017</v>
      </c>
      <c r="BG21" s="82">
        <f t="shared" si="9"/>
        <v>-27.200000000000017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619716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6766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22.5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5">AS21</f>
        <v>0.9</v>
      </c>
      <c r="AT22" s="201">
        <f t="shared" si="55"/>
        <v>133</v>
      </c>
      <c r="AU22" s="425">
        <f t="shared" si="42"/>
        <v>1.1000000000000001</v>
      </c>
      <c r="AV22" s="201">
        <f>AV21</f>
        <v>181</v>
      </c>
      <c r="AW22" s="5">
        <v>2.9</v>
      </c>
      <c r="AX22" s="201">
        <v>136</v>
      </c>
      <c r="AY22" s="426">
        <f t="shared" si="7"/>
        <v>119.7</v>
      </c>
      <c r="AZ22" s="426">
        <f t="shared" si="33"/>
        <v>199.10000000000002</v>
      </c>
      <c r="BA22" s="426">
        <f t="shared" si="34"/>
        <v>394.4</v>
      </c>
      <c r="BB22" s="21">
        <f>AY22-AY21</f>
        <v>0</v>
      </c>
      <c r="BC22" s="21">
        <f t="shared" si="35"/>
        <v>0</v>
      </c>
      <c r="BD22" s="21">
        <f t="shared" si="35"/>
        <v>-23.199999999999989</v>
      </c>
      <c r="BE22" s="24">
        <f t="shared" si="37"/>
        <v>-23.199999999999989</v>
      </c>
      <c r="BF22" s="96">
        <f t="shared" si="8"/>
        <v>23.199999999999989</v>
      </c>
      <c r="BG22" s="82">
        <f t="shared" si="9"/>
        <v>-23.199999999999989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619716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6768</v>
      </c>
      <c r="L23" s="274">
        <f t="shared" si="40"/>
        <v>2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-2</v>
      </c>
      <c r="AL23" s="327">
        <f t="shared" si="31"/>
        <v>0</v>
      </c>
      <c r="AM23" s="327">
        <f>'General information '!D23</f>
        <v>23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5"/>
        <v>0.9</v>
      </c>
      <c r="AT23" s="201">
        <v>130</v>
      </c>
      <c r="AU23" s="425">
        <f t="shared" si="42"/>
        <v>1.1000000000000001</v>
      </c>
      <c r="AV23" s="201">
        <v>180</v>
      </c>
      <c r="AW23" s="5">
        <v>2.9</v>
      </c>
      <c r="AX23" s="201">
        <v>126</v>
      </c>
      <c r="AY23" s="426">
        <f t="shared" si="7"/>
        <v>117</v>
      </c>
      <c r="AZ23" s="426">
        <f t="shared" si="33"/>
        <v>198.00000000000003</v>
      </c>
      <c r="BA23" s="426">
        <f t="shared" si="34"/>
        <v>365.4</v>
      </c>
      <c r="BB23" s="21">
        <f t="shared" si="35"/>
        <v>-2.7000000000000028</v>
      </c>
      <c r="BC23" s="21">
        <f t="shared" si="35"/>
        <v>-1.0999999999999943</v>
      </c>
      <c r="BD23" s="21">
        <f t="shared" si="35"/>
        <v>-29</v>
      </c>
      <c r="BE23" s="24">
        <f t="shared" si="37"/>
        <v>-32.799999999999997</v>
      </c>
      <c r="BF23" s="96">
        <f t="shared" si="8"/>
        <v>32.799999999999997</v>
      </c>
      <c r="BG23" s="82">
        <f t="shared" si="9"/>
        <v>-32.799999999999997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SUM((C24*$E$4)+(7500/'EDl log'!$A$37))</f>
        <v>241.93548387096774</v>
      </c>
      <c r="F24" s="327"/>
      <c r="G24" s="5">
        <f t="shared" si="13"/>
        <v>619716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6769</v>
      </c>
      <c r="L24" s="274">
        <f t="shared" si="40"/>
        <v>1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f t="shared" si="18"/>
        <v>471</v>
      </c>
      <c r="W24" s="324">
        <f t="shared" si="19"/>
        <v>0</v>
      </c>
      <c r="X24" s="5">
        <f t="shared" si="20"/>
        <v>151772</v>
      </c>
      <c r="Y24" s="324">
        <f t="shared" si="41"/>
        <v>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-1</v>
      </c>
      <c r="AL24" s="327">
        <f t="shared" si="31"/>
        <v>0</v>
      </c>
      <c r="AM24" s="327">
        <f>'General information '!D24</f>
        <v>23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5"/>
        <v>0.9</v>
      </c>
      <c r="AT24" s="201">
        <v>120</v>
      </c>
      <c r="AU24" s="425">
        <f t="shared" si="42"/>
        <v>1.1000000000000001</v>
      </c>
      <c r="AV24" s="201">
        <f t="shared" si="42"/>
        <v>180</v>
      </c>
      <c r="AW24" s="5">
        <v>2.9</v>
      </c>
      <c r="AX24" s="201">
        <v>117</v>
      </c>
      <c r="AY24" s="426">
        <f t="shared" si="7"/>
        <v>108</v>
      </c>
      <c r="AZ24" s="426">
        <f t="shared" si="33"/>
        <v>198.00000000000003</v>
      </c>
      <c r="BA24" s="426">
        <f t="shared" si="34"/>
        <v>339.3</v>
      </c>
      <c r="BB24" s="21">
        <f t="shared" si="35"/>
        <v>-9</v>
      </c>
      <c r="BC24" s="21">
        <f t="shared" si="35"/>
        <v>0</v>
      </c>
      <c r="BD24" s="21">
        <f t="shared" si="35"/>
        <v>-26.099999999999966</v>
      </c>
      <c r="BE24" s="24">
        <f t="shared" si="37"/>
        <v>-35.099999999999966</v>
      </c>
      <c r="BF24" s="96">
        <f t="shared" si="8"/>
        <v>35.099999999999966</v>
      </c>
      <c r="BG24" s="82">
        <f t="shared" si="9"/>
        <v>-35.099999999999966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619716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6769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471</v>
      </c>
      <c r="W25" s="324">
        <f t="shared" si="19"/>
        <v>0</v>
      </c>
      <c r="X25" s="5">
        <f t="shared" si="20"/>
        <v>151772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5"/>
        <v>0.9</v>
      </c>
      <c r="AT25" s="201">
        <f t="shared" si="55"/>
        <v>120</v>
      </c>
      <c r="AU25" s="425">
        <f t="shared" si="42"/>
        <v>1.1000000000000001</v>
      </c>
      <c r="AV25" s="201">
        <f t="shared" si="42"/>
        <v>180</v>
      </c>
      <c r="AW25" s="5">
        <v>2.9</v>
      </c>
      <c r="AX25" s="201">
        <f t="shared" si="47"/>
        <v>117</v>
      </c>
      <c r="AY25" s="426">
        <f t="shared" si="7"/>
        <v>108</v>
      </c>
      <c r="AZ25" s="426">
        <f t="shared" si="33"/>
        <v>198.00000000000003</v>
      </c>
      <c r="BA25" s="426">
        <f t="shared" si="34"/>
        <v>339.3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619716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6769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471</v>
      </c>
      <c r="W26" s="324">
        <f t="shared" si="19"/>
        <v>0</v>
      </c>
      <c r="X26" s="5">
        <f t="shared" si="20"/>
        <v>151772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5"/>
        <v>0.9</v>
      </c>
      <c r="AT26" s="201">
        <f t="shared" si="55"/>
        <v>120</v>
      </c>
      <c r="AU26" s="425">
        <f t="shared" si="42"/>
        <v>1.1000000000000001</v>
      </c>
      <c r="AV26" s="201">
        <f t="shared" si="42"/>
        <v>180</v>
      </c>
      <c r="AW26" s="5">
        <v>2.9</v>
      </c>
      <c r="AX26" s="201">
        <f t="shared" si="47"/>
        <v>117</v>
      </c>
      <c r="AY26" s="426">
        <f t="shared" si="7"/>
        <v>108</v>
      </c>
      <c r="AZ26" s="426">
        <f t="shared" si="33"/>
        <v>198.00000000000003</v>
      </c>
      <c r="BA26" s="426">
        <f t="shared" si="34"/>
        <v>339.3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619716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6769</v>
      </c>
      <c r="L27" s="274">
        <f t="shared" si="40"/>
        <v>0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471</v>
      </c>
      <c r="W27" s="324">
        <f t="shared" si="19"/>
        <v>0</v>
      </c>
      <c r="X27" s="5">
        <f t="shared" si="20"/>
        <v>151772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5"/>
        <v>0.9</v>
      </c>
      <c r="AT27" s="201">
        <f t="shared" si="55"/>
        <v>120</v>
      </c>
      <c r="AU27" s="425">
        <f t="shared" si="42"/>
        <v>1.1000000000000001</v>
      </c>
      <c r="AV27" s="201">
        <f t="shared" si="42"/>
        <v>180</v>
      </c>
      <c r="AW27" s="5">
        <v>2.9</v>
      </c>
      <c r="AX27" s="201">
        <f t="shared" si="47"/>
        <v>117</v>
      </c>
      <c r="AY27" s="426">
        <f t="shared" si="7"/>
        <v>108</v>
      </c>
      <c r="AZ27" s="426">
        <f t="shared" si="33"/>
        <v>198.00000000000003</v>
      </c>
      <c r="BA27" s="426">
        <f t="shared" si="34"/>
        <v>339.3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619716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6769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471</v>
      </c>
      <c r="W28" s="324">
        <f t="shared" si="19"/>
        <v>0</v>
      </c>
      <c r="X28" s="5">
        <f t="shared" si="20"/>
        <v>151772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5"/>
        <v>0.9</v>
      </c>
      <c r="AT28" s="201">
        <f t="shared" si="55"/>
        <v>120</v>
      </c>
      <c r="AU28" s="425">
        <f t="shared" si="42"/>
        <v>1.1000000000000001</v>
      </c>
      <c r="AV28" s="201">
        <f t="shared" si="42"/>
        <v>180</v>
      </c>
      <c r="AW28" s="5">
        <v>2.9</v>
      </c>
      <c r="AX28" s="201">
        <f t="shared" si="47"/>
        <v>117</v>
      </c>
      <c r="AY28" s="426">
        <f t="shared" si="7"/>
        <v>108</v>
      </c>
      <c r="AZ28" s="426">
        <f t="shared" si="33"/>
        <v>198.00000000000003</v>
      </c>
      <c r="BA28" s="426">
        <f t="shared" si="34"/>
        <v>339.3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619716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6769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471</v>
      </c>
      <c r="W29" s="324">
        <f t="shared" si="19"/>
        <v>0</v>
      </c>
      <c r="X29" s="5">
        <f t="shared" si="20"/>
        <v>151772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5"/>
        <v>0.9</v>
      </c>
      <c r="AT29" s="201">
        <f t="shared" si="55"/>
        <v>120</v>
      </c>
      <c r="AU29" s="425">
        <f t="shared" si="42"/>
        <v>1.1000000000000001</v>
      </c>
      <c r="AV29" s="201">
        <f t="shared" si="42"/>
        <v>180</v>
      </c>
      <c r="AW29" s="5">
        <v>2.9</v>
      </c>
      <c r="AX29" s="201">
        <f t="shared" si="47"/>
        <v>117</v>
      </c>
      <c r="AY29" s="426">
        <f t="shared" si="7"/>
        <v>108</v>
      </c>
      <c r="AZ29" s="426">
        <f t="shared" si="33"/>
        <v>198.00000000000003</v>
      </c>
      <c r="BA29" s="426">
        <f t="shared" si="34"/>
        <v>339.3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619716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6769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471</v>
      </c>
      <c r="W30" s="324">
        <f t="shared" si="19"/>
        <v>0</v>
      </c>
      <c r="X30" s="5">
        <f t="shared" si="20"/>
        <v>151772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5"/>
        <v>0.9</v>
      </c>
      <c r="AT30" s="201">
        <f t="shared" si="55"/>
        <v>120</v>
      </c>
      <c r="AU30" s="425">
        <f t="shared" si="42"/>
        <v>1.1000000000000001</v>
      </c>
      <c r="AV30" s="201">
        <f t="shared" si="42"/>
        <v>180</v>
      </c>
      <c r="AW30" s="5">
        <v>2.9</v>
      </c>
      <c r="AX30" s="201">
        <f t="shared" si="47"/>
        <v>117</v>
      </c>
      <c r="AY30" s="426">
        <f t="shared" si="7"/>
        <v>108</v>
      </c>
      <c r="AZ30" s="426">
        <f t="shared" si="33"/>
        <v>198.00000000000003</v>
      </c>
      <c r="BA30" s="426">
        <f t="shared" si="34"/>
        <v>339.3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619716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6769</v>
      </c>
      <c r="L31" s="274">
        <f t="shared" si="40"/>
        <v>0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f t="shared" si="18"/>
        <v>471</v>
      </c>
      <c r="W31" s="324">
        <f t="shared" si="19"/>
        <v>0</v>
      </c>
      <c r="X31" s="5">
        <f t="shared" si="20"/>
        <v>151772</v>
      </c>
      <c r="Y31" s="324">
        <f t="shared" si="41"/>
        <v>0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f t="shared" si="25"/>
        <v>229.78</v>
      </c>
      <c r="AF31" s="83">
        <f t="shared" si="26"/>
        <v>0</v>
      </c>
      <c r="AG31" s="5">
        <f t="shared" si="27"/>
        <v>2205.62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5"/>
        <v>0.9</v>
      </c>
      <c r="AT31" s="201">
        <f t="shared" si="55"/>
        <v>120</v>
      </c>
      <c r="AU31" s="425">
        <f t="shared" si="42"/>
        <v>1.1000000000000001</v>
      </c>
      <c r="AV31" s="201">
        <f t="shared" si="42"/>
        <v>180</v>
      </c>
      <c r="AW31" s="5">
        <v>2.9</v>
      </c>
      <c r="AX31" s="201">
        <f t="shared" si="47"/>
        <v>117</v>
      </c>
      <c r="AY31" s="426">
        <f t="shared" si="7"/>
        <v>108</v>
      </c>
      <c r="AZ31" s="426">
        <f t="shared" si="33"/>
        <v>198.00000000000003</v>
      </c>
      <c r="BA31" s="426">
        <f t="shared" si="34"/>
        <v>339.3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619716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6769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471</v>
      </c>
      <c r="W32" s="324">
        <f t="shared" si="19"/>
        <v>0</v>
      </c>
      <c r="X32" s="5">
        <f t="shared" si="20"/>
        <v>151772</v>
      </c>
      <c r="Y32" s="324">
        <f t="shared" si="41"/>
        <v>0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229.78</v>
      </c>
      <c r="AF32" s="83">
        <f t="shared" si="26"/>
        <v>0</v>
      </c>
      <c r="AG32" s="5">
        <f t="shared" si="27"/>
        <v>2205.62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5"/>
        <v>0.9</v>
      </c>
      <c r="AT32" s="201">
        <f t="shared" si="55"/>
        <v>120</v>
      </c>
      <c r="AU32" s="425">
        <f t="shared" si="42"/>
        <v>1.1000000000000001</v>
      </c>
      <c r="AV32" s="201">
        <f t="shared" si="42"/>
        <v>180</v>
      </c>
      <c r="AW32" s="5">
        <v>2.9</v>
      </c>
      <c r="AX32" s="201">
        <f t="shared" si="47"/>
        <v>117</v>
      </c>
      <c r="AY32" s="426">
        <f t="shared" si="7"/>
        <v>108</v>
      </c>
      <c r="AZ32" s="426">
        <f t="shared" si="33"/>
        <v>198.00000000000003</v>
      </c>
      <c r="BA32" s="426">
        <f t="shared" si="34"/>
        <v>339.3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619716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6769</v>
      </c>
      <c r="L33" s="274">
        <f t="shared" si="40"/>
        <v>0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471</v>
      </c>
      <c r="W33" s="324">
        <f t="shared" si="19"/>
        <v>0</v>
      </c>
      <c r="X33" s="5">
        <f t="shared" si="20"/>
        <v>151772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229.78</v>
      </c>
      <c r="AF33" s="83">
        <f>AE33-AE32</f>
        <v>0</v>
      </c>
      <c r="AG33" s="5">
        <f t="shared" si="27"/>
        <v>2205.62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5"/>
        <v>0.9</v>
      </c>
      <c r="AT33" s="201">
        <f t="shared" si="55"/>
        <v>120</v>
      </c>
      <c r="AU33" s="425">
        <f t="shared" si="42"/>
        <v>1.1000000000000001</v>
      </c>
      <c r="AV33" s="201">
        <f t="shared" si="42"/>
        <v>180</v>
      </c>
      <c r="AW33" s="5">
        <v>2.9</v>
      </c>
      <c r="AX33" s="201">
        <f t="shared" si="47"/>
        <v>117</v>
      </c>
      <c r="AY33" s="426">
        <f t="shared" si="7"/>
        <v>108</v>
      </c>
      <c r="AZ33" s="426">
        <f t="shared" si="33"/>
        <v>198.00000000000003</v>
      </c>
      <c r="BA33" s="426">
        <f t="shared" si="34"/>
        <v>339.3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6">B34-B33</f>
        <v>0</v>
      </c>
      <c r="D34" s="419">
        <f t="shared" ref="D34:D35" si="57">C34/27</f>
        <v>0</v>
      </c>
      <c r="E34" s="333">
        <f>SUM((C34*$E$4)+(7500/'EDl log'!$A$37))</f>
        <v>241.93548387096774</v>
      </c>
      <c r="F34" s="327"/>
      <c r="G34" s="5">
        <f t="shared" si="13"/>
        <v>619716</v>
      </c>
      <c r="H34" s="5">
        <f t="shared" ref="H34:H35" si="58">G34-G33</f>
        <v>0</v>
      </c>
      <c r="I34" s="5">
        <f t="shared" ref="I34:I35" si="59">C34+H34</f>
        <v>0</v>
      </c>
      <c r="J34" s="334">
        <f t="shared" ref="J34:J35" si="60">IF(I34&gt;0,E34/I34,0)</f>
        <v>0</v>
      </c>
      <c r="K34" s="5">
        <f>'Swimming Pool quality check '!H34</f>
        <v>6769</v>
      </c>
      <c r="L34" s="274">
        <f t="shared" ref="L34:L35" si="61">K34-K33</f>
        <v>0</v>
      </c>
      <c r="M34" s="410">
        <f t="shared" si="15"/>
        <v>457.44</v>
      </c>
      <c r="N34" s="511">
        <f t="shared" ref="N34:N35" si="62">SUM(M34-M33)</f>
        <v>0</v>
      </c>
      <c r="O34" s="410">
        <f t="shared" si="16"/>
        <v>529.52</v>
      </c>
      <c r="P34" s="511">
        <f t="shared" ref="P34:P35" si="63">SUM(O34-O33)</f>
        <v>0</v>
      </c>
      <c r="Q34" s="511">
        <f t="shared" ref="Q34:Q35" si="64">SUM(P34+N34)</f>
        <v>0</v>
      </c>
      <c r="R34" s="513"/>
      <c r="S34" s="513"/>
      <c r="T34" s="5">
        <f t="shared" si="17"/>
        <v>5171</v>
      </c>
      <c r="U34" s="5">
        <f t="shared" ref="U34:U35" si="65">SUM(T34-T33)</f>
        <v>0</v>
      </c>
      <c r="V34" s="5">
        <f t="shared" si="18"/>
        <v>471</v>
      </c>
      <c r="W34" s="324">
        <f t="shared" ref="W34:W35" si="66">+V34-V33</f>
        <v>0</v>
      </c>
      <c r="X34" s="5">
        <f t="shared" si="20"/>
        <v>151772</v>
      </c>
      <c r="Y34" s="324">
        <f t="shared" ref="Y34:Y35" si="67">SUM(X34-X33)</f>
        <v>0</v>
      </c>
      <c r="Z34" s="5">
        <f t="shared" si="21"/>
        <v>98847</v>
      </c>
      <c r="AA34" s="83">
        <f t="shared" ref="AA34:AA35" si="68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9">AC34-AC33</f>
        <v>0</v>
      </c>
      <c r="AE34" s="5">
        <f t="shared" si="25"/>
        <v>229.78</v>
      </c>
      <c r="AF34" s="83">
        <f t="shared" ref="AF34:AF35" si="70">AE34-AE33</f>
        <v>0</v>
      </c>
      <c r="AG34" s="5">
        <f t="shared" si="27"/>
        <v>2205.62</v>
      </c>
      <c r="AH34" s="83">
        <f t="shared" ref="AH34:AH35" si="71">AG34-AG33</f>
        <v>0</v>
      </c>
      <c r="AI34" s="83">
        <f t="shared" ref="AI34:AI35" si="72">AF34+AH34</f>
        <v>0</v>
      </c>
      <c r="AJ34" s="326">
        <f t="shared" ref="AJ34:AJ35" si="73">+Z34-Z33</f>
        <v>0</v>
      </c>
      <c r="AK34" s="327">
        <f t="shared" ref="AK34:AK35" si="74">SUM(Y34-L34)</f>
        <v>0</v>
      </c>
      <c r="AL34" s="327">
        <f t="shared" ref="AL34:AL35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6">A34</f>
        <v>44345</v>
      </c>
      <c r="AS34" s="424">
        <f t="shared" ref="AS34:AT34" si="77">AS33</f>
        <v>0.9</v>
      </c>
      <c r="AT34" s="201">
        <f t="shared" si="77"/>
        <v>120</v>
      </c>
      <c r="AU34" s="425">
        <f t="shared" ref="AU34:AV34" si="78">AU33</f>
        <v>1.1000000000000001</v>
      </c>
      <c r="AV34" s="201">
        <f t="shared" si="78"/>
        <v>180</v>
      </c>
      <c r="AW34" s="5">
        <v>2.9</v>
      </c>
      <c r="AX34" s="201">
        <f t="shared" si="47"/>
        <v>117</v>
      </c>
      <c r="AY34" s="426">
        <f t="shared" ref="AY34:AY35" si="79">AS34*AT34</f>
        <v>108</v>
      </c>
      <c r="AZ34" s="426">
        <f t="shared" ref="AZ34:AZ35" si="80">AU34*AV34</f>
        <v>198.00000000000003</v>
      </c>
      <c r="BA34" s="426">
        <f t="shared" ref="BA34:BA35" si="81">AW34*AX34</f>
        <v>339.3</v>
      </c>
      <c r="BB34" s="21">
        <f t="shared" ref="BB34:BB35" si="82">AY34-AY33</f>
        <v>0</v>
      </c>
      <c r="BC34" s="21">
        <f t="shared" ref="BC34:BC35" si="83">AZ34-AZ33</f>
        <v>0</v>
      </c>
      <c r="BD34" s="21">
        <f t="shared" ref="BD34:BD35" si="84">BA34-BA33</f>
        <v>0</v>
      </c>
      <c r="BE34" s="24">
        <f t="shared" ref="BE34:BE35" si="85">SUM(BB34:BD34)</f>
        <v>0</v>
      </c>
      <c r="BF34" s="96">
        <f t="shared" ref="BF34:BF35" si="86">SUM(I34-BE34)</f>
        <v>0</v>
      </c>
      <c r="BG34" s="82">
        <f t="shared" ref="BG34:BG35" si="87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619716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6769</v>
      </c>
      <c r="L35" s="274">
        <f t="shared" si="61"/>
        <v>0</v>
      </c>
      <c r="M35" s="410">
        <f t="shared" si="15"/>
        <v>457.44</v>
      </c>
      <c r="N35" s="511">
        <f t="shared" si="62"/>
        <v>0</v>
      </c>
      <c r="O35" s="410">
        <f t="shared" si="16"/>
        <v>529.52</v>
      </c>
      <c r="P35" s="511">
        <f t="shared" si="63"/>
        <v>0</v>
      </c>
      <c r="Q35" s="511">
        <f t="shared" si="64"/>
        <v>0</v>
      </c>
      <c r="R35" s="513"/>
      <c r="S35" s="513"/>
      <c r="T35" s="5">
        <f t="shared" si="17"/>
        <v>5171</v>
      </c>
      <c r="U35" s="5">
        <f t="shared" si="65"/>
        <v>0</v>
      </c>
      <c r="V35" s="5">
        <f t="shared" si="18"/>
        <v>471</v>
      </c>
      <c r="W35" s="324">
        <f t="shared" si="66"/>
        <v>0</v>
      </c>
      <c r="X35" s="5">
        <f t="shared" si="20"/>
        <v>151772</v>
      </c>
      <c r="Y35" s="324">
        <f t="shared" si="67"/>
        <v>0</v>
      </c>
      <c r="Z35" s="5">
        <f t="shared" si="21"/>
        <v>98847</v>
      </c>
      <c r="AA35" s="83">
        <f t="shared" si="68"/>
        <v>0</v>
      </c>
      <c r="AB35" s="5">
        <f t="shared" si="23"/>
        <v>261</v>
      </c>
      <c r="AC35" s="5">
        <f t="shared" si="24"/>
        <v>731</v>
      </c>
      <c r="AD35" s="83">
        <f t="shared" si="69"/>
        <v>0</v>
      </c>
      <c r="AE35" s="5">
        <f t="shared" si="25"/>
        <v>229.78</v>
      </c>
      <c r="AF35" s="83">
        <f t="shared" si="70"/>
        <v>0</v>
      </c>
      <c r="AG35" s="5">
        <f t="shared" si="27"/>
        <v>2205.62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44346</v>
      </c>
      <c r="AS35" s="424">
        <f t="shared" ref="AS35:AT35" si="88">AS34</f>
        <v>0.9</v>
      </c>
      <c r="AT35" s="201">
        <f t="shared" si="88"/>
        <v>120</v>
      </c>
      <c r="AU35" s="425">
        <f t="shared" ref="AU35:AV35" si="89">AU34</f>
        <v>1.1000000000000001</v>
      </c>
      <c r="AV35" s="201">
        <f t="shared" si="89"/>
        <v>180</v>
      </c>
      <c r="AW35" s="5">
        <v>2.9</v>
      </c>
      <c r="AX35" s="201">
        <f t="shared" si="47"/>
        <v>117</v>
      </c>
      <c r="AY35" s="426">
        <f t="shared" si="79"/>
        <v>108</v>
      </c>
      <c r="AZ35" s="426">
        <f t="shared" si="80"/>
        <v>198.00000000000003</v>
      </c>
      <c r="BA35" s="426">
        <f t="shared" si="81"/>
        <v>339.3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90">B36-B35</f>
        <v>0</v>
      </c>
      <c r="D36" s="419">
        <f t="shared" ref="D36" si="91">C36/27</f>
        <v>0</v>
      </c>
      <c r="E36" s="333">
        <f>SUM((C36*$E$4)+(7500/'EDl log'!$A$37))</f>
        <v>241.93548387096774</v>
      </c>
      <c r="F36" s="327"/>
      <c r="G36" s="5">
        <f t="shared" si="13"/>
        <v>619716</v>
      </c>
      <c r="H36" s="5">
        <f t="shared" ref="H36" si="92">G36-G35</f>
        <v>0</v>
      </c>
      <c r="I36" s="5">
        <f t="shared" ref="I36" si="93">C36+H36</f>
        <v>0</v>
      </c>
      <c r="J36" s="334">
        <f t="shared" ref="J36" si="94">IF(I36&gt;0,E36/I36,0)</f>
        <v>0</v>
      </c>
      <c r="K36" s="5">
        <f>'Swimming Pool quality check '!H36</f>
        <v>6769</v>
      </c>
      <c r="L36" s="274">
        <f t="shared" ref="L36" si="95">K36-K35</f>
        <v>0</v>
      </c>
      <c r="M36" s="410">
        <f t="shared" si="15"/>
        <v>457.44</v>
      </c>
      <c r="N36" s="511">
        <f t="shared" ref="N36" si="96">SUM(M36-M35)</f>
        <v>0</v>
      </c>
      <c r="O36" s="410">
        <f t="shared" si="16"/>
        <v>529.52</v>
      </c>
      <c r="P36" s="511">
        <f t="shared" ref="P36" si="97">SUM(O36-O35)</f>
        <v>0</v>
      </c>
      <c r="Q36" s="511">
        <f t="shared" ref="Q36" si="98">SUM(P36+N36)</f>
        <v>0</v>
      </c>
      <c r="R36" s="513"/>
      <c r="S36" s="513"/>
      <c r="T36" s="5">
        <f t="shared" si="17"/>
        <v>5171</v>
      </c>
      <c r="U36" s="5">
        <f t="shared" ref="U36" si="99">SUM(T36-T35)</f>
        <v>0</v>
      </c>
      <c r="V36" s="5">
        <f t="shared" si="18"/>
        <v>471</v>
      </c>
      <c r="W36" s="324">
        <f t="shared" ref="W36" si="100">+V36-V35</f>
        <v>0</v>
      </c>
      <c r="X36" s="5">
        <f t="shared" si="20"/>
        <v>151772</v>
      </c>
      <c r="Y36" s="324">
        <f t="shared" ref="Y36" si="101">SUM(X36-X35)</f>
        <v>0</v>
      </c>
      <c r="Z36" s="5">
        <f t="shared" si="21"/>
        <v>98847</v>
      </c>
      <c r="AA36" s="83">
        <f t="shared" ref="AA36" si="102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3">AC36-AC35</f>
        <v>0</v>
      </c>
      <c r="AE36" s="5">
        <f>AE35</f>
        <v>229.78</v>
      </c>
      <c r="AF36" s="83">
        <f t="shared" ref="AF36" si="104">AE36-AE35</f>
        <v>0</v>
      </c>
      <c r="AG36" s="5">
        <f t="shared" si="27"/>
        <v>2205.62</v>
      </c>
      <c r="AH36" s="83">
        <f t="shared" ref="AH36" si="105">AG36-AG35</f>
        <v>0</v>
      </c>
      <c r="AI36" s="83">
        <f t="shared" ref="AI36" si="106">AF36+AH36</f>
        <v>0</v>
      </c>
      <c r="AJ36" s="326">
        <f t="shared" ref="AJ36" si="107">+Z36-Z35</f>
        <v>0</v>
      </c>
      <c r="AK36" s="327">
        <f t="shared" ref="AK36" si="108">SUM(Y36-L36)</f>
        <v>0</v>
      </c>
      <c r="AL36" s="327">
        <f t="shared" ref="AL36" si="109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10"/>
      <c r="AS36" s="611"/>
      <c r="AT36" s="201"/>
      <c r="AU36" s="612"/>
      <c r="AV36" s="613"/>
      <c r="AW36" s="609"/>
      <c r="AX36" s="613"/>
      <c r="AY36" s="614"/>
      <c r="AZ36" s="614"/>
      <c r="BA36" s="614"/>
      <c r="BB36" s="615"/>
      <c r="BC36" s="615"/>
      <c r="BD36" s="615"/>
      <c r="BE36" s="616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1225</v>
      </c>
      <c r="I37" s="412">
        <f>SUM(I6:I33)</f>
        <v>1225</v>
      </c>
      <c r="L37" s="268">
        <f>SUM(L7:L33)</f>
        <v>18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1</v>
      </c>
      <c r="AJ37" s="322">
        <f>SUM(AJ6:AJ33)</f>
        <v>79</v>
      </c>
      <c r="AK37" s="327">
        <f>SUM(Y37-L37)</f>
        <v>-17</v>
      </c>
      <c r="AL37" s="322">
        <f>SUM(AL6:AL33)</f>
        <v>78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1225</v>
      </c>
      <c r="Z38" s="322">
        <f>SUM(Y37:AJ37)</f>
        <v>80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1225</v>
      </c>
      <c r="H39" s="1">
        <f>SUM(H38+C38)</f>
        <v>7500</v>
      </c>
      <c r="K39" s="1">
        <f>SUM(H39/G39)</f>
        <v>6.1224489795918364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Q1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24" sqref="G24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84" t="s">
        <v>193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6"/>
    </row>
    <row r="2" spans="1:15" ht="15.75" customHeight="1" thickBot="1">
      <c r="A2" s="687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9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3">
        <f t="shared" ref="D5" si="0">(C5+B5)/2</f>
        <v>23</v>
      </c>
      <c r="E5" s="624">
        <v>0.56000000000000005</v>
      </c>
      <c r="F5" s="625">
        <v>0</v>
      </c>
      <c r="G5" s="626">
        <f t="shared" ref="G5" si="1">F5*230</f>
        <v>0</v>
      </c>
      <c r="H5" s="627">
        <v>0</v>
      </c>
      <c r="I5" s="627">
        <v>0</v>
      </c>
      <c r="J5" s="356">
        <v>0</v>
      </c>
      <c r="K5" s="628">
        <f t="shared" ref="K5" si="2">+J5+H5+I5</f>
        <v>0</v>
      </c>
      <c r="L5" s="627"/>
      <c r="M5" s="627"/>
      <c r="N5" s="629"/>
      <c r="O5" s="627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>
        <v>28</v>
      </c>
      <c r="C14" s="37">
        <v>21</v>
      </c>
      <c r="D14" s="26">
        <f t="shared" ref="D14:D33" si="6">(C14+B14)/2</f>
        <v>24.5</v>
      </c>
      <c r="E14" s="340">
        <v>0.55000000000000004</v>
      </c>
      <c r="F14" s="394">
        <v>0</v>
      </c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>
        <v>24</v>
      </c>
      <c r="C15" s="37">
        <v>20</v>
      </c>
      <c r="D15" s="26">
        <f t="shared" si="6"/>
        <v>22</v>
      </c>
      <c r="E15" s="340">
        <v>0.53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>
        <v>24</v>
      </c>
      <c r="C16" s="37">
        <v>18</v>
      </c>
      <c r="D16" s="26">
        <f t="shared" si="6"/>
        <v>21</v>
      </c>
      <c r="E16" s="340">
        <v>0.74</v>
      </c>
      <c r="F16" s="340">
        <v>0</v>
      </c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>
        <v>25</v>
      </c>
      <c r="C17" s="37">
        <v>19</v>
      </c>
      <c r="D17" s="26">
        <f t="shared" si="6"/>
        <v>22</v>
      </c>
      <c r="E17" s="340">
        <v>0.68</v>
      </c>
      <c r="F17" s="340">
        <v>0</v>
      </c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>
        <v>24</v>
      </c>
      <c r="C18" s="37">
        <v>18</v>
      </c>
      <c r="D18" s="26">
        <f t="shared" si="6"/>
        <v>21</v>
      </c>
      <c r="E18" s="427">
        <v>0.74</v>
      </c>
      <c r="F18" s="340">
        <v>0</v>
      </c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>
        <v>24</v>
      </c>
      <c r="C19" s="37">
        <v>21</v>
      </c>
      <c r="D19" s="26">
        <f t="shared" si="6"/>
        <v>22.5</v>
      </c>
      <c r="E19" s="340">
        <v>0.67</v>
      </c>
      <c r="F19" s="340">
        <v>0</v>
      </c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>
        <v>25</v>
      </c>
      <c r="C20" s="37">
        <v>22</v>
      </c>
      <c r="D20" s="26">
        <f t="shared" si="6"/>
        <v>23.5</v>
      </c>
      <c r="E20" s="340">
        <v>0.65</v>
      </c>
      <c r="F20" s="340">
        <v>0</v>
      </c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>
        <v>24</v>
      </c>
      <c r="C21" s="37">
        <v>19</v>
      </c>
      <c r="D21" s="26">
        <f>(C21+B21)/2</f>
        <v>21.5</v>
      </c>
      <c r="E21" s="340">
        <v>0.75</v>
      </c>
      <c r="F21" s="394">
        <v>0</v>
      </c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>
        <v>25</v>
      </c>
      <c r="C22" s="37">
        <v>20</v>
      </c>
      <c r="D22" s="26">
        <f t="shared" si="6"/>
        <v>22.5</v>
      </c>
      <c r="E22" s="340">
        <v>0.7</v>
      </c>
      <c r="F22" s="394">
        <v>0</v>
      </c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>
        <v>32</v>
      </c>
      <c r="C23" s="37">
        <v>14</v>
      </c>
      <c r="D23" s="26">
        <f>(C23+B23)/2</f>
        <v>23</v>
      </c>
      <c r="E23" s="340">
        <v>0.34</v>
      </c>
      <c r="F23" s="394">
        <v>0</v>
      </c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>
        <v>26</v>
      </c>
      <c r="C24" s="37">
        <v>20</v>
      </c>
      <c r="D24" s="26">
        <f t="shared" ref="D24" si="8">(C24+B24)/2</f>
        <v>23</v>
      </c>
      <c r="E24" s="394">
        <v>0.73</v>
      </c>
      <c r="F24" s="340">
        <v>0</v>
      </c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/>
      <c r="C25" s="37"/>
      <c r="D25" s="26">
        <f t="shared" si="6"/>
        <v>0</v>
      </c>
      <c r="E25" s="340"/>
      <c r="F25" s="340"/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/>
      <c r="C26" s="37"/>
      <c r="D26" s="26">
        <f>(C26+B26)/2</f>
        <v>0</v>
      </c>
      <c r="E26" s="340"/>
      <c r="F26" s="340"/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/>
      <c r="C27" s="37"/>
      <c r="D27" s="26">
        <f t="shared" si="6"/>
        <v>0</v>
      </c>
      <c r="E27" s="340"/>
      <c r="F27" s="340"/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/>
      <c r="C28" s="37"/>
      <c r="D28" s="26">
        <f t="shared" si="6"/>
        <v>0</v>
      </c>
      <c r="E28" s="394"/>
      <c r="F28" s="340"/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/>
      <c r="C29" s="37"/>
      <c r="D29" s="26">
        <f t="shared" si="6"/>
        <v>0</v>
      </c>
      <c r="E29" s="340"/>
      <c r="F29" s="340"/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/>
      <c r="C30" s="37"/>
      <c r="D30" s="26">
        <f t="shared" si="6"/>
        <v>0</v>
      </c>
      <c r="E30" s="340"/>
      <c r="F30" s="394"/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/>
      <c r="C31" s="37"/>
      <c r="D31" s="26">
        <f t="shared" si="6"/>
        <v>0</v>
      </c>
      <c r="E31" s="341"/>
      <c r="F31" s="280"/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24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2"/>
  <sheetViews>
    <sheetView topLeftCell="A4" zoomScale="90" zoomScaleNormal="90" workbookViewId="0">
      <pane xSplit="1" topLeftCell="AO1" activePane="topRight" state="frozen"/>
      <selection pane="topRight" activeCell="BJ21" sqref="BJ21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92" t="s">
        <v>108</v>
      </c>
      <c r="AS3" s="692" t="s">
        <v>233</v>
      </c>
      <c r="AT3" s="690" t="s">
        <v>301</v>
      </c>
      <c r="AU3" s="69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3"/>
      <c r="AS4" s="69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[3]tanks!AV35</f>
        <v>0.92</v>
      </c>
      <c r="AW5" s="289">
        <f>[3]tanks!AW35</f>
        <v>-169</v>
      </c>
      <c r="AX5" s="289">
        <f>[3]tanks!AX35</f>
        <v>-1434.3870967742259</v>
      </c>
      <c r="AY5" s="289">
        <f>[3]tanks!AY35</f>
        <v>-1603.3870967742259</v>
      </c>
      <c r="AZ5" s="502">
        <f>[3]tanks!AZ35</f>
        <v>0</v>
      </c>
      <c r="BA5" s="289">
        <f>[3]tanks!BA35</f>
        <v>23</v>
      </c>
      <c r="BB5" s="502">
        <f>[3]tanks!BB35</f>
        <v>0.56000000000000005</v>
      </c>
      <c r="BC5" s="529">
        <f>[4]tanks!BC36</f>
        <v>0</v>
      </c>
      <c r="BD5" s="529">
        <f>[4]tanks!BD36</f>
        <v>19222</v>
      </c>
      <c r="BE5" s="529" t="e">
        <f>[4]tanks!BE36</f>
        <v>#REF!</v>
      </c>
      <c r="BF5" s="529">
        <f>[4]tanks!BF36</f>
        <v>0</v>
      </c>
      <c r="BG5" s="529" t="e">
        <f>[4]tanks!BG36</f>
        <v>#REF!</v>
      </c>
      <c r="BH5" s="529">
        <f>[5]tanks!BH36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-1533.3870967741823</v>
      </c>
      <c r="AT6" s="355"/>
      <c r="AU6" s="593"/>
      <c r="AV6" s="515">
        <f>IF(AT6&gt;0,AU6,AV5)</f>
        <v>0.92</v>
      </c>
      <c r="AW6" s="290">
        <f>-SUM('B5'!AI5)</f>
        <v>-195</v>
      </c>
      <c r="AX6" s="290">
        <f>-SUM(AW6-AS6)</f>
        <v>-1338.3870967741823</v>
      </c>
      <c r="AY6" s="37">
        <f>SUM(AX6+AW6)</f>
        <v>-1533.3870967741823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-111.53225806451519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593"/>
      <c r="AV7" s="515">
        <f>IF(AT7&gt;0,AU7,AV6)</f>
        <v>0.92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593"/>
      <c r="AV8" s="515">
        <f t="shared" ref="AV8:AV31" si="43">IF(AT8&gt;0,AU8,AV7)</f>
        <v>0.92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593"/>
      <c r="AV9" s="515">
        <f t="shared" si="43"/>
        <v>0.92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593"/>
      <c r="AV10" s="515">
        <f>IF(AT10&gt;0,AU10,AV9)</f>
        <v>0.92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593"/>
      <c r="AV11" s="515">
        <f>IF(AT11&gt;0,AU11,AV10)</f>
        <v>0.92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593"/>
      <c r="AV12" s="515">
        <f t="shared" si="43"/>
        <v>0.92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593"/>
      <c r="AV13" s="515">
        <f t="shared" si="43"/>
        <v>0.92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593"/>
      <c r="AV14" s="515">
        <f t="shared" si="43"/>
        <v>0.92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24.5</v>
      </c>
      <c r="BB14" s="394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(305/1185)*ELEC!Q12</f>
        <v>1631.2995780590045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184</v>
      </c>
      <c r="C15" s="203">
        <f t="shared" si="18"/>
        <v>3958.9677419354839</v>
      </c>
      <c r="D15">
        <f t="shared" si="19"/>
        <v>184</v>
      </c>
      <c r="E15" s="203">
        <f t="shared" si="18"/>
        <v>3958.9677419354839</v>
      </c>
      <c r="F15">
        <f t="shared" si="20"/>
        <v>184</v>
      </c>
      <c r="G15" s="203">
        <f t="shared" si="1"/>
        <v>3958.9677419354839</v>
      </c>
      <c r="H15" s="203">
        <f t="shared" si="21"/>
        <v>184</v>
      </c>
      <c r="I15" s="203">
        <f t="shared" si="2"/>
        <v>3958.9677419354839</v>
      </c>
      <c r="J15" s="203">
        <f t="shared" si="22"/>
        <v>184</v>
      </c>
      <c r="K15" s="203">
        <f t="shared" si="3"/>
        <v>3958.9677419354839</v>
      </c>
      <c r="L15" s="203">
        <f t="shared" si="23"/>
        <v>184</v>
      </c>
      <c r="M15" s="203">
        <f t="shared" si="4"/>
        <v>3958.9677419354839</v>
      </c>
      <c r="N15" s="203">
        <f t="shared" si="24"/>
        <v>184</v>
      </c>
      <c r="O15" s="203">
        <f t="shared" si="5"/>
        <v>3958.9677419354839</v>
      </c>
      <c r="P15" s="203">
        <f t="shared" si="25"/>
        <v>184</v>
      </c>
      <c r="Q15" s="203">
        <f t="shared" si="6"/>
        <v>3958.9677419354839</v>
      </c>
      <c r="R15" s="203">
        <f t="shared" si="26"/>
        <v>184</v>
      </c>
      <c r="S15" s="203">
        <f t="shared" si="7"/>
        <v>3958.9677419354839</v>
      </c>
      <c r="T15" s="203">
        <f t="shared" si="27"/>
        <v>184</v>
      </c>
      <c r="U15" s="203">
        <f t="shared" si="8"/>
        <v>3958.9677419354839</v>
      </c>
      <c r="V15" s="203">
        <f t="shared" si="28"/>
        <v>184</v>
      </c>
      <c r="W15" s="203">
        <f t="shared" si="9"/>
        <v>3958.9677419354839</v>
      </c>
      <c r="X15" s="35">
        <f t="shared" si="10"/>
        <v>0.59354838709677427</v>
      </c>
      <c r="Y15" s="36">
        <f t="shared" si="29"/>
        <v>43548.645161290326</v>
      </c>
      <c r="Z15" s="203">
        <f>'B5'!C14</f>
        <v>192</v>
      </c>
      <c r="AA15" s="203">
        <f t="shared" si="30"/>
        <v>1920</v>
      </c>
      <c r="AB15" s="203">
        <f t="shared" si="31"/>
        <v>192</v>
      </c>
      <c r="AC15" s="203">
        <f t="shared" si="30"/>
        <v>1920</v>
      </c>
      <c r="AD15" s="203">
        <f t="shared" si="32"/>
        <v>192</v>
      </c>
      <c r="AE15" s="203">
        <f t="shared" si="11"/>
        <v>1920</v>
      </c>
      <c r="AF15" s="203">
        <f t="shared" si="33"/>
        <v>192</v>
      </c>
      <c r="AG15" s="203">
        <f t="shared" si="12"/>
        <v>1920</v>
      </c>
      <c r="AH15" s="203">
        <f t="shared" si="34"/>
        <v>192</v>
      </c>
      <c r="AI15" s="203">
        <f t="shared" si="13"/>
        <v>1920</v>
      </c>
      <c r="AJ15" s="203">
        <f t="shared" si="35"/>
        <v>192</v>
      </c>
      <c r="AK15" s="203">
        <f t="shared" si="14"/>
        <v>1920</v>
      </c>
      <c r="AL15" s="203">
        <f t="shared" si="36"/>
        <v>192</v>
      </c>
      <c r="AM15" s="203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3">
        <f t="shared" si="37"/>
        <v>0.61297886588458994</v>
      </c>
      <c r="AR15" s="38">
        <f t="shared" si="38"/>
        <v>56988.645161290326</v>
      </c>
      <c r="AS15" s="197">
        <f t="shared" si="39"/>
        <v>-2313.4193548386975</v>
      </c>
      <c r="AT15" s="271"/>
      <c r="AU15" s="593"/>
      <c r="AV15" s="515">
        <f>IF(AT15&gt;0,AU15,AV14)</f>
        <v>0.92</v>
      </c>
      <c r="AW15" s="290">
        <f>-SUM('B5'!AI14)</f>
        <v>-82</v>
      </c>
      <c r="AX15" s="290">
        <f>-SUM(AW15-AS15)</f>
        <v>-2231.4193548386975</v>
      </c>
      <c r="AY15" s="37">
        <f t="shared" si="41"/>
        <v>-2313.4193548386975</v>
      </c>
      <c r="AZ15" s="100">
        <f>ELEC!A12</f>
        <v>0</v>
      </c>
      <c r="BA15" s="118">
        <f>'General information '!D15</f>
        <v>22</v>
      </c>
      <c r="BB15" s="394">
        <f>SUM('General information '!E15)</f>
        <v>0.53</v>
      </c>
      <c r="BC15" s="3">
        <f t="shared" si="44"/>
        <v>0</v>
      </c>
      <c r="BD15" s="102">
        <v>19222</v>
      </c>
      <c r="BE15" s="14">
        <f>(305/1185)*ELEC!Q13</f>
        <v>1478.41350210939</v>
      </c>
      <c r="BF15" s="14"/>
      <c r="BG15" s="14" t="e">
        <f>#REF!-BE15</f>
        <v>#REF!</v>
      </c>
      <c r="BH15" s="11"/>
      <c r="BI15">
        <v>4</v>
      </c>
      <c r="BJ15">
        <f t="shared" si="42"/>
        <v>-557.85483870967437</v>
      </c>
      <c r="BK15" s="585">
        <f>GEN!AF12</f>
        <v>0.44013888888887065</v>
      </c>
    </row>
    <row r="16" spans="1:63">
      <c r="A16" s="443">
        <f>ELEC!C13</f>
        <v>44327</v>
      </c>
      <c r="B16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17"/>
        <v>16870</v>
      </c>
      <c r="AQ16" s="223">
        <f t="shared" si="37"/>
        <v>0.77715947218492265</v>
      </c>
      <c r="AR16" s="38">
        <f t="shared" si="38"/>
        <v>72252.516129032258</v>
      </c>
      <c r="AS16" s="197">
        <f t="shared" si="39"/>
        <v>718.87096774193196</v>
      </c>
      <c r="AT16" s="355">
        <v>14545</v>
      </c>
      <c r="AU16" s="652">
        <v>0.94</v>
      </c>
      <c r="AV16" s="515">
        <f>IF(AT16&gt;0,AU16,AV15)</f>
        <v>0.94</v>
      </c>
      <c r="AW16" s="290">
        <f>-SUM('B5'!AI15)</f>
        <v>-137</v>
      </c>
      <c r="AX16" s="290">
        <f>-SUM(AW16-AS16)</f>
        <v>855.87096774193196</v>
      </c>
      <c r="AY16" s="37">
        <f t="shared" si="41"/>
        <v>718.87096774193196</v>
      </c>
      <c r="AZ16" s="100">
        <f>ELEC!A13</f>
        <v>0</v>
      </c>
      <c r="BA16" s="118">
        <f>'General information '!D16</f>
        <v>21</v>
      </c>
      <c r="BB16" s="394">
        <f>SUM('General information '!E16)</f>
        <v>0.74</v>
      </c>
      <c r="BC16" s="3">
        <f t="shared" si="44"/>
        <v>1</v>
      </c>
      <c r="BD16" s="102">
        <v>19222</v>
      </c>
      <c r="BE16" s="14">
        <f>(305/1185)*ELEC!Q14</f>
        <v>1870.9240506329716</v>
      </c>
      <c r="BF16" s="14"/>
      <c r="BG16" s="14" t="e">
        <f>#REF!-BE16</f>
        <v>#REF!</v>
      </c>
      <c r="BH16" s="11"/>
      <c r="BI16">
        <v>3</v>
      </c>
      <c r="BJ16">
        <f t="shared" si="42"/>
        <v>285.29032258064399</v>
      </c>
      <c r="BK16" s="585">
        <f>GEN!AF13</f>
        <v>0.3589999999999236</v>
      </c>
    </row>
    <row r="17" spans="1:64">
      <c r="A17" s="443">
        <f>ELEC!C14</f>
        <v>44328</v>
      </c>
      <c r="B17">
        <f>'B5'!B16</f>
        <v>225</v>
      </c>
      <c r="C17" s="203">
        <f t="shared" si="18"/>
        <v>4841.1290322580644</v>
      </c>
      <c r="D17">
        <f t="shared" si="19"/>
        <v>225</v>
      </c>
      <c r="E17" s="203">
        <f t="shared" si="18"/>
        <v>4841.1290322580644</v>
      </c>
      <c r="F17">
        <f t="shared" si="20"/>
        <v>225</v>
      </c>
      <c r="G17" s="203">
        <f t="shared" si="1"/>
        <v>4841.1290322580644</v>
      </c>
      <c r="H17" s="203">
        <f t="shared" si="21"/>
        <v>225</v>
      </c>
      <c r="I17" s="203">
        <f t="shared" si="2"/>
        <v>4841.1290322580644</v>
      </c>
      <c r="J17" s="203">
        <f t="shared" si="22"/>
        <v>225</v>
      </c>
      <c r="K17" s="203">
        <f t="shared" si="3"/>
        <v>4841.1290322580644</v>
      </c>
      <c r="L17" s="203">
        <f t="shared" si="23"/>
        <v>225</v>
      </c>
      <c r="M17" s="203">
        <f t="shared" si="4"/>
        <v>4841.1290322580644</v>
      </c>
      <c r="N17" s="203">
        <f t="shared" si="24"/>
        <v>225</v>
      </c>
      <c r="O17" s="203">
        <f t="shared" si="5"/>
        <v>4841.1290322580644</v>
      </c>
      <c r="P17" s="203">
        <f t="shared" si="25"/>
        <v>225</v>
      </c>
      <c r="Q17" s="203">
        <f t="shared" si="6"/>
        <v>4841.1290322580644</v>
      </c>
      <c r="R17" s="203">
        <f t="shared" si="26"/>
        <v>225</v>
      </c>
      <c r="S17" s="203">
        <f t="shared" si="7"/>
        <v>4841.1290322580644</v>
      </c>
      <c r="T17" s="203">
        <f t="shared" si="27"/>
        <v>225</v>
      </c>
      <c r="U17" s="203">
        <f t="shared" si="8"/>
        <v>4841.1290322580644</v>
      </c>
      <c r="V17" s="203">
        <f t="shared" si="28"/>
        <v>225</v>
      </c>
      <c r="W17" s="203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3">
        <f>'B5'!C16</f>
        <v>232</v>
      </c>
      <c r="AA17" s="203">
        <f t="shared" si="30"/>
        <v>2320</v>
      </c>
      <c r="AB17" s="203">
        <f t="shared" si="31"/>
        <v>232</v>
      </c>
      <c r="AC17" s="203">
        <f t="shared" si="30"/>
        <v>2320</v>
      </c>
      <c r="AD17" s="203">
        <f t="shared" si="32"/>
        <v>232</v>
      </c>
      <c r="AE17" s="203">
        <f t="shared" si="11"/>
        <v>2320</v>
      </c>
      <c r="AF17" s="203">
        <f t="shared" si="33"/>
        <v>232</v>
      </c>
      <c r="AG17" s="203">
        <f t="shared" si="12"/>
        <v>2320</v>
      </c>
      <c r="AH17" s="203">
        <f t="shared" si="34"/>
        <v>232</v>
      </c>
      <c r="AI17" s="203">
        <f t="shared" si="13"/>
        <v>2320</v>
      </c>
      <c r="AJ17" s="203">
        <f t="shared" si="35"/>
        <v>232</v>
      </c>
      <c r="AK17" s="203">
        <f t="shared" si="14"/>
        <v>2320</v>
      </c>
      <c r="AL17" s="203">
        <f t="shared" si="36"/>
        <v>232</v>
      </c>
      <c r="AM17" s="203">
        <f t="shared" si="15"/>
        <v>2320</v>
      </c>
      <c r="AN17" s="35">
        <f t="shared" si="16"/>
        <v>0.82857142857142863</v>
      </c>
      <c r="AO17" s="36">
        <f>SUM(AA17+AC17+AE17+AG17+AI17+AK17+AM17)</f>
        <v>16240</v>
      </c>
      <c r="AQ17" s="223">
        <f t="shared" si="37"/>
        <v>0.74747143546131756</v>
      </c>
      <c r="AR17" s="38">
        <f t="shared" si="38"/>
        <v>69492.419354838697</v>
      </c>
      <c r="AS17" s="197">
        <f t="shared" si="39"/>
        <v>-2760.0967741935601</v>
      </c>
      <c r="AT17" s="355"/>
      <c r="AU17" s="593"/>
      <c r="AV17" s="515">
        <f t="shared" si="43"/>
        <v>0.94</v>
      </c>
      <c r="AW17" s="290">
        <f>-SUM('B5'!AI16)</f>
        <v>-154</v>
      </c>
      <c r="AX17" s="290">
        <f t="shared" si="40"/>
        <v>-2606.0967741935601</v>
      </c>
      <c r="AY17" s="37">
        <f t="shared" si="41"/>
        <v>-2760.0967741935601</v>
      </c>
      <c r="AZ17" s="100">
        <f>ELEC!A14</f>
        <v>0</v>
      </c>
      <c r="BA17" s="118">
        <f>'General information '!D17</f>
        <v>22</v>
      </c>
      <c r="BB17" s="394">
        <f>SUM('General information '!E17)</f>
        <v>0.68</v>
      </c>
      <c r="BC17" s="3">
        <f t="shared" si="44"/>
        <v>0</v>
      </c>
      <c r="BD17" s="102">
        <v>19222</v>
      </c>
      <c r="BE17" s="14">
        <f>(305/1185)*ELEC!Q15</f>
        <v>1725.7594936713356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218</v>
      </c>
      <c r="C18" s="203">
        <f t="shared" si="18"/>
        <v>4690.5161290322576</v>
      </c>
      <c r="D18">
        <f t="shared" si="19"/>
        <v>218</v>
      </c>
      <c r="E18" s="203">
        <f t="shared" si="18"/>
        <v>4690.5161290322576</v>
      </c>
      <c r="F18">
        <f t="shared" si="20"/>
        <v>218</v>
      </c>
      <c r="G18" s="203">
        <f t="shared" si="1"/>
        <v>4690.5161290322576</v>
      </c>
      <c r="H18" s="203">
        <f t="shared" si="21"/>
        <v>218</v>
      </c>
      <c r="I18" s="203">
        <f t="shared" si="2"/>
        <v>4690.5161290322576</v>
      </c>
      <c r="J18" s="203">
        <f t="shared" si="22"/>
        <v>218</v>
      </c>
      <c r="K18" s="203">
        <f t="shared" si="3"/>
        <v>4690.5161290322576</v>
      </c>
      <c r="L18" s="203">
        <f t="shared" si="23"/>
        <v>218</v>
      </c>
      <c r="M18" s="203">
        <f t="shared" si="4"/>
        <v>4690.5161290322576</v>
      </c>
      <c r="N18" s="203">
        <f t="shared" si="24"/>
        <v>218</v>
      </c>
      <c r="O18" s="203">
        <f t="shared" si="5"/>
        <v>4690.5161290322576</v>
      </c>
      <c r="P18" s="203">
        <f t="shared" si="25"/>
        <v>218</v>
      </c>
      <c r="Q18" s="203">
        <f t="shared" si="6"/>
        <v>4690.5161290322576</v>
      </c>
      <c r="R18" s="203">
        <f t="shared" si="26"/>
        <v>218</v>
      </c>
      <c r="S18" s="203">
        <f t="shared" si="7"/>
        <v>4690.5161290322576</v>
      </c>
      <c r="T18" s="203">
        <f t="shared" si="27"/>
        <v>218</v>
      </c>
      <c r="U18" s="203">
        <f t="shared" si="8"/>
        <v>4690.5161290322576</v>
      </c>
      <c r="V18" s="203">
        <f t="shared" si="28"/>
        <v>218</v>
      </c>
      <c r="W18" s="203">
        <f t="shared" si="9"/>
        <v>4690.5161290322576</v>
      </c>
      <c r="X18" s="35">
        <f t="shared" si="10"/>
        <v>0.70322580645161281</v>
      </c>
      <c r="Y18" s="36">
        <f t="shared" si="29"/>
        <v>51595.677419354834</v>
      </c>
      <c r="Z18" s="203">
        <f>'B5'!C17</f>
        <v>224</v>
      </c>
      <c r="AA18" s="203">
        <f t="shared" si="30"/>
        <v>2240</v>
      </c>
      <c r="AB18" s="203">
        <f t="shared" si="31"/>
        <v>224</v>
      </c>
      <c r="AC18" s="203">
        <f t="shared" si="30"/>
        <v>2240</v>
      </c>
      <c r="AD18" s="203">
        <f t="shared" si="32"/>
        <v>224</v>
      </c>
      <c r="AE18" s="203">
        <f t="shared" si="11"/>
        <v>2240</v>
      </c>
      <c r="AF18" s="203">
        <f t="shared" si="33"/>
        <v>224</v>
      </c>
      <c r="AG18" s="203">
        <f t="shared" si="12"/>
        <v>2240</v>
      </c>
      <c r="AH18" s="203">
        <f t="shared" si="34"/>
        <v>224</v>
      </c>
      <c r="AI18" s="203">
        <f t="shared" si="13"/>
        <v>2240</v>
      </c>
      <c r="AJ18" s="203">
        <f t="shared" si="35"/>
        <v>224</v>
      </c>
      <c r="AK18" s="203">
        <f t="shared" si="14"/>
        <v>2240</v>
      </c>
      <c r="AL18" s="203">
        <f t="shared" si="36"/>
        <v>224</v>
      </c>
      <c r="AM18" s="203">
        <f t="shared" si="15"/>
        <v>2240</v>
      </c>
      <c r="AN18" s="35">
        <f t="shared" si="16"/>
        <v>0.8</v>
      </c>
      <c r="AO18" s="36">
        <f t="shared" si="17"/>
        <v>15680</v>
      </c>
      <c r="AQ18" s="223">
        <f t="shared" si="37"/>
        <v>0.7236278091788193</v>
      </c>
      <c r="AR18" s="38">
        <f t="shared" si="38"/>
        <v>67275.677419354834</v>
      </c>
      <c r="AS18" s="197">
        <f t="shared" si="39"/>
        <v>-2216.7419354838639</v>
      </c>
      <c r="AT18" s="271"/>
      <c r="AU18" s="593"/>
      <c r="AV18" s="515">
        <f>IF(AT18&gt;0,AU18,AV17)</f>
        <v>0.94</v>
      </c>
      <c r="AW18" s="290">
        <f>-SUM('B5'!AI17)</f>
        <v>-115</v>
      </c>
      <c r="AX18" s="290">
        <f t="shared" si="40"/>
        <v>-2101.7419354838639</v>
      </c>
      <c r="AY18" s="37">
        <f t="shared" si="41"/>
        <v>-2216.7419354838639</v>
      </c>
      <c r="AZ18" s="100">
        <f>ELEC!A15</f>
        <v>0</v>
      </c>
      <c r="BA18" s="118">
        <f>'General information '!D18</f>
        <v>21</v>
      </c>
      <c r="BB18" s="394">
        <f>SUM('General information '!E18)</f>
        <v>0.74</v>
      </c>
      <c r="BC18" s="3">
        <f t="shared" si="44"/>
        <v>0</v>
      </c>
      <c r="BD18" s="102">
        <v>19222</v>
      </c>
      <c r="BE18" s="14">
        <f>(305/1185)*ELEC!Q16</f>
        <v>1386.0126582274363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212</v>
      </c>
      <c r="C19" s="203">
        <f t="shared" si="18"/>
        <v>4561.4193548387093</v>
      </c>
      <c r="D19">
        <f t="shared" si="19"/>
        <v>212</v>
      </c>
      <c r="E19" s="203">
        <f t="shared" si="18"/>
        <v>4561.4193548387093</v>
      </c>
      <c r="F19">
        <f t="shared" si="20"/>
        <v>212</v>
      </c>
      <c r="G19" s="203">
        <f t="shared" si="1"/>
        <v>4561.4193548387093</v>
      </c>
      <c r="H19" s="203">
        <f t="shared" si="21"/>
        <v>212</v>
      </c>
      <c r="I19" s="203">
        <f t="shared" si="2"/>
        <v>4561.4193548387093</v>
      </c>
      <c r="J19" s="203">
        <f t="shared" si="22"/>
        <v>212</v>
      </c>
      <c r="K19" s="203">
        <f t="shared" si="3"/>
        <v>4561.4193548387093</v>
      </c>
      <c r="L19" s="203">
        <f t="shared" si="23"/>
        <v>212</v>
      </c>
      <c r="M19" s="203">
        <f t="shared" si="4"/>
        <v>4561.4193548387093</v>
      </c>
      <c r="N19" s="203">
        <f t="shared" si="24"/>
        <v>212</v>
      </c>
      <c r="O19" s="203">
        <f t="shared" si="5"/>
        <v>4561.4193548387093</v>
      </c>
      <c r="P19" s="203">
        <f t="shared" si="25"/>
        <v>212</v>
      </c>
      <c r="Q19" s="203">
        <f t="shared" si="6"/>
        <v>4561.4193548387093</v>
      </c>
      <c r="R19" s="203">
        <f t="shared" si="26"/>
        <v>212</v>
      </c>
      <c r="S19" s="203">
        <f t="shared" si="7"/>
        <v>4561.4193548387093</v>
      </c>
      <c r="T19" s="203">
        <f t="shared" si="27"/>
        <v>212</v>
      </c>
      <c r="U19" s="203">
        <f t="shared" si="8"/>
        <v>4561.4193548387093</v>
      </c>
      <c r="V19" s="203">
        <f t="shared" si="28"/>
        <v>212</v>
      </c>
      <c r="W19" s="203">
        <f t="shared" si="9"/>
        <v>4561.4193548387093</v>
      </c>
      <c r="X19" s="35">
        <f t="shared" si="10"/>
        <v>0.68387096774193556</v>
      </c>
      <c r="Y19" s="36">
        <f t="shared" si="29"/>
        <v>50175.61290322581</v>
      </c>
      <c r="Z19" s="203">
        <f>'B5'!C18</f>
        <v>218</v>
      </c>
      <c r="AA19" s="203">
        <f t="shared" si="30"/>
        <v>2180</v>
      </c>
      <c r="AB19" s="203">
        <f t="shared" si="31"/>
        <v>218</v>
      </c>
      <c r="AC19" s="203">
        <f t="shared" si="30"/>
        <v>2180</v>
      </c>
      <c r="AD19" s="203">
        <f t="shared" si="32"/>
        <v>218</v>
      </c>
      <c r="AE19" s="203">
        <f t="shared" si="11"/>
        <v>2180</v>
      </c>
      <c r="AF19" s="203">
        <f t="shared" si="33"/>
        <v>218</v>
      </c>
      <c r="AG19" s="203">
        <f t="shared" si="12"/>
        <v>2180</v>
      </c>
      <c r="AH19" s="203">
        <f t="shared" si="34"/>
        <v>218</v>
      </c>
      <c r="AI19" s="203">
        <f t="shared" si="13"/>
        <v>2180</v>
      </c>
      <c r="AJ19" s="203">
        <f t="shared" si="35"/>
        <v>218</v>
      </c>
      <c r="AK19" s="203">
        <f t="shared" si="14"/>
        <v>2180</v>
      </c>
      <c r="AL19" s="203">
        <f t="shared" si="36"/>
        <v>218</v>
      </c>
      <c r="AM19" s="203">
        <f t="shared" si="15"/>
        <v>2180</v>
      </c>
      <c r="AN19" s="35">
        <f t="shared" si="16"/>
        <v>0.77857142857142858</v>
      </c>
      <c r="AO19" s="36">
        <f t="shared" si="17"/>
        <v>15260</v>
      </c>
      <c r="AQ19" s="223">
        <f t="shared" si="37"/>
        <v>0.70383578469641617</v>
      </c>
      <c r="AR19" s="38">
        <f t="shared" si="38"/>
        <v>65435.61290322581</v>
      </c>
      <c r="AS19" s="197">
        <f t="shared" si="39"/>
        <v>-1840.0645161290231</v>
      </c>
      <c r="AT19" s="271"/>
      <c r="AU19" s="593"/>
      <c r="AV19" s="515">
        <f t="shared" si="43"/>
        <v>0.94</v>
      </c>
      <c r="AW19" s="290">
        <f>-SUM('B5'!AI18)</f>
        <v>-89</v>
      </c>
      <c r="AX19" s="290">
        <f t="shared" si="40"/>
        <v>-1751.0645161290231</v>
      </c>
      <c r="AY19" s="37">
        <f t="shared" si="41"/>
        <v>-1840.0645161290231</v>
      </c>
      <c r="AZ19" s="100">
        <f>ELEC!A16</f>
        <v>0</v>
      </c>
      <c r="BA19" s="118">
        <f>'General information '!D19</f>
        <v>22.5</v>
      </c>
      <c r="BB19" s="394">
        <f>SUM('General information '!E19)</f>
        <v>0.67</v>
      </c>
      <c r="BC19" s="3">
        <f t="shared" si="44"/>
        <v>0</v>
      </c>
      <c r="BD19" s="102">
        <v>19222</v>
      </c>
      <c r="BE19" s="14">
        <f>(305/1185)*ELEC!Q17</f>
        <v>1646.2278481014307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206</v>
      </c>
      <c r="C20" s="203">
        <f t="shared" si="18"/>
        <v>4432.322580645161</v>
      </c>
      <c r="D20">
        <f t="shared" si="19"/>
        <v>206</v>
      </c>
      <c r="E20" s="203">
        <f t="shared" si="18"/>
        <v>4432.322580645161</v>
      </c>
      <c r="F20">
        <f t="shared" si="20"/>
        <v>206</v>
      </c>
      <c r="G20" s="203">
        <f t="shared" si="1"/>
        <v>4432.322580645161</v>
      </c>
      <c r="H20" s="203">
        <f t="shared" si="21"/>
        <v>206</v>
      </c>
      <c r="I20" s="203">
        <f t="shared" si="2"/>
        <v>4432.322580645161</v>
      </c>
      <c r="J20" s="203">
        <f t="shared" si="22"/>
        <v>206</v>
      </c>
      <c r="K20" s="203">
        <f t="shared" si="3"/>
        <v>4432.322580645161</v>
      </c>
      <c r="L20" s="203">
        <f t="shared" si="23"/>
        <v>206</v>
      </c>
      <c r="M20" s="203">
        <f t="shared" si="4"/>
        <v>4432.322580645161</v>
      </c>
      <c r="N20" s="203">
        <f t="shared" si="24"/>
        <v>206</v>
      </c>
      <c r="O20" s="203">
        <f t="shared" si="5"/>
        <v>4432.322580645161</v>
      </c>
      <c r="P20" s="203">
        <f t="shared" si="25"/>
        <v>206</v>
      </c>
      <c r="Q20" s="203">
        <f t="shared" si="6"/>
        <v>4432.322580645161</v>
      </c>
      <c r="R20" s="203">
        <f t="shared" si="26"/>
        <v>206</v>
      </c>
      <c r="S20" s="203">
        <f t="shared" si="7"/>
        <v>4432.322580645161</v>
      </c>
      <c r="T20" s="203">
        <f t="shared" si="27"/>
        <v>206</v>
      </c>
      <c r="U20" s="203">
        <f t="shared" si="8"/>
        <v>4432.322580645161</v>
      </c>
      <c r="V20" s="203">
        <f t="shared" si="28"/>
        <v>206</v>
      </c>
      <c r="W20" s="203">
        <f t="shared" si="9"/>
        <v>4432.322580645161</v>
      </c>
      <c r="X20" s="35">
        <f t="shared" si="10"/>
        <v>0.66451612903225787</v>
      </c>
      <c r="Y20" s="36">
        <f t="shared" si="29"/>
        <v>48755.548387096758</v>
      </c>
      <c r="Z20" s="203">
        <f>'B5'!C19</f>
        <v>213</v>
      </c>
      <c r="AA20" s="203">
        <f t="shared" si="30"/>
        <v>2130</v>
      </c>
      <c r="AB20" s="203">
        <f t="shared" si="31"/>
        <v>213</v>
      </c>
      <c r="AC20" s="203">
        <f t="shared" si="30"/>
        <v>2130</v>
      </c>
      <c r="AD20" s="203">
        <f t="shared" si="32"/>
        <v>213</v>
      </c>
      <c r="AE20" s="203">
        <f t="shared" si="11"/>
        <v>2130</v>
      </c>
      <c r="AF20" s="203">
        <f t="shared" si="33"/>
        <v>213</v>
      </c>
      <c r="AG20" s="203">
        <f t="shared" si="12"/>
        <v>2130</v>
      </c>
      <c r="AH20" s="203">
        <f t="shared" si="34"/>
        <v>213</v>
      </c>
      <c r="AI20" s="203">
        <f t="shared" si="13"/>
        <v>2130</v>
      </c>
      <c r="AJ20" s="203">
        <f t="shared" si="35"/>
        <v>213</v>
      </c>
      <c r="AK20" s="203">
        <f t="shared" si="14"/>
        <v>2130</v>
      </c>
      <c r="AL20" s="203">
        <f t="shared" si="36"/>
        <v>213</v>
      </c>
      <c r="AM20" s="203">
        <f t="shared" si="15"/>
        <v>2130</v>
      </c>
      <c r="AN20" s="35">
        <f t="shared" si="16"/>
        <v>0.76071428571428568</v>
      </c>
      <c r="AO20" s="36">
        <f t="shared" si="17"/>
        <v>14910</v>
      </c>
      <c r="AQ20" s="223">
        <f t="shared" si="37"/>
        <v>0.68479669126704057</v>
      </c>
      <c r="AR20" s="38">
        <f t="shared" si="38"/>
        <v>63665.548387096758</v>
      </c>
      <c r="AS20" s="197">
        <f t="shared" si="39"/>
        <v>-1770.0645161290522</v>
      </c>
      <c r="AT20" s="271"/>
      <c r="AU20" s="593"/>
      <c r="AV20" s="515">
        <f t="shared" si="43"/>
        <v>0.94</v>
      </c>
      <c r="AW20" s="290">
        <f>-SUM('B5'!AI19)</f>
        <v>-139</v>
      </c>
      <c r="AX20" s="290">
        <f t="shared" si="40"/>
        <v>-1631.0645161290522</v>
      </c>
      <c r="AY20" s="37">
        <f t="shared" si="41"/>
        <v>-1770.0645161290522</v>
      </c>
      <c r="AZ20" s="100">
        <f>ELEC!A17</f>
        <v>0</v>
      </c>
      <c r="BA20" s="118">
        <f>'General information '!D20</f>
        <v>23.5</v>
      </c>
      <c r="BB20" s="394">
        <f>SUM('General information '!E20)</f>
        <v>0.65</v>
      </c>
      <c r="BC20" s="3">
        <f t="shared" si="44"/>
        <v>0</v>
      </c>
      <c r="BD20" s="102">
        <v>19222</v>
      </c>
      <c r="BE20" s="14">
        <f>(305/1185)*ELEC!Q18</f>
        <v>1293.3544303801216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195</v>
      </c>
      <c r="C21" s="203">
        <f t="shared" si="18"/>
        <v>4195.6451612903229</v>
      </c>
      <c r="D21">
        <f t="shared" si="19"/>
        <v>195</v>
      </c>
      <c r="E21" s="203">
        <f t="shared" si="18"/>
        <v>4195.6451612903229</v>
      </c>
      <c r="F21">
        <f t="shared" si="20"/>
        <v>195</v>
      </c>
      <c r="G21" s="203">
        <f t="shared" si="1"/>
        <v>4195.6451612903229</v>
      </c>
      <c r="H21" s="203">
        <f t="shared" si="21"/>
        <v>195</v>
      </c>
      <c r="I21" s="203">
        <f t="shared" si="2"/>
        <v>4195.6451612903229</v>
      </c>
      <c r="J21" s="203">
        <f t="shared" si="22"/>
        <v>195</v>
      </c>
      <c r="K21" s="203">
        <f t="shared" si="3"/>
        <v>4195.6451612903229</v>
      </c>
      <c r="L21" s="203">
        <f t="shared" si="23"/>
        <v>195</v>
      </c>
      <c r="M21" s="203">
        <f t="shared" si="4"/>
        <v>4195.6451612903229</v>
      </c>
      <c r="N21" s="203">
        <f t="shared" si="24"/>
        <v>195</v>
      </c>
      <c r="O21" s="203">
        <f t="shared" si="5"/>
        <v>4195.6451612903229</v>
      </c>
      <c r="P21" s="203">
        <f t="shared" si="25"/>
        <v>195</v>
      </c>
      <c r="Q21" s="203">
        <f t="shared" si="6"/>
        <v>4195.6451612903229</v>
      </c>
      <c r="R21" s="203">
        <f t="shared" si="26"/>
        <v>195</v>
      </c>
      <c r="S21" s="203">
        <f t="shared" si="7"/>
        <v>4195.6451612903229</v>
      </c>
      <c r="T21" s="203">
        <f t="shared" si="27"/>
        <v>195</v>
      </c>
      <c r="U21" s="203">
        <f t="shared" si="8"/>
        <v>4195.6451612903229</v>
      </c>
      <c r="V21" s="203">
        <f t="shared" si="28"/>
        <v>195</v>
      </c>
      <c r="W21" s="203">
        <f t="shared" si="9"/>
        <v>4195.6451612903229</v>
      </c>
      <c r="X21" s="35">
        <f t="shared" si="10"/>
        <v>0.62903225806451624</v>
      </c>
      <c r="Y21" s="36">
        <f t="shared" si="29"/>
        <v>46152.09677419356</v>
      </c>
      <c r="Z21" s="203">
        <f>'B5'!C20</f>
        <v>201</v>
      </c>
      <c r="AA21" s="203">
        <f t="shared" si="30"/>
        <v>2010</v>
      </c>
      <c r="AB21" s="203">
        <f t="shared" si="31"/>
        <v>201</v>
      </c>
      <c r="AC21" s="203">
        <f t="shared" si="30"/>
        <v>2010</v>
      </c>
      <c r="AD21" s="203">
        <f t="shared" si="32"/>
        <v>201</v>
      </c>
      <c r="AE21" s="203">
        <f t="shared" si="11"/>
        <v>2010</v>
      </c>
      <c r="AF21" s="203">
        <f t="shared" si="33"/>
        <v>201</v>
      </c>
      <c r="AG21" s="203">
        <f t="shared" si="12"/>
        <v>2010</v>
      </c>
      <c r="AH21" s="203">
        <f t="shared" si="34"/>
        <v>201</v>
      </c>
      <c r="AI21" s="203">
        <f t="shared" si="13"/>
        <v>2010</v>
      </c>
      <c r="AJ21" s="203">
        <f t="shared" si="35"/>
        <v>201</v>
      </c>
      <c r="AK21" s="203">
        <f t="shared" si="14"/>
        <v>2010</v>
      </c>
      <c r="AL21" s="203">
        <f t="shared" si="36"/>
        <v>201</v>
      </c>
      <c r="AM21" s="203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3">
        <f t="shared" si="37"/>
        <v>0.64775838199627367</v>
      </c>
      <c r="AR21" s="38">
        <f t="shared" si="38"/>
        <v>60222.09677419356</v>
      </c>
      <c r="AS21" s="197">
        <f t="shared" si="39"/>
        <v>-3443.4516129031981</v>
      </c>
      <c r="AT21" s="271"/>
      <c r="AU21" s="593"/>
      <c r="AV21" s="515">
        <f t="shared" si="43"/>
        <v>0.94</v>
      </c>
      <c r="AW21" s="290">
        <f>-SUM('B5'!AI20)</f>
        <v>-115</v>
      </c>
      <c r="AX21" s="290">
        <f t="shared" si="40"/>
        <v>-3328.4516129031981</v>
      </c>
      <c r="AY21" s="37">
        <f t="shared" si="41"/>
        <v>-3443.4516129031981</v>
      </c>
      <c r="AZ21" s="100">
        <f>ELEC!A18</f>
        <v>0</v>
      </c>
      <c r="BA21" s="118">
        <f>'General information '!D21</f>
        <v>21.5</v>
      </c>
      <c r="BB21" s="394">
        <f>SUM('General information '!E21)</f>
        <v>0.75</v>
      </c>
      <c r="BC21" s="3">
        <f t="shared" si="44"/>
        <v>0</v>
      </c>
      <c r="BD21" s="102">
        <v>19222</v>
      </c>
      <c r="BE21" s="14">
        <f>(305/1185)*ELEC!Q19</f>
        <v>2685.5443037968171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188</v>
      </c>
      <c r="C22" s="203">
        <f t="shared" si="18"/>
        <v>4045.0322580645161</v>
      </c>
      <c r="D22">
        <f t="shared" si="19"/>
        <v>188</v>
      </c>
      <c r="E22" s="203">
        <f t="shared" si="18"/>
        <v>4045.0322580645161</v>
      </c>
      <c r="F22">
        <f t="shared" si="20"/>
        <v>188</v>
      </c>
      <c r="G22" s="203">
        <f t="shared" si="1"/>
        <v>4045.0322580645161</v>
      </c>
      <c r="H22" s="203">
        <f t="shared" si="21"/>
        <v>188</v>
      </c>
      <c r="I22" s="203">
        <f t="shared" si="2"/>
        <v>4045.0322580645161</v>
      </c>
      <c r="J22" s="203">
        <f t="shared" si="22"/>
        <v>188</v>
      </c>
      <c r="K22" s="203">
        <f t="shared" si="3"/>
        <v>4045.0322580645161</v>
      </c>
      <c r="L22" s="203">
        <f t="shared" si="23"/>
        <v>188</v>
      </c>
      <c r="M22" s="203">
        <f t="shared" si="4"/>
        <v>4045.0322580645161</v>
      </c>
      <c r="N22" s="203">
        <f t="shared" si="24"/>
        <v>188</v>
      </c>
      <c r="O22" s="203">
        <f t="shared" si="5"/>
        <v>4045.0322580645161</v>
      </c>
      <c r="P22" s="203">
        <f t="shared" si="25"/>
        <v>188</v>
      </c>
      <c r="Q22" s="203">
        <f t="shared" si="6"/>
        <v>4045.0322580645161</v>
      </c>
      <c r="R22" s="203">
        <f t="shared" si="26"/>
        <v>188</v>
      </c>
      <c r="S22" s="203">
        <f t="shared" si="7"/>
        <v>4045.0322580645161</v>
      </c>
      <c r="T22" s="203">
        <f t="shared" si="27"/>
        <v>188</v>
      </c>
      <c r="U22" s="203">
        <f t="shared" si="8"/>
        <v>4045.0322580645161</v>
      </c>
      <c r="V22" s="203">
        <f t="shared" si="28"/>
        <v>188</v>
      </c>
      <c r="W22" s="203">
        <f t="shared" si="9"/>
        <v>4045.0322580645161</v>
      </c>
      <c r="X22" s="35">
        <f t="shared" si="10"/>
        <v>0.6064516129032258</v>
      </c>
      <c r="Y22" s="36">
        <f t="shared" si="29"/>
        <v>44495.354838709674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0.62466768676680295</v>
      </c>
      <c r="AR22" s="38">
        <f t="shared" si="38"/>
        <v>58075.354838709674</v>
      </c>
      <c r="AS22" s="197">
        <f t="shared" si="39"/>
        <v>-2146.7419354838858</v>
      </c>
      <c r="AT22" s="271"/>
      <c r="AU22" s="593"/>
      <c r="AV22" s="515">
        <f t="shared" si="43"/>
        <v>0.94</v>
      </c>
      <c r="AW22" s="290">
        <f>-SUM('B5'!AI21)</f>
        <v>-93</v>
      </c>
      <c r="AX22" s="290">
        <f t="shared" si="40"/>
        <v>-2053.7419354838858</v>
      </c>
      <c r="AY22" s="37">
        <f t="shared" si="41"/>
        <v>-2146.7419354838858</v>
      </c>
      <c r="AZ22" s="100">
        <f>ELEC!A19</f>
        <v>0</v>
      </c>
      <c r="BA22" s="118">
        <f>'General information '!D22</f>
        <v>22.5</v>
      </c>
      <c r="BB22" s="394">
        <f>SUM('General information '!E22)</f>
        <v>0.7</v>
      </c>
      <c r="BC22" s="3">
        <f t="shared" si="44"/>
        <v>0</v>
      </c>
      <c r="BD22" s="102">
        <v>19222</v>
      </c>
      <c r="BE22" s="14">
        <f>(305/1185)*ELEC!Q20</f>
        <v>1993.4388185660753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17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39"/>
        <v>-2690.0967741935383</v>
      </c>
      <c r="AT23" s="271"/>
      <c r="AU23" s="593"/>
      <c r="AV23" s="515">
        <f t="shared" si="43"/>
        <v>0.94</v>
      </c>
      <c r="AW23" s="290">
        <f>-SUM('B5'!AI22)</f>
        <v>-136</v>
      </c>
      <c r="AX23" s="290">
        <f t="shared" si="40"/>
        <v>-2554.0967741935383</v>
      </c>
      <c r="AY23" s="37">
        <f t="shared" si="41"/>
        <v>-2690.0967741935383</v>
      </c>
      <c r="AZ23" s="100">
        <f>ELEC!A20</f>
        <v>0</v>
      </c>
      <c r="BA23" s="118">
        <f>'General information '!D23</f>
        <v>23</v>
      </c>
      <c r="BB23" s="394">
        <f>SUM('General information '!E23)</f>
        <v>0.34</v>
      </c>
      <c r="BC23" s="3">
        <f t="shared" si="44"/>
        <v>0</v>
      </c>
      <c r="BD23" s="102">
        <v>19222</v>
      </c>
      <c r="BE23" s="14">
        <f>(305/1185)*ELEC!Q21</f>
        <v>3151.9240506327019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170</v>
      </c>
      <c r="C24" s="203">
        <f t="shared" si="18"/>
        <v>3657.7419354838707</v>
      </c>
      <c r="D24">
        <f t="shared" si="19"/>
        <v>170</v>
      </c>
      <c r="E24" s="203">
        <f t="shared" si="18"/>
        <v>3657.7419354838707</v>
      </c>
      <c r="F24">
        <f t="shared" si="20"/>
        <v>170</v>
      </c>
      <c r="G24" s="203">
        <f t="shared" si="1"/>
        <v>3657.7419354838707</v>
      </c>
      <c r="H24" s="203">
        <f t="shared" si="21"/>
        <v>170</v>
      </c>
      <c r="I24" s="203">
        <f t="shared" si="2"/>
        <v>3657.7419354838707</v>
      </c>
      <c r="J24" s="203">
        <f t="shared" si="22"/>
        <v>170</v>
      </c>
      <c r="K24" s="203">
        <f t="shared" si="3"/>
        <v>3657.7419354838707</v>
      </c>
      <c r="L24" s="203">
        <f t="shared" si="23"/>
        <v>170</v>
      </c>
      <c r="M24" s="203">
        <f t="shared" si="4"/>
        <v>3657.7419354838707</v>
      </c>
      <c r="N24" s="203">
        <f t="shared" si="24"/>
        <v>170</v>
      </c>
      <c r="O24" s="203">
        <f t="shared" si="5"/>
        <v>3657.7419354838707</v>
      </c>
      <c r="P24" s="203">
        <f t="shared" si="25"/>
        <v>170</v>
      </c>
      <c r="Q24" s="203">
        <f t="shared" si="6"/>
        <v>3657.7419354838707</v>
      </c>
      <c r="R24" s="203">
        <f t="shared" si="26"/>
        <v>170</v>
      </c>
      <c r="S24" s="203">
        <f t="shared" si="7"/>
        <v>3657.7419354838707</v>
      </c>
      <c r="T24" s="203">
        <f t="shared" si="27"/>
        <v>170</v>
      </c>
      <c r="U24" s="203">
        <f t="shared" si="8"/>
        <v>3657.7419354838707</v>
      </c>
      <c r="V24" s="203">
        <f t="shared" si="28"/>
        <v>170</v>
      </c>
      <c r="W24" s="203">
        <f t="shared" si="9"/>
        <v>3657.7419354838707</v>
      </c>
      <c r="X24" s="35">
        <f t="shared" si="10"/>
        <v>0.54838709677419351</v>
      </c>
      <c r="Y24" s="36">
        <f t="shared" si="29"/>
        <v>40235.161290322576</v>
      </c>
      <c r="Z24" s="203">
        <f>'B5'!C23</f>
        <v>178</v>
      </c>
      <c r="AA24" s="203">
        <f t="shared" si="30"/>
        <v>1780</v>
      </c>
      <c r="AB24" s="203">
        <f t="shared" si="31"/>
        <v>178</v>
      </c>
      <c r="AC24" s="203">
        <f t="shared" si="30"/>
        <v>1780</v>
      </c>
      <c r="AD24" s="203">
        <f t="shared" si="32"/>
        <v>178</v>
      </c>
      <c r="AE24" s="203">
        <f t="shared" si="11"/>
        <v>1780</v>
      </c>
      <c r="AF24" s="203">
        <f t="shared" si="33"/>
        <v>178</v>
      </c>
      <c r="AG24" s="203">
        <f t="shared" si="12"/>
        <v>1780</v>
      </c>
      <c r="AH24" s="203">
        <f t="shared" si="34"/>
        <v>178</v>
      </c>
      <c r="AI24" s="203">
        <f t="shared" si="13"/>
        <v>1780</v>
      </c>
      <c r="AJ24" s="203">
        <f t="shared" si="35"/>
        <v>178</v>
      </c>
      <c r="AK24" s="203">
        <f t="shared" si="14"/>
        <v>1780</v>
      </c>
      <c r="AL24" s="203">
        <f t="shared" si="36"/>
        <v>178</v>
      </c>
      <c r="AM24" s="203">
        <f t="shared" si="15"/>
        <v>1780</v>
      </c>
      <c r="AN24" s="35">
        <f t="shared" si="16"/>
        <v>0.63571428571428568</v>
      </c>
      <c r="AO24" s="36">
        <f t="shared" si="17"/>
        <v>12460</v>
      </c>
      <c r="AQ24" s="223">
        <f t="shared" si="37"/>
        <v>0.56679747542564884</v>
      </c>
      <c r="AR24" s="38">
        <f t="shared" si="38"/>
        <v>52695.161290322576</v>
      </c>
      <c r="AS24" s="197">
        <f t="shared" si="39"/>
        <v>-2690.0967741935601</v>
      </c>
      <c r="AT24" s="271"/>
      <c r="AU24" s="593"/>
      <c r="AV24" s="515">
        <f t="shared" si="43"/>
        <v>0.94</v>
      </c>
      <c r="AW24" s="290">
        <f>-SUM('B5'!AI23)</f>
        <v>-95</v>
      </c>
      <c r="AX24" s="290">
        <f t="shared" si="40"/>
        <v>-2595.0967741935601</v>
      </c>
      <c r="AY24" s="37">
        <f t="shared" si="41"/>
        <v>-2690.0967741935601</v>
      </c>
      <c r="AZ24" s="100">
        <f>ELEC!A21</f>
        <v>0</v>
      </c>
      <c r="BA24" s="118">
        <f>'General information '!D24</f>
        <v>23</v>
      </c>
      <c r="BB24" s="394">
        <f>SUM('General information '!E24)</f>
        <v>0.73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170</v>
      </c>
      <c r="C25" s="203">
        <f t="shared" si="18"/>
        <v>3657.7419354838707</v>
      </c>
      <c r="D25">
        <f t="shared" si="19"/>
        <v>170</v>
      </c>
      <c r="E25" s="203">
        <f t="shared" si="18"/>
        <v>3657.7419354838707</v>
      </c>
      <c r="F25">
        <f t="shared" si="20"/>
        <v>170</v>
      </c>
      <c r="G25" s="203">
        <f t="shared" si="1"/>
        <v>3657.7419354838707</v>
      </c>
      <c r="H25" s="203">
        <f t="shared" si="21"/>
        <v>170</v>
      </c>
      <c r="I25" s="203">
        <f t="shared" si="2"/>
        <v>3657.7419354838707</v>
      </c>
      <c r="J25" s="203">
        <f t="shared" si="22"/>
        <v>170</v>
      </c>
      <c r="K25" s="203">
        <f t="shared" si="3"/>
        <v>3657.7419354838707</v>
      </c>
      <c r="L25" s="203">
        <f t="shared" si="23"/>
        <v>170</v>
      </c>
      <c r="M25" s="203">
        <f t="shared" si="4"/>
        <v>3657.7419354838707</v>
      </c>
      <c r="N25" s="203">
        <f t="shared" si="24"/>
        <v>170</v>
      </c>
      <c r="O25" s="203">
        <f t="shared" si="5"/>
        <v>3657.7419354838707</v>
      </c>
      <c r="P25" s="203">
        <f t="shared" si="25"/>
        <v>170</v>
      </c>
      <c r="Q25" s="203">
        <f t="shared" si="6"/>
        <v>3657.7419354838707</v>
      </c>
      <c r="R25" s="203">
        <f t="shared" si="26"/>
        <v>170</v>
      </c>
      <c r="S25" s="203">
        <f t="shared" si="7"/>
        <v>3657.7419354838707</v>
      </c>
      <c r="T25" s="203">
        <f t="shared" si="27"/>
        <v>170</v>
      </c>
      <c r="U25" s="203">
        <f t="shared" si="8"/>
        <v>3657.7419354838707</v>
      </c>
      <c r="V25" s="203">
        <f t="shared" si="28"/>
        <v>170</v>
      </c>
      <c r="W25" s="203">
        <f t="shared" si="9"/>
        <v>3657.7419354838707</v>
      </c>
      <c r="X25" s="35">
        <f t="shared" si="10"/>
        <v>0.54838709677419351</v>
      </c>
      <c r="Y25" s="36">
        <f t="shared" si="29"/>
        <v>40235.161290322576</v>
      </c>
      <c r="Z25" s="203">
        <f>'B5'!C24</f>
        <v>178</v>
      </c>
      <c r="AA25" s="203">
        <f t="shared" si="30"/>
        <v>1780</v>
      </c>
      <c r="AB25" s="203">
        <f t="shared" si="31"/>
        <v>178</v>
      </c>
      <c r="AC25" s="203">
        <f t="shared" si="30"/>
        <v>1780</v>
      </c>
      <c r="AD25" s="203">
        <f t="shared" si="32"/>
        <v>178</v>
      </c>
      <c r="AE25" s="203">
        <f t="shared" si="11"/>
        <v>1780</v>
      </c>
      <c r="AF25" s="203">
        <f t="shared" si="33"/>
        <v>178</v>
      </c>
      <c r="AG25" s="203">
        <f t="shared" si="12"/>
        <v>1780</v>
      </c>
      <c r="AH25" s="203">
        <f t="shared" si="34"/>
        <v>178</v>
      </c>
      <c r="AI25" s="203">
        <f t="shared" si="13"/>
        <v>1780</v>
      </c>
      <c r="AJ25" s="203">
        <f t="shared" si="35"/>
        <v>178</v>
      </c>
      <c r="AK25" s="203">
        <f t="shared" si="14"/>
        <v>1780</v>
      </c>
      <c r="AL25" s="203">
        <f t="shared" si="36"/>
        <v>178</v>
      </c>
      <c r="AM25" s="203">
        <f t="shared" si="15"/>
        <v>1780</v>
      </c>
      <c r="AN25" s="35">
        <f t="shared" si="16"/>
        <v>0.63571428571428568</v>
      </c>
      <c r="AO25" s="36">
        <f t="shared" si="17"/>
        <v>12460</v>
      </c>
      <c r="AQ25" s="223">
        <f t="shared" si="37"/>
        <v>0.56679747542564884</v>
      </c>
      <c r="AR25" s="38">
        <f t="shared" si="38"/>
        <v>52695.161290322576</v>
      </c>
      <c r="AS25" s="197">
        <f t="shared" si="39"/>
        <v>0</v>
      </c>
      <c r="AT25" s="271"/>
      <c r="AU25" s="593"/>
      <c r="AV25" s="515">
        <f t="shared" si="43"/>
        <v>0.94</v>
      </c>
      <c r="AW25" s="290">
        <f>-SUM('B5'!AI24)</f>
        <v>0</v>
      </c>
      <c r="AX25" s="290">
        <f t="shared" si="40"/>
        <v>0</v>
      </c>
      <c r="AY25" s="37">
        <f t="shared" si="41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170</v>
      </c>
      <c r="C26" s="203">
        <f t="shared" si="18"/>
        <v>3657.7419354838707</v>
      </c>
      <c r="D26">
        <f t="shared" si="19"/>
        <v>170</v>
      </c>
      <c r="E26" s="203">
        <f t="shared" si="18"/>
        <v>3657.7419354838707</v>
      </c>
      <c r="F26">
        <f t="shared" si="20"/>
        <v>170</v>
      </c>
      <c r="G26" s="203">
        <f t="shared" si="1"/>
        <v>3657.7419354838707</v>
      </c>
      <c r="H26" s="203">
        <f t="shared" si="21"/>
        <v>170</v>
      </c>
      <c r="I26" s="203">
        <f t="shared" si="2"/>
        <v>3657.7419354838707</v>
      </c>
      <c r="J26" s="203">
        <f t="shared" si="22"/>
        <v>170</v>
      </c>
      <c r="K26" s="203">
        <f t="shared" si="3"/>
        <v>3657.7419354838707</v>
      </c>
      <c r="L26" s="203">
        <f t="shared" si="23"/>
        <v>170</v>
      </c>
      <c r="M26" s="203">
        <f t="shared" si="4"/>
        <v>3657.7419354838707</v>
      </c>
      <c r="N26" s="203">
        <f t="shared" si="24"/>
        <v>170</v>
      </c>
      <c r="O26" s="203">
        <f t="shared" si="5"/>
        <v>3657.7419354838707</v>
      </c>
      <c r="P26" s="203">
        <f t="shared" si="25"/>
        <v>170</v>
      </c>
      <c r="Q26" s="203">
        <f t="shared" si="6"/>
        <v>3657.7419354838707</v>
      </c>
      <c r="R26" s="203">
        <f t="shared" si="26"/>
        <v>170</v>
      </c>
      <c r="S26" s="203">
        <f t="shared" si="7"/>
        <v>3657.7419354838707</v>
      </c>
      <c r="T26" s="203">
        <f t="shared" si="27"/>
        <v>170</v>
      </c>
      <c r="U26" s="203">
        <f t="shared" si="8"/>
        <v>3657.7419354838707</v>
      </c>
      <c r="V26" s="203">
        <f t="shared" si="28"/>
        <v>170</v>
      </c>
      <c r="W26" s="203">
        <f t="shared" si="9"/>
        <v>3657.7419354838707</v>
      </c>
      <c r="X26" s="35">
        <f t="shared" si="10"/>
        <v>0.54838709677419351</v>
      </c>
      <c r="Y26" s="36">
        <f t="shared" si="29"/>
        <v>40235.161290322576</v>
      </c>
      <c r="Z26" s="203">
        <f>'B5'!C25</f>
        <v>178</v>
      </c>
      <c r="AA26" s="203">
        <f t="shared" si="30"/>
        <v>1780</v>
      </c>
      <c r="AB26" s="203">
        <f t="shared" si="31"/>
        <v>178</v>
      </c>
      <c r="AC26" s="203">
        <f t="shared" si="30"/>
        <v>1780</v>
      </c>
      <c r="AD26" s="203">
        <f t="shared" si="32"/>
        <v>178</v>
      </c>
      <c r="AE26" s="203">
        <f t="shared" si="11"/>
        <v>1780</v>
      </c>
      <c r="AF26" s="203">
        <f t="shared" si="33"/>
        <v>178</v>
      </c>
      <c r="AG26" s="203">
        <f t="shared" si="12"/>
        <v>1780</v>
      </c>
      <c r="AH26" s="203">
        <f t="shared" si="34"/>
        <v>178</v>
      </c>
      <c r="AI26" s="203">
        <f t="shared" si="13"/>
        <v>1780</v>
      </c>
      <c r="AJ26" s="203">
        <f t="shared" si="35"/>
        <v>178</v>
      </c>
      <c r="AK26" s="203">
        <f t="shared" si="14"/>
        <v>1780</v>
      </c>
      <c r="AL26" s="203">
        <f t="shared" si="36"/>
        <v>178</v>
      </c>
      <c r="AM26" s="203">
        <f t="shared" si="15"/>
        <v>1780</v>
      </c>
      <c r="AN26" s="35">
        <f t="shared" si="16"/>
        <v>0.63571428571428568</v>
      </c>
      <c r="AO26" s="36">
        <f t="shared" si="17"/>
        <v>12460</v>
      </c>
      <c r="AQ26" s="223">
        <f t="shared" si="37"/>
        <v>0.56679747542564884</v>
      </c>
      <c r="AR26" s="38">
        <f t="shared" si="38"/>
        <v>52695.161290322576</v>
      </c>
      <c r="AS26" s="197">
        <f t="shared" si="39"/>
        <v>0</v>
      </c>
      <c r="AT26" s="271"/>
      <c r="AU26" s="593"/>
      <c r="AV26" s="515">
        <f t="shared" si="43"/>
        <v>0.94</v>
      </c>
      <c r="AW26" s="290">
        <f>-SUM('B5'!AI25)</f>
        <v>0</v>
      </c>
      <c r="AX26" s="290">
        <f t="shared" si="40"/>
        <v>0</v>
      </c>
      <c r="AY26" s="37">
        <f t="shared" si="41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170</v>
      </c>
      <c r="C27" s="203">
        <f t="shared" si="18"/>
        <v>3657.7419354838707</v>
      </c>
      <c r="D27">
        <f t="shared" si="19"/>
        <v>170</v>
      </c>
      <c r="E27" s="203">
        <f t="shared" si="18"/>
        <v>3657.7419354838707</v>
      </c>
      <c r="F27">
        <f t="shared" si="20"/>
        <v>170</v>
      </c>
      <c r="G27" s="203">
        <f t="shared" si="1"/>
        <v>3657.7419354838707</v>
      </c>
      <c r="H27" s="203">
        <f t="shared" si="21"/>
        <v>170</v>
      </c>
      <c r="I27" s="203">
        <f t="shared" si="2"/>
        <v>3657.7419354838707</v>
      </c>
      <c r="J27" s="203">
        <f t="shared" si="22"/>
        <v>170</v>
      </c>
      <c r="K27" s="203">
        <f t="shared" si="3"/>
        <v>3657.7419354838707</v>
      </c>
      <c r="L27" s="203">
        <f t="shared" si="23"/>
        <v>170</v>
      </c>
      <c r="M27" s="203">
        <f t="shared" si="4"/>
        <v>3657.7419354838707</v>
      </c>
      <c r="N27" s="203">
        <f t="shared" si="24"/>
        <v>170</v>
      </c>
      <c r="O27" s="203">
        <f t="shared" si="5"/>
        <v>3657.7419354838707</v>
      </c>
      <c r="P27" s="203">
        <f t="shared" si="25"/>
        <v>170</v>
      </c>
      <c r="Q27" s="203">
        <f t="shared" si="6"/>
        <v>3657.7419354838707</v>
      </c>
      <c r="R27" s="203">
        <f t="shared" si="26"/>
        <v>170</v>
      </c>
      <c r="S27" s="203">
        <f t="shared" si="7"/>
        <v>3657.7419354838707</v>
      </c>
      <c r="T27" s="203">
        <f t="shared" si="27"/>
        <v>170</v>
      </c>
      <c r="U27" s="203">
        <f t="shared" si="8"/>
        <v>3657.7419354838707</v>
      </c>
      <c r="V27" s="203">
        <f t="shared" si="28"/>
        <v>170</v>
      </c>
      <c r="W27" s="203">
        <f t="shared" si="9"/>
        <v>3657.7419354838707</v>
      </c>
      <c r="X27" s="35">
        <f t="shared" si="10"/>
        <v>0.54838709677419351</v>
      </c>
      <c r="Y27" s="36">
        <f t="shared" si="29"/>
        <v>40235.161290322576</v>
      </c>
      <c r="Z27" s="203">
        <f>'B5'!C26</f>
        <v>178</v>
      </c>
      <c r="AA27" s="203">
        <f t="shared" si="30"/>
        <v>1780</v>
      </c>
      <c r="AB27" s="203">
        <f t="shared" si="31"/>
        <v>178</v>
      </c>
      <c r="AC27" s="203">
        <f t="shared" si="30"/>
        <v>1780</v>
      </c>
      <c r="AD27" s="203">
        <f t="shared" si="32"/>
        <v>178</v>
      </c>
      <c r="AE27" s="203">
        <f t="shared" si="11"/>
        <v>1780</v>
      </c>
      <c r="AF27" s="203">
        <f t="shared" si="33"/>
        <v>178</v>
      </c>
      <c r="AG27" s="203">
        <f t="shared" si="12"/>
        <v>1780</v>
      </c>
      <c r="AH27" s="203">
        <f t="shared" si="34"/>
        <v>178</v>
      </c>
      <c r="AI27" s="203">
        <f t="shared" si="13"/>
        <v>1780</v>
      </c>
      <c r="AJ27" s="203">
        <f t="shared" si="35"/>
        <v>178</v>
      </c>
      <c r="AK27" s="203">
        <f t="shared" si="14"/>
        <v>1780</v>
      </c>
      <c r="AL27" s="203">
        <f t="shared" si="36"/>
        <v>178</v>
      </c>
      <c r="AM27" s="203">
        <f t="shared" si="15"/>
        <v>1780</v>
      </c>
      <c r="AN27" s="35">
        <f t="shared" si="16"/>
        <v>0.63571428571428568</v>
      </c>
      <c r="AO27" s="36">
        <f t="shared" si="17"/>
        <v>12460</v>
      </c>
      <c r="AQ27" s="223">
        <f t="shared" si="37"/>
        <v>0.56679747542564884</v>
      </c>
      <c r="AR27" s="38">
        <f t="shared" si="38"/>
        <v>52695.161290322576</v>
      </c>
      <c r="AS27" s="197">
        <f t="shared" si="39"/>
        <v>0</v>
      </c>
      <c r="AT27" s="271"/>
      <c r="AU27" s="593"/>
      <c r="AV27" s="515">
        <f t="shared" si="43"/>
        <v>0.94</v>
      </c>
      <c r="AW27" s="290">
        <f>-SUM('B5'!AI26)</f>
        <v>0</v>
      </c>
      <c r="AX27" s="290">
        <f t="shared" si="40"/>
        <v>0</v>
      </c>
      <c r="AY27" s="37">
        <f t="shared" si="41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170</v>
      </c>
      <c r="C28" s="203">
        <f t="shared" si="18"/>
        <v>3657.7419354838707</v>
      </c>
      <c r="D28">
        <f t="shared" si="19"/>
        <v>170</v>
      </c>
      <c r="E28" s="203">
        <f t="shared" si="18"/>
        <v>3657.7419354838707</v>
      </c>
      <c r="F28">
        <f t="shared" si="20"/>
        <v>170</v>
      </c>
      <c r="G28" s="203">
        <f t="shared" si="1"/>
        <v>3657.7419354838707</v>
      </c>
      <c r="H28" s="203">
        <f t="shared" si="21"/>
        <v>170</v>
      </c>
      <c r="I28" s="203">
        <f t="shared" si="2"/>
        <v>3657.7419354838707</v>
      </c>
      <c r="J28" s="203">
        <f t="shared" si="22"/>
        <v>170</v>
      </c>
      <c r="K28" s="203">
        <f t="shared" si="3"/>
        <v>3657.7419354838707</v>
      </c>
      <c r="L28" s="203">
        <f t="shared" si="23"/>
        <v>170</v>
      </c>
      <c r="M28" s="203">
        <f t="shared" si="4"/>
        <v>3657.7419354838707</v>
      </c>
      <c r="N28" s="203">
        <f t="shared" si="24"/>
        <v>170</v>
      </c>
      <c r="O28" s="203">
        <f t="shared" si="5"/>
        <v>3657.7419354838707</v>
      </c>
      <c r="P28" s="203">
        <f t="shared" si="25"/>
        <v>170</v>
      </c>
      <c r="Q28" s="203">
        <f t="shared" si="6"/>
        <v>3657.7419354838707</v>
      </c>
      <c r="R28" s="203">
        <f t="shared" si="26"/>
        <v>170</v>
      </c>
      <c r="S28" s="203">
        <f t="shared" si="7"/>
        <v>3657.7419354838707</v>
      </c>
      <c r="T28" s="203">
        <f t="shared" si="27"/>
        <v>170</v>
      </c>
      <c r="U28" s="203">
        <f t="shared" si="8"/>
        <v>3657.7419354838707</v>
      </c>
      <c r="V28" s="203">
        <f t="shared" si="28"/>
        <v>170</v>
      </c>
      <c r="W28" s="203">
        <f t="shared" si="9"/>
        <v>3657.7419354838707</v>
      </c>
      <c r="X28" s="35">
        <f t="shared" si="10"/>
        <v>0.54838709677419351</v>
      </c>
      <c r="Y28" s="36">
        <f t="shared" si="29"/>
        <v>40235.161290322576</v>
      </c>
      <c r="Z28" s="203">
        <f>'B5'!C27</f>
        <v>178</v>
      </c>
      <c r="AA28" s="203">
        <f t="shared" si="30"/>
        <v>1780</v>
      </c>
      <c r="AB28" s="203">
        <f t="shared" si="31"/>
        <v>178</v>
      </c>
      <c r="AC28" s="203">
        <f t="shared" si="30"/>
        <v>1780</v>
      </c>
      <c r="AD28" s="203">
        <f t="shared" si="32"/>
        <v>178</v>
      </c>
      <c r="AE28" s="203">
        <f t="shared" si="11"/>
        <v>1780</v>
      </c>
      <c r="AF28" s="203">
        <f t="shared" si="33"/>
        <v>178</v>
      </c>
      <c r="AG28" s="203">
        <f t="shared" si="12"/>
        <v>1780</v>
      </c>
      <c r="AH28" s="203">
        <f t="shared" si="34"/>
        <v>178</v>
      </c>
      <c r="AI28" s="203">
        <f t="shared" si="13"/>
        <v>1780</v>
      </c>
      <c r="AJ28" s="203">
        <f t="shared" si="35"/>
        <v>178</v>
      </c>
      <c r="AK28" s="203">
        <f t="shared" si="14"/>
        <v>1780</v>
      </c>
      <c r="AL28" s="203">
        <f t="shared" si="36"/>
        <v>178</v>
      </c>
      <c r="AM28" s="203">
        <f t="shared" si="15"/>
        <v>1780</v>
      </c>
      <c r="AN28" s="35">
        <f t="shared" si="16"/>
        <v>0.63571428571428568</v>
      </c>
      <c r="AO28" s="36">
        <f t="shared" si="17"/>
        <v>12460</v>
      </c>
      <c r="AQ28" s="223">
        <f t="shared" si="37"/>
        <v>0.56679747542564884</v>
      </c>
      <c r="AR28" s="38">
        <f t="shared" si="38"/>
        <v>52695.161290322576</v>
      </c>
      <c r="AS28" s="197">
        <f t="shared" si="39"/>
        <v>0</v>
      </c>
      <c r="AT28" s="355"/>
      <c r="AU28" s="603"/>
      <c r="AV28" s="515">
        <f t="shared" si="43"/>
        <v>0.94</v>
      </c>
      <c r="AW28" s="290">
        <f>-SUM('B5'!AI27)</f>
        <v>0</v>
      </c>
      <c r="AX28" s="290">
        <f t="shared" si="40"/>
        <v>0</v>
      </c>
      <c r="AY28" s="37">
        <f t="shared" si="41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170</v>
      </c>
      <c r="C29" s="203">
        <f t="shared" si="18"/>
        <v>3657.7419354838707</v>
      </c>
      <c r="D29">
        <f t="shared" si="19"/>
        <v>170</v>
      </c>
      <c r="E29" s="203">
        <f t="shared" si="18"/>
        <v>3657.7419354838707</v>
      </c>
      <c r="F29">
        <f t="shared" si="20"/>
        <v>170</v>
      </c>
      <c r="G29" s="203">
        <f t="shared" si="1"/>
        <v>3657.7419354838707</v>
      </c>
      <c r="H29" s="203">
        <f t="shared" si="21"/>
        <v>170</v>
      </c>
      <c r="I29" s="203">
        <f t="shared" si="2"/>
        <v>3657.7419354838707</v>
      </c>
      <c r="J29" s="203">
        <f t="shared" si="22"/>
        <v>170</v>
      </c>
      <c r="K29" s="203">
        <f t="shared" si="3"/>
        <v>3657.7419354838707</v>
      </c>
      <c r="L29" s="203">
        <f t="shared" si="23"/>
        <v>170</v>
      </c>
      <c r="M29" s="203">
        <f t="shared" si="4"/>
        <v>3657.7419354838707</v>
      </c>
      <c r="N29" s="203">
        <f t="shared" si="24"/>
        <v>170</v>
      </c>
      <c r="O29" s="203">
        <f t="shared" si="5"/>
        <v>3657.7419354838707</v>
      </c>
      <c r="P29" s="203">
        <f t="shared" si="25"/>
        <v>170</v>
      </c>
      <c r="Q29" s="203">
        <f t="shared" si="6"/>
        <v>3657.7419354838707</v>
      </c>
      <c r="R29" s="203">
        <f t="shared" si="26"/>
        <v>170</v>
      </c>
      <c r="S29" s="203">
        <f t="shared" si="7"/>
        <v>3657.7419354838707</v>
      </c>
      <c r="T29" s="203">
        <f t="shared" si="27"/>
        <v>170</v>
      </c>
      <c r="U29" s="203">
        <f t="shared" si="8"/>
        <v>3657.7419354838707</v>
      </c>
      <c r="V29" s="203">
        <f t="shared" si="28"/>
        <v>170</v>
      </c>
      <c r="W29" s="203">
        <f t="shared" si="9"/>
        <v>3657.7419354838707</v>
      </c>
      <c r="X29" s="35">
        <f t="shared" si="10"/>
        <v>0.54838709677419351</v>
      </c>
      <c r="Y29" s="36">
        <f t="shared" si="29"/>
        <v>40235.161290322576</v>
      </c>
      <c r="Z29" s="203">
        <f>'B5'!C28</f>
        <v>178</v>
      </c>
      <c r="AA29" s="203">
        <f t="shared" si="30"/>
        <v>1780</v>
      </c>
      <c r="AB29" s="203">
        <f t="shared" si="31"/>
        <v>178</v>
      </c>
      <c r="AC29" s="203">
        <f t="shared" si="30"/>
        <v>1780</v>
      </c>
      <c r="AD29" s="203">
        <f t="shared" si="32"/>
        <v>178</v>
      </c>
      <c r="AE29" s="203">
        <f t="shared" si="11"/>
        <v>1780</v>
      </c>
      <c r="AF29" s="203">
        <f t="shared" si="33"/>
        <v>178</v>
      </c>
      <c r="AG29" s="203">
        <f t="shared" si="12"/>
        <v>1780</v>
      </c>
      <c r="AH29" s="203">
        <f t="shared" si="34"/>
        <v>178</v>
      </c>
      <c r="AI29" s="203">
        <f t="shared" si="13"/>
        <v>1780</v>
      </c>
      <c r="AJ29" s="203">
        <f t="shared" si="35"/>
        <v>178</v>
      </c>
      <c r="AK29" s="203">
        <f t="shared" si="14"/>
        <v>1780</v>
      </c>
      <c r="AL29" s="203">
        <f t="shared" si="36"/>
        <v>178</v>
      </c>
      <c r="AM29" s="203">
        <f t="shared" si="15"/>
        <v>1780</v>
      </c>
      <c r="AN29" s="35">
        <f t="shared" si="16"/>
        <v>0.63571428571428568</v>
      </c>
      <c r="AO29" s="36">
        <f t="shared" si="17"/>
        <v>12460</v>
      </c>
      <c r="AQ29" s="223">
        <f t="shared" si="37"/>
        <v>0.56679747542564884</v>
      </c>
      <c r="AR29" s="38">
        <f t="shared" si="38"/>
        <v>52695.161290322576</v>
      </c>
      <c r="AS29" s="197">
        <f t="shared" si="39"/>
        <v>0</v>
      </c>
      <c r="AT29" s="355"/>
      <c r="AU29" s="593"/>
      <c r="AV29" s="515">
        <f t="shared" si="43"/>
        <v>0.94</v>
      </c>
      <c r="AW29" s="290">
        <f>-SUM('B5'!AI28)</f>
        <v>0</v>
      </c>
      <c r="AX29" s="290">
        <f>-SUM(AW29-AS29)</f>
        <v>0</v>
      </c>
      <c r="AY29" s="37">
        <f t="shared" si="41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170</v>
      </c>
      <c r="C30" s="203">
        <f t="shared" si="18"/>
        <v>3657.7419354838707</v>
      </c>
      <c r="D30">
        <f t="shared" ref="D30:D33" si="45">SUM(B30)</f>
        <v>170</v>
      </c>
      <c r="E30" s="203">
        <f t="shared" si="18"/>
        <v>3657.7419354838707</v>
      </c>
      <c r="F30">
        <f t="shared" ref="F30:F33" si="46">SUM(D30)</f>
        <v>170</v>
      </c>
      <c r="G30" s="203">
        <f t="shared" si="1"/>
        <v>3657.7419354838707</v>
      </c>
      <c r="H30" s="203">
        <f t="shared" ref="H30:H33" si="47">SUM(F30)</f>
        <v>170</v>
      </c>
      <c r="I30" s="203">
        <f t="shared" si="2"/>
        <v>3657.7419354838707</v>
      </c>
      <c r="J30" s="203">
        <f t="shared" ref="J30:J33" si="48">SUM(H30)</f>
        <v>170</v>
      </c>
      <c r="K30" s="203">
        <f t="shared" si="3"/>
        <v>3657.7419354838707</v>
      </c>
      <c r="L30" s="203">
        <f t="shared" ref="L30:L33" si="49">SUM(J30)</f>
        <v>170</v>
      </c>
      <c r="M30" s="203">
        <f t="shared" si="4"/>
        <v>3657.7419354838707</v>
      </c>
      <c r="N30" s="203">
        <f t="shared" ref="N30:N33" si="50">SUM(L30)</f>
        <v>170</v>
      </c>
      <c r="O30" s="203">
        <f t="shared" si="5"/>
        <v>3657.7419354838707</v>
      </c>
      <c r="P30" s="203">
        <f t="shared" ref="P30:P33" si="51">SUM(N30)</f>
        <v>170</v>
      </c>
      <c r="Q30" s="203">
        <f t="shared" si="6"/>
        <v>3657.7419354838707</v>
      </c>
      <c r="R30" s="203">
        <f t="shared" ref="R30:R33" si="52">SUM(P30)</f>
        <v>170</v>
      </c>
      <c r="S30" s="203">
        <f t="shared" si="7"/>
        <v>3657.7419354838707</v>
      </c>
      <c r="T30" s="203">
        <f t="shared" ref="T30:T33" si="53">SUM(R30)</f>
        <v>170</v>
      </c>
      <c r="U30" s="203">
        <f t="shared" si="8"/>
        <v>3657.7419354838707</v>
      </c>
      <c r="V30" s="203">
        <f t="shared" ref="V30:V33" si="54">SUM(T30)</f>
        <v>170</v>
      </c>
      <c r="W30" s="203">
        <f t="shared" si="9"/>
        <v>3657.7419354838707</v>
      </c>
      <c r="X30" s="35">
        <f t="shared" ref="X30:X33" si="55">SUM(Y30/73370)</f>
        <v>0.54838709677419351</v>
      </c>
      <c r="Y30" s="36">
        <f t="shared" ref="Y30:Y33" si="56">SUM(C30+E30+G30+I30+K30+M30+O30+Q30+S30+U30+W30)</f>
        <v>40235.161290322576</v>
      </c>
      <c r="Z30" s="203">
        <f>'B5'!C29</f>
        <v>178</v>
      </c>
      <c r="AA30" s="203">
        <f t="shared" si="30"/>
        <v>1780</v>
      </c>
      <c r="AB30" s="203">
        <f t="shared" ref="AB30:AB33" si="57">SUM(Z30)</f>
        <v>178</v>
      </c>
      <c r="AC30" s="203">
        <f t="shared" si="30"/>
        <v>1780</v>
      </c>
      <c r="AD30" s="203">
        <f t="shared" ref="AD30:AD33" si="58">SUM(AB30)</f>
        <v>178</v>
      </c>
      <c r="AE30" s="203">
        <f t="shared" si="11"/>
        <v>1780</v>
      </c>
      <c r="AF30" s="203">
        <f t="shared" ref="AF30:AF33" si="59">SUM(AD30)</f>
        <v>178</v>
      </c>
      <c r="AG30" s="203">
        <f t="shared" si="12"/>
        <v>1780</v>
      </c>
      <c r="AH30" s="203">
        <f t="shared" ref="AH30:AH33" si="60">SUM(AF30)</f>
        <v>178</v>
      </c>
      <c r="AI30" s="203">
        <f t="shared" si="13"/>
        <v>1780</v>
      </c>
      <c r="AJ30" s="203">
        <f t="shared" ref="AJ30:AJ33" si="61">SUM(AH30)</f>
        <v>178</v>
      </c>
      <c r="AK30" s="203">
        <f t="shared" si="14"/>
        <v>1780</v>
      </c>
      <c r="AL30" s="203">
        <f t="shared" ref="AL30:AL33" si="62">SUM(AJ30)</f>
        <v>178</v>
      </c>
      <c r="AM30" s="203">
        <f t="shared" si="15"/>
        <v>1780</v>
      </c>
      <c r="AN30" s="35">
        <f t="shared" ref="AN30:AN33" si="63">SUM(AO30/19600)</f>
        <v>0.63571428571428568</v>
      </c>
      <c r="AO30" s="36">
        <f t="shared" ref="AO30:AO33" si="64">SUM(AA30+AC30+AE30+AG30+AI30+AK30+AM30)</f>
        <v>12460</v>
      </c>
      <c r="AQ30" s="223">
        <f t="shared" si="37"/>
        <v>0.56679747542564884</v>
      </c>
      <c r="AR30" s="38">
        <f t="shared" si="38"/>
        <v>52695.161290322576</v>
      </c>
      <c r="AS30" s="197">
        <f t="shared" si="39"/>
        <v>0</v>
      </c>
      <c r="AT30" s="355"/>
      <c r="AU30" s="593"/>
      <c r="AV30" s="515">
        <f t="shared" si="43"/>
        <v>0.94</v>
      </c>
      <c r="AW30" s="290">
        <f>-SUM('B5'!AI29)</f>
        <v>0</v>
      </c>
      <c r="AX30" s="290">
        <f>-SUM(AW30-AS30)</f>
        <v>0</v>
      </c>
      <c r="AY30" s="37">
        <f t="shared" si="41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170</v>
      </c>
      <c r="C31" s="203">
        <f t="shared" si="18"/>
        <v>3657.7419354838707</v>
      </c>
      <c r="D31">
        <f t="shared" si="45"/>
        <v>170</v>
      </c>
      <c r="E31" s="203">
        <f t="shared" si="18"/>
        <v>3657.7419354838707</v>
      </c>
      <c r="F31">
        <f t="shared" si="46"/>
        <v>170</v>
      </c>
      <c r="G31" s="203">
        <f t="shared" si="1"/>
        <v>3657.7419354838707</v>
      </c>
      <c r="H31" s="203">
        <f t="shared" si="47"/>
        <v>170</v>
      </c>
      <c r="I31" s="203">
        <f t="shared" si="2"/>
        <v>3657.7419354838707</v>
      </c>
      <c r="J31" s="203">
        <f t="shared" si="48"/>
        <v>170</v>
      </c>
      <c r="K31" s="203">
        <f t="shared" si="3"/>
        <v>3657.7419354838707</v>
      </c>
      <c r="L31" s="203">
        <f t="shared" si="49"/>
        <v>170</v>
      </c>
      <c r="M31" s="203">
        <f t="shared" si="4"/>
        <v>3657.7419354838707</v>
      </c>
      <c r="N31" s="203">
        <f t="shared" si="50"/>
        <v>170</v>
      </c>
      <c r="O31" s="203">
        <f t="shared" si="5"/>
        <v>3657.7419354838707</v>
      </c>
      <c r="P31" s="203">
        <f t="shared" si="51"/>
        <v>170</v>
      </c>
      <c r="Q31" s="203">
        <f t="shared" si="6"/>
        <v>3657.7419354838707</v>
      </c>
      <c r="R31" s="203">
        <f t="shared" si="52"/>
        <v>170</v>
      </c>
      <c r="S31" s="203">
        <f t="shared" si="7"/>
        <v>3657.7419354838707</v>
      </c>
      <c r="T31" s="203">
        <f t="shared" si="53"/>
        <v>170</v>
      </c>
      <c r="U31" s="203">
        <f t="shared" si="8"/>
        <v>3657.7419354838707</v>
      </c>
      <c r="V31" s="203">
        <f t="shared" si="54"/>
        <v>170</v>
      </c>
      <c r="W31" s="203">
        <f t="shared" si="9"/>
        <v>3657.7419354838707</v>
      </c>
      <c r="X31" s="35">
        <f t="shared" si="55"/>
        <v>0.54838709677419351</v>
      </c>
      <c r="Y31" s="36">
        <f t="shared" si="56"/>
        <v>40235.161290322576</v>
      </c>
      <c r="Z31" s="203">
        <f>'B5'!C30</f>
        <v>178</v>
      </c>
      <c r="AA31" s="203">
        <f t="shared" si="30"/>
        <v>1780</v>
      </c>
      <c r="AB31" s="203">
        <f t="shared" si="57"/>
        <v>178</v>
      </c>
      <c r="AC31" s="203">
        <f t="shared" si="30"/>
        <v>1780</v>
      </c>
      <c r="AD31" s="203">
        <f t="shared" si="58"/>
        <v>178</v>
      </c>
      <c r="AE31" s="203">
        <f t="shared" si="11"/>
        <v>1780</v>
      </c>
      <c r="AF31" s="203">
        <f t="shared" si="59"/>
        <v>178</v>
      </c>
      <c r="AG31" s="203">
        <f t="shared" si="12"/>
        <v>1780</v>
      </c>
      <c r="AH31" s="203">
        <f t="shared" si="60"/>
        <v>178</v>
      </c>
      <c r="AI31" s="203">
        <f t="shared" si="13"/>
        <v>1780</v>
      </c>
      <c r="AJ31" s="203">
        <f t="shared" si="61"/>
        <v>178</v>
      </c>
      <c r="AK31" s="203">
        <f t="shared" si="14"/>
        <v>1780</v>
      </c>
      <c r="AL31" s="203">
        <f t="shared" si="62"/>
        <v>178</v>
      </c>
      <c r="AM31" s="203">
        <f t="shared" si="15"/>
        <v>1780</v>
      </c>
      <c r="AN31" s="35">
        <f t="shared" si="63"/>
        <v>0.63571428571428568</v>
      </c>
      <c r="AO31" s="36">
        <f t="shared" si="64"/>
        <v>12460</v>
      </c>
      <c r="AQ31" s="223">
        <f t="shared" si="37"/>
        <v>0.56679747542564884</v>
      </c>
      <c r="AR31" s="38">
        <f t="shared" si="38"/>
        <v>52695.161290322576</v>
      </c>
      <c r="AS31" s="197">
        <f t="shared" si="39"/>
        <v>0</v>
      </c>
      <c r="AT31" s="355"/>
      <c r="AU31" s="593"/>
      <c r="AV31" s="515">
        <f t="shared" si="43"/>
        <v>0.94</v>
      </c>
      <c r="AW31" s="290">
        <f>-SUM('B5'!AI30)</f>
        <v>0</v>
      </c>
      <c r="AX31" s="290">
        <f t="shared" si="40"/>
        <v>0</v>
      </c>
      <c r="AY31" s="37">
        <f t="shared" si="41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170</v>
      </c>
      <c r="C32" s="203">
        <f t="shared" si="18"/>
        <v>3657.7419354838707</v>
      </c>
      <c r="D32">
        <f t="shared" si="45"/>
        <v>170</v>
      </c>
      <c r="E32" s="203">
        <f t="shared" si="18"/>
        <v>3657.7419354838707</v>
      </c>
      <c r="F32">
        <f t="shared" si="46"/>
        <v>170</v>
      </c>
      <c r="G32" s="203">
        <f t="shared" si="1"/>
        <v>3657.7419354838707</v>
      </c>
      <c r="H32" s="203">
        <f t="shared" si="47"/>
        <v>170</v>
      </c>
      <c r="I32" s="203">
        <f t="shared" si="2"/>
        <v>3657.7419354838707</v>
      </c>
      <c r="J32" s="203">
        <f t="shared" si="48"/>
        <v>170</v>
      </c>
      <c r="K32" s="203">
        <f t="shared" si="3"/>
        <v>3657.7419354838707</v>
      </c>
      <c r="L32" s="203">
        <f t="shared" si="49"/>
        <v>170</v>
      </c>
      <c r="M32" s="203">
        <f t="shared" si="4"/>
        <v>3657.7419354838707</v>
      </c>
      <c r="N32" s="203">
        <f t="shared" si="50"/>
        <v>170</v>
      </c>
      <c r="O32" s="203">
        <f t="shared" si="5"/>
        <v>3657.7419354838707</v>
      </c>
      <c r="P32" s="203">
        <f t="shared" si="51"/>
        <v>170</v>
      </c>
      <c r="Q32" s="203">
        <f t="shared" si="6"/>
        <v>3657.7419354838707</v>
      </c>
      <c r="R32" s="203">
        <f t="shared" si="52"/>
        <v>170</v>
      </c>
      <c r="S32" s="203">
        <f t="shared" si="7"/>
        <v>3657.7419354838707</v>
      </c>
      <c r="T32" s="203">
        <f t="shared" si="53"/>
        <v>170</v>
      </c>
      <c r="U32" s="203">
        <f t="shared" si="8"/>
        <v>3657.7419354838707</v>
      </c>
      <c r="V32" s="203">
        <f t="shared" si="54"/>
        <v>170</v>
      </c>
      <c r="W32" s="203">
        <f t="shared" si="9"/>
        <v>3657.7419354838707</v>
      </c>
      <c r="X32" s="35">
        <f t="shared" si="55"/>
        <v>0.54838709677419351</v>
      </c>
      <c r="Y32" s="36">
        <f t="shared" si="56"/>
        <v>40235.161290322576</v>
      </c>
      <c r="Z32" s="203">
        <f>'B5'!C31</f>
        <v>178</v>
      </c>
      <c r="AA32" s="203">
        <f t="shared" si="30"/>
        <v>1780</v>
      </c>
      <c r="AB32" s="203">
        <f t="shared" si="57"/>
        <v>178</v>
      </c>
      <c r="AC32" s="203">
        <f t="shared" si="30"/>
        <v>1780</v>
      </c>
      <c r="AD32" s="203">
        <f t="shared" si="58"/>
        <v>178</v>
      </c>
      <c r="AE32" s="203">
        <f t="shared" si="11"/>
        <v>1780</v>
      </c>
      <c r="AF32" s="203">
        <f t="shared" si="59"/>
        <v>178</v>
      </c>
      <c r="AG32" s="203">
        <f t="shared" si="12"/>
        <v>1780</v>
      </c>
      <c r="AH32" s="203">
        <f t="shared" si="60"/>
        <v>178</v>
      </c>
      <c r="AI32" s="203">
        <f t="shared" si="13"/>
        <v>1780</v>
      </c>
      <c r="AJ32" s="203">
        <f t="shared" si="61"/>
        <v>178</v>
      </c>
      <c r="AK32" s="203">
        <f t="shared" si="14"/>
        <v>1780</v>
      </c>
      <c r="AL32" s="203">
        <f t="shared" si="62"/>
        <v>178</v>
      </c>
      <c r="AM32" s="203">
        <f t="shared" si="15"/>
        <v>1780</v>
      </c>
      <c r="AN32" s="35">
        <f t="shared" si="63"/>
        <v>0.63571428571428568</v>
      </c>
      <c r="AO32" s="36">
        <f t="shared" si="64"/>
        <v>12460</v>
      </c>
      <c r="AQ32" s="223">
        <f t="shared" si="37"/>
        <v>0.56679747542564884</v>
      </c>
      <c r="AR32" s="38">
        <f t="shared" si="38"/>
        <v>52695.161290322576</v>
      </c>
      <c r="AS32" s="197">
        <f t="shared" si="39"/>
        <v>0</v>
      </c>
      <c r="AT32" s="355"/>
      <c r="AU32" s="593"/>
      <c r="AV32" s="515">
        <f>IF(AT32&gt;0,AU32,AV31)</f>
        <v>0.94</v>
      </c>
      <c r="AW32" s="290">
        <f>-SUM('B5'!AI31)</f>
        <v>0</v>
      </c>
      <c r="AX32" s="290">
        <f t="shared" si="40"/>
        <v>0</v>
      </c>
      <c r="AY32" s="37">
        <f t="shared" si="41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170</v>
      </c>
      <c r="C33" s="203">
        <f t="shared" si="18"/>
        <v>3657.7419354838707</v>
      </c>
      <c r="D33">
        <f t="shared" si="45"/>
        <v>170</v>
      </c>
      <c r="E33" s="203">
        <f t="shared" si="18"/>
        <v>3657.7419354838707</v>
      </c>
      <c r="F33">
        <f t="shared" si="46"/>
        <v>170</v>
      </c>
      <c r="G33" s="203">
        <f t="shared" si="1"/>
        <v>3657.7419354838707</v>
      </c>
      <c r="H33" s="203">
        <f t="shared" si="47"/>
        <v>170</v>
      </c>
      <c r="I33" s="203">
        <f t="shared" si="2"/>
        <v>3657.7419354838707</v>
      </c>
      <c r="J33" s="203">
        <f t="shared" si="48"/>
        <v>170</v>
      </c>
      <c r="K33" s="203">
        <f t="shared" si="3"/>
        <v>3657.7419354838707</v>
      </c>
      <c r="L33" s="203">
        <f t="shared" si="49"/>
        <v>170</v>
      </c>
      <c r="M33" s="203">
        <f t="shared" si="4"/>
        <v>3657.7419354838707</v>
      </c>
      <c r="N33" s="203">
        <f t="shared" si="50"/>
        <v>170</v>
      </c>
      <c r="O33" s="203">
        <f t="shared" si="5"/>
        <v>3657.7419354838707</v>
      </c>
      <c r="P33" s="203">
        <f t="shared" si="51"/>
        <v>170</v>
      </c>
      <c r="Q33" s="203">
        <f t="shared" si="6"/>
        <v>3657.7419354838707</v>
      </c>
      <c r="R33" s="203">
        <f t="shared" si="52"/>
        <v>170</v>
      </c>
      <c r="S33" s="203">
        <f t="shared" si="7"/>
        <v>3657.7419354838707</v>
      </c>
      <c r="T33" s="203">
        <f t="shared" si="53"/>
        <v>170</v>
      </c>
      <c r="U33" s="203">
        <f t="shared" si="8"/>
        <v>3657.7419354838707</v>
      </c>
      <c r="V33" s="203">
        <f t="shared" si="54"/>
        <v>170</v>
      </c>
      <c r="W33" s="203">
        <f t="shared" si="9"/>
        <v>3657.7419354838707</v>
      </c>
      <c r="X33" s="35">
        <f t="shared" si="55"/>
        <v>0.54838709677419351</v>
      </c>
      <c r="Y33" s="36">
        <f t="shared" si="56"/>
        <v>40235.161290322576</v>
      </c>
      <c r="Z33" s="203">
        <f>'B5'!C32</f>
        <v>178</v>
      </c>
      <c r="AA33" s="203">
        <f t="shared" si="30"/>
        <v>1780</v>
      </c>
      <c r="AB33" s="203">
        <f t="shared" si="57"/>
        <v>178</v>
      </c>
      <c r="AC33" s="203">
        <f t="shared" si="30"/>
        <v>1780</v>
      </c>
      <c r="AD33" s="203">
        <f t="shared" si="58"/>
        <v>178</v>
      </c>
      <c r="AE33" s="203">
        <f t="shared" si="11"/>
        <v>1780</v>
      </c>
      <c r="AF33" s="203">
        <f t="shared" si="59"/>
        <v>178</v>
      </c>
      <c r="AG33" s="203">
        <f t="shared" si="12"/>
        <v>1780</v>
      </c>
      <c r="AH33" s="203">
        <f t="shared" si="60"/>
        <v>178</v>
      </c>
      <c r="AI33" s="203">
        <f t="shared" si="13"/>
        <v>1780</v>
      </c>
      <c r="AJ33" s="203">
        <f t="shared" si="61"/>
        <v>178</v>
      </c>
      <c r="AK33" s="203">
        <f t="shared" si="14"/>
        <v>1780</v>
      </c>
      <c r="AL33" s="203">
        <f t="shared" si="62"/>
        <v>178</v>
      </c>
      <c r="AM33" s="203">
        <f t="shared" si="15"/>
        <v>1780</v>
      </c>
      <c r="AN33" s="35">
        <f t="shared" si="63"/>
        <v>0.63571428571428568</v>
      </c>
      <c r="AO33" s="36">
        <f t="shared" si="64"/>
        <v>12460</v>
      </c>
      <c r="AQ33" s="223">
        <f t="shared" si="37"/>
        <v>0.56679747542564884</v>
      </c>
      <c r="AR33" s="38">
        <f t="shared" si="38"/>
        <v>52695.161290322576</v>
      </c>
      <c r="AS33" s="197">
        <f t="shared" si="39"/>
        <v>0</v>
      </c>
      <c r="AT33" s="355"/>
      <c r="AU33" s="593"/>
      <c r="AV33" s="515">
        <f>IF(AT33&gt;0,AU33,AV32)</f>
        <v>0.94</v>
      </c>
      <c r="AW33" s="290">
        <f>-SUM('B5'!AI32)</f>
        <v>0</v>
      </c>
      <c r="AX33" s="290">
        <f t="shared" si="40"/>
        <v>0</v>
      </c>
      <c r="AY33" s="37">
        <f t="shared" si="41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170</v>
      </c>
      <c r="C34" s="203">
        <f t="shared" ref="C34:C35" si="65">B34*$B$4</f>
        <v>3657.7419354838707</v>
      </c>
      <c r="D34">
        <f t="shared" ref="D34:D35" si="66">SUM(B34)</f>
        <v>170</v>
      </c>
      <c r="E34" s="203">
        <f t="shared" ref="E34:E35" si="67">D34*$B$4</f>
        <v>3657.7419354838707</v>
      </c>
      <c r="F34">
        <f t="shared" ref="F34:F35" si="68">SUM(D34)</f>
        <v>170</v>
      </c>
      <c r="G34" s="203">
        <f t="shared" ref="G34:G35" si="69">F34*$B$4</f>
        <v>3657.7419354838707</v>
      </c>
      <c r="H34" s="203">
        <f t="shared" ref="H34:H35" si="70">SUM(F34)</f>
        <v>170</v>
      </c>
      <c r="I34" s="203">
        <f t="shared" ref="I34:I35" si="71">H34*$B$4</f>
        <v>3657.7419354838707</v>
      </c>
      <c r="J34" s="203">
        <f t="shared" ref="J34:J35" si="72">SUM(H34)</f>
        <v>170</v>
      </c>
      <c r="K34" s="203">
        <f t="shared" ref="K34:K35" si="73">J34*$B$4</f>
        <v>3657.7419354838707</v>
      </c>
      <c r="L34" s="203">
        <f t="shared" ref="L34:L35" si="74">SUM(J34)</f>
        <v>170</v>
      </c>
      <c r="M34" s="203">
        <f t="shared" ref="M34:M35" si="75">L34*$B$4</f>
        <v>3657.7419354838707</v>
      </c>
      <c r="N34" s="203">
        <f t="shared" ref="N34:N35" si="76">SUM(L34)</f>
        <v>170</v>
      </c>
      <c r="O34" s="203">
        <f t="shared" ref="O34:O35" si="77">N34*$B$4</f>
        <v>3657.7419354838707</v>
      </c>
      <c r="P34" s="203">
        <f t="shared" ref="P34:P35" si="78">SUM(N34)</f>
        <v>170</v>
      </c>
      <c r="Q34" s="203">
        <f t="shared" ref="Q34:Q35" si="79">P34*$B$4</f>
        <v>3657.7419354838707</v>
      </c>
      <c r="R34" s="203">
        <f t="shared" ref="R34:R35" si="80">SUM(P34)</f>
        <v>170</v>
      </c>
      <c r="S34" s="203">
        <f t="shared" ref="S34:S35" si="81">R34*$B$4</f>
        <v>3657.7419354838707</v>
      </c>
      <c r="T34" s="203">
        <f t="shared" ref="T34:T35" si="82">SUM(R34)</f>
        <v>170</v>
      </c>
      <c r="U34" s="203">
        <f t="shared" ref="U34:U35" si="83">T34*$B$4</f>
        <v>3657.7419354838707</v>
      </c>
      <c r="V34" s="203">
        <f t="shared" ref="V34:V35" si="84">SUM(T34)</f>
        <v>170</v>
      </c>
      <c r="W34" s="203">
        <f t="shared" ref="W34:W35" si="85">V34*$B$4</f>
        <v>3657.7419354838707</v>
      </c>
      <c r="X34" s="35">
        <f t="shared" ref="X34:X35" si="86">SUM(Y34/73370)</f>
        <v>0.54838709677419351</v>
      </c>
      <c r="Y34" s="36">
        <f t="shared" ref="Y34:Y35" si="87">SUM(C34+E34+G34+I34+K34+M34+O34+Q34+S34+U34+W34)</f>
        <v>40235.161290322576</v>
      </c>
      <c r="Z34" s="203">
        <f>'B5'!C33</f>
        <v>178</v>
      </c>
      <c r="AA34" s="203">
        <f t="shared" ref="AA34:AA35" si="88">SUM(Z34*$Z$4)</f>
        <v>1780</v>
      </c>
      <c r="AB34" s="203">
        <f t="shared" ref="AB34:AB35" si="89">SUM(Z34)</f>
        <v>178</v>
      </c>
      <c r="AC34" s="203">
        <f t="shared" ref="AC34:AC35" si="90">SUM(AB34*$Z$4)</f>
        <v>1780</v>
      </c>
      <c r="AD34" s="203">
        <f t="shared" ref="AD34:AD35" si="91">SUM(AB34)</f>
        <v>178</v>
      </c>
      <c r="AE34" s="203">
        <f t="shared" ref="AE34:AE35" si="92">SUM(AD34*$Z$4)</f>
        <v>1780</v>
      </c>
      <c r="AF34" s="203">
        <f t="shared" ref="AF34:AF35" si="93">SUM(AD34)</f>
        <v>178</v>
      </c>
      <c r="AG34" s="203">
        <f t="shared" ref="AG34:AG35" si="94">SUM(AF34*$Z$4)</f>
        <v>1780</v>
      </c>
      <c r="AH34" s="203">
        <f t="shared" ref="AH34:AH35" si="95">SUM(AF34)</f>
        <v>178</v>
      </c>
      <c r="AI34" s="203">
        <f t="shared" ref="AI34:AI35" si="96">SUM(AH34*$Z$4)</f>
        <v>1780</v>
      </c>
      <c r="AJ34" s="203">
        <f t="shared" ref="AJ34:AJ35" si="97">SUM(AH34)</f>
        <v>178</v>
      </c>
      <c r="AK34" s="203">
        <f t="shared" ref="AK34:AK35" si="98">SUM(AJ34*$Z$4)</f>
        <v>1780</v>
      </c>
      <c r="AL34" s="203">
        <f t="shared" ref="AL34:AL35" si="99">SUM(AJ34)</f>
        <v>178</v>
      </c>
      <c r="AM34" s="203">
        <f t="shared" ref="AM34:AM35" si="100">SUM(AL34*$Z$4)</f>
        <v>1780</v>
      </c>
      <c r="AN34" s="35">
        <f t="shared" ref="AN34:AN35" si="101">SUM(AO34/19600)</f>
        <v>0.63571428571428568</v>
      </c>
      <c r="AO34" s="36">
        <f t="shared" ref="AO34:AO35" si="102">SUM(AA34+AC34+AE34+AG34+AI34+AK34+AM34)</f>
        <v>12460</v>
      </c>
      <c r="AQ34" s="223">
        <f t="shared" ref="AQ34:AQ35" si="103">SUM(AR34/92970)</f>
        <v>0.56679747542564884</v>
      </c>
      <c r="AR34" s="38">
        <f t="shared" si="38"/>
        <v>52695.161290322576</v>
      </c>
      <c r="AS34" s="197">
        <f t="shared" si="39"/>
        <v>0</v>
      </c>
      <c r="AT34" s="355"/>
      <c r="AU34" s="593"/>
      <c r="AV34" s="515">
        <f t="shared" ref="AV34:AV35" si="104">IF(AT34&gt;0,AU34,AV33)</f>
        <v>0.94</v>
      </c>
      <c r="AW34" s="290">
        <f>-SUM('B5'!AI33)</f>
        <v>0</v>
      </c>
      <c r="AX34" s="290">
        <f t="shared" ref="AX34:AX35" si="105">-SUM(AW34-AS34)</f>
        <v>0</v>
      </c>
      <c r="AY34" s="37">
        <f t="shared" ref="AY34:AY35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170</v>
      </c>
      <c r="C35" s="203">
        <f t="shared" si="65"/>
        <v>3657.7419354838707</v>
      </c>
      <c r="D35">
        <f t="shared" si="66"/>
        <v>170</v>
      </c>
      <c r="E35" s="203">
        <f t="shared" si="67"/>
        <v>3657.7419354838707</v>
      </c>
      <c r="F35">
        <f t="shared" si="68"/>
        <v>170</v>
      </c>
      <c r="G35" s="203">
        <f t="shared" si="69"/>
        <v>3657.7419354838707</v>
      </c>
      <c r="H35" s="203">
        <f t="shared" si="70"/>
        <v>170</v>
      </c>
      <c r="I35" s="203">
        <f t="shared" si="71"/>
        <v>3657.7419354838707</v>
      </c>
      <c r="J35" s="203">
        <f t="shared" si="72"/>
        <v>170</v>
      </c>
      <c r="K35" s="203">
        <f t="shared" si="73"/>
        <v>3657.7419354838707</v>
      </c>
      <c r="L35" s="203">
        <f t="shared" si="74"/>
        <v>170</v>
      </c>
      <c r="M35" s="203">
        <f t="shared" si="75"/>
        <v>3657.7419354838707</v>
      </c>
      <c r="N35" s="203">
        <f t="shared" si="76"/>
        <v>170</v>
      </c>
      <c r="O35" s="203">
        <f t="shared" si="77"/>
        <v>3657.7419354838707</v>
      </c>
      <c r="P35" s="203">
        <f t="shared" si="78"/>
        <v>170</v>
      </c>
      <c r="Q35" s="203">
        <f t="shared" si="79"/>
        <v>3657.7419354838707</v>
      </c>
      <c r="R35" s="203">
        <f t="shared" si="80"/>
        <v>170</v>
      </c>
      <c r="S35" s="203">
        <f t="shared" si="81"/>
        <v>3657.7419354838707</v>
      </c>
      <c r="T35" s="203">
        <f t="shared" si="82"/>
        <v>170</v>
      </c>
      <c r="U35" s="203">
        <f t="shared" si="83"/>
        <v>3657.7419354838707</v>
      </c>
      <c r="V35" s="203">
        <f t="shared" si="84"/>
        <v>170</v>
      </c>
      <c r="W35" s="203">
        <f t="shared" si="85"/>
        <v>3657.7419354838707</v>
      </c>
      <c r="X35" s="35">
        <f t="shared" si="86"/>
        <v>0.54838709677419351</v>
      </c>
      <c r="Y35" s="36">
        <f t="shared" si="87"/>
        <v>40235.161290322576</v>
      </c>
      <c r="Z35" s="203">
        <f>'B5'!C34</f>
        <v>178</v>
      </c>
      <c r="AA35" s="203">
        <f t="shared" si="88"/>
        <v>1780</v>
      </c>
      <c r="AB35" s="203">
        <f t="shared" si="89"/>
        <v>178</v>
      </c>
      <c r="AC35" s="203">
        <f t="shared" si="90"/>
        <v>1780</v>
      </c>
      <c r="AD35" s="203">
        <f t="shared" si="91"/>
        <v>178</v>
      </c>
      <c r="AE35" s="203">
        <f t="shared" si="92"/>
        <v>1780</v>
      </c>
      <c r="AF35" s="203">
        <f t="shared" si="93"/>
        <v>178</v>
      </c>
      <c r="AG35" s="203">
        <f t="shared" si="94"/>
        <v>1780</v>
      </c>
      <c r="AH35" s="203">
        <f t="shared" si="95"/>
        <v>178</v>
      </c>
      <c r="AI35" s="203">
        <f t="shared" si="96"/>
        <v>1780</v>
      </c>
      <c r="AJ35" s="203">
        <f t="shared" si="97"/>
        <v>178</v>
      </c>
      <c r="AK35" s="203">
        <f t="shared" si="98"/>
        <v>1780</v>
      </c>
      <c r="AL35" s="203">
        <f t="shared" si="99"/>
        <v>178</v>
      </c>
      <c r="AM35" s="203">
        <f t="shared" si="100"/>
        <v>1780</v>
      </c>
      <c r="AN35" s="35">
        <f t="shared" si="101"/>
        <v>0.63571428571428568</v>
      </c>
      <c r="AO35" s="36">
        <f t="shared" si="102"/>
        <v>12460</v>
      </c>
      <c r="AQ35" s="223">
        <f t="shared" si="103"/>
        <v>0.56679747542564884</v>
      </c>
      <c r="AR35" s="38">
        <f t="shared" si="38"/>
        <v>52695.161290322576</v>
      </c>
      <c r="AS35" s="197">
        <f t="shared" si="39"/>
        <v>0</v>
      </c>
      <c r="AT35" s="355"/>
      <c r="AU35" s="593"/>
      <c r="AV35" s="587">
        <f t="shared" si="104"/>
        <v>0.94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170</v>
      </c>
      <c r="C36" s="203">
        <f t="shared" ref="C36" si="107">B36*$B$4</f>
        <v>3657.7419354838707</v>
      </c>
      <c r="D36">
        <f t="shared" ref="D36" si="108">SUM(B36)</f>
        <v>170</v>
      </c>
      <c r="E36" s="203">
        <f t="shared" ref="E36" si="109">D36*$B$4</f>
        <v>3657.7419354838707</v>
      </c>
      <c r="F36">
        <f t="shared" ref="F36" si="110">SUM(D36)</f>
        <v>170</v>
      </c>
      <c r="G36" s="203">
        <f t="shared" ref="G36" si="111">F36*$B$4</f>
        <v>3657.7419354838707</v>
      </c>
      <c r="H36" s="203">
        <f t="shared" ref="H36" si="112">SUM(F36)</f>
        <v>170</v>
      </c>
      <c r="I36" s="203">
        <f t="shared" ref="I36" si="113">H36*$B$4</f>
        <v>3657.7419354838707</v>
      </c>
      <c r="J36" s="203">
        <f t="shared" ref="J36" si="114">SUM(H36)</f>
        <v>170</v>
      </c>
      <c r="K36" s="203">
        <f t="shared" ref="K36" si="115">J36*$B$4</f>
        <v>3657.7419354838707</v>
      </c>
      <c r="L36" s="203">
        <f t="shared" ref="L36" si="116">SUM(J36)</f>
        <v>170</v>
      </c>
      <c r="M36" s="203">
        <f t="shared" ref="M36" si="117">L36*$B$4</f>
        <v>3657.7419354838707</v>
      </c>
      <c r="N36" s="203">
        <f t="shared" ref="N36" si="118">SUM(L36)</f>
        <v>170</v>
      </c>
      <c r="O36" s="203">
        <f t="shared" ref="O36" si="119">N36*$B$4</f>
        <v>3657.7419354838707</v>
      </c>
      <c r="P36" s="203">
        <f t="shared" ref="P36" si="120">SUM(N36)</f>
        <v>170</v>
      </c>
      <c r="Q36" s="203">
        <f t="shared" ref="Q36" si="121">P36*$B$4</f>
        <v>3657.7419354838707</v>
      </c>
      <c r="R36" s="203">
        <f t="shared" ref="R36" si="122">SUM(P36)</f>
        <v>170</v>
      </c>
      <c r="S36" s="203">
        <f t="shared" ref="S36" si="123">R36*$B$4</f>
        <v>3657.7419354838707</v>
      </c>
      <c r="T36" s="203">
        <f t="shared" ref="T36" si="124">SUM(R36)</f>
        <v>170</v>
      </c>
      <c r="U36" s="203">
        <f t="shared" ref="U36" si="125">T36*$B$4</f>
        <v>3657.7419354838707</v>
      </c>
      <c r="V36" s="203">
        <f t="shared" ref="V36" si="126">SUM(T36)</f>
        <v>170</v>
      </c>
      <c r="W36" s="203">
        <f t="shared" ref="W36" si="127">V36*$B$4</f>
        <v>3657.7419354838707</v>
      </c>
      <c r="X36" s="35">
        <f t="shared" ref="X36" si="128">SUM(Y36/73370)</f>
        <v>0.54838709677419351</v>
      </c>
      <c r="Y36" s="36">
        <f t="shared" ref="Y36" si="129">SUM(C36+E36+G36+I36+K36+M36+O36+Q36+S36+U36+W36)</f>
        <v>40235.161290322576</v>
      </c>
      <c r="Z36" s="203">
        <f>'B5'!C35</f>
        <v>178</v>
      </c>
      <c r="AA36" s="203">
        <f t="shared" ref="AA36" si="130">SUM(Z36*$Z$4)</f>
        <v>1780</v>
      </c>
      <c r="AB36" s="203">
        <f t="shared" ref="AB36" si="131">SUM(Z36)</f>
        <v>178</v>
      </c>
      <c r="AC36" s="203">
        <f t="shared" ref="AC36" si="132">SUM(AB36*$Z$4)</f>
        <v>1780</v>
      </c>
      <c r="AD36" s="203">
        <f t="shared" ref="AD36" si="133">SUM(AB36)</f>
        <v>178</v>
      </c>
      <c r="AE36" s="203">
        <f t="shared" ref="AE36" si="134">SUM(AD36*$Z$4)</f>
        <v>1780</v>
      </c>
      <c r="AF36" s="203">
        <f t="shared" ref="AF36" si="135">SUM(AD36)</f>
        <v>178</v>
      </c>
      <c r="AG36" s="203">
        <f t="shared" ref="AG36" si="136">SUM(AF36*$Z$4)</f>
        <v>1780</v>
      </c>
      <c r="AH36" s="203">
        <f t="shared" ref="AH36" si="137">SUM(AF36)</f>
        <v>178</v>
      </c>
      <c r="AI36" s="203">
        <f t="shared" ref="AI36" si="138">SUM(AH36*$Z$4)</f>
        <v>1780</v>
      </c>
      <c r="AJ36" s="203">
        <f t="shared" ref="AJ36" si="139">SUM(AH36)</f>
        <v>178</v>
      </c>
      <c r="AK36" s="203">
        <f t="shared" ref="AK36" si="140">SUM(AJ36*$Z$4)</f>
        <v>1780</v>
      </c>
      <c r="AL36" s="203">
        <f t="shared" ref="AL36" si="141">SUM(AJ36)</f>
        <v>178</v>
      </c>
      <c r="AM36" s="203">
        <f t="shared" ref="AM36" si="142">SUM(AL36*$Z$4)</f>
        <v>1780</v>
      </c>
      <c r="AN36" s="35">
        <f t="shared" ref="AN36" si="143">SUM(AO36/19600)</f>
        <v>0.63571428571428568</v>
      </c>
      <c r="AO36" s="36">
        <f t="shared" ref="AO36" si="144">SUM(AA36+AC36+AE36+AG36+AI36+AK36+AM36)</f>
        <v>12460</v>
      </c>
      <c r="AQ36" s="223">
        <f t="shared" ref="AQ36" si="145">SUM(AR36/92970)</f>
        <v>0.56679747542564884</v>
      </c>
      <c r="AR36" s="38">
        <f t="shared" si="38"/>
        <v>52695.161290322576</v>
      </c>
      <c r="AS36" s="197">
        <f t="shared" si="39"/>
        <v>0</v>
      </c>
      <c r="AT36" s="355"/>
      <c r="AU36" s="593"/>
      <c r="AV36" s="587">
        <f t="shared" ref="AV36" si="146">IF(AT36&gt;0,AU36,AV35)</f>
        <v>0.94</v>
      </c>
      <c r="AW36" s="290">
        <f>-SUM('B5'!AI35)</f>
        <v>0</v>
      </c>
      <c r="AX36" s="290">
        <f t="shared" ref="AX36" si="147">-SUM(AW36-AS36)</f>
        <v>0</v>
      </c>
      <c r="AY36" s="37">
        <f t="shared" ref="AY36" si="148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1</v>
      </c>
      <c r="AT37" s="203">
        <f>SUM(AT6:AT36)</f>
        <v>14545</v>
      </c>
      <c r="AU37" s="82">
        <f>SUM(AU6:AU36)/AS37</f>
        <v>0.94</v>
      </c>
      <c r="AX37" s="203">
        <f>SUM(AX6:AX36)</f>
        <v>-33073.741935483864</v>
      </c>
      <c r="AY37" s="203">
        <f>SUM(AY6:AY36)</f>
        <v>-35565.741935483864</v>
      </c>
    </row>
    <row r="38" spans="1:60">
      <c r="AS38" s="206"/>
      <c r="AT38" s="82">
        <f>+AT37*AU37</f>
        <v>13672.3</v>
      </c>
    </row>
    <row r="40" spans="1:60">
      <c r="AS40" s="165">
        <f>SUM(AS6:AS36)/'EDl log'!A35</f>
        <v>-1975.8745519713257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-0.76366902804229753</v>
      </c>
    </row>
  </sheetData>
  <mergeCells count="3">
    <mergeCell ref="AT3:AU3"/>
    <mergeCell ref="AS3:AS4"/>
    <mergeCell ref="AR3:AR4"/>
  </mergeCells>
  <conditionalFormatting sqref="AW6:AX36">
    <cfRule type="cellIs" dxfId="5" priority="5" stopIfTrue="1" operator="greaterThan">
      <formula>0</formula>
    </cfRule>
  </conditionalFormatting>
  <conditionalFormatting sqref="AT6:AU36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4768</v>
      </c>
      <c r="E6" s="3">
        <f>ELEC!Q24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8</v>
      </c>
      <c r="B11" s="3">
        <f>ELEC!AF12</f>
        <v>2061</v>
      </c>
      <c r="C11" s="3">
        <f>ELEC!N12</f>
        <v>9481</v>
      </c>
      <c r="D11" s="3">
        <f t="shared" si="0"/>
        <v>3143.0000000002619</v>
      </c>
      <c r="E11" s="3">
        <f>ELEC!Q12</f>
        <v>6337.9999999997381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-15.000000000000028</v>
      </c>
      <c r="J11" s="9">
        <f>'B5'!A13</f>
        <v>44325</v>
      </c>
    </row>
    <row r="12" spans="1:10">
      <c r="A12" s="3">
        <f>ELEC!T13+ELEC!X13+ELEC!AB13</f>
        <v>7</v>
      </c>
      <c r="B12" s="3">
        <f>ELEC!AF13</f>
        <v>1422</v>
      </c>
      <c r="C12" s="3">
        <f>ELEC!N13</f>
        <v>9028</v>
      </c>
      <c r="D12" s="3">
        <f t="shared" si="0"/>
        <v>3284.0000000012224</v>
      </c>
      <c r="E12" s="3">
        <f>ELEC!Q13</f>
        <v>5743.9999999987776</v>
      </c>
      <c r="F12" s="3">
        <f>GEN!Z12</f>
        <v>9</v>
      </c>
      <c r="G12" s="3">
        <f>WATER!C15+WATER!H15</f>
        <v>0</v>
      </c>
      <c r="H12" s="3">
        <f>WATER!L15</f>
        <v>0</v>
      </c>
      <c r="I12" s="15">
        <f>WATER!BC15+WATER!BD15+WATER!BE16-Sheet1!G12</f>
        <v>-65.799999999999969</v>
      </c>
      <c r="J12" s="9">
        <f>'B5'!A14</f>
        <v>44326</v>
      </c>
    </row>
    <row r="13" spans="1:10">
      <c r="A13" s="3">
        <f>ELEC!T14+ELEC!X14+ELEC!AB14</f>
        <v>9</v>
      </c>
      <c r="B13" s="3">
        <f>ELEC!AF14</f>
        <v>2171</v>
      </c>
      <c r="C13" s="3">
        <f>ELEC!N14</f>
        <v>9411</v>
      </c>
      <c r="D13" s="3">
        <f t="shared" si="0"/>
        <v>2141.9999999997672</v>
      </c>
      <c r="E13" s="3">
        <f>ELEC!Q14</f>
        <v>7269.0000000002328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-30.499999999999972</v>
      </c>
      <c r="J13" s="9">
        <f>'B5'!A15</f>
        <v>44327</v>
      </c>
    </row>
    <row r="14" spans="1:10">
      <c r="A14" s="3">
        <f>ELEC!T15+ELEC!X15+ELEC!AB15</f>
        <v>8</v>
      </c>
      <c r="B14" s="3">
        <f>ELEC!AF15</f>
        <v>1981</v>
      </c>
      <c r="C14" s="3">
        <f>ELEC!N15</f>
        <v>9646</v>
      </c>
      <c r="D14" s="3">
        <f t="shared" si="0"/>
        <v>2940.9999999982538</v>
      </c>
      <c r="E14" s="3">
        <f>ELEC!Q15</f>
        <v>6705.0000000017462</v>
      </c>
      <c r="F14" s="3">
        <f>GEN!Z14</f>
        <v>12</v>
      </c>
      <c r="G14" s="3">
        <f>WATER!C17+WATER!H17</f>
        <v>0</v>
      </c>
      <c r="H14" s="3">
        <f>WATER!L17</f>
        <v>0</v>
      </c>
      <c r="I14" s="15">
        <f>WATER!BC17+WATER!BD17+WATER!BE18-Sheet1!G14</f>
        <v>-48.599999999999994</v>
      </c>
      <c r="J14" s="9">
        <f>'B5'!A16</f>
        <v>44328</v>
      </c>
    </row>
    <row r="15" spans="1:10">
      <c r="A15" s="3">
        <f>ELEC!T16+ELEC!X16+ELEC!AB16</f>
        <v>8</v>
      </c>
      <c r="B15" s="3">
        <f>ELEC!AF16</f>
        <v>1684</v>
      </c>
      <c r="C15" s="3">
        <f>ELEC!N16</f>
        <v>8868</v>
      </c>
      <c r="D15" s="3">
        <f t="shared" si="0"/>
        <v>3483.0000000016007</v>
      </c>
      <c r="E15" s="3">
        <f>ELEC!Q16</f>
        <v>5384.9999999983993</v>
      </c>
      <c r="F15" s="3">
        <f>GEN!Z15</f>
        <v>9</v>
      </c>
      <c r="G15" s="3">
        <f>WATER!C18+WATER!H18</f>
        <v>341</v>
      </c>
      <c r="H15" s="3">
        <f>WATER!L18</f>
        <v>0</v>
      </c>
      <c r="I15" s="15">
        <f>WATER!BC18+WATER!BD18+WATER!BE19-Sheet1!G15</f>
        <v>-374</v>
      </c>
      <c r="J15" s="9">
        <f>'B5'!A17</f>
        <v>44329</v>
      </c>
    </row>
    <row r="16" spans="1:10">
      <c r="A16" s="3">
        <f>ELEC!T17+ELEC!X17+ELEC!AB17</f>
        <v>5</v>
      </c>
      <c r="B16" s="3">
        <f>ELEC!AF17</f>
        <v>1169</v>
      </c>
      <c r="C16" s="3">
        <f>ELEC!N17</f>
        <v>7587</v>
      </c>
      <c r="D16" s="3">
        <f t="shared" si="0"/>
        <v>1190.9999999993597</v>
      </c>
      <c r="E16" s="3">
        <f>ELEC!Q17</f>
        <v>6396.0000000006403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-24.299999999999983</v>
      </c>
      <c r="J16" s="9">
        <f>'B5'!A18</f>
        <v>44330</v>
      </c>
    </row>
    <row r="17" spans="1:10">
      <c r="A17" s="3">
        <f>ELEC!T18+ELEC!X18+ELEC!AB18</f>
        <v>11</v>
      </c>
      <c r="B17" s="3">
        <f>ELEC!AF18</f>
        <v>2663</v>
      </c>
      <c r="C17" s="3">
        <f>ELEC!N18</f>
        <v>12839</v>
      </c>
      <c r="D17" s="3">
        <f t="shared" si="0"/>
        <v>7813.9999999985448</v>
      </c>
      <c r="E17" s="3">
        <f>ELEC!Q18</f>
        <v>5025.0000000014552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-51.5</v>
      </c>
      <c r="J17" s="9">
        <f>'B5'!A19</f>
        <v>44331</v>
      </c>
    </row>
    <row r="18" spans="1:10">
      <c r="A18" s="3">
        <f>ELEC!T19+ELEC!X19+ELEC!AB19</f>
        <v>10</v>
      </c>
      <c r="B18" s="3">
        <f>ELEC!AF19</f>
        <v>2275</v>
      </c>
      <c r="C18" s="3">
        <f>ELEC!N19</f>
        <v>10089</v>
      </c>
      <c r="D18" s="3">
        <f t="shared" si="0"/>
        <v>-344.99999999746797</v>
      </c>
      <c r="E18" s="3">
        <f>ELEC!Q19</f>
        <v>10433.999999997468</v>
      </c>
      <c r="F18" s="3">
        <f>GEN!Z18</f>
        <v>16</v>
      </c>
      <c r="G18" s="3">
        <f>WATER!C21+WATER!H21</f>
        <v>0</v>
      </c>
      <c r="H18" s="3">
        <f>WATER!L21</f>
        <v>4</v>
      </c>
      <c r="I18" s="15">
        <f>WATER!BC21+WATER!BD21+WATER!BE22-Sheet1!G18</f>
        <v>-50.400000000000006</v>
      </c>
      <c r="J18" s="9">
        <f>'B5'!A20</f>
        <v>44332</v>
      </c>
    </row>
    <row r="19" spans="1:10">
      <c r="A19" s="3">
        <f>ELEC!T20+ELEC!X20+ELEC!AB20</f>
        <v>11</v>
      </c>
      <c r="B19" s="3">
        <f>ELEC!AF20</f>
        <v>2111</v>
      </c>
      <c r="C19" s="3">
        <f>ELEC!N20</f>
        <v>10297</v>
      </c>
      <c r="D19" s="3">
        <f t="shared" si="0"/>
        <v>2551.9999999973807</v>
      </c>
      <c r="E19" s="3">
        <f>ELEC!Q20</f>
        <v>7745.0000000026193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-55.999999999999986</v>
      </c>
      <c r="J19" s="9">
        <f>'B5'!A21</f>
        <v>44333</v>
      </c>
    </row>
    <row r="20" spans="1:10">
      <c r="A20" s="3">
        <f>ELEC!T21+ELEC!X21+ELEC!AB21</f>
        <v>10</v>
      </c>
      <c r="B20" s="3">
        <f>ELEC!AF21</f>
        <v>2132</v>
      </c>
      <c r="C20" s="3">
        <f>ELEC!N21</f>
        <v>15339</v>
      </c>
      <c r="D20" s="3">
        <f t="shared" si="0"/>
        <v>3093.0000000008149</v>
      </c>
      <c r="E20" s="3">
        <f>ELEC!Q21</f>
        <v>12245.999999999185</v>
      </c>
      <c r="F20" s="3">
        <f>GEN!Z20</f>
        <v>11</v>
      </c>
      <c r="G20" s="3">
        <f>WATER!C23+WATER!H23</f>
        <v>0</v>
      </c>
      <c r="H20" s="3">
        <f>WATER!L23</f>
        <v>2</v>
      </c>
      <c r="I20" s="15">
        <f>WATER!BC23+WATER!BD23+WATER!BE24-Sheet1!G20</f>
        <v>-65.19999999999996</v>
      </c>
      <c r="J20" s="9">
        <f>'B5'!A22</f>
        <v>44334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16</v>
      </c>
      <c r="G21" s="3">
        <f>WATER!C24+WATER!H24</f>
        <v>0</v>
      </c>
      <c r="H21" s="3">
        <f>WATER!L24</f>
        <v>1</v>
      </c>
      <c r="I21" s="15">
        <f>WATER!BC24+WATER!BD24+WATER!BE25-Sheet1!G21</f>
        <v>-26.099999999999966</v>
      </c>
      <c r="J21" s="9">
        <f>'B5'!A23</f>
        <v>44335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44336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44337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44338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44339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44340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00"/>
      <c r="B1" s="698" t="s">
        <v>119</v>
      </c>
      <c r="C1" s="698" t="s">
        <v>118</v>
      </c>
      <c r="D1" s="702" t="s">
        <v>113</v>
      </c>
      <c r="E1" s="702" t="s">
        <v>114</v>
      </c>
      <c r="F1" s="703" t="s">
        <v>120</v>
      </c>
      <c r="G1" s="704" t="s">
        <v>75</v>
      </c>
      <c r="H1" s="695" t="s">
        <v>115</v>
      </c>
      <c r="I1" s="696" t="s">
        <v>116</v>
      </c>
      <c r="J1" s="695" t="s">
        <v>117</v>
      </c>
      <c r="K1" s="694" t="s">
        <v>121</v>
      </c>
      <c r="L1" s="694" t="s">
        <v>122</v>
      </c>
      <c r="M1" s="694" t="s">
        <v>123</v>
      </c>
      <c r="N1" s="694" t="s">
        <v>124</v>
      </c>
    </row>
    <row r="2" spans="1:14">
      <c r="A2" s="701"/>
      <c r="B2" s="699"/>
      <c r="C2" s="699"/>
      <c r="D2" s="702"/>
      <c r="E2" s="702"/>
      <c r="F2" s="703"/>
      <c r="G2" s="704"/>
      <c r="H2" s="695"/>
      <c r="I2" s="697"/>
      <c r="J2" s="695"/>
      <c r="K2" s="694"/>
      <c r="L2" s="694"/>
      <c r="M2" s="694"/>
      <c r="N2" s="69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82</v>
      </c>
      <c r="C14" s="76">
        <f>'B5'!AH14</f>
        <v>0</v>
      </c>
      <c r="D14" s="76">
        <f>GEN!AI12</f>
        <v>1631.2995780590045</v>
      </c>
      <c r="E14" s="242">
        <f t="shared" si="0"/>
        <v>1713.2995780590045</v>
      </c>
      <c r="F14" s="75">
        <f>WATER!L14</f>
        <v>2</v>
      </c>
      <c r="G14" s="78">
        <f>WATER!BG14</f>
        <v>94.399999999999935</v>
      </c>
      <c r="H14" s="79">
        <f>ELEC!AF12</f>
        <v>2061</v>
      </c>
      <c r="I14" s="79">
        <f>ELEC!Q12</f>
        <v>6337.9999999997381</v>
      </c>
      <c r="J14" s="79">
        <f>ELEC!R12</f>
        <v>3143.0000000002619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81</v>
      </c>
      <c r="C15" s="76">
        <f>'B5'!AH15</f>
        <v>56</v>
      </c>
      <c r="D15" s="76">
        <f>GEN!AI13</f>
        <v>1478.41350210939</v>
      </c>
      <c r="E15" s="242">
        <f t="shared" si="0"/>
        <v>1615.41350210939</v>
      </c>
      <c r="F15" s="75">
        <f>WATER!L15</f>
        <v>0</v>
      </c>
      <c r="G15" s="78">
        <f>WATER!BG15</f>
        <v>-13.999999999999972</v>
      </c>
      <c r="H15" s="79">
        <f>ELEC!AF13</f>
        <v>1422</v>
      </c>
      <c r="I15" s="79">
        <f>ELEC!Q13</f>
        <v>5743.9999999987776</v>
      </c>
      <c r="J15" s="79">
        <f>ELEC!R13</f>
        <v>3284.0000000012224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154</v>
      </c>
      <c r="C16" s="76">
        <f>'B5'!AH16</f>
        <v>0</v>
      </c>
      <c r="D16" s="76">
        <f>GEN!AI14</f>
        <v>1870.9240506329716</v>
      </c>
      <c r="E16" s="242">
        <f t="shared" si="0"/>
        <v>2024.9240506329716</v>
      </c>
      <c r="F16" s="75">
        <f>WATER!L16</f>
        <v>0</v>
      </c>
      <c r="G16" s="78">
        <f>WATER!BG16</f>
        <v>-47.3</v>
      </c>
      <c r="H16" s="79">
        <f>ELEC!AF14</f>
        <v>2171</v>
      </c>
      <c r="I16" s="79">
        <f>ELEC!Q14</f>
        <v>7269.0000000002328</v>
      </c>
      <c r="J16" s="79">
        <f>ELEC!R14</f>
        <v>2141.9999999997672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115</v>
      </c>
      <c r="C17" s="76">
        <f>'B5'!AH17</f>
        <v>0</v>
      </c>
      <c r="D17" s="76">
        <f>GEN!AI15</f>
        <v>1725.7594936713356</v>
      </c>
      <c r="E17" s="242">
        <f t="shared" si="0"/>
        <v>1840.7594936713356</v>
      </c>
      <c r="F17" s="75">
        <f>WATER!L17</f>
        <v>0</v>
      </c>
      <c r="G17" s="78">
        <f>WATER!BG17</f>
        <v>-15.599999999999966</v>
      </c>
      <c r="H17" s="79">
        <f>ELEC!AF15</f>
        <v>1981</v>
      </c>
      <c r="I17" s="79">
        <f>ELEC!Q15</f>
        <v>6705.0000000017462</v>
      </c>
      <c r="J17" s="79">
        <f>ELEC!R15</f>
        <v>2940.9999999982538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89</v>
      </c>
      <c r="C18" s="76">
        <f>'B5'!AH18</f>
        <v>0</v>
      </c>
      <c r="D18" s="76">
        <f>GEN!AI16</f>
        <v>1386.0126582274363</v>
      </c>
      <c r="E18" s="242">
        <f t="shared" si="0"/>
        <v>1475.0126582274363</v>
      </c>
      <c r="F18" s="75">
        <f>WATER!L18</f>
        <v>0</v>
      </c>
      <c r="G18" s="78">
        <f>WATER!BG18</f>
        <v>-33</v>
      </c>
      <c r="H18" s="79">
        <f>ELEC!AF16</f>
        <v>1684</v>
      </c>
      <c r="I18" s="79">
        <f>ELEC!Q16</f>
        <v>5384.9999999983993</v>
      </c>
      <c r="J18" s="79">
        <f>ELEC!R16</f>
        <v>3483.0000000016007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139</v>
      </c>
      <c r="C19" s="76">
        <f>'B5'!AH19</f>
        <v>0</v>
      </c>
      <c r="D19" s="76">
        <f>GEN!AI17</f>
        <v>1646.2278481014307</v>
      </c>
      <c r="E19" s="242">
        <f t="shared" si="0"/>
        <v>1785.2278481014307</v>
      </c>
      <c r="F19" s="75">
        <f>WATER!L19</f>
        <v>0</v>
      </c>
      <c r="G19" s="78">
        <f>WATER!BG19</f>
        <v>0</v>
      </c>
      <c r="H19" s="79">
        <f>ELEC!AF17</f>
        <v>1169</v>
      </c>
      <c r="I19" s="79">
        <f>ELEC!Q17</f>
        <v>6396.0000000006403</v>
      </c>
      <c r="J19" s="79">
        <f>ELEC!R17</f>
        <v>1190.9999999993597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115</v>
      </c>
      <c r="C20" s="76">
        <f>'B5'!AH20</f>
        <v>0</v>
      </c>
      <c r="D20" s="76">
        <f>GEN!AI18</f>
        <v>1293.3544303801216</v>
      </c>
      <c r="E20" s="242">
        <f t="shared" si="0"/>
        <v>1408.3544303801216</v>
      </c>
      <c r="F20" s="75">
        <f>WATER!L20</f>
        <v>0</v>
      </c>
      <c r="G20" s="78">
        <f>WATER!BG20</f>
        <v>-24.299999999999983</v>
      </c>
      <c r="H20" s="79">
        <f>ELEC!AF18</f>
        <v>2663</v>
      </c>
      <c r="I20" s="79">
        <f>ELEC!Q18</f>
        <v>5025.0000000014552</v>
      </c>
      <c r="J20" s="79">
        <f>ELEC!R18</f>
        <v>7813.9999999985448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93</v>
      </c>
      <c r="C21" s="76">
        <f>'B5'!AH21</f>
        <v>0</v>
      </c>
      <c r="D21" s="76">
        <f>GEN!AI19</f>
        <v>2685.5443037968171</v>
      </c>
      <c r="E21" s="242">
        <f t="shared" si="0"/>
        <v>2778.5443037968171</v>
      </c>
      <c r="F21" s="75">
        <f>WATER!L21</f>
        <v>4</v>
      </c>
      <c r="G21" s="78">
        <f>WATER!BG21</f>
        <v>-27.200000000000017</v>
      </c>
      <c r="H21" s="79">
        <f>ELEC!AF19</f>
        <v>2275</v>
      </c>
      <c r="I21" s="79">
        <f>ELEC!Q19</f>
        <v>10433.999999997468</v>
      </c>
      <c r="J21" s="79">
        <f>ELEC!R19</f>
        <v>-344.99999999746797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136</v>
      </c>
      <c r="C22" s="76">
        <f>'B5'!AH22</f>
        <v>0</v>
      </c>
      <c r="D22" s="76">
        <f>GEN!AI20</f>
        <v>1993.4388185660753</v>
      </c>
      <c r="E22" s="242">
        <f t="shared" si="0"/>
        <v>2129.4388185660755</v>
      </c>
      <c r="F22" s="75">
        <f>WATER!L22</f>
        <v>0</v>
      </c>
      <c r="G22" s="78">
        <f>WATER!BG22</f>
        <v>-23.199999999999989</v>
      </c>
      <c r="H22" s="79">
        <f>ELEC!AF20</f>
        <v>2111</v>
      </c>
      <c r="I22" s="79">
        <f>ELEC!Q20</f>
        <v>7745.0000000026193</v>
      </c>
      <c r="J22" s="79">
        <f>ELEC!R20</f>
        <v>2551.9999999973807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95</v>
      </c>
      <c r="C23" s="76">
        <f>'B5'!AH23</f>
        <v>0</v>
      </c>
      <c r="D23" s="76">
        <f>GEN!AI21</f>
        <v>3151.9240506327019</v>
      </c>
      <c r="E23" s="242">
        <f t="shared" si="0"/>
        <v>3246.9240506327019</v>
      </c>
      <c r="F23" s="75">
        <f>WATER!L23</f>
        <v>2</v>
      </c>
      <c r="G23" s="78">
        <f>WATER!BG23</f>
        <v>-32.799999999999997</v>
      </c>
      <c r="H23" s="79">
        <f>ELEC!AF21</f>
        <v>2132</v>
      </c>
      <c r="I23" s="79">
        <f>ELEC!Q21</f>
        <v>12245.999999999185</v>
      </c>
      <c r="J23" s="79">
        <f>ELEC!R21</f>
        <v>3093.0000000008149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1</v>
      </c>
      <c r="G24" s="78">
        <f>WATER!BG24</f>
        <v>-35.099999999999966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05" t="s">
        <v>151</v>
      </c>
      <c r="U3" s="70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20" zoomScaleNormal="120" workbookViewId="0">
      <pane ySplit="1" topLeftCell="A9" activePane="bottomLeft" state="frozen"/>
      <selection pane="bottomLeft" activeCell="D21" sqref="D21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[6]GEN!G32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[6]GEN!W32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649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v>9955</v>
      </c>
      <c r="C12" s="287">
        <f t="shared" si="9"/>
        <v>0</v>
      </c>
      <c r="D12" s="535">
        <v>396268</v>
      </c>
      <c r="E12" s="287">
        <f t="shared" si="10"/>
        <v>18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v>12159</v>
      </c>
      <c r="S12" s="287">
        <f t="shared" si="4"/>
        <v>9</v>
      </c>
      <c r="T12" s="535">
        <v>440413</v>
      </c>
      <c r="U12" s="287">
        <f t="shared" si="17"/>
        <v>2250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9</v>
      </c>
      <c r="AA12" s="287">
        <f t="shared" si="18"/>
        <v>2268</v>
      </c>
      <c r="AB12" s="287">
        <f t="shared" si="19"/>
        <v>250</v>
      </c>
      <c r="AC12" s="287">
        <f t="shared" si="20"/>
        <v>252</v>
      </c>
      <c r="AD12" s="73">
        <f>ELEC!Q12</f>
        <v>6337.9999999997381</v>
      </c>
      <c r="AE12" s="73">
        <f t="shared" si="24"/>
        <v>704.22222222219307</v>
      </c>
      <c r="AF12" s="403">
        <f t="shared" si="25"/>
        <v>0.44013888888887065</v>
      </c>
      <c r="AG12" s="404">
        <f t="shared" si="26"/>
        <v>140.84444444443861</v>
      </c>
      <c r="AH12" s="404">
        <f t="shared" si="21"/>
        <v>111.15555555556139</v>
      </c>
      <c r="AI12" s="73">
        <f t="shared" si="27"/>
        <v>1631.2995780590045</v>
      </c>
      <c r="AJ12" s="289">
        <f t="shared" si="7"/>
        <v>0.25738396624472576</v>
      </c>
      <c r="AK12" s="289">
        <f t="shared" si="28"/>
        <v>181.25550867322272</v>
      </c>
    </row>
    <row r="13" spans="1:37" ht="15.75" thickBot="1">
      <c r="A13" s="4">
        <f>ELEC!C13</f>
        <v>44327</v>
      </c>
      <c r="B13" s="534">
        <f t="shared" ref="B13:B33" si="30">B12</f>
        <v>9955</v>
      </c>
      <c r="C13" s="287">
        <f t="shared" si="9"/>
        <v>0</v>
      </c>
      <c r="D13" s="535">
        <v>396271</v>
      </c>
      <c r="E13" s="287">
        <f t="shared" si="10"/>
        <v>3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v>12169</v>
      </c>
      <c r="S13" s="287">
        <f t="shared" si="4"/>
        <v>10</v>
      </c>
      <c r="T13" s="535">
        <f t="shared" si="16"/>
        <v>440413</v>
      </c>
      <c r="U13" s="287">
        <f t="shared" si="17"/>
        <v>2500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10</v>
      </c>
      <c r="AA13" s="287">
        <f t="shared" si="18"/>
        <v>2503</v>
      </c>
      <c r="AB13" s="287">
        <f t="shared" si="19"/>
        <v>250</v>
      </c>
      <c r="AC13" s="287">
        <f t="shared" si="20"/>
        <v>250.3</v>
      </c>
      <c r="AD13" s="73">
        <f>ELEC!Q13</f>
        <v>5743.9999999987776</v>
      </c>
      <c r="AE13" s="73">
        <f t="shared" si="24"/>
        <v>574.39999999987776</v>
      </c>
      <c r="AF13" s="403">
        <f t="shared" si="25"/>
        <v>0.3589999999999236</v>
      </c>
      <c r="AG13" s="404">
        <f t="shared" si="26"/>
        <v>114.87999999997555</v>
      </c>
      <c r="AH13" s="404">
        <f t="shared" si="21"/>
        <v>135.42000000002446</v>
      </c>
      <c r="AI13" s="73">
        <f t="shared" si="27"/>
        <v>1478.41350210939</v>
      </c>
      <c r="AJ13" s="289">
        <f t="shared" si="7"/>
        <v>0.25738396624472576</v>
      </c>
      <c r="AK13" s="289">
        <f t="shared" si="28"/>
        <v>147.841350210939</v>
      </c>
    </row>
    <row r="14" spans="1:37" ht="15.75" thickBot="1">
      <c r="A14" s="4">
        <f>ELEC!C14</f>
        <v>44328</v>
      </c>
      <c r="B14" s="534">
        <v>9964</v>
      </c>
      <c r="C14" s="287">
        <f t="shared" si="9"/>
        <v>9</v>
      </c>
      <c r="D14" s="535">
        <v>397879</v>
      </c>
      <c r="E14" s="287">
        <f t="shared" si="10"/>
        <v>1608</v>
      </c>
      <c r="F14" s="287">
        <f t="shared" si="0"/>
        <v>178.66666666666666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v>12172</v>
      </c>
      <c r="S14" s="287">
        <f t="shared" si="4"/>
        <v>3</v>
      </c>
      <c r="T14" s="535">
        <v>3669836</v>
      </c>
      <c r="U14" s="287">
        <f t="shared" si="17"/>
        <v>750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12</v>
      </c>
      <c r="AA14" s="287">
        <f t="shared" si="18"/>
        <v>2358</v>
      </c>
      <c r="AB14" s="287">
        <f t="shared" si="19"/>
        <v>428.66666666666663</v>
      </c>
      <c r="AC14" s="287">
        <f t="shared" si="20"/>
        <v>196.5</v>
      </c>
      <c r="AD14" s="73">
        <f>ELEC!Q14</f>
        <v>7269.0000000002328</v>
      </c>
      <c r="AE14" s="73">
        <f t="shared" si="24"/>
        <v>605.75000000001944</v>
      </c>
      <c r="AF14" s="403">
        <f t="shared" si="25"/>
        <v>0.37859375000001216</v>
      </c>
      <c r="AG14" s="404">
        <f t="shared" si="26"/>
        <v>121.1500000000039</v>
      </c>
      <c r="AH14" s="404">
        <f t="shared" si="21"/>
        <v>75.349999999996101</v>
      </c>
      <c r="AI14" s="73">
        <f t="shared" si="27"/>
        <v>1870.9240506329716</v>
      </c>
      <c r="AJ14" s="289">
        <f t="shared" si="7"/>
        <v>0.25738396624472576</v>
      </c>
      <c r="AK14" s="289">
        <f t="shared" si="28"/>
        <v>155.91033755274762</v>
      </c>
    </row>
    <row r="15" spans="1:37" ht="15.75" thickBot="1">
      <c r="A15" s="4">
        <f>ELEC!C15</f>
        <v>44329</v>
      </c>
      <c r="B15" s="534">
        <v>9973</v>
      </c>
      <c r="C15" s="287">
        <f t="shared" si="9"/>
        <v>9</v>
      </c>
      <c r="D15" s="535">
        <v>398972</v>
      </c>
      <c r="E15" s="287">
        <f t="shared" si="10"/>
        <v>1093</v>
      </c>
      <c r="F15" s="287">
        <f t="shared" si="0"/>
        <v>121.44444444444444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v>12172</v>
      </c>
      <c r="S15" s="287">
        <f t="shared" si="4"/>
        <v>0</v>
      </c>
      <c r="T15" s="535">
        <f t="shared" si="16"/>
        <v>3669836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9</v>
      </c>
      <c r="AA15" s="287">
        <f t="shared" si="18"/>
        <v>1093</v>
      </c>
      <c r="AB15" s="287">
        <f t="shared" si="19"/>
        <v>371.44444444444446</v>
      </c>
      <c r="AC15" s="287">
        <f t="shared" si="20"/>
        <v>121.44444444444444</v>
      </c>
      <c r="AD15" s="73">
        <f>ELEC!Q15</f>
        <v>6705.0000000017462</v>
      </c>
      <c r="AE15" s="73">
        <f t="shared" si="24"/>
        <v>745.00000000019406</v>
      </c>
      <c r="AF15" s="403">
        <f t="shared" si="25"/>
        <v>0.4656250000001213</v>
      </c>
      <c r="AG15" s="404">
        <f t="shared" si="26"/>
        <v>149.00000000003882</v>
      </c>
      <c r="AH15" s="404">
        <f t="shared" si="21"/>
        <v>-27.555555555594381</v>
      </c>
      <c r="AI15" s="73">
        <f t="shared" si="27"/>
        <v>1725.7594936713356</v>
      </c>
      <c r="AJ15" s="289">
        <f t="shared" si="7"/>
        <v>0.25738396624472576</v>
      </c>
      <c r="AK15" s="289">
        <f t="shared" si="28"/>
        <v>191.75105485237063</v>
      </c>
    </row>
    <row r="16" spans="1:37" ht="15.75" thickBot="1">
      <c r="A16" s="4">
        <f>ELEC!C16</f>
        <v>44330</v>
      </c>
      <c r="B16" s="534">
        <v>9983</v>
      </c>
      <c r="C16" s="287">
        <f t="shared" si="9"/>
        <v>10</v>
      </c>
      <c r="D16" s="535">
        <v>400946</v>
      </c>
      <c r="E16" s="287">
        <f t="shared" si="10"/>
        <v>1974</v>
      </c>
      <c r="F16" s="287">
        <f t="shared" si="0"/>
        <v>197.4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v>12172</v>
      </c>
      <c r="S16" s="287">
        <f t="shared" si="4"/>
        <v>0</v>
      </c>
      <c r="T16" s="535">
        <f t="shared" si="16"/>
        <v>3669836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10</v>
      </c>
      <c r="AA16" s="287">
        <f t="shared" si="18"/>
        <v>1974</v>
      </c>
      <c r="AB16" s="287">
        <f t="shared" si="19"/>
        <v>447.4</v>
      </c>
      <c r="AC16" s="287">
        <f t="shared" si="20"/>
        <v>197.4</v>
      </c>
      <c r="AD16" s="73">
        <f>ELEC!Q16</f>
        <v>5384.9999999983993</v>
      </c>
      <c r="AE16" s="73">
        <f t="shared" si="24"/>
        <v>538.49999999983993</v>
      </c>
      <c r="AF16" s="403">
        <f t="shared" si="25"/>
        <v>0.33656249999989996</v>
      </c>
      <c r="AG16" s="404">
        <f t="shared" si="26"/>
        <v>107.69999999996799</v>
      </c>
      <c r="AH16" s="404">
        <f t="shared" si="21"/>
        <v>89.70000000003202</v>
      </c>
      <c r="AI16" s="73">
        <f t="shared" si="27"/>
        <v>1386.0126582274363</v>
      </c>
      <c r="AJ16" s="289">
        <f t="shared" si="7"/>
        <v>0.25738396624472576</v>
      </c>
      <c r="AK16" s="289">
        <f t="shared" si="28"/>
        <v>138.60126582274364</v>
      </c>
    </row>
    <row r="17" spans="1:37" ht="15.75" thickBot="1">
      <c r="A17" s="4">
        <f>ELEC!C17</f>
        <v>44331</v>
      </c>
      <c r="B17" s="534">
        <v>9990</v>
      </c>
      <c r="C17" s="287">
        <f t="shared" si="9"/>
        <v>7</v>
      </c>
      <c r="D17" s="535">
        <v>402914</v>
      </c>
      <c r="E17" s="287">
        <f t="shared" si="10"/>
        <v>1968</v>
      </c>
      <c r="F17" s="287">
        <f t="shared" si="0"/>
        <v>281.14285714285717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12172</v>
      </c>
      <c r="S17" s="287">
        <f t="shared" si="4"/>
        <v>0</v>
      </c>
      <c r="T17" s="535">
        <f t="shared" si="16"/>
        <v>3669836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7</v>
      </c>
      <c r="AA17" s="287">
        <f t="shared" si="18"/>
        <v>1968</v>
      </c>
      <c r="AB17" s="287">
        <f t="shared" si="19"/>
        <v>531.14285714285711</v>
      </c>
      <c r="AC17" s="287">
        <f t="shared" si="20"/>
        <v>281.14285714285717</v>
      </c>
      <c r="AD17" s="73">
        <f>ELEC!Q17</f>
        <v>6396.0000000006403</v>
      </c>
      <c r="AE17" s="73">
        <f t="shared" si="24"/>
        <v>913.71428571437718</v>
      </c>
      <c r="AF17" s="403">
        <f t="shared" si="25"/>
        <v>0.57107142857148574</v>
      </c>
      <c r="AG17" s="404">
        <f t="shared" si="26"/>
        <v>182.74285714287544</v>
      </c>
      <c r="AH17" s="404">
        <f t="shared" si="21"/>
        <v>98.399999999981731</v>
      </c>
      <c r="AI17" s="73">
        <f t="shared" si="27"/>
        <v>1646.2278481014307</v>
      </c>
      <c r="AJ17" s="289">
        <f t="shared" si="7"/>
        <v>0.25738396624472576</v>
      </c>
      <c r="AK17" s="289">
        <f t="shared" ref="AK17:AK30" si="31">IF(Z17&gt;0,AI17/Z17,0)</f>
        <v>235.17540687163296</v>
      </c>
    </row>
    <row r="18" spans="1:37" ht="15.75" thickBot="1">
      <c r="A18" s="4">
        <f>ELEC!C18</f>
        <v>44332</v>
      </c>
      <c r="B18" s="534">
        <v>10006</v>
      </c>
      <c r="C18" s="287">
        <f t="shared" si="9"/>
        <v>16</v>
      </c>
      <c r="D18" s="535">
        <v>404363.8</v>
      </c>
      <c r="E18" s="287">
        <f t="shared" si="10"/>
        <v>1449.7999999999884</v>
      </c>
      <c r="F18" s="287">
        <f t="shared" si="0"/>
        <v>90.612499999999272</v>
      </c>
      <c r="G18" s="196"/>
      <c r="H18" s="270">
        <v>10105</v>
      </c>
      <c r="I18" s="287" t="str">
        <f t="shared" si="1"/>
        <v>ok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12172</v>
      </c>
      <c r="S18" s="287">
        <f t="shared" si="4"/>
        <v>0</v>
      </c>
      <c r="T18" s="535">
        <f t="shared" si="16"/>
        <v>3669836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16</v>
      </c>
      <c r="AA18" s="287">
        <f t="shared" si="18"/>
        <v>1449.7999999999884</v>
      </c>
      <c r="AB18" s="287">
        <f t="shared" si="19"/>
        <v>340.61249999999927</v>
      </c>
      <c r="AC18" s="287">
        <f t="shared" si="20"/>
        <v>90.612499999999272</v>
      </c>
      <c r="AD18" s="73">
        <f>ELEC!Q18</f>
        <v>5025.0000000014552</v>
      </c>
      <c r="AE18" s="73">
        <f t="shared" si="24"/>
        <v>314.06250000009095</v>
      </c>
      <c r="AF18" s="403">
        <f t="shared" si="25"/>
        <v>0.19628906250005684</v>
      </c>
      <c r="AG18" s="404">
        <f t="shared" si="26"/>
        <v>62.81250000001819</v>
      </c>
      <c r="AH18" s="404">
        <f t="shared" si="21"/>
        <v>27.799999999981083</v>
      </c>
      <c r="AI18" s="73">
        <f t="shared" si="27"/>
        <v>1293.3544303801216</v>
      </c>
      <c r="AJ18" s="289">
        <f t="shared" si="7"/>
        <v>0.25738396624472576</v>
      </c>
      <c r="AK18" s="289">
        <f t="shared" si="31"/>
        <v>80.834651898757599</v>
      </c>
    </row>
    <row r="19" spans="1:37" ht="15.75" thickBot="1">
      <c r="A19" s="4">
        <f>ELEC!C19</f>
        <v>44333</v>
      </c>
      <c r="B19" s="534">
        <v>10015</v>
      </c>
      <c r="C19" s="287">
        <f t="shared" si="9"/>
        <v>9</v>
      </c>
      <c r="D19" s="535">
        <v>405397</v>
      </c>
      <c r="E19" s="287">
        <f t="shared" si="10"/>
        <v>1033.2000000000116</v>
      </c>
      <c r="F19" s="287">
        <f t="shared" si="0"/>
        <v>114.80000000000129</v>
      </c>
      <c r="G19" s="196"/>
      <c r="H19" s="270">
        <f t="shared" si="22"/>
        <v>10105</v>
      </c>
      <c r="I19" s="287" t="str">
        <f t="shared" si="1"/>
        <v>ok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35">
        <f t="shared" si="15"/>
        <v>12172</v>
      </c>
      <c r="S19" s="287">
        <f t="shared" si="4"/>
        <v>0</v>
      </c>
      <c r="T19" s="535">
        <f t="shared" si="16"/>
        <v>3669836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9</v>
      </c>
      <c r="AA19" s="287">
        <f t="shared" si="18"/>
        <v>1033.2000000000116</v>
      </c>
      <c r="AB19" s="287">
        <f t="shared" si="19"/>
        <v>364.80000000000132</v>
      </c>
      <c r="AC19" s="287">
        <f t="shared" si="20"/>
        <v>114.80000000000129</v>
      </c>
      <c r="AD19" s="73">
        <f>ELEC!Q19</f>
        <v>10433.999999997468</v>
      </c>
      <c r="AE19" s="73">
        <f t="shared" si="24"/>
        <v>1159.333333333052</v>
      </c>
      <c r="AF19" s="403">
        <f t="shared" si="25"/>
        <v>0.7245833333331575</v>
      </c>
      <c r="AG19" s="404">
        <f t="shared" si="26"/>
        <v>231.8666666666104</v>
      </c>
      <c r="AH19" s="404">
        <f t="shared" si="21"/>
        <v>-117.06666666660911</v>
      </c>
      <c r="AI19" s="73">
        <f t="shared" si="27"/>
        <v>2685.5443037968171</v>
      </c>
      <c r="AJ19" s="289">
        <f t="shared" si="7"/>
        <v>0.25738396624472576</v>
      </c>
      <c r="AK19" s="289">
        <f t="shared" si="31"/>
        <v>298.39381153297967</v>
      </c>
    </row>
    <row r="20" spans="1:37" ht="15.75" thickBot="1">
      <c r="A20" s="4">
        <f>ELEC!C20</f>
        <v>44334</v>
      </c>
      <c r="B20" s="534">
        <v>10026</v>
      </c>
      <c r="C20" s="287">
        <f>B20-B19</f>
        <v>11</v>
      </c>
      <c r="D20" s="270">
        <v>406672</v>
      </c>
      <c r="E20" s="287">
        <f t="shared" si="10"/>
        <v>1275</v>
      </c>
      <c r="F20" s="287">
        <f t="shared" si="0"/>
        <v>115.90909090909091</v>
      </c>
      <c r="G20" s="196"/>
      <c r="H20" s="270">
        <f t="shared" si="22"/>
        <v>10105</v>
      </c>
      <c r="I20" s="287" t="str">
        <f t="shared" si="1"/>
        <v>ok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35">
        <f t="shared" si="15"/>
        <v>12172</v>
      </c>
      <c r="S20" s="287">
        <f t="shared" si="4"/>
        <v>0</v>
      </c>
      <c r="T20" s="535">
        <f t="shared" si="16"/>
        <v>3669836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11</v>
      </c>
      <c r="AA20" s="287">
        <f t="shared" si="18"/>
        <v>1275</v>
      </c>
      <c r="AB20" s="287">
        <f t="shared" si="19"/>
        <v>365.90909090909088</v>
      </c>
      <c r="AC20" s="287">
        <f t="shared" si="20"/>
        <v>115.90909090909091</v>
      </c>
      <c r="AD20" s="73">
        <f>ELEC!Q20</f>
        <v>7745.0000000026193</v>
      </c>
      <c r="AE20" s="73">
        <f t="shared" si="24"/>
        <v>704.09090909114718</v>
      </c>
      <c r="AF20" s="403">
        <f t="shared" si="25"/>
        <v>0.44005681818196701</v>
      </c>
      <c r="AG20" s="404">
        <f t="shared" si="26"/>
        <v>140.81818181822945</v>
      </c>
      <c r="AH20" s="404">
        <f t="shared" si="21"/>
        <v>-24.909090909138541</v>
      </c>
      <c r="AI20" s="73">
        <f>AD20*AJ20</f>
        <v>1993.4388185660753</v>
      </c>
      <c r="AJ20" s="289">
        <f t="shared" si="7"/>
        <v>0.25738396624472576</v>
      </c>
      <c r="AK20" s="289">
        <f t="shared" si="31"/>
        <v>181.22171077873412</v>
      </c>
    </row>
    <row r="21" spans="1:37" ht="15.75" thickBot="1">
      <c r="A21" s="4">
        <f>ELEC!C21</f>
        <v>44335</v>
      </c>
      <c r="B21" s="534">
        <v>10042</v>
      </c>
      <c r="C21" s="287">
        <f t="shared" ref="C21" si="33">B21-B20</f>
        <v>16</v>
      </c>
      <c r="D21" s="270">
        <v>408288</v>
      </c>
      <c r="E21" s="287">
        <f t="shared" si="10"/>
        <v>1616</v>
      </c>
      <c r="F21" s="287">
        <f t="shared" si="0"/>
        <v>101</v>
      </c>
      <c r="G21" s="196"/>
      <c r="H21" s="270">
        <f t="shared" si="22"/>
        <v>10105</v>
      </c>
      <c r="I21" s="287" t="str">
        <f t="shared" si="1"/>
        <v>ok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35">
        <f t="shared" si="15"/>
        <v>12172</v>
      </c>
      <c r="S21" s="287">
        <f t="shared" si="4"/>
        <v>0</v>
      </c>
      <c r="T21" s="535">
        <f t="shared" si="16"/>
        <v>3669836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16</v>
      </c>
      <c r="AA21" s="287">
        <f t="shared" si="18"/>
        <v>1616</v>
      </c>
      <c r="AB21" s="287">
        <f t="shared" si="19"/>
        <v>351</v>
      </c>
      <c r="AC21" s="287">
        <f t="shared" si="20"/>
        <v>101</v>
      </c>
      <c r="AD21" s="73">
        <f>ELEC!Q21</f>
        <v>12245.999999999185</v>
      </c>
      <c r="AE21" s="73">
        <f t="shared" si="24"/>
        <v>765.37499999994907</v>
      </c>
      <c r="AF21" s="403">
        <f t="shared" si="25"/>
        <v>0.47835937499996817</v>
      </c>
      <c r="AG21" s="404">
        <f t="shared" si="26"/>
        <v>153.07499999998981</v>
      </c>
      <c r="AH21" s="404">
        <f t="shared" si="21"/>
        <v>-52.074999999989814</v>
      </c>
      <c r="AI21" s="73">
        <f t="shared" si="27"/>
        <v>3151.9240506327019</v>
      </c>
      <c r="AJ21" s="289">
        <f t="shared" si="7"/>
        <v>0.25738396624472576</v>
      </c>
      <c r="AK21" s="289">
        <f t="shared" si="31"/>
        <v>196.99525316454387</v>
      </c>
    </row>
    <row r="22" spans="1:37" ht="15.75" thickBot="1">
      <c r="A22" s="4">
        <f>ELEC!C22</f>
        <v>44336</v>
      </c>
      <c r="B22" s="534">
        <f t="shared" si="30"/>
        <v>10042</v>
      </c>
      <c r="C22" s="287">
        <f t="shared" si="9"/>
        <v>0</v>
      </c>
      <c r="D22" s="535">
        <f t="shared" ref="D22:D33" si="34">D21</f>
        <v>408288</v>
      </c>
      <c r="E22" s="287">
        <f>150*C22</f>
        <v>0</v>
      </c>
      <c r="F22" s="287">
        <f t="shared" si="0"/>
        <v>0</v>
      </c>
      <c r="G22" s="196"/>
      <c r="H22" s="270">
        <f t="shared" si="22"/>
        <v>10105</v>
      </c>
      <c r="I22" s="287" t="str">
        <f t="shared" si="1"/>
        <v>ok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35">
        <f t="shared" si="15"/>
        <v>12172</v>
      </c>
      <c r="S22" s="287">
        <f t="shared" si="4"/>
        <v>0</v>
      </c>
      <c r="T22" s="535">
        <f t="shared" si="16"/>
        <v>3669836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8"/>
        <v>0</v>
      </c>
      <c r="AB22" s="287">
        <f t="shared" si="19"/>
        <v>250</v>
      </c>
      <c r="AC22" s="287">
        <f t="shared" si="20"/>
        <v>0</v>
      </c>
      <c r="AD22" s="73">
        <f>ELEC!Q22</f>
        <v>0</v>
      </c>
      <c r="AE22" s="73" t="e">
        <f t="shared" si="24"/>
        <v>#DIV/0!</v>
      </c>
      <c r="AF22" s="403" t="e">
        <f t="shared" si="25"/>
        <v>#DIV/0!</v>
      </c>
      <c r="AG22" s="404" t="e">
        <f t="shared" si="26"/>
        <v>#DIV/0!</v>
      </c>
      <c r="AH22" s="404" t="e">
        <f t="shared" si="21"/>
        <v>#DIV/0!</v>
      </c>
      <c r="AI22" s="73">
        <f t="shared" si="27"/>
        <v>0</v>
      </c>
      <c r="AJ22" s="289">
        <f t="shared" si="7"/>
        <v>0.25738396624472576</v>
      </c>
      <c r="AK22" s="289">
        <f t="shared" si="31"/>
        <v>0</v>
      </c>
    </row>
    <row r="23" spans="1:37" ht="15.75" thickBot="1">
      <c r="A23" s="4">
        <f>ELEC!C23</f>
        <v>44337</v>
      </c>
      <c r="B23" s="534">
        <f t="shared" si="30"/>
        <v>10042</v>
      </c>
      <c r="C23" s="287">
        <f t="shared" si="9"/>
        <v>0</v>
      </c>
      <c r="D23" s="535">
        <f t="shared" si="34"/>
        <v>408288</v>
      </c>
      <c r="E23" s="287">
        <f>150*C23</f>
        <v>0</v>
      </c>
      <c r="F23" s="287">
        <f t="shared" si="0"/>
        <v>0</v>
      </c>
      <c r="G23" s="196"/>
      <c r="H23" s="270">
        <f t="shared" si="22"/>
        <v>10105</v>
      </c>
      <c r="I23" s="287" t="str">
        <f t="shared" si="1"/>
        <v>ok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35">
        <f t="shared" si="15"/>
        <v>12172</v>
      </c>
      <c r="S23" s="287">
        <f>R23-R22</f>
        <v>0</v>
      </c>
      <c r="T23" s="535">
        <f t="shared" si="16"/>
        <v>3669836</v>
      </c>
      <c r="U23" s="287">
        <f t="shared" si="17"/>
        <v>0</v>
      </c>
      <c r="V23" s="287">
        <v>250</v>
      </c>
      <c r="W23" s="196"/>
      <c r="X23" s="288">
        <f t="shared" si="23"/>
        <v>12192</v>
      </c>
      <c r="Y23" s="287" t="str">
        <f t="shared" si="35"/>
        <v>ok</v>
      </c>
      <c r="Z23" s="287">
        <f t="shared" si="6"/>
        <v>0</v>
      </c>
      <c r="AA23" s="287">
        <f t="shared" si="18"/>
        <v>0</v>
      </c>
      <c r="AB23" s="287">
        <f t="shared" si="19"/>
        <v>250</v>
      </c>
      <c r="AC23" s="287">
        <f t="shared" si="20"/>
        <v>0</v>
      </c>
      <c r="AD23" s="73">
        <f>ELEC!Q23</f>
        <v>0</v>
      </c>
      <c r="AE23" s="73" t="e">
        <f t="shared" si="24"/>
        <v>#DIV/0!</v>
      </c>
      <c r="AF23" s="403" t="e">
        <f t="shared" si="25"/>
        <v>#DIV/0!</v>
      </c>
      <c r="AG23" s="404" t="e">
        <f t="shared" si="26"/>
        <v>#DIV/0!</v>
      </c>
      <c r="AH23" s="404" t="e">
        <f t="shared" si="21"/>
        <v>#DIV/0!</v>
      </c>
      <c r="AI23" s="73">
        <f t="shared" si="27"/>
        <v>0</v>
      </c>
      <c r="AJ23" s="289">
        <f t="shared" si="7"/>
        <v>0.25738396624472576</v>
      </c>
      <c r="AK23" s="289">
        <f t="shared" si="31"/>
        <v>0</v>
      </c>
    </row>
    <row r="24" spans="1:37" ht="15.75" thickBot="1">
      <c r="A24" s="4">
        <f>ELEC!C24</f>
        <v>44338</v>
      </c>
      <c r="B24" s="534">
        <f t="shared" si="30"/>
        <v>10042</v>
      </c>
      <c r="C24" s="287">
        <f t="shared" si="9"/>
        <v>0</v>
      </c>
      <c r="D24" s="535">
        <f t="shared" si="34"/>
        <v>408288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10105</v>
      </c>
      <c r="I24" s="287" t="str">
        <f t="shared" si="1"/>
        <v>ok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35">
        <f t="shared" si="15"/>
        <v>12172</v>
      </c>
      <c r="S24" s="287">
        <f t="shared" si="4"/>
        <v>0</v>
      </c>
      <c r="T24" s="535">
        <f t="shared" si="16"/>
        <v>3669836</v>
      </c>
      <c r="U24" s="287">
        <f t="shared" si="17"/>
        <v>0</v>
      </c>
      <c r="V24" s="287">
        <v>250</v>
      </c>
      <c r="W24" s="196"/>
      <c r="X24" s="288">
        <f t="shared" si="23"/>
        <v>12192</v>
      </c>
      <c r="Y24" s="287" t="str">
        <f t="shared" si="35"/>
        <v>ok</v>
      </c>
      <c r="Z24" s="287">
        <f t="shared" si="6"/>
        <v>0</v>
      </c>
      <c r="AA24" s="287">
        <f t="shared" si="18"/>
        <v>0</v>
      </c>
      <c r="AB24" s="287">
        <f t="shared" si="19"/>
        <v>250</v>
      </c>
      <c r="AC24" s="287">
        <f t="shared" si="20"/>
        <v>0</v>
      </c>
      <c r="AD24" s="73">
        <f>ELEC!Q24</f>
        <v>0</v>
      </c>
      <c r="AE24" s="73" t="e">
        <f t="shared" si="24"/>
        <v>#DIV/0!</v>
      </c>
      <c r="AF24" s="403" t="e">
        <f t="shared" si="25"/>
        <v>#DIV/0!</v>
      </c>
      <c r="AG24" s="404" t="e">
        <f t="shared" si="26"/>
        <v>#DIV/0!</v>
      </c>
      <c r="AH24" s="404" t="e">
        <f t="shared" si="21"/>
        <v>#DIV/0!</v>
      </c>
      <c r="AI24" s="73">
        <f t="shared" si="27"/>
        <v>0</v>
      </c>
      <c r="AJ24" s="289">
        <f t="shared" si="7"/>
        <v>0.25738396624472576</v>
      </c>
      <c r="AK24" s="289">
        <f t="shared" si="31"/>
        <v>0</v>
      </c>
    </row>
    <row r="25" spans="1:37" ht="15.75" thickBot="1">
      <c r="A25" s="4">
        <f>ELEC!C25</f>
        <v>44339</v>
      </c>
      <c r="B25" s="534">
        <f t="shared" si="30"/>
        <v>10042</v>
      </c>
      <c r="C25" s="287">
        <f t="shared" si="9"/>
        <v>0</v>
      </c>
      <c r="D25" s="535">
        <f t="shared" si="34"/>
        <v>408288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10105</v>
      </c>
      <c r="I25" s="287" t="str">
        <f t="shared" si="1"/>
        <v>ok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35">
        <f t="shared" si="15"/>
        <v>12172</v>
      </c>
      <c r="S25" s="287">
        <f t="shared" si="4"/>
        <v>0</v>
      </c>
      <c r="T25" s="535">
        <f t="shared" si="16"/>
        <v>3669836</v>
      </c>
      <c r="U25" s="287">
        <f t="shared" si="17"/>
        <v>0</v>
      </c>
      <c r="V25" s="287">
        <v>250</v>
      </c>
      <c r="W25" s="196"/>
      <c r="X25" s="288">
        <f t="shared" si="23"/>
        <v>12192</v>
      </c>
      <c r="Y25" s="287" t="str">
        <f t="shared" si="35"/>
        <v>ok</v>
      </c>
      <c r="Z25" s="287">
        <f t="shared" si="6"/>
        <v>0</v>
      </c>
      <c r="AA25" s="287">
        <f t="shared" si="18"/>
        <v>0</v>
      </c>
      <c r="AB25" s="287">
        <f t="shared" si="19"/>
        <v>250</v>
      </c>
      <c r="AC25" s="287">
        <f t="shared" si="20"/>
        <v>0</v>
      </c>
      <c r="AD25" s="73">
        <f>ELEC!Q25</f>
        <v>0</v>
      </c>
      <c r="AE25" s="73" t="e">
        <f t="shared" si="24"/>
        <v>#DIV/0!</v>
      </c>
      <c r="AF25" s="403" t="e">
        <f t="shared" si="25"/>
        <v>#DIV/0!</v>
      </c>
      <c r="AG25" s="404" t="e">
        <f t="shared" si="26"/>
        <v>#DIV/0!</v>
      </c>
      <c r="AH25" s="404" t="e">
        <f t="shared" si="21"/>
        <v>#DIV/0!</v>
      </c>
      <c r="AI25" s="73">
        <f t="shared" si="27"/>
        <v>0</v>
      </c>
      <c r="AJ25" s="289">
        <f t="shared" si="7"/>
        <v>0.25738396624472576</v>
      </c>
      <c r="AK25" s="289">
        <f t="shared" si="31"/>
        <v>0</v>
      </c>
    </row>
    <row r="26" spans="1:37" ht="15.75" thickBot="1">
      <c r="A26" s="4">
        <f>ELEC!C26</f>
        <v>44340</v>
      </c>
      <c r="B26" s="534">
        <f t="shared" si="30"/>
        <v>10042</v>
      </c>
      <c r="C26" s="287">
        <f t="shared" si="9"/>
        <v>0</v>
      </c>
      <c r="D26" s="535">
        <f t="shared" si="34"/>
        <v>408288</v>
      </c>
      <c r="E26" s="287">
        <f>SUM(D26-D25)</f>
        <v>0</v>
      </c>
      <c r="F26" s="287">
        <f t="shared" si="0"/>
        <v>0</v>
      </c>
      <c r="G26" s="196"/>
      <c r="H26" s="270">
        <f t="shared" si="22"/>
        <v>10105</v>
      </c>
      <c r="I26" s="287" t="str">
        <f t="shared" si="1"/>
        <v>ok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35">
        <f t="shared" si="15"/>
        <v>12172</v>
      </c>
      <c r="S26" s="287">
        <f t="shared" si="4"/>
        <v>0</v>
      </c>
      <c r="T26" s="535">
        <f t="shared" si="16"/>
        <v>3669836</v>
      </c>
      <c r="U26" s="287">
        <f t="shared" si="17"/>
        <v>0</v>
      </c>
      <c r="V26" s="287">
        <v>250</v>
      </c>
      <c r="W26" s="196"/>
      <c r="X26" s="288">
        <f t="shared" si="23"/>
        <v>12192</v>
      </c>
      <c r="Y26" s="287" t="str">
        <f t="shared" si="35"/>
        <v>ok</v>
      </c>
      <c r="Z26" s="287">
        <f t="shared" si="6"/>
        <v>0</v>
      </c>
      <c r="AA26" s="287">
        <f t="shared" si="18"/>
        <v>0</v>
      </c>
      <c r="AB26" s="287">
        <f t="shared" si="19"/>
        <v>250</v>
      </c>
      <c r="AC26" s="287">
        <f t="shared" si="20"/>
        <v>0</v>
      </c>
      <c r="AD26" s="73">
        <f>ELEC!Q26</f>
        <v>0</v>
      </c>
      <c r="AE26" s="73" t="e">
        <f t="shared" si="24"/>
        <v>#DIV/0!</v>
      </c>
      <c r="AF26" s="403" t="e">
        <f t="shared" si="25"/>
        <v>#DIV/0!</v>
      </c>
      <c r="AG26" s="404" t="e">
        <f t="shared" si="26"/>
        <v>#DIV/0!</v>
      </c>
      <c r="AH26" s="404" t="e">
        <f t="shared" si="21"/>
        <v>#DIV/0!</v>
      </c>
      <c r="AI26" s="73">
        <f t="shared" si="27"/>
        <v>0</v>
      </c>
      <c r="AJ26" s="289">
        <f t="shared" si="7"/>
        <v>0.25738396624472576</v>
      </c>
      <c r="AK26" s="289">
        <f t="shared" si="31"/>
        <v>0</v>
      </c>
    </row>
    <row r="27" spans="1:37" ht="15.75" thickBot="1">
      <c r="A27" s="4">
        <f>ELEC!C27</f>
        <v>44341</v>
      </c>
      <c r="B27" s="534">
        <f t="shared" si="30"/>
        <v>10042</v>
      </c>
      <c r="C27" s="287">
        <f t="shared" si="9"/>
        <v>0</v>
      </c>
      <c r="D27" s="535">
        <f t="shared" si="34"/>
        <v>408288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10105</v>
      </c>
      <c r="I27" s="287" t="str">
        <f>IF(B27-H27&lt;=0,"ok","oil change")</f>
        <v>ok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35">
        <f t="shared" si="15"/>
        <v>12172</v>
      </c>
      <c r="S27" s="287">
        <f t="shared" si="4"/>
        <v>0</v>
      </c>
      <c r="T27" s="535">
        <f t="shared" si="16"/>
        <v>3669836</v>
      </c>
      <c r="U27" s="287">
        <f t="shared" si="17"/>
        <v>0</v>
      </c>
      <c r="V27" s="287">
        <v>250</v>
      </c>
      <c r="W27" s="196"/>
      <c r="X27" s="288">
        <f t="shared" si="23"/>
        <v>12192</v>
      </c>
      <c r="Y27" s="287" t="str">
        <f t="shared" si="35"/>
        <v>ok</v>
      </c>
      <c r="Z27" s="287">
        <f t="shared" si="6"/>
        <v>0</v>
      </c>
      <c r="AA27" s="287">
        <f t="shared" si="18"/>
        <v>0</v>
      </c>
      <c r="AB27" s="287">
        <f t="shared" si="19"/>
        <v>250</v>
      </c>
      <c r="AC27" s="287">
        <f t="shared" si="20"/>
        <v>0</v>
      </c>
      <c r="AD27" s="73">
        <f>ELEC!Q27</f>
        <v>0</v>
      </c>
      <c r="AE27" s="73" t="e">
        <f t="shared" si="24"/>
        <v>#DIV/0!</v>
      </c>
      <c r="AF27" s="403" t="e">
        <f t="shared" si="25"/>
        <v>#DIV/0!</v>
      </c>
      <c r="AG27" s="404" t="e">
        <f t="shared" si="26"/>
        <v>#DIV/0!</v>
      </c>
      <c r="AH27" s="404" t="e">
        <f t="shared" si="21"/>
        <v>#DIV/0!</v>
      </c>
      <c r="AI27" s="73">
        <f t="shared" si="27"/>
        <v>0</v>
      </c>
      <c r="AJ27" s="289">
        <f t="shared" si="7"/>
        <v>0.25738396624472576</v>
      </c>
      <c r="AK27" s="289">
        <f t="shared" si="31"/>
        <v>0</v>
      </c>
    </row>
    <row r="28" spans="1:37" ht="15.75" thickBot="1">
      <c r="A28" s="4">
        <f>ELEC!C28</f>
        <v>44342</v>
      </c>
      <c r="B28" s="534">
        <f t="shared" si="30"/>
        <v>10042</v>
      </c>
      <c r="C28" s="287">
        <f t="shared" si="9"/>
        <v>0</v>
      </c>
      <c r="D28" s="535">
        <f t="shared" si="34"/>
        <v>408288</v>
      </c>
      <c r="E28" s="287">
        <f t="shared" si="10"/>
        <v>0</v>
      </c>
      <c r="F28" s="287">
        <f t="shared" si="0"/>
        <v>0</v>
      </c>
      <c r="G28" s="285"/>
      <c r="H28" s="270">
        <f t="shared" si="22"/>
        <v>10105</v>
      </c>
      <c r="I28" s="287" t="str">
        <f t="shared" si="1"/>
        <v>ok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35">
        <f t="shared" si="15"/>
        <v>12172</v>
      </c>
      <c r="S28" s="287">
        <f t="shared" si="4"/>
        <v>0</v>
      </c>
      <c r="T28" s="535">
        <f t="shared" si="16"/>
        <v>3669836</v>
      </c>
      <c r="U28" s="287">
        <f t="shared" si="17"/>
        <v>0</v>
      </c>
      <c r="V28" s="287">
        <v>250</v>
      </c>
      <c r="W28" s="196"/>
      <c r="X28" s="288">
        <f t="shared" si="23"/>
        <v>12192</v>
      </c>
      <c r="Y28" s="287" t="str">
        <f t="shared" si="35"/>
        <v>ok</v>
      </c>
      <c r="Z28" s="287">
        <f t="shared" si="6"/>
        <v>0</v>
      </c>
      <c r="AA28" s="287">
        <f t="shared" si="18"/>
        <v>0</v>
      </c>
      <c r="AB28" s="287">
        <f t="shared" si="19"/>
        <v>250</v>
      </c>
      <c r="AC28" s="287">
        <f t="shared" si="20"/>
        <v>0</v>
      </c>
      <c r="AD28" s="73">
        <f>ELEC!Q28</f>
        <v>0</v>
      </c>
      <c r="AE28" s="73" t="e">
        <f t="shared" si="24"/>
        <v>#DIV/0!</v>
      </c>
      <c r="AF28" s="403" t="e">
        <f t="shared" si="25"/>
        <v>#DIV/0!</v>
      </c>
      <c r="AG28" s="404" t="e">
        <f t="shared" si="26"/>
        <v>#DIV/0!</v>
      </c>
      <c r="AH28" s="404" t="e">
        <f t="shared" si="21"/>
        <v>#DIV/0!</v>
      </c>
      <c r="AI28" s="73">
        <f t="shared" si="27"/>
        <v>0</v>
      </c>
      <c r="AJ28" s="289">
        <f t="shared" si="7"/>
        <v>0.25738396624472576</v>
      </c>
      <c r="AK28" s="289">
        <f t="shared" si="31"/>
        <v>0</v>
      </c>
    </row>
    <row r="29" spans="1:37" ht="15.75" thickBot="1">
      <c r="A29" s="4">
        <f>ELEC!C29</f>
        <v>44343</v>
      </c>
      <c r="B29" s="534">
        <f t="shared" si="30"/>
        <v>10042</v>
      </c>
      <c r="C29" s="287">
        <f t="shared" si="9"/>
        <v>0</v>
      </c>
      <c r="D29" s="535">
        <f t="shared" si="34"/>
        <v>408288</v>
      </c>
      <c r="E29" s="287">
        <f>SUM(D29-D28)</f>
        <v>0</v>
      </c>
      <c r="F29" s="287">
        <f t="shared" si="0"/>
        <v>0</v>
      </c>
      <c r="G29" s="196"/>
      <c r="H29" s="270">
        <f t="shared" si="22"/>
        <v>10105</v>
      </c>
      <c r="I29" s="287" t="str">
        <f t="shared" si="1"/>
        <v>ok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35">
        <f t="shared" si="15"/>
        <v>12172</v>
      </c>
      <c r="S29" s="287">
        <f t="shared" si="4"/>
        <v>0</v>
      </c>
      <c r="T29" s="535">
        <f t="shared" si="16"/>
        <v>3669836</v>
      </c>
      <c r="U29" s="287">
        <f t="shared" si="17"/>
        <v>0</v>
      </c>
      <c r="V29" s="287">
        <v>250</v>
      </c>
      <c r="W29" s="196"/>
      <c r="X29" s="288">
        <f t="shared" si="23"/>
        <v>12192</v>
      </c>
      <c r="Y29" s="287" t="str">
        <f t="shared" si="35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4"/>
        <v>#DIV/0!</v>
      </c>
      <c r="AF29" s="403" t="e">
        <f t="shared" si="25"/>
        <v>#DIV/0!</v>
      </c>
      <c r="AG29" s="404" t="e">
        <f t="shared" si="26"/>
        <v>#DIV/0!</v>
      </c>
      <c r="AH29" s="404" t="e">
        <f t="shared" si="21"/>
        <v>#DIV/0!</v>
      </c>
      <c r="AI29" s="73">
        <f t="shared" si="27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44344</v>
      </c>
      <c r="B30" s="534">
        <f t="shared" si="30"/>
        <v>10042</v>
      </c>
      <c r="C30" s="287">
        <f t="shared" si="9"/>
        <v>0</v>
      </c>
      <c r="D30" s="535">
        <f t="shared" si="34"/>
        <v>408288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10105</v>
      </c>
      <c r="I30" s="287" t="str">
        <f t="shared" si="1"/>
        <v>ok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35">
        <f t="shared" si="15"/>
        <v>12172</v>
      </c>
      <c r="S30" s="287">
        <f t="shared" si="4"/>
        <v>0</v>
      </c>
      <c r="T30" s="535">
        <f t="shared" si="16"/>
        <v>3669836</v>
      </c>
      <c r="U30" s="287">
        <f t="shared" si="17"/>
        <v>0</v>
      </c>
      <c r="V30" s="287">
        <v>250</v>
      </c>
      <c r="W30" s="285"/>
      <c r="X30" s="288">
        <f t="shared" si="23"/>
        <v>12192</v>
      </c>
      <c r="Y30" s="287" t="str">
        <f t="shared" si="35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44345</v>
      </c>
      <c r="B31" s="534">
        <f t="shared" si="30"/>
        <v>10042</v>
      </c>
      <c r="C31" s="287">
        <f t="shared" ref="C31:C32" si="36">B31-B30</f>
        <v>0</v>
      </c>
      <c r="D31" s="535">
        <f t="shared" si="34"/>
        <v>408288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10105</v>
      </c>
      <c r="I31" s="287" t="str">
        <f t="shared" ref="I31:I32" si="39">IF(B31-H31&lt;=0,"ok","oil change")</f>
        <v>ok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12172</v>
      </c>
      <c r="S31" s="287">
        <f t="shared" ref="S31:S32" si="44">R31-R30</f>
        <v>0</v>
      </c>
      <c r="T31" s="535">
        <f t="shared" si="16"/>
        <v>3669836</v>
      </c>
      <c r="U31" s="287">
        <f t="shared" si="17"/>
        <v>0</v>
      </c>
      <c r="V31" s="287">
        <v>250</v>
      </c>
      <c r="W31" s="338"/>
      <c r="X31" s="288">
        <f t="shared" si="23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30"/>
        <v>10042</v>
      </c>
      <c r="C32" s="287">
        <f t="shared" si="36"/>
        <v>0</v>
      </c>
      <c r="D32" s="535">
        <f t="shared" si="34"/>
        <v>408288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10105</v>
      </c>
      <c r="I32" s="287" t="str">
        <f t="shared" si="39"/>
        <v>ok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12172</v>
      </c>
      <c r="S32" s="287">
        <f t="shared" si="44"/>
        <v>0</v>
      </c>
      <c r="T32" s="535">
        <f t="shared" si="16"/>
        <v>3669836</v>
      </c>
      <c r="U32" s="287">
        <f t="shared" si="17"/>
        <v>0</v>
      </c>
      <c r="V32" s="287">
        <v>250</v>
      </c>
      <c r="W32" s="338"/>
      <c r="X32" s="288">
        <f t="shared" si="23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30"/>
        <v>10042</v>
      </c>
      <c r="C33" s="287">
        <f t="shared" ref="C33" si="56">B33-B32</f>
        <v>0</v>
      </c>
      <c r="D33" s="535">
        <f t="shared" si="34"/>
        <v>408288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10105</v>
      </c>
      <c r="I33" s="287" t="str">
        <f t="shared" ref="I33" si="59">IF(B33-H33&lt;=0,"ok","oil change")</f>
        <v>ok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12172</v>
      </c>
      <c r="S33" s="287">
        <f t="shared" ref="S33" si="64">R33-R32</f>
        <v>0</v>
      </c>
      <c r="T33" s="535">
        <f t="shared" si="16"/>
        <v>3669836</v>
      </c>
      <c r="U33" s="287">
        <f t="shared" ref="U33" si="65">V33*S33</f>
        <v>0</v>
      </c>
      <c r="V33" s="287">
        <v>250</v>
      </c>
      <c r="W33" s="338"/>
      <c r="X33" s="288">
        <f t="shared" si="23"/>
        <v>12192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171</v>
      </c>
      <c r="V34" s="40"/>
      <c r="X34">
        <v>341</v>
      </c>
      <c r="Z34" s="421">
        <f>SUM(Z3:Z33)</f>
        <v>171</v>
      </c>
    </row>
    <row r="35" spans="1:37">
      <c r="C35" s="40">
        <f>SUM(C3:C33)</f>
        <v>149</v>
      </c>
      <c r="K35" s="40">
        <f>SUM(K3:K33)</f>
        <v>0</v>
      </c>
      <c r="S35" s="40">
        <f>SUM(S3:S33)</f>
        <v>22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G28" sqref="G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1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1258.0838709677312</v>
      </c>
      <c r="R4" s="297">
        <f>SUM(P4:Q4)</f>
        <v>1635.1462793558978</v>
      </c>
      <c r="S4" s="299">
        <f>SUM(ELEC!N3)</f>
        <v>8346</v>
      </c>
      <c r="T4" s="336">
        <f>IF(S4&gt;0,R4/S4,0)</f>
        <v>0.19591975549435631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716"/>
      <c r="AC4" s="717"/>
    </row>
    <row r="5" spans="1:32" ht="20.100000000000001" customHeight="1">
      <c r="A5" s="163">
        <f>ELEC!C4</f>
        <v>44318</v>
      </c>
      <c r="B5" s="608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08">
        <v>151431</v>
      </c>
      <c r="G5" s="160">
        <f t="shared" si="1"/>
        <v>339</v>
      </c>
      <c r="H5" s="608">
        <v>494679</v>
      </c>
      <c r="I5" s="161">
        <f t="shared" si="2"/>
        <v>1071</v>
      </c>
      <c r="J5" s="608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655.21032258064429</v>
      </c>
      <c r="R5" s="297">
        <f t="shared" ref="R5:R30" si="10">SUM(P5:Q5)</f>
        <v>1014.9301107366384</v>
      </c>
      <c r="S5" s="299">
        <f>SUM(ELEC!N4)</f>
        <v>6548</v>
      </c>
      <c r="T5" s="336">
        <f>IF(S5&gt;0,R5/S5,0)</f>
        <v>0.1549984897276479</v>
      </c>
      <c r="U5" s="250"/>
      <c r="V5" s="710"/>
      <c r="W5" s="711"/>
      <c r="X5" s="711"/>
      <c r="Y5" s="712"/>
      <c r="Z5" s="26" t="s">
        <v>203</v>
      </c>
      <c r="AA5" s="264">
        <f>'[8]EDl log'!AA22</f>
        <v>5000</v>
      </c>
      <c r="AB5" s="718"/>
      <c r="AC5" s="719"/>
    </row>
    <row r="6" spans="1:32" ht="20.100000000000001" customHeight="1">
      <c r="A6" s="163">
        <f>ELEC!C5</f>
        <v>44319</v>
      </c>
      <c r="B6" s="608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08">
        <v>151769</v>
      </c>
      <c r="G6" s="160">
        <f t="shared" si="1"/>
        <v>338</v>
      </c>
      <c r="H6" s="608">
        <v>495673</v>
      </c>
      <c r="I6" s="161">
        <f t="shared" si="2"/>
        <v>994</v>
      </c>
      <c r="J6" s="608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798.09032258063053</v>
      </c>
      <c r="R6" s="297">
        <f t="shared" si="10"/>
        <v>1148.1092815492284</v>
      </c>
      <c r="S6" s="299">
        <f>SUM(ELEC!N5)</f>
        <v>7179</v>
      </c>
      <c r="T6" s="336">
        <f t="shared" ref="T6:T30" si="12">IF(S6&gt;0,R6/S6,0)</f>
        <v>0.15992607348505758</v>
      </c>
      <c r="V6" s="713"/>
      <c r="W6" s="714"/>
      <c r="X6" s="714"/>
      <c r="Y6" s="715"/>
      <c r="Z6" s="3"/>
      <c r="AA6" s="3"/>
      <c r="AB6" s="718"/>
      <c r="AC6" s="719"/>
    </row>
    <row r="7" spans="1:32" ht="20.100000000000001" customHeight="1">
      <c r="A7" s="163">
        <f>ELEC!C6</f>
        <v>44320</v>
      </c>
      <c r="B7" s="608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08">
        <v>151883</v>
      </c>
      <c r="G7" s="160">
        <f t="shared" si="1"/>
        <v>114</v>
      </c>
      <c r="H7" s="608">
        <v>496424</v>
      </c>
      <c r="I7" s="161">
        <f t="shared" si="2"/>
        <v>751</v>
      </c>
      <c r="J7" s="608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1574.5606451613157</v>
      </c>
      <c r="R7" s="297">
        <f t="shared" si="10"/>
        <v>1863.5407981597643</v>
      </c>
      <c r="S7" s="299">
        <f>SUM(ELEC!N6)</f>
        <v>8383</v>
      </c>
      <c r="T7" s="336">
        <f t="shared" si="12"/>
        <v>0.22229998785157631</v>
      </c>
      <c r="V7" s="706" t="s">
        <v>204</v>
      </c>
      <c r="W7" s="707"/>
      <c r="X7" s="708" t="s">
        <v>205</v>
      </c>
      <c r="Y7" s="709"/>
      <c r="Z7" s="707"/>
      <c r="AA7" s="26"/>
      <c r="AB7" s="720"/>
      <c r="AC7" s="721"/>
    </row>
    <row r="8" spans="1:32" ht="20.100000000000001" customHeight="1">
      <c r="A8" s="163">
        <f>ELEC!C7</f>
        <v>44321</v>
      </c>
      <c r="B8" s="608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08">
        <v>152275</v>
      </c>
      <c r="G8" s="160">
        <f t="shared" si="1"/>
        <v>392</v>
      </c>
      <c r="H8" s="608">
        <v>497192</v>
      </c>
      <c r="I8" s="161">
        <f t="shared" si="2"/>
        <v>768</v>
      </c>
      <c r="J8" s="608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1641.3006451612885</v>
      </c>
      <c r="R8" s="297">
        <f t="shared" si="10"/>
        <v>1985.4608976622246</v>
      </c>
      <c r="S8" s="299">
        <f>SUM(ELEC!N7)</f>
        <v>4768</v>
      </c>
      <c r="T8" s="336">
        <f>IF(S8&gt;0,R8/S8,0)</f>
        <v>0.4164137788721109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08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08">
        <v>152555</v>
      </c>
      <c r="G9" s="160">
        <f t="shared" si="1"/>
        <v>280</v>
      </c>
      <c r="H9" s="608">
        <v>498020</v>
      </c>
      <c r="I9" s="161">
        <f t="shared" si="2"/>
        <v>828</v>
      </c>
      <c r="J9" s="608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941.60709677418095</v>
      </c>
      <c r="R9" s="297">
        <f>SUM(P9:Q9)</f>
        <v>1262.3112962071236</v>
      </c>
      <c r="S9" s="299">
        <f>SUM(ELEC!N8)</f>
        <v>3912</v>
      </c>
      <c r="T9" s="336">
        <f t="shared" si="12"/>
        <v>0.32267671170938744</v>
      </c>
      <c r="V9" s="254">
        <f>'[3]EDl log'!V26</f>
        <v>344256</v>
      </c>
      <c r="W9" s="254">
        <f>'[3]EDl log'!W26</f>
        <v>365756</v>
      </c>
      <c r="X9" s="254" t="s">
        <v>199</v>
      </c>
      <c r="Y9" s="643">
        <f>'[3]EDl log'!Y26</f>
        <v>80</v>
      </c>
      <c r="Z9" s="254">
        <v>1</v>
      </c>
      <c r="AA9" s="621">
        <f>'[3]EDl log'!AA26</f>
        <v>21500</v>
      </c>
      <c r="AB9" s="621">
        <f>'[3]EDl log'!AB26</f>
        <v>1720000</v>
      </c>
      <c r="AC9" s="621">
        <f>'[3]EDl log'!AC26</f>
        <v>1033333</v>
      </c>
      <c r="AD9" s="618">
        <f>'[3]EDl log'!AD26</f>
        <v>0.41224067185642516</v>
      </c>
    </row>
    <row r="10" spans="1:32" ht="20.100000000000001" customHeight="1">
      <c r="A10" s="163">
        <f>ELEC!C9</f>
        <v>44323</v>
      </c>
      <c r="B10" s="608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08">
        <v>152749</v>
      </c>
      <c r="G10" s="160">
        <f t="shared" si="1"/>
        <v>194</v>
      </c>
      <c r="H10" s="608">
        <v>498840</v>
      </c>
      <c r="I10" s="161">
        <f t="shared" si="2"/>
        <v>820</v>
      </c>
      <c r="J10" s="608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1861.8974193548524</v>
      </c>
      <c r="R10" s="297">
        <f t="shared" si="10"/>
        <v>2157.7021163002332</v>
      </c>
      <c r="S10" s="299">
        <f>SUM(ELEC!N9)</f>
        <v>8995.3999999999069</v>
      </c>
      <c r="T10" s="336">
        <f t="shared" si="12"/>
        <v>0.2398672784201098</v>
      </c>
      <c r="V10" s="254">
        <f>'[3]EDl log'!V27</f>
        <v>468436</v>
      </c>
      <c r="W10" s="254">
        <f>'[3]EDl log'!W27</f>
        <v>492400</v>
      </c>
      <c r="X10" s="254" t="s">
        <v>213</v>
      </c>
      <c r="Y10" s="643">
        <f>'[3]EDl log'!Y27</f>
        <v>112</v>
      </c>
      <c r="Z10" s="254">
        <v>1</v>
      </c>
      <c r="AA10" s="621">
        <f>'[3]EDl log'!AA27</f>
        <v>23964</v>
      </c>
      <c r="AB10" s="621">
        <f>'[3]EDl log'!AB27</f>
        <v>2683968</v>
      </c>
      <c r="AC10" s="621">
        <f>'[3]EDl log'!AC27</f>
        <v>6200000</v>
      </c>
      <c r="AD10" s="618">
        <f>'[3]EDl log'!AD27</f>
        <v>0.45948537024964525</v>
      </c>
    </row>
    <row r="11" spans="1:32" ht="20.100000000000001" customHeight="1">
      <c r="A11" s="163">
        <f>ELEC!C10</f>
        <v>44324</v>
      </c>
      <c r="B11" s="608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08">
        <v>152844</v>
      </c>
      <c r="G11" s="160">
        <f t="shared" si="1"/>
        <v>95</v>
      </c>
      <c r="H11" s="608">
        <v>499520</v>
      </c>
      <c r="I11" s="161">
        <f t="shared" si="2"/>
        <v>680</v>
      </c>
      <c r="J11" s="608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1871.2974193548182</v>
      </c>
      <c r="R11" s="297">
        <f t="shared" si="10"/>
        <v>2139.665963729718</v>
      </c>
      <c r="S11" s="299">
        <f>SUM(ELEC!N10)</f>
        <v>8249.8000000002794</v>
      </c>
      <c r="T11" s="336">
        <f t="shared" si="12"/>
        <v>0.25935973765783965</v>
      </c>
      <c r="V11" s="254">
        <f>'[3]EDl log'!V28</f>
        <v>143963</v>
      </c>
      <c r="W11" s="254">
        <f>'[3]EDl log'!W28</f>
        <v>150653</v>
      </c>
      <c r="X11" s="254" t="s">
        <v>197</v>
      </c>
      <c r="Y11" s="643">
        <f>'[3]EDl log'!Y28</f>
        <v>320</v>
      </c>
      <c r="Z11" s="254">
        <v>1</v>
      </c>
      <c r="AA11" s="621">
        <f>'[3]EDl log'!AA28</f>
        <v>6690</v>
      </c>
      <c r="AB11" s="621">
        <f>'[3]EDl log'!AB28</f>
        <v>2140800</v>
      </c>
      <c r="AC11" s="621">
        <f>'[3]EDl log'!AC28</f>
        <v>1000</v>
      </c>
      <c r="AD11" s="618">
        <f>'[3]EDl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48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650">
        <v>153110</v>
      </c>
      <c r="G12" s="160">
        <f t="shared" si="1"/>
        <v>266</v>
      </c>
      <c r="H12" s="648">
        <v>500136</v>
      </c>
      <c r="I12" s="161">
        <f t="shared" si="2"/>
        <v>616</v>
      </c>
      <c r="J12" s="648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1690.180645161309</v>
      </c>
      <c r="R12" s="297">
        <f t="shared" si="10"/>
        <v>1982.8224897020461</v>
      </c>
      <c r="S12" s="299">
        <f>SUM(ELEC!N11)</f>
        <v>9025.7999999998137</v>
      </c>
      <c r="T12" s="336">
        <f t="shared" si="12"/>
        <v>0.21968384959805082</v>
      </c>
      <c r="V12" s="561"/>
      <c r="W12" s="264"/>
      <c r="X12" s="3"/>
      <c r="Y12" s="264"/>
      <c r="Z12" s="559"/>
      <c r="AA12" s="621">
        <f>'[3]EDl log'!AA29</f>
        <v>52154</v>
      </c>
      <c r="AB12" s="621"/>
      <c r="AC12" s="622"/>
      <c r="AD12" s="619"/>
    </row>
    <row r="13" spans="1:32" ht="20.100000000000001" customHeight="1">
      <c r="A13" s="163">
        <f>ELEC!C12</f>
        <v>44326</v>
      </c>
      <c r="B13" s="608">
        <v>1028463</v>
      </c>
      <c r="C13" s="264">
        <f t="shared" si="0"/>
        <v>1774</v>
      </c>
      <c r="D13" s="308">
        <f t="shared" si="7"/>
        <v>1773</v>
      </c>
      <c r="E13" s="308">
        <f t="shared" si="11"/>
        <v>1028462</v>
      </c>
      <c r="F13" s="608">
        <v>153293</v>
      </c>
      <c r="G13" s="160">
        <f t="shared" si="1"/>
        <v>183</v>
      </c>
      <c r="H13" s="608">
        <v>500776</v>
      </c>
      <c r="I13" s="161">
        <f t="shared" si="2"/>
        <v>640</v>
      </c>
      <c r="J13" s="608">
        <v>374393</v>
      </c>
      <c r="K13" s="162">
        <f t="shared" si="3"/>
        <v>950</v>
      </c>
      <c r="L13" s="296">
        <f t="shared" si="4"/>
        <v>38.845771144278608</v>
      </c>
      <c r="M13" s="296">
        <f t="shared" si="5"/>
        <v>47.54892205638474</v>
      </c>
      <c r="N13" s="296">
        <f t="shared" si="6"/>
        <v>50.414593698175786</v>
      </c>
      <c r="O13" s="296">
        <f t="shared" si="8"/>
        <v>154.80303857058792</v>
      </c>
      <c r="P13" s="297">
        <f t="shared" si="9"/>
        <v>291.61232546942705</v>
      </c>
      <c r="Q13" s="297">
        <f>SUM(-tanks!AX15*tanks!$AU$37)</f>
        <v>2097.5341935483757</v>
      </c>
      <c r="R13" s="297">
        <f t="shared" si="10"/>
        <v>2389.1465190178028</v>
      </c>
      <c r="S13" s="299">
        <f>SUM(ELEC!N12)</f>
        <v>9481</v>
      </c>
      <c r="T13" s="336">
        <f>IF(S13&gt;0,R13/S13,0)</f>
        <v>0.25199309345193577</v>
      </c>
      <c r="V13" s="561" t="str">
        <f>'[8]EDl log'!V30</f>
        <v>Occ %</v>
      </c>
      <c r="W13" s="589">
        <f>'[1]EDl log'!W30</f>
        <v>0</v>
      </c>
      <c r="X13" s="503"/>
      <c r="Y13" s="264" t="str">
        <f>'[5]EDl log'!Y30</f>
        <v>Per G</v>
      </c>
      <c r="Z13" s="3"/>
      <c r="AA13" s="3"/>
      <c r="AB13" s="621">
        <f>'[3]EDl log'!AB30</f>
        <v>6544768</v>
      </c>
      <c r="AC13" s="643"/>
    </row>
    <row r="14" spans="1:32" ht="20.100000000000001" customHeight="1">
      <c r="A14" s="163">
        <f>ELEC!C13</f>
        <v>44327</v>
      </c>
      <c r="B14" s="608">
        <v>1030266</v>
      </c>
      <c r="C14" s="264">
        <f t="shared" si="0"/>
        <v>1803</v>
      </c>
      <c r="D14" s="308">
        <f t="shared" si="7"/>
        <v>1802</v>
      </c>
      <c r="E14" s="308">
        <f t="shared" si="11"/>
        <v>1030265</v>
      </c>
      <c r="F14" s="608">
        <v>153429</v>
      </c>
      <c r="G14" s="160">
        <f t="shared" si="1"/>
        <v>136</v>
      </c>
      <c r="H14" s="608">
        <v>501555</v>
      </c>
      <c r="I14" s="161">
        <f t="shared" si="2"/>
        <v>779</v>
      </c>
      <c r="J14" s="608">
        <v>375280</v>
      </c>
      <c r="K14" s="162">
        <f t="shared" ref="K14:K17" si="13">J14-J13</f>
        <v>887</v>
      </c>
      <c r="L14" s="296">
        <f t="shared" ref="L14:L17" si="14">SUM(G14*$Y$28)/1507.5</f>
        <v>28.868988391376451</v>
      </c>
      <c r="M14" s="296">
        <f t="shared" ref="M14:M17" si="15">SUM(I14*$Y$27)/1507.5</f>
        <v>57.875953565505803</v>
      </c>
      <c r="N14" s="296">
        <f t="shared" ref="N14:N17" si="16">SUM(K14*$Y$26)/1507.5</f>
        <v>47.071310116086238</v>
      </c>
      <c r="O14" s="296">
        <f t="shared" si="8"/>
        <v>154.80303857058792</v>
      </c>
      <c r="P14" s="297">
        <f t="shared" ref="P14:P17" si="17">SUM(L14:O14)</f>
        <v>288.61929064355638</v>
      </c>
      <c r="Q14" s="297">
        <f>SUM(-tanks!AX16*tanks!$AU$37)</f>
        <v>-804.51870967741604</v>
      </c>
      <c r="R14" s="297">
        <f t="shared" ref="R14:R17" si="18">SUM(P14:Q14)</f>
        <v>-515.89941903385966</v>
      </c>
      <c r="S14" s="299">
        <f>SUM(ELEC!N13)</f>
        <v>9028</v>
      </c>
      <c r="T14" s="336">
        <f t="shared" ref="T14:T17" si="19">IF(S14&gt;0,R14/S14,0)</f>
        <v>-5.7144375169900272E-2</v>
      </c>
      <c r="V14" s="561" t="str">
        <f>'[8]EDl log'!V31</f>
        <v>Gen RH</v>
      </c>
      <c r="W14" s="590">
        <f>'[3]EDl log'!$W$33</f>
        <v>240</v>
      </c>
      <c r="X14" s="645">
        <f>'[3]EDl log'!$X$33</f>
        <v>8</v>
      </c>
      <c r="Y14" s="646">
        <f>'[3]EDl log'!$Y$33</f>
        <v>4</v>
      </c>
      <c r="Z14" s="264"/>
      <c r="AA14" s="3"/>
      <c r="AB14" s="644">
        <f>'[3]EDl log'!$AB$33</f>
        <v>13779101</v>
      </c>
      <c r="AC14" s="644">
        <f>'[3]EDl log'!$AC$33</f>
        <v>7234333</v>
      </c>
    </row>
    <row r="15" spans="1:32" ht="20.100000000000001" customHeight="1">
      <c r="A15" s="163">
        <f>ELEC!C14</f>
        <v>44328</v>
      </c>
      <c r="B15" s="608">
        <v>1031515</v>
      </c>
      <c r="C15" s="264">
        <f t="shared" si="0"/>
        <v>1249</v>
      </c>
      <c r="D15" s="308">
        <f t="shared" si="7"/>
        <v>1250</v>
      </c>
      <c r="E15" s="308">
        <f t="shared" si="11"/>
        <v>1031516</v>
      </c>
      <c r="F15" s="608">
        <v>153620</v>
      </c>
      <c r="G15" s="160">
        <f t="shared" si="1"/>
        <v>191</v>
      </c>
      <c r="H15" s="608">
        <v>502210</v>
      </c>
      <c r="I15" s="161">
        <f t="shared" si="2"/>
        <v>655</v>
      </c>
      <c r="J15" s="608">
        <v>375684</v>
      </c>
      <c r="K15" s="162">
        <f t="shared" si="13"/>
        <v>404</v>
      </c>
      <c r="L15" s="296">
        <f t="shared" si="14"/>
        <v>40.543946932006634</v>
      </c>
      <c r="M15" s="296">
        <f t="shared" si="15"/>
        <v>48.663349917081263</v>
      </c>
      <c r="N15" s="296">
        <f t="shared" si="16"/>
        <v>21.439469320066333</v>
      </c>
      <c r="O15" s="296">
        <f t="shared" si="8"/>
        <v>154.80303857058792</v>
      </c>
      <c r="P15" s="297">
        <f t="shared" si="17"/>
        <v>265.44980473974215</v>
      </c>
      <c r="Q15" s="297">
        <f>SUM(-tanks!AX17*tanks!$AU$37)</f>
        <v>2449.7309677419462</v>
      </c>
      <c r="R15" s="297">
        <f t="shared" si="18"/>
        <v>2715.1807724816881</v>
      </c>
      <c r="S15" s="299">
        <f>SUM(ELEC!N14)</f>
        <v>9411</v>
      </c>
      <c r="T15" s="336">
        <f t="shared" si="19"/>
        <v>0.28851139862731784</v>
      </c>
      <c r="V15" s="561" t="str">
        <f>'[8]EDl log'!V32</f>
        <v>H Deg</v>
      </c>
      <c r="W15" s="254">
        <f>'[3]Degree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08">
        <v>1033182</v>
      </c>
      <c r="C16" s="264">
        <f t="shared" si="0"/>
        <v>1667</v>
      </c>
      <c r="D16" s="308">
        <f t="shared" si="7"/>
        <v>1667</v>
      </c>
      <c r="E16" s="308">
        <f t="shared" si="11"/>
        <v>1033182</v>
      </c>
      <c r="F16" s="608">
        <v>153788</v>
      </c>
      <c r="G16" s="160">
        <f t="shared" si="1"/>
        <v>168</v>
      </c>
      <c r="H16" s="608">
        <v>503101</v>
      </c>
      <c r="I16" s="161">
        <f t="shared" si="2"/>
        <v>891</v>
      </c>
      <c r="J16" s="608">
        <v>376292</v>
      </c>
      <c r="K16" s="162">
        <f t="shared" si="13"/>
        <v>608</v>
      </c>
      <c r="L16" s="296">
        <f t="shared" si="14"/>
        <v>35.661691542288558</v>
      </c>
      <c r="M16" s="296">
        <f t="shared" si="15"/>
        <v>66.197014925373139</v>
      </c>
      <c r="N16" s="296">
        <f t="shared" si="16"/>
        <v>32.265339966832506</v>
      </c>
      <c r="O16" s="296">
        <f t="shared" si="8"/>
        <v>154.80303857058792</v>
      </c>
      <c r="P16" s="297">
        <f t="shared" si="17"/>
        <v>288.92708500508212</v>
      </c>
      <c r="Q16" s="297">
        <f>SUM(-tanks!AX18*tanks!$AU$37)</f>
        <v>1975.637419354832</v>
      </c>
      <c r="R16" s="297">
        <f t="shared" si="18"/>
        <v>2264.5645043599143</v>
      </c>
      <c r="S16" s="299">
        <f>SUM(ELEC!N15)</f>
        <v>9646</v>
      </c>
      <c r="T16" s="336">
        <f t="shared" si="19"/>
        <v>0.23476720965788039</v>
      </c>
      <c r="V16" s="561" t="str">
        <f>'[8]EDl log'!V33</f>
        <v>C Deg</v>
      </c>
      <c r="W16" s="254">
        <f>'[3]Degree Days 2020'!$O$43</f>
        <v>45.40000000000002</v>
      </c>
      <c r="X16" s="254"/>
      <c r="Y16" s="254"/>
      <c r="Z16" s="3"/>
      <c r="AA16" s="3"/>
      <c r="AB16" s="567">
        <f>'[3]EDl log'!$AB$35</f>
        <v>9140.3655058043114</v>
      </c>
      <c r="AC16" s="580"/>
    </row>
    <row r="17" spans="1:32" ht="20.100000000000001" customHeight="1">
      <c r="A17" s="163">
        <f>ELEC!C16</f>
        <v>44330</v>
      </c>
      <c r="B17" s="608">
        <v>1035109</v>
      </c>
      <c r="C17" s="264">
        <f t="shared" si="0"/>
        <v>1927</v>
      </c>
      <c r="D17" s="308">
        <f t="shared" si="7"/>
        <v>1927</v>
      </c>
      <c r="E17" s="308">
        <f t="shared" si="11"/>
        <v>1035109</v>
      </c>
      <c r="F17" s="608">
        <v>153788</v>
      </c>
      <c r="G17" s="160">
        <f t="shared" si="1"/>
        <v>0</v>
      </c>
      <c r="H17" s="608">
        <v>503838</v>
      </c>
      <c r="I17" s="161">
        <f t="shared" si="2"/>
        <v>737</v>
      </c>
      <c r="J17" s="608">
        <v>377482</v>
      </c>
      <c r="K17" s="162">
        <f t="shared" si="13"/>
        <v>1190</v>
      </c>
      <c r="L17" s="296">
        <f t="shared" si="14"/>
        <v>0</v>
      </c>
      <c r="M17" s="296">
        <f t="shared" si="15"/>
        <v>54.755555555555553</v>
      </c>
      <c r="N17" s="296">
        <f t="shared" si="16"/>
        <v>63.150912106135983</v>
      </c>
      <c r="O17" s="296">
        <f t="shared" si="8"/>
        <v>154.80303857058792</v>
      </c>
      <c r="P17" s="297">
        <f t="shared" si="17"/>
        <v>272.70950623227947</v>
      </c>
      <c r="Q17" s="297">
        <f>SUM(-tanks!AX19*tanks!$AU$37)</f>
        <v>1646.0006451612817</v>
      </c>
      <c r="R17" s="297">
        <f t="shared" si="18"/>
        <v>1918.7101513935611</v>
      </c>
      <c r="S17" s="299">
        <f>SUM(ELEC!N16)</f>
        <v>8868</v>
      </c>
      <c r="T17" s="336">
        <f t="shared" si="19"/>
        <v>0.216363345894628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'[4]EDl log'!AC34</f>
        <v>0</v>
      </c>
    </row>
    <row r="18" spans="1:32" ht="20.100000000000001" customHeight="1" thickBot="1">
      <c r="A18" s="163">
        <f>ELEC!C17</f>
        <v>44331</v>
      </c>
      <c r="B18" s="608">
        <v>1036805</v>
      </c>
      <c r="C18" s="264">
        <f t="shared" si="0"/>
        <v>1696</v>
      </c>
      <c r="D18" s="308">
        <f t="shared" si="7"/>
        <v>1696</v>
      </c>
      <c r="E18" s="308">
        <f t="shared" si="11"/>
        <v>1036805</v>
      </c>
      <c r="F18" s="608">
        <v>154064</v>
      </c>
      <c r="G18" s="160">
        <f t="shared" si="1"/>
        <v>276</v>
      </c>
      <c r="H18" s="608">
        <v>504573</v>
      </c>
      <c r="I18" s="161">
        <f t="shared" si="2"/>
        <v>735</v>
      </c>
      <c r="J18" s="608">
        <v>378167</v>
      </c>
      <c r="K18" s="162">
        <f t="shared" si="3"/>
        <v>685</v>
      </c>
      <c r="L18" s="296">
        <f t="shared" ref="L18:L30" si="20">SUM(G18*$Y$28)/1507.5</f>
        <v>58.587064676616919</v>
      </c>
      <c r="M18" s="296">
        <f t="shared" ref="M18:M30" si="21">SUM(I18*$Y$27)/1507.5</f>
        <v>54.60696517412935</v>
      </c>
      <c r="N18" s="296">
        <f t="shared" ref="N18:N30" si="22">SUM(K18*$Y$26)/1507.5</f>
        <v>36.35157545605307</v>
      </c>
      <c r="O18" s="296">
        <f t="shared" si="8"/>
        <v>154.80303857058792</v>
      </c>
      <c r="P18" s="297">
        <f t="shared" si="9"/>
        <v>304.34864387738725</v>
      </c>
      <c r="Q18" s="297">
        <f>SUM(-tanks!AX20*tanks!$AU$37)</f>
        <v>1533.200645161309</v>
      </c>
      <c r="R18" s="297">
        <f t="shared" si="10"/>
        <v>1837.5492890386963</v>
      </c>
      <c r="S18" s="299">
        <f>SUM(ELEC!N17)</f>
        <v>7587</v>
      </c>
      <c r="T18" s="336">
        <f t="shared" si="12"/>
        <v>0.24219708567796183</v>
      </c>
      <c r="V18" s="228"/>
      <c r="W18" s="229"/>
      <c r="X18" s="229"/>
      <c r="Y18" s="430"/>
      <c r="Z18" s="503"/>
      <c r="AA18" s="578"/>
      <c r="AB18" s="577"/>
      <c r="AC18" s="559">
        <f>'[4]EDl log'!AC35</f>
        <v>0</v>
      </c>
    </row>
    <row r="19" spans="1:32" ht="20.100000000000001" customHeight="1" thickBot="1">
      <c r="A19" s="654">
        <f>ELEC!C18</f>
        <v>44332</v>
      </c>
      <c r="B19" s="608">
        <v>1036805</v>
      </c>
      <c r="C19" s="264">
        <f t="shared" si="0"/>
        <v>0</v>
      </c>
      <c r="D19" s="308">
        <f t="shared" si="7"/>
        <v>0</v>
      </c>
      <c r="E19" s="308">
        <f t="shared" si="11"/>
        <v>1036805</v>
      </c>
      <c r="F19" s="608">
        <v>154064</v>
      </c>
      <c r="G19" s="160">
        <f t="shared" si="1"/>
        <v>0</v>
      </c>
      <c r="H19" s="608">
        <f t="shared" ref="H19:H34" si="23">H18</f>
        <v>504573</v>
      </c>
      <c r="I19" s="161">
        <f t="shared" si="2"/>
        <v>0</v>
      </c>
      <c r="J19" s="608">
        <f t="shared" ref="J19:J34" si="24">J18</f>
        <v>378167</v>
      </c>
      <c r="K19" s="162">
        <f t="shared" si="3"/>
        <v>0</v>
      </c>
      <c r="L19" s="296">
        <f t="shared" si="20"/>
        <v>0</v>
      </c>
      <c r="M19" s="296">
        <f t="shared" si="21"/>
        <v>0</v>
      </c>
      <c r="N19" s="296">
        <f t="shared" si="22"/>
        <v>0</v>
      </c>
      <c r="O19" s="296">
        <f t="shared" si="8"/>
        <v>154.80303857058792</v>
      </c>
      <c r="P19" s="297">
        <f t="shared" si="9"/>
        <v>154.80303857058792</v>
      </c>
      <c r="Q19" s="297">
        <f>SUM(-tanks!AX21*tanks!$AU$37)</f>
        <v>3128.7445161290061</v>
      </c>
      <c r="R19" s="297">
        <f t="shared" si="10"/>
        <v>3283.547554699594</v>
      </c>
      <c r="S19" s="299">
        <f>SUM(ELEC!N18)</f>
        <v>12839</v>
      </c>
      <c r="T19" s="336">
        <f t="shared" si="12"/>
        <v>0.25574792076482544</v>
      </c>
      <c r="V19" s="228"/>
      <c r="W19" s="229"/>
      <c r="X19" s="229"/>
      <c r="Y19" s="562"/>
      <c r="Z19" s="562"/>
      <c r="AA19" s="578"/>
      <c r="AB19" s="577"/>
      <c r="AC19" s="559">
        <f>'[4]EDl log'!AC36</f>
        <v>0</v>
      </c>
    </row>
    <row r="20" spans="1:32" ht="20.100000000000001" customHeight="1" thickBot="1">
      <c r="A20" s="163">
        <f>ELEC!C19</f>
        <v>44333</v>
      </c>
      <c r="B20" s="608">
        <v>1039767</v>
      </c>
      <c r="C20" s="264">
        <f t="shared" si="0"/>
        <v>2962</v>
      </c>
      <c r="D20" s="308">
        <f t="shared" si="7"/>
        <v>2961</v>
      </c>
      <c r="E20" s="308">
        <f t="shared" si="11"/>
        <v>1039766</v>
      </c>
      <c r="F20" s="608">
        <v>154501</v>
      </c>
      <c r="G20" s="160">
        <f t="shared" si="1"/>
        <v>437</v>
      </c>
      <c r="H20" s="608">
        <v>506049</v>
      </c>
      <c r="I20" s="161">
        <f t="shared" si="2"/>
        <v>1476</v>
      </c>
      <c r="J20" s="608">
        <v>379215</v>
      </c>
      <c r="K20" s="162">
        <f t="shared" si="3"/>
        <v>1048</v>
      </c>
      <c r="L20" s="296">
        <f t="shared" si="20"/>
        <v>92.762852404643453</v>
      </c>
      <c r="M20" s="296">
        <f t="shared" si="21"/>
        <v>109.65970149253731</v>
      </c>
      <c r="N20" s="296">
        <f t="shared" si="22"/>
        <v>55.615257048092872</v>
      </c>
      <c r="O20" s="296">
        <f t="shared" si="8"/>
        <v>154.80303857058792</v>
      </c>
      <c r="P20" s="297">
        <f t="shared" si="9"/>
        <v>412.84084951586158</v>
      </c>
      <c r="Q20" s="297">
        <f>SUM(-tanks!AX22*tanks!$AU$37)</f>
        <v>1930.5174193548526</v>
      </c>
      <c r="R20" s="297">
        <f t="shared" si="10"/>
        <v>2343.3582688707143</v>
      </c>
      <c r="S20" s="299">
        <f>SUM(ELEC!N19)</f>
        <v>10089</v>
      </c>
      <c r="T20" s="336">
        <f t="shared" si="12"/>
        <v>0.23226863602643613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08">
        <v>1041509</v>
      </c>
      <c r="C21" s="264">
        <f t="shared" si="0"/>
        <v>1742</v>
      </c>
      <c r="D21" s="308">
        <f t="shared" si="7"/>
        <v>1743</v>
      </c>
      <c r="E21" s="308">
        <f t="shared" si="11"/>
        <v>1041510</v>
      </c>
      <c r="F21" s="608">
        <v>154501</v>
      </c>
      <c r="G21" s="160">
        <f t="shared" si="1"/>
        <v>0</v>
      </c>
      <c r="H21" s="608">
        <v>506766</v>
      </c>
      <c r="I21" s="161">
        <f t="shared" si="2"/>
        <v>717</v>
      </c>
      <c r="J21" s="608">
        <v>380241</v>
      </c>
      <c r="K21" s="162">
        <f t="shared" si="3"/>
        <v>1026</v>
      </c>
      <c r="L21" s="296">
        <f t="shared" si="20"/>
        <v>0</v>
      </c>
      <c r="M21" s="296">
        <f t="shared" si="21"/>
        <v>53.269651741293529</v>
      </c>
      <c r="N21" s="296">
        <f t="shared" si="22"/>
        <v>54.447761194029852</v>
      </c>
      <c r="O21" s="296">
        <f t="shared" si="8"/>
        <v>154.80303857058792</v>
      </c>
      <c r="P21" s="297">
        <f t="shared" si="9"/>
        <v>262.5204515059113</v>
      </c>
      <c r="Q21" s="297">
        <f>SUM(-tanks!AX23*tanks!$AU$37)</f>
        <v>2400.8509677419261</v>
      </c>
      <c r="R21" s="297">
        <f t="shared" si="10"/>
        <v>2663.3714192478374</v>
      </c>
      <c r="S21" s="299">
        <f>SUM(ELEC!N20)</f>
        <v>10297</v>
      </c>
      <c r="T21" s="336">
        <f t="shared" si="12"/>
        <v>0.25865508587431651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716"/>
      <c r="AC21" s="717"/>
    </row>
    <row r="22" spans="1:32" ht="20.100000000000001" customHeight="1">
      <c r="A22" s="163">
        <f>ELEC!C21</f>
        <v>44335</v>
      </c>
      <c r="B22" s="658">
        <v>1043337</v>
      </c>
      <c r="C22" s="264">
        <f t="shared" si="0"/>
        <v>1828</v>
      </c>
      <c r="D22" s="308">
        <f t="shared" si="7"/>
        <v>1828</v>
      </c>
      <c r="E22" s="308">
        <f t="shared" si="11"/>
        <v>1043337</v>
      </c>
      <c r="F22" s="650">
        <v>154650</v>
      </c>
      <c r="G22" s="160">
        <f t="shared" si="1"/>
        <v>149</v>
      </c>
      <c r="H22" s="658">
        <v>507784</v>
      </c>
      <c r="I22" s="161">
        <f t="shared" si="2"/>
        <v>1018</v>
      </c>
      <c r="J22" s="658">
        <v>380902</v>
      </c>
      <c r="K22" s="162">
        <f t="shared" si="3"/>
        <v>661</v>
      </c>
      <c r="L22" s="296">
        <f t="shared" si="20"/>
        <v>31.628524046434496</v>
      </c>
      <c r="M22" s="296">
        <f t="shared" si="21"/>
        <v>75.632504145936977</v>
      </c>
      <c r="N22" s="296">
        <f t="shared" si="22"/>
        <v>35.077943615257048</v>
      </c>
      <c r="O22" s="296">
        <f t="shared" si="8"/>
        <v>154.80303857058792</v>
      </c>
      <c r="P22" s="297">
        <f t="shared" si="9"/>
        <v>297.14201037821647</v>
      </c>
      <c r="Q22" s="297">
        <f>SUM(-tanks!AX24*tanks!$AU$37)</f>
        <v>2439.3909677419465</v>
      </c>
      <c r="R22" s="297">
        <f t="shared" si="10"/>
        <v>2736.5329781201631</v>
      </c>
      <c r="S22" s="299">
        <f>SUM(ELEC!N21)</f>
        <v>15339</v>
      </c>
      <c r="T22" s="336">
        <f t="shared" si="12"/>
        <v>0.17840361028229762</v>
      </c>
      <c r="V22" s="722"/>
      <c r="W22" s="723"/>
      <c r="X22" s="723"/>
      <c r="Y22" s="724"/>
      <c r="Z22" s="26" t="s">
        <v>203</v>
      </c>
      <c r="AA22" s="26">
        <v>5000</v>
      </c>
      <c r="AB22" s="718"/>
      <c r="AC22" s="719"/>
    </row>
    <row r="23" spans="1:32" ht="20.100000000000001" customHeight="1">
      <c r="A23" s="163">
        <f>ELEC!C22</f>
        <v>44336</v>
      </c>
      <c r="B23" s="608">
        <f t="shared" ref="B23:B34" si="25">B22</f>
        <v>1043337</v>
      </c>
      <c r="C23" s="264">
        <f t="shared" si="0"/>
        <v>0</v>
      </c>
      <c r="D23" s="308">
        <f t="shared" si="7"/>
        <v>0</v>
      </c>
      <c r="E23" s="308">
        <f t="shared" si="11"/>
        <v>1043337</v>
      </c>
      <c r="F23" s="608">
        <f t="shared" ref="F23:F34" si="26">F22</f>
        <v>154650</v>
      </c>
      <c r="G23" s="160">
        <f t="shared" si="1"/>
        <v>0</v>
      </c>
      <c r="H23" s="608">
        <f t="shared" si="23"/>
        <v>507784</v>
      </c>
      <c r="I23" s="161">
        <f t="shared" si="2"/>
        <v>0</v>
      </c>
      <c r="J23" s="608">
        <f t="shared" si="24"/>
        <v>380902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8"/>
        <v>154.80303857058792</v>
      </c>
      <c r="P23" s="297">
        <f t="shared" si="9"/>
        <v>154.80303857058792</v>
      </c>
      <c r="Q23" s="297">
        <f>SUM(-tanks!AX25*tanks!$AU$37)</f>
        <v>0</v>
      </c>
      <c r="R23" s="297">
        <f t="shared" si="10"/>
        <v>154.80303857058792</v>
      </c>
      <c r="S23" s="299">
        <f>SUM(ELEC!N22)</f>
        <v>0</v>
      </c>
      <c r="T23" s="336">
        <f t="shared" si="12"/>
        <v>0</v>
      </c>
      <c r="V23" s="725"/>
      <c r="W23" s="726"/>
      <c r="X23" s="726"/>
      <c r="Y23" s="727"/>
      <c r="Z23" s="728"/>
      <c r="AA23" s="729"/>
      <c r="AB23" s="718"/>
      <c r="AC23" s="719"/>
    </row>
    <row r="24" spans="1:32" ht="20.100000000000001" customHeight="1">
      <c r="A24" s="163">
        <f>ELEC!C23</f>
        <v>44337</v>
      </c>
      <c r="B24" s="608">
        <f t="shared" si="25"/>
        <v>1043337</v>
      </c>
      <c r="C24" s="264">
        <f t="shared" si="0"/>
        <v>0</v>
      </c>
      <c r="D24" s="308">
        <f t="shared" si="7"/>
        <v>0</v>
      </c>
      <c r="E24" s="308">
        <f t="shared" si="11"/>
        <v>1043337</v>
      </c>
      <c r="F24" s="608">
        <f t="shared" si="26"/>
        <v>154650</v>
      </c>
      <c r="G24" s="160">
        <f t="shared" si="1"/>
        <v>0</v>
      </c>
      <c r="H24" s="608">
        <f t="shared" si="23"/>
        <v>507784</v>
      </c>
      <c r="I24" s="161">
        <f t="shared" si="2"/>
        <v>0</v>
      </c>
      <c r="J24" s="608">
        <f t="shared" si="24"/>
        <v>380902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8"/>
        <v>154.80303857058792</v>
      </c>
      <c r="P24" s="297">
        <f t="shared" si="9"/>
        <v>154.80303857058792</v>
      </c>
      <c r="Q24" s="297">
        <f>SUM(-tanks!AX26*tanks!$AU$37)</f>
        <v>0</v>
      </c>
      <c r="R24" s="297">
        <f t="shared" si="10"/>
        <v>154.80303857058792</v>
      </c>
      <c r="S24" s="299">
        <f>SUM(ELEC!N23)</f>
        <v>0</v>
      </c>
      <c r="T24" s="336">
        <f t="shared" si="12"/>
        <v>0</v>
      </c>
      <c r="V24" s="730" t="s">
        <v>204</v>
      </c>
      <c r="W24" s="731"/>
      <c r="X24" s="732" t="s">
        <v>205</v>
      </c>
      <c r="Y24" s="733"/>
      <c r="Z24" s="734"/>
      <c r="AA24" s="170"/>
      <c r="AB24" s="720"/>
      <c r="AC24" s="721"/>
    </row>
    <row r="25" spans="1:32" ht="20.100000000000001" customHeight="1">
      <c r="A25" s="163">
        <f>ELEC!C24</f>
        <v>44338</v>
      </c>
      <c r="B25" s="608">
        <f t="shared" si="25"/>
        <v>1043337</v>
      </c>
      <c r="C25" s="264">
        <f t="shared" si="0"/>
        <v>0</v>
      </c>
      <c r="D25" s="308">
        <f t="shared" si="7"/>
        <v>0</v>
      </c>
      <c r="E25" s="308">
        <f t="shared" si="11"/>
        <v>1043337</v>
      </c>
      <c r="F25" s="608">
        <f t="shared" si="26"/>
        <v>154650</v>
      </c>
      <c r="G25" s="160">
        <f t="shared" si="1"/>
        <v>0</v>
      </c>
      <c r="H25" s="608">
        <f t="shared" si="23"/>
        <v>507784</v>
      </c>
      <c r="I25" s="161">
        <f t="shared" si="2"/>
        <v>0</v>
      </c>
      <c r="J25" s="608">
        <f t="shared" si="24"/>
        <v>380902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8"/>
        <v>154.80303857058792</v>
      </c>
      <c r="P25" s="297">
        <f t="shared" si="9"/>
        <v>154.80303857058792</v>
      </c>
      <c r="Q25" s="297">
        <f>SUM(-tanks!AX27*tanks!$AU$37)</f>
        <v>0</v>
      </c>
      <c r="R25" s="297">
        <f t="shared" si="10"/>
        <v>154.80303857058792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08">
        <f t="shared" si="25"/>
        <v>1043337</v>
      </c>
      <c r="C26" s="264">
        <f t="shared" si="0"/>
        <v>0</v>
      </c>
      <c r="D26" s="308">
        <f t="shared" si="7"/>
        <v>0</v>
      </c>
      <c r="E26" s="308">
        <f t="shared" si="11"/>
        <v>1043337</v>
      </c>
      <c r="F26" s="608">
        <f t="shared" si="26"/>
        <v>154650</v>
      </c>
      <c r="G26" s="160">
        <f t="shared" si="1"/>
        <v>0</v>
      </c>
      <c r="H26" s="608">
        <f t="shared" si="23"/>
        <v>507784</v>
      </c>
      <c r="I26" s="161">
        <f t="shared" si="2"/>
        <v>0</v>
      </c>
      <c r="J26" s="608">
        <f t="shared" si="24"/>
        <v>380902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8"/>
        <v>154.80303857058792</v>
      </c>
      <c r="P26" s="297">
        <f t="shared" si="9"/>
        <v>154.80303857058792</v>
      </c>
      <c r="Q26" s="297">
        <f>SUM(-tanks!AX28*tanks!$AU$37)</f>
        <v>0</v>
      </c>
      <c r="R26" s="297">
        <f t="shared" si="10"/>
        <v>154.80303857058792</v>
      </c>
      <c r="S26" s="299">
        <f>SUM(ELEC!N25)</f>
        <v>0</v>
      </c>
      <c r="T26" s="336">
        <f t="shared" si="12"/>
        <v>0</v>
      </c>
      <c r="V26" s="254">
        <f>W9</f>
        <v>365756</v>
      </c>
      <c r="W26" s="170">
        <f>J34</f>
        <v>380902</v>
      </c>
      <c r="X26" s="172" t="s">
        <v>199</v>
      </c>
      <c r="Y26" s="172">
        <v>80</v>
      </c>
      <c r="Z26" s="172">
        <v>1</v>
      </c>
      <c r="AA26" s="338">
        <f>(W26-V26)*Z26</f>
        <v>15146</v>
      </c>
      <c r="AB26" s="338">
        <f>AA26*Y26</f>
        <v>1211680</v>
      </c>
      <c r="AC26" s="249">
        <f>AC9</f>
        <v>1033333</v>
      </c>
      <c r="AD26" s="617">
        <f>SUM(K36)</f>
        <v>0.43867118486981205</v>
      </c>
    </row>
    <row r="27" spans="1:32" ht="20.100000000000001" customHeight="1">
      <c r="A27" s="163">
        <f>ELEC!C26</f>
        <v>44340</v>
      </c>
      <c r="B27" s="608">
        <f t="shared" si="25"/>
        <v>1043337</v>
      </c>
      <c r="C27" s="264">
        <f t="shared" si="0"/>
        <v>0</v>
      </c>
      <c r="D27" s="308">
        <f t="shared" si="7"/>
        <v>0</v>
      </c>
      <c r="E27" s="308">
        <f t="shared" si="11"/>
        <v>1043337</v>
      </c>
      <c r="F27" s="608">
        <f t="shared" si="26"/>
        <v>154650</v>
      </c>
      <c r="G27" s="160">
        <f t="shared" si="1"/>
        <v>0</v>
      </c>
      <c r="H27" s="608">
        <f t="shared" si="23"/>
        <v>507784</v>
      </c>
      <c r="I27" s="161">
        <f t="shared" si="2"/>
        <v>0</v>
      </c>
      <c r="J27" s="608">
        <f t="shared" si="24"/>
        <v>380902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8"/>
        <v>154.80303857058792</v>
      </c>
      <c r="P27" s="297">
        <f t="shared" si="9"/>
        <v>154.80303857058792</v>
      </c>
      <c r="Q27" s="297">
        <f>SUM(-tanks!AX29*tanks!$AU$37)</f>
        <v>0</v>
      </c>
      <c r="R27" s="297">
        <f t="shared" si="10"/>
        <v>154.80303857058792</v>
      </c>
      <c r="S27" s="299">
        <f>SUM(ELEC!N26)</f>
        <v>0</v>
      </c>
      <c r="T27" s="336">
        <f t="shared" si="12"/>
        <v>0</v>
      </c>
      <c r="V27" s="254">
        <f t="shared" ref="V27:V28" si="27">W10</f>
        <v>492400</v>
      </c>
      <c r="W27" s="170">
        <f>H34</f>
        <v>507784</v>
      </c>
      <c r="X27" s="172" t="s">
        <v>213</v>
      </c>
      <c r="Y27" s="172">
        <v>112</v>
      </c>
      <c r="Z27" s="172">
        <v>1</v>
      </c>
      <c r="AA27" s="338">
        <f>(W27-V27)*Z27</f>
        <v>15384</v>
      </c>
      <c r="AB27" s="338">
        <f>SUM(AA27*Y27)</f>
        <v>1723008</v>
      </c>
      <c r="AC27" s="249">
        <f>AC10</f>
        <v>6200000</v>
      </c>
      <c r="AD27" s="617">
        <f>SUM(I36)</f>
        <v>0.44556434095056041</v>
      </c>
    </row>
    <row r="28" spans="1:32" ht="20.100000000000001" customHeight="1">
      <c r="A28" s="163">
        <f>ELEC!C27</f>
        <v>44341</v>
      </c>
      <c r="B28" s="608">
        <f t="shared" si="25"/>
        <v>1043337</v>
      </c>
      <c r="C28" s="264">
        <f t="shared" si="0"/>
        <v>0</v>
      </c>
      <c r="D28" s="308">
        <f t="shared" si="7"/>
        <v>0</v>
      </c>
      <c r="E28" s="308">
        <f t="shared" si="11"/>
        <v>1043337</v>
      </c>
      <c r="F28" s="608">
        <f t="shared" si="26"/>
        <v>154650</v>
      </c>
      <c r="G28" s="160">
        <f t="shared" si="1"/>
        <v>0</v>
      </c>
      <c r="H28" s="608">
        <f t="shared" si="23"/>
        <v>507784</v>
      </c>
      <c r="I28" s="161">
        <f t="shared" si="2"/>
        <v>0</v>
      </c>
      <c r="J28" s="608">
        <f t="shared" si="24"/>
        <v>380902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8"/>
        <v>154.80303857058792</v>
      </c>
      <c r="P28" s="297">
        <f t="shared" si="9"/>
        <v>154.80303857058792</v>
      </c>
      <c r="Q28" s="297">
        <f>SUM(-tanks!AX30*tanks!$AU$37)</f>
        <v>0</v>
      </c>
      <c r="R28" s="297">
        <f t="shared" si="10"/>
        <v>154.80303857058792</v>
      </c>
      <c r="S28" s="299">
        <f>SUM(ELEC!N27)</f>
        <v>0</v>
      </c>
      <c r="T28" s="336">
        <f t="shared" si="12"/>
        <v>0</v>
      </c>
      <c r="V28" s="254">
        <f t="shared" si="27"/>
        <v>150653</v>
      </c>
      <c r="W28" s="170">
        <f>F34</f>
        <v>154650</v>
      </c>
      <c r="X28" s="172" t="s">
        <v>197</v>
      </c>
      <c r="Y28" s="172">
        <v>320</v>
      </c>
      <c r="Z28" s="172">
        <v>1</v>
      </c>
      <c r="AA28" s="338">
        <f>(W28-V28)*Z28</f>
        <v>3997</v>
      </c>
      <c r="AB28" s="338">
        <f>SUM(AA28*Y28)</f>
        <v>1279040</v>
      </c>
      <c r="AC28" s="249">
        <f>AC11</f>
        <v>1000</v>
      </c>
      <c r="AD28" s="617">
        <f>SUM(G36)</f>
        <v>0.11576447417962753</v>
      </c>
      <c r="AE28" s="40">
        <f>SUM(AB28*5%)</f>
        <v>63952</v>
      </c>
      <c r="AF28" s="82">
        <f>SUM(AE28/7)*31</f>
        <v>283216</v>
      </c>
    </row>
    <row r="29" spans="1:32" ht="20.100000000000001" customHeight="1">
      <c r="A29" s="163">
        <f>ELEC!C28</f>
        <v>44342</v>
      </c>
      <c r="B29" s="608">
        <f t="shared" si="25"/>
        <v>1043337</v>
      </c>
      <c r="C29" s="264">
        <f t="shared" si="0"/>
        <v>0</v>
      </c>
      <c r="D29" s="308">
        <f t="shared" si="7"/>
        <v>0</v>
      </c>
      <c r="E29" s="308">
        <f t="shared" si="11"/>
        <v>1043337</v>
      </c>
      <c r="F29" s="608">
        <f t="shared" si="26"/>
        <v>154650</v>
      </c>
      <c r="G29" s="160">
        <f t="shared" si="1"/>
        <v>0</v>
      </c>
      <c r="H29" s="608">
        <f t="shared" si="23"/>
        <v>507784</v>
      </c>
      <c r="I29" s="161">
        <f t="shared" si="2"/>
        <v>0</v>
      </c>
      <c r="J29" s="608">
        <f t="shared" si="24"/>
        <v>380902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8"/>
        <v>154.80303857058792</v>
      </c>
      <c r="P29" s="297">
        <f t="shared" si="9"/>
        <v>154.80303857058792</v>
      </c>
      <c r="Q29" s="297">
        <f>SUM(-tanks!AX31*tanks!$AU$37)</f>
        <v>0</v>
      </c>
      <c r="R29" s="297">
        <f t="shared" si="10"/>
        <v>154.80303857058792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34527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08">
        <f t="shared" si="25"/>
        <v>1043337</v>
      </c>
      <c r="C30" s="264">
        <f t="shared" si="0"/>
        <v>0</v>
      </c>
      <c r="D30" s="308">
        <f t="shared" si="7"/>
        <v>0</v>
      </c>
      <c r="E30" s="308">
        <f t="shared" si="11"/>
        <v>1043337</v>
      </c>
      <c r="F30" s="608">
        <f t="shared" si="26"/>
        <v>154650</v>
      </c>
      <c r="G30" s="160">
        <f t="shared" si="1"/>
        <v>0</v>
      </c>
      <c r="H30" s="608">
        <f t="shared" si="23"/>
        <v>507784</v>
      </c>
      <c r="I30" s="161">
        <f t="shared" si="2"/>
        <v>0</v>
      </c>
      <c r="J30" s="608">
        <f t="shared" si="24"/>
        <v>380902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8"/>
        <v>154.80303857058792</v>
      </c>
      <c r="P30" s="297">
        <f t="shared" si="9"/>
        <v>154.80303857058792</v>
      </c>
      <c r="Q30" s="297">
        <f>SUM(-tanks!AX32*tanks!$AU$37)</f>
        <v>0</v>
      </c>
      <c r="R30" s="297">
        <f t="shared" si="10"/>
        <v>154.80303857058792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4213728</v>
      </c>
      <c r="AC30" s="249"/>
    </row>
    <row r="31" spans="1:32" ht="20.100000000000001" customHeight="1">
      <c r="A31" s="163">
        <f>ELEC!C30</f>
        <v>44344</v>
      </c>
      <c r="B31" s="608">
        <f t="shared" si="25"/>
        <v>1043337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1043337</v>
      </c>
      <c r="F31" s="608">
        <f t="shared" si="26"/>
        <v>154650</v>
      </c>
      <c r="G31" s="160">
        <f t="shared" ref="G31:G33" si="31">F31-F30</f>
        <v>0</v>
      </c>
      <c r="H31" s="608">
        <f t="shared" si="23"/>
        <v>507784</v>
      </c>
      <c r="I31" s="161">
        <f t="shared" ref="I31:I33" si="32">H31-H30</f>
        <v>0</v>
      </c>
      <c r="J31" s="608">
        <f t="shared" si="24"/>
        <v>380902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08">
        <f t="shared" si="25"/>
        <v>1043337</v>
      </c>
      <c r="C32" s="264">
        <f t="shared" si="28"/>
        <v>0</v>
      </c>
      <c r="D32" s="308">
        <f t="shared" si="29"/>
        <v>0</v>
      </c>
      <c r="E32" s="308">
        <f t="shared" si="30"/>
        <v>1043337</v>
      </c>
      <c r="F32" s="608">
        <f t="shared" si="26"/>
        <v>154650</v>
      </c>
      <c r="G32" s="160">
        <f t="shared" si="31"/>
        <v>0</v>
      </c>
      <c r="H32" s="608">
        <f t="shared" si="23"/>
        <v>507784</v>
      </c>
      <c r="I32" s="161">
        <f t="shared" si="32"/>
        <v>0</v>
      </c>
      <c r="J32" s="608">
        <f t="shared" si="24"/>
        <v>380902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08">
        <f t="shared" si="25"/>
        <v>1043337</v>
      </c>
      <c r="C33" s="264">
        <f t="shared" si="28"/>
        <v>0</v>
      </c>
      <c r="D33" s="308">
        <f t="shared" si="29"/>
        <v>0</v>
      </c>
      <c r="E33" s="308">
        <f t="shared" si="30"/>
        <v>1043337</v>
      </c>
      <c r="F33" s="608">
        <f t="shared" si="26"/>
        <v>154650</v>
      </c>
      <c r="G33" s="160">
        <f t="shared" si="31"/>
        <v>0</v>
      </c>
      <c r="H33" s="608">
        <f t="shared" si="23"/>
        <v>507784</v>
      </c>
      <c r="I33" s="161">
        <f t="shared" si="32"/>
        <v>0</v>
      </c>
      <c r="J33" s="608">
        <f t="shared" si="24"/>
        <v>380902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171</v>
      </c>
      <c r="X33" s="222">
        <f>SUM(W33/A35)</f>
        <v>9.5</v>
      </c>
      <c r="Y33" s="260">
        <f>SUM(X33/1)</f>
        <v>9.5</v>
      </c>
      <c r="Z33" s="3"/>
      <c r="AA33" s="3"/>
      <c r="AB33" s="536">
        <f>SUM(AB30+AC33)</f>
        <v>11448061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08">
        <f t="shared" si="25"/>
        <v>1043337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1043337</v>
      </c>
      <c r="F34" s="608">
        <f t="shared" si="26"/>
        <v>154650</v>
      </c>
      <c r="G34" s="160">
        <f t="shared" ref="G34" si="43">F34-F33</f>
        <v>0</v>
      </c>
      <c r="H34" s="608">
        <f t="shared" si="23"/>
        <v>507784</v>
      </c>
      <c r="I34" s="161">
        <f t="shared" ref="I34" si="44">H34-H33</f>
        <v>0</v>
      </c>
      <c r="J34" s="608">
        <f t="shared" si="24"/>
        <v>380902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18</v>
      </c>
      <c r="C35" s="173">
        <f>SUM(C4:C33)/A35</f>
        <v>1918.1666666666667</v>
      </c>
      <c r="D35" s="173"/>
      <c r="E35" s="173"/>
      <c r="G35" s="173">
        <f>SUM(G4:G33)/A35</f>
        <v>222.05555555555554</v>
      </c>
      <c r="I35" s="173">
        <f>SUM(I4:I33)/A35</f>
        <v>854.66666666666663</v>
      </c>
      <c r="K35" s="173">
        <f>SUM(K4:K33)/A35</f>
        <v>841.44444444444446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17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0.11576447417962753</v>
      </c>
      <c r="H36" s="212"/>
      <c r="I36" s="225">
        <f>SUM(I35/C35)</f>
        <v>0.44556434095056041</v>
      </c>
      <c r="J36" s="212"/>
      <c r="K36" s="225">
        <f>SUM(K35/C35)</f>
        <v>0.43867118486981205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7594.0703150912104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7594.0703150912104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20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35"/>
      <c r="AC45" s="735"/>
      <c r="AD45" s="620"/>
      <c r="AE45" s="17"/>
      <c r="AF45" s="17"/>
    </row>
    <row r="46" spans="1:32">
      <c r="V46" s="735"/>
      <c r="W46" s="735"/>
      <c r="X46" s="735"/>
      <c r="Y46" s="735"/>
      <c r="Z46" s="540"/>
      <c r="AA46" s="540"/>
      <c r="AB46" s="735"/>
      <c r="AC46" s="735"/>
      <c r="AD46" s="620"/>
      <c r="AE46" s="17"/>
      <c r="AF46" s="17"/>
    </row>
    <row r="47" spans="1:32">
      <c r="V47" s="735"/>
      <c r="W47" s="735"/>
      <c r="X47" s="735"/>
      <c r="Y47" s="735"/>
      <c r="Z47" s="735"/>
      <c r="AA47" s="735"/>
      <c r="AB47" s="735"/>
      <c r="AC47" s="735"/>
      <c r="AD47" s="620"/>
      <c r="AE47" s="17"/>
      <c r="AF47" s="17"/>
    </row>
    <row r="48" spans="1:32">
      <c r="V48" s="736"/>
      <c r="W48" s="736"/>
      <c r="X48" s="737"/>
      <c r="Y48" s="737"/>
      <c r="Z48" s="737"/>
      <c r="AA48" s="541"/>
      <c r="AB48" s="735"/>
      <c r="AC48" s="735"/>
      <c r="AD48" s="620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20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20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20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20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20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20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2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2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2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20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20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2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2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20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20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20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20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20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20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2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2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2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2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2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2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2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2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2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2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2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2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20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5" activePane="bottomLeft" state="frozen"/>
      <selection pane="bottomLeft" activeCell="F17" sqref="F17:F2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38" t="s">
        <v>51</v>
      </c>
      <c r="B1" s="750" t="s">
        <v>318</v>
      </c>
      <c r="C1" s="751"/>
      <c r="D1" s="753"/>
      <c r="E1" s="750" t="s">
        <v>319</v>
      </c>
      <c r="F1" s="751"/>
      <c r="G1" s="752"/>
      <c r="H1" s="747" t="s">
        <v>324</v>
      </c>
      <c r="I1" s="744" t="s">
        <v>325</v>
      </c>
      <c r="J1" s="741" t="s">
        <v>43</v>
      </c>
    </row>
    <row r="2" spans="1:18" ht="38.25" thickBot="1">
      <c r="A2" s="73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8"/>
      <c r="I2" s="745"/>
      <c r="J2" s="742"/>
    </row>
    <row r="3" spans="1:18" ht="24" customHeight="1" thickBot="1">
      <c r="A3" s="74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9"/>
      <c r="I3" s="746"/>
      <c r="J3" s="743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30">
        <v>8.6999999999999993</v>
      </c>
      <c r="D9" s="170"/>
      <c r="E9" s="630">
        <v>1</v>
      </c>
      <c r="F9" s="630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42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48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>
        <v>1.5</v>
      </c>
      <c r="C15" s="582">
        <v>9.5</v>
      </c>
      <c r="D15" s="582"/>
      <c r="E15" s="582">
        <v>1</v>
      </c>
      <c r="F15" s="582">
        <v>9.5</v>
      </c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>
        <v>1</v>
      </c>
      <c r="C16" s="582">
        <v>9.5</v>
      </c>
      <c r="D16" s="582"/>
      <c r="E16" s="582">
        <v>0.9</v>
      </c>
      <c r="F16" s="582">
        <v>9.5</v>
      </c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>
        <v>1</v>
      </c>
      <c r="C17" s="594">
        <v>1.5</v>
      </c>
      <c r="D17" s="170"/>
      <c r="E17" s="170">
        <v>0.7</v>
      </c>
      <c r="F17" s="658">
        <v>9.5</v>
      </c>
      <c r="G17" s="657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>
        <v>1</v>
      </c>
      <c r="C18" s="595">
        <v>1.5</v>
      </c>
      <c r="D18" s="170"/>
      <c r="E18" s="170">
        <v>0</v>
      </c>
      <c r="F18" s="658">
        <v>9.5</v>
      </c>
      <c r="G18" s="660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>
        <v>1</v>
      </c>
      <c r="C19" s="596">
        <v>9.5</v>
      </c>
      <c r="D19" s="170"/>
      <c r="E19" s="170">
        <v>0</v>
      </c>
      <c r="F19" s="658">
        <v>9.5</v>
      </c>
      <c r="G19" s="657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>
        <v>1</v>
      </c>
      <c r="C20" s="597">
        <v>9.5</v>
      </c>
      <c r="D20" s="170"/>
      <c r="E20" s="170">
        <v>0</v>
      </c>
      <c r="F20" s="658">
        <v>9.5</v>
      </c>
      <c r="G20" s="657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>
        <v>0.9</v>
      </c>
      <c r="C21" s="653">
        <v>9</v>
      </c>
      <c r="D21" s="170"/>
      <c r="E21" s="170">
        <v>0</v>
      </c>
      <c r="F21" s="658">
        <v>9</v>
      </c>
      <c r="G21" s="660"/>
      <c r="H21" s="576">
        <v>6766</v>
      </c>
      <c r="I21" s="506">
        <f t="shared" si="3"/>
        <v>4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>
        <v>0.9</v>
      </c>
      <c r="C22" s="598">
        <v>9</v>
      </c>
      <c r="D22" s="599"/>
      <c r="E22" s="598">
        <v>0</v>
      </c>
      <c r="F22" s="658">
        <v>9</v>
      </c>
      <c r="G22" s="657"/>
      <c r="H22" s="576">
        <f t="shared" si="2"/>
        <v>6766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>
        <v>0.5</v>
      </c>
      <c r="C23" s="655">
        <v>9.5</v>
      </c>
      <c r="D23" s="656"/>
      <c r="E23" s="655">
        <v>0</v>
      </c>
      <c r="F23" s="658">
        <v>10</v>
      </c>
      <c r="G23" s="657"/>
      <c r="H23" s="576">
        <v>6768</v>
      </c>
      <c r="I23" s="506">
        <f t="shared" si="3"/>
        <v>2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 t="s">
        <v>422</v>
      </c>
      <c r="C24" s="658">
        <v>9.5</v>
      </c>
      <c r="D24" s="659"/>
      <c r="E24" s="658">
        <v>0</v>
      </c>
      <c r="F24" s="658">
        <v>10</v>
      </c>
      <c r="G24" s="660"/>
      <c r="H24" s="576">
        <v>6769</v>
      </c>
      <c r="I24" s="506">
        <f t="shared" si="3"/>
        <v>1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/>
      <c r="C25" s="582"/>
      <c r="D25" s="170"/>
      <c r="E25" s="170"/>
      <c r="F25" s="170"/>
      <c r="G25" s="170"/>
      <c r="H25" s="576">
        <f t="shared" si="2"/>
        <v>6769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/>
      <c r="C26" s="601"/>
      <c r="D26" s="602"/>
      <c r="E26" s="601"/>
      <c r="F26" s="601"/>
      <c r="G26" s="170"/>
      <c r="H26" s="576">
        <f t="shared" si="2"/>
        <v>6769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/>
      <c r="C27" s="170"/>
      <c r="D27" s="170"/>
      <c r="E27" s="170"/>
      <c r="F27" s="170"/>
      <c r="G27" s="170"/>
      <c r="H27" s="576">
        <f t="shared" si="2"/>
        <v>6769</v>
      </c>
      <c r="I27" s="506">
        <f t="shared" si="3"/>
        <v>0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/>
      <c r="C28" s="586"/>
      <c r="D28" s="659"/>
      <c r="E28" s="658"/>
      <c r="F28" s="658"/>
      <c r="G28" s="660"/>
      <c r="H28" s="576">
        <f t="shared" si="2"/>
        <v>6769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/>
      <c r="C29" s="604"/>
      <c r="D29" s="605"/>
      <c r="E29" s="658"/>
      <c r="F29" s="658"/>
      <c r="G29" s="657"/>
      <c r="H29" s="576">
        <f t="shared" si="2"/>
        <v>6769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/>
      <c r="C30" s="606"/>
      <c r="D30" s="607"/>
      <c r="E30" s="606"/>
      <c r="F30" s="606"/>
      <c r="G30" s="170"/>
      <c r="H30" s="576">
        <f t="shared" si="2"/>
        <v>6769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/>
      <c r="C31" s="582"/>
      <c r="D31" s="170"/>
      <c r="E31" s="170"/>
      <c r="F31" s="170"/>
      <c r="G31" s="170"/>
      <c r="H31" s="576">
        <f t="shared" si="2"/>
        <v>6769</v>
      </c>
      <c r="I31" s="506">
        <f t="shared" si="3"/>
        <v>0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6769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6769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6769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6769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6769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65" t="s">
        <v>161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</row>
    <row r="2" spans="1:28" ht="19.5">
      <c r="A2" s="766"/>
      <c r="B2" s="766"/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  <c r="N2" s="766"/>
      <c r="O2" s="766"/>
      <c r="P2" s="766"/>
      <c r="Q2" s="766"/>
      <c r="R2" s="766"/>
      <c r="S2" s="766"/>
      <c r="T2" s="766"/>
      <c r="U2" s="766"/>
      <c r="V2" s="766"/>
      <c r="W2" s="766"/>
      <c r="X2" s="766"/>
    </row>
    <row r="3" spans="1:28" ht="19.5">
      <c r="A3" s="766" t="s">
        <v>162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766"/>
      <c r="O3" s="766"/>
      <c r="P3" s="766"/>
      <c r="Q3" s="766"/>
      <c r="R3" s="766"/>
      <c r="S3" s="766"/>
      <c r="T3" s="766"/>
      <c r="U3" s="766"/>
      <c r="V3" s="766"/>
      <c r="W3" s="766"/>
      <c r="X3" s="76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6" t="s">
        <v>409</v>
      </c>
      <c r="B5" s="766"/>
      <c r="C5" s="766"/>
      <c r="D5" s="766"/>
      <c r="E5" s="766"/>
      <c r="F5" s="766"/>
      <c r="G5" s="766"/>
      <c r="H5" s="766"/>
      <c r="I5" s="766"/>
      <c r="J5" s="766"/>
      <c r="K5" s="766"/>
      <c r="L5" s="766"/>
      <c r="M5" s="766"/>
      <c r="N5" s="766"/>
      <c r="O5" s="766"/>
      <c r="P5" s="766"/>
      <c r="Q5" s="766"/>
      <c r="R5" s="766"/>
      <c r="S5" s="766"/>
      <c r="T5" s="766"/>
      <c r="U5" s="766"/>
      <c r="V5" s="766"/>
      <c r="W5" s="766"/>
      <c r="X5" s="766"/>
    </row>
    <row r="6" spans="1:28" ht="15.75" thickBot="1">
      <c r="A6" s="767"/>
      <c r="B6" s="767"/>
      <c r="C6" s="767"/>
      <c r="D6" s="767"/>
      <c r="E6" s="767"/>
      <c r="F6" s="767"/>
      <c r="G6" s="767"/>
      <c r="H6" s="767"/>
      <c r="I6" s="767"/>
      <c r="J6" s="767"/>
      <c r="K6" s="767"/>
      <c r="L6" s="767"/>
      <c r="M6" s="767"/>
      <c r="N6" s="767"/>
      <c r="O6" s="767"/>
      <c r="P6" s="767"/>
      <c r="Q6" s="767"/>
      <c r="R6" s="767"/>
      <c r="S6" s="767"/>
      <c r="T6" s="767"/>
      <c r="U6" s="767"/>
      <c r="V6" s="767"/>
      <c r="W6" s="767"/>
      <c r="X6" s="767"/>
    </row>
    <row r="7" spans="1:28" ht="15.75" thickBot="1">
      <c r="A7" s="755" t="s">
        <v>163</v>
      </c>
      <c r="B7" s="756"/>
      <c r="C7" s="757" t="s">
        <v>164</v>
      </c>
      <c r="D7" s="758"/>
      <c r="E7" s="758"/>
      <c r="F7" s="758"/>
      <c r="G7" s="758"/>
      <c r="H7" s="758"/>
      <c r="I7" s="758"/>
      <c r="J7" s="758"/>
      <c r="K7" s="75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'[3]General information '!B6</f>
        <v>17</v>
      </c>
      <c r="O10" s="272">
        <f>'[3]General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'[3]General information '!B7</f>
        <v>15</v>
      </c>
      <c r="O11" s="272">
        <f>'[3]General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'[3]General information '!B8</f>
        <v>19</v>
      </c>
      <c r="O12" s="272">
        <f>'[3]General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'[3]General information '!B9</f>
        <v>18</v>
      </c>
      <c r="O13" s="272">
        <f>'[3]General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'[3]General information '!B10</f>
        <v>19</v>
      </c>
      <c r="O14" s="272">
        <f>'[3]General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-219.60000000000005</v>
      </c>
      <c r="AB14" s="272">
        <f>S43</f>
        <v>84.300000000000026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'[3]General information '!B11</f>
        <v>30</v>
      </c>
      <c r="O15" s="272">
        <f>'[3]General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'[3]General information '!B12</f>
        <v>24</v>
      </c>
      <c r="O16" s="272">
        <f>'[3]General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'[3]General information '!B13</f>
        <v>20</v>
      </c>
      <c r="O17" s="272">
        <f>'[3]General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'[3]General information '!B14</f>
        <v>20</v>
      </c>
      <c r="O18" s="272">
        <f>'[3]General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28</v>
      </c>
      <c r="S18" s="272">
        <f>'General information '!C14</f>
        <v>21</v>
      </c>
      <c r="T18" s="272">
        <f t="shared" si="1"/>
        <v>6.1999999999999993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'[3]General information '!B15</f>
        <v>16</v>
      </c>
      <c r="O19" s="272">
        <f>'[3]General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24</v>
      </c>
      <c r="S19" s="272">
        <f>'General information '!C15</f>
        <v>20</v>
      </c>
      <c r="T19" s="272">
        <f t="shared" si="1"/>
        <v>3.6999999999999993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'[3]General information '!B16</f>
        <v>17</v>
      </c>
      <c r="O20" s="272">
        <f>'[3]General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24</v>
      </c>
      <c r="S20" s="272">
        <f>'General information '!C16</f>
        <v>18</v>
      </c>
      <c r="T20" s="272">
        <f t="shared" si="1"/>
        <v>2.6999999999999993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'[3]General information '!B17</f>
        <v>16</v>
      </c>
      <c r="O21" s="272">
        <f>'[3]General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25</v>
      </c>
      <c r="S21" s="272">
        <f>'General information '!C17</f>
        <v>19</v>
      </c>
      <c r="T21" s="272">
        <f t="shared" si="1"/>
        <v>3.6999999999999993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'[3]General information '!B18</f>
        <v>18</v>
      </c>
      <c r="O22" s="272">
        <f>'[3]General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24</v>
      </c>
      <c r="S22" s="272">
        <f>'General information '!C18</f>
        <v>18</v>
      </c>
      <c r="T22" s="272">
        <f t="shared" si="1"/>
        <v>2.6999999999999993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'[3]General information '!B19</f>
        <v>20</v>
      </c>
      <c r="O23" s="272">
        <f>'[3]General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24</v>
      </c>
      <c r="S23" s="272">
        <f>'General information '!C19</f>
        <v>21</v>
      </c>
      <c r="T23" s="272">
        <f t="shared" si="1"/>
        <v>4.1999999999999993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-475.29999999999995</v>
      </c>
      <c r="AB23" s="134">
        <f>SUM(AB10:AB22)</f>
        <v>160.40000000000003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'[3]General information '!B20</f>
        <v>24</v>
      </c>
      <c r="O24" s="272">
        <f>'[3]General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25</v>
      </c>
      <c r="S24" s="272">
        <f>'General information '!C20</f>
        <v>22</v>
      </c>
      <c r="T24" s="272">
        <f t="shared" si="1"/>
        <v>5.1999999999999993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'[3]General information '!B21</f>
        <v>26</v>
      </c>
      <c r="O25" s="272">
        <f>'[3]General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24</v>
      </c>
      <c r="S25" s="272">
        <f>'General information '!C21</f>
        <v>19</v>
      </c>
      <c r="T25" s="272">
        <f t="shared" si="1"/>
        <v>3.1999999999999993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'[3]General information '!B22</f>
        <v>27</v>
      </c>
      <c r="O26" s="272">
        <f>'[3]General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25</v>
      </c>
      <c r="S26" s="272">
        <f>'General information '!C22</f>
        <v>20</v>
      </c>
      <c r="T26" s="272">
        <f t="shared" si="1"/>
        <v>4.1999999999999993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'[3]General information '!B23</f>
        <v>32</v>
      </c>
      <c r="O27" s="272">
        <f>'[3]General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32</v>
      </c>
      <c r="S27" s="272">
        <f>'General information '!C23</f>
        <v>14</v>
      </c>
      <c r="T27" s="272">
        <f t="shared" si="1"/>
        <v>4.6999999999999993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'[3]General information '!B24</f>
        <v>33</v>
      </c>
      <c r="O28" s="272">
        <f>'[3]General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26</v>
      </c>
      <c r="S28" s="272">
        <f>'General information '!C24</f>
        <v>20</v>
      </c>
      <c r="T28" s="272">
        <f t="shared" si="1"/>
        <v>4.6999999999999993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'[3]General information '!B25</f>
        <v>22</v>
      </c>
      <c r="O29" s="272">
        <f>'[3]General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0</v>
      </c>
      <c r="S29" s="272">
        <f>'General information '!C25</f>
        <v>0</v>
      </c>
      <c r="T29" s="272">
        <f t="shared" si="1"/>
        <v>-18.3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'[3]General information '!B26</f>
        <v>21</v>
      </c>
      <c r="O30" s="272">
        <f>'[3]General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0</v>
      </c>
      <c r="S30" s="272">
        <f>'General information '!C26</f>
        <v>0</v>
      </c>
      <c r="T30" s="272">
        <f t="shared" si="1"/>
        <v>-18.3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'[3]General information '!B27</f>
        <v>21</v>
      </c>
      <c r="O31" s="272">
        <f>'[3]General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0</v>
      </c>
      <c r="S31" s="272">
        <f>'General information '!C27</f>
        <v>0</v>
      </c>
      <c r="T31" s="272">
        <f t="shared" si="1"/>
        <v>-18.3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'[3]General information '!B28</f>
        <v>20</v>
      </c>
      <c r="O32" s="272">
        <f>'[3]General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0</v>
      </c>
      <c r="S32" s="272">
        <f>'General information '!C28</f>
        <v>0</v>
      </c>
      <c r="T32" s="272">
        <f t="shared" si="1"/>
        <v>-18.3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'[3]General information '!B29</f>
        <v>24</v>
      </c>
      <c r="O33" s="272">
        <f>'[3]General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0</v>
      </c>
      <c r="S33" s="272">
        <f>'General information '!C29</f>
        <v>0</v>
      </c>
      <c r="T33" s="272">
        <f t="shared" si="1"/>
        <v>-18.3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'[3]General information '!B30</f>
        <v>23</v>
      </c>
      <c r="O34" s="272">
        <f>'[3]General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0</v>
      </c>
      <c r="S34" s="272">
        <f>'General information '!C30</f>
        <v>0</v>
      </c>
      <c r="T34" s="272">
        <f t="shared" si="1"/>
        <v>-18.3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'[3]General information '!B31</f>
        <v>22</v>
      </c>
      <c r="O35" s="272">
        <f>'[3]General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0</v>
      </c>
      <c r="S35" s="272">
        <f>'General information '!C31</f>
        <v>0</v>
      </c>
      <c r="T35" s="272">
        <f t="shared" si="1"/>
        <v>-18.3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'[3]General information '!B32</f>
        <v>22</v>
      </c>
      <c r="O36" s="272">
        <f>'[3]General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'[3]General information '!B33</f>
        <v>26</v>
      </c>
      <c r="O37" s="272">
        <f>'[3]General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'[3]General information '!B34</f>
        <v>29</v>
      </c>
      <c r="O38" s="272">
        <f>'[3]General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'[3]General information '!B35</f>
        <v>25</v>
      </c>
      <c r="O39" s="272">
        <f>'[3]General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-219.60000000000005</v>
      </c>
      <c r="S43" s="119">
        <f>SUMIF(T10:T40,"&gt;0")</f>
        <v>84.300000000000026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0" t="s">
        <v>174</v>
      </c>
      <c r="O84" s="760" t="s">
        <v>175</v>
      </c>
      <c r="P84" s="134"/>
      <c r="T84" s="134"/>
      <c r="X84" s="134"/>
    </row>
    <row r="85" spans="1:24" ht="20.25" thickBot="1">
      <c r="D85" s="134"/>
      <c r="I85" s="762" t="s">
        <v>182</v>
      </c>
      <c r="J85" s="763"/>
      <c r="K85" s="763"/>
      <c r="L85" s="763"/>
      <c r="N85" s="761"/>
      <c r="O85" s="761"/>
      <c r="P85" s="134"/>
      <c r="R85" s="17"/>
      <c r="S85" s="17"/>
      <c r="T85" s="140"/>
      <c r="U85" s="141"/>
      <c r="X85" s="134"/>
    </row>
    <row r="86" spans="1:24" ht="18.75" thickBot="1">
      <c r="D86" s="134"/>
      <c r="I86" s="764" t="s">
        <v>183</v>
      </c>
      <c r="J86" s="764"/>
      <c r="K86" s="764"/>
      <c r="L86" s="764"/>
      <c r="N86" s="142">
        <f>B43+F43+J43+N43+R43+V43+B81+F81+J81+N81+R81+V81</f>
        <v>-4362.8</v>
      </c>
      <c r="O86" s="142">
        <f>C43+G43+K43+O43+S43+W43+C81+G81+K81+O81+S81+W81</f>
        <v>160.40000000000003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4"/>
      <c r="C88" s="754"/>
      <c r="D88" s="754"/>
      <c r="E88" s="754"/>
      <c r="F88" s="754"/>
      <c r="G88" s="754"/>
      <c r="H88" s="754"/>
      <c r="I88" s="754"/>
      <c r="J88" s="754"/>
      <c r="K88" s="754"/>
      <c r="L88" s="754"/>
      <c r="M88" s="754"/>
      <c r="N88" s="754"/>
      <c r="O88" s="754"/>
      <c r="P88" s="754"/>
      <c r="Q88" s="754"/>
      <c r="R88" s="754"/>
      <c r="S88" s="754"/>
      <c r="T88" s="754"/>
      <c r="U88" s="754"/>
      <c r="V88" s="754"/>
      <c r="W88" s="75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2" sqref="E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8" t="s">
        <v>216</v>
      </c>
      <c r="B2" s="768"/>
      <c r="C2" s="768"/>
      <c r="D2" s="768"/>
      <c r="E2" s="768"/>
      <c r="F2" s="768"/>
      <c r="G2" s="768"/>
      <c r="H2" s="768"/>
      <c r="I2" s="768"/>
    </row>
    <row r="3" spans="1:11">
      <c r="A3" s="193">
        <v>44320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18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1225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4761.2903225806449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14545</v>
      </c>
      <c r="C8" s="490">
        <f>SUM(tanks!AU37)</f>
        <v>0.94</v>
      </c>
      <c r="D8" s="191">
        <f>SUM(B8*C8)*D4</f>
        <v>20610992.25</v>
      </c>
      <c r="E8" s="192">
        <f>SUM(D8/D4/F4)</f>
        <v>759.57222222222219</v>
      </c>
      <c r="F8" s="192">
        <f>SUM(E8*F4)</f>
        <v>13672.3</v>
      </c>
      <c r="G8" s="507">
        <f>E8*$F$4</f>
        <v>13672.3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34527</v>
      </c>
      <c r="C10" s="181"/>
      <c r="D10" s="183">
        <f>'EDl log'!AB33</f>
        <v>11448061</v>
      </c>
      <c r="E10" s="182">
        <f>SUM(D10/D4/F4)</f>
        <v>421.89279528284504</v>
      </c>
      <c r="F10" s="182">
        <f>SUM(E10*F4)</f>
        <v>7594.0703150912104</v>
      </c>
      <c r="G10" s="507">
        <f>E10*$G$4</f>
        <v>13078.676653768196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1445.9811465373252</v>
      </c>
      <c r="F12" s="180">
        <f>SUM(F6:F10)</f>
        <v>26027.660637671856</v>
      </c>
      <c r="G12" s="179">
        <f>SUM(G6:G10)</f>
        <v>34950.976653768194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84.300000000000026</v>
      </c>
      <c r="C14" s="433">
        <f>'[14]Utility Cost '!B14</f>
        <v>25.29999999999999</v>
      </c>
      <c r="D14" s="170"/>
      <c r="E14" s="170">
        <f t="shared" ref="E14:E18" si="0">B14-C14</f>
        <v>59.000000000000036</v>
      </c>
      <c r="F14" s="506">
        <v>0</v>
      </c>
      <c r="G14" s="422"/>
      <c r="H14" s="423">
        <f>SUM(G12-H12)</f>
        <v>-10388.023346231806</v>
      </c>
      <c r="I14" s="423">
        <f>SUM(G12-I12)</f>
        <v>-10388.023346231806</v>
      </c>
    </row>
    <row r="15" spans="1:11">
      <c r="A15" s="448" t="s">
        <v>303</v>
      </c>
      <c r="B15" s="97">
        <f>'Degree Days 2020'!AA14</f>
        <v>-219.60000000000005</v>
      </c>
      <c r="C15" s="433">
        <f>'[14]Utility Cost '!B15</f>
        <v>-54.600000000000009</v>
      </c>
      <c r="D15" s="170"/>
      <c r="E15" s="170">
        <f t="shared" si="0"/>
        <v>-165.00000000000006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24</v>
      </c>
      <c r="C16" s="432">
        <f>'[14]Utility Cost '!B16</f>
        <v>22.516129032258064</v>
      </c>
      <c r="D16" s="432"/>
      <c r="E16" s="433">
        <f t="shared" si="0"/>
        <v>1.4838709677419359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520">
        <f>'[14]Utility Cost '!B17</f>
        <v>1.9296774193548385E-2</v>
      </c>
      <c r="D17" s="476">
        <v>0</v>
      </c>
      <c r="E17" s="520">
        <f t="shared" si="0"/>
        <v>-1.9296774193548385E-2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171</v>
      </c>
      <c r="C18" s="432">
        <f>'[14]Utility Cost '!B18</f>
        <v>119.48999999999978</v>
      </c>
      <c r="D18" s="430">
        <f>'[13]Other Fuel Calculation 2021'!$C$117</f>
        <v>172.73885330486587</v>
      </c>
      <c r="E18" s="522">
        <f t="shared" si="0"/>
        <v>51.510000000000218</v>
      </c>
      <c r="F18" s="525">
        <f>B18-D18</f>
        <v>-1.7388533048658701</v>
      </c>
    </row>
    <row r="19" spans="1:10">
      <c r="A19" s="519" t="s">
        <v>411</v>
      </c>
      <c r="B19" s="517">
        <f>SUM(B18/$F$4)</f>
        <v>9.5</v>
      </c>
      <c r="C19" s="651">
        <f>'[14]Utility Cost '!B19</f>
        <v>3.8545161290322509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2021-05-20T06:47:32Z</dcterms:modified>
</cp:coreProperties>
</file>