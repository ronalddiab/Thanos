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0" documentId="8_{DC02917B-8916-487E-922A-38388395A7CA}" xr6:coauthVersionLast="47" xr6:coauthVersionMax="47" xr10:uidLastSave="{00000000-0000-0000-0000-000000000000}"/>
  <bookViews>
    <workbookView xWindow="0" yWindow="0" windowWidth="25600" windowHeight="16000" firstSheet="1" activeTab="1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" i="2" l="1"/>
  <c r="F40" i="3"/>
  <c r="N33" i="1"/>
  <c r="F9" i="4"/>
  <c r="L40" i="3"/>
  <c r="O40" i="3"/>
  <c r="I40" i="3"/>
  <c r="G2" i="1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O41" i="3" l="1"/>
  <c r="H32" i="4"/>
  <c r="F37" i="2"/>
  <c r="G37" i="2" s="1"/>
  <c r="F38" i="2"/>
  <c r="G38" i="2" s="1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 s="1"/>
  <c r="F19" i="4"/>
  <c r="G19" i="4" s="1"/>
  <c r="F18" i="4"/>
  <c r="I11" i="1" s="1"/>
  <c r="F17" i="4"/>
  <c r="F16" i="4"/>
  <c r="I9" i="1" s="1"/>
  <c r="F15" i="4"/>
  <c r="F14" i="4"/>
  <c r="F13" i="4"/>
  <c r="I6" i="1" s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2" i="1"/>
  <c r="I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G38" i="4"/>
  <c r="G37" i="4"/>
  <c r="G36" i="4"/>
  <c r="G35" i="4"/>
  <c r="G33" i="4"/>
  <c r="G31" i="4"/>
  <c r="G30" i="4"/>
  <c r="I22" i="1"/>
  <c r="G28" i="4"/>
  <c r="G26" i="4"/>
  <c r="G25" i="4"/>
  <c r="G23" i="4"/>
  <c r="G17" i="4"/>
  <c r="G15" i="4"/>
  <c r="G14" i="4"/>
  <c r="H14" i="4" s="1"/>
  <c r="G11" i="4"/>
  <c r="H11" i="4" s="1"/>
  <c r="G9" i="4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I29" i="2"/>
  <c r="J29" i="2" s="1"/>
  <c r="F29" i="2"/>
  <c r="G29" i="2" s="1"/>
  <c r="I28" i="2"/>
  <c r="J28" i="2" s="1"/>
  <c r="F28" i="2"/>
  <c r="G28" i="2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I21" i="2"/>
  <c r="J21" i="2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G20" i="4"/>
  <c r="G13" i="4"/>
  <c r="G21" i="4"/>
  <c r="K25" i="5"/>
  <c r="L25" i="5" s="1"/>
  <c r="K10" i="5"/>
  <c r="L10" i="5" s="1"/>
  <c r="K18" i="5"/>
  <c r="L18" i="5" s="1"/>
  <c r="K26" i="5"/>
  <c r="L26" i="5" s="1"/>
  <c r="K15" i="5"/>
  <c r="L8" i="1" s="1"/>
  <c r="K38" i="5"/>
  <c r="L38" i="5" s="1"/>
  <c r="K9" i="5"/>
  <c r="L9" i="5" s="1"/>
  <c r="G29" i="4"/>
  <c r="G16" i="2"/>
  <c r="E25" i="1"/>
  <c r="E8" i="1"/>
  <c r="E15" i="1"/>
  <c r="E29" i="1"/>
  <c r="G27" i="4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P22" i="3"/>
  <c r="M10" i="3"/>
  <c r="M37" i="3"/>
  <c r="P37" i="3"/>
  <c r="M29" i="3"/>
  <c r="P29" i="3"/>
  <c r="M21" i="3"/>
  <c r="M18" i="3"/>
  <c r="M11" i="3"/>
  <c r="P11" i="3"/>
  <c r="Q11" i="3" s="1"/>
  <c r="R11" i="3" s="1"/>
  <c r="M36" i="3"/>
  <c r="M28" i="3"/>
  <c r="P28" i="3"/>
  <c r="Q28" i="3" s="1"/>
  <c r="R28" i="3" s="1"/>
  <c r="M20" i="3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 s="1"/>
  <c r="R15" i="3" s="1"/>
  <c r="P24" i="3"/>
  <c r="P35" i="3"/>
  <c r="P26" i="3"/>
  <c r="Q26" i="3" s="1"/>
  <c r="P18" i="3"/>
  <c r="P9" i="3"/>
  <c r="P32" i="3"/>
  <c r="Q32" i="3" s="1"/>
  <c r="R32" i="3" s="1"/>
  <c r="Q36" i="3"/>
  <c r="R36" i="3" s="1"/>
  <c r="Q13" i="3" l="1"/>
  <c r="R13" i="3" s="1"/>
  <c r="Q9" i="3"/>
  <c r="R9" i="3" s="1"/>
  <c r="K24" i="5"/>
  <c r="L24" i="5" s="1"/>
  <c r="Q38" i="3"/>
  <c r="R38" i="3" s="1"/>
  <c r="Q23" i="3"/>
  <c r="Q24" i="3"/>
  <c r="R24" i="3" s="1"/>
  <c r="Q29" i="3"/>
  <c r="R29" i="3" s="1"/>
  <c r="Q22" i="3"/>
  <c r="R22" i="3" s="1"/>
  <c r="Q34" i="3"/>
  <c r="R34" i="3" s="1"/>
  <c r="E11" i="1"/>
  <c r="G22" i="2"/>
  <c r="K22" i="2" s="1"/>
  <c r="L22" i="2" s="1"/>
  <c r="M22" i="2" s="1"/>
  <c r="M33" i="1"/>
  <c r="G33" i="1"/>
  <c r="Q17" i="3"/>
  <c r="H10" i="1" s="1"/>
  <c r="Q12" i="3"/>
  <c r="R12" i="3" s="1"/>
  <c r="Q10" i="3"/>
  <c r="R10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H9" i="4"/>
  <c r="K11" i="5"/>
  <c r="K14" i="5"/>
  <c r="L14" i="5" s="1"/>
  <c r="K22" i="5"/>
  <c r="L15" i="1" s="1"/>
  <c r="K27" i="5"/>
  <c r="L27" i="5" s="1"/>
  <c r="K28" i="5"/>
  <c r="K30" i="5"/>
  <c r="L30" i="5" s="1"/>
  <c r="K31" i="5"/>
  <c r="L31" i="5" s="1"/>
  <c r="K33" i="5"/>
  <c r="L33" i="5" s="1"/>
  <c r="K34" i="5"/>
  <c r="K35" i="5"/>
  <c r="L35" i="5" s="1"/>
  <c r="K36" i="5"/>
  <c r="L36" i="5" s="1"/>
  <c r="D40" i="3"/>
  <c r="L11" i="5"/>
  <c r="L4" i="1"/>
  <c r="L2" i="1"/>
  <c r="K17" i="5"/>
  <c r="L10" i="1" s="1"/>
  <c r="K13" i="5"/>
  <c r="K32" i="5"/>
  <c r="L25" i="1" s="1"/>
  <c r="K19" i="5"/>
  <c r="L22" i="5"/>
  <c r="L24" i="1"/>
  <c r="L28" i="1"/>
  <c r="L31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R14" i="3" s="1"/>
  <c r="Q25" i="3"/>
  <c r="R25" i="3" s="1"/>
  <c r="Q30" i="3"/>
  <c r="R30" i="3" s="1"/>
  <c r="Q31" i="3"/>
  <c r="R31" i="3" s="1"/>
  <c r="H19" i="1"/>
  <c r="J37" i="3"/>
  <c r="Q37" i="3" s="1"/>
  <c r="H1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2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28" i="5"/>
  <c r="L21" i="1"/>
  <c r="L29" i="1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R19" i="3"/>
  <c r="H32" i="1"/>
  <c r="H24" i="1"/>
  <c r="R26" i="3"/>
  <c r="H17" i="1"/>
  <c r="R17" i="3"/>
  <c r="H31" i="1"/>
  <c r="H27" i="1"/>
  <c r="H15" i="1"/>
  <c r="H11" i="1"/>
  <c r="H4" i="1"/>
  <c r="R23" i="3"/>
  <c r="R27" i="3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D14" i="4"/>
  <c r="D14" i="5" s="1"/>
  <c r="C40" i="3"/>
  <c r="D40" i="4"/>
  <c r="C10" i="4"/>
  <c r="C10" i="5" s="1"/>
  <c r="C40" i="5" s="1"/>
  <c r="D9" i="5"/>
  <c r="D40" i="5" s="1"/>
  <c r="L32" i="5" l="1"/>
  <c r="L21" i="5"/>
  <c r="L23" i="1"/>
  <c r="L17" i="5"/>
  <c r="L7" i="1"/>
  <c r="H22" i="1"/>
  <c r="H7" i="1"/>
  <c r="H26" i="1"/>
  <c r="H23" i="1"/>
  <c r="R35" i="3"/>
  <c r="H14" i="1"/>
  <c r="H5" i="1"/>
  <c r="E33" i="1"/>
  <c r="F30" i="1"/>
  <c r="L16" i="5"/>
  <c r="L16" i="1"/>
  <c r="L13" i="1"/>
  <c r="L3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H16" i="4"/>
  <c r="H24" i="4"/>
  <c r="H18" i="4"/>
  <c r="I33" i="1"/>
  <c r="M37" i="2"/>
  <c r="F31" i="1"/>
  <c r="F4" i="1"/>
  <c r="F7" i="1"/>
  <c r="F15" i="1"/>
  <c r="M23" i="2"/>
  <c r="C40" i="4"/>
  <c r="L40" i="5" l="1"/>
  <c r="H33" i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<sst xmlns="http://schemas.openxmlformats.org/spreadsheetml/2006/main" count="113" uniqueCount="59">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</sst>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2" fontId="19" fillId="11" borderId="5" xfId="0" applyNumberFormat="1" applyFont="1" applyFill="1" applyBorder="1"/>
    <xf numFmtId="43" fontId="11" fillId="0" borderId="1" xfId="0" applyNumberFormat="1" applyFont="1" applyBorder="1" applyAlignment="1">
      <alignment horizontal="center" vertical="center" shrinkToFit="1"/>
    </xf>
    <xf numFmtId="2" fontId="19" fillId="11" borderId="1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/>
    </xf>
    <xf numFmtId="167" fontId="17" fillId="0" borderId="1" xfId="4" applyNumberFormat="1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pane xSplit="1" ySplit="1" topLeftCell="B24" activePane="bottomRight" state="frozen"/>
      <selection pane="bottomRight" activeCell="I44" sqref="I44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3.9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8</v>
      </c>
      <c r="D2" s="7">
        <v>2022</v>
      </c>
      <c r="E2" s="9">
        <f>Electricity!F8+Electricity!I8</f>
        <v>10439.999999999827</v>
      </c>
      <c r="F2" s="10">
        <f>Electricity!L8/TOTAL!E2</f>
        <v>1236.1529214559389</v>
      </c>
      <c r="G2" s="9">
        <f>Gas!F9+Gas!I9+Gas!L9+Gas!O9</f>
        <v>114.71744000000189</v>
      </c>
      <c r="H2" s="10">
        <f>Gas!Q9/TOTAL!G2</f>
        <v>15840.000000000002</v>
      </c>
      <c r="I2" s="9">
        <f>'Fuel Diesel'!F9</f>
        <v>28</v>
      </c>
      <c r="J2" s="11">
        <v>10700</v>
      </c>
      <c r="K2" s="9">
        <f>Water!E9+Water!G9+Water!I9</f>
        <v>204</v>
      </c>
      <c r="L2" s="10">
        <f>Water!K9/TOTAL!K2</f>
        <v>4000</v>
      </c>
      <c r="M2" s="9">
        <v>38</v>
      </c>
      <c r="N2" s="9">
        <v>199</v>
      </c>
    </row>
    <row r="3" spans="1:14">
      <c r="A3" s="6" t="s">
        <v>14</v>
      </c>
      <c r="B3" s="7">
        <f>B2+1</f>
        <v>2</v>
      </c>
      <c r="C3" s="8">
        <v>8</v>
      </c>
      <c r="D3" s="7">
        <v>2022</v>
      </c>
      <c r="E3" s="9">
        <f>Electricity!F9+Electricity!I9</f>
        <v>10580.000000000382</v>
      </c>
      <c r="F3" s="10">
        <f>Electricity!L9/TOTAL!E3</f>
        <v>1241.3276465028368</v>
      </c>
      <c r="G3" s="9">
        <f>Gas!F10+Gas!I10+Gas!L10+Gas!O10</f>
        <v>146.51088000000198</v>
      </c>
      <c r="H3" s="10">
        <f>Gas!Q10/TOTAL!G3</f>
        <v>15839.999999999998</v>
      </c>
      <c r="I3" s="9">
        <f>'Fuel Diesel'!F10</f>
        <v>0</v>
      </c>
      <c r="J3" s="11">
        <v>10700</v>
      </c>
      <c r="K3" s="9">
        <f>Water!E10+Water!G10+Water!I10</f>
        <v>176</v>
      </c>
      <c r="L3" s="10">
        <f>Water!K10/TOTAL!K3</f>
        <v>4000</v>
      </c>
      <c r="M3" s="9">
        <v>39</v>
      </c>
      <c r="N3" s="9">
        <v>214</v>
      </c>
    </row>
    <row r="4" spans="1:14">
      <c r="A4" s="6" t="s">
        <v>14</v>
      </c>
      <c r="B4" s="7">
        <f t="shared" ref="B4:B30" si="0">B3+1</f>
        <v>3</v>
      </c>
      <c r="C4" s="8">
        <v>8</v>
      </c>
      <c r="D4" s="7">
        <v>2022</v>
      </c>
      <c r="E4" s="9">
        <f>Electricity!F10+Electricity!I10</f>
        <v>10559.999999999718</v>
      </c>
      <c r="F4" s="10">
        <f>Electricity!L10/TOTAL!E4</f>
        <v>1237.2067708333327</v>
      </c>
      <c r="G4" s="9">
        <f>Gas!F11+Gas!I11+Gas!L11+Gas!O11</f>
        <v>105.21136000000047</v>
      </c>
      <c r="H4" s="10">
        <f>Gas!Q11/TOTAL!G4</f>
        <v>15839.999999999998</v>
      </c>
      <c r="I4" s="9">
        <f>'Fuel Diesel'!F11</f>
        <v>46</v>
      </c>
      <c r="J4" s="11">
        <v>10700</v>
      </c>
      <c r="K4" s="9">
        <f>Water!E11+Water!G11+Water!I11</f>
        <v>207</v>
      </c>
      <c r="L4" s="10">
        <f>Water!K11/TOTAL!K4</f>
        <v>4000</v>
      </c>
      <c r="M4" s="9">
        <v>35</v>
      </c>
      <c r="N4" s="9">
        <v>243</v>
      </c>
    </row>
    <row r="5" spans="1:14">
      <c r="A5" s="6" t="s">
        <v>14</v>
      </c>
      <c r="B5" s="7">
        <f t="shared" si="0"/>
        <v>4</v>
      </c>
      <c r="C5" s="8">
        <v>8</v>
      </c>
      <c r="D5" s="7">
        <v>2022</v>
      </c>
      <c r="E5" s="9">
        <f>Electricity!F11+Electricity!I11</f>
        <v>10380.000000000451</v>
      </c>
      <c r="F5" s="10">
        <f>Electricity!L11/TOTAL!E5</f>
        <v>1238.9089113680138</v>
      </c>
      <c r="G5" s="9">
        <f>Gas!F12+Gas!I12+Gas!L12+Gas!O12</f>
        <v>119.43019999999578</v>
      </c>
      <c r="H5" s="10">
        <f>Gas!Q12/TOTAL!G5</f>
        <v>15840</v>
      </c>
      <c r="I5" s="9">
        <f>'Fuel Diesel'!F12</f>
        <v>0</v>
      </c>
      <c r="J5" s="11">
        <v>10700</v>
      </c>
      <c r="K5" s="9">
        <f>Water!E12+Water!G12+Water!I12</f>
        <v>216</v>
      </c>
      <c r="L5" s="10">
        <f>Water!K12/TOTAL!K5</f>
        <v>4000</v>
      </c>
      <c r="M5" s="9">
        <v>42</v>
      </c>
      <c r="N5" s="9">
        <v>257</v>
      </c>
    </row>
    <row r="6" spans="1:14">
      <c r="A6" s="6" t="s">
        <v>14</v>
      </c>
      <c r="B6" s="7">
        <f t="shared" si="0"/>
        <v>5</v>
      </c>
      <c r="C6" s="8">
        <v>8</v>
      </c>
      <c r="D6" s="7">
        <v>2022</v>
      </c>
      <c r="E6" s="9">
        <f>Electricity!F12+Electricity!I12</f>
        <v>10600.000000000251</v>
      </c>
      <c r="F6" s="10">
        <f>Electricity!L12/TOTAL!E6</f>
        <v>1240.06009433962</v>
      </c>
      <c r="G6" s="9">
        <f>Gas!F13+Gas!I13+Gas!L13+Gas!O13</f>
        <v>108.47403999999933</v>
      </c>
      <c r="H6" s="10">
        <f>Gas!Q13/TOTAL!G6</f>
        <v>15839.999999999998</v>
      </c>
      <c r="I6" s="9">
        <f>'Fuel Diesel'!F13</f>
        <v>0</v>
      </c>
      <c r="J6" s="11">
        <v>10700</v>
      </c>
      <c r="K6" s="9">
        <f>Water!E13+Water!G13+Water!I13</f>
        <v>249</v>
      </c>
      <c r="L6" s="10">
        <f>Water!K13/TOTAL!K6</f>
        <v>4000</v>
      </c>
      <c r="M6" s="9">
        <v>37</v>
      </c>
      <c r="N6" s="9">
        <v>277</v>
      </c>
    </row>
    <row r="7" spans="1:14">
      <c r="A7" s="6" t="s">
        <v>14</v>
      </c>
      <c r="B7" s="7">
        <f t="shared" si="0"/>
        <v>6</v>
      </c>
      <c r="C7" s="8">
        <v>8</v>
      </c>
      <c r="D7" s="7">
        <v>2022</v>
      </c>
      <c r="E7" s="9">
        <f>Electricity!F13+Electricity!I13</f>
        <v>10379.999999999882</v>
      </c>
      <c r="F7" s="10">
        <f>Electricity!L13/TOTAL!E7</f>
        <v>1235.6168593448949</v>
      </c>
      <c r="G7" s="9">
        <f>Gas!F14+Gas!I14+Gas!L14+Gas!O14</f>
        <v>151.90840000000162</v>
      </c>
      <c r="H7" s="10">
        <f>Gas!Q14/TOTAL!G7</f>
        <v>15840.000000000002</v>
      </c>
      <c r="I7" s="9">
        <f>'Fuel Diesel'!F14</f>
        <v>0</v>
      </c>
      <c r="J7" s="11">
        <v>10700</v>
      </c>
      <c r="K7" s="9">
        <f>Water!E14+Water!G14+Water!I14</f>
        <v>209</v>
      </c>
      <c r="L7" s="10">
        <f>Water!K14/TOTAL!K7</f>
        <v>4000</v>
      </c>
      <c r="M7" s="9">
        <v>41</v>
      </c>
      <c r="N7" s="9">
        <v>246</v>
      </c>
    </row>
    <row r="8" spans="1:14">
      <c r="A8" s="6" t="s">
        <v>14</v>
      </c>
      <c r="B8" s="7">
        <f t="shared" si="0"/>
        <v>7</v>
      </c>
      <c r="C8" s="8">
        <v>8</v>
      </c>
      <c r="D8" s="7">
        <v>2022</v>
      </c>
      <c r="E8" s="9">
        <f>Electricity!F14+Electricity!I14</f>
        <v>9919.9999999993906</v>
      </c>
      <c r="F8" s="10">
        <f>Electricity!L14/TOTAL!E8</f>
        <v>1241.2429939516176</v>
      </c>
      <c r="G8" s="9">
        <f>Gas!F15+Gas!I15+Gas!L15+Gas!O15</f>
        <v>162.94511999999983</v>
      </c>
      <c r="H8" s="10">
        <f>Gas!Q15/TOTAL!G8</f>
        <v>15839.999999999998</v>
      </c>
      <c r="I8" s="9">
        <f>'Fuel Diesel'!F15</f>
        <v>0</v>
      </c>
      <c r="J8" s="11">
        <v>10700</v>
      </c>
      <c r="K8" s="9">
        <f>Water!E15+Water!G15+Water!I15</f>
        <v>157</v>
      </c>
      <c r="L8" s="10">
        <f>Water!K15/TOTAL!K8</f>
        <v>4000</v>
      </c>
      <c r="M8" s="9">
        <v>35</v>
      </c>
      <c r="N8" s="9">
        <v>220</v>
      </c>
    </row>
    <row r="9" spans="1:14">
      <c r="A9" s="6" t="s">
        <v>14</v>
      </c>
      <c r="B9" s="7">
        <f t="shared" si="0"/>
        <v>8</v>
      </c>
      <c r="C9" s="8">
        <v>8</v>
      </c>
      <c r="D9" s="7">
        <v>2022</v>
      </c>
      <c r="E9" s="9">
        <f>Electricity!F15+Electricity!I15</f>
        <v>10560.000000000287</v>
      </c>
      <c r="F9" s="10">
        <f>Electricity!L15/TOTAL!E9</f>
        <v>1236.1281250000009</v>
      </c>
      <c r="G9" s="9">
        <f>Gas!F16+Gas!I16+Gas!L16+Gas!O16</f>
        <v>107.58787999999831</v>
      </c>
      <c r="H9" s="10">
        <f>Gas!Q16/TOTAL!G9</f>
        <v>15840</v>
      </c>
      <c r="I9" s="9">
        <f>'Fuel Diesel'!F16</f>
        <v>0</v>
      </c>
      <c r="J9" s="11">
        <v>10700</v>
      </c>
      <c r="K9" s="9">
        <f>Water!E16+Water!G16+Water!I16</f>
        <v>199</v>
      </c>
      <c r="L9" s="10">
        <f>Water!K16/TOTAL!K9</f>
        <v>4000</v>
      </c>
      <c r="M9" s="9">
        <v>45</v>
      </c>
      <c r="N9" s="9">
        <v>257</v>
      </c>
    </row>
    <row r="10" spans="1:14">
      <c r="A10" s="6" t="s">
        <v>14</v>
      </c>
      <c r="B10" s="7">
        <f t="shared" si="0"/>
        <v>9</v>
      </c>
      <c r="C10" s="8">
        <v>8</v>
      </c>
      <c r="D10" s="7">
        <v>2022</v>
      </c>
      <c r="E10" s="9">
        <f>Electricity!F16+Electricity!I16</f>
        <v>10299.999999999955</v>
      </c>
      <c r="F10" s="10">
        <f>Electricity!L16/TOTAL!E10</f>
        <v>1240.7903883495107</v>
      </c>
      <c r="G10" s="9">
        <f>Gas!F17+Gas!I17+Gas!L17+Gas!O17</f>
        <v>105.25164000000044</v>
      </c>
      <c r="H10" s="10">
        <f>Gas!Q17/TOTAL!G10</f>
        <v>15840</v>
      </c>
      <c r="I10" s="9">
        <f>'Fuel Diesel'!F17</f>
        <v>0</v>
      </c>
      <c r="J10" s="11">
        <v>10700</v>
      </c>
      <c r="K10" s="9">
        <f>Water!E17+Water!G17+Water!I17</f>
        <v>199</v>
      </c>
      <c r="L10" s="10">
        <f>Water!K17/TOTAL!K10</f>
        <v>4000</v>
      </c>
      <c r="M10" s="9">
        <v>43</v>
      </c>
      <c r="N10" s="9">
        <v>214</v>
      </c>
    </row>
    <row r="11" spans="1:14">
      <c r="A11" s="6" t="s">
        <v>14</v>
      </c>
      <c r="B11" s="7">
        <f t="shared" si="0"/>
        <v>10</v>
      </c>
      <c r="C11" s="8">
        <v>8</v>
      </c>
      <c r="D11" s="7">
        <v>2022</v>
      </c>
      <c r="E11" s="9">
        <f>Electricity!F17+Electricity!I17</f>
        <v>9960.0000000002638</v>
      </c>
      <c r="F11" s="10">
        <f>Electricity!L17/TOTAL!E11</f>
        <v>1238.5453313252995</v>
      </c>
      <c r="G11" s="9">
        <f>Gas!F18+Gas!I18+Gas!L18+Gas!O18</f>
        <v>109.88384000000445</v>
      </c>
      <c r="H11" s="10">
        <f>Gas!Q18/TOTAL!G11</f>
        <v>15840</v>
      </c>
      <c r="I11" s="9">
        <f>'Fuel Diesel'!F18</f>
        <v>46</v>
      </c>
      <c r="J11" s="11">
        <v>10700</v>
      </c>
      <c r="K11" s="9">
        <f>Water!E18+Water!G18+Water!I18</f>
        <v>172</v>
      </c>
      <c r="L11" s="10">
        <f>Water!K18/TOTAL!K11</f>
        <v>4000</v>
      </c>
      <c r="M11" s="9">
        <v>39</v>
      </c>
      <c r="N11" s="9">
        <v>251</v>
      </c>
    </row>
    <row r="12" spans="1:14">
      <c r="A12" s="6" t="s">
        <v>14</v>
      </c>
      <c r="B12" s="7">
        <f t="shared" si="0"/>
        <v>11</v>
      </c>
      <c r="C12" s="8">
        <v>8</v>
      </c>
      <c r="D12" s="7">
        <v>2022</v>
      </c>
      <c r="E12" s="9">
        <f>Electricity!F18+Electricity!I18</f>
        <v>9860.0000000003547</v>
      </c>
      <c r="F12" s="10">
        <f>Electricity!L18/TOTAL!E12</f>
        <v>1236.0887423935094</v>
      </c>
      <c r="G12" s="9">
        <f>Gas!F19+Gas!I19+Gas!L19+Gas!O19</f>
        <v>101.70699999999907</v>
      </c>
      <c r="H12" s="10">
        <f>Gas!Q19/TOTAL!G12</f>
        <v>15840.000000000002</v>
      </c>
      <c r="I12" s="9">
        <f>'Fuel Diesel'!F19</f>
        <v>0</v>
      </c>
      <c r="J12" s="11">
        <v>10700</v>
      </c>
      <c r="K12" s="9">
        <f>Water!E19+Water!G19+Water!I19</f>
        <v>191</v>
      </c>
      <c r="L12" s="10">
        <f>Water!K19/TOTAL!K12</f>
        <v>4000</v>
      </c>
      <c r="M12" s="9">
        <v>45</v>
      </c>
      <c r="N12" s="9">
        <v>266</v>
      </c>
    </row>
    <row r="13" spans="1:14">
      <c r="A13" s="6" t="s">
        <v>14</v>
      </c>
      <c r="B13" s="7">
        <f t="shared" si="0"/>
        <v>12</v>
      </c>
      <c r="C13" s="8">
        <v>8</v>
      </c>
      <c r="D13" s="7">
        <v>2022</v>
      </c>
      <c r="E13" s="9">
        <f>Electricity!F19+Electricity!I19</f>
        <v>10279.999999999518</v>
      </c>
      <c r="F13" s="10">
        <f>Electricity!L19/TOTAL!E13</f>
        <v>1238.7722762645935</v>
      </c>
      <c r="G13" s="9">
        <f>Gas!F20+Gas!I20+Gas!L20+Gas!O20</f>
        <v>109.7630000000009</v>
      </c>
      <c r="H13" s="10">
        <f>Gas!Q20/TOTAL!G13</f>
        <v>15839.999999999998</v>
      </c>
      <c r="I13" s="9">
        <f>'Fuel Diesel'!F20</f>
        <v>0</v>
      </c>
      <c r="J13" s="11">
        <v>10700</v>
      </c>
      <c r="K13" s="9">
        <f>Water!E20+Water!G20+Water!I20</f>
        <v>173</v>
      </c>
      <c r="L13" s="10">
        <f>Water!K20/TOTAL!K13</f>
        <v>4000</v>
      </c>
      <c r="M13" s="9">
        <v>45</v>
      </c>
      <c r="N13" s="9">
        <v>251</v>
      </c>
    </row>
    <row r="14" spans="1:14">
      <c r="A14" s="6" t="s">
        <v>14</v>
      </c>
      <c r="B14" s="7">
        <f t="shared" si="0"/>
        <v>13</v>
      </c>
      <c r="C14" s="8">
        <v>8</v>
      </c>
      <c r="D14" s="7">
        <v>2022</v>
      </c>
      <c r="E14" s="9">
        <f>Electricity!F20+Electricity!I20</f>
        <v>10139.99999999976</v>
      </c>
      <c r="F14" s="10">
        <f>Electricity!L20/TOTAL!E14</f>
        <v>1243.5190828402401</v>
      </c>
      <c r="G14" s="9">
        <f>Gas!F21+Gas!I21+Gas!L21+Gas!O21</f>
        <v>97.074799999995051</v>
      </c>
      <c r="H14" s="10">
        <f>Gas!Q21/TOTAL!G14</f>
        <v>15839.999999999998</v>
      </c>
      <c r="I14" s="9">
        <f>'Fuel Diesel'!F21</f>
        <v>0</v>
      </c>
      <c r="J14" s="11">
        <v>10700</v>
      </c>
      <c r="K14" s="9">
        <f>Water!E21+Water!G21+Water!I21</f>
        <v>193</v>
      </c>
      <c r="L14" s="10">
        <f>Water!K21/TOTAL!K14</f>
        <v>4148.943005181347</v>
      </c>
      <c r="M14" s="9">
        <v>49</v>
      </c>
      <c r="N14" s="9">
        <v>233</v>
      </c>
    </row>
    <row r="15" spans="1:14">
      <c r="A15" s="6" t="s">
        <v>14</v>
      </c>
      <c r="B15" s="7">
        <f t="shared" si="0"/>
        <v>14</v>
      </c>
      <c r="C15" s="8">
        <v>8</v>
      </c>
      <c r="D15" s="7">
        <v>2022</v>
      </c>
      <c r="E15" s="9">
        <f>Electricity!F21+Electricity!I21</f>
        <v>9740.0000000003492</v>
      </c>
      <c r="F15" s="10">
        <f>Electricity!L21/TOTAL!E15</f>
        <v>1237.2842915811027</v>
      </c>
      <c r="G15" s="9">
        <f>Gas!F22+Gas!I22+Gas!L22+Gas!O22</f>
        <v>97.195640000000438</v>
      </c>
      <c r="H15" s="10">
        <f>Gas!Q22/TOTAL!G15</f>
        <v>15840.000000000002</v>
      </c>
      <c r="I15" s="9">
        <f>'Fuel Diesel'!F22</f>
        <v>0</v>
      </c>
      <c r="J15" s="11">
        <v>10700</v>
      </c>
      <c r="K15" s="9">
        <f>Water!E22+Water!G22+Water!I22</f>
        <v>182</v>
      </c>
      <c r="L15" s="10">
        <f>Water!K22/TOTAL!K15</f>
        <v>5316.2087912087909</v>
      </c>
      <c r="M15" s="9">
        <v>43</v>
      </c>
      <c r="N15" s="9">
        <v>259</v>
      </c>
    </row>
    <row r="16" spans="1:14">
      <c r="A16" s="6" t="s">
        <v>14</v>
      </c>
      <c r="B16" s="7">
        <f t="shared" si="0"/>
        <v>15</v>
      </c>
      <c r="C16" s="8">
        <v>8</v>
      </c>
      <c r="D16" s="7">
        <v>2022</v>
      </c>
      <c r="E16" s="9">
        <f>Electricity!F22+Electricity!I22</f>
        <v>10780.000000000087</v>
      </c>
      <c r="F16" s="10">
        <f>Electricity!L22/TOTAL!E16</f>
        <v>1233.0903061224528</v>
      </c>
      <c r="G16" s="9">
        <f>Gas!F23+Gas!I23+Gas!L23+Gas!O23</f>
        <v>152.63344000000464</v>
      </c>
      <c r="H16" s="10">
        <f>Gas!Q23/TOTAL!G16</f>
        <v>15840.000000000002</v>
      </c>
      <c r="I16" s="9">
        <f>'Fuel Diesel'!F23</f>
        <v>0</v>
      </c>
      <c r="J16" s="11">
        <v>10700</v>
      </c>
      <c r="K16" s="9">
        <f>Water!E23+Water!G23+Water!I23</f>
        <v>209</v>
      </c>
      <c r="L16" s="10">
        <f>Water!K23/TOTAL!K16</f>
        <v>6613.272727272727</v>
      </c>
      <c r="M16" s="9">
        <v>43</v>
      </c>
      <c r="N16" s="9">
        <v>222</v>
      </c>
    </row>
    <row r="17" spans="1:14">
      <c r="A17" s="6" t="s">
        <v>14</v>
      </c>
      <c r="B17" s="7">
        <f t="shared" si="0"/>
        <v>16</v>
      </c>
      <c r="C17" s="8">
        <v>8</v>
      </c>
      <c r="D17" s="7">
        <v>2022</v>
      </c>
      <c r="E17" s="9">
        <f>Electricity!F23+Electricity!I23</f>
        <v>9799.9999999993852</v>
      </c>
      <c r="F17" s="10">
        <f>Electricity!L23/TOTAL!E17</f>
        <v>1240.1697448979598</v>
      </c>
      <c r="G17" s="9">
        <f>Gas!F24+Gas!I24+Gas!L24+Gas!O24</f>
        <v>113.26735999999772</v>
      </c>
      <c r="H17" s="10">
        <f>Gas!Q24/TOTAL!G17</f>
        <v>15840</v>
      </c>
      <c r="I17" s="9">
        <f>'Fuel Diesel'!F24</f>
        <v>0</v>
      </c>
      <c r="J17" s="11">
        <v>10700</v>
      </c>
      <c r="K17" s="9">
        <f>Water!E24+Water!G24+Water!I24</f>
        <v>225</v>
      </c>
      <c r="L17" s="10">
        <f>Water!K24/TOTAL!K17</f>
        <v>4000</v>
      </c>
      <c r="M17" s="9">
        <v>44</v>
      </c>
      <c r="N17" s="9">
        <v>235</v>
      </c>
    </row>
    <row r="18" spans="1:14">
      <c r="A18" s="6" t="s">
        <v>14</v>
      </c>
      <c r="B18" s="7">
        <f t="shared" si="0"/>
        <v>17</v>
      </c>
      <c r="C18" s="8">
        <v>8</v>
      </c>
      <c r="D18" s="7">
        <v>2022</v>
      </c>
      <c r="E18" s="9">
        <f>Electricity!F24+Electricity!I24</f>
        <v>10220.000000000142</v>
      </c>
      <c r="F18" s="10">
        <f>Electricity!L24/TOTAL!E18</f>
        <v>1239.3577299412939</v>
      </c>
      <c r="G18" s="9">
        <f>Gas!F25+Gas!I25+Gas!L25+Gas!O25</f>
        <v>103.1167999999978</v>
      </c>
      <c r="H18" s="10">
        <f>Gas!Q25/TOTAL!G18</f>
        <v>15840.000000000002</v>
      </c>
      <c r="I18" s="9">
        <f>'Fuel Diesel'!F25</f>
        <v>0</v>
      </c>
      <c r="J18" s="11">
        <v>10700</v>
      </c>
      <c r="K18" s="9">
        <f>Water!E25+Water!G25+Water!I25</f>
        <v>193</v>
      </c>
      <c r="L18" s="10">
        <f>Water!K25/TOTAL!K18</f>
        <v>4000</v>
      </c>
      <c r="M18" s="9">
        <v>45</v>
      </c>
      <c r="N18" s="9">
        <v>236</v>
      </c>
    </row>
    <row r="19" spans="1:14">
      <c r="A19" s="6" t="s">
        <v>14</v>
      </c>
      <c r="B19" s="7">
        <f t="shared" si="0"/>
        <v>18</v>
      </c>
      <c r="C19" s="8">
        <v>8</v>
      </c>
      <c r="D19" s="7">
        <v>2022</v>
      </c>
      <c r="E19" s="9">
        <f>Electricity!F25+Electricity!I25</f>
        <v>10020.000000000209</v>
      </c>
      <c r="F19" s="10">
        <f>Electricity!L25/TOTAL!E19</f>
        <v>1239.0863273453069</v>
      </c>
      <c r="G19" s="9">
        <f>Gas!F26+Gas!I26+Gas!L26+Gas!O26</f>
        <v>86.440880000004725</v>
      </c>
      <c r="H19" s="10">
        <f>Gas!Q26/TOTAL!G19</f>
        <v>15839.999999999998</v>
      </c>
      <c r="I19" s="9">
        <f>'Fuel Diesel'!F26</f>
        <v>0</v>
      </c>
      <c r="J19" s="11">
        <v>10700</v>
      </c>
      <c r="K19" s="9">
        <f>Water!E26+Water!G26+Water!I26</f>
        <v>200</v>
      </c>
      <c r="L19" s="10">
        <f>Water!K26/TOTAL!K19</f>
        <v>4000</v>
      </c>
      <c r="M19" s="9">
        <v>48</v>
      </c>
      <c r="N19" s="9">
        <v>259</v>
      </c>
    </row>
    <row r="20" spans="1:14">
      <c r="A20" s="6" t="s">
        <v>14</v>
      </c>
      <c r="B20" s="7">
        <f t="shared" si="0"/>
        <v>19</v>
      </c>
      <c r="C20" s="8">
        <v>8</v>
      </c>
      <c r="D20" s="7">
        <v>2022</v>
      </c>
      <c r="E20" s="9">
        <f>Electricity!F26+Electricity!I26</f>
        <v>10399.999999999864</v>
      </c>
      <c r="F20" s="10">
        <f>Electricity!L26/TOTAL!E20</f>
        <v>1234.3359134615403</v>
      </c>
      <c r="G20" s="9">
        <f>Gas!F27+Gas!I27+Gas!L27+Gas!O27</f>
        <v>128.29179999999869</v>
      </c>
      <c r="H20" s="10">
        <f>Gas!Q27/TOTAL!G20</f>
        <v>15840</v>
      </c>
      <c r="I20" s="9">
        <f>'Fuel Diesel'!F27</f>
        <v>0</v>
      </c>
      <c r="J20" s="11">
        <v>10700</v>
      </c>
      <c r="K20" s="9">
        <f>Water!E27+Water!G27+Water!I27</f>
        <v>234</v>
      </c>
      <c r="L20" s="10">
        <f>Water!K27/TOTAL!K20</f>
        <v>4000</v>
      </c>
      <c r="M20" s="9">
        <v>48</v>
      </c>
      <c r="N20" s="9">
        <v>282</v>
      </c>
    </row>
    <row r="21" spans="1:14">
      <c r="A21" s="6" t="s">
        <v>14</v>
      </c>
      <c r="B21" s="7">
        <f t="shared" si="0"/>
        <v>20</v>
      </c>
      <c r="C21" s="8">
        <v>8</v>
      </c>
      <c r="D21" s="7">
        <v>2022</v>
      </c>
      <c r="E21" s="9">
        <f>Electricity!F27+Electricity!I27</f>
        <v>10240.000000000009</v>
      </c>
      <c r="F21" s="10">
        <f>Electricity!L27/TOTAL!E21</f>
        <v>1238.0494628906233</v>
      </c>
      <c r="G21" s="9">
        <f>Gas!F28+Gas!I28+Gas!L28+Gas!O28</f>
        <v>108.83655999999625</v>
      </c>
      <c r="H21" s="10">
        <f>Gas!Q28/TOTAL!G21</f>
        <v>15839.999999999998</v>
      </c>
      <c r="I21" s="9">
        <f>'Fuel Diesel'!F28</f>
        <v>0</v>
      </c>
      <c r="J21" s="11">
        <v>10700</v>
      </c>
      <c r="K21" s="9">
        <f>Water!E28+Water!G28+Water!I28</f>
        <v>245</v>
      </c>
      <c r="L21" s="10">
        <f>Water!K28/TOTAL!K21</f>
        <v>6033.7306122448981</v>
      </c>
      <c r="M21" s="9">
        <v>45</v>
      </c>
      <c r="N21" s="9">
        <v>285</v>
      </c>
    </row>
    <row r="22" spans="1:14">
      <c r="A22" s="6" t="s">
        <v>14</v>
      </c>
      <c r="B22" s="7">
        <f t="shared" si="0"/>
        <v>21</v>
      </c>
      <c r="C22" s="8">
        <v>8</v>
      </c>
      <c r="D22" s="7">
        <v>2022</v>
      </c>
      <c r="E22" s="9">
        <f>Electricity!F28+Electricity!I28</f>
        <v>9879.9999999998818</v>
      </c>
      <c r="F22" s="10">
        <f>Electricity!L28/TOTAL!E22</f>
        <v>1235.8923076923127</v>
      </c>
      <c r="G22" s="9">
        <f>Gas!F29+Gas!I29+Gas!L29+Gas!O29</f>
        <v>197.8804000000053</v>
      </c>
      <c r="H22" s="10">
        <f>Gas!Q29/TOTAL!G22</f>
        <v>15840.000000000002</v>
      </c>
      <c r="I22" s="9">
        <f>'Fuel Diesel'!F29</f>
        <v>0</v>
      </c>
      <c r="J22" s="11">
        <v>10700</v>
      </c>
      <c r="K22" s="9">
        <f>Water!E29+Water!G29+Water!I29</f>
        <v>234</v>
      </c>
      <c r="L22" s="10">
        <f>Water!K29/TOTAL!K22</f>
        <v>4000</v>
      </c>
      <c r="M22" s="9">
        <v>44</v>
      </c>
      <c r="N22" s="9">
        <v>255</v>
      </c>
    </row>
    <row r="23" spans="1:14">
      <c r="A23" s="6" t="s">
        <v>14</v>
      </c>
      <c r="B23" s="7">
        <f t="shared" si="0"/>
        <v>22</v>
      </c>
      <c r="C23" s="8">
        <v>8</v>
      </c>
      <c r="D23" s="7">
        <v>2022</v>
      </c>
      <c r="E23" s="9">
        <f>Electricity!F29+Electricity!I29</f>
        <v>10180.000000000404</v>
      </c>
      <c r="F23" s="10">
        <f>Electricity!L29/TOTAL!E23</f>
        <v>1236.3951375245485</v>
      </c>
      <c r="G23" s="9">
        <f>Gas!F30+Gas!I30+Gas!L30+Gas!O30</f>
        <v>104.32519999999485</v>
      </c>
      <c r="H23" s="10">
        <f>Gas!Q30/TOTAL!G23</f>
        <v>15840.000000000002</v>
      </c>
      <c r="I23" s="9">
        <f>'Fuel Diesel'!F30</f>
        <v>0</v>
      </c>
      <c r="J23" s="11">
        <v>10700</v>
      </c>
      <c r="K23" s="9">
        <f>Water!E30+Water!G30+Water!I30</f>
        <v>253</v>
      </c>
      <c r="L23" s="10">
        <f>Water!K30/TOTAL!K23</f>
        <v>4000</v>
      </c>
      <c r="M23" s="9">
        <v>42</v>
      </c>
      <c r="N23" s="9">
        <v>260</v>
      </c>
    </row>
    <row r="24" spans="1:14">
      <c r="A24" s="6" t="s">
        <v>14</v>
      </c>
      <c r="B24" s="7">
        <f t="shared" si="0"/>
        <v>23</v>
      </c>
      <c r="C24" s="8">
        <v>8</v>
      </c>
      <c r="D24" s="7">
        <v>2022</v>
      </c>
      <c r="E24" s="9">
        <f>Electricity!F30+Electricity!I30</f>
        <v>10360.000000000015</v>
      </c>
      <c r="F24" s="10">
        <f>Electricity!L30/TOTAL!E24</f>
        <v>1239.101689189192</v>
      </c>
      <c r="G24" s="9">
        <f>Gas!F31+Gas!I31+Gas!L31+Gas!O31</f>
        <v>102.55288000000196</v>
      </c>
      <c r="H24" s="10">
        <f>Gas!Q31/TOTAL!G24</f>
        <v>15840</v>
      </c>
      <c r="I24" s="9">
        <f>'Fuel Diesel'!F31</f>
        <v>0</v>
      </c>
      <c r="J24" s="11">
        <v>10700</v>
      </c>
      <c r="K24" s="9">
        <f>Water!E31+Water!G31+Water!I31</f>
        <v>240</v>
      </c>
      <c r="L24" s="10">
        <f>Water!K31/TOTAL!K24</f>
        <v>4000</v>
      </c>
      <c r="M24" s="9">
        <v>40</v>
      </c>
      <c r="N24" s="9">
        <v>255</v>
      </c>
    </row>
    <row r="25" spans="1:14">
      <c r="A25" s="6" t="s">
        <v>14</v>
      </c>
      <c r="B25" s="7">
        <f t="shared" si="0"/>
        <v>24</v>
      </c>
      <c r="C25" s="8">
        <v>8</v>
      </c>
      <c r="D25" s="7">
        <v>2022</v>
      </c>
      <c r="E25" s="9">
        <f>Electricity!F31+Electricity!I31</f>
        <v>10240.000000000009</v>
      </c>
      <c r="F25" s="10">
        <f>Electricity!L31/TOTAL!E25</f>
        <v>1238.0494628906233</v>
      </c>
      <c r="G25" s="9">
        <f>Gas!F32+Gas!I32+Gas!L32+Gas!O32</f>
        <v>103.19736000000138</v>
      </c>
      <c r="H25" s="10">
        <f>Gas!Q32/TOTAL!G25</f>
        <v>15840</v>
      </c>
      <c r="I25" s="9">
        <f>'Fuel Diesel'!F32</f>
        <v>12</v>
      </c>
      <c r="J25" s="11">
        <v>10700</v>
      </c>
      <c r="K25" s="9">
        <f>Water!E32+Water!G32+Water!I32</f>
        <v>280</v>
      </c>
      <c r="L25" s="10">
        <f>Water!K32/TOTAL!K25</f>
        <v>4000</v>
      </c>
      <c r="M25" s="9">
        <v>44</v>
      </c>
      <c r="N25" s="9">
        <v>273</v>
      </c>
    </row>
    <row r="26" spans="1:14">
      <c r="A26" s="6" t="s">
        <v>14</v>
      </c>
      <c r="B26" s="7">
        <f>B25+1</f>
        <v>25</v>
      </c>
      <c r="C26" s="8">
        <v>8</v>
      </c>
      <c r="D26" s="7">
        <v>2022</v>
      </c>
      <c r="E26" s="9">
        <f>Electricity!F32+Electricity!I32</f>
        <v>10080.000000000155</v>
      </c>
      <c r="F26" s="10">
        <f>Electricity!L32/TOTAL!E26</f>
        <v>1235.1008432539695</v>
      </c>
      <c r="G26" s="9">
        <f>Gas!F33+Gas!I33+Gas!L33+Gas!O33</f>
        <v>114.07296000000156</v>
      </c>
      <c r="H26" s="10">
        <f>Gas!Q33/TOTAL!G26</f>
        <v>15840</v>
      </c>
      <c r="I26" s="9">
        <f>'Fuel Diesel'!F33</f>
        <v>1</v>
      </c>
      <c r="J26" s="11">
        <v>10700</v>
      </c>
      <c r="K26" s="9">
        <f>Water!E33+Water!G33+Water!I33</f>
        <v>214</v>
      </c>
      <c r="L26" s="10">
        <f>Water!K33/TOTAL!K26</f>
        <v>4000</v>
      </c>
      <c r="M26" s="9">
        <v>39</v>
      </c>
      <c r="N26" s="9">
        <v>207</v>
      </c>
    </row>
    <row r="27" spans="1:14">
      <c r="A27" s="6" t="s">
        <v>14</v>
      </c>
      <c r="B27" s="7">
        <f t="shared" si="0"/>
        <v>26</v>
      </c>
      <c r="C27" s="8">
        <v>8</v>
      </c>
      <c r="D27" s="7">
        <v>2022</v>
      </c>
      <c r="E27" s="9">
        <f>Electricity!F33+Electricity!I33</f>
        <v>10019.999999999754</v>
      </c>
      <c r="F27" s="10">
        <f>Electricity!L33/TOTAL!E27</f>
        <v>1240.2231037924162</v>
      </c>
      <c r="G27" s="9">
        <f>Gas!F34+Gas!I34+Gas!L34+Gas!O34</f>
        <v>166.973119999998</v>
      </c>
      <c r="H27" s="10">
        <f>Gas!Q34/TOTAL!G27</f>
        <v>15840.000000000002</v>
      </c>
      <c r="I27" s="9">
        <f>'Fuel Diesel'!F34</f>
        <v>92</v>
      </c>
      <c r="J27" s="11">
        <v>10700</v>
      </c>
      <c r="K27" s="9">
        <f>Water!E34+Water!G34+Water!I34</f>
        <v>196</v>
      </c>
      <c r="L27" s="10">
        <f>Water!K34/TOTAL!K27</f>
        <v>4000</v>
      </c>
      <c r="M27" s="9">
        <v>48</v>
      </c>
      <c r="N27" s="9">
        <v>253</v>
      </c>
    </row>
    <row r="28" spans="1:14">
      <c r="A28" s="6" t="s">
        <v>14</v>
      </c>
      <c r="B28" s="7">
        <f t="shared" si="0"/>
        <v>27</v>
      </c>
      <c r="C28" s="8">
        <v>8</v>
      </c>
      <c r="D28" s="7">
        <v>2022</v>
      </c>
      <c r="E28" s="9">
        <f>Electricity!F34+Electricity!I34</f>
        <v>10019.99999999964</v>
      </c>
      <c r="F28" s="10">
        <f>Electricity!L34/TOTAL!E28</f>
        <v>1233.4024451097823</v>
      </c>
      <c r="G28" s="9">
        <f>Gas!F35+Gas!I35+Gas!L35+Gas!O35</f>
        <v>101.46531999999655</v>
      </c>
      <c r="H28" s="10">
        <f>Gas!Q35/TOTAL!G28</f>
        <v>15840</v>
      </c>
      <c r="I28" s="9">
        <f>'Fuel Diesel'!F35</f>
        <v>0</v>
      </c>
      <c r="J28" s="11">
        <v>10700</v>
      </c>
      <c r="K28" s="9">
        <f>Water!E35+Water!G35+Water!I35</f>
        <v>186</v>
      </c>
      <c r="L28" s="10">
        <f>Water!K35/TOTAL!K28</f>
        <v>4000</v>
      </c>
      <c r="M28" s="9">
        <v>43</v>
      </c>
      <c r="N28" s="9">
        <v>254</v>
      </c>
    </row>
    <row r="29" spans="1:14">
      <c r="A29" s="6" t="s">
        <v>14</v>
      </c>
      <c r="B29" s="7">
        <f t="shared" si="0"/>
        <v>28</v>
      </c>
      <c r="C29" s="8">
        <v>8</v>
      </c>
      <c r="D29" s="7">
        <v>2022</v>
      </c>
      <c r="E29" s="9">
        <f>Electricity!F35+Electricity!I35</f>
        <v>9759.9999999999909</v>
      </c>
      <c r="F29" s="10">
        <f>Electricity!L35/TOTAL!E29</f>
        <v>1234.7488729508257</v>
      </c>
      <c r="G29" s="9">
        <f>Gas!F36+Gas!I36+Gas!L36+Gas!O36</f>
        <v>102.10980000000053</v>
      </c>
      <c r="H29" s="10">
        <f>Gas!Q36/TOTAL!G29</f>
        <v>15840</v>
      </c>
      <c r="I29" s="9">
        <f>'Fuel Diesel'!F36</f>
        <v>0</v>
      </c>
      <c r="J29" s="11">
        <v>10700</v>
      </c>
      <c r="K29" s="9">
        <f>Water!E36+Water!G36+Water!I36</f>
        <v>181</v>
      </c>
      <c r="L29" s="10">
        <f>Water!K36/TOTAL!K29</f>
        <v>4000</v>
      </c>
      <c r="M29" s="9">
        <v>43</v>
      </c>
      <c r="N29" s="9">
        <v>224</v>
      </c>
    </row>
    <row r="30" spans="1:14">
      <c r="A30" s="6" t="s">
        <v>14</v>
      </c>
      <c r="B30" s="7">
        <f t="shared" si="0"/>
        <v>29</v>
      </c>
      <c r="C30" s="8">
        <v>8</v>
      </c>
      <c r="D30" s="7">
        <v>2022</v>
      </c>
      <c r="E30" s="9">
        <f>Electricity!F36+Electricity!I36</f>
        <v>10220.000000000367</v>
      </c>
      <c r="F30" s="10">
        <f>Electricity!L36/TOTAL!E30</f>
        <v>1236.0141389432395</v>
      </c>
      <c r="G30" s="9">
        <f>Gas!F37+Gas!I37+Gas!L37+Gas!O37</f>
        <v>75.766680000005266</v>
      </c>
      <c r="H30" s="10">
        <f>Gas!Q37/TOTAL!G30</f>
        <v>15840.000000000002</v>
      </c>
      <c r="I30" s="9">
        <f>'Fuel Diesel'!F37</f>
        <v>0</v>
      </c>
      <c r="J30" s="11">
        <v>10700</v>
      </c>
      <c r="K30" s="9">
        <f>Water!E37+Water!G37+Water!I37</f>
        <v>190</v>
      </c>
      <c r="L30" s="10">
        <f>Water!K37/TOTAL!K30</f>
        <v>4000</v>
      </c>
      <c r="M30" s="9">
        <v>38</v>
      </c>
      <c r="N30" s="9">
        <v>191</v>
      </c>
    </row>
    <row r="31" spans="1:14">
      <c r="A31" s="6" t="s">
        <v>14</v>
      </c>
      <c r="B31" s="7">
        <v>30</v>
      </c>
      <c r="C31" s="8">
        <v>8</v>
      </c>
      <c r="D31" s="7">
        <v>2022</v>
      </c>
      <c r="E31" s="9">
        <f>Electricity!F37+Electricity!I37</f>
        <v>9960.0000000002638</v>
      </c>
      <c r="F31" s="10">
        <f>Electricity!L37/TOTAL!E31</f>
        <v>1233.9708333333353</v>
      </c>
      <c r="G31" s="9">
        <f>Gas!F38+Gas!I38+Gas!L38+Gas!O38</f>
        <v>154.27240000000072</v>
      </c>
      <c r="H31" s="10">
        <f>Gas!Q38/TOTAL!G31</f>
        <v>15840</v>
      </c>
      <c r="I31" s="9">
        <f>'Fuel Diesel'!F38</f>
        <v>35</v>
      </c>
      <c r="J31" s="11">
        <v>10700</v>
      </c>
      <c r="K31" s="9">
        <f>Water!E38+Water!G38+Water!I38</f>
        <v>177</v>
      </c>
      <c r="L31" s="10">
        <f>Water!K38/TOTAL!K31</f>
        <v>4000</v>
      </c>
      <c r="M31" s="9">
        <v>35</v>
      </c>
      <c r="N31" s="9">
        <v>183</v>
      </c>
    </row>
    <row r="32" spans="1:14">
      <c r="A32" s="6" t="s">
        <v>14</v>
      </c>
      <c r="B32" s="7">
        <v>31</v>
      </c>
      <c r="C32" s="8">
        <v>8</v>
      </c>
      <c r="D32" s="7">
        <v>2022</v>
      </c>
      <c r="E32" s="9">
        <f>Electricity!F38+Electricity!I38</f>
        <v>9560</v>
      </c>
      <c r="F32" s="10">
        <f>Electricity!L38/TOTAL!E32</f>
        <v>1235.5594665271969</v>
      </c>
      <c r="G32" s="9">
        <f>Gas!F39+Gas!I39+Gas!L39+Gas!O39</f>
        <v>92.64</v>
      </c>
      <c r="H32" s="10">
        <f>Gas!Q39/TOTAL!G32</f>
        <v>15839.999999999998</v>
      </c>
      <c r="I32" s="9">
        <f>'Fuel Diesel'!F39</f>
        <v>0</v>
      </c>
      <c r="J32" s="11">
        <v>10700</v>
      </c>
      <c r="K32" s="9">
        <f>Water!E39+Water!G39+Water!I39</f>
        <v>187</v>
      </c>
      <c r="L32" s="10">
        <f>Water!K39/TOTAL!K32</f>
        <v>4000</v>
      </c>
      <c r="M32" s="9">
        <v>26</v>
      </c>
      <c r="N32" s="9">
        <v>152</v>
      </c>
    </row>
    <row r="33" spans="5:14">
      <c r="E33" s="82">
        <f>SUM(E2:E32)</f>
        <v>315440.00000000052</v>
      </c>
      <c r="F33" s="82">
        <f>SUM(F2:F32)/31</f>
        <v>1237.5545877876496</v>
      </c>
      <c r="G33" s="82">
        <f>SUM(G2:G32)</f>
        <v>3645.5042000000049</v>
      </c>
      <c r="H33" s="92">
        <f>SUM(H2:H32)/31</f>
        <v>15840</v>
      </c>
      <c r="I33" s="82">
        <f>SUM(I2:I32)</f>
        <v>260</v>
      </c>
      <c r="J33" s="11">
        <v>10700</v>
      </c>
      <c r="K33" s="82">
        <f>SUM(K2:K32)</f>
        <v>6371</v>
      </c>
      <c r="L33" s="92">
        <f>SUM(L2:L32)/31</f>
        <v>4197.1662947067016</v>
      </c>
      <c r="M33" s="82">
        <f>SUM(M2:M32)</f>
        <v>1291</v>
      </c>
      <c r="N33" s="82">
        <f>SUM(N2:N32)</f>
        <v>7413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abSelected="1" topLeftCell="A26" workbookViewId="0">
      <selection activeCell="I33" sqref="I33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07" t="s">
        <v>15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2"/>
      <c r="N1" s="12"/>
    </row>
    <row r="2" spans="1:14" ht="15.95">
      <c r="B2" s="107" t="s">
        <v>16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8">
        <v>44743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6"/>
    </row>
    <row r="5" spans="1:14">
      <c r="A5" s="17"/>
      <c r="B5" s="106" t="s">
        <v>17</v>
      </c>
      <c r="C5" s="106" t="s">
        <v>18</v>
      </c>
      <c r="D5" s="106" t="s">
        <v>13</v>
      </c>
      <c r="E5" s="109" t="s">
        <v>19</v>
      </c>
      <c r="F5" s="109"/>
      <c r="G5" s="109"/>
      <c r="H5" s="110" t="s">
        <v>20</v>
      </c>
      <c r="I5" s="110"/>
      <c r="J5" s="110"/>
      <c r="K5" s="106" t="s">
        <v>21</v>
      </c>
      <c r="L5" s="106" t="s">
        <v>22</v>
      </c>
      <c r="M5" s="106" t="s">
        <v>23</v>
      </c>
      <c r="N5" s="18"/>
    </row>
    <row r="6" spans="1:14" s="19" customFormat="1">
      <c r="A6" s="17"/>
      <c r="B6" s="106"/>
      <c r="C6" s="106"/>
      <c r="D6" s="106"/>
      <c r="E6" s="106" t="s">
        <v>24</v>
      </c>
      <c r="F6" s="106" t="s">
        <v>25</v>
      </c>
      <c r="G6" s="106" t="s">
        <v>26</v>
      </c>
      <c r="H6" s="106" t="s">
        <v>24</v>
      </c>
      <c r="I6" s="106" t="s">
        <v>25</v>
      </c>
      <c r="J6" s="106" t="s">
        <v>27</v>
      </c>
      <c r="K6" s="106"/>
      <c r="L6" s="106"/>
      <c r="M6" s="106"/>
      <c r="N6" s="18"/>
    </row>
    <row r="7" spans="1:14">
      <c r="A7" s="20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21"/>
    </row>
    <row r="8" spans="1:14">
      <c r="A8" s="20"/>
      <c r="B8" s="22">
        <v>1</v>
      </c>
      <c r="C8" s="95">
        <v>38</v>
      </c>
      <c r="D8" s="105">
        <v>199</v>
      </c>
      <c r="E8" s="24">
        <v>4.3299999999999272</v>
      </c>
      <c r="F8" s="25">
        <f t="shared" ref="F8:F38" si="0">E8*2000</f>
        <v>8659.9999999998545</v>
      </c>
      <c r="G8" s="26">
        <f t="shared" ref="G8:G38" si="1">F8*1035.5</f>
        <v>8967429.9999998491</v>
      </c>
      <c r="H8" s="24">
        <v>0.88999999999998636</v>
      </c>
      <c r="I8" s="25">
        <f t="shared" ref="I8:I38" si="2">H8*2000</f>
        <v>1779.9999999999727</v>
      </c>
      <c r="J8" s="26">
        <f t="shared" ref="J8:J38" si="3">I8*1553.25</f>
        <v>2764784.9999999576</v>
      </c>
      <c r="K8" s="24">
        <f t="shared" ref="K8:K38" si="4">G8+J8</f>
        <v>11732214.999999806</v>
      </c>
      <c r="L8" s="27">
        <f t="shared" ref="L8:L38" si="5">K8*1.1</f>
        <v>12905436.499999788</v>
      </c>
      <c r="M8" s="28">
        <f>L8/14381</f>
        <v>897.39493081147259</v>
      </c>
      <c r="N8" s="29"/>
    </row>
    <row r="9" spans="1:14">
      <c r="A9" s="20"/>
      <c r="B9" s="22">
        <v>2</v>
      </c>
      <c r="C9" s="96">
        <v>39</v>
      </c>
      <c r="D9" s="99">
        <v>214</v>
      </c>
      <c r="E9" s="24">
        <v>4.3400000000001455</v>
      </c>
      <c r="F9" s="25">
        <f t="shared" si="0"/>
        <v>8680.000000000291</v>
      </c>
      <c r="G9" s="26">
        <f t="shared" si="1"/>
        <v>8988140.0000003017</v>
      </c>
      <c r="H9" s="24">
        <v>0.95000000000004547</v>
      </c>
      <c r="I9" s="25">
        <f t="shared" si="2"/>
        <v>1900.0000000000909</v>
      </c>
      <c r="J9" s="26">
        <f t="shared" si="3"/>
        <v>2951175.0000001411</v>
      </c>
      <c r="K9" s="24">
        <f t="shared" si="4"/>
        <v>11939315.000000443</v>
      </c>
      <c r="L9" s="27">
        <f t="shared" si="5"/>
        <v>13133246.500000488</v>
      </c>
      <c r="M9" s="28">
        <f t="shared" ref="M9:M38" si="6">L9/14381</f>
        <v>913.23597107297735</v>
      </c>
      <c r="N9" s="29"/>
    </row>
    <row r="10" spans="1:14">
      <c r="A10" s="20"/>
      <c r="B10" s="22">
        <v>3</v>
      </c>
      <c r="C10" s="95">
        <v>35</v>
      </c>
      <c r="D10" s="99">
        <v>243</v>
      </c>
      <c r="E10" s="24">
        <v>4.3699999999998909</v>
      </c>
      <c r="F10" s="25">
        <f t="shared" si="0"/>
        <v>8739.9999999997817</v>
      </c>
      <c r="G10" s="26">
        <f t="shared" si="1"/>
        <v>9050269.9999997746</v>
      </c>
      <c r="H10" s="24">
        <v>0.90999999999996817</v>
      </c>
      <c r="I10" s="25">
        <f t="shared" si="2"/>
        <v>1819.9999999999363</v>
      </c>
      <c r="J10" s="26">
        <f t="shared" si="3"/>
        <v>2826914.9999999013</v>
      </c>
      <c r="K10" s="24">
        <f t="shared" si="4"/>
        <v>11877184.999999676</v>
      </c>
      <c r="L10" s="27">
        <f t="shared" si="5"/>
        <v>13064903.499999644</v>
      </c>
      <c r="M10" s="28">
        <f t="shared" si="6"/>
        <v>908.48365899448186</v>
      </c>
      <c r="N10" s="29"/>
    </row>
    <row r="11" spans="1:14">
      <c r="A11" s="20"/>
      <c r="B11" s="22">
        <v>4</v>
      </c>
      <c r="C11" s="95">
        <v>42</v>
      </c>
      <c r="D11" s="99">
        <v>257</v>
      </c>
      <c r="E11" s="24">
        <v>4.2800000000002001</v>
      </c>
      <c r="F11" s="25">
        <f t="shared" si="0"/>
        <v>8560.0000000004002</v>
      </c>
      <c r="G11" s="26">
        <f t="shared" si="1"/>
        <v>8863880.0000004135</v>
      </c>
      <c r="H11" s="24">
        <v>0.91000000000002501</v>
      </c>
      <c r="I11" s="25">
        <f t="shared" si="2"/>
        <v>1820.00000000005</v>
      </c>
      <c r="J11" s="26">
        <f t="shared" si="3"/>
        <v>2826915.0000000778</v>
      </c>
      <c r="K11" s="24">
        <f t="shared" si="4"/>
        <v>11690795.000000492</v>
      </c>
      <c r="L11" s="27">
        <f t="shared" si="5"/>
        <v>12859874.500000542</v>
      </c>
      <c r="M11" s="28">
        <f t="shared" si="6"/>
        <v>894.22672275923389</v>
      </c>
      <c r="N11" s="29"/>
    </row>
    <row r="12" spans="1:14">
      <c r="A12" s="20"/>
      <c r="B12" s="22">
        <v>5</v>
      </c>
      <c r="C12" s="96">
        <v>37</v>
      </c>
      <c r="D12" s="99">
        <v>277</v>
      </c>
      <c r="E12" s="24">
        <v>4.3600000000001273</v>
      </c>
      <c r="F12" s="25">
        <f t="shared" si="0"/>
        <v>8720.0000000002547</v>
      </c>
      <c r="G12" s="26">
        <f t="shared" si="1"/>
        <v>9029560.0000002645</v>
      </c>
      <c r="H12" s="24">
        <v>0.93999999999999773</v>
      </c>
      <c r="I12" s="25">
        <f t="shared" si="2"/>
        <v>1879.9999999999955</v>
      </c>
      <c r="J12" s="26">
        <f t="shared" si="3"/>
        <v>2920109.999999993</v>
      </c>
      <c r="K12" s="24">
        <f t="shared" si="4"/>
        <v>11949670.000000257</v>
      </c>
      <c r="L12" s="27">
        <f t="shared" si="5"/>
        <v>13144637.000000283</v>
      </c>
      <c r="M12" s="28">
        <f t="shared" si="6"/>
        <v>914.028023086036</v>
      </c>
      <c r="N12" s="29"/>
    </row>
    <row r="13" spans="1:14">
      <c r="A13" s="20"/>
      <c r="B13" s="22">
        <v>6</v>
      </c>
      <c r="C13" s="95">
        <v>41</v>
      </c>
      <c r="D13" s="99">
        <v>246</v>
      </c>
      <c r="E13" s="24">
        <v>4.3099999999999454</v>
      </c>
      <c r="F13" s="25">
        <f t="shared" si="0"/>
        <v>8619.9999999998909</v>
      </c>
      <c r="G13" s="26">
        <f t="shared" si="1"/>
        <v>8926009.9999998864</v>
      </c>
      <c r="H13" s="24">
        <v>0.87999999999999545</v>
      </c>
      <c r="I13" s="25">
        <f t="shared" si="2"/>
        <v>1759.9999999999909</v>
      </c>
      <c r="J13" s="26">
        <f t="shared" si="3"/>
        <v>2733719.999999986</v>
      </c>
      <c r="K13" s="24">
        <f t="shared" si="4"/>
        <v>11659729.999999873</v>
      </c>
      <c r="L13" s="27">
        <f t="shared" si="5"/>
        <v>12825702.999999862</v>
      </c>
      <c r="M13" s="28">
        <f t="shared" si="6"/>
        <v>891.85056671996813</v>
      </c>
      <c r="N13" s="29"/>
    </row>
    <row r="14" spans="1:14">
      <c r="A14" s="20"/>
      <c r="B14" s="22">
        <v>7</v>
      </c>
      <c r="C14" s="96">
        <v>35</v>
      </c>
      <c r="D14" s="99">
        <v>220</v>
      </c>
      <c r="E14" s="24">
        <v>4.069999999999709</v>
      </c>
      <c r="F14" s="25">
        <f t="shared" si="0"/>
        <v>8139.9999999994179</v>
      </c>
      <c r="G14" s="26">
        <f t="shared" si="1"/>
        <v>8428969.9999993965</v>
      </c>
      <c r="H14" s="24">
        <v>0.88999999999998636</v>
      </c>
      <c r="I14" s="25">
        <f t="shared" si="2"/>
        <v>1779.9999999999727</v>
      </c>
      <c r="J14" s="26">
        <f t="shared" si="3"/>
        <v>2764784.9999999576</v>
      </c>
      <c r="K14" s="24">
        <f t="shared" si="4"/>
        <v>11193754.999999354</v>
      </c>
      <c r="L14" s="27">
        <f t="shared" si="5"/>
        <v>12313130.49999929</v>
      </c>
      <c r="M14" s="28">
        <f t="shared" si="6"/>
        <v>856.20822613165217</v>
      </c>
      <c r="N14" s="29"/>
    </row>
    <row r="15" spans="1:14">
      <c r="A15" s="20"/>
      <c r="B15" s="22">
        <v>8</v>
      </c>
      <c r="C15" s="95">
        <v>45</v>
      </c>
      <c r="D15" s="99">
        <v>257</v>
      </c>
      <c r="E15" s="24">
        <v>4.3800000000001091</v>
      </c>
      <c r="F15" s="25">
        <f t="shared" si="0"/>
        <v>8760.0000000002183</v>
      </c>
      <c r="G15" s="26">
        <f t="shared" si="1"/>
        <v>9070980.0000002254</v>
      </c>
      <c r="H15" s="24">
        <v>0.90000000000003411</v>
      </c>
      <c r="I15" s="25">
        <f t="shared" si="2"/>
        <v>1800.0000000000682</v>
      </c>
      <c r="J15" s="26">
        <f t="shared" si="3"/>
        <v>2795850.0000001062</v>
      </c>
      <c r="K15" s="24">
        <f t="shared" si="4"/>
        <v>11866830.000000332</v>
      </c>
      <c r="L15" s="27">
        <f t="shared" si="5"/>
        <v>13053513.000000365</v>
      </c>
      <c r="M15" s="28">
        <f t="shared" si="6"/>
        <v>907.69160698145924</v>
      </c>
      <c r="N15" s="29"/>
    </row>
    <row r="16" spans="1:14">
      <c r="A16" s="20"/>
      <c r="B16" s="22">
        <v>9</v>
      </c>
      <c r="C16" s="96">
        <v>43</v>
      </c>
      <c r="D16" s="99">
        <v>214</v>
      </c>
      <c r="E16" s="24">
        <v>4.2300000000000182</v>
      </c>
      <c r="F16" s="25">
        <f t="shared" si="0"/>
        <v>8460.0000000000364</v>
      </c>
      <c r="G16" s="26">
        <f t="shared" si="1"/>
        <v>8760330.0000000373</v>
      </c>
      <c r="H16" s="24">
        <v>0.91999999999995907</v>
      </c>
      <c r="I16" s="25">
        <f t="shared" si="2"/>
        <v>1839.9999999999181</v>
      </c>
      <c r="J16" s="26">
        <f t="shared" si="3"/>
        <v>2857979.9999998729</v>
      </c>
      <c r="K16" s="24">
        <f t="shared" si="4"/>
        <v>11618309.999999911</v>
      </c>
      <c r="L16" s="27">
        <f t="shared" si="5"/>
        <v>12780140.999999903</v>
      </c>
      <c r="M16" s="28">
        <f t="shared" si="6"/>
        <v>888.68235866767975</v>
      </c>
      <c r="N16" s="29"/>
    </row>
    <row r="17" spans="1:14">
      <c r="A17" s="20"/>
      <c r="B17" s="22">
        <v>10</v>
      </c>
      <c r="C17" s="95">
        <v>39</v>
      </c>
      <c r="D17" s="99">
        <v>251</v>
      </c>
      <c r="E17" s="24">
        <v>4.1100000000001273</v>
      </c>
      <c r="F17" s="25">
        <f t="shared" si="0"/>
        <v>8220.0000000002547</v>
      </c>
      <c r="G17" s="26">
        <f t="shared" si="1"/>
        <v>8511810.0000002645</v>
      </c>
      <c r="H17" s="24">
        <v>0.87000000000000455</v>
      </c>
      <c r="I17" s="25">
        <f t="shared" si="2"/>
        <v>1740.0000000000091</v>
      </c>
      <c r="J17" s="26">
        <f t="shared" si="3"/>
        <v>2702655.000000014</v>
      </c>
      <c r="K17" s="24">
        <f t="shared" si="4"/>
        <v>11214465.000000279</v>
      </c>
      <c r="L17" s="27">
        <f t="shared" si="5"/>
        <v>12335911.500000309</v>
      </c>
      <c r="M17" s="28">
        <f t="shared" si="6"/>
        <v>857.79233015786861</v>
      </c>
      <c r="N17" s="29"/>
    </row>
    <row r="18" spans="1:14">
      <c r="A18" s="20"/>
      <c r="B18" s="22">
        <v>11</v>
      </c>
      <c r="C18" s="96">
        <v>45</v>
      </c>
      <c r="D18" s="99">
        <v>266</v>
      </c>
      <c r="E18" s="24">
        <v>4.0900000000001455</v>
      </c>
      <c r="F18" s="25">
        <f t="shared" si="0"/>
        <v>8180.000000000291</v>
      </c>
      <c r="G18" s="26">
        <f t="shared" si="1"/>
        <v>8470390.0000003017</v>
      </c>
      <c r="H18" s="24">
        <v>0.84000000000003183</v>
      </c>
      <c r="I18" s="25">
        <f t="shared" si="2"/>
        <v>1680.0000000000637</v>
      </c>
      <c r="J18" s="26">
        <f t="shared" si="3"/>
        <v>2609460.0000000987</v>
      </c>
      <c r="K18" s="24">
        <f t="shared" si="4"/>
        <v>11079850.0000004</v>
      </c>
      <c r="L18" s="27">
        <f t="shared" si="5"/>
        <v>12187835.000000441</v>
      </c>
      <c r="M18" s="28">
        <f t="shared" si="6"/>
        <v>847.49565398793141</v>
      </c>
      <c r="N18" s="29"/>
    </row>
    <row r="19" spans="1:14">
      <c r="A19" s="20"/>
      <c r="B19" s="22">
        <v>12</v>
      </c>
      <c r="C19" s="97">
        <v>45</v>
      </c>
      <c r="D19" s="99">
        <v>251</v>
      </c>
      <c r="E19" s="24">
        <v>4.2399999999997817</v>
      </c>
      <c r="F19" s="25">
        <f t="shared" si="0"/>
        <v>8479.9999999995634</v>
      </c>
      <c r="G19" s="26">
        <f t="shared" si="1"/>
        <v>8781039.9999995474</v>
      </c>
      <c r="H19" s="24">
        <v>0.89999999999997726</v>
      </c>
      <c r="I19" s="25">
        <f t="shared" si="2"/>
        <v>1799.9999999999545</v>
      </c>
      <c r="J19" s="26">
        <f t="shared" si="3"/>
        <v>2795849.9999999292</v>
      </c>
      <c r="K19" s="24">
        <f t="shared" si="4"/>
        <v>11576889.999999477</v>
      </c>
      <c r="L19" s="27">
        <f t="shared" si="5"/>
        <v>12734578.999999424</v>
      </c>
      <c r="M19" s="28">
        <f t="shared" si="6"/>
        <v>885.51415061535533</v>
      </c>
      <c r="N19" s="29"/>
    </row>
    <row r="20" spans="1:14">
      <c r="A20" s="20"/>
      <c r="B20" s="22">
        <v>13</v>
      </c>
      <c r="C20" s="98">
        <v>49</v>
      </c>
      <c r="D20" s="99">
        <v>233</v>
      </c>
      <c r="E20" s="24">
        <v>4.1399999999998727</v>
      </c>
      <c r="F20" s="25">
        <f t="shared" si="0"/>
        <v>8279.9999999997453</v>
      </c>
      <c r="G20" s="26">
        <f t="shared" si="1"/>
        <v>8573939.9999997355</v>
      </c>
      <c r="H20" s="24">
        <v>0.93000000000000682</v>
      </c>
      <c r="I20" s="25">
        <f t="shared" si="2"/>
        <v>1860.0000000000136</v>
      </c>
      <c r="J20" s="26">
        <f t="shared" si="3"/>
        <v>2889045.0000000214</v>
      </c>
      <c r="K20" s="24">
        <f t="shared" si="4"/>
        <v>11462984.999999758</v>
      </c>
      <c r="L20" s="27">
        <f t="shared" si="5"/>
        <v>12609283.499999736</v>
      </c>
      <c r="M20" s="28">
        <f t="shared" si="6"/>
        <v>876.80157847157602</v>
      </c>
      <c r="N20" s="29"/>
    </row>
    <row r="21" spans="1:14">
      <c r="A21" s="20"/>
      <c r="B21" s="22">
        <v>14</v>
      </c>
      <c r="C21" s="98">
        <v>43</v>
      </c>
      <c r="D21" s="99">
        <v>259</v>
      </c>
      <c r="E21" s="24">
        <v>4.0300000000002001</v>
      </c>
      <c r="F21" s="25">
        <f t="shared" si="0"/>
        <v>8060.0000000004002</v>
      </c>
      <c r="G21" s="26">
        <f t="shared" si="1"/>
        <v>8346130.0000004144</v>
      </c>
      <c r="H21" s="24">
        <v>0.83999999999997499</v>
      </c>
      <c r="I21" s="25">
        <f t="shared" si="2"/>
        <v>1679.99999999995</v>
      </c>
      <c r="J21" s="26">
        <f t="shared" si="3"/>
        <v>2609459.9999999222</v>
      </c>
      <c r="K21" s="24">
        <f t="shared" si="4"/>
        <v>10955590.000000337</v>
      </c>
      <c r="L21" s="27">
        <f t="shared" si="5"/>
        <v>12051149.000000373</v>
      </c>
      <c r="M21" s="28">
        <f t="shared" si="6"/>
        <v>837.99102983105297</v>
      </c>
      <c r="N21" s="29"/>
    </row>
    <row r="22" spans="1:14">
      <c r="A22" s="20"/>
      <c r="B22" s="22">
        <v>15</v>
      </c>
      <c r="C22" s="95">
        <v>43</v>
      </c>
      <c r="D22" s="99">
        <v>222</v>
      </c>
      <c r="E22" s="24">
        <v>4.5</v>
      </c>
      <c r="F22" s="25">
        <f t="shared" si="0"/>
        <v>9000</v>
      </c>
      <c r="G22" s="26">
        <f t="shared" si="1"/>
        <v>9319500</v>
      </c>
      <c r="H22" s="24">
        <v>0.8900000000000432</v>
      </c>
      <c r="I22" s="25">
        <f t="shared" si="2"/>
        <v>1780.0000000000864</v>
      </c>
      <c r="J22" s="26">
        <f t="shared" si="3"/>
        <v>2764785.0000001341</v>
      </c>
      <c r="K22" s="24">
        <f t="shared" si="4"/>
        <v>12084285.000000134</v>
      </c>
      <c r="L22" s="27">
        <f t="shared" si="5"/>
        <v>13292713.500000149</v>
      </c>
      <c r="M22" s="28">
        <f t="shared" si="6"/>
        <v>924.32469925597309</v>
      </c>
      <c r="N22" s="29"/>
    </row>
    <row r="23" spans="1:14">
      <c r="A23" s="20"/>
      <c r="B23" s="22">
        <v>16</v>
      </c>
      <c r="C23" s="95">
        <v>44</v>
      </c>
      <c r="D23" s="99">
        <v>235</v>
      </c>
      <c r="E23" s="24">
        <v>4.0299999999997453</v>
      </c>
      <c r="F23" s="25">
        <f t="shared" si="0"/>
        <v>8059.9999999994907</v>
      </c>
      <c r="G23" s="26">
        <f t="shared" si="1"/>
        <v>8346129.9999994729</v>
      </c>
      <c r="H23" s="24">
        <v>0.8699999999999477</v>
      </c>
      <c r="I23" s="25">
        <f t="shared" si="2"/>
        <v>1739.9999999998954</v>
      </c>
      <c r="J23" s="26">
        <f t="shared" si="3"/>
        <v>2702654.9999998375</v>
      </c>
      <c r="K23" s="24">
        <f t="shared" si="4"/>
        <v>11048784.999999311</v>
      </c>
      <c r="L23" s="27">
        <f t="shared" si="5"/>
        <v>12153663.499999244</v>
      </c>
      <c r="M23" s="28">
        <f t="shared" si="6"/>
        <v>845.11949794862971</v>
      </c>
      <c r="N23" s="29"/>
    </row>
    <row r="24" spans="1:14">
      <c r="A24" s="20"/>
      <c r="B24" s="22">
        <v>17</v>
      </c>
      <c r="C24" s="95">
        <v>45</v>
      </c>
      <c r="D24" s="99">
        <v>236</v>
      </c>
      <c r="E24" s="24">
        <v>4.2100000000000364</v>
      </c>
      <c r="F24" s="25">
        <f t="shared" si="0"/>
        <v>8420.0000000000728</v>
      </c>
      <c r="G24" s="26">
        <f t="shared" si="1"/>
        <v>8718910.0000000745</v>
      </c>
      <c r="H24" s="24">
        <v>0.90000000000003411</v>
      </c>
      <c r="I24" s="25">
        <f t="shared" si="2"/>
        <v>1800.0000000000682</v>
      </c>
      <c r="J24" s="26">
        <f t="shared" si="3"/>
        <v>2795850.0000001062</v>
      </c>
      <c r="K24" s="24">
        <f t="shared" si="4"/>
        <v>11514760.000000181</v>
      </c>
      <c r="L24" s="27">
        <f t="shared" si="5"/>
        <v>12666236.000000199</v>
      </c>
      <c r="M24" s="28">
        <f t="shared" si="6"/>
        <v>880.76183853697239</v>
      </c>
      <c r="N24" s="29"/>
    </row>
    <row r="25" spans="1:14">
      <c r="A25" s="20"/>
      <c r="B25" s="22">
        <v>18</v>
      </c>
      <c r="C25" s="96">
        <v>48</v>
      </c>
      <c r="D25" s="99">
        <v>259</v>
      </c>
      <c r="E25" s="24">
        <v>4.1300000000001091</v>
      </c>
      <c r="F25" s="25">
        <f t="shared" si="0"/>
        <v>8260.0000000002183</v>
      </c>
      <c r="G25" s="26">
        <f t="shared" si="1"/>
        <v>8553230.0000002254</v>
      </c>
      <c r="H25" s="24">
        <v>0.87999999999999545</v>
      </c>
      <c r="I25" s="25">
        <f t="shared" si="2"/>
        <v>1759.9999999999909</v>
      </c>
      <c r="J25" s="26">
        <f t="shared" si="3"/>
        <v>2733719.999999986</v>
      </c>
      <c r="K25" s="24">
        <f t="shared" si="4"/>
        <v>11286950.000000212</v>
      </c>
      <c r="L25" s="27">
        <f t="shared" si="5"/>
        <v>12415645.000000235</v>
      </c>
      <c r="M25" s="28">
        <f t="shared" si="6"/>
        <v>863.33669424937307</v>
      </c>
      <c r="N25" s="29"/>
    </row>
    <row r="26" spans="1:14">
      <c r="A26" s="20"/>
      <c r="B26" s="22">
        <v>19</v>
      </c>
      <c r="C26" s="95">
        <v>48</v>
      </c>
      <c r="D26" s="99">
        <v>282</v>
      </c>
      <c r="E26" s="24">
        <v>4.3299999999999272</v>
      </c>
      <c r="F26" s="25">
        <f t="shared" si="0"/>
        <v>8659.9999999998545</v>
      </c>
      <c r="G26" s="26">
        <f t="shared" si="1"/>
        <v>8967429.9999998491</v>
      </c>
      <c r="H26" s="24">
        <v>0.87000000000000455</v>
      </c>
      <c r="I26" s="25">
        <f t="shared" si="2"/>
        <v>1740.0000000000091</v>
      </c>
      <c r="J26" s="26">
        <f t="shared" si="3"/>
        <v>2702655.000000014</v>
      </c>
      <c r="K26" s="24">
        <f t="shared" si="4"/>
        <v>11670084.999999862</v>
      </c>
      <c r="L26" s="27">
        <f t="shared" si="5"/>
        <v>12837093.499999849</v>
      </c>
      <c r="M26" s="28">
        <f t="shared" si="6"/>
        <v>892.64261873304008</v>
      </c>
      <c r="N26" s="29"/>
    </row>
    <row r="27" spans="1:14">
      <c r="A27" s="20"/>
      <c r="B27" s="22">
        <v>20</v>
      </c>
      <c r="C27" s="96">
        <v>45</v>
      </c>
      <c r="D27" s="99">
        <v>285</v>
      </c>
      <c r="E27" s="24">
        <v>4.2300000000000182</v>
      </c>
      <c r="F27" s="25">
        <f t="shared" si="0"/>
        <v>8460.0000000000364</v>
      </c>
      <c r="G27" s="26">
        <f t="shared" si="1"/>
        <v>8760330.0000000373</v>
      </c>
      <c r="H27" s="24">
        <v>0.88999999999998636</v>
      </c>
      <c r="I27" s="25">
        <f t="shared" si="2"/>
        <v>1779.9999999999727</v>
      </c>
      <c r="J27" s="26">
        <f t="shared" si="3"/>
        <v>2764784.9999999576</v>
      </c>
      <c r="K27" s="24">
        <f t="shared" si="4"/>
        <v>11525114.999999994</v>
      </c>
      <c r="L27" s="27">
        <f t="shared" si="5"/>
        <v>12677626.499999994</v>
      </c>
      <c r="M27" s="28">
        <f t="shared" si="6"/>
        <v>881.55389055003093</v>
      </c>
      <c r="N27" s="29"/>
    </row>
    <row r="28" spans="1:14">
      <c r="A28" s="20"/>
      <c r="B28" s="22">
        <v>21</v>
      </c>
      <c r="C28" s="95">
        <v>44</v>
      </c>
      <c r="D28" s="99">
        <v>255</v>
      </c>
      <c r="E28" s="24">
        <v>4.0999999999999091</v>
      </c>
      <c r="F28" s="25">
        <f t="shared" si="0"/>
        <v>8199.9999999998181</v>
      </c>
      <c r="G28" s="26">
        <f t="shared" si="1"/>
        <v>8491099.9999998119</v>
      </c>
      <c r="H28" s="24">
        <v>0.84000000000003183</v>
      </c>
      <c r="I28" s="25">
        <f t="shared" si="2"/>
        <v>1680.0000000000637</v>
      </c>
      <c r="J28" s="26">
        <f t="shared" si="3"/>
        <v>2609460.0000000987</v>
      </c>
      <c r="K28" s="24">
        <f t="shared" si="4"/>
        <v>11100559.999999911</v>
      </c>
      <c r="L28" s="27">
        <f t="shared" si="5"/>
        <v>12210615.999999903</v>
      </c>
      <c r="M28" s="28">
        <f t="shared" si="6"/>
        <v>849.07975801403961</v>
      </c>
      <c r="N28" s="29"/>
    </row>
    <row r="29" spans="1:14">
      <c r="A29" s="20"/>
      <c r="B29" s="22">
        <v>22</v>
      </c>
      <c r="C29" s="96">
        <v>42</v>
      </c>
      <c r="D29" s="99">
        <v>260</v>
      </c>
      <c r="E29" s="24">
        <v>4.2200000000002547</v>
      </c>
      <c r="F29" s="25">
        <f t="shared" si="0"/>
        <v>8440.0000000005093</v>
      </c>
      <c r="G29" s="26">
        <f t="shared" si="1"/>
        <v>8739620.0000005271</v>
      </c>
      <c r="H29" s="24">
        <v>0.8699999999999477</v>
      </c>
      <c r="I29" s="25">
        <f t="shared" si="2"/>
        <v>1739.9999999998954</v>
      </c>
      <c r="J29" s="26">
        <f t="shared" si="3"/>
        <v>2702654.9999998375</v>
      </c>
      <c r="K29" s="24">
        <f t="shared" si="4"/>
        <v>11442275.000000365</v>
      </c>
      <c r="L29" s="27">
        <f t="shared" si="5"/>
        <v>12586502.500000402</v>
      </c>
      <c r="M29" s="28">
        <f t="shared" si="6"/>
        <v>875.2174744454768</v>
      </c>
      <c r="N29" s="29"/>
    </row>
    <row r="30" spans="1:14">
      <c r="A30" s="20"/>
      <c r="B30" s="22">
        <v>23</v>
      </c>
      <c r="C30" s="95">
        <v>40</v>
      </c>
      <c r="D30" s="99">
        <v>255</v>
      </c>
      <c r="E30" s="24">
        <v>4.2699999999999818</v>
      </c>
      <c r="F30" s="25">
        <f t="shared" si="0"/>
        <v>8539.9999999999636</v>
      </c>
      <c r="G30" s="26">
        <f>F30*1035.5</f>
        <v>8843169.9999999627</v>
      </c>
      <c r="H30" s="24">
        <v>0.91000000000002501</v>
      </c>
      <c r="I30" s="25">
        <f t="shared" si="2"/>
        <v>1820.00000000005</v>
      </c>
      <c r="J30" s="26">
        <f t="shared" si="3"/>
        <v>2826915.0000000778</v>
      </c>
      <c r="K30" s="24">
        <f t="shared" si="4"/>
        <v>11670085.000000041</v>
      </c>
      <c r="L30" s="27">
        <f t="shared" si="5"/>
        <v>12837093.500000047</v>
      </c>
      <c r="M30" s="28">
        <f t="shared" si="6"/>
        <v>892.64261873305384</v>
      </c>
      <c r="N30" s="29"/>
    </row>
    <row r="31" spans="1:14">
      <c r="A31" s="20"/>
      <c r="B31" s="22">
        <v>24</v>
      </c>
      <c r="C31" s="96">
        <v>44</v>
      </c>
      <c r="D31" s="99">
        <v>273</v>
      </c>
      <c r="E31" s="24">
        <v>4.2300000000000182</v>
      </c>
      <c r="F31" s="25">
        <f t="shared" si="0"/>
        <v>8460.0000000000364</v>
      </c>
      <c r="G31" s="26">
        <f t="shared" si="1"/>
        <v>8760330.0000000373</v>
      </c>
      <c r="H31" s="24">
        <v>0.88999999999998636</v>
      </c>
      <c r="I31" s="25">
        <f t="shared" si="2"/>
        <v>1779.9999999999727</v>
      </c>
      <c r="J31" s="26">
        <f t="shared" si="3"/>
        <v>2764784.9999999576</v>
      </c>
      <c r="K31" s="24">
        <f t="shared" si="4"/>
        <v>11525114.999999994</v>
      </c>
      <c r="L31" s="27">
        <f t="shared" si="5"/>
        <v>12677626.499999994</v>
      </c>
      <c r="M31" s="28">
        <f t="shared" si="6"/>
        <v>881.55389055003093</v>
      </c>
      <c r="N31" s="29"/>
    </row>
    <row r="32" spans="1:14">
      <c r="A32" s="20"/>
      <c r="B32" s="22">
        <v>25</v>
      </c>
      <c r="C32" s="95">
        <v>39</v>
      </c>
      <c r="D32" s="99">
        <v>207</v>
      </c>
      <c r="E32" s="24">
        <v>4.1900000000000546</v>
      </c>
      <c r="F32" s="25">
        <f t="shared" si="0"/>
        <v>8380.0000000001091</v>
      </c>
      <c r="G32" s="26">
        <f t="shared" si="1"/>
        <v>8677490.0000001136</v>
      </c>
      <c r="H32" s="24">
        <v>0.85000000000002274</v>
      </c>
      <c r="I32" s="25">
        <f t="shared" si="2"/>
        <v>1700.0000000000455</v>
      </c>
      <c r="J32" s="26">
        <f t="shared" si="3"/>
        <v>2640525.0000000708</v>
      </c>
      <c r="K32" s="24">
        <f t="shared" si="4"/>
        <v>11318015.000000184</v>
      </c>
      <c r="L32" s="27">
        <f t="shared" si="5"/>
        <v>12449816.500000203</v>
      </c>
      <c r="M32" s="28">
        <f t="shared" si="6"/>
        <v>865.71285028858927</v>
      </c>
      <c r="N32" s="29"/>
    </row>
    <row r="33" spans="1:16">
      <c r="A33" s="20"/>
      <c r="B33" s="22">
        <v>26</v>
      </c>
      <c r="C33" s="95">
        <v>48</v>
      </c>
      <c r="D33" s="99">
        <v>253</v>
      </c>
      <c r="E33" s="24">
        <v>4.1199999999998909</v>
      </c>
      <c r="F33" s="25">
        <f t="shared" si="0"/>
        <v>8239.9999999997817</v>
      </c>
      <c r="G33" s="26">
        <f t="shared" si="1"/>
        <v>8532519.9999997746</v>
      </c>
      <c r="H33" s="24">
        <v>0.88999999999998636</v>
      </c>
      <c r="I33" s="25">
        <f t="shared" si="2"/>
        <v>1779.9999999999727</v>
      </c>
      <c r="J33" s="26">
        <f t="shared" si="3"/>
        <v>2764784.9999999576</v>
      </c>
      <c r="K33" s="24">
        <f t="shared" si="4"/>
        <v>11297304.999999732</v>
      </c>
      <c r="L33" s="27">
        <f t="shared" si="5"/>
        <v>12427035.499999706</v>
      </c>
      <c r="M33" s="28">
        <f t="shared" si="6"/>
        <v>864.12874626240909</v>
      </c>
      <c r="N33" s="29"/>
    </row>
    <row r="34" spans="1:16">
      <c r="A34" s="20"/>
      <c r="B34" s="22">
        <v>27</v>
      </c>
      <c r="C34" s="95">
        <v>43</v>
      </c>
      <c r="D34" s="99">
        <v>254</v>
      </c>
      <c r="E34" s="24">
        <v>4.1799999999998363</v>
      </c>
      <c r="F34" s="25">
        <f t="shared" si="0"/>
        <v>8359.9999999996726</v>
      </c>
      <c r="G34" s="26">
        <f t="shared" si="1"/>
        <v>8656779.999999661</v>
      </c>
      <c r="H34" s="24">
        <v>0.82999999999998408</v>
      </c>
      <c r="I34" s="25">
        <f t="shared" si="2"/>
        <v>1659.9999999999682</v>
      </c>
      <c r="J34" s="26">
        <f t="shared" si="3"/>
        <v>2578394.9999999506</v>
      </c>
      <c r="K34" s="24">
        <f t="shared" si="4"/>
        <v>11235174.999999613</v>
      </c>
      <c r="L34" s="27">
        <f t="shared" si="5"/>
        <v>12358692.499999575</v>
      </c>
      <c r="M34" s="28">
        <f t="shared" si="6"/>
        <v>859.37643418396328</v>
      </c>
      <c r="N34" s="29"/>
    </row>
    <row r="35" spans="1:16">
      <c r="A35" s="20"/>
      <c r="B35" s="22">
        <v>28</v>
      </c>
      <c r="C35" s="95">
        <v>43</v>
      </c>
      <c r="D35" s="99">
        <v>224</v>
      </c>
      <c r="E35" s="24">
        <v>4.0599999999999454</v>
      </c>
      <c r="F35" s="25">
        <f t="shared" si="0"/>
        <v>8119.9999999998909</v>
      </c>
      <c r="G35" s="26">
        <f t="shared" si="1"/>
        <v>8408259.9999998864</v>
      </c>
      <c r="H35" s="24">
        <v>0.82000000000005002</v>
      </c>
      <c r="I35" s="25">
        <f t="shared" si="2"/>
        <v>1640.0000000001</v>
      </c>
      <c r="J35" s="26">
        <f t="shared" si="3"/>
        <v>2547330.0000001555</v>
      </c>
      <c r="K35" s="24">
        <f t="shared" si="4"/>
        <v>10955590.000000041</v>
      </c>
      <c r="L35" s="27">
        <f t="shared" si="5"/>
        <v>12051149.000000047</v>
      </c>
      <c r="M35" s="28">
        <f t="shared" si="6"/>
        <v>837.99102983103023</v>
      </c>
      <c r="N35" s="29"/>
    </row>
    <row r="36" spans="1:16">
      <c r="A36" s="20"/>
      <c r="B36" s="22">
        <v>29</v>
      </c>
      <c r="C36" s="95">
        <v>38</v>
      </c>
      <c r="D36" s="99">
        <v>191</v>
      </c>
      <c r="E36" s="24">
        <v>4.2400000000002365</v>
      </c>
      <c r="F36" s="25">
        <f t="shared" si="0"/>
        <v>8480.0000000004729</v>
      </c>
      <c r="G36" s="26">
        <f t="shared" si="1"/>
        <v>8781040.0000004899</v>
      </c>
      <c r="H36" s="24">
        <v>0.8699999999999477</v>
      </c>
      <c r="I36" s="25">
        <f t="shared" si="2"/>
        <v>1739.9999999998954</v>
      </c>
      <c r="J36" s="26">
        <f t="shared" si="3"/>
        <v>2702654.9999998375</v>
      </c>
      <c r="K36" s="24">
        <f t="shared" si="4"/>
        <v>11483695.000000328</v>
      </c>
      <c r="L36" s="27">
        <f t="shared" si="5"/>
        <v>12632064.500000361</v>
      </c>
      <c r="M36" s="28">
        <f t="shared" si="6"/>
        <v>878.38568249776517</v>
      </c>
      <c r="N36" s="29"/>
    </row>
    <row r="37" spans="1:16">
      <c r="A37" s="20"/>
      <c r="B37" s="22">
        <v>30</v>
      </c>
      <c r="C37" s="95">
        <v>35</v>
      </c>
      <c r="D37" s="99">
        <v>183</v>
      </c>
      <c r="E37" s="24">
        <v>4.1500000000000909</v>
      </c>
      <c r="F37" s="25">
        <f t="shared" si="0"/>
        <v>8300.0000000001819</v>
      </c>
      <c r="G37" s="26">
        <f>F37*1035.5</f>
        <v>8594650.0000001881</v>
      </c>
      <c r="H37" s="24">
        <v>0.83000000000004093</v>
      </c>
      <c r="I37" s="25">
        <f t="shared" si="2"/>
        <v>1660.0000000000819</v>
      </c>
      <c r="J37" s="26">
        <f t="shared" si="3"/>
        <v>2578395.0000001271</v>
      </c>
      <c r="K37" s="24">
        <f t="shared" si="4"/>
        <v>11173045.000000315</v>
      </c>
      <c r="L37" s="27">
        <f t="shared" si="5"/>
        <v>12290349.500000346</v>
      </c>
      <c r="M37" s="28">
        <f t="shared" si="6"/>
        <v>854.62412210558</v>
      </c>
      <c r="N37" s="29"/>
    </row>
    <row r="38" spans="1:16">
      <c r="A38" s="20"/>
      <c r="B38" s="22">
        <v>31</v>
      </c>
      <c r="C38" s="95">
        <v>26</v>
      </c>
      <c r="D38" s="99">
        <v>152</v>
      </c>
      <c r="E38" s="24">
        <v>3.97</v>
      </c>
      <c r="F38" s="25">
        <f t="shared" si="0"/>
        <v>7940</v>
      </c>
      <c r="G38" s="26">
        <f t="shared" si="1"/>
        <v>8221870</v>
      </c>
      <c r="H38" s="24">
        <v>0.81</v>
      </c>
      <c r="I38" s="25">
        <f t="shared" si="2"/>
        <v>1620</v>
      </c>
      <c r="J38" s="26">
        <f t="shared" si="3"/>
        <v>2516265</v>
      </c>
      <c r="K38" s="24">
        <f t="shared" si="4"/>
        <v>10738135</v>
      </c>
      <c r="L38" s="27">
        <f t="shared" si="5"/>
        <v>11811948.500000002</v>
      </c>
      <c r="M38" s="28">
        <f t="shared" si="6"/>
        <v>821.35793755649831</v>
      </c>
      <c r="N38" s="29"/>
    </row>
    <row r="39" spans="1:16">
      <c r="C39" s="30">
        <f>SUM(C8:C38)</f>
        <v>1291</v>
      </c>
      <c r="D39" s="30">
        <f>SUM(D8:D38)</f>
        <v>7413</v>
      </c>
      <c r="E39" s="31">
        <v>3.2799999999999727</v>
      </c>
      <c r="F39" s="30">
        <f>SUM(F8:F38)</f>
        <v>260880.00000000049</v>
      </c>
      <c r="I39" s="30">
        <f>SUM(I8:I38)</f>
        <v>54560.000000000058</v>
      </c>
      <c r="L39" s="32">
        <f>SUM(L8:L38)</f>
        <v>390375216.00000077</v>
      </c>
      <c r="M39" s="33">
        <f>SUM(M8:M38)</f>
        <v>27145.206592031205</v>
      </c>
      <c r="N39" s="34"/>
      <c r="P39" s="35"/>
    </row>
    <row r="41" spans="1:16">
      <c r="G41" s="85" t="s">
        <v>28</v>
      </c>
      <c r="H41" s="86"/>
      <c r="I41" s="87">
        <f>F39+I39</f>
        <v>315440.00000000058</v>
      </c>
      <c r="M41" s="36"/>
      <c r="P41" s="37"/>
    </row>
    <row r="42" spans="1:16">
      <c r="M42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11" workbookViewId="0">
      <selection activeCell="J43" sqref="J43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07" t="s">
        <v>29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21" ht="15.95">
      <c r="B2" s="107" t="s">
        <v>16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11">
        <v>44743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6"/>
    </row>
    <row r="5" spans="1:21">
      <c r="A5" s="17"/>
      <c r="B5" s="106" t="s">
        <v>17</v>
      </c>
      <c r="C5" s="106" t="s">
        <v>18</v>
      </c>
      <c r="D5" s="106" t="s">
        <v>13</v>
      </c>
      <c r="E5" s="112" t="s">
        <v>30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 t="s">
        <v>31</v>
      </c>
      <c r="R5" s="113"/>
      <c r="S5" s="18"/>
    </row>
    <row r="6" spans="1:21" s="19" customFormat="1">
      <c r="A6" s="17"/>
      <c r="B6" s="106"/>
      <c r="C6" s="106"/>
      <c r="D6" s="106"/>
      <c r="E6" s="112" t="s">
        <v>32</v>
      </c>
      <c r="F6" s="112"/>
      <c r="G6" s="112"/>
      <c r="H6" s="112" t="s">
        <v>33</v>
      </c>
      <c r="I6" s="112"/>
      <c r="J6" s="112"/>
      <c r="K6" s="112" t="s">
        <v>34</v>
      </c>
      <c r="L6" s="112"/>
      <c r="M6" s="112"/>
      <c r="N6" s="114" t="s">
        <v>35</v>
      </c>
      <c r="O6" s="114"/>
      <c r="P6" s="114"/>
      <c r="Q6" s="113"/>
      <c r="R6" s="113"/>
      <c r="S6" s="18"/>
    </row>
    <row r="7" spans="1:21" ht="24">
      <c r="A7" s="20"/>
      <c r="B7" s="106"/>
      <c r="C7" s="106"/>
      <c r="D7" s="106"/>
      <c r="E7" s="106" t="s">
        <v>36</v>
      </c>
      <c r="F7" s="115" t="s">
        <v>37</v>
      </c>
      <c r="G7" s="43" t="s">
        <v>38</v>
      </c>
      <c r="H7" s="106" t="s">
        <v>39</v>
      </c>
      <c r="I7" s="106" t="s">
        <v>37</v>
      </c>
      <c r="J7" s="43" t="s">
        <v>38</v>
      </c>
      <c r="K7" s="106" t="s">
        <v>36</v>
      </c>
      <c r="L7" s="106" t="s">
        <v>37</v>
      </c>
      <c r="M7" s="43" t="s">
        <v>40</v>
      </c>
      <c r="N7" s="106" t="s">
        <v>41</v>
      </c>
      <c r="O7" s="106" t="s">
        <v>37</v>
      </c>
      <c r="P7" s="43" t="s">
        <v>40</v>
      </c>
      <c r="Q7" s="113"/>
      <c r="R7" s="113"/>
      <c r="S7" s="21"/>
    </row>
    <row r="8" spans="1:21">
      <c r="A8" s="20"/>
      <c r="B8" s="106"/>
      <c r="C8" s="106"/>
      <c r="D8" s="106"/>
      <c r="E8" s="106"/>
      <c r="F8" s="116"/>
      <c r="G8" s="44">
        <v>15840</v>
      </c>
      <c r="H8" s="106"/>
      <c r="I8" s="106"/>
      <c r="J8" s="44">
        <f>G8</f>
        <v>15840</v>
      </c>
      <c r="K8" s="106"/>
      <c r="L8" s="106"/>
      <c r="M8" s="44">
        <f>J8</f>
        <v>15840</v>
      </c>
      <c r="N8" s="106"/>
      <c r="O8" s="106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38</v>
      </c>
      <c r="D9" s="47">
        <f>Electricity!D8</f>
        <v>199</v>
      </c>
      <c r="E9" s="93">
        <v>11257.5</v>
      </c>
      <c r="F9" s="102">
        <v>91.073080000002335</v>
      </c>
      <c r="G9" s="49">
        <f>F9*$G$8</f>
        <v>1442597.587200037</v>
      </c>
      <c r="H9" s="48">
        <v>1237.8399999999999</v>
      </c>
      <c r="I9" s="94">
        <v>23.644359999999558</v>
      </c>
      <c r="J9" s="49">
        <f>I9*$J$8</f>
        <v>374526.66239999299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1817124.24960003</v>
      </c>
      <c r="R9" s="52">
        <f>Q9/14381</f>
        <v>126.35590359502329</v>
      </c>
      <c r="S9" s="21"/>
    </row>
    <row r="10" spans="1:21">
      <c r="A10" s="20"/>
      <c r="B10" s="22">
        <v>2</v>
      </c>
      <c r="C10" s="46">
        <f>Electricity!C9</f>
        <v>39</v>
      </c>
      <c r="D10" s="47">
        <f>Electricity!D9</f>
        <v>214</v>
      </c>
      <c r="E10" s="93">
        <v>11276.35</v>
      </c>
      <c r="F10" s="103">
        <v>75.927800000001454</v>
      </c>
      <c r="G10" s="49">
        <f>F10*$G$8</f>
        <v>1202696.352000023</v>
      </c>
      <c r="H10" s="48">
        <v>1242.95</v>
      </c>
      <c r="I10" s="94">
        <v>20.583080000000511</v>
      </c>
      <c r="J10" s="49">
        <f>I10*$J$8</f>
        <v>326035.98720000806</v>
      </c>
      <c r="K10" s="48"/>
      <c r="L10" s="24">
        <v>0</v>
      </c>
      <c r="M10" s="25">
        <f t="shared" ref="M10:M39" si="0">L10*$M$8</f>
        <v>0</v>
      </c>
      <c r="N10" s="48"/>
      <c r="O10" s="24">
        <v>50</v>
      </c>
      <c r="P10" s="50">
        <f>O10*$P$8</f>
        <v>792000</v>
      </c>
      <c r="Q10" s="51">
        <f>J10+M10+G10+P10</f>
        <v>2320732.339200031</v>
      </c>
      <c r="R10" s="52">
        <f t="shared" ref="R10:R39" si="1">Q10/14381</f>
        <v>161.37489320631605</v>
      </c>
      <c r="S10" s="21"/>
    </row>
    <row r="11" spans="1:21">
      <c r="A11" s="20"/>
      <c r="B11" s="22">
        <v>3</v>
      </c>
      <c r="C11" s="46">
        <f>Electricity!C10</f>
        <v>35</v>
      </c>
      <c r="D11" s="47">
        <f>Electricity!D10</f>
        <v>243</v>
      </c>
      <c r="E11" s="93">
        <v>11297.77</v>
      </c>
      <c r="F11" s="103">
        <v>86.27976000000028</v>
      </c>
      <c r="G11" s="49">
        <f t="shared" ref="G11:G39" si="2">F11*$G$8</f>
        <v>1366671.3984000045</v>
      </c>
      <c r="H11" s="48">
        <v>1247.6500000000001</v>
      </c>
      <c r="I11" s="94">
        <v>18.931600000000181</v>
      </c>
      <c r="J11" s="49">
        <f t="shared" ref="J11:J39" si="3">I11*$J$8</f>
        <v>299876.54400000285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9" si="4">O11*$P$8</f>
        <v>0</v>
      </c>
      <c r="Q11" s="51">
        <f t="shared" ref="Q11:Q39" si="5">J11+M11+G11+P11</f>
        <v>1666547.9424000073</v>
      </c>
      <c r="R11" s="52">
        <f t="shared" si="1"/>
        <v>115.88540034768147</v>
      </c>
      <c r="S11" s="21"/>
    </row>
    <row r="12" spans="1:21">
      <c r="A12" s="20"/>
      <c r="B12" s="22">
        <v>4</v>
      </c>
      <c r="C12" s="46">
        <f>Electricity!C11</f>
        <v>42</v>
      </c>
      <c r="D12" s="47">
        <f>Electricity!D11</f>
        <v>257</v>
      </c>
      <c r="E12" s="93">
        <v>11320.81</v>
      </c>
      <c r="F12" s="103">
        <v>92.80511999999618</v>
      </c>
      <c r="G12" s="49">
        <f t="shared" si="2"/>
        <v>1470033.1007999396</v>
      </c>
      <c r="H12" s="48">
        <v>1254.26</v>
      </c>
      <c r="I12" s="94">
        <v>26.625079999999596</v>
      </c>
      <c r="J12" s="49">
        <f t="shared" si="3"/>
        <v>421741.2671999936</v>
      </c>
      <c r="K12" s="48"/>
      <c r="L12" s="24">
        <v>0</v>
      </c>
      <c r="M12" s="25">
        <f t="shared" si="0"/>
        <v>0</v>
      </c>
      <c r="N12" s="48"/>
      <c r="O12" s="24">
        <v>0</v>
      </c>
      <c r="P12" s="50">
        <f t="shared" si="4"/>
        <v>0</v>
      </c>
      <c r="Q12" s="51">
        <f t="shared" si="5"/>
        <v>1891774.3679999332</v>
      </c>
      <c r="R12" s="52">
        <f t="shared" si="1"/>
        <v>131.54678867950304</v>
      </c>
      <c r="S12" s="21"/>
    </row>
    <row r="13" spans="1:21">
      <c r="A13" s="20"/>
      <c r="B13" s="22">
        <v>5</v>
      </c>
      <c r="C13" s="46">
        <f>Electricity!C12</f>
        <v>37</v>
      </c>
      <c r="D13" s="47">
        <f>Electricity!D12</f>
        <v>277</v>
      </c>
      <c r="E13" s="93">
        <v>11341.14</v>
      </c>
      <c r="F13" s="103">
        <v>81.889239999999702</v>
      </c>
      <c r="G13" s="49">
        <f t="shared" si="2"/>
        <v>1297125.5615999952</v>
      </c>
      <c r="H13" s="48">
        <v>1260.8599999999999</v>
      </c>
      <c r="I13" s="94">
        <v>26.584799999999632</v>
      </c>
      <c r="J13" s="49">
        <f t="shared" si="3"/>
        <v>421103.23199999414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1718228.7935999893</v>
      </c>
      <c r="R13" s="52">
        <f t="shared" si="1"/>
        <v>119.47909002155548</v>
      </c>
      <c r="S13" s="21"/>
    </row>
    <row r="14" spans="1:21">
      <c r="A14" s="20"/>
      <c r="B14" s="22">
        <v>6</v>
      </c>
      <c r="C14" s="46">
        <f>Electricity!C13</f>
        <v>41</v>
      </c>
      <c r="D14" s="47">
        <f>Electricity!D13</f>
        <v>246</v>
      </c>
      <c r="E14" s="93">
        <v>11360.74</v>
      </c>
      <c r="F14" s="103">
        <v>78.948800000001455</v>
      </c>
      <c r="G14" s="49">
        <f t="shared" si="2"/>
        <v>1250548.9920000231</v>
      </c>
      <c r="H14" s="48">
        <v>1266.56</v>
      </c>
      <c r="I14" s="94">
        <v>22.959600000000179</v>
      </c>
      <c r="J14" s="49">
        <f t="shared" si="3"/>
        <v>363680.06400000287</v>
      </c>
      <c r="K14" s="48"/>
      <c r="L14" s="24">
        <v>0</v>
      </c>
      <c r="M14" s="25">
        <f t="shared" si="0"/>
        <v>0</v>
      </c>
      <c r="N14" s="48"/>
      <c r="O14" s="24">
        <v>50</v>
      </c>
      <c r="P14" s="50">
        <f t="shared" si="4"/>
        <v>792000</v>
      </c>
      <c r="Q14" s="51">
        <f t="shared" si="5"/>
        <v>2406229.0560000259</v>
      </c>
      <c r="R14" s="52">
        <f t="shared" si="1"/>
        <v>167.32000945692414</v>
      </c>
      <c r="S14" s="21"/>
    </row>
    <row r="15" spans="1:21">
      <c r="A15" s="20"/>
      <c r="B15" s="22">
        <v>7</v>
      </c>
      <c r="C15" s="46">
        <f>Electricity!C14</f>
        <v>35</v>
      </c>
      <c r="D15" s="47">
        <f>Electricity!D14</f>
        <v>220</v>
      </c>
      <c r="E15" s="93">
        <v>11382.74</v>
      </c>
      <c r="F15" s="103">
        <v>88.615999999999985</v>
      </c>
      <c r="G15" s="49">
        <f t="shared" si="2"/>
        <v>1403677.4399999997</v>
      </c>
      <c r="H15" s="48">
        <v>1272.5999999999999</v>
      </c>
      <c r="I15" s="94">
        <v>24.32911999999985</v>
      </c>
      <c r="J15" s="49">
        <f t="shared" si="3"/>
        <v>385373.2607999976</v>
      </c>
      <c r="K15" s="48"/>
      <c r="L15" s="24">
        <v>50</v>
      </c>
      <c r="M15" s="25">
        <f t="shared" si="0"/>
        <v>792000</v>
      </c>
      <c r="N15" s="48"/>
      <c r="O15" s="24">
        <v>0</v>
      </c>
      <c r="P15" s="50">
        <f t="shared" si="4"/>
        <v>0</v>
      </c>
      <c r="Q15" s="51">
        <f t="shared" si="5"/>
        <v>2581050.700799997</v>
      </c>
      <c r="R15" s="52">
        <f t="shared" si="1"/>
        <v>179.47644119324087</v>
      </c>
      <c r="S15" s="21"/>
    </row>
    <row r="16" spans="1:21">
      <c r="A16" s="20"/>
      <c r="B16" s="22">
        <v>8</v>
      </c>
      <c r="C16" s="46">
        <f>Electricity!C15</f>
        <v>45</v>
      </c>
      <c r="D16" s="47">
        <f>Electricity!D15</f>
        <v>257</v>
      </c>
      <c r="E16" s="93">
        <v>11403.38</v>
      </c>
      <c r="F16" s="103">
        <v>83.137919999997649</v>
      </c>
      <c r="G16" s="49">
        <f t="shared" si="2"/>
        <v>1316904.6527999628</v>
      </c>
      <c r="H16" s="48">
        <v>1278.67</v>
      </c>
      <c r="I16" s="94">
        <v>24.449960000000658</v>
      </c>
      <c r="J16" s="49">
        <f t="shared" si="3"/>
        <v>387287.36640001042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1704192.0191999732</v>
      </c>
      <c r="R16" s="52">
        <f t="shared" si="1"/>
        <v>118.50302615951416</v>
      </c>
      <c r="S16" s="21"/>
    </row>
    <row r="17" spans="1:19">
      <c r="A17" s="20"/>
      <c r="B17" s="22">
        <v>9</v>
      </c>
      <c r="C17" s="46">
        <f>Electricity!C16</f>
        <v>43</v>
      </c>
      <c r="D17" s="47">
        <f>Electricity!D16</f>
        <v>214</v>
      </c>
      <c r="E17" s="81">
        <v>11423.97</v>
      </c>
      <c r="F17" s="103">
        <v>82.936520000000584</v>
      </c>
      <c r="G17" s="49">
        <f t="shared" si="2"/>
        <v>1313714.4768000091</v>
      </c>
      <c r="H17" s="48">
        <v>1284.21</v>
      </c>
      <c r="I17" s="94">
        <v>22.315119999999851</v>
      </c>
      <c r="J17" s="49">
        <f t="shared" si="3"/>
        <v>353471.50079999765</v>
      </c>
      <c r="K17" s="48"/>
      <c r="L17" s="24">
        <v>0</v>
      </c>
      <c r="M17" s="25">
        <f t="shared" si="0"/>
        <v>0</v>
      </c>
      <c r="N17" s="48"/>
      <c r="O17" s="24">
        <v>0</v>
      </c>
      <c r="P17" s="50">
        <f t="shared" si="4"/>
        <v>0</v>
      </c>
      <c r="Q17" s="51">
        <f t="shared" si="5"/>
        <v>1667185.9776000069</v>
      </c>
      <c r="R17" s="52">
        <f t="shared" si="1"/>
        <v>115.9297668868651</v>
      </c>
      <c r="S17" s="21"/>
    </row>
    <row r="18" spans="1:19">
      <c r="A18" s="20"/>
      <c r="B18" s="22">
        <v>10</v>
      </c>
      <c r="C18" s="46">
        <f>Electricity!C17</f>
        <v>39</v>
      </c>
      <c r="D18" s="47">
        <f>Electricity!D17</f>
        <v>251</v>
      </c>
      <c r="E18" s="93">
        <v>11444.52</v>
      </c>
      <c r="F18" s="103">
        <v>82.775400000004382</v>
      </c>
      <c r="G18" s="49">
        <f t="shared" si="2"/>
        <v>1311162.3360000695</v>
      </c>
      <c r="H18" s="48">
        <v>1290.94</v>
      </c>
      <c r="I18" s="94">
        <v>27.108440000000069</v>
      </c>
      <c r="J18" s="49">
        <f t="shared" si="3"/>
        <v>429397.68960000109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1740560.0256000706</v>
      </c>
      <c r="R18" s="52">
        <f t="shared" si="1"/>
        <v>121.03191889298871</v>
      </c>
      <c r="S18" s="21"/>
    </row>
    <row r="19" spans="1:19">
      <c r="A19" s="20"/>
      <c r="B19" s="22">
        <v>11</v>
      </c>
      <c r="C19" s="46">
        <f>Electricity!C18</f>
        <v>45</v>
      </c>
      <c r="D19" s="47">
        <f>Electricity!D18</f>
        <v>266</v>
      </c>
      <c r="E19" s="93">
        <v>11463.93</v>
      </c>
      <c r="F19" s="104">
        <v>78.183479999999406</v>
      </c>
      <c r="G19" s="49">
        <f t="shared" si="2"/>
        <v>1238426.3231999907</v>
      </c>
      <c r="H19" s="48">
        <v>1296.78</v>
      </c>
      <c r="I19" s="94">
        <v>23.523519999999667</v>
      </c>
      <c r="J19" s="49">
        <f t="shared" si="3"/>
        <v>372612.55679999472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1611038.8799999855</v>
      </c>
      <c r="R19" s="52">
        <f t="shared" si="1"/>
        <v>112.02551143870284</v>
      </c>
      <c r="S19" s="21"/>
    </row>
    <row r="20" spans="1:19">
      <c r="A20" s="20"/>
      <c r="B20" s="22">
        <v>12</v>
      </c>
      <c r="C20" s="46">
        <f>Electricity!C19</f>
        <v>45</v>
      </c>
      <c r="D20" s="47">
        <f>Electricity!D19</f>
        <v>251</v>
      </c>
      <c r="E20" s="93">
        <v>11485.27</v>
      </c>
      <c r="F20" s="104">
        <v>85.957520000000571</v>
      </c>
      <c r="G20" s="49">
        <f t="shared" si="2"/>
        <v>1361567.116800009</v>
      </c>
      <c r="H20" s="48">
        <v>1302.69</v>
      </c>
      <c r="I20" s="94">
        <v>23.805480000000326</v>
      </c>
      <c r="J20" s="49">
        <f t="shared" si="3"/>
        <v>377078.80320000515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1738645.9200000141</v>
      </c>
      <c r="R20" s="52">
        <f t="shared" si="1"/>
        <v>120.89881927543385</v>
      </c>
      <c r="S20" s="21"/>
    </row>
    <row r="21" spans="1:19">
      <c r="A21" s="20"/>
      <c r="B21" s="22">
        <v>13</v>
      </c>
      <c r="C21" s="46">
        <f>Electricity!C20</f>
        <v>49</v>
      </c>
      <c r="D21" s="47">
        <f>Electricity!D20</f>
        <v>233</v>
      </c>
      <c r="E21" s="93">
        <v>11503.47</v>
      </c>
      <c r="F21" s="104">
        <v>73.309599999995598</v>
      </c>
      <c r="G21" s="49">
        <f t="shared" si="2"/>
        <v>1161224.0639999302</v>
      </c>
      <c r="H21" s="48">
        <v>1308.5899999999999</v>
      </c>
      <c r="I21" s="94">
        <v>23.765199999999449</v>
      </c>
      <c r="J21" s="49">
        <f t="shared" si="3"/>
        <v>376440.76799999125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1537664.8319999215</v>
      </c>
      <c r="R21" s="52">
        <f t="shared" si="1"/>
        <v>106.9233594325792</v>
      </c>
      <c r="S21" s="21"/>
    </row>
    <row r="22" spans="1:19">
      <c r="A22" s="20"/>
      <c r="B22" s="22">
        <v>14</v>
      </c>
      <c r="C22" s="46">
        <f>Electricity!C21</f>
        <v>43</v>
      </c>
      <c r="D22" s="47">
        <f>Electricity!D21</f>
        <v>259</v>
      </c>
      <c r="E22" s="93">
        <v>11521.8</v>
      </c>
      <c r="F22" s="104">
        <v>73.833239999999705</v>
      </c>
      <c r="G22" s="49">
        <f t="shared" si="2"/>
        <v>1169518.5215999954</v>
      </c>
      <c r="H22" s="48">
        <v>1314.39</v>
      </c>
      <c r="I22" s="94">
        <v>23.362400000000729</v>
      </c>
      <c r="J22" s="49">
        <f t="shared" si="3"/>
        <v>370060.41600001155</v>
      </c>
      <c r="K22" s="48"/>
      <c r="L22" s="24">
        <v>0</v>
      </c>
      <c r="M22" s="25">
        <f t="shared" si="0"/>
        <v>0</v>
      </c>
      <c r="N22" s="48"/>
      <c r="O22" s="24">
        <v>0</v>
      </c>
      <c r="P22" s="50">
        <f t="shared" si="4"/>
        <v>0</v>
      </c>
      <c r="Q22" s="51">
        <f t="shared" si="5"/>
        <v>1539578.937600007</v>
      </c>
      <c r="R22" s="52">
        <f t="shared" si="1"/>
        <v>107.05645905013608</v>
      </c>
      <c r="S22" s="21"/>
    </row>
    <row r="23" spans="1:19">
      <c r="A23" s="20"/>
      <c r="B23" s="22">
        <v>15</v>
      </c>
      <c r="C23" s="46">
        <f>Electricity!C22</f>
        <v>43</v>
      </c>
      <c r="D23" s="47">
        <f>Electricity!D22</f>
        <v>222</v>
      </c>
      <c r="E23" s="93">
        <v>11541.94</v>
      </c>
      <c r="F23" s="104">
        <v>81.123920000004972</v>
      </c>
      <c r="G23" s="49">
        <f t="shared" si="2"/>
        <v>1285002.8928000787</v>
      </c>
      <c r="H23" s="48">
        <v>1319.73</v>
      </c>
      <c r="I23" s="94">
        <v>21.509519999999668</v>
      </c>
      <c r="J23" s="49">
        <f t="shared" si="3"/>
        <v>340710.79679999471</v>
      </c>
      <c r="K23" s="48"/>
      <c r="L23" s="24">
        <v>0</v>
      </c>
      <c r="M23" s="25">
        <f t="shared" si="0"/>
        <v>0</v>
      </c>
      <c r="N23" s="48"/>
      <c r="O23" s="24">
        <v>50</v>
      </c>
      <c r="P23" s="50">
        <f t="shared" si="4"/>
        <v>792000</v>
      </c>
      <c r="Q23" s="51">
        <f t="shared" si="5"/>
        <v>2417713.6896000737</v>
      </c>
      <c r="R23" s="52">
        <f t="shared" si="1"/>
        <v>168.11860716223308</v>
      </c>
      <c r="S23" s="21"/>
    </row>
    <row r="24" spans="1:19">
      <c r="A24" s="20"/>
      <c r="B24" s="22">
        <v>16</v>
      </c>
      <c r="C24" s="46">
        <f>Electricity!C23</f>
        <v>44</v>
      </c>
      <c r="D24" s="47">
        <f>Electricity!D23</f>
        <v>235</v>
      </c>
      <c r="E24" s="93">
        <v>11564.58</v>
      </c>
      <c r="F24" s="104">
        <v>91.193919999997647</v>
      </c>
      <c r="G24" s="49">
        <f t="shared" si="2"/>
        <v>1444511.6927999628</v>
      </c>
      <c r="H24" s="48">
        <v>1325.21</v>
      </c>
      <c r="I24" s="94">
        <v>22.073440000000073</v>
      </c>
      <c r="J24" s="49">
        <f t="shared" si="3"/>
        <v>349643.28960000112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1794154.982399964</v>
      </c>
      <c r="R24" s="52">
        <f t="shared" si="1"/>
        <v>124.75870818440748</v>
      </c>
      <c r="S24" s="21"/>
    </row>
    <row r="25" spans="1:19">
      <c r="A25" s="20"/>
      <c r="B25" s="22">
        <v>17</v>
      </c>
      <c r="C25" s="46">
        <f>Electricity!C24</f>
        <v>45</v>
      </c>
      <c r="D25" s="47">
        <f>Electricity!D24</f>
        <v>236</v>
      </c>
      <c r="E25" s="93">
        <v>11583.97</v>
      </c>
      <c r="F25" s="104">
        <v>78.102919999997653</v>
      </c>
      <c r="G25" s="49">
        <f t="shared" si="2"/>
        <v>1237150.2527999629</v>
      </c>
      <c r="H25" s="48">
        <v>1331.42</v>
      </c>
      <c r="I25" s="94">
        <v>25.013880000000142</v>
      </c>
      <c r="J25" s="49">
        <f t="shared" si="3"/>
        <v>396219.85920000228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1633370.1119999653</v>
      </c>
      <c r="R25" s="52">
        <f t="shared" si="1"/>
        <v>113.57834031012901</v>
      </c>
      <c r="S25" s="21"/>
    </row>
    <row r="26" spans="1:19">
      <c r="A26" s="20"/>
      <c r="B26" s="22">
        <v>18</v>
      </c>
      <c r="C26" s="46">
        <f>Electricity!C25</f>
        <v>48</v>
      </c>
      <c r="D26" s="47">
        <f>Electricity!D25</f>
        <v>259</v>
      </c>
      <c r="E26" s="93">
        <v>11604.53</v>
      </c>
      <c r="F26" s="104">
        <v>82.815680000005273</v>
      </c>
      <c r="G26" s="49">
        <f t="shared" si="2"/>
        <v>1311800.3712000835</v>
      </c>
      <c r="H26" s="48">
        <v>1332.32</v>
      </c>
      <c r="I26" s="94">
        <v>3.6251999999994502</v>
      </c>
      <c r="J26" s="49">
        <f t="shared" si="3"/>
        <v>57423.167999991289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1369223.5392000747</v>
      </c>
      <c r="R26" s="52">
        <f t="shared" si="1"/>
        <v>95.210593088107558</v>
      </c>
      <c r="S26" s="21"/>
    </row>
    <row r="27" spans="1:19">
      <c r="A27" s="20"/>
      <c r="B27" s="22">
        <v>19</v>
      </c>
      <c r="C27" s="46">
        <f>Electricity!C26</f>
        <v>48</v>
      </c>
      <c r="D27" s="47">
        <f>Electricity!D26</f>
        <v>282</v>
      </c>
      <c r="E27" s="101">
        <v>11625.6</v>
      </c>
      <c r="F27" s="104">
        <v>84.869959999998812</v>
      </c>
      <c r="G27" s="49">
        <f t="shared" si="2"/>
        <v>1344340.1663999811</v>
      </c>
      <c r="H27" s="48">
        <v>1343.1</v>
      </c>
      <c r="I27" s="94">
        <v>43.421839999999882</v>
      </c>
      <c r="J27" s="49">
        <f t="shared" si="3"/>
        <v>687801.94559999811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2032142.1119999792</v>
      </c>
      <c r="R27" s="52">
        <f t="shared" si="1"/>
        <v>141.30742729990817</v>
      </c>
      <c r="S27" s="21"/>
    </row>
    <row r="28" spans="1:19">
      <c r="A28" s="20"/>
      <c r="B28" s="22">
        <v>20</v>
      </c>
      <c r="C28" s="46">
        <f>Electricity!C27</f>
        <v>45</v>
      </c>
      <c r="D28" s="47">
        <f>Electricity!D27</f>
        <v>285</v>
      </c>
      <c r="E28" s="101">
        <v>11646.8</v>
      </c>
      <c r="F28" s="104">
        <v>85.393599999995601</v>
      </c>
      <c r="G28" s="49">
        <f t="shared" si="2"/>
        <v>1352634.6239999302</v>
      </c>
      <c r="H28" s="48">
        <v>1348.92</v>
      </c>
      <c r="I28" s="94">
        <v>23.442960000000657</v>
      </c>
      <c r="J28" s="49">
        <f t="shared" si="3"/>
        <v>371336.48640001041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1723971.1103999405</v>
      </c>
      <c r="R28" s="52">
        <f t="shared" si="1"/>
        <v>119.87838887420489</v>
      </c>
      <c r="S28" s="21"/>
    </row>
    <row r="29" spans="1:19">
      <c r="A29" s="20"/>
      <c r="B29" s="22">
        <v>21</v>
      </c>
      <c r="C29" s="46">
        <f>Electricity!C28</f>
        <v>44</v>
      </c>
      <c r="D29" s="47">
        <f>Electricity!D28</f>
        <v>255</v>
      </c>
      <c r="E29" s="101">
        <v>11665.61</v>
      </c>
      <c r="F29" s="104">
        <v>75.766680000005266</v>
      </c>
      <c r="G29" s="49">
        <f t="shared" si="2"/>
        <v>1200144.2112000834</v>
      </c>
      <c r="H29" s="48">
        <v>1354.41</v>
      </c>
      <c r="I29" s="94">
        <v>22.113720000000033</v>
      </c>
      <c r="J29" s="49">
        <f t="shared" si="3"/>
        <v>350281.32480000053</v>
      </c>
      <c r="K29" s="48"/>
      <c r="L29" s="24">
        <v>50</v>
      </c>
      <c r="M29" s="25">
        <f t="shared" si="0"/>
        <v>792000</v>
      </c>
      <c r="N29" s="48"/>
      <c r="O29" s="24">
        <v>50</v>
      </c>
      <c r="P29" s="50">
        <f t="shared" si="4"/>
        <v>792000</v>
      </c>
      <c r="Q29" s="51">
        <f t="shared" si="5"/>
        <v>3134425.5360000841</v>
      </c>
      <c r="R29" s="52">
        <f t="shared" si="1"/>
        <v>217.95602086086393</v>
      </c>
      <c r="S29" s="21"/>
    </row>
    <row r="30" spans="1:19">
      <c r="A30" s="20"/>
      <c r="B30" s="22">
        <v>22</v>
      </c>
      <c r="C30" s="46">
        <f>Electricity!C29</f>
        <v>42</v>
      </c>
      <c r="D30" s="47">
        <f>Electricity!D29</f>
        <v>260</v>
      </c>
      <c r="E30" s="101">
        <v>11686.14</v>
      </c>
      <c r="F30" s="104">
        <v>82.694839999995295</v>
      </c>
      <c r="G30" s="49">
        <f t="shared" si="2"/>
        <v>1309886.2655999255</v>
      </c>
      <c r="H30" s="48">
        <v>1359.78</v>
      </c>
      <c r="I30" s="94">
        <v>21.630359999999559</v>
      </c>
      <c r="J30" s="49">
        <f t="shared" si="3"/>
        <v>342624.90239999304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1652511.1679999186</v>
      </c>
      <c r="R30" s="52">
        <f t="shared" si="1"/>
        <v>114.90933648563511</v>
      </c>
      <c r="S30" s="21"/>
    </row>
    <row r="31" spans="1:19">
      <c r="A31" s="20"/>
      <c r="B31" s="22">
        <v>23</v>
      </c>
      <c r="C31" s="46">
        <f>Electricity!C30</f>
        <v>40</v>
      </c>
      <c r="D31" s="47">
        <f>Electricity!D30</f>
        <v>255</v>
      </c>
      <c r="E31" s="101">
        <v>11705.08</v>
      </c>
      <c r="F31" s="104">
        <v>76.290320000002041</v>
      </c>
      <c r="G31" s="49">
        <f t="shared" si="2"/>
        <v>1208438.6688000322</v>
      </c>
      <c r="H31" s="48">
        <v>1366.3</v>
      </c>
      <c r="I31" s="94">
        <v>26.262559999999922</v>
      </c>
      <c r="J31" s="49">
        <f t="shared" si="3"/>
        <v>415998.95039999875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1624437.619200031</v>
      </c>
      <c r="R31" s="52">
        <f t="shared" si="1"/>
        <v>112.95720876156255</v>
      </c>
      <c r="S31" s="21"/>
    </row>
    <row r="32" spans="1:19">
      <c r="A32" s="20"/>
      <c r="B32" s="22">
        <v>24</v>
      </c>
      <c r="C32" s="46">
        <f>Electricity!C31</f>
        <v>44</v>
      </c>
      <c r="D32" s="47">
        <f>Electricity!D31</f>
        <v>273</v>
      </c>
      <c r="E32" s="101">
        <v>11725.68</v>
      </c>
      <c r="F32" s="104">
        <v>82.976800000001461</v>
      </c>
      <c r="G32" s="49">
        <f t="shared" si="2"/>
        <v>1314352.5120000232</v>
      </c>
      <c r="H32" s="48">
        <v>1371.32</v>
      </c>
      <c r="I32" s="94">
        <v>20.220559999999924</v>
      </c>
      <c r="J32" s="49">
        <f t="shared" si="3"/>
        <v>320293.67039999878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1634646.1824000219</v>
      </c>
      <c r="R32" s="52">
        <f t="shared" si="1"/>
        <v>113.66707338850024</v>
      </c>
      <c r="S32" s="21"/>
    </row>
    <row r="33" spans="1:21">
      <c r="A33" s="20"/>
      <c r="B33" s="22">
        <v>25</v>
      </c>
      <c r="C33" s="46">
        <f>Electricity!C32</f>
        <v>39</v>
      </c>
      <c r="D33" s="47">
        <f>Electricity!D32</f>
        <v>207</v>
      </c>
      <c r="E33" s="101">
        <v>11747.44</v>
      </c>
      <c r="F33" s="104">
        <v>87.649280000000871</v>
      </c>
      <c r="G33" s="49">
        <f t="shared" si="2"/>
        <v>1388364.5952000138</v>
      </c>
      <c r="H33" s="48">
        <v>1377.88</v>
      </c>
      <c r="I33" s="94">
        <v>26.423680000000694</v>
      </c>
      <c r="J33" s="49">
        <f t="shared" si="3"/>
        <v>418551.09120001097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1806915.6864000247</v>
      </c>
      <c r="R33" s="52">
        <f t="shared" si="1"/>
        <v>125.64603896808461</v>
      </c>
      <c r="S33" s="21"/>
    </row>
    <row r="34" spans="1:21">
      <c r="A34" s="20"/>
      <c r="B34" s="22">
        <v>26</v>
      </c>
      <c r="C34" s="46">
        <f>Electricity!C33</f>
        <v>48</v>
      </c>
      <c r="D34" s="47">
        <f>Electricity!D33</f>
        <v>253</v>
      </c>
      <c r="E34" s="101">
        <v>11770.09</v>
      </c>
      <c r="F34" s="104">
        <v>91.234199999998523</v>
      </c>
      <c r="G34" s="49">
        <f t="shared" si="2"/>
        <v>1445149.7279999766</v>
      </c>
      <c r="H34" s="48">
        <v>1384.27</v>
      </c>
      <c r="I34" s="94">
        <v>25.738919999999485</v>
      </c>
      <c r="J34" s="49">
        <f t="shared" si="3"/>
        <v>407704.49279999186</v>
      </c>
      <c r="K34" s="48"/>
      <c r="L34" s="24">
        <v>0</v>
      </c>
      <c r="M34" s="25">
        <f t="shared" si="0"/>
        <v>0</v>
      </c>
      <c r="N34" s="48"/>
      <c r="O34" s="24">
        <v>50</v>
      </c>
      <c r="P34" s="50">
        <f t="shared" si="4"/>
        <v>792000</v>
      </c>
      <c r="Q34" s="51">
        <f t="shared" si="5"/>
        <v>2644854.2207999686</v>
      </c>
      <c r="R34" s="52">
        <f t="shared" si="1"/>
        <v>183.91309511160341</v>
      </c>
      <c r="S34" s="21"/>
    </row>
    <row r="35" spans="1:21">
      <c r="A35" s="20"/>
      <c r="B35" s="22">
        <v>27</v>
      </c>
      <c r="C35" s="46">
        <f>Electricity!C34</f>
        <v>43</v>
      </c>
      <c r="D35" s="47">
        <f>Electricity!D34</f>
        <v>254</v>
      </c>
      <c r="E35" s="101">
        <v>11789.8</v>
      </c>
      <c r="F35" s="104">
        <v>79.391879999996476</v>
      </c>
      <c r="G35" s="49">
        <f t="shared" si="2"/>
        <v>1257567.3791999442</v>
      </c>
      <c r="H35" s="48">
        <v>1389.75</v>
      </c>
      <c r="I35" s="94">
        <v>22.073440000000073</v>
      </c>
      <c r="J35" s="49">
        <f t="shared" si="3"/>
        <v>349643.28960000112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1607210.6687999454</v>
      </c>
      <c r="R35" s="52">
        <f t="shared" si="1"/>
        <v>111.75931220359817</v>
      </c>
      <c r="S35" s="21"/>
    </row>
    <row r="36" spans="1:21">
      <c r="A36" s="20"/>
      <c r="B36" s="22">
        <v>28</v>
      </c>
      <c r="C36" s="46">
        <f>Electricity!C35</f>
        <v>43</v>
      </c>
      <c r="D36" s="47">
        <f>Electricity!D35</f>
        <v>224</v>
      </c>
      <c r="E36" s="101">
        <v>11810.06</v>
      </c>
      <c r="F36" s="104">
        <v>81.60728000000087</v>
      </c>
      <c r="G36" s="49">
        <f t="shared" si="2"/>
        <v>1292659.3152000138</v>
      </c>
      <c r="H36" s="48">
        <v>1394.84</v>
      </c>
      <c r="I36" s="94">
        <v>20.502519999999667</v>
      </c>
      <c r="J36" s="49">
        <f t="shared" si="3"/>
        <v>324759.91679999471</v>
      </c>
      <c r="K36" s="48"/>
      <c r="L36" s="24">
        <v>0</v>
      </c>
      <c r="M36" s="25">
        <f t="shared" si="0"/>
        <v>0</v>
      </c>
      <c r="N36" s="48"/>
      <c r="O36" s="24">
        <v>0</v>
      </c>
      <c r="P36" s="50">
        <f t="shared" si="4"/>
        <v>0</v>
      </c>
      <c r="Q36" s="51">
        <f t="shared" si="5"/>
        <v>1617419.2320000085</v>
      </c>
      <c r="R36" s="52">
        <f t="shared" si="1"/>
        <v>112.46917683054089</v>
      </c>
      <c r="S36" s="21"/>
    </row>
    <row r="37" spans="1:21">
      <c r="A37" s="20"/>
      <c r="B37" s="22">
        <v>29</v>
      </c>
      <c r="C37" s="46">
        <f>Electricity!C36</f>
        <v>38</v>
      </c>
      <c r="D37" s="47">
        <f>Electricity!D36</f>
        <v>191</v>
      </c>
      <c r="E37" s="80">
        <v>11823.12</v>
      </c>
      <c r="F37" s="104">
        <v>52.605680000005272</v>
      </c>
      <c r="G37" s="49">
        <f t="shared" si="2"/>
        <v>833273.9712000835</v>
      </c>
      <c r="H37" s="48">
        <v>1400.59</v>
      </c>
      <c r="I37" s="94">
        <v>23.160999999999998</v>
      </c>
      <c r="J37" s="49">
        <f t="shared" si="3"/>
        <v>366870.24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1200144.2112000836</v>
      </c>
      <c r="R37" s="52">
        <f t="shared" si="1"/>
        <v>83.453460204442223</v>
      </c>
      <c r="S37" s="21"/>
    </row>
    <row r="38" spans="1:21">
      <c r="A38" s="20"/>
      <c r="B38" s="22">
        <v>30</v>
      </c>
      <c r="C38" s="46">
        <f>Electricity!C37</f>
        <v>35</v>
      </c>
      <c r="D38" s="47">
        <f>Electricity!D37</f>
        <v>183</v>
      </c>
      <c r="E38" s="80">
        <v>11854.62</v>
      </c>
      <c r="F38" s="104">
        <v>126.88199999999999</v>
      </c>
      <c r="G38" s="49">
        <f t="shared" si="2"/>
        <v>2009810.88</v>
      </c>
      <c r="H38" s="48">
        <v>1407.39</v>
      </c>
      <c r="I38" s="94">
        <v>27.390400000000731</v>
      </c>
      <c r="J38" s="49">
        <f t="shared" si="3"/>
        <v>433863.93600001157</v>
      </c>
      <c r="K38" s="48"/>
      <c r="L38" s="24">
        <v>0</v>
      </c>
      <c r="M38" s="25">
        <f t="shared" si="0"/>
        <v>0</v>
      </c>
      <c r="N38" s="48"/>
      <c r="O38" s="24">
        <v>0</v>
      </c>
      <c r="P38" s="50">
        <f t="shared" si="4"/>
        <v>0</v>
      </c>
      <c r="Q38" s="51">
        <f t="shared" si="5"/>
        <v>2443674.8160000113</v>
      </c>
      <c r="R38" s="52">
        <f t="shared" si="1"/>
        <v>169.92384507336146</v>
      </c>
      <c r="S38" s="21"/>
    </row>
    <row r="39" spans="1:21">
      <c r="A39" s="20"/>
      <c r="B39" s="22">
        <v>31</v>
      </c>
      <c r="C39" s="46">
        <f>Electricity!C38</f>
        <v>26</v>
      </c>
      <c r="D39" s="47">
        <f>Electricity!D38</f>
        <v>152</v>
      </c>
      <c r="E39" s="80">
        <v>11873.9</v>
      </c>
      <c r="F39" s="100">
        <v>77.66</v>
      </c>
      <c r="G39" s="49">
        <f t="shared" si="2"/>
        <v>1230134.3999999999</v>
      </c>
      <c r="H39" s="48">
        <v>1411.11</v>
      </c>
      <c r="I39" s="94">
        <v>14.98</v>
      </c>
      <c r="J39" s="49">
        <f t="shared" si="3"/>
        <v>237283.20000000001</v>
      </c>
      <c r="K39" s="48"/>
      <c r="L39" s="24">
        <v>0</v>
      </c>
      <c r="M39" s="25">
        <f t="shared" si="0"/>
        <v>0</v>
      </c>
      <c r="N39" s="48"/>
      <c r="O39" s="24">
        <v>0</v>
      </c>
      <c r="P39" s="50">
        <f t="shared" si="4"/>
        <v>0</v>
      </c>
      <c r="Q39" s="51">
        <f t="shared" si="5"/>
        <v>1467417.5999999999</v>
      </c>
      <c r="R39" s="52">
        <f t="shared" si="1"/>
        <v>102.03863430915791</v>
      </c>
      <c r="S39" s="21"/>
    </row>
    <row r="40" spans="1:21">
      <c r="C40" s="53">
        <f>SUM(C9:C39)</f>
        <v>1291</v>
      </c>
      <c r="D40" s="53">
        <f>SUM(D9:D39)</f>
        <v>7413</v>
      </c>
      <c r="E40" s="30"/>
      <c r="F40" s="30">
        <f>SUM(F9:F39)</f>
        <v>2573.932440000005</v>
      </c>
      <c r="G40" s="40"/>
      <c r="H40" s="40"/>
      <c r="I40" s="30">
        <f>SUM(I9:I39)</f>
        <v>721.57176000000004</v>
      </c>
      <c r="J40" s="40"/>
      <c r="K40" s="40"/>
      <c r="L40" s="30">
        <f>SUM(L9:L39)</f>
        <v>100</v>
      </c>
      <c r="M40" s="40"/>
      <c r="N40" s="39"/>
      <c r="O40" s="30">
        <f>SUM(O9:O39)</f>
        <v>250</v>
      </c>
      <c r="P40" s="40"/>
      <c r="Q40"/>
      <c r="R40" s="91">
        <f>SUM(R9:R39)</f>
        <v>4015.3526547528058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43</v>
      </c>
      <c r="O41" s="63">
        <f>F40+I40+L40+O40</f>
        <v>3645.5042000000049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selection activeCell="F39" sqref="F39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07" t="s">
        <v>44</v>
      </c>
      <c r="C1" s="107"/>
      <c r="D1" s="107"/>
      <c r="E1" s="107"/>
      <c r="F1" s="107"/>
      <c r="G1" s="107"/>
      <c r="H1" s="107"/>
    </row>
    <row r="2" spans="1:9" ht="15.95">
      <c r="B2" s="107" t="s">
        <v>16</v>
      </c>
      <c r="C2" s="107"/>
      <c r="D2" s="107"/>
      <c r="E2" s="107"/>
      <c r="F2" s="107"/>
      <c r="G2" s="107"/>
      <c r="H2" s="107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11">
        <v>44743</v>
      </c>
      <c r="C4" s="111"/>
      <c r="D4" s="111"/>
      <c r="E4" s="111"/>
      <c r="F4" s="111"/>
      <c r="G4" s="111"/>
      <c r="H4" s="111"/>
      <c r="I4" s="16"/>
    </row>
    <row r="5" spans="1:9">
      <c r="A5" s="66"/>
      <c r="B5" s="106" t="s">
        <v>45</v>
      </c>
      <c r="C5" s="106" t="s">
        <v>18</v>
      </c>
      <c r="D5" s="106" t="s">
        <v>13</v>
      </c>
      <c r="E5" s="106" t="s">
        <v>46</v>
      </c>
      <c r="F5" s="106"/>
      <c r="G5" s="106"/>
      <c r="H5" s="106" t="s">
        <v>23</v>
      </c>
      <c r="I5" s="18"/>
    </row>
    <row r="6" spans="1:9">
      <c r="A6" s="66"/>
      <c r="B6" s="106"/>
      <c r="C6" s="106"/>
      <c r="D6" s="106"/>
      <c r="E6" s="106"/>
      <c r="F6" s="106"/>
      <c r="G6" s="106"/>
      <c r="H6" s="106"/>
      <c r="I6" s="18"/>
    </row>
    <row r="7" spans="1:9" s="19" customFormat="1" ht="24">
      <c r="A7" s="66"/>
      <c r="B7" s="106"/>
      <c r="C7" s="106"/>
      <c r="D7" s="106"/>
      <c r="E7" s="43" t="s">
        <v>36</v>
      </c>
      <c r="F7" s="117" t="s">
        <v>47</v>
      </c>
      <c r="G7" s="67" t="s">
        <v>40</v>
      </c>
      <c r="H7" s="106"/>
      <c r="I7" s="18"/>
    </row>
    <row r="8" spans="1:9" s="19" customFormat="1">
      <c r="A8" s="66"/>
      <c r="B8" s="106"/>
      <c r="C8" s="106"/>
      <c r="D8" s="106"/>
      <c r="E8" s="68">
        <v>5162</v>
      </c>
      <c r="F8" s="117"/>
      <c r="G8" s="67">
        <v>10700</v>
      </c>
      <c r="H8" s="106"/>
      <c r="I8" s="18"/>
    </row>
    <row r="9" spans="1:9">
      <c r="A9" s="69"/>
      <c r="B9" s="22">
        <v>1</v>
      </c>
      <c r="C9" s="23">
        <f>Gas!C9</f>
        <v>38</v>
      </c>
      <c r="D9" s="23">
        <f>Gas!D9</f>
        <v>199</v>
      </c>
      <c r="E9" s="70">
        <v>5190</v>
      </c>
      <c r="F9" s="71">
        <f>E9-E8</f>
        <v>28</v>
      </c>
      <c r="G9" s="71">
        <f t="shared" ref="G9:G39" si="0">F9*$G$8</f>
        <v>299600</v>
      </c>
      <c r="H9" s="83">
        <f>G9/14381</f>
        <v>20.833043599193381</v>
      </c>
      <c r="I9" s="21"/>
    </row>
    <row r="10" spans="1:9">
      <c r="A10" s="69"/>
      <c r="B10" s="22">
        <v>2</v>
      </c>
      <c r="C10" s="23">
        <f>Gas!C10</f>
        <v>39</v>
      </c>
      <c r="D10" s="23">
        <f>Gas!D10</f>
        <v>214</v>
      </c>
      <c r="E10" s="70">
        <v>5190</v>
      </c>
      <c r="F10" s="72">
        <f t="shared" ref="F10:F39" si="1">E10-E9</f>
        <v>0</v>
      </c>
      <c r="G10" s="71">
        <f>F10*$G$8</f>
        <v>0</v>
      </c>
      <c r="H10" s="83">
        <f t="shared" ref="H10:H39" si="2">G10/14381</f>
        <v>0</v>
      </c>
      <c r="I10" s="21"/>
    </row>
    <row r="11" spans="1:9">
      <c r="A11" s="69"/>
      <c r="B11" s="22">
        <v>3</v>
      </c>
      <c r="C11" s="23">
        <f>Gas!C11</f>
        <v>35</v>
      </c>
      <c r="D11" s="23">
        <f>Gas!D11</f>
        <v>243</v>
      </c>
      <c r="E11" s="70">
        <v>5236</v>
      </c>
      <c r="F11" s="72">
        <f t="shared" si="1"/>
        <v>46</v>
      </c>
      <c r="G11" s="71">
        <f t="shared" si="0"/>
        <v>492200</v>
      </c>
      <c r="H11" s="83">
        <f t="shared" si="2"/>
        <v>34.225714484389123</v>
      </c>
      <c r="I11" s="21"/>
    </row>
    <row r="12" spans="1:9">
      <c r="A12" s="69"/>
      <c r="B12" s="22">
        <v>4</v>
      </c>
      <c r="C12" s="23">
        <f>Gas!C12</f>
        <v>42</v>
      </c>
      <c r="D12" s="23">
        <f>Gas!D12</f>
        <v>257</v>
      </c>
      <c r="E12" s="70">
        <v>5236</v>
      </c>
      <c r="F12" s="72">
        <f t="shared" si="1"/>
        <v>0</v>
      </c>
      <c r="G12" s="71">
        <f t="shared" si="0"/>
        <v>0</v>
      </c>
      <c r="H12" s="83">
        <f t="shared" si="2"/>
        <v>0</v>
      </c>
      <c r="I12" s="21"/>
    </row>
    <row r="13" spans="1:9">
      <c r="A13" s="69"/>
      <c r="B13" s="22">
        <v>5</v>
      </c>
      <c r="C13" s="23">
        <f>Gas!C13</f>
        <v>37</v>
      </c>
      <c r="D13" s="23">
        <f>Gas!D13</f>
        <v>277</v>
      </c>
      <c r="E13" s="70">
        <v>5236</v>
      </c>
      <c r="F13" s="72">
        <f t="shared" si="1"/>
        <v>0</v>
      </c>
      <c r="G13" s="71">
        <f t="shared" si="0"/>
        <v>0</v>
      </c>
      <c r="H13" s="83">
        <f t="shared" si="2"/>
        <v>0</v>
      </c>
      <c r="I13" s="21"/>
    </row>
    <row r="14" spans="1:9">
      <c r="A14" s="69"/>
      <c r="B14" s="22">
        <v>6</v>
      </c>
      <c r="C14" s="23">
        <f>Gas!C14</f>
        <v>41</v>
      </c>
      <c r="D14" s="23">
        <f>Gas!D14</f>
        <v>246</v>
      </c>
      <c r="E14" s="70">
        <v>5236</v>
      </c>
      <c r="F14" s="72">
        <f t="shared" si="1"/>
        <v>0</v>
      </c>
      <c r="G14" s="71">
        <f t="shared" si="0"/>
        <v>0</v>
      </c>
      <c r="H14" s="83">
        <f t="shared" si="2"/>
        <v>0</v>
      </c>
      <c r="I14" s="21"/>
    </row>
    <row r="15" spans="1:9">
      <c r="A15" s="69"/>
      <c r="B15" s="22">
        <v>7</v>
      </c>
      <c r="C15" s="23">
        <f>Gas!C15</f>
        <v>35</v>
      </c>
      <c r="D15" s="23">
        <f>Gas!D15</f>
        <v>220</v>
      </c>
      <c r="E15" s="70">
        <v>5236</v>
      </c>
      <c r="F15" s="72">
        <f t="shared" si="1"/>
        <v>0</v>
      </c>
      <c r="G15" s="71">
        <f t="shared" si="0"/>
        <v>0</v>
      </c>
      <c r="H15" s="83">
        <f t="shared" si="2"/>
        <v>0</v>
      </c>
      <c r="I15" s="21"/>
    </row>
    <row r="16" spans="1:9">
      <c r="A16" s="69"/>
      <c r="B16" s="22">
        <v>8</v>
      </c>
      <c r="C16" s="23">
        <f>Gas!C16</f>
        <v>45</v>
      </c>
      <c r="D16" s="23">
        <f>Gas!D16</f>
        <v>257</v>
      </c>
      <c r="E16" s="70">
        <v>5236</v>
      </c>
      <c r="F16" s="72">
        <f t="shared" si="1"/>
        <v>0</v>
      </c>
      <c r="G16" s="71">
        <f t="shared" si="0"/>
        <v>0</v>
      </c>
      <c r="H16" s="83">
        <f t="shared" si="2"/>
        <v>0</v>
      </c>
      <c r="I16" s="21"/>
    </row>
    <row r="17" spans="1:9">
      <c r="A17" s="69"/>
      <c r="B17" s="22">
        <v>9</v>
      </c>
      <c r="C17" s="23">
        <f>Gas!C17</f>
        <v>43</v>
      </c>
      <c r="D17" s="23">
        <f>Gas!D17</f>
        <v>214</v>
      </c>
      <c r="E17" s="70">
        <v>5236</v>
      </c>
      <c r="F17" s="72">
        <f t="shared" si="1"/>
        <v>0</v>
      </c>
      <c r="G17" s="71">
        <f t="shared" si="0"/>
        <v>0</v>
      </c>
      <c r="H17" s="83">
        <f t="shared" si="2"/>
        <v>0</v>
      </c>
      <c r="I17" s="21"/>
    </row>
    <row r="18" spans="1:9">
      <c r="A18" s="69"/>
      <c r="B18" s="22">
        <v>10</v>
      </c>
      <c r="C18" s="23">
        <f>Gas!C18</f>
        <v>39</v>
      </c>
      <c r="D18" s="23">
        <f>Gas!D18</f>
        <v>251</v>
      </c>
      <c r="E18" s="70">
        <v>5282</v>
      </c>
      <c r="F18" s="72">
        <f t="shared" si="1"/>
        <v>46</v>
      </c>
      <c r="G18" s="71">
        <f t="shared" si="0"/>
        <v>492200</v>
      </c>
      <c r="H18" s="83">
        <f t="shared" si="2"/>
        <v>34.225714484389123</v>
      </c>
      <c r="I18" s="21"/>
    </row>
    <row r="19" spans="1:9">
      <c r="A19" s="69"/>
      <c r="B19" s="22">
        <v>11</v>
      </c>
      <c r="C19" s="23">
        <f>Gas!C19</f>
        <v>45</v>
      </c>
      <c r="D19" s="23">
        <f>Gas!D19</f>
        <v>266</v>
      </c>
      <c r="E19" s="70">
        <v>5282</v>
      </c>
      <c r="F19" s="72">
        <f t="shared" si="1"/>
        <v>0</v>
      </c>
      <c r="G19" s="71">
        <f t="shared" si="0"/>
        <v>0</v>
      </c>
      <c r="H19" s="83">
        <f t="shared" si="2"/>
        <v>0</v>
      </c>
      <c r="I19" s="21"/>
    </row>
    <row r="20" spans="1:9">
      <c r="A20" s="69"/>
      <c r="B20" s="22">
        <v>12</v>
      </c>
      <c r="C20" s="23">
        <f>Gas!C20</f>
        <v>45</v>
      </c>
      <c r="D20" s="23">
        <f>Gas!D20</f>
        <v>251</v>
      </c>
      <c r="E20" s="70">
        <v>5282</v>
      </c>
      <c r="F20" s="72">
        <f t="shared" si="1"/>
        <v>0</v>
      </c>
      <c r="G20" s="71">
        <f t="shared" si="0"/>
        <v>0</v>
      </c>
      <c r="H20" s="83">
        <f t="shared" si="2"/>
        <v>0</v>
      </c>
      <c r="I20" s="21"/>
    </row>
    <row r="21" spans="1:9">
      <c r="A21" s="69"/>
      <c r="B21" s="22">
        <v>13</v>
      </c>
      <c r="C21" s="23">
        <f>Gas!C21</f>
        <v>49</v>
      </c>
      <c r="D21" s="23">
        <f>Gas!D21</f>
        <v>233</v>
      </c>
      <c r="E21" s="70">
        <v>5282</v>
      </c>
      <c r="F21" s="72">
        <f t="shared" si="1"/>
        <v>0</v>
      </c>
      <c r="G21" s="71">
        <f t="shared" si="0"/>
        <v>0</v>
      </c>
      <c r="H21" s="83">
        <f t="shared" si="2"/>
        <v>0</v>
      </c>
      <c r="I21" s="21"/>
    </row>
    <row r="22" spans="1:9">
      <c r="A22" s="69"/>
      <c r="B22" s="22">
        <v>14</v>
      </c>
      <c r="C22" s="23">
        <f>Gas!C22</f>
        <v>43</v>
      </c>
      <c r="D22" s="23">
        <f>Gas!D22</f>
        <v>259</v>
      </c>
      <c r="E22" s="70">
        <v>5282</v>
      </c>
      <c r="F22" s="72">
        <f t="shared" si="1"/>
        <v>0</v>
      </c>
      <c r="G22" s="71">
        <f t="shared" si="0"/>
        <v>0</v>
      </c>
      <c r="H22" s="83">
        <f t="shared" si="2"/>
        <v>0</v>
      </c>
      <c r="I22" s="21"/>
    </row>
    <row r="23" spans="1:9">
      <c r="A23" s="69"/>
      <c r="B23" s="22">
        <v>15</v>
      </c>
      <c r="C23" s="23">
        <f>Gas!C23</f>
        <v>43</v>
      </c>
      <c r="D23" s="23">
        <f>Gas!D23</f>
        <v>222</v>
      </c>
      <c r="E23" s="70">
        <v>5282</v>
      </c>
      <c r="F23" s="72">
        <f t="shared" si="1"/>
        <v>0</v>
      </c>
      <c r="G23" s="71">
        <f t="shared" si="0"/>
        <v>0</v>
      </c>
      <c r="H23" s="83">
        <f t="shared" si="2"/>
        <v>0</v>
      </c>
      <c r="I23" s="21"/>
    </row>
    <row r="24" spans="1:9">
      <c r="A24" s="69"/>
      <c r="B24" s="22">
        <v>16</v>
      </c>
      <c r="C24" s="23">
        <f>Gas!C24</f>
        <v>44</v>
      </c>
      <c r="D24" s="23">
        <f>Gas!D24</f>
        <v>235</v>
      </c>
      <c r="E24" s="70">
        <v>5282</v>
      </c>
      <c r="F24" s="72">
        <f t="shared" si="1"/>
        <v>0</v>
      </c>
      <c r="G24" s="71">
        <f t="shared" si="0"/>
        <v>0</v>
      </c>
      <c r="H24" s="83">
        <f t="shared" si="2"/>
        <v>0</v>
      </c>
      <c r="I24" s="21"/>
    </row>
    <row r="25" spans="1:9">
      <c r="A25" s="69"/>
      <c r="B25" s="22">
        <v>17</v>
      </c>
      <c r="C25" s="23">
        <f>Gas!C25</f>
        <v>45</v>
      </c>
      <c r="D25" s="23">
        <f>Gas!D25</f>
        <v>236</v>
      </c>
      <c r="E25" s="70">
        <v>5282</v>
      </c>
      <c r="F25" s="72">
        <f t="shared" si="1"/>
        <v>0</v>
      </c>
      <c r="G25" s="71">
        <f t="shared" si="0"/>
        <v>0</v>
      </c>
      <c r="H25" s="83">
        <f t="shared" si="2"/>
        <v>0</v>
      </c>
      <c r="I25" s="21"/>
    </row>
    <row r="26" spans="1:9">
      <c r="A26" s="69"/>
      <c r="B26" s="22">
        <v>18</v>
      </c>
      <c r="C26" s="23">
        <f>Gas!C26</f>
        <v>48</v>
      </c>
      <c r="D26" s="23">
        <f>Gas!D26</f>
        <v>259</v>
      </c>
      <c r="E26" s="70">
        <v>5282</v>
      </c>
      <c r="F26" s="72">
        <f t="shared" si="1"/>
        <v>0</v>
      </c>
      <c r="G26" s="71">
        <f t="shared" si="0"/>
        <v>0</v>
      </c>
      <c r="H26" s="83">
        <f t="shared" si="2"/>
        <v>0</v>
      </c>
      <c r="I26" s="21"/>
    </row>
    <row r="27" spans="1:9">
      <c r="A27" s="69"/>
      <c r="B27" s="22">
        <v>19</v>
      </c>
      <c r="C27" s="23">
        <f>Gas!C27</f>
        <v>48</v>
      </c>
      <c r="D27" s="23">
        <f>Gas!D27</f>
        <v>282</v>
      </c>
      <c r="E27" s="70">
        <v>5282</v>
      </c>
      <c r="F27" s="72">
        <f t="shared" si="1"/>
        <v>0</v>
      </c>
      <c r="G27" s="71">
        <f t="shared" si="0"/>
        <v>0</v>
      </c>
      <c r="H27" s="83">
        <f t="shared" si="2"/>
        <v>0</v>
      </c>
      <c r="I27" s="21"/>
    </row>
    <row r="28" spans="1:9">
      <c r="A28" s="69"/>
      <c r="B28" s="22">
        <v>20</v>
      </c>
      <c r="C28" s="23">
        <f>Gas!C28</f>
        <v>45</v>
      </c>
      <c r="D28" s="23">
        <f>Gas!D28</f>
        <v>285</v>
      </c>
      <c r="E28" s="70">
        <v>5282</v>
      </c>
      <c r="F28" s="72">
        <f t="shared" si="1"/>
        <v>0</v>
      </c>
      <c r="G28" s="71">
        <f t="shared" si="0"/>
        <v>0</v>
      </c>
      <c r="H28" s="83">
        <f t="shared" si="2"/>
        <v>0</v>
      </c>
      <c r="I28" s="21"/>
    </row>
    <row r="29" spans="1:9">
      <c r="A29" s="69"/>
      <c r="B29" s="22">
        <v>21</v>
      </c>
      <c r="C29" s="23">
        <f>Gas!C29</f>
        <v>44</v>
      </c>
      <c r="D29" s="23">
        <f>Gas!D29</f>
        <v>255</v>
      </c>
      <c r="E29" s="70">
        <v>5282</v>
      </c>
      <c r="F29" s="72">
        <f t="shared" si="1"/>
        <v>0</v>
      </c>
      <c r="G29" s="71">
        <f t="shared" si="0"/>
        <v>0</v>
      </c>
      <c r="H29" s="83">
        <f t="shared" si="2"/>
        <v>0</v>
      </c>
      <c r="I29" s="21"/>
    </row>
    <row r="30" spans="1:9">
      <c r="A30" s="69"/>
      <c r="B30" s="22">
        <v>22</v>
      </c>
      <c r="C30" s="23">
        <f>Gas!C30</f>
        <v>42</v>
      </c>
      <c r="D30" s="23">
        <f>Gas!D30</f>
        <v>260</v>
      </c>
      <c r="E30" s="70">
        <v>5282</v>
      </c>
      <c r="F30" s="72">
        <f t="shared" si="1"/>
        <v>0</v>
      </c>
      <c r="G30" s="71">
        <f t="shared" si="0"/>
        <v>0</v>
      </c>
      <c r="H30" s="83">
        <f t="shared" si="2"/>
        <v>0</v>
      </c>
      <c r="I30" s="21"/>
    </row>
    <row r="31" spans="1:9">
      <c r="A31" s="69"/>
      <c r="B31" s="22">
        <v>23</v>
      </c>
      <c r="C31" s="23">
        <f>Gas!C31</f>
        <v>40</v>
      </c>
      <c r="D31" s="23">
        <f>Gas!D31</f>
        <v>255</v>
      </c>
      <c r="E31" s="70">
        <v>5282</v>
      </c>
      <c r="F31" s="72">
        <f t="shared" si="1"/>
        <v>0</v>
      </c>
      <c r="G31" s="71">
        <f t="shared" si="0"/>
        <v>0</v>
      </c>
      <c r="H31" s="83">
        <f t="shared" si="2"/>
        <v>0</v>
      </c>
      <c r="I31" s="21"/>
    </row>
    <row r="32" spans="1:9">
      <c r="A32" s="69"/>
      <c r="B32" s="22">
        <v>24</v>
      </c>
      <c r="C32" s="23">
        <f>Gas!C32</f>
        <v>44</v>
      </c>
      <c r="D32" s="23">
        <f>Gas!D32</f>
        <v>273</v>
      </c>
      <c r="E32" s="70">
        <v>5294</v>
      </c>
      <c r="F32" s="72">
        <f t="shared" si="1"/>
        <v>12</v>
      </c>
      <c r="G32" s="71"/>
      <c r="H32" s="83">
        <f t="shared" si="2"/>
        <v>0</v>
      </c>
      <c r="I32" s="21"/>
    </row>
    <row r="33" spans="1:11">
      <c r="A33" s="69"/>
      <c r="B33" s="22">
        <v>25</v>
      </c>
      <c r="C33" s="23">
        <f>Gas!C33</f>
        <v>39</v>
      </c>
      <c r="D33" s="23">
        <f>Gas!D33</f>
        <v>207</v>
      </c>
      <c r="E33" s="70">
        <v>5295</v>
      </c>
      <c r="F33" s="72">
        <f t="shared" si="1"/>
        <v>1</v>
      </c>
      <c r="G33" s="71">
        <f t="shared" si="0"/>
        <v>10700</v>
      </c>
      <c r="H33" s="83">
        <f t="shared" si="2"/>
        <v>0.74403727139976361</v>
      </c>
      <c r="I33" s="21"/>
    </row>
    <row r="34" spans="1:11">
      <c r="A34" s="69"/>
      <c r="B34" s="22">
        <v>26</v>
      </c>
      <c r="C34" s="23">
        <f>Gas!C34</f>
        <v>48</v>
      </c>
      <c r="D34" s="23">
        <f>Gas!D34</f>
        <v>253</v>
      </c>
      <c r="E34" s="70">
        <v>5387</v>
      </c>
      <c r="F34" s="72">
        <f t="shared" si="1"/>
        <v>92</v>
      </c>
      <c r="G34" s="71">
        <f t="shared" si="0"/>
        <v>984400</v>
      </c>
      <c r="H34" s="83">
        <f t="shared" si="2"/>
        <v>68.451428968778245</v>
      </c>
      <c r="I34" s="21"/>
    </row>
    <row r="35" spans="1:11">
      <c r="A35" s="69"/>
      <c r="B35" s="22">
        <v>27</v>
      </c>
      <c r="C35" s="23">
        <f>Gas!C35</f>
        <v>43</v>
      </c>
      <c r="D35" s="23">
        <f>Gas!D35</f>
        <v>254</v>
      </c>
      <c r="E35" s="70">
        <v>5387</v>
      </c>
      <c r="F35" s="72">
        <f t="shared" si="1"/>
        <v>0</v>
      </c>
      <c r="G35" s="71">
        <f t="shared" si="0"/>
        <v>0</v>
      </c>
      <c r="H35" s="83">
        <f t="shared" si="2"/>
        <v>0</v>
      </c>
      <c r="I35" s="21"/>
    </row>
    <row r="36" spans="1:11">
      <c r="A36" s="69"/>
      <c r="B36" s="22">
        <v>28</v>
      </c>
      <c r="C36" s="23">
        <f>Gas!C36</f>
        <v>43</v>
      </c>
      <c r="D36" s="23">
        <f>Gas!D36</f>
        <v>224</v>
      </c>
      <c r="E36" s="70">
        <v>5387</v>
      </c>
      <c r="F36" s="72">
        <f t="shared" si="1"/>
        <v>0</v>
      </c>
      <c r="G36" s="71">
        <f t="shared" si="0"/>
        <v>0</v>
      </c>
      <c r="H36" s="83">
        <f t="shared" si="2"/>
        <v>0</v>
      </c>
      <c r="I36" s="21"/>
    </row>
    <row r="37" spans="1:11">
      <c r="A37" s="69"/>
      <c r="B37" s="22">
        <v>29</v>
      </c>
      <c r="C37" s="23">
        <f>Gas!C37</f>
        <v>38</v>
      </c>
      <c r="D37" s="23">
        <f>Gas!D37</f>
        <v>191</v>
      </c>
      <c r="E37" s="70">
        <v>5387</v>
      </c>
      <c r="F37" s="72">
        <f t="shared" si="1"/>
        <v>0</v>
      </c>
      <c r="G37" s="71">
        <f t="shared" si="0"/>
        <v>0</v>
      </c>
      <c r="H37" s="83">
        <f t="shared" si="2"/>
        <v>0</v>
      </c>
      <c r="I37" s="21"/>
    </row>
    <row r="38" spans="1:11">
      <c r="A38" s="69"/>
      <c r="B38" s="22">
        <v>30</v>
      </c>
      <c r="C38" s="23">
        <f>Gas!C38</f>
        <v>35</v>
      </c>
      <c r="D38" s="23">
        <f>Gas!D38</f>
        <v>183</v>
      </c>
      <c r="E38" s="70">
        <v>5422</v>
      </c>
      <c r="F38" s="72">
        <f t="shared" si="1"/>
        <v>35</v>
      </c>
      <c r="G38" s="71">
        <f t="shared" si="0"/>
        <v>374500</v>
      </c>
      <c r="H38" s="83">
        <f t="shared" si="2"/>
        <v>26.041304498991725</v>
      </c>
      <c r="I38" s="21"/>
    </row>
    <row r="39" spans="1:11">
      <c r="A39" s="69"/>
      <c r="B39" s="22">
        <v>31</v>
      </c>
      <c r="C39" s="23">
        <f>Gas!C39</f>
        <v>26</v>
      </c>
      <c r="D39" s="23">
        <f>Gas!D39</f>
        <v>152</v>
      </c>
      <c r="E39" s="70">
        <v>5422</v>
      </c>
      <c r="F39" s="72">
        <f t="shared" si="1"/>
        <v>0</v>
      </c>
      <c r="G39" s="71">
        <f t="shared" si="0"/>
        <v>0</v>
      </c>
      <c r="H39" s="83">
        <f t="shared" si="2"/>
        <v>0</v>
      </c>
      <c r="I39" s="21"/>
    </row>
    <row r="40" spans="1:11">
      <c r="C40" s="30">
        <f>SUM(C9:C39)</f>
        <v>1291</v>
      </c>
      <c r="D40" s="30">
        <f>SUM(D9:D39)</f>
        <v>7413</v>
      </c>
      <c r="E40" s="30"/>
      <c r="F40" s="30">
        <f>SUM(F9:F39)</f>
        <v>260</v>
      </c>
      <c r="G40" s="30"/>
      <c r="H40" s="73">
        <f>SUM(H9:H39)</f>
        <v>184.52124330714136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21" workbookViewId="0">
      <selection activeCell="J39" sqref="J39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42578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42578125" customWidth="1"/>
    <col min="15" max="15" width="20.42578125" customWidth="1"/>
  </cols>
  <sheetData>
    <row r="2" spans="1:13" ht="15.95">
      <c r="B2" s="107" t="s">
        <v>48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 ht="15.95">
      <c r="B3" s="107" t="s">
        <v>16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8">
        <v>44743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6"/>
    </row>
    <row r="6" spans="1:13">
      <c r="A6" s="17"/>
      <c r="B6" s="106">
        <v>3</v>
      </c>
      <c r="C6" s="106" t="s">
        <v>49</v>
      </c>
      <c r="D6" s="106" t="s">
        <v>13</v>
      </c>
      <c r="E6" s="112" t="s">
        <v>50</v>
      </c>
      <c r="F6" s="112"/>
      <c r="G6" s="114" t="s">
        <v>51</v>
      </c>
      <c r="H6" s="114"/>
      <c r="I6" s="114"/>
      <c r="J6" s="114"/>
      <c r="K6" s="106" t="s">
        <v>52</v>
      </c>
      <c r="L6" s="106" t="s">
        <v>53</v>
      </c>
      <c r="M6" s="18"/>
    </row>
    <row r="7" spans="1:13" s="19" customFormat="1">
      <c r="A7" s="17"/>
      <c r="B7" s="106"/>
      <c r="C7" s="106"/>
      <c r="D7" s="106"/>
      <c r="E7" s="106" t="s">
        <v>54</v>
      </c>
      <c r="F7" s="106" t="s">
        <v>55</v>
      </c>
      <c r="G7" s="106" t="s">
        <v>54</v>
      </c>
      <c r="H7" s="106" t="s">
        <v>56</v>
      </c>
      <c r="I7" s="106" t="s">
        <v>54</v>
      </c>
      <c r="J7" s="106" t="s">
        <v>57</v>
      </c>
      <c r="K7" s="106"/>
      <c r="L7" s="106"/>
      <c r="M7" s="18"/>
    </row>
    <row r="8" spans="1:13">
      <c r="A8" s="20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21"/>
    </row>
    <row r="9" spans="1:13">
      <c r="A9" s="20"/>
      <c r="B9" s="22">
        <v>1</v>
      </c>
      <c r="C9" s="23">
        <f>'Fuel Diesel'!C9</f>
        <v>38</v>
      </c>
      <c r="D9" s="23">
        <f>'Fuel Diesel'!D9</f>
        <v>199</v>
      </c>
      <c r="E9" s="24">
        <v>0</v>
      </c>
      <c r="F9" s="26">
        <f>E9*13582</f>
        <v>0</v>
      </c>
      <c r="G9" s="24">
        <v>76</v>
      </c>
      <c r="H9" s="26">
        <f>G9*4000</f>
        <v>304000</v>
      </c>
      <c r="I9" s="24">
        <v>128</v>
      </c>
      <c r="J9" s="26">
        <f>I9*4000</f>
        <v>512000</v>
      </c>
      <c r="K9" s="24">
        <f t="shared" ref="K9:K39" si="0">F9+H9+J9</f>
        <v>816000</v>
      </c>
      <c r="L9" s="77">
        <f>K9/14381</f>
        <v>56.741533968430566</v>
      </c>
      <c r="M9" s="21"/>
    </row>
    <row r="10" spans="1:13">
      <c r="A10" s="20"/>
      <c r="B10" s="22">
        <v>2</v>
      </c>
      <c r="C10" s="23">
        <f>'Fuel Diesel'!C10</f>
        <v>39</v>
      </c>
      <c r="D10" s="23">
        <f>'Fuel Diesel'!D10</f>
        <v>214</v>
      </c>
      <c r="E10" s="24">
        <v>0</v>
      </c>
      <c r="F10" s="26">
        <f>E10*13582</f>
        <v>0</v>
      </c>
      <c r="G10" s="24">
        <v>66</v>
      </c>
      <c r="H10" s="26">
        <f>G10*4000</f>
        <v>264000</v>
      </c>
      <c r="I10" s="24">
        <v>110</v>
      </c>
      <c r="J10" s="26">
        <f>I10*4000</f>
        <v>440000</v>
      </c>
      <c r="K10" s="24">
        <f t="shared" si="0"/>
        <v>704000</v>
      </c>
      <c r="L10" s="77">
        <f t="shared" ref="L10:L39" si="1">K10/14381</f>
        <v>48.953480286489118</v>
      </c>
      <c r="M10" s="21"/>
    </row>
    <row r="11" spans="1:13">
      <c r="A11" s="20"/>
      <c r="B11" s="22">
        <v>3</v>
      </c>
      <c r="C11" s="23">
        <f>'Fuel Diesel'!C11</f>
        <v>35</v>
      </c>
      <c r="D11" s="23">
        <f>'Fuel Diesel'!D11</f>
        <v>243</v>
      </c>
      <c r="E11" s="24">
        <v>0</v>
      </c>
      <c r="F11" s="26">
        <f t="shared" ref="F11:F39" si="2">E11*13582</f>
        <v>0</v>
      </c>
      <c r="G11" s="24">
        <v>76</v>
      </c>
      <c r="H11" s="26">
        <f t="shared" ref="H11:H39" si="3">G11*4000</f>
        <v>304000</v>
      </c>
      <c r="I11" s="24">
        <v>131</v>
      </c>
      <c r="J11" s="26">
        <f t="shared" ref="J11:J39" si="4">I11*4000</f>
        <v>524000</v>
      </c>
      <c r="K11" s="24">
        <f t="shared" si="0"/>
        <v>828000</v>
      </c>
      <c r="L11" s="77">
        <f t="shared" si="1"/>
        <v>57.575968291495727</v>
      </c>
      <c r="M11" s="21"/>
    </row>
    <row r="12" spans="1:13">
      <c r="A12" s="20"/>
      <c r="B12" s="22">
        <v>4</v>
      </c>
      <c r="C12" s="23">
        <f>'Fuel Diesel'!C12</f>
        <v>42</v>
      </c>
      <c r="D12" s="23">
        <f>'Fuel Diesel'!D12</f>
        <v>257</v>
      </c>
      <c r="E12" s="24">
        <v>0</v>
      </c>
      <c r="F12" s="26">
        <f t="shared" si="2"/>
        <v>0</v>
      </c>
      <c r="G12" s="24">
        <v>79</v>
      </c>
      <c r="H12" s="26">
        <f t="shared" si="3"/>
        <v>316000</v>
      </c>
      <c r="I12" s="24">
        <v>137</v>
      </c>
      <c r="J12" s="26">
        <f t="shared" si="4"/>
        <v>548000</v>
      </c>
      <c r="K12" s="24">
        <f t="shared" si="0"/>
        <v>864000</v>
      </c>
      <c r="L12" s="77">
        <f t="shared" si="1"/>
        <v>60.079271260691186</v>
      </c>
      <c r="M12" s="21"/>
    </row>
    <row r="13" spans="1:13">
      <c r="A13" s="20"/>
      <c r="B13" s="22">
        <v>5</v>
      </c>
      <c r="C13" s="23">
        <f>'Fuel Diesel'!C13</f>
        <v>37</v>
      </c>
      <c r="D13" s="23">
        <f>'Fuel Diesel'!D13</f>
        <v>277</v>
      </c>
      <c r="E13" s="24">
        <v>0</v>
      </c>
      <c r="F13" s="26">
        <f t="shared" si="2"/>
        <v>0</v>
      </c>
      <c r="G13" s="24">
        <v>95</v>
      </c>
      <c r="H13" s="26">
        <f t="shared" si="3"/>
        <v>380000</v>
      </c>
      <c r="I13" s="24">
        <v>154</v>
      </c>
      <c r="J13" s="26">
        <f t="shared" si="4"/>
        <v>616000</v>
      </c>
      <c r="K13" s="24">
        <f t="shared" si="0"/>
        <v>996000</v>
      </c>
      <c r="L13" s="77">
        <f t="shared" si="1"/>
        <v>69.2580488144079</v>
      </c>
      <c r="M13" s="21"/>
    </row>
    <row r="14" spans="1:13">
      <c r="A14" s="20"/>
      <c r="B14" s="22">
        <v>6</v>
      </c>
      <c r="C14" s="23">
        <f>'Fuel Diesel'!C14</f>
        <v>41</v>
      </c>
      <c r="D14" s="23">
        <f>'Fuel Diesel'!D14</f>
        <v>246</v>
      </c>
      <c r="E14" s="24">
        <v>0</v>
      </c>
      <c r="F14" s="26">
        <f t="shared" si="2"/>
        <v>0</v>
      </c>
      <c r="G14" s="24">
        <v>76</v>
      </c>
      <c r="H14" s="26">
        <f t="shared" si="3"/>
        <v>304000</v>
      </c>
      <c r="I14" s="24">
        <v>133</v>
      </c>
      <c r="J14" s="26">
        <f t="shared" si="4"/>
        <v>532000</v>
      </c>
      <c r="K14" s="24">
        <f t="shared" si="0"/>
        <v>836000</v>
      </c>
      <c r="L14" s="77">
        <f t="shared" si="1"/>
        <v>58.132257840205824</v>
      </c>
      <c r="M14" s="21"/>
    </row>
    <row r="15" spans="1:13">
      <c r="A15" s="20"/>
      <c r="B15" s="22">
        <v>7</v>
      </c>
      <c r="C15" s="23">
        <f>'Fuel Diesel'!C15</f>
        <v>35</v>
      </c>
      <c r="D15" s="23">
        <f>'Fuel Diesel'!D15</f>
        <v>220</v>
      </c>
      <c r="E15" s="24">
        <v>0</v>
      </c>
      <c r="F15" s="26">
        <f t="shared" si="2"/>
        <v>0</v>
      </c>
      <c r="G15" s="24">
        <v>59</v>
      </c>
      <c r="H15" s="26">
        <f t="shared" si="3"/>
        <v>236000</v>
      </c>
      <c r="I15" s="24">
        <v>98</v>
      </c>
      <c r="J15" s="26">
        <f t="shared" si="4"/>
        <v>392000</v>
      </c>
      <c r="K15" s="24">
        <f t="shared" si="0"/>
        <v>628000</v>
      </c>
      <c r="L15" s="77">
        <f t="shared" si="1"/>
        <v>43.668729573743136</v>
      </c>
      <c r="M15" s="21"/>
    </row>
    <row r="16" spans="1:13">
      <c r="A16" s="20"/>
      <c r="B16" s="22">
        <v>8</v>
      </c>
      <c r="C16" s="23">
        <f>'Fuel Diesel'!C16</f>
        <v>45</v>
      </c>
      <c r="D16" s="23">
        <f>'Fuel Diesel'!D16</f>
        <v>257</v>
      </c>
      <c r="E16" s="24">
        <v>0</v>
      </c>
      <c r="F16" s="26">
        <f t="shared" si="2"/>
        <v>0</v>
      </c>
      <c r="G16" s="24">
        <v>75</v>
      </c>
      <c r="H16" s="26">
        <f t="shared" si="3"/>
        <v>300000</v>
      </c>
      <c r="I16" s="24">
        <v>124</v>
      </c>
      <c r="J16" s="26">
        <f t="shared" si="4"/>
        <v>496000</v>
      </c>
      <c r="K16" s="24">
        <f t="shared" si="0"/>
        <v>796000</v>
      </c>
      <c r="L16" s="77">
        <f t="shared" si="1"/>
        <v>55.350810096655309</v>
      </c>
      <c r="M16" s="21"/>
    </row>
    <row r="17" spans="1:13">
      <c r="A17" s="20"/>
      <c r="B17" s="22">
        <v>9</v>
      </c>
      <c r="C17" s="23">
        <f>'Fuel Diesel'!C17</f>
        <v>43</v>
      </c>
      <c r="D17" s="23">
        <f>'Fuel Diesel'!D17</f>
        <v>214</v>
      </c>
      <c r="E17" s="24">
        <v>0</v>
      </c>
      <c r="F17" s="26">
        <f t="shared" si="2"/>
        <v>0</v>
      </c>
      <c r="G17" s="24">
        <v>74</v>
      </c>
      <c r="H17" s="26">
        <f t="shared" si="3"/>
        <v>296000</v>
      </c>
      <c r="I17" s="24">
        <v>125</v>
      </c>
      <c r="J17" s="26">
        <f t="shared" si="4"/>
        <v>500000</v>
      </c>
      <c r="K17" s="24">
        <f t="shared" si="0"/>
        <v>796000</v>
      </c>
      <c r="L17" s="77">
        <f t="shared" si="1"/>
        <v>55.350810096655309</v>
      </c>
      <c r="M17" s="21"/>
    </row>
    <row r="18" spans="1:13">
      <c r="A18" s="20"/>
      <c r="B18" s="22">
        <v>10</v>
      </c>
      <c r="C18" s="23">
        <f>'Fuel Diesel'!C18</f>
        <v>39</v>
      </c>
      <c r="D18" s="23">
        <f>'Fuel Diesel'!D18</f>
        <v>251</v>
      </c>
      <c r="E18" s="24">
        <v>0</v>
      </c>
      <c r="F18" s="26">
        <f t="shared" si="2"/>
        <v>0</v>
      </c>
      <c r="G18" s="24">
        <v>64</v>
      </c>
      <c r="H18" s="26">
        <f t="shared" si="3"/>
        <v>256000</v>
      </c>
      <c r="I18" s="24">
        <v>108</v>
      </c>
      <c r="J18" s="26">
        <f t="shared" si="4"/>
        <v>432000</v>
      </c>
      <c r="K18" s="24">
        <f t="shared" si="0"/>
        <v>688000</v>
      </c>
      <c r="L18" s="77">
        <f t="shared" si="1"/>
        <v>47.840901189068909</v>
      </c>
      <c r="M18" s="21"/>
    </row>
    <row r="19" spans="1:13">
      <c r="A19" s="20"/>
      <c r="B19" s="22">
        <v>11</v>
      </c>
      <c r="C19" s="23">
        <f>'Fuel Diesel'!C19</f>
        <v>45</v>
      </c>
      <c r="D19" s="23">
        <f>'Fuel Diesel'!D19</f>
        <v>266</v>
      </c>
      <c r="E19" s="24">
        <v>0</v>
      </c>
      <c r="F19" s="26">
        <f t="shared" si="2"/>
        <v>0</v>
      </c>
      <c r="G19" s="24">
        <v>71</v>
      </c>
      <c r="H19" s="26">
        <f t="shared" si="3"/>
        <v>284000</v>
      </c>
      <c r="I19" s="24">
        <v>120</v>
      </c>
      <c r="J19" s="26">
        <f t="shared" si="4"/>
        <v>480000</v>
      </c>
      <c r="K19" s="24">
        <f t="shared" si="0"/>
        <v>764000</v>
      </c>
      <c r="L19" s="77">
        <f t="shared" si="1"/>
        <v>53.125651901814898</v>
      </c>
      <c r="M19" s="21"/>
    </row>
    <row r="20" spans="1:13">
      <c r="A20" s="20"/>
      <c r="B20" s="22">
        <v>12</v>
      </c>
      <c r="C20" s="23">
        <f>'Fuel Diesel'!C20</f>
        <v>45</v>
      </c>
      <c r="D20" s="23">
        <f>'Fuel Diesel'!D20</f>
        <v>251</v>
      </c>
      <c r="E20" s="24">
        <v>0</v>
      </c>
      <c r="F20" s="26">
        <f t="shared" si="2"/>
        <v>0</v>
      </c>
      <c r="G20" s="24">
        <v>64</v>
      </c>
      <c r="H20" s="26">
        <f>G20*4000</f>
        <v>256000</v>
      </c>
      <c r="I20" s="24">
        <v>109</v>
      </c>
      <c r="J20" s="26">
        <f t="shared" si="4"/>
        <v>436000</v>
      </c>
      <c r="K20" s="24">
        <f t="shared" si="0"/>
        <v>692000</v>
      </c>
      <c r="L20" s="77">
        <f t="shared" si="1"/>
        <v>48.119045963423964</v>
      </c>
      <c r="M20" s="21"/>
    </row>
    <row r="21" spans="1:13">
      <c r="A21" s="20"/>
      <c r="B21" s="22">
        <v>13</v>
      </c>
      <c r="C21" s="23">
        <f>'Fuel Diesel'!C21</f>
        <v>49</v>
      </c>
      <c r="D21" s="23">
        <f>'Fuel Diesel'!D21</f>
        <v>233</v>
      </c>
      <c r="E21" s="24">
        <v>3</v>
      </c>
      <c r="F21" s="26">
        <f t="shared" si="2"/>
        <v>40746</v>
      </c>
      <c r="G21" s="24">
        <v>71</v>
      </c>
      <c r="H21" s="26">
        <f t="shared" si="3"/>
        <v>284000</v>
      </c>
      <c r="I21" s="24">
        <v>119</v>
      </c>
      <c r="J21" s="26">
        <f t="shared" si="4"/>
        <v>476000</v>
      </c>
      <c r="K21" s="24">
        <f t="shared" si="0"/>
        <v>800746</v>
      </c>
      <c r="L21" s="77">
        <f t="shared" si="1"/>
        <v>55.680828871427579</v>
      </c>
      <c r="M21" s="21"/>
    </row>
    <row r="22" spans="1:13">
      <c r="A22" s="20"/>
      <c r="B22" s="22">
        <v>14</v>
      </c>
      <c r="C22" s="23">
        <f>'Fuel Diesel'!C22</f>
        <v>43</v>
      </c>
      <c r="D22" s="23">
        <f>'Fuel Diesel'!D22</f>
        <v>259</v>
      </c>
      <c r="E22" s="24">
        <v>25</v>
      </c>
      <c r="F22" s="26">
        <f t="shared" si="2"/>
        <v>339550</v>
      </c>
      <c r="G22" s="24">
        <v>57</v>
      </c>
      <c r="H22" s="26">
        <f t="shared" si="3"/>
        <v>228000</v>
      </c>
      <c r="I22" s="24">
        <v>100</v>
      </c>
      <c r="J22" s="26">
        <f t="shared" si="4"/>
        <v>400000</v>
      </c>
      <c r="K22" s="24">
        <f t="shared" si="0"/>
        <v>967550</v>
      </c>
      <c r="L22" s="77">
        <f t="shared" si="1"/>
        <v>67.279744106807598</v>
      </c>
      <c r="M22" s="21"/>
    </row>
    <row r="23" spans="1:13">
      <c r="A23" s="20"/>
      <c r="B23" s="22">
        <v>15</v>
      </c>
      <c r="C23" s="23">
        <f>'Fuel Diesel'!C23</f>
        <v>43</v>
      </c>
      <c r="D23" s="23">
        <f>'Fuel Diesel'!D23</f>
        <v>222</v>
      </c>
      <c r="E23" s="24">
        <v>57</v>
      </c>
      <c r="F23" s="26">
        <f t="shared" si="2"/>
        <v>774174</v>
      </c>
      <c r="G23" s="24">
        <v>58</v>
      </c>
      <c r="H23" s="26">
        <f t="shared" si="3"/>
        <v>232000</v>
      </c>
      <c r="I23" s="24">
        <v>94</v>
      </c>
      <c r="J23" s="26">
        <f t="shared" si="4"/>
        <v>376000</v>
      </c>
      <c r="K23" s="24">
        <f t="shared" si="0"/>
        <v>1382174</v>
      </c>
      <c r="L23" s="77">
        <f t="shared" si="1"/>
        <v>96.111118837354837</v>
      </c>
      <c r="M23" s="21"/>
    </row>
    <row r="24" spans="1:13">
      <c r="A24" s="20"/>
      <c r="B24" s="22">
        <v>16</v>
      </c>
      <c r="C24" s="23">
        <f>'Fuel Diesel'!C24</f>
        <v>44</v>
      </c>
      <c r="D24" s="23">
        <f>'Fuel Diesel'!D24</f>
        <v>235</v>
      </c>
      <c r="E24" s="24">
        <v>0</v>
      </c>
      <c r="F24" s="26">
        <f t="shared" si="2"/>
        <v>0</v>
      </c>
      <c r="G24" s="24">
        <v>83</v>
      </c>
      <c r="H24" s="26">
        <f t="shared" si="3"/>
        <v>332000</v>
      </c>
      <c r="I24" s="24">
        <v>142</v>
      </c>
      <c r="J24" s="26">
        <f t="shared" si="4"/>
        <v>568000</v>
      </c>
      <c r="K24" s="24">
        <f t="shared" si="0"/>
        <v>900000</v>
      </c>
      <c r="L24" s="77">
        <f t="shared" si="1"/>
        <v>62.582574229886653</v>
      </c>
      <c r="M24" s="21"/>
    </row>
    <row r="25" spans="1:13">
      <c r="A25" s="20"/>
      <c r="B25" s="22">
        <v>17</v>
      </c>
      <c r="C25" s="23">
        <f>'Fuel Diesel'!C25</f>
        <v>45</v>
      </c>
      <c r="D25" s="23">
        <f>'Fuel Diesel'!D25</f>
        <v>236</v>
      </c>
      <c r="E25" s="24">
        <v>0</v>
      </c>
      <c r="F25" s="26">
        <f t="shared" si="2"/>
        <v>0</v>
      </c>
      <c r="G25" s="24">
        <v>70</v>
      </c>
      <c r="H25" s="26">
        <f t="shared" si="3"/>
        <v>280000</v>
      </c>
      <c r="I25" s="24">
        <v>123</v>
      </c>
      <c r="J25" s="26">
        <f t="shared" si="4"/>
        <v>492000</v>
      </c>
      <c r="K25" s="24">
        <f t="shared" si="0"/>
        <v>772000</v>
      </c>
      <c r="L25" s="77">
        <f t="shared" si="1"/>
        <v>53.681941450524995</v>
      </c>
      <c r="M25" s="21"/>
    </row>
    <row r="26" spans="1:13">
      <c r="A26" s="20"/>
      <c r="B26" s="22">
        <v>18</v>
      </c>
      <c r="C26" s="23">
        <f>'Fuel Diesel'!C26</f>
        <v>48</v>
      </c>
      <c r="D26" s="23">
        <f>'Fuel Diesel'!D26</f>
        <v>259</v>
      </c>
      <c r="E26" s="24">
        <v>0</v>
      </c>
      <c r="F26" s="26">
        <f t="shared" si="2"/>
        <v>0</v>
      </c>
      <c r="G26" s="24">
        <v>76</v>
      </c>
      <c r="H26" s="26">
        <f t="shared" si="3"/>
        <v>304000</v>
      </c>
      <c r="I26" s="24">
        <v>124</v>
      </c>
      <c r="J26" s="26">
        <f t="shared" si="4"/>
        <v>496000</v>
      </c>
      <c r="K26" s="24">
        <f t="shared" si="0"/>
        <v>800000</v>
      </c>
      <c r="L26" s="77">
        <f t="shared" si="1"/>
        <v>55.628954871010357</v>
      </c>
      <c r="M26" s="21"/>
    </row>
    <row r="27" spans="1:13">
      <c r="A27" s="20"/>
      <c r="B27" s="22">
        <v>19</v>
      </c>
      <c r="C27" s="23">
        <f>'Fuel Diesel'!C27</f>
        <v>48</v>
      </c>
      <c r="D27" s="23">
        <f>'Fuel Diesel'!D27</f>
        <v>282</v>
      </c>
      <c r="E27" s="24">
        <v>0</v>
      </c>
      <c r="F27" s="26">
        <f t="shared" si="2"/>
        <v>0</v>
      </c>
      <c r="G27" s="24">
        <v>88</v>
      </c>
      <c r="H27" s="26">
        <f t="shared" si="3"/>
        <v>352000</v>
      </c>
      <c r="I27" s="24">
        <v>146</v>
      </c>
      <c r="J27" s="26">
        <f t="shared" si="4"/>
        <v>584000</v>
      </c>
      <c r="K27" s="24">
        <f t="shared" si="0"/>
        <v>936000</v>
      </c>
      <c r="L27" s="77">
        <f t="shared" si="1"/>
        <v>65.08587719908212</v>
      </c>
      <c r="M27" s="21"/>
    </row>
    <row r="28" spans="1:13">
      <c r="A28" s="20"/>
      <c r="B28" s="22">
        <v>20</v>
      </c>
      <c r="C28" s="23">
        <f>'Fuel Diesel'!C28</f>
        <v>45</v>
      </c>
      <c r="D28" s="23">
        <f>'Fuel Diesel'!D28</f>
        <v>285</v>
      </c>
      <c r="E28" s="24">
        <v>52</v>
      </c>
      <c r="F28" s="26">
        <f t="shared" si="2"/>
        <v>706264</v>
      </c>
      <c r="G28" s="24">
        <v>71</v>
      </c>
      <c r="H28" s="26">
        <f t="shared" si="3"/>
        <v>284000</v>
      </c>
      <c r="I28" s="24">
        <v>122</v>
      </c>
      <c r="J28" s="26">
        <f t="shared" si="4"/>
        <v>488000</v>
      </c>
      <c r="K28" s="24">
        <f t="shared" si="0"/>
        <v>1478264</v>
      </c>
      <c r="L28" s="77">
        <f t="shared" si="1"/>
        <v>102.79285167929908</v>
      </c>
      <c r="M28" s="21"/>
    </row>
    <row r="29" spans="1:13">
      <c r="A29" s="20"/>
      <c r="B29" s="22">
        <v>21</v>
      </c>
      <c r="C29" s="23">
        <f>'Fuel Diesel'!C29</f>
        <v>44</v>
      </c>
      <c r="D29" s="23">
        <f>'Fuel Diesel'!D29</f>
        <v>255</v>
      </c>
      <c r="E29" s="24">
        <v>0</v>
      </c>
      <c r="F29" s="26">
        <f t="shared" si="2"/>
        <v>0</v>
      </c>
      <c r="G29" s="24">
        <v>87</v>
      </c>
      <c r="H29" s="26">
        <f t="shared" si="3"/>
        <v>348000</v>
      </c>
      <c r="I29" s="24">
        <v>147</v>
      </c>
      <c r="J29" s="26">
        <f t="shared" si="4"/>
        <v>588000</v>
      </c>
      <c r="K29" s="24">
        <f t="shared" si="0"/>
        <v>936000</v>
      </c>
      <c r="L29" s="77">
        <f t="shared" si="1"/>
        <v>65.08587719908212</v>
      </c>
      <c r="M29" s="21"/>
    </row>
    <row r="30" spans="1:13">
      <c r="A30" s="20"/>
      <c r="B30" s="22">
        <v>22</v>
      </c>
      <c r="C30" s="23">
        <f>'Fuel Diesel'!C30</f>
        <v>42</v>
      </c>
      <c r="D30" s="23">
        <f>'Fuel Diesel'!D30</f>
        <v>260</v>
      </c>
      <c r="E30" s="24">
        <v>0</v>
      </c>
      <c r="F30" s="26">
        <f t="shared" si="2"/>
        <v>0</v>
      </c>
      <c r="G30" s="24">
        <v>95</v>
      </c>
      <c r="H30" s="26">
        <f t="shared" si="3"/>
        <v>380000</v>
      </c>
      <c r="I30" s="24">
        <v>158</v>
      </c>
      <c r="J30" s="26">
        <f t="shared" si="4"/>
        <v>632000</v>
      </c>
      <c r="K30" s="24">
        <f t="shared" si="0"/>
        <v>1012000</v>
      </c>
      <c r="L30" s="77">
        <f t="shared" si="1"/>
        <v>70.370627911828109</v>
      </c>
      <c r="M30" s="21"/>
    </row>
    <row r="31" spans="1:13">
      <c r="A31" s="20"/>
      <c r="B31" s="22">
        <v>23</v>
      </c>
      <c r="C31" s="23">
        <f>'Fuel Diesel'!C31</f>
        <v>40</v>
      </c>
      <c r="D31" s="23">
        <f>'Fuel Diesel'!D31</f>
        <v>255</v>
      </c>
      <c r="E31" s="24">
        <v>0</v>
      </c>
      <c r="F31" s="26">
        <f t="shared" si="2"/>
        <v>0</v>
      </c>
      <c r="G31" s="24">
        <v>90</v>
      </c>
      <c r="H31" s="26">
        <f t="shared" si="3"/>
        <v>360000</v>
      </c>
      <c r="I31" s="24">
        <v>150</v>
      </c>
      <c r="J31" s="26">
        <f t="shared" si="4"/>
        <v>600000</v>
      </c>
      <c r="K31" s="24">
        <f t="shared" si="0"/>
        <v>960000</v>
      </c>
      <c r="L31" s="77">
        <f t="shared" si="1"/>
        <v>66.754745845212426</v>
      </c>
      <c r="M31" s="21"/>
    </row>
    <row r="32" spans="1:13">
      <c r="A32" s="20"/>
      <c r="B32" s="22">
        <v>24</v>
      </c>
      <c r="C32" s="23">
        <f>'Fuel Diesel'!C32</f>
        <v>44</v>
      </c>
      <c r="D32" s="23">
        <f>'Fuel Diesel'!D32</f>
        <v>273</v>
      </c>
      <c r="E32" s="24">
        <v>0</v>
      </c>
      <c r="F32" s="26">
        <f t="shared" si="2"/>
        <v>0</v>
      </c>
      <c r="G32" s="24">
        <v>104</v>
      </c>
      <c r="H32" s="26">
        <f t="shared" si="3"/>
        <v>416000</v>
      </c>
      <c r="I32" s="24">
        <v>176</v>
      </c>
      <c r="J32" s="26">
        <f t="shared" si="4"/>
        <v>704000</v>
      </c>
      <c r="K32" s="24">
        <f t="shared" si="0"/>
        <v>1120000</v>
      </c>
      <c r="L32" s="77">
        <f t="shared" si="1"/>
        <v>77.880536819414502</v>
      </c>
      <c r="M32" s="21"/>
    </row>
    <row r="33" spans="1:15">
      <c r="A33" s="20"/>
      <c r="B33" s="22">
        <v>25</v>
      </c>
      <c r="C33" s="23">
        <f>'Fuel Diesel'!C33</f>
        <v>39</v>
      </c>
      <c r="D33" s="23">
        <f>'Fuel Diesel'!D33</f>
        <v>207</v>
      </c>
      <c r="E33" s="24">
        <v>0</v>
      </c>
      <c r="F33" s="26">
        <f t="shared" si="2"/>
        <v>0</v>
      </c>
      <c r="G33" s="24">
        <v>80</v>
      </c>
      <c r="H33" s="26">
        <f t="shared" si="3"/>
        <v>320000</v>
      </c>
      <c r="I33" s="24">
        <v>134</v>
      </c>
      <c r="J33" s="26">
        <f t="shared" si="4"/>
        <v>536000</v>
      </c>
      <c r="K33" s="24">
        <f t="shared" si="0"/>
        <v>856000</v>
      </c>
      <c r="L33" s="77">
        <f t="shared" si="1"/>
        <v>59.522981711981089</v>
      </c>
      <c r="M33" s="21"/>
    </row>
    <row r="34" spans="1:15">
      <c r="A34" s="20"/>
      <c r="B34" s="22">
        <v>26</v>
      </c>
      <c r="C34" s="23">
        <f>'Fuel Diesel'!C34</f>
        <v>48</v>
      </c>
      <c r="D34" s="23">
        <f>'Fuel Diesel'!D34</f>
        <v>253</v>
      </c>
      <c r="E34" s="24">
        <v>0</v>
      </c>
      <c r="F34" s="26">
        <f t="shared" si="2"/>
        <v>0</v>
      </c>
      <c r="G34" s="24">
        <v>73</v>
      </c>
      <c r="H34" s="26">
        <f t="shared" si="3"/>
        <v>292000</v>
      </c>
      <c r="I34" s="24">
        <v>123</v>
      </c>
      <c r="J34" s="26">
        <f t="shared" si="4"/>
        <v>492000</v>
      </c>
      <c r="K34" s="24">
        <f t="shared" si="0"/>
        <v>784000</v>
      </c>
      <c r="L34" s="77">
        <f t="shared" si="1"/>
        <v>54.516375773590156</v>
      </c>
      <c r="M34" s="21"/>
    </row>
    <row r="35" spans="1:15">
      <c r="A35" s="20"/>
      <c r="B35" s="22">
        <v>27</v>
      </c>
      <c r="C35" s="23">
        <f>'Fuel Diesel'!C35</f>
        <v>43</v>
      </c>
      <c r="D35" s="23">
        <f>'Fuel Diesel'!D35</f>
        <v>254</v>
      </c>
      <c r="E35" s="24">
        <v>0</v>
      </c>
      <c r="F35" s="26">
        <f t="shared" si="2"/>
        <v>0</v>
      </c>
      <c r="G35" s="24">
        <v>68</v>
      </c>
      <c r="H35" s="26">
        <f t="shared" si="3"/>
        <v>272000</v>
      </c>
      <c r="I35" s="24">
        <v>118</v>
      </c>
      <c r="J35" s="26">
        <f t="shared" si="4"/>
        <v>472000</v>
      </c>
      <c r="K35" s="24">
        <f t="shared" si="0"/>
        <v>744000</v>
      </c>
      <c r="L35" s="77">
        <f t="shared" si="1"/>
        <v>51.734928030039633</v>
      </c>
      <c r="M35" s="21"/>
    </row>
    <row r="36" spans="1:15">
      <c r="A36" s="20"/>
      <c r="B36" s="22">
        <v>28</v>
      </c>
      <c r="C36" s="23">
        <f>'Fuel Diesel'!C36</f>
        <v>43</v>
      </c>
      <c r="D36" s="23">
        <f>'Fuel Diesel'!D36</f>
        <v>224</v>
      </c>
      <c r="E36" s="24">
        <v>0</v>
      </c>
      <c r="F36" s="26">
        <f t="shared" si="2"/>
        <v>0</v>
      </c>
      <c r="G36" s="24">
        <v>67</v>
      </c>
      <c r="H36" s="26">
        <f t="shared" si="3"/>
        <v>268000</v>
      </c>
      <c r="I36" s="24">
        <v>114</v>
      </c>
      <c r="J36" s="26">
        <f t="shared" si="4"/>
        <v>456000</v>
      </c>
      <c r="K36" s="24">
        <f t="shared" si="0"/>
        <v>724000</v>
      </c>
      <c r="L36" s="77">
        <f t="shared" si="1"/>
        <v>50.344204158264375</v>
      </c>
      <c r="M36" s="21"/>
    </row>
    <row r="37" spans="1:15">
      <c r="A37" s="20"/>
      <c r="B37" s="22">
        <v>29</v>
      </c>
      <c r="C37" s="23">
        <f>'Fuel Diesel'!C37</f>
        <v>38</v>
      </c>
      <c r="D37" s="23">
        <f>'Fuel Diesel'!D37</f>
        <v>191</v>
      </c>
      <c r="E37" s="24">
        <v>0</v>
      </c>
      <c r="F37" s="26">
        <f t="shared" si="2"/>
        <v>0</v>
      </c>
      <c r="G37" s="24">
        <v>71</v>
      </c>
      <c r="H37" s="26">
        <f t="shared" si="3"/>
        <v>284000</v>
      </c>
      <c r="I37" s="24">
        <v>119</v>
      </c>
      <c r="J37" s="26">
        <f t="shared" si="4"/>
        <v>476000</v>
      </c>
      <c r="K37" s="24">
        <f t="shared" si="0"/>
        <v>760000</v>
      </c>
      <c r="L37" s="77">
        <f t="shared" si="1"/>
        <v>52.847507127459842</v>
      </c>
      <c r="M37" s="21"/>
    </row>
    <row r="38" spans="1:15">
      <c r="A38" s="20"/>
      <c r="B38" s="22">
        <v>30</v>
      </c>
      <c r="C38" s="23">
        <f>'Fuel Diesel'!C38</f>
        <v>35</v>
      </c>
      <c r="D38" s="23">
        <f>'Fuel Diesel'!D38</f>
        <v>183</v>
      </c>
      <c r="E38" s="24">
        <v>0</v>
      </c>
      <c r="F38" s="26">
        <f t="shared" si="2"/>
        <v>0</v>
      </c>
      <c r="G38" s="24">
        <v>67</v>
      </c>
      <c r="H38" s="26">
        <f t="shared" si="3"/>
        <v>268000</v>
      </c>
      <c r="I38" s="24">
        <v>110</v>
      </c>
      <c r="J38" s="26">
        <f t="shared" si="4"/>
        <v>440000</v>
      </c>
      <c r="K38" s="24">
        <f t="shared" si="0"/>
        <v>708000</v>
      </c>
      <c r="L38" s="77">
        <f t="shared" si="1"/>
        <v>49.231625060844166</v>
      </c>
      <c r="M38" s="21"/>
    </row>
    <row r="39" spans="1:15">
      <c r="A39" s="20"/>
      <c r="B39" s="22">
        <v>31</v>
      </c>
      <c r="C39" s="23">
        <f>'Fuel Diesel'!C39</f>
        <v>26</v>
      </c>
      <c r="D39" s="23">
        <f>'Fuel Diesel'!D39</f>
        <v>152</v>
      </c>
      <c r="E39" s="24">
        <v>0</v>
      </c>
      <c r="F39" s="26">
        <f t="shared" si="2"/>
        <v>0</v>
      </c>
      <c r="G39" s="24">
        <v>68</v>
      </c>
      <c r="H39" s="26">
        <f t="shared" si="3"/>
        <v>272000</v>
      </c>
      <c r="I39" s="24">
        <v>119</v>
      </c>
      <c r="J39" s="26">
        <f t="shared" si="4"/>
        <v>476000</v>
      </c>
      <c r="K39" s="24">
        <f t="shared" si="0"/>
        <v>748000</v>
      </c>
      <c r="L39" s="77">
        <f t="shared" si="1"/>
        <v>52.013072804394689</v>
      </c>
      <c r="M39" s="21"/>
    </row>
    <row r="40" spans="1:15">
      <c r="C40" s="30">
        <f>SUM(C9:C39)</f>
        <v>1291</v>
      </c>
      <c r="D40" s="30">
        <f>SUM(D9:D39)</f>
        <v>7413</v>
      </c>
      <c r="E40" s="30">
        <v>0</v>
      </c>
      <c r="G40" s="30">
        <f>SUM(G9:G39)</f>
        <v>2319</v>
      </c>
      <c r="I40" s="30">
        <f>SUM(I9:I39)</f>
        <v>3915</v>
      </c>
      <c r="J40" s="90">
        <f>G40+I40</f>
        <v>6234</v>
      </c>
      <c r="K40" s="78"/>
      <c r="L40" s="84">
        <f>SUM(L9:L39)</f>
        <v>1863.3428829705861</v>
      </c>
      <c r="O40" s="35"/>
    </row>
    <row r="41" spans="1:15">
      <c r="H41" s="89" t="s">
        <v>58</v>
      </c>
      <c r="I41" s="88">
        <f>G40+I40</f>
        <v>6234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59F86-2A63-47CA-80BE-C2B91424620F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38AAAFBA-24AE-41D5-B538-7FF216155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/>
  <cp:revision/>
  <dcterms:created xsi:type="dcterms:W3CDTF">2022-01-19T02:48:06Z</dcterms:created>
  <dcterms:modified xsi:type="dcterms:W3CDTF">2022-09-02T09:52:10Z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