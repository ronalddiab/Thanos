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640" windowHeight="11160" tabRatio="935" activeTab="1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externalReferences>
    <externalReference r:id="rId16"/>
  </externalReferences>
  <definedNames>
    <definedName name="_xlnm.Print_Area" localSheetId="12">'Gas-2'!$A$1:$H$37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B5" i="12" l="1"/>
  <c r="T5" i="12" l="1"/>
  <c r="B6" i="19" l="1"/>
  <c r="W18" i="19" l="1"/>
  <c r="W19" i="19"/>
  <c r="W20" i="19"/>
  <c r="W21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W34" i="19"/>
  <c r="W35" i="19"/>
  <c r="W36" i="19"/>
  <c r="W7" i="19"/>
  <c r="W8" i="19"/>
  <c r="W9" i="19"/>
  <c r="W10" i="19"/>
  <c r="W11" i="19"/>
  <c r="W12" i="19"/>
  <c r="W13" i="19"/>
  <c r="W14" i="19"/>
  <c r="W15" i="19"/>
  <c r="W16" i="19"/>
  <c r="W17" i="19"/>
  <c r="W6" i="19"/>
  <c r="Q6" i="19"/>
  <c r="L6" i="19"/>
  <c r="G6" i="19"/>
  <c r="CN5" i="12"/>
  <c r="CK5" i="12"/>
  <c r="CH5" i="12"/>
  <c r="CE5" i="12"/>
  <c r="BY5" i="12"/>
  <c r="BV5" i="12"/>
  <c r="BS5" i="12"/>
  <c r="BP5" i="12"/>
  <c r="BM5" i="12"/>
  <c r="BJ5" i="12"/>
  <c r="BG5" i="12"/>
  <c r="BD5" i="12"/>
  <c r="BA5" i="12"/>
  <c r="AX5" i="12"/>
  <c r="AU5" i="12"/>
  <c r="AR5" i="12"/>
  <c r="AO5" i="12"/>
  <c r="AL5" i="12"/>
  <c r="AI5" i="12"/>
  <c r="AF5" i="12"/>
  <c r="AC5" i="12"/>
  <c r="Z5" i="12"/>
  <c r="W5" i="12"/>
  <c r="Q5" i="12"/>
  <c r="N5" i="12"/>
  <c r="K5" i="12"/>
  <c r="H5" i="12"/>
  <c r="E5" i="12"/>
  <c r="B5" i="12"/>
  <c r="B9" i="11"/>
  <c r="B5" i="9"/>
  <c r="B10" i="7"/>
  <c r="B10" i="6"/>
  <c r="B10" i="5"/>
  <c r="B10" i="4"/>
  <c r="B10" i="3"/>
  <c r="A5" i="22" l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K30" i="17" l="1"/>
  <c r="L30" i="17"/>
  <c r="K31" i="17"/>
  <c r="L31" i="17"/>
  <c r="K32" i="17"/>
  <c r="L32" i="17"/>
  <c r="B41" i="7"/>
  <c r="B41" i="6"/>
  <c r="B41" i="5"/>
  <c r="B41" i="4"/>
  <c r="B41" i="3"/>
  <c r="E37" i="21"/>
  <c r="W37" i="19"/>
  <c r="W38" i="19" s="1"/>
  <c r="CN22" i="12"/>
  <c r="H6" i="2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C4" i="2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5" i="22"/>
  <c r="G34" i="22"/>
  <c r="G33" i="22"/>
  <c r="G32" i="22"/>
  <c r="G31" i="22"/>
  <c r="G30" i="22"/>
  <c r="G29" i="22"/>
  <c r="G28" i="22"/>
  <c r="H29" i="22" s="1"/>
  <c r="I26" i="17" s="1"/>
  <c r="F29" i="21"/>
  <c r="G29" i="21" s="1"/>
  <c r="G27" i="22"/>
  <c r="G26" i="22"/>
  <c r="G25" i="22"/>
  <c r="H26" i="22" s="1"/>
  <c r="I23" i="17" s="1"/>
  <c r="G24" i="22"/>
  <c r="H25" i="22" s="1"/>
  <c r="I22" i="17" s="1"/>
  <c r="G23" i="22"/>
  <c r="G22" i="22"/>
  <c r="G21" i="22"/>
  <c r="G20" i="22"/>
  <c r="H20" i="22" s="1"/>
  <c r="I17" i="17" s="1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H30" i="21"/>
  <c r="F30" i="21"/>
  <c r="G30" i="21"/>
  <c r="H29" i="21"/>
  <c r="H28" i="21"/>
  <c r="F28" i="21"/>
  <c r="G28" i="21"/>
  <c r="E27" i="22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/>
  <c r="E20" i="22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Q36" i="19"/>
  <c r="S36" i="19"/>
  <c r="L36" i="19"/>
  <c r="N36" i="19" s="1"/>
  <c r="G36" i="19"/>
  <c r="I36" i="19"/>
  <c r="B36" i="19"/>
  <c r="D36" i="19"/>
  <c r="Q35" i="19"/>
  <c r="S35" i="19"/>
  <c r="L35" i="19"/>
  <c r="N35" i="19" s="1"/>
  <c r="G35" i="19"/>
  <c r="I35" i="19"/>
  <c r="B35" i="19"/>
  <c r="D35" i="19"/>
  <c r="Z34" i="19"/>
  <c r="Z35" i="19" s="1"/>
  <c r="Q34" i="19"/>
  <c r="S34" i="19" s="1"/>
  <c r="L34" i="19"/>
  <c r="N34" i="19"/>
  <c r="G34" i="19"/>
  <c r="I34" i="19"/>
  <c r="B34" i="19"/>
  <c r="D34" i="19"/>
  <c r="Q33" i="19"/>
  <c r="S33" i="19" s="1"/>
  <c r="L33" i="19"/>
  <c r="N33" i="19"/>
  <c r="G33" i="19"/>
  <c r="I33" i="19"/>
  <c r="B33" i="19"/>
  <c r="D33" i="19"/>
  <c r="Q32" i="19"/>
  <c r="S32" i="19" s="1"/>
  <c r="L32" i="19"/>
  <c r="N32" i="19"/>
  <c r="G32" i="19"/>
  <c r="I32" i="19"/>
  <c r="B32" i="19"/>
  <c r="D32" i="19"/>
  <c r="Q31" i="19"/>
  <c r="S31" i="19" s="1"/>
  <c r="L31" i="19"/>
  <c r="N31" i="19"/>
  <c r="G31" i="19"/>
  <c r="I31" i="19"/>
  <c r="B31" i="19"/>
  <c r="D31" i="19"/>
  <c r="Q30" i="19"/>
  <c r="S30" i="19" s="1"/>
  <c r="L30" i="19"/>
  <c r="N30" i="19"/>
  <c r="G30" i="19"/>
  <c r="I30" i="19"/>
  <c r="B30" i="19"/>
  <c r="D30" i="19"/>
  <c r="Q29" i="19"/>
  <c r="S29" i="19" s="1"/>
  <c r="L29" i="19"/>
  <c r="N29" i="19"/>
  <c r="G29" i="19"/>
  <c r="I29" i="19"/>
  <c r="B29" i="19"/>
  <c r="D29" i="19"/>
  <c r="Q28" i="19"/>
  <c r="S28" i="19" s="1"/>
  <c r="L28" i="19"/>
  <c r="N28" i="19"/>
  <c r="G28" i="19"/>
  <c r="I28" i="19"/>
  <c r="B28" i="19"/>
  <c r="D28" i="19"/>
  <c r="Q27" i="19"/>
  <c r="S27" i="19" s="1"/>
  <c r="L27" i="19"/>
  <c r="N27" i="19"/>
  <c r="G27" i="19"/>
  <c r="I27" i="19"/>
  <c r="B27" i="19"/>
  <c r="D27" i="19"/>
  <c r="Q26" i="19"/>
  <c r="S26" i="19" s="1"/>
  <c r="L26" i="19"/>
  <c r="N26" i="19"/>
  <c r="G26" i="19"/>
  <c r="I26" i="19"/>
  <c r="B26" i="19"/>
  <c r="D26" i="19"/>
  <c r="Q25" i="19"/>
  <c r="S25" i="19" s="1"/>
  <c r="L25" i="19"/>
  <c r="N25" i="19" s="1"/>
  <c r="G25" i="19"/>
  <c r="I25" i="19" s="1"/>
  <c r="B25" i="19"/>
  <c r="D25" i="19" s="1"/>
  <c r="Q24" i="19"/>
  <c r="S24" i="19" s="1"/>
  <c r="L24" i="19"/>
  <c r="N24" i="19" s="1"/>
  <c r="G24" i="19"/>
  <c r="I24" i="19"/>
  <c r="B24" i="19"/>
  <c r="D24" i="19" s="1"/>
  <c r="Q23" i="19"/>
  <c r="S23" i="19" s="1"/>
  <c r="L23" i="19"/>
  <c r="N23" i="19"/>
  <c r="G23" i="19"/>
  <c r="I23" i="19" s="1"/>
  <c r="B23" i="19"/>
  <c r="D23" i="19" s="1"/>
  <c r="Q22" i="19"/>
  <c r="S22" i="19" s="1"/>
  <c r="L22" i="19"/>
  <c r="N22" i="19"/>
  <c r="G22" i="19"/>
  <c r="I22" i="19"/>
  <c r="B22" i="19"/>
  <c r="D22" i="19"/>
  <c r="Q21" i="19"/>
  <c r="S21" i="19" s="1"/>
  <c r="L21" i="19"/>
  <c r="N21" i="19"/>
  <c r="G21" i="19"/>
  <c r="I21" i="19" s="1"/>
  <c r="B21" i="19"/>
  <c r="D21" i="19"/>
  <c r="Q20" i="19"/>
  <c r="S20" i="19" s="1"/>
  <c r="L20" i="19"/>
  <c r="N20" i="19"/>
  <c r="G20" i="19"/>
  <c r="I20" i="19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/>
  <c r="L18" i="19"/>
  <c r="N18" i="19" s="1"/>
  <c r="G18" i="19"/>
  <c r="I18" i="19" s="1"/>
  <c r="B18" i="19"/>
  <c r="D18" i="19"/>
  <c r="Q17" i="19"/>
  <c r="S17" i="19"/>
  <c r="L17" i="19"/>
  <c r="N17" i="19" s="1"/>
  <c r="G17" i="19"/>
  <c r="I17" i="19" s="1"/>
  <c r="B17" i="19"/>
  <c r="D17" i="19" s="1"/>
  <c r="Q16" i="19"/>
  <c r="S16" i="19" s="1"/>
  <c r="L16" i="19"/>
  <c r="N16" i="19" s="1"/>
  <c r="G16" i="19"/>
  <c r="I16" i="19" s="1"/>
  <c r="B16" i="19"/>
  <c r="D16" i="19" s="1"/>
  <c r="Q15" i="19"/>
  <c r="S15" i="19" s="1"/>
  <c r="L15" i="19"/>
  <c r="N15" i="19" s="1"/>
  <c r="G15" i="19"/>
  <c r="I15" i="19" s="1"/>
  <c r="B15" i="19"/>
  <c r="D15" i="19" s="1"/>
  <c r="Q14" i="19"/>
  <c r="S14" i="19" s="1"/>
  <c r="L14" i="19"/>
  <c r="N14" i="19" s="1"/>
  <c r="G14" i="19"/>
  <c r="I14" i="19" s="1"/>
  <c r="B14" i="19"/>
  <c r="D14" i="19"/>
  <c r="Q13" i="19"/>
  <c r="S13" i="19" s="1"/>
  <c r="L13" i="19"/>
  <c r="N13" i="19" s="1"/>
  <c r="G13" i="19"/>
  <c r="I13" i="19" s="1"/>
  <c r="B13" i="19"/>
  <c r="D13" i="19" s="1"/>
  <c r="Q12" i="19"/>
  <c r="S12" i="19"/>
  <c r="L12" i="19"/>
  <c r="N12" i="19" s="1"/>
  <c r="G12" i="19"/>
  <c r="I12" i="19" s="1"/>
  <c r="B12" i="19"/>
  <c r="D12" i="19" s="1"/>
  <c r="Q11" i="19"/>
  <c r="S11" i="19" s="1"/>
  <c r="L11" i="19"/>
  <c r="N11" i="19" s="1"/>
  <c r="G11" i="19"/>
  <c r="I11" i="19" s="1"/>
  <c r="B11" i="19"/>
  <c r="D11" i="19"/>
  <c r="Q10" i="19"/>
  <c r="S10" i="19" s="1"/>
  <c r="L10" i="19"/>
  <c r="N10" i="19" s="1"/>
  <c r="G10" i="19"/>
  <c r="I10" i="19" s="1"/>
  <c r="B10" i="19"/>
  <c r="D10" i="19"/>
  <c r="Q9" i="19"/>
  <c r="S9" i="19" s="1"/>
  <c r="L9" i="19"/>
  <c r="N9" i="19" s="1"/>
  <c r="G9" i="19"/>
  <c r="I9" i="19" s="1"/>
  <c r="B9" i="19"/>
  <c r="D9" i="19"/>
  <c r="Q8" i="19"/>
  <c r="S8" i="19" s="1"/>
  <c r="L8" i="19"/>
  <c r="N8" i="19" s="1"/>
  <c r="G8" i="19"/>
  <c r="I8" i="19" s="1"/>
  <c r="B8" i="19"/>
  <c r="D8" i="19" s="1"/>
  <c r="Q7" i="19"/>
  <c r="S7" i="19" s="1"/>
  <c r="L7" i="19"/>
  <c r="N7" i="19" s="1"/>
  <c r="G7" i="19"/>
  <c r="I7" i="19" s="1"/>
  <c r="B7" i="19"/>
  <c r="D7" i="19" s="1"/>
  <c r="S6" i="19"/>
  <c r="N6" i="19"/>
  <c r="I6" i="19"/>
  <c r="H31" i="22"/>
  <c r="I28" i="17" s="1"/>
  <c r="E33" i="2"/>
  <c r="E32" i="1"/>
  <c r="E29" i="22"/>
  <c r="H33" i="22"/>
  <c r="I30" i="17" s="1"/>
  <c r="H34" i="22"/>
  <c r="I31" i="17" s="1"/>
  <c r="E36" i="2"/>
  <c r="H35" i="22"/>
  <c r="I32" i="17" s="1"/>
  <c r="E30" i="22"/>
  <c r="E31" i="2"/>
  <c r="H30" i="22"/>
  <c r="I27" i="17" s="1"/>
  <c r="H27" i="22"/>
  <c r="I24" i="17" s="1"/>
  <c r="H32" i="22"/>
  <c r="I29" i="17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CK23" i="12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N28" i="12"/>
  <c r="CP28" i="12" s="1"/>
  <c r="CN27" i="12"/>
  <c r="CP27" i="12" s="1"/>
  <c r="CN26" i="12"/>
  <c r="CP26" i="12" s="1"/>
  <c r="CN25" i="12"/>
  <c r="CP25" i="12" s="1"/>
  <c r="CN24" i="12"/>
  <c r="CP24" i="12" s="1"/>
  <c r="CN23" i="12"/>
  <c r="CP23" i="12" s="1"/>
  <c r="CP22" i="12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N9" i="12"/>
  <c r="CP9" i="12" s="1"/>
  <c r="CN8" i="12"/>
  <c r="CP8" i="12" s="1"/>
  <c r="CN7" i="12"/>
  <c r="CP7" i="12" s="1"/>
  <c r="CN6" i="12"/>
  <c r="CP6" i="12" s="1"/>
  <c r="CP5" i="12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K27" i="12"/>
  <c r="CM27" i="12" s="1"/>
  <c r="CK26" i="12"/>
  <c r="CM26" i="12" s="1"/>
  <c r="CK25" i="12"/>
  <c r="CM25" i="12" s="1"/>
  <c r="CK24" i="12"/>
  <c r="CM24" i="12" s="1"/>
  <c r="CM23" i="12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K9" i="12"/>
  <c r="CM9" i="12" s="1"/>
  <c r="CK8" i="12"/>
  <c r="CM8" i="12" s="1"/>
  <c r="CK7" i="12"/>
  <c r="CM7" i="12" s="1"/>
  <c r="CK6" i="12"/>
  <c r="CM6" i="12" s="1"/>
  <c r="CM5" i="12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H9" i="12"/>
  <c r="CJ9" i="12" s="1"/>
  <c r="CH8" i="12"/>
  <c r="CJ8" i="12" s="1"/>
  <c r="CH7" i="12"/>
  <c r="CJ7" i="12" s="1"/>
  <c r="CH6" i="12"/>
  <c r="CJ6" i="12" s="1"/>
  <c r="CJ5" i="12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E9" i="12"/>
  <c r="CG9" i="12" s="1"/>
  <c r="CE8" i="12"/>
  <c r="CG8" i="12" s="1"/>
  <c r="CE7" i="12"/>
  <c r="CG7" i="12" s="1"/>
  <c r="CE6" i="12"/>
  <c r="CG6" i="12" s="1"/>
  <c r="CG5" i="12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B9" i="12"/>
  <c r="CD9" i="12" s="1"/>
  <c r="CB8" i="12"/>
  <c r="CD8" i="12" s="1"/>
  <c r="CB7" i="12"/>
  <c r="CD7" i="12" s="1"/>
  <c r="CB6" i="12"/>
  <c r="CD6" i="12" s="1"/>
  <c r="CD5" i="12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BY9" i="12"/>
  <c r="CA9" i="12" s="1"/>
  <c r="BY8" i="12"/>
  <c r="CA8" i="12" s="1"/>
  <c r="BY7" i="12"/>
  <c r="CA7" i="12" s="1"/>
  <c r="BY6" i="12"/>
  <c r="CA6" i="12" s="1"/>
  <c r="CA5" i="12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V9" i="12"/>
  <c r="BX9" i="12" s="1"/>
  <c r="BV8" i="12"/>
  <c r="BX8" i="12" s="1"/>
  <c r="BV7" i="12"/>
  <c r="BX7" i="12" s="1"/>
  <c r="BV6" i="12"/>
  <c r="BX6" i="12" s="1"/>
  <c r="BX5" i="12"/>
  <c r="K35" i="12"/>
  <c r="M35" i="12"/>
  <c r="BS34" i="12"/>
  <c r="BU34" i="12" s="1"/>
  <c r="BS35" i="12"/>
  <c r="BU35" i="12" s="1"/>
  <c r="BP35" i="12"/>
  <c r="BR35" i="12" s="1"/>
  <c r="BM35" i="12"/>
  <c r="BO35" i="12" s="1"/>
  <c r="BJ34" i="12"/>
  <c r="BL34" i="12" s="1"/>
  <c r="BJ35" i="12"/>
  <c r="BL35" i="12" s="1"/>
  <c r="BG34" i="12"/>
  <c r="BI34" i="12" s="1"/>
  <c r="BG35" i="12"/>
  <c r="BI35" i="12" s="1"/>
  <c r="BD34" i="12"/>
  <c r="BF34" i="12" s="1"/>
  <c r="BD35" i="12"/>
  <c r="BF35" i="12" s="1"/>
  <c r="BA34" i="12"/>
  <c r="BC34" i="12" s="1"/>
  <c r="BA35" i="12"/>
  <c r="BC35" i="12" s="1"/>
  <c r="AX34" i="12"/>
  <c r="AZ34" i="12" s="1"/>
  <c r="AX35" i="12"/>
  <c r="AZ35" i="12" s="1"/>
  <c r="AU34" i="12"/>
  <c r="AW34" i="12" s="1"/>
  <c r="AU35" i="12"/>
  <c r="AW35" i="12" s="1"/>
  <c r="AR34" i="12"/>
  <c r="AT34" i="12" s="1"/>
  <c r="AR35" i="12"/>
  <c r="AT35" i="12" s="1"/>
  <c r="AO34" i="12"/>
  <c r="AQ34" i="12" s="1"/>
  <c r="AO35" i="12"/>
  <c r="AQ35" i="12" s="1"/>
  <c r="AL34" i="12"/>
  <c r="AN34" i="12" s="1"/>
  <c r="AL35" i="12"/>
  <c r="AN35" i="12" s="1"/>
  <c r="AI34" i="12"/>
  <c r="AK34" i="12" s="1"/>
  <c r="AI35" i="12"/>
  <c r="AK35" i="12" s="1"/>
  <c r="AF34" i="12"/>
  <c r="AH34" i="12" s="1"/>
  <c r="AF35" i="12"/>
  <c r="AH35" i="12" s="1"/>
  <c r="AC34" i="12"/>
  <c r="AE34" i="12" s="1"/>
  <c r="AC35" i="12"/>
  <c r="AE35" i="12" s="1"/>
  <c r="Z34" i="12"/>
  <c r="AB34" i="12" s="1"/>
  <c r="Z35" i="12"/>
  <c r="AB35" i="12" s="1"/>
  <c r="W34" i="12"/>
  <c r="Y34" i="12" s="1"/>
  <c r="W35" i="12"/>
  <c r="Y35" i="12"/>
  <c r="T34" i="12"/>
  <c r="V34" i="12" s="1"/>
  <c r="T35" i="12"/>
  <c r="V35" i="12" s="1"/>
  <c r="Q34" i="12"/>
  <c r="S34" i="12" s="1"/>
  <c r="Q35" i="12"/>
  <c r="S35" i="12" s="1"/>
  <c r="N34" i="12"/>
  <c r="P34" i="12" s="1"/>
  <c r="N35" i="12"/>
  <c r="P35" i="12" s="1"/>
  <c r="H35" i="12"/>
  <c r="J35" i="12" s="1"/>
  <c r="E35" i="12"/>
  <c r="G35" i="12" s="1"/>
  <c r="B35" i="12"/>
  <c r="D35" i="12" s="1"/>
  <c r="B39" i="11"/>
  <c r="D39" i="11" s="1"/>
  <c r="B34" i="9"/>
  <c r="D34" i="9" s="1"/>
  <c r="C37" i="1" s="1"/>
  <c r="B35" i="9"/>
  <c r="D35" i="9" s="1"/>
  <c r="B40" i="7"/>
  <c r="D40" i="7" s="1"/>
  <c r="G35" i="15" s="1"/>
  <c r="B40" i="6"/>
  <c r="D40" i="6" s="1"/>
  <c r="F35" i="15" s="1"/>
  <c r="B40" i="5"/>
  <c r="B40" i="4"/>
  <c r="B40" i="3"/>
  <c r="D40" i="3" s="1"/>
  <c r="C35" i="15" s="1"/>
  <c r="D40" i="4"/>
  <c r="D35" i="15" s="1"/>
  <c r="B38" i="11"/>
  <c r="D38" i="11" s="1"/>
  <c r="AZ5" i="12"/>
  <c r="AB5" i="12"/>
  <c r="B39" i="4"/>
  <c r="D39" i="4" s="1"/>
  <c r="D34" i="15" s="1"/>
  <c r="B38" i="6"/>
  <c r="D38" i="6" s="1"/>
  <c r="B39" i="6"/>
  <c r="D39" i="6" s="1"/>
  <c r="F34" i="15" s="1"/>
  <c r="D10" i="4"/>
  <c r="B11" i="4"/>
  <c r="D11" i="4" s="1"/>
  <c r="B12" i="4"/>
  <c r="D12" i="4" s="1"/>
  <c r="D7" i="15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B17" i="4"/>
  <c r="D17" i="4" s="1"/>
  <c r="D12" i="15" s="1"/>
  <c r="B18" i="4"/>
  <c r="D18" i="4" s="1"/>
  <c r="D13" i="15" s="1"/>
  <c r="B19" i="4"/>
  <c r="D19" i="4" s="1"/>
  <c r="D14" i="15" s="1"/>
  <c r="B20" i="4"/>
  <c r="B21" i="4"/>
  <c r="D21" i="4" s="1"/>
  <c r="D16" i="15" s="1"/>
  <c r="B22" i="4"/>
  <c r="D22" i="4" s="1"/>
  <c r="D17" i="15" s="1"/>
  <c r="B23" i="4"/>
  <c r="D23" i="4" s="1"/>
  <c r="B24" i="4"/>
  <c r="D24" i="4" s="1"/>
  <c r="D19" i="15" s="1"/>
  <c r="B25" i="4"/>
  <c r="D25" i="4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/>
  <c r="D26" i="15" s="1"/>
  <c r="B32" i="4"/>
  <c r="D32" i="4" s="1"/>
  <c r="D27" i="15" s="1"/>
  <c r="B33" i="4"/>
  <c r="D33" i="4" s="1"/>
  <c r="D28" i="15" s="1"/>
  <c r="B34" i="4"/>
  <c r="C28" i="22" s="1"/>
  <c r="B35" i="4"/>
  <c r="D35" i="4" s="1"/>
  <c r="D30" i="15" s="1"/>
  <c r="B36" i="4"/>
  <c r="D36" i="4"/>
  <c r="B37" i="4"/>
  <c r="D37" i="4"/>
  <c r="D32" i="15" s="1"/>
  <c r="B38" i="4"/>
  <c r="D38" i="4"/>
  <c r="B12" i="5"/>
  <c r="D12" i="5" s="1"/>
  <c r="E7" i="15" s="1"/>
  <c r="B13" i="5"/>
  <c r="D13" i="5" s="1"/>
  <c r="E8" i="15" s="1"/>
  <c r="B14" i="5"/>
  <c r="D14" i="5"/>
  <c r="E9" i="15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S33" i="12" s="1"/>
  <c r="Q6" i="12"/>
  <c r="S6" i="12" s="1"/>
  <c r="B10" i="11"/>
  <c r="D10" i="11" s="1"/>
  <c r="B11" i="11"/>
  <c r="D11" i="11" s="1"/>
  <c r="D11" i="2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D27" i="1" s="1"/>
  <c r="B29" i="11"/>
  <c r="D29" i="11" s="1"/>
  <c r="D29" i="2" s="1"/>
  <c r="B30" i="11"/>
  <c r="D30" i="11"/>
  <c r="D29" i="1"/>
  <c r="B31" i="11"/>
  <c r="D31" i="11" s="1"/>
  <c r="D31" i="2" s="1"/>
  <c r="B32" i="11"/>
  <c r="D32" i="11"/>
  <c r="B33" i="11"/>
  <c r="D33" i="11" s="1"/>
  <c r="B34" i="11"/>
  <c r="D34" i="11" s="1"/>
  <c r="B35" i="11"/>
  <c r="D35" i="11" s="1"/>
  <c r="B36" i="11"/>
  <c r="D36" i="11" s="1"/>
  <c r="D35" i="1" s="1"/>
  <c r="B37" i="11"/>
  <c r="D37" i="11"/>
  <c r="D37" i="2" s="1"/>
  <c r="D5" i="12"/>
  <c r="G5" i="12"/>
  <c r="J5" i="12"/>
  <c r="M5" i="12"/>
  <c r="P5" i="12"/>
  <c r="S5" i="12"/>
  <c r="V5" i="12"/>
  <c r="Y5" i="12"/>
  <c r="AE5" i="12"/>
  <c r="AH5" i="12"/>
  <c r="AK5" i="12"/>
  <c r="AN5" i="12"/>
  <c r="AQ5" i="12"/>
  <c r="AT5" i="12"/>
  <c r="AW5" i="12"/>
  <c r="BC5" i="12"/>
  <c r="BF5" i="12"/>
  <c r="BI5" i="12"/>
  <c r="BL5" i="12"/>
  <c r="BO5" i="12"/>
  <c r="BR5" i="12"/>
  <c r="BU5" i="12"/>
  <c r="B6" i="12"/>
  <c r="D6" i="12" s="1"/>
  <c r="E6" i="12"/>
  <c r="G6" i="12" s="1"/>
  <c r="H6" i="12"/>
  <c r="J6" i="12" s="1"/>
  <c r="K6" i="12"/>
  <c r="M6" i="12" s="1"/>
  <c r="N6" i="12"/>
  <c r="P6" i="12" s="1"/>
  <c r="T6" i="12"/>
  <c r="V6" i="12" s="1"/>
  <c r="W6" i="12"/>
  <c r="Y6" i="12" s="1"/>
  <c r="Z6" i="12"/>
  <c r="AB6" i="12" s="1"/>
  <c r="AC6" i="12"/>
  <c r="AE6" i="12" s="1"/>
  <c r="AF6" i="12"/>
  <c r="AH6" i="12" s="1"/>
  <c r="AI6" i="12"/>
  <c r="AK6" i="12" s="1"/>
  <c r="AL6" i="12"/>
  <c r="AN6" i="12" s="1"/>
  <c r="AO6" i="12"/>
  <c r="AQ6" i="12" s="1"/>
  <c r="AR6" i="12"/>
  <c r="AT6" i="12" s="1"/>
  <c r="AU6" i="12"/>
  <c r="AW6" i="12" s="1"/>
  <c r="AX6" i="12"/>
  <c r="AZ6" i="12" s="1"/>
  <c r="BA6" i="12"/>
  <c r="BC6" i="12" s="1"/>
  <c r="BD6" i="12"/>
  <c r="BF6" i="12" s="1"/>
  <c r="BG6" i="12"/>
  <c r="BI6" i="12"/>
  <c r="BJ6" i="12"/>
  <c r="BL6" i="12" s="1"/>
  <c r="BM6" i="12"/>
  <c r="BO6" i="12" s="1"/>
  <c r="BP6" i="12"/>
  <c r="BR6" i="12" s="1"/>
  <c r="BS6" i="12"/>
  <c r="BU6" i="12" s="1"/>
  <c r="B7" i="12"/>
  <c r="D7" i="12" s="1"/>
  <c r="E7" i="12"/>
  <c r="G7" i="12" s="1"/>
  <c r="H7" i="12"/>
  <c r="J7" i="12" s="1"/>
  <c r="K7" i="12"/>
  <c r="M7" i="12" s="1"/>
  <c r="N7" i="12"/>
  <c r="P7" i="12" s="1"/>
  <c r="T7" i="12"/>
  <c r="V7" i="12" s="1"/>
  <c r="W7" i="12"/>
  <c r="Y7" i="12" s="1"/>
  <c r="Z7" i="12"/>
  <c r="AB7" i="12" s="1"/>
  <c r="AC7" i="12"/>
  <c r="AE7" i="12" s="1"/>
  <c r="AF7" i="12"/>
  <c r="AH7" i="12" s="1"/>
  <c r="AI7" i="12"/>
  <c r="AK7" i="12" s="1"/>
  <c r="AL7" i="12"/>
  <c r="AN7" i="12" s="1"/>
  <c r="AO7" i="12"/>
  <c r="AQ7" i="12" s="1"/>
  <c r="AR7" i="12"/>
  <c r="AT7" i="12" s="1"/>
  <c r="AU7" i="12"/>
  <c r="AW7" i="12" s="1"/>
  <c r="AX7" i="12"/>
  <c r="AZ7" i="12" s="1"/>
  <c r="BA7" i="12"/>
  <c r="BC7" i="12"/>
  <c r="BD7" i="12"/>
  <c r="BF7" i="12" s="1"/>
  <c r="BG7" i="12"/>
  <c r="BI7" i="12" s="1"/>
  <c r="BJ7" i="12"/>
  <c r="BL7" i="12" s="1"/>
  <c r="BM7" i="12"/>
  <c r="BO7" i="12" s="1"/>
  <c r="BP7" i="12"/>
  <c r="BR7" i="12" s="1"/>
  <c r="BS7" i="12"/>
  <c r="BU7" i="12" s="1"/>
  <c r="B8" i="12"/>
  <c r="D8" i="12" s="1"/>
  <c r="E8" i="12"/>
  <c r="G8" i="12" s="1"/>
  <c r="H8" i="12"/>
  <c r="J8" i="12" s="1"/>
  <c r="K8" i="12"/>
  <c r="M8" i="12" s="1"/>
  <c r="N8" i="12"/>
  <c r="P8" i="12" s="1"/>
  <c r="T8" i="12"/>
  <c r="V8" i="12" s="1"/>
  <c r="W8" i="12"/>
  <c r="Y8" i="12" s="1"/>
  <c r="Z8" i="12"/>
  <c r="AB8" i="12" s="1"/>
  <c r="AC8" i="12"/>
  <c r="AE8" i="12" s="1"/>
  <c r="AF8" i="12"/>
  <c r="AH8" i="12" s="1"/>
  <c r="AI8" i="12"/>
  <c r="AK8" i="12" s="1"/>
  <c r="AL8" i="12"/>
  <c r="AN8" i="12" s="1"/>
  <c r="AO8" i="12"/>
  <c r="AQ8" i="12" s="1"/>
  <c r="AR8" i="12"/>
  <c r="AT8" i="12" s="1"/>
  <c r="AU8" i="12"/>
  <c r="AW8" i="12" s="1"/>
  <c r="AX8" i="12"/>
  <c r="AZ8" i="12" s="1"/>
  <c r="BA8" i="12"/>
  <c r="BC8" i="12"/>
  <c r="BD8" i="12"/>
  <c r="BF8" i="12" s="1"/>
  <c r="BG8" i="12"/>
  <c r="BI8" i="12" s="1"/>
  <c r="BJ8" i="12"/>
  <c r="BL8" i="12" s="1"/>
  <c r="BM8" i="12"/>
  <c r="BO8" i="12" s="1"/>
  <c r="BP8" i="12"/>
  <c r="BR8" i="12" s="1"/>
  <c r="BS8" i="12"/>
  <c r="BU8" i="12" s="1"/>
  <c r="B9" i="12"/>
  <c r="D9" i="12" s="1"/>
  <c r="E9" i="12"/>
  <c r="G9" i="12" s="1"/>
  <c r="H9" i="12"/>
  <c r="J9" i="12" s="1"/>
  <c r="K9" i="12"/>
  <c r="M9" i="12" s="1"/>
  <c r="N9" i="12"/>
  <c r="P9" i="12" s="1"/>
  <c r="T9" i="12"/>
  <c r="V9" i="12" s="1"/>
  <c r="W9" i="12"/>
  <c r="Y9" i="12" s="1"/>
  <c r="Z9" i="12"/>
  <c r="AB9" i="12" s="1"/>
  <c r="AC9" i="12"/>
  <c r="AE9" i="12" s="1"/>
  <c r="AF9" i="12"/>
  <c r="AH9" i="12" s="1"/>
  <c r="AI9" i="12"/>
  <c r="AK9" i="12" s="1"/>
  <c r="AL9" i="12"/>
  <c r="AN9" i="12" s="1"/>
  <c r="AO9" i="12"/>
  <c r="AQ9" i="12" s="1"/>
  <c r="AR9" i="12"/>
  <c r="AT9" i="12" s="1"/>
  <c r="AU9" i="12"/>
  <c r="AW9" i="12" s="1"/>
  <c r="AX9" i="12"/>
  <c r="AZ9" i="12" s="1"/>
  <c r="BA9" i="12"/>
  <c r="BC9" i="12" s="1"/>
  <c r="BD9" i="12"/>
  <c r="BF9" i="12" s="1"/>
  <c r="BG9" i="12"/>
  <c r="BI9" i="12" s="1"/>
  <c r="BJ9" i="12"/>
  <c r="BL9" i="12" s="1"/>
  <c r="BM9" i="12"/>
  <c r="BO9" i="12" s="1"/>
  <c r="BP9" i="12"/>
  <c r="BR9" i="12" s="1"/>
  <c r="BS9" i="12"/>
  <c r="BU9" i="12" s="1"/>
  <c r="B10" i="12"/>
  <c r="D10" i="12" s="1"/>
  <c r="E10" i="12"/>
  <c r="G10" i="12" s="1"/>
  <c r="H10" i="12"/>
  <c r="J10" i="12" s="1"/>
  <c r="K10" i="12"/>
  <c r="M10" i="12" s="1"/>
  <c r="N10" i="12"/>
  <c r="P10" i="12" s="1"/>
  <c r="T10" i="12"/>
  <c r="V10" i="12" s="1"/>
  <c r="W10" i="12"/>
  <c r="Y10" i="12" s="1"/>
  <c r="Z10" i="12"/>
  <c r="AB10" i="12" s="1"/>
  <c r="AC10" i="12"/>
  <c r="AE10" i="12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E11" i="12"/>
  <c r="G11" i="12" s="1"/>
  <c r="H11" i="12"/>
  <c r="J11" i="12" s="1"/>
  <c r="K11" i="12"/>
  <c r="M11" i="12" s="1"/>
  <c r="N11" i="12"/>
  <c r="P11" i="12" s="1"/>
  <c r="T11" i="12"/>
  <c r="V11" i="12" s="1"/>
  <c r="W11" i="12"/>
  <c r="Y11" i="12" s="1"/>
  <c r="Z11" i="12"/>
  <c r="AB11" i="12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E12" i="12"/>
  <c r="G12" i="12" s="1"/>
  <c r="H12" i="12"/>
  <c r="J12" i="12" s="1"/>
  <c r="K12" i="12"/>
  <c r="M12" i="12" s="1"/>
  <c r="N12" i="12"/>
  <c r="P12" i="12" s="1"/>
  <c r="T12" i="12"/>
  <c r="V12" i="12" s="1"/>
  <c r="W12" i="12"/>
  <c r="Y12" i="12" s="1"/>
  <c r="Z12" i="12"/>
  <c r="AB12" i="12" s="1"/>
  <c r="AC12" i="12"/>
  <c r="AE12" i="12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E13" i="12"/>
  <c r="G13" i="12" s="1"/>
  <c r="H13" i="12"/>
  <c r="J13" i="12" s="1"/>
  <c r="K13" i="12"/>
  <c r="M13" i="12" s="1"/>
  <c r="N13" i="12"/>
  <c r="P13" i="12" s="1"/>
  <c r="T13" i="12"/>
  <c r="V13" i="12" s="1"/>
  <c r="W13" i="12"/>
  <c r="Y13" i="12"/>
  <c r="Z13" i="12"/>
  <c r="AB13" i="12" s="1"/>
  <c r="AC13" i="12"/>
  <c r="AE13" i="12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E14" i="12"/>
  <c r="G14" i="12" s="1"/>
  <c r="H14" i="12"/>
  <c r="J14" i="12" s="1"/>
  <c r="K14" i="12"/>
  <c r="M14" i="12" s="1"/>
  <c r="N14" i="12"/>
  <c r="P14" i="12" s="1"/>
  <c r="T14" i="12"/>
  <c r="V14" i="12" s="1"/>
  <c r="W14" i="12"/>
  <c r="Y14" i="12" s="1"/>
  <c r="Z14" i="12"/>
  <c r="AB14" i="12" s="1"/>
  <c r="AC14" i="12"/>
  <c r="AE14" i="12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E15" i="12"/>
  <c r="G15" i="12" s="1"/>
  <c r="H15" i="12"/>
  <c r="J15" i="12" s="1"/>
  <c r="K15" i="12"/>
  <c r="M15" i="12" s="1"/>
  <c r="N15" i="12"/>
  <c r="P15" i="12" s="1"/>
  <c r="T15" i="12"/>
  <c r="V15" i="12" s="1"/>
  <c r="W15" i="12"/>
  <c r="Y15" i="12" s="1"/>
  <c r="Z15" i="12"/>
  <c r="AB15" i="12" s="1"/>
  <c r="AC15" i="12"/>
  <c r="AE15" i="12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E16" i="12"/>
  <c r="G16" i="12" s="1"/>
  <c r="H16" i="12"/>
  <c r="J16" i="12" s="1"/>
  <c r="K16" i="12"/>
  <c r="M16" i="12" s="1"/>
  <c r="N16" i="12"/>
  <c r="P16" i="12" s="1"/>
  <c r="T16" i="12"/>
  <c r="V16" i="12" s="1"/>
  <c r="W16" i="12"/>
  <c r="Y16" i="12" s="1"/>
  <c r="Z16" i="12"/>
  <c r="AB16" i="12"/>
  <c r="AC16" i="12"/>
  <c r="AE16" i="12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E17" i="12"/>
  <c r="G17" i="12" s="1"/>
  <c r="H17" i="12"/>
  <c r="J17" i="12" s="1"/>
  <c r="K17" i="12"/>
  <c r="M17" i="12" s="1"/>
  <c r="N17" i="12"/>
  <c r="P17" i="12" s="1"/>
  <c r="T17" i="12"/>
  <c r="V17" i="12" s="1"/>
  <c r="W17" i="12"/>
  <c r="Y17" i="12" s="1"/>
  <c r="Z17" i="12"/>
  <c r="AB17" i="12" s="1"/>
  <c r="AC17" i="12"/>
  <c r="AE17" i="12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E18" i="12"/>
  <c r="G18" i="12" s="1"/>
  <c r="H18" i="12"/>
  <c r="J18" i="12" s="1"/>
  <c r="K18" i="12"/>
  <c r="M18" i="12" s="1"/>
  <c r="N18" i="12"/>
  <c r="P18" i="12" s="1"/>
  <c r="T18" i="12"/>
  <c r="V18" i="12" s="1"/>
  <c r="W18" i="12"/>
  <c r="Y18" i="12" s="1"/>
  <c r="Z18" i="12"/>
  <c r="AB18" i="12" s="1"/>
  <c r="AC18" i="12"/>
  <c r="AE18" i="12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E19" i="12"/>
  <c r="G19" i="12" s="1"/>
  <c r="H19" i="12"/>
  <c r="J19" i="12" s="1"/>
  <c r="K19" i="12"/>
  <c r="M19" i="12" s="1"/>
  <c r="N19" i="12"/>
  <c r="P19" i="12" s="1"/>
  <c r="T19" i="12"/>
  <c r="V19" i="12" s="1"/>
  <c r="W19" i="12"/>
  <c r="Y19" i="12" s="1"/>
  <c r="Z19" i="12"/>
  <c r="AB19" i="12" s="1"/>
  <c r="AC19" i="12"/>
  <c r="AE19" i="12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E20" i="12"/>
  <c r="G20" i="12" s="1"/>
  <c r="H20" i="12"/>
  <c r="J20" i="12" s="1"/>
  <c r="K20" i="12"/>
  <c r="M20" i="12" s="1"/>
  <c r="N20" i="12"/>
  <c r="P20" i="12" s="1"/>
  <c r="T20" i="12"/>
  <c r="V20" i="12" s="1"/>
  <c r="W20" i="12"/>
  <c r="Y20" i="12" s="1"/>
  <c r="Z20" i="12"/>
  <c r="AB20" i="12" s="1"/>
  <c r="AC20" i="12"/>
  <c r="AE20" i="12" s="1"/>
  <c r="AF20" i="12"/>
  <c r="AH20" i="12" s="1"/>
  <c r="AI20" i="12"/>
  <c r="AK20" i="12" s="1"/>
  <c r="AL20" i="12"/>
  <c r="AN20" i="12" s="1"/>
  <c r="AO20" i="12"/>
  <c r="AQ20" i="12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E21" i="12"/>
  <c r="G21" i="12" s="1"/>
  <c r="H21" i="12"/>
  <c r="J21" i="12" s="1"/>
  <c r="K21" i="12"/>
  <c r="M21" i="12" s="1"/>
  <c r="N21" i="12"/>
  <c r="P21" i="12" s="1"/>
  <c r="T21" i="12"/>
  <c r="V21" i="12" s="1"/>
  <c r="W21" i="12"/>
  <c r="Y21" i="12" s="1"/>
  <c r="Z21" i="12"/>
  <c r="AB21" i="12" s="1"/>
  <c r="AC21" i="12"/>
  <c r="AE21" i="12" s="1"/>
  <c r="AF21" i="12"/>
  <c r="AH21" i="12" s="1"/>
  <c r="AI21" i="12"/>
  <c r="AK21" i="12" s="1"/>
  <c r="AL21" i="12"/>
  <c r="AN21" i="12" s="1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E22" i="12"/>
  <c r="G22" i="12" s="1"/>
  <c r="H22" i="12"/>
  <c r="J22" i="12" s="1"/>
  <c r="K22" i="12"/>
  <c r="M22" i="12" s="1"/>
  <c r="N22" i="12"/>
  <c r="P22" i="12" s="1"/>
  <c r="T22" i="12"/>
  <c r="V22" i="12" s="1"/>
  <c r="W22" i="12"/>
  <c r="Y22" i="12" s="1"/>
  <c r="Z22" i="12"/>
  <c r="AB22" i="12" s="1"/>
  <c r="AC22" i="12"/>
  <c r="AE22" i="12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E23" i="12"/>
  <c r="G23" i="12" s="1"/>
  <c r="H23" i="12"/>
  <c r="J23" i="12" s="1"/>
  <c r="K23" i="12"/>
  <c r="M23" i="12" s="1"/>
  <c r="N23" i="12"/>
  <c r="P23" i="12" s="1"/>
  <c r="T23" i="12"/>
  <c r="V23" i="12" s="1"/>
  <c r="W23" i="12"/>
  <c r="Y23" i="12" s="1"/>
  <c r="Z23" i="12"/>
  <c r="AB23" i="12" s="1"/>
  <c r="AC23" i="12"/>
  <c r="AE23" i="12" s="1"/>
  <c r="AF23" i="12"/>
  <c r="AH23" i="12" s="1"/>
  <c r="AI23" i="12"/>
  <c r="AK23" i="12" s="1"/>
  <c r="AL23" i="12"/>
  <c r="AN23" i="12" s="1"/>
  <c r="AO23" i="12"/>
  <c r="AQ23" i="12" s="1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E24" i="12"/>
  <c r="G24" i="12" s="1"/>
  <c r="H24" i="12"/>
  <c r="J24" i="12" s="1"/>
  <c r="K24" i="12"/>
  <c r="M24" i="12" s="1"/>
  <c r="N24" i="12"/>
  <c r="P24" i="12" s="1"/>
  <c r="T24" i="12"/>
  <c r="V24" i="12" s="1"/>
  <c r="W24" i="12"/>
  <c r="Y24" i="12" s="1"/>
  <c r="Z24" i="12"/>
  <c r="AB24" i="12" s="1"/>
  <c r="AC24" i="12"/>
  <c r="AE24" i="12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E25" i="12"/>
  <c r="G25" i="12" s="1"/>
  <c r="H25" i="12"/>
  <c r="J25" i="12" s="1"/>
  <c r="K25" i="12"/>
  <c r="M25" i="12" s="1"/>
  <c r="N25" i="12"/>
  <c r="P25" i="12" s="1"/>
  <c r="T25" i="12"/>
  <c r="V25" i="12" s="1"/>
  <c r="W25" i="12"/>
  <c r="Y25" i="12" s="1"/>
  <c r="Z25" i="12"/>
  <c r="AB25" i="12" s="1"/>
  <c r="AC25" i="12"/>
  <c r="AE25" i="12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/>
  <c r="BS25" i="12"/>
  <c r="BU25" i="12" s="1"/>
  <c r="B26" i="12"/>
  <c r="D26" i="12" s="1"/>
  <c r="E26" i="12"/>
  <c r="G26" i="12" s="1"/>
  <c r="H26" i="12"/>
  <c r="J26" i="12" s="1"/>
  <c r="K26" i="12"/>
  <c r="M26" i="12" s="1"/>
  <c r="N26" i="12"/>
  <c r="P26" i="12" s="1"/>
  <c r="T26" i="12"/>
  <c r="V26" i="12" s="1"/>
  <c r="W26" i="12"/>
  <c r="Y26" i="12" s="1"/>
  <c r="Z26" i="12"/>
  <c r="AB26" i="12" s="1"/>
  <c r="AC26" i="12"/>
  <c r="AE26" i="12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/>
  <c r="BM26" i="12"/>
  <c r="BO26" i="12" s="1"/>
  <c r="BP26" i="12"/>
  <c r="BR26" i="12" s="1"/>
  <c r="BS26" i="12"/>
  <c r="BU26" i="12" s="1"/>
  <c r="B27" i="12"/>
  <c r="D27" i="12"/>
  <c r="E27" i="12"/>
  <c r="G27" i="12" s="1"/>
  <c r="H27" i="12"/>
  <c r="J27" i="12" s="1"/>
  <c r="K27" i="12"/>
  <c r="M27" i="12" s="1"/>
  <c r="N27" i="12"/>
  <c r="P27" i="12" s="1"/>
  <c r="T27" i="12"/>
  <c r="V27" i="12" s="1"/>
  <c r="W27" i="12"/>
  <c r="Y27" i="12" s="1"/>
  <c r="Z27" i="12"/>
  <c r="AB27" i="12" s="1"/>
  <c r="AC27" i="12"/>
  <c r="AE27" i="12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E28" i="12"/>
  <c r="G28" i="12" s="1"/>
  <c r="H28" i="12"/>
  <c r="J28" i="12" s="1"/>
  <c r="K28" i="12"/>
  <c r="M28" i="12"/>
  <c r="N28" i="12"/>
  <c r="P28" i="12" s="1"/>
  <c r="T28" i="12"/>
  <c r="V28" i="12" s="1"/>
  <c r="W28" i="12"/>
  <c r="Y28" i="12" s="1"/>
  <c r="Z28" i="12"/>
  <c r="AB28" i="12" s="1"/>
  <c r="AC28" i="12"/>
  <c r="AE28" i="12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E29" i="12"/>
  <c r="G29" i="12" s="1"/>
  <c r="H29" i="12"/>
  <c r="J29" i="12" s="1"/>
  <c r="K29" i="12"/>
  <c r="M29" i="12" s="1"/>
  <c r="N29" i="12"/>
  <c r="P29" i="12" s="1"/>
  <c r="T29" i="12"/>
  <c r="V29" i="12" s="1"/>
  <c r="W29" i="12"/>
  <c r="Y29" i="12" s="1"/>
  <c r="Z29" i="12"/>
  <c r="AB29" i="12"/>
  <c r="AC29" i="12"/>
  <c r="AE29" i="12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E30" i="12"/>
  <c r="G30" i="12" s="1"/>
  <c r="H30" i="12"/>
  <c r="J30" i="12" s="1"/>
  <c r="K30" i="12"/>
  <c r="M30" i="12" s="1"/>
  <c r="N30" i="12"/>
  <c r="P30" i="12" s="1"/>
  <c r="T30" i="12"/>
  <c r="V30" i="12" s="1"/>
  <c r="W30" i="12"/>
  <c r="Y30" i="12" s="1"/>
  <c r="Z30" i="12"/>
  <c r="AB30" i="12" s="1"/>
  <c r="AC30" i="12"/>
  <c r="AE30" i="12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 s="1"/>
  <c r="E31" i="12"/>
  <c r="G31" i="12" s="1"/>
  <c r="H31" i="12"/>
  <c r="J31" i="12" s="1"/>
  <c r="K31" i="12"/>
  <c r="M31" i="12" s="1"/>
  <c r="N31" i="12"/>
  <c r="P31" i="12" s="1"/>
  <c r="T31" i="12"/>
  <c r="V31" i="12" s="1"/>
  <c r="W31" i="12"/>
  <c r="Y31" i="12" s="1"/>
  <c r="Z31" i="12"/>
  <c r="AB31" i="12" s="1"/>
  <c r="AC31" i="12"/>
  <c r="AE31" i="12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E32" i="12"/>
  <c r="G32" i="12" s="1"/>
  <c r="H32" i="12"/>
  <c r="J32" i="12" s="1"/>
  <c r="K32" i="12"/>
  <c r="M32" i="12" s="1"/>
  <c r="N32" i="12"/>
  <c r="P32" i="12" s="1"/>
  <c r="T32" i="12"/>
  <c r="V32" i="12" s="1"/>
  <c r="W32" i="12"/>
  <c r="Y32" i="12" s="1"/>
  <c r="Z32" i="12"/>
  <c r="AB32" i="12" s="1"/>
  <c r="AC32" i="12"/>
  <c r="AE32" i="12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/>
  <c r="BJ32" i="12"/>
  <c r="BL32" i="12" s="1"/>
  <c r="BM32" i="12"/>
  <c r="BO32" i="12" s="1"/>
  <c r="BP32" i="12"/>
  <c r="BR32" i="12" s="1"/>
  <c r="BS32" i="12"/>
  <c r="BU32" i="12" s="1"/>
  <c r="B33" i="12"/>
  <c r="D33" i="12" s="1"/>
  <c r="E33" i="12"/>
  <c r="G33" i="12" s="1"/>
  <c r="H33" i="12"/>
  <c r="J33" i="12" s="1"/>
  <c r="K33" i="12"/>
  <c r="M33" i="12" s="1"/>
  <c r="N33" i="12"/>
  <c r="T33" i="12"/>
  <c r="V33" i="12" s="1"/>
  <c r="W33" i="12"/>
  <c r="Y33" i="12" s="1"/>
  <c r="Z33" i="12"/>
  <c r="AB33" i="12" s="1"/>
  <c r="AC33" i="12"/>
  <c r="AE33" i="12" s="1"/>
  <c r="AF33" i="12"/>
  <c r="AH33" i="12" s="1"/>
  <c r="AI33" i="12"/>
  <c r="AK33" i="12" s="1"/>
  <c r="AL33" i="12"/>
  <c r="AN33" i="12" s="1"/>
  <c r="AO33" i="12"/>
  <c r="AQ33" i="12"/>
  <c r="AR33" i="12"/>
  <c r="AT33" i="12" s="1"/>
  <c r="AU33" i="12"/>
  <c r="AW33" i="12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/>
  <c r="B34" i="12"/>
  <c r="D34" i="12" s="1"/>
  <c r="E34" i="12"/>
  <c r="G34" i="12" s="1"/>
  <c r="H34" i="12"/>
  <c r="K34" i="12"/>
  <c r="M34" i="12" s="1"/>
  <c r="BM34" i="12"/>
  <c r="BO34" i="12" s="1"/>
  <c r="BP34" i="12"/>
  <c r="BR34" i="12" s="1"/>
  <c r="B38" i="3"/>
  <c r="D38" i="3" s="1"/>
  <c r="C33" i="15" s="1"/>
  <c r="B39" i="3"/>
  <c r="D39" i="3" s="1"/>
  <c r="B39" i="7"/>
  <c r="D39" i="7" s="1"/>
  <c r="G34" i="15" s="1"/>
  <c r="B38" i="7"/>
  <c r="D38" i="7" s="1"/>
  <c r="G33" i="15" s="1"/>
  <c r="B39" i="5"/>
  <c r="D39" i="5" s="1"/>
  <c r="E34" i="15" s="1"/>
  <c r="B38" i="5"/>
  <c r="B33" i="9"/>
  <c r="D33" i="9" s="1"/>
  <c r="B32" i="9"/>
  <c r="D32" i="9" s="1"/>
  <c r="K32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/>
  <c r="K12" i="9" s="1"/>
  <c r="L12" i="9" s="1"/>
  <c r="B13" i="9"/>
  <c r="D13" i="9" s="1"/>
  <c r="B14" i="9"/>
  <c r="D14" i="9" s="1"/>
  <c r="B15" i="9"/>
  <c r="D15" i="9" s="1"/>
  <c r="C19" i="2" s="1"/>
  <c r="B16" i="9"/>
  <c r="D16" i="9" s="1"/>
  <c r="B17" i="9"/>
  <c r="D17" i="9" s="1"/>
  <c r="B18" i="9"/>
  <c r="D18" i="9" s="1"/>
  <c r="B19" i="9"/>
  <c r="D19" i="9" s="1"/>
  <c r="B20" i="9"/>
  <c r="D20" i="9" s="1"/>
  <c r="K20" i="9" s="1"/>
  <c r="L20" i="9" s="1"/>
  <c r="B21" i="9"/>
  <c r="D21" i="9" s="1"/>
  <c r="I21" i="9" s="1"/>
  <c r="B22" i="9"/>
  <c r="D22" i="9" s="1"/>
  <c r="B23" i="9"/>
  <c r="D23" i="9" s="1"/>
  <c r="B24" i="9"/>
  <c r="D24" i="9" s="1"/>
  <c r="B25" i="9"/>
  <c r="D25" i="9" s="1"/>
  <c r="K25" i="9" s="1"/>
  <c r="L25" i="9" s="1"/>
  <c r="B26" i="9"/>
  <c r="D26" i="9" s="1"/>
  <c r="K26" i="9" s="1"/>
  <c r="B27" i="9"/>
  <c r="D27" i="9"/>
  <c r="I27" i="9" s="1"/>
  <c r="B28" i="9"/>
  <c r="D28" i="9" s="1"/>
  <c r="B29" i="9"/>
  <c r="D29" i="9" s="1"/>
  <c r="K29" i="9" s="1"/>
  <c r="B30" i="9"/>
  <c r="D30" i="9"/>
  <c r="C34" i="2" s="1"/>
  <c r="B31" i="9"/>
  <c r="D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B22" i="5"/>
  <c r="D22" i="5" s="1"/>
  <c r="E17" i="15" s="1"/>
  <c r="B23" i="5"/>
  <c r="D23" i="5" s="1"/>
  <c r="E18" i="15" s="1"/>
  <c r="B24" i="5"/>
  <c r="D24" i="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/>
  <c r="E26" i="15" s="1"/>
  <c r="B32" i="5"/>
  <c r="D32" i="5" s="1"/>
  <c r="E27" i="15" s="1"/>
  <c r="B33" i="5"/>
  <c r="D33" i="5"/>
  <c r="E28" i="15" s="1"/>
  <c r="B34" i="5"/>
  <c r="D34" i="5"/>
  <c r="E29" i="15" s="1"/>
  <c r="B35" i="5"/>
  <c r="D35" i="5" s="1"/>
  <c r="E30" i="15" s="1"/>
  <c r="B36" i="5"/>
  <c r="D36" i="5"/>
  <c r="E31" i="15" s="1"/>
  <c r="B37" i="5"/>
  <c r="D37" i="5" s="1"/>
  <c r="E32" i="15" s="1"/>
  <c r="B11" i="5"/>
  <c r="D11" i="5" s="1"/>
  <c r="E6" i="15" s="1"/>
  <c r="D5" i="9"/>
  <c r="K5" i="9" s="1"/>
  <c r="L5" i="9" s="1"/>
  <c r="D9" i="11"/>
  <c r="D9" i="2" s="1"/>
  <c r="B11" i="3"/>
  <c r="D11" i="3" s="1"/>
  <c r="C6" i="15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B17" i="3"/>
  <c r="D17" i="3" s="1"/>
  <c r="C12" i="15" s="1"/>
  <c r="B18" i="3"/>
  <c r="D18" i="3" s="1"/>
  <c r="B19" i="3"/>
  <c r="D19" i="3" s="1"/>
  <c r="B20" i="3"/>
  <c r="B21" i="3"/>
  <c r="D21" i="3" s="1"/>
  <c r="C16" i="15" s="1"/>
  <c r="B22" i="3"/>
  <c r="D22" i="3" s="1"/>
  <c r="C17" i="15" s="1"/>
  <c r="B23" i="3"/>
  <c r="D23" i="3" s="1"/>
  <c r="C18" i="15" s="1"/>
  <c r="B24" i="3"/>
  <c r="B25" i="3"/>
  <c r="D25" i="3" s="1"/>
  <c r="C20" i="15" s="1"/>
  <c r="B26" i="3"/>
  <c r="B27" i="3"/>
  <c r="D27" i="3" s="1"/>
  <c r="B28" i="3"/>
  <c r="B29" i="3"/>
  <c r="D29" i="3" s="1"/>
  <c r="B30" i="3"/>
  <c r="D30" i="3" s="1"/>
  <c r="B31" i="3"/>
  <c r="D10" i="3"/>
  <c r="C5" i="15" s="1"/>
  <c r="D10" i="5"/>
  <c r="E5" i="15" s="1"/>
  <c r="D10" i="6"/>
  <c r="F5" i="15" s="1"/>
  <c r="D10" i="7"/>
  <c r="G5" i="15" s="1"/>
  <c r="B37" i="3"/>
  <c r="B36" i="3"/>
  <c r="C30" i="22" s="1"/>
  <c r="B35" i="3"/>
  <c r="C29" i="22" s="1"/>
  <c r="D29" i="22" s="1"/>
  <c r="E26" i="17" s="1"/>
  <c r="B34" i="3"/>
  <c r="B33" i="3"/>
  <c r="D33" i="3" s="1"/>
  <c r="C28" i="15" s="1"/>
  <c r="B32" i="3"/>
  <c r="D32" i="3" s="1"/>
  <c r="D37" i="3"/>
  <c r="C32" i="15" s="1"/>
  <c r="H32" i="15" s="1"/>
  <c r="C33" i="22"/>
  <c r="D34" i="3"/>
  <c r="D31" i="3"/>
  <c r="C26" i="15" s="1"/>
  <c r="C25" i="22"/>
  <c r="D38" i="1"/>
  <c r="D39" i="2"/>
  <c r="D28" i="3"/>
  <c r="C23" i="15" s="1"/>
  <c r="D35" i="3"/>
  <c r="D20" i="3"/>
  <c r="C15" i="15" s="1"/>
  <c r="D16" i="3"/>
  <c r="B35" i="1"/>
  <c r="D35" i="7"/>
  <c r="P33" i="12"/>
  <c r="D32" i="2"/>
  <c r="D31" i="1"/>
  <c r="J34" i="12"/>
  <c r="F33" i="15"/>
  <c r="D33" i="15"/>
  <c r="I30" i="9"/>
  <c r="C33" i="1"/>
  <c r="C32" i="1"/>
  <c r="I29" i="9"/>
  <c r="C33" i="2"/>
  <c r="L29" i="9"/>
  <c r="D30" i="2"/>
  <c r="D26" i="1"/>
  <c r="D27" i="2"/>
  <c r="D24" i="1"/>
  <c r="D25" i="2"/>
  <c r="I20" i="9"/>
  <c r="I15" i="9"/>
  <c r="D24" i="2"/>
  <c r="D23" i="1"/>
  <c r="D32" i="1"/>
  <c r="D33" i="2"/>
  <c r="D28" i="2"/>
  <c r="D34" i="1"/>
  <c r="D35" i="2"/>
  <c r="D36" i="2"/>
  <c r="C31" i="2"/>
  <c r="C38" i="2"/>
  <c r="K34" i="9"/>
  <c r="L34" i="9" s="1"/>
  <c r="I34" i="9"/>
  <c r="C30" i="2"/>
  <c r="C29" i="1"/>
  <c r="L26" i="9"/>
  <c r="I26" i="9"/>
  <c r="C28" i="1"/>
  <c r="I25" i="9"/>
  <c r="L32" i="9"/>
  <c r="C36" i="2"/>
  <c r="I32" i="9"/>
  <c r="C35" i="1"/>
  <c r="K33" i="9"/>
  <c r="L33" i="9" s="1"/>
  <c r="K30" i="9"/>
  <c r="L30" i="9" s="1"/>
  <c r="E19" i="15"/>
  <c r="B29" i="1"/>
  <c r="D31" i="15"/>
  <c r="D18" i="15"/>
  <c r="D20" i="15"/>
  <c r="C29" i="15"/>
  <c r="C11" i="15"/>
  <c r="G30" i="15"/>
  <c r="D28" i="1" l="1"/>
  <c r="H24" i="22"/>
  <c r="I21" i="17" s="1"/>
  <c r="H22" i="22"/>
  <c r="I19" i="17" s="1"/>
  <c r="H21" i="22"/>
  <c r="I18" i="17" s="1"/>
  <c r="C25" i="1"/>
  <c r="K22" i="9"/>
  <c r="L22" i="9" s="1"/>
  <c r="K21" i="9"/>
  <c r="L21" i="9" s="1"/>
  <c r="C25" i="2"/>
  <c r="C24" i="1"/>
  <c r="C18" i="22"/>
  <c r="B27" i="2"/>
  <c r="I27" i="2" s="1"/>
  <c r="E23" i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B38" i="2"/>
  <c r="I38" i="2" s="1"/>
  <c r="B37" i="1"/>
  <c r="D20" i="1"/>
  <c r="D21" i="2"/>
  <c r="E19" i="22"/>
  <c r="E23" i="2"/>
  <c r="E22" i="1"/>
  <c r="E28" i="22"/>
  <c r="E31" i="1"/>
  <c r="E32" i="2"/>
  <c r="B34" i="2"/>
  <c r="K28" i="9"/>
  <c r="L28" i="9" s="1"/>
  <c r="C31" i="1"/>
  <c r="I28" i="9"/>
  <c r="C32" i="2"/>
  <c r="K24" i="9"/>
  <c r="L24" i="9" s="1"/>
  <c r="I24" i="9"/>
  <c r="C28" i="2"/>
  <c r="C27" i="1"/>
  <c r="D25" i="1"/>
  <c r="D26" i="2"/>
  <c r="C39" i="2"/>
  <c r="C38" i="1"/>
  <c r="B30" i="1"/>
  <c r="C27" i="15"/>
  <c r="H27" i="15" s="1"/>
  <c r="B31" i="2"/>
  <c r="K31" i="9"/>
  <c r="L31" i="9" s="1"/>
  <c r="I31" i="9"/>
  <c r="C34" i="1"/>
  <c r="C35" i="2"/>
  <c r="D37" i="1"/>
  <c r="D38" i="2"/>
  <c r="E25" i="22"/>
  <c r="E29" i="2"/>
  <c r="E28" i="1"/>
  <c r="I22" i="9"/>
  <c r="C6" i="22"/>
  <c r="B30" i="2"/>
  <c r="D30" i="1"/>
  <c r="C30" i="15"/>
  <c r="H30" i="15" s="1"/>
  <c r="D34" i="4"/>
  <c r="E30" i="1"/>
  <c r="E18" i="22"/>
  <c r="H26" i="15"/>
  <c r="B33" i="1"/>
  <c r="K27" i="9"/>
  <c r="L27" i="9" s="1"/>
  <c r="K15" i="9"/>
  <c r="L15" i="9" s="1"/>
  <c r="C26" i="2"/>
  <c r="C22" i="22"/>
  <c r="D24" i="3"/>
  <c r="B22" i="1" s="1"/>
  <c r="D36" i="3"/>
  <c r="C31" i="22"/>
  <c r="D31" i="22" s="1"/>
  <c r="E28" i="17" s="1"/>
  <c r="H23" i="22"/>
  <c r="I20" i="17" s="1"/>
  <c r="C30" i="1"/>
  <c r="H23" i="15"/>
  <c r="F30" i="22"/>
  <c r="G27" i="17" s="1"/>
  <c r="E21" i="1"/>
  <c r="E32" i="22"/>
  <c r="D10" i="1"/>
  <c r="C24" i="22"/>
  <c r="D25" i="22" s="1"/>
  <c r="E22" i="17" s="1"/>
  <c r="C5" i="22"/>
  <c r="D5" i="22" s="1"/>
  <c r="E2" i="17" s="1"/>
  <c r="C20" i="22"/>
  <c r="H28" i="22"/>
  <c r="I25" i="17" s="1"/>
  <c r="C35" i="22"/>
  <c r="F27" i="22"/>
  <c r="G24" i="17" s="1"/>
  <c r="B36" i="2"/>
  <c r="I36" i="2" s="1"/>
  <c r="D36" i="1"/>
  <c r="C26" i="22"/>
  <c r="D26" i="22" s="1"/>
  <c r="E23" i="17" s="1"/>
  <c r="C19" i="22"/>
  <c r="C18" i="1"/>
  <c r="H28" i="15"/>
  <c r="V22" i="19"/>
  <c r="F25" i="2" s="1"/>
  <c r="V23" i="19"/>
  <c r="F26" i="2" s="1"/>
  <c r="V24" i="19"/>
  <c r="F26" i="1" s="1"/>
  <c r="V25" i="19"/>
  <c r="F28" i="2" s="1"/>
  <c r="V26" i="19"/>
  <c r="F29" i="2" s="1"/>
  <c r="V27" i="19"/>
  <c r="V28" i="19"/>
  <c r="F31" i="2" s="1"/>
  <c r="V29" i="19"/>
  <c r="F32" i="2" s="1"/>
  <c r="V30" i="19"/>
  <c r="V31" i="19"/>
  <c r="V32" i="19"/>
  <c r="F35" i="2" s="1"/>
  <c r="V33" i="19"/>
  <c r="V34" i="19"/>
  <c r="V35" i="19"/>
  <c r="F38" i="2" s="1"/>
  <c r="V36" i="19"/>
  <c r="F20" i="22"/>
  <c r="G17" i="17" s="1"/>
  <c r="C8" i="1"/>
  <c r="I5" i="9"/>
  <c r="C9" i="2"/>
  <c r="D18" i="1"/>
  <c r="D19" i="2"/>
  <c r="H11" i="22"/>
  <c r="I8" i="17" s="1"/>
  <c r="H7" i="22"/>
  <c r="I4" i="17" s="1"/>
  <c r="H15" i="22"/>
  <c r="I12" i="17" s="1"/>
  <c r="I2" i="17"/>
  <c r="C26" i="1"/>
  <c r="I23" i="9"/>
  <c r="C27" i="2"/>
  <c r="H27" i="2" s="1"/>
  <c r="K23" i="9"/>
  <c r="L23" i="9" s="1"/>
  <c r="D34" i="2"/>
  <c r="I34" i="2" s="1"/>
  <c r="D33" i="1"/>
  <c r="D30" i="22"/>
  <c r="E27" i="17" s="1"/>
  <c r="F20" i="15"/>
  <c r="H20" i="15" s="1"/>
  <c r="B23" i="1"/>
  <c r="C24" i="15"/>
  <c r="H24" i="15" s="1"/>
  <c r="B27" i="1"/>
  <c r="B28" i="2"/>
  <c r="B26" i="2"/>
  <c r="I26" i="2" s="1"/>
  <c r="B25" i="1"/>
  <c r="C22" i="15"/>
  <c r="H22" i="15" s="1"/>
  <c r="F34" i="2"/>
  <c r="F33" i="1"/>
  <c r="D40" i="5"/>
  <c r="D41" i="5" s="1"/>
  <c r="C34" i="22"/>
  <c r="H34" i="2"/>
  <c r="B28" i="1"/>
  <c r="C29" i="2"/>
  <c r="D28" i="22"/>
  <c r="E25" i="17" s="1"/>
  <c r="C21" i="22"/>
  <c r="E28" i="2"/>
  <c r="E27" i="1"/>
  <c r="E24" i="22"/>
  <c r="E34" i="22"/>
  <c r="E37" i="1"/>
  <c r="D8" i="1"/>
  <c r="C17" i="22"/>
  <c r="B24" i="2"/>
  <c r="I24" i="2" s="1"/>
  <c r="D26" i="3"/>
  <c r="H18" i="15"/>
  <c r="E26" i="2"/>
  <c r="E22" i="22"/>
  <c r="F22" i="22" s="1"/>
  <c r="G19" i="17" s="1"/>
  <c r="E25" i="1"/>
  <c r="E35" i="22"/>
  <c r="E39" i="2"/>
  <c r="E38" i="1"/>
  <c r="E34" i="1"/>
  <c r="E31" i="22"/>
  <c r="F31" i="22" s="1"/>
  <c r="G28" i="17" s="1"/>
  <c r="B21" i="1"/>
  <c r="B26" i="1"/>
  <c r="C36" i="1"/>
  <c r="I33" i="9"/>
  <c r="B34" i="1"/>
  <c r="H34" i="15"/>
  <c r="C23" i="22"/>
  <c r="D38" i="5"/>
  <c r="E33" i="15" s="1"/>
  <c r="H33" i="15" s="1"/>
  <c r="C32" i="22"/>
  <c r="F25" i="1"/>
  <c r="F30" i="2"/>
  <c r="F29" i="1"/>
  <c r="F33" i="2"/>
  <c r="F32" i="1"/>
  <c r="F37" i="2"/>
  <c r="F36" i="1"/>
  <c r="E27" i="2"/>
  <c r="E26" i="1"/>
  <c r="E23" i="22"/>
  <c r="E37" i="2"/>
  <c r="E36" i="1"/>
  <c r="E33" i="22"/>
  <c r="F33" i="22" s="1"/>
  <c r="G30" i="17" s="1"/>
  <c r="F29" i="22"/>
  <c r="G26" i="17" s="1"/>
  <c r="F28" i="22"/>
  <c r="G25" i="17" s="1"/>
  <c r="E25" i="2"/>
  <c r="E24" i="1"/>
  <c r="B22" i="2"/>
  <c r="C10" i="22"/>
  <c r="D11" i="22" s="1"/>
  <c r="E8" i="17" s="1"/>
  <c r="B32" i="2"/>
  <c r="I32" i="2" s="1"/>
  <c r="B31" i="1"/>
  <c r="H31" i="2"/>
  <c r="C37" i="2"/>
  <c r="C27" i="22"/>
  <c r="C21" i="1"/>
  <c r="K18" i="9"/>
  <c r="L18" i="9" s="1"/>
  <c r="F37" i="1"/>
  <c r="E34" i="2"/>
  <c r="E33" i="1"/>
  <c r="H12" i="22"/>
  <c r="I9" i="17" s="1"/>
  <c r="H37" i="21"/>
  <c r="V20" i="19"/>
  <c r="F23" i="2" s="1"/>
  <c r="V21" i="19"/>
  <c r="F23" i="1" s="1"/>
  <c r="H8" i="22"/>
  <c r="I5" i="17" s="1"/>
  <c r="H16" i="22"/>
  <c r="I13" i="17" s="1"/>
  <c r="C16" i="22"/>
  <c r="C11" i="22"/>
  <c r="V15" i="19"/>
  <c r="F18" i="2" s="1"/>
  <c r="H14" i="22"/>
  <c r="I11" i="17" s="1"/>
  <c r="H17" i="22"/>
  <c r="I14" i="17" s="1"/>
  <c r="V11" i="19"/>
  <c r="F13" i="1" s="1"/>
  <c r="S37" i="19"/>
  <c r="H9" i="22"/>
  <c r="I6" i="17" s="1"/>
  <c r="N37" i="19"/>
  <c r="V12" i="19"/>
  <c r="F15" i="2" s="1"/>
  <c r="V16" i="19"/>
  <c r="F19" i="2" s="1"/>
  <c r="V10" i="19"/>
  <c r="F13" i="2" s="1"/>
  <c r="V14" i="19"/>
  <c r="F16" i="1" s="1"/>
  <c r="V18" i="19"/>
  <c r="F20" i="1" s="1"/>
  <c r="V13" i="19"/>
  <c r="F16" i="2" s="1"/>
  <c r="V17" i="19"/>
  <c r="F20" i="2" s="1"/>
  <c r="V9" i="19"/>
  <c r="F11" i="1" s="1"/>
  <c r="H6" i="22"/>
  <c r="I3" i="17" s="1"/>
  <c r="V8" i="19"/>
  <c r="F11" i="2" s="1"/>
  <c r="V7" i="19"/>
  <c r="F9" i="1" s="1"/>
  <c r="I37" i="19"/>
  <c r="H13" i="22"/>
  <c r="I10" i="17" s="1"/>
  <c r="V19" i="19"/>
  <c r="F22" i="2" s="1"/>
  <c r="H10" i="22"/>
  <c r="I7" i="17" s="1"/>
  <c r="V6" i="19"/>
  <c r="D37" i="19"/>
  <c r="CP36" i="12"/>
  <c r="CM36" i="12"/>
  <c r="CJ36" i="12"/>
  <c r="CG36" i="12"/>
  <c r="CD36" i="12"/>
  <c r="CA36" i="12"/>
  <c r="BX36" i="12"/>
  <c r="BU36" i="12"/>
  <c r="BR36" i="12"/>
  <c r="BO36" i="12"/>
  <c r="BL36" i="12"/>
  <c r="BI36" i="12"/>
  <c r="BF36" i="12"/>
  <c r="BC36" i="12"/>
  <c r="AZ36" i="12"/>
  <c r="AW36" i="12"/>
  <c r="AT36" i="12"/>
  <c r="AQ36" i="12"/>
  <c r="AN36" i="12"/>
  <c r="AK36" i="12"/>
  <c r="AH36" i="12"/>
  <c r="AE36" i="12"/>
  <c r="AB36" i="12"/>
  <c r="Y36" i="12"/>
  <c r="V36" i="12"/>
  <c r="S36" i="12"/>
  <c r="P36" i="12"/>
  <c r="M36" i="12"/>
  <c r="J36" i="12"/>
  <c r="G36" i="12"/>
  <c r="D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F13" i="22" s="1"/>
  <c r="G10" i="17" s="1"/>
  <c r="E16" i="22"/>
  <c r="F16" i="22" s="1"/>
  <c r="G13" i="17" s="1"/>
  <c r="E14" i="22"/>
  <c r="E9" i="2"/>
  <c r="E8" i="1"/>
  <c r="G37" i="21"/>
  <c r="E5" i="22"/>
  <c r="I31" i="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40" i="11"/>
  <c r="D10" i="2"/>
  <c r="D9" i="1"/>
  <c r="I14" i="9"/>
  <c r="C17" i="1"/>
  <c r="C18" i="2"/>
  <c r="K14" i="9"/>
  <c r="L14" i="9" s="1"/>
  <c r="C17" i="2"/>
  <c r="C16" i="1"/>
  <c r="K13" i="9"/>
  <c r="L13" i="9" s="1"/>
  <c r="I13" i="9"/>
  <c r="C16" i="2"/>
  <c r="K10" i="9"/>
  <c r="L10" i="9" s="1"/>
  <c r="C14" i="2"/>
  <c r="I10" i="9"/>
  <c r="C13" i="1"/>
  <c r="C12" i="1"/>
  <c r="I9" i="9"/>
  <c r="K9" i="9"/>
  <c r="L9" i="9" s="1"/>
  <c r="C13" i="2"/>
  <c r="C20" i="1"/>
  <c r="C21" i="2"/>
  <c r="I17" i="9"/>
  <c r="K17" i="9"/>
  <c r="L17" i="9" s="1"/>
  <c r="C12" i="2"/>
  <c r="I8" i="9"/>
  <c r="K8" i="9"/>
  <c r="L8" i="9" s="1"/>
  <c r="C11" i="1"/>
  <c r="C23" i="2"/>
  <c r="K19" i="9"/>
  <c r="L19" i="9" s="1"/>
  <c r="I19" i="9"/>
  <c r="C22" i="1"/>
  <c r="I16" i="9"/>
  <c r="C19" i="1"/>
  <c r="C20" i="2"/>
  <c r="K16" i="9"/>
  <c r="L16" i="9" s="1"/>
  <c r="I11" i="9"/>
  <c r="C14" i="1"/>
  <c r="C15" i="2"/>
  <c r="K11" i="9"/>
  <c r="L11" i="9" s="1"/>
  <c r="C15" i="1"/>
  <c r="C23" i="1"/>
  <c r="C24" i="2"/>
  <c r="I12" i="9"/>
  <c r="I18" i="9"/>
  <c r="C22" i="2"/>
  <c r="C10" i="1"/>
  <c r="C11" i="2"/>
  <c r="K7" i="9"/>
  <c r="L7" i="9" s="1"/>
  <c r="I7" i="9"/>
  <c r="D36" i="9"/>
  <c r="K36" i="9" s="1"/>
  <c r="L36" i="9" s="1"/>
  <c r="K6" i="9"/>
  <c r="L6" i="9" s="1"/>
  <c r="C9" i="1"/>
  <c r="I6" i="9"/>
  <c r="C10" i="2"/>
  <c r="C8" i="22"/>
  <c r="D8" i="22" s="1"/>
  <c r="E5" i="17" s="1"/>
  <c r="C15" i="22"/>
  <c r="D17" i="7"/>
  <c r="G12" i="15" s="1"/>
  <c r="G36" i="15" s="1"/>
  <c r="C7" i="22"/>
  <c r="D7" i="22" s="1"/>
  <c r="E4" i="17" s="1"/>
  <c r="B9" i="2"/>
  <c r="I9" i="2" s="1"/>
  <c r="C14" i="22"/>
  <c r="D41" i="6"/>
  <c r="B19" i="1"/>
  <c r="E16" i="15"/>
  <c r="H16" i="15" s="1"/>
  <c r="B20" i="2"/>
  <c r="C13" i="22"/>
  <c r="B11" i="1"/>
  <c r="B12" i="2"/>
  <c r="D6" i="22"/>
  <c r="E3" i="17" s="1"/>
  <c r="B15" i="2"/>
  <c r="D11" i="15"/>
  <c r="H11" i="15" s="1"/>
  <c r="B14" i="1"/>
  <c r="D20" i="4"/>
  <c r="D41" i="4" s="1"/>
  <c r="H9" i="15"/>
  <c r="H17" i="15"/>
  <c r="B20" i="1"/>
  <c r="H8" i="15"/>
  <c r="B10" i="2"/>
  <c r="D6" i="15"/>
  <c r="H6" i="15" s="1"/>
  <c r="B9" i="1"/>
  <c r="D5" i="15"/>
  <c r="B8" i="1"/>
  <c r="B21" i="2"/>
  <c r="B17" i="1"/>
  <c r="B18" i="2"/>
  <c r="C14" i="15"/>
  <c r="H14" i="15" s="1"/>
  <c r="C13" i="15"/>
  <c r="H13" i="15" s="1"/>
  <c r="B17" i="2"/>
  <c r="I17" i="2" s="1"/>
  <c r="B16" i="1"/>
  <c r="C12" i="22"/>
  <c r="B14" i="2"/>
  <c r="C10" i="15"/>
  <c r="H10" i="15" s="1"/>
  <c r="B13" i="1"/>
  <c r="C9" i="22"/>
  <c r="B13" i="2"/>
  <c r="B12" i="1"/>
  <c r="C7" i="15"/>
  <c r="H7" i="15" s="1"/>
  <c r="B10" i="1"/>
  <c r="B11" i="2"/>
  <c r="D41" i="3"/>
  <c r="H38" i="2"/>
  <c r="H36" i="2"/>
  <c r="H29" i="2" l="1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8" i="1"/>
  <c r="F30" i="1"/>
  <c r="H30" i="2"/>
  <c r="I30" i="2"/>
  <c r="D41" i="7"/>
  <c r="F36" i="2"/>
  <c r="F35" i="1"/>
  <c r="B33" i="2"/>
  <c r="F19" i="22"/>
  <c r="G16" i="17" s="1"/>
  <c r="F26" i="22"/>
  <c r="G23" i="17" s="1"/>
  <c r="F31" i="1"/>
  <c r="F24" i="2"/>
  <c r="D27" i="22"/>
  <c r="E24" i="17" s="1"/>
  <c r="F35" i="22"/>
  <c r="G32" i="17" s="1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D35" i="22"/>
  <c r="E32" i="17" s="1"/>
  <c r="D34" i="22"/>
  <c r="E31" i="17" s="1"/>
  <c r="B36" i="1"/>
  <c r="D21" i="22"/>
  <c r="E18" i="17" s="1"/>
  <c r="D22" i="22"/>
  <c r="E19" i="17" s="1"/>
  <c r="D23" i="22"/>
  <c r="E20" i="17" s="1"/>
  <c r="D24" i="22"/>
  <c r="E21" i="17" s="1"/>
  <c r="H10" i="2"/>
  <c r="F12" i="22"/>
  <c r="G9" i="17" s="1"/>
  <c r="F12" i="2"/>
  <c r="F14" i="2"/>
  <c r="F23" i="22"/>
  <c r="G20" i="17" s="1"/>
  <c r="H32" i="2"/>
  <c r="B37" i="2"/>
  <c r="B24" i="1"/>
  <c r="B25" i="2"/>
  <c r="C21" i="15"/>
  <c r="H21" i="15" s="1"/>
  <c r="F34" i="22"/>
  <c r="G31" i="17" s="1"/>
  <c r="E35" i="15"/>
  <c r="H35" i="15" s="1"/>
  <c r="B39" i="2"/>
  <c r="B38" i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E39" i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F6" i="22"/>
  <c r="G3" i="17" s="1"/>
  <c r="D39" i="1"/>
  <c r="D40" i="2"/>
  <c r="C39" i="1"/>
  <c r="I36" i="9"/>
  <c r="H15" i="2"/>
  <c r="C40" i="2"/>
  <c r="H12" i="15"/>
  <c r="D14" i="22"/>
  <c r="E11" i="17" s="1"/>
  <c r="B15" i="1"/>
  <c r="I15" i="2"/>
  <c r="I12" i="2"/>
  <c r="I10" i="2"/>
  <c r="I20" i="2"/>
  <c r="H20" i="2"/>
  <c r="D9" i="22"/>
  <c r="E6" i="17" s="1"/>
  <c r="D15" i="15"/>
  <c r="H15" i="15" s="1"/>
  <c r="B18" i="1"/>
  <c r="B19" i="2"/>
  <c r="H17" i="2"/>
  <c r="H5" i="15"/>
  <c r="I21" i="2"/>
  <c r="H21" i="2"/>
  <c r="H18" i="2"/>
  <c r="I18" i="2"/>
  <c r="D12" i="22"/>
  <c r="E9" i="17" s="1"/>
  <c r="D13" i="22"/>
  <c r="E10" i="17" s="1"/>
  <c r="I16" i="2"/>
  <c r="H16" i="2"/>
  <c r="H14" i="2"/>
  <c r="I14" i="2"/>
  <c r="H13" i="2"/>
  <c r="I13" i="2"/>
  <c r="I11" i="2"/>
  <c r="H11" i="2"/>
  <c r="H23" i="2" l="1"/>
  <c r="C36" i="15"/>
  <c r="H35" i="2"/>
  <c r="I35" i="2"/>
  <c r="I33" i="2"/>
  <c r="H33" i="2"/>
  <c r="D36" i="15"/>
  <c r="E36" i="15"/>
  <c r="F40" i="2"/>
  <c r="B40" i="2"/>
  <c r="I40" i="2" s="1"/>
  <c r="I25" i="2"/>
  <c r="H25" i="2"/>
  <c r="H37" i="2"/>
  <c r="I37" i="2"/>
  <c r="F39" i="1"/>
  <c r="B39" i="1"/>
  <c r="H19" i="2"/>
  <c r="I19" i="2"/>
</calcChain>
</file>

<file path=xl/comments1.xml><?xml version="1.0" encoding="utf-8"?>
<comments xmlns="http://schemas.openxmlformats.org/spreadsheetml/2006/main">
  <authors>
    <author>Ahmed Risan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>
  <authors>
    <author>Aboobakuru.Moosa</author>
  </authors>
  <commentList>
    <comment ref="B6" authorId="0">
      <text>
        <r>
          <rPr>
            <b/>
            <sz val="9"/>
            <color indexed="81"/>
            <rFont val="Tahoma"/>
            <family val="2"/>
          </rPr>
          <t>Aboobakuru.Moosa:</t>
        </r>
        <r>
          <rPr>
            <sz val="9"/>
            <color indexed="81"/>
            <rFont val="Tahoma"/>
            <family val="2"/>
          </rPr>
          <t xml:space="preserve">
1521.8 last month end
total 105m3 </t>
        </r>
      </text>
    </comment>
    <comment ref="C6" authorId="0">
      <text>
        <r>
          <rPr>
            <b/>
            <sz val="9"/>
            <color indexed="81"/>
            <rFont val="Tahoma"/>
            <family val="2"/>
          </rPr>
          <t>Aboobakuru.Moosa:</t>
        </r>
        <r>
          <rPr>
            <sz val="9"/>
            <color indexed="81"/>
            <rFont val="Tahoma"/>
            <family val="2"/>
          </rPr>
          <t xml:space="preserve">
New Meter reading 
</t>
        </r>
      </text>
    </comment>
  </commentList>
</comments>
</file>

<file path=xl/sharedStrings.xml><?xml version="1.0" encoding="utf-8"?>
<sst xmlns="http://schemas.openxmlformats.org/spreadsheetml/2006/main" count="322" uniqueCount="141">
  <si>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</si>
  <si>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</si>
  <si>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</si>
  <si>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</si>
  <si>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</si>
  <si>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</si>
  <si>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</si>
  <si>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</si>
  <si>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</si>
  <si>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</si>
  <si>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</si>
  <si>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</si>
  <si>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</si>
  <si>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</si>
  <si>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</si>
  <si>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</si>
  <si>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</si>
  <si>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</si>
  <si>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</si>
  <si>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</si>
  <si>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</si>
  <si>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</si>
  <si>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</si>
  <si>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</si>
  <si>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</si>
  <si>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</si>
  <si>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</si>
  <si>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</si>
  <si>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</si>
  <si>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</si>
  <si>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</si>
  <si>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</si>
  <si>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</si>
  <si>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</si>
  <si>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</si>
  <si>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</si>
  <si>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</si>
  <si>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</si>
  <si>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</si>
  <si>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</si>
  <si>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</si>
  <si>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</si>
  <si>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</si>
  <si>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</si>
  <si>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</si>
  <si>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</si>
  <si>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</si>
  <si>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</si>
  <si>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</si>
  <si>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</si>
  <si>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</si>
  <si>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</si>
  <si>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</si>
  <si>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Laundry-9</t>
  </si>
  <si>
    <t>Yesterday</t>
  </si>
  <si>
    <t>Today</t>
  </si>
  <si>
    <t xml:space="preserve">Consumption </t>
  </si>
  <si>
    <t xml:space="preserve">Total Kwh </t>
  </si>
  <si>
    <t>Month-Feb- 17</t>
  </si>
  <si>
    <t>Management block-5</t>
  </si>
  <si>
    <t>Boat Dock feeder - 22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</si>
  <si>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</si>
  <si>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</si>
  <si>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</si>
  <si>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</si>
  <si>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</si>
  <si>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</si>
  <si>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</si>
  <si>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</si>
  <si>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</si>
  <si>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</si>
  <si>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</si>
  <si>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</si>
  <si>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</si>
  <si>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</si>
  <si>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</si>
  <si>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</si>
  <si>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</si>
  <si>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</si>
  <si>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</si>
  <si>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</si>
  <si>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</si>
  <si>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</si>
  <si>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</si>
  <si>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</si>
  <si>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</si>
  <si>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</si>
  <si>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</si>
  <si>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</si>
  <si>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</si>
  <si>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</si>
  <si>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</si>
  <si>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</si>
  <si>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</si>
  <si>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</si>
  <si>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</si>
  <si>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</si>
  <si>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</si>
  <si>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</si>
  <si>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</si>
  <si>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</si>
  <si>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</si>
  <si>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</si>
  <si>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</si>
  <si>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</si>
  <si>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</si>
  <si>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</si>
  <si>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</si>
  <si>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</si>
  <si>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</si>
  <si>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</si>
  <si>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</si>
  <si>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</si>
  <si>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</si>
  <si>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</si>
  <si>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</si>
  <si>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</si>
  <si>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</si>
  <si>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</si>
  <si>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</si>
  <si>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</si>
  <si>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</si>
  <si>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</si>
  <si>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</si>
  <si>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</si>
  <si>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</si>
  <si>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</si>
  <si>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</si>
  <si>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</si>
  <si>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</si>
  <si>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</si>
  <si>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</si>
  <si>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</si>
  <si>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</si>
  <si>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</si>
  <si>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</si>
  <si>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</si>
  <si>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</si>
  <si>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</si>
  <si>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Diesel Consumption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</si>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</sst>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20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3" fillId="0" borderId="7" xfId="0" applyNumberFormat="1" applyFont="1" applyBorder="1" applyAlignment="1">
      <alignment vertical="center"/>
    </xf>
    <xf numFmtId="43" fontId="3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22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4" fillId="10" borderId="2" xfId="0" applyFont="1" applyFill="1" applyBorder="1" applyAlignment="1">
      <alignment horizontal="center"/>
    </xf>
    <xf numFmtId="0" fontId="4" fillId="10" borderId="0" xfId="0" applyFont="1" applyFill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3" fillId="5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 wrapText="1"/>
    </xf>
    <xf numFmtId="0" fontId="13" fillId="11" borderId="18" xfId="0" applyFont="1" applyFill="1" applyBorder="1" applyAlignment="1">
      <alignment horizontal="center" vertical="center"/>
    </xf>
    <xf numFmtId="0" fontId="13" fillId="11" borderId="18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 wrapText="1"/>
    </xf>
    <xf numFmtId="0" fontId="10" fillId="0" borderId="0" xfId="0" applyFont="1"/>
    <xf numFmtId="0" fontId="13" fillId="0" borderId="14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0" fillId="0" borderId="10" xfId="0" applyFill="1" applyBorder="1"/>
    <xf numFmtId="0" fontId="16" fillId="13" borderId="18" xfId="0" applyFont="1" applyFill="1" applyBorder="1" applyAlignment="1">
      <alignment horizontal="center" vertical="center"/>
    </xf>
    <xf numFmtId="0" fontId="16" fillId="13" borderId="19" xfId="0" applyFont="1" applyFill="1" applyBorder="1" applyAlignment="1">
      <alignment horizontal="center" vertical="center" wrapText="1"/>
    </xf>
    <xf numFmtId="167" fontId="4" fillId="0" borderId="11" xfId="0" applyNumberFormat="1" applyFont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4" fillId="13" borderId="18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4" borderId="0" xfId="0" applyFill="1" applyAlignment="1">
      <alignment horizontal="center"/>
    </xf>
    <xf numFmtId="0" fontId="0" fillId="14" borderId="0" xfId="0" applyFill="1" applyAlignment="1">
      <alignment horizontal="center" vertical="center"/>
    </xf>
    <xf numFmtId="0" fontId="18" fillId="15" borderId="0" xfId="0" applyFont="1" applyFill="1" applyAlignment="1">
      <alignment horizontal="center"/>
    </xf>
    <xf numFmtId="0" fontId="19" fillId="15" borderId="0" xfId="0" applyFont="1" applyFill="1"/>
    <xf numFmtId="0" fontId="0" fillId="0" borderId="0" xfId="0" applyBorder="1"/>
    <xf numFmtId="0" fontId="19" fillId="15" borderId="25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21" fillId="11" borderId="2" xfId="0" applyFont="1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21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12" borderId="2" xfId="0" applyNumberFormat="1" applyFont="1" applyFill="1" applyBorder="1" applyAlignment="1">
      <alignment horizontal="center"/>
    </xf>
    <xf numFmtId="1" fontId="4" fillId="0" borderId="11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2" fontId="28" fillId="0" borderId="2" xfId="0" applyNumberFormat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2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17" fontId="30" fillId="24" borderId="0" xfId="9" applyNumberFormat="1" applyFont="1" applyFill="1" applyAlignment="1">
      <alignment vertical="center"/>
    </xf>
    <xf numFmtId="0" fontId="6" fillId="24" borderId="0" xfId="9" applyFont="1" applyFill="1" applyAlignment="1">
      <alignment horizontal="center" vertical="center"/>
    </xf>
    <xf numFmtId="0" fontId="6" fillId="24" borderId="0" xfId="9" applyFont="1" applyFill="1" applyAlignment="1">
      <alignment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2" borderId="2" xfId="9" applyFont="1" applyFill="1" applyBorder="1" applyAlignment="1">
      <alignment horizontal="center" vertical="center"/>
    </xf>
    <xf numFmtId="165" fontId="5" fillId="12" borderId="2" xfId="1" applyNumberFormat="1" applyFont="1" applyFill="1" applyBorder="1" applyAlignment="1">
      <alignment horizontal="center" vertical="center"/>
    </xf>
    <xf numFmtId="2" fontId="5" fillId="12" borderId="2" xfId="9" applyNumberFormat="1" applyFont="1" applyFill="1" applyBorder="1" applyAlignment="1">
      <alignment horizontal="center" vertical="center" wrapText="1"/>
    </xf>
    <xf numFmtId="0" fontId="4" fillId="5" borderId="35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4" borderId="4" xfId="9" applyFill="1" applyBorder="1"/>
    <xf numFmtId="0" fontId="12" fillId="5" borderId="35" xfId="9" applyFont="1" applyFill="1" applyBorder="1" applyAlignment="1">
      <alignment horizontal="center" vertical="center"/>
    </xf>
    <xf numFmtId="0" fontId="4" fillId="14" borderId="0" xfId="9" applyFill="1" applyBorder="1"/>
    <xf numFmtId="0" fontId="4" fillId="5" borderId="10" xfId="9" applyFill="1" applyBorder="1" applyAlignment="1">
      <alignment horizontal="center" vertical="center"/>
    </xf>
    <xf numFmtId="165" fontId="0" fillId="5" borderId="10" xfId="1" applyNumberFormat="1" applyFont="1" applyFill="1" applyBorder="1" applyAlignment="1">
      <alignment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20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20" xfId="9" applyFont="1" applyFill="1" applyBorder="1" applyAlignment="1">
      <alignment horizontal="center" vertical="center"/>
    </xf>
    <xf numFmtId="2" fontId="4" fillId="0" borderId="0" xfId="9" applyNumberFormat="1"/>
    <xf numFmtId="0" fontId="4" fillId="14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4" borderId="0" xfId="9" applyNumberFormat="1" applyFill="1" applyBorder="1" applyAlignment="1">
      <alignment horizontal="center" vertical="center"/>
    </xf>
    <xf numFmtId="0" fontId="4" fillId="0" borderId="0" xfId="9" applyAlignment="1">
      <alignment vertical="center"/>
    </xf>
    <xf numFmtId="0" fontId="4" fillId="0" borderId="0" xfId="9" applyFont="1"/>
    <xf numFmtId="0" fontId="4" fillId="14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5" borderId="0" xfId="9" applyFont="1" applyFill="1" applyAlignment="1">
      <alignment horizontal="center" vertical="center"/>
    </xf>
    <xf numFmtId="17" fontId="3" fillId="25" borderId="0" xfId="9" applyNumberFormat="1" applyFont="1" applyFill="1" applyAlignment="1">
      <alignment horizontal="center" vertical="center"/>
    </xf>
    <xf numFmtId="0" fontId="3" fillId="25" borderId="0" xfId="9" applyFont="1" applyFill="1" applyAlignment="1">
      <alignment vertical="center"/>
    </xf>
    <xf numFmtId="0" fontId="4" fillId="25" borderId="0" xfId="9" applyFill="1" applyAlignment="1">
      <alignment horizontal="center" vertical="center"/>
    </xf>
    <xf numFmtId="0" fontId="4" fillId="25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4" fillId="16" borderId="0" xfId="13" applyFont="1" applyFill="1" applyAlignment="1">
      <alignment horizontal="center"/>
    </xf>
    <xf numFmtId="1" fontId="25" fillId="16" borderId="0" xfId="13" applyNumberFormat="1" applyFont="1" applyFill="1" applyAlignment="1">
      <alignment horizontal="center"/>
    </xf>
    <xf numFmtId="0" fontId="1" fillId="0" borderId="0" xfId="13"/>
    <xf numFmtId="0" fontId="26" fillId="17" borderId="26" xfId="13" applyFont="1" applyFill="1" applyBorder="1" applyAlignment="1">
      <alignment horizontal="center" vertical="center" wrapText="1"/>
    </xf>
    <xf numFmtId="0" fontId="23" fillId="20" borderId="10" xfId="13" applyFont="1" applyFill="1" applyBorder="1" applyAlignment="1">
      <alignment horizontal="center" vertical="center"/>
    </xf>
    <xf numFmtId="0" fontId="23" fillId="21" borderId="32" xfId="13" applyFont="1" applyFill="1" applyBorder="1" applyAlignment="1">
      <alignment horizontal="center" vertical="center" wrapText="1"/>
    </xf>
    <xf numFmtId="1" fontId="23" fillId="21" borderId="10" xfId="13" applyNumberFormat="1" applyFont="1" applyFill="1" applyBorder="1" applyAlignment="1">
      <alignment horizontal="center" vertical="center" wrapText="1"/>
    </xf>
    <xf numFmtId="0" fontId="23" fillId="21" borderId="10" xfId="13" applyFont="1" applyFill="1" applyBorder="1" applyAlignment="1">
      <alignment horizontal="center" vertical="center" wrapText="1"/>
    </xf>
    <xf numFmtId="0" fontId="23" fillId="21" borderId="10" xfId="13" applyFont="1" applyFill="1" applyBorder="1" applyAlignment="1">
      <alignment horizontal="center" wrapText="1"/>
    </xf>
    <xf numFmtId="15" fontId="28" fillId="20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8" fillId="0" borderId="0" xfId="13" applyNumberFormat="1" applyFont="1" applyAlignment="1">
      <alignment horizontal="center"/>
    </xf>
    <xf numFmtId="0" fontId="22" fillId="0" borderId="2" xfId="13" applyFont="1" applyBorder="1" applyAlignment="1">
      <alignment horizontal="center"/>
    </xf>
    <xf numFmtId="0" fontId="22" fillId="0" borderId="0" xfId="13" applyFont="1" applyAlignment="1">
      <alignment horizontal="center"/>
    </xf>
    <xf numFmtId="0" fontId="22" fillId="0" borderId="0" xfId="13" applyFont="1"/>
    <xf numFmtId="1" fontId="22" fillId="0" borderId="2" xfId="13" applyNumberFormat="1" applyFont="1" applyBorder="1" applyAlignment="1">
      <alignment horizontal="center" vertical="center"/>
    </xf>
    <xf numFmtId="15" fontId="23" fillId="20" borderId="10" xfId="13" applyNumberFormat="1" applyFont="1" applyFill="1" applyBorder="1" applyAlignment="1">
      <alignment horizontal="center" vertical="center"/>
    </xf>
    <xf numFmtId="1" fontId="29" fillId="0" borderId="2" xfId="13" applyNumberFormat="1" applyFont="1" applyBorder="1" applyAlignment="1">
      <alignment horizontal="center" vertical="center"/>
    </xf>
    <xf numFmtId="0" fontId="32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3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3" fillId="22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4" borderId="13" xfId="9" applyFill="1" applyBorder="1"/>
    <xf numFmtId="2" fontId="4" fillId="0" borderId="0" xfId="9" applyNumberFormat="1" applyFont="1"/>
    <xf numFmtId="0" fontId="4" fillId="5" borderId="10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14" borderId="13" xfId="9" applyFont="1" applyFill="1" applyBorder="1"/>
    <xf numFmtId="0" fontId="4" fillId="14" borderId="0" xfId="9" applyFont="1" applyFill="1" applyBorder="1"/>
    <xf numFmtId="0" fontId="4" fillId="14" borderId="4" xfId="9" applyFont="1" applyFill="1" applyBorder="1"/>
    <xf numFmtId="165" fontId="4" fillId="5" borderId="2" xfId="1" applyNumberFormat="1" applyFont="1" applyFill="1" applyBorder="1" applyAlignment="1">
      <alignment vertical="center"/>
    </xf>
    <xf numFmtId="0" fontId="4" fillId="5" borderId="2" xfId="9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12" fillId="12" borderId="2" xfId="0" applyFont="1" applyFill="1" applyBorder="1" applyAlignment="1">
      <alignment horizontal="center" vertical="center"/>
    </xf>
    <xf numFmtId="0" fontId="24" fillId="16" borderId="2" xfId="13" applyFont="1" applyFill="1" applyBorder="1" applyAlignment="1">
      <alignment horizontal="center"/>
    </xf>
    <xf numFmtId="0" fontId="25" fillId="16" borderId="10" xfId="13" applyFont="1" applyFill="1" applyBorder="1" applyAlignment="1">
      <alignment horizontal="center"/>
    </xf>
    <xf numFmtId="0" fontId="27" fillId="18" borderId="27" xfId="13" applyFont="1" applyFill="1" applyBorder="1" applyAlignment="1">
      <alignment horizontal="center" vertical="center"/>
    </xf>
    <xf numFmtId="0" fontId="27" fillId="18" borderId="28" xfId="13" applyFont="1" applyFill="1" applyBorder="1" applyAlignment="1">
      <alignment horizontal="center" vertical="center"/>
    </xf>
    <xf numFmtId="0" fontId="27" fillId="18" borderId="29" xfId="13" applyFont="1" applyFill="1" applyBorder="1" applyAlignment="1">
      <alignment horizontal="center" vertical="center"/>
    </xf>
    <xf numFmtId="0" fontId="23" fillId="19" borderId="30" xfId="13" applyFont="1" applyFill="1" applyBorder="1" applyAlignment="1">
      <alignment horizontal="center" vertical="center" wrapText="1"/>
    </xf>
    <xf numFmtId="0" fontId="23" fillId="19" borderId="31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13" borderId="15" xfId="0" applyFont="1" applyFill="1" applyBorder="1" applyAlignment="1">
      <alignment horizontal="center" vertical="center"/>
    </xf>
    <xf numFmtId="0" fontId="16" fillId="13" borderId="16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3" fillId="12" borderId="23" xfId="0" applyFont="1" applyFill="1" applyBorder="1" applyAlignment="1">
      <alignment horizontal="center" vertical="center"/>
    </xf>
    <xf numFmtId="0" fontId="13" fillId="12" borderId="24" xfId="0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center" vertical="center"/>
    </xf>
    <xf numFmtId="0" fontId="13" fillId="12" borderId="16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3" fillId="10" borderId="15" xfId="0" applyFont="1" applyFill="1" applyBorder="1" applyAlignment="1">
      <alignment horizontal="center" vertical="center"/>
    </xf>
    <xf numFmtId="0" fontId="13" fillId="11" borderId="15" xfId="0" applyFont="1" applyFill="1" applyBorder="1" applyAlignment="1">
      <alignment horizontal="center" vertical="center"/>
    </xf>
    <xf numFmtId="0" fontId="6" fillId="23" borderId="0" xfId="9" applyFont="1" applyFill="1" applyAlignment="1">
      <alignment horizontal="center" vertical="center"/>
    </xf>
    <xf numFmtId="0" fontId="30" fillId="24" borderId="1" xfId="9" applyFont="1" applyFill="1" applyBorder="1" applyAlignment="1">
      <alignment horizontal="center" vertical="center"/>
    </xf>
    <xf numFmtId="0" fontId="3" fillId="4" borderId="20" xfId="9" applyFont="1" applyFill="1" applyBorder="1" applyAlignment="1">
      <alignment horizontal="center" vertical="center"/>
    </xf>
    <xf numFmtId="0" fontId="3" fillId="4" borderId="33" xfId="9" applyFont="1" applyFill="1" applyBorder="1" applyAlignment="1">
      <alignment horizontal="center" vertical="center"/>
    </xf>
    <xf numFmtId="0" fontId="3" fillId="4" borderId="34" xfId="9" applyFont="1" applyFill="1" applyBorder="1" applyAlignment="1">
      <alignment horizontal="center" vertical="center"/>
    </xf>
    <xf numFmtId="0" fontId="3" fillId="12" borderId="20" xfId="9" applyFont="1" applyFill="1" applyBorder="1" applyAlignment="1">
      <alignment horizontal="center" vertical="center"/>
    </xf>
    <xf numFmtId="0" fontId="3" fillId="12" borderId="33" xfId="9" applyFont="1" applyFill="1" applyBorder="1" applyAlignment="1">
      <alignment horizontal="center" vertical="center"/>
    </xf>
    <xf numFmtId="0" fontId="3" fillId="12" borderId="34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31" fillId="25" borderId="0" xfId="9" applyFont="1" applyFill="1" applyBorder="1" applyAlignment="1">
      <alignment horizontal="center" vertical="center"/>
    </xf>
    <xf numFmtId="16" fontId="3" fillId="5" borderId="20" xfId="9" applyNumberFormat="1" applyFont="1" applyFill="1" applyBorder="1" applyAlignment="1">
      <alignment horizontal="right" vertical="center"/>
    </xf>
    <xf numFmtId="0" fontId="3" fillId="5" borderId="33" xfId="9" applyFont="1" applyFill="1" applyBorder="1" applyAlignment="1">
      <alignment horizontal="right" vertical="center"/>
    </xf>
    <xf numFmtId="0" fontId="3" fillId="5" borderId="34" xfId="9" applyFont="1" applyFill="1" applyBorder="1" applyAlignment="1">
      <alignment horizontal="right" vertical="center"/>
    </xf>
    <xf numFmtId="0" fontId="18" fillId="15" borderId="0" xfId="0" applyFont="1" applyFill="1" applyAlignment="1">
      <alignment horizontal="center"/>
    </xf>
    <xf numFmtId="168" fontId="20" fillId="15" borderId="0" xfId="0" applyNumberFormat="1" applyFont="1" applyFill="1" applyAlignment="1">
      <alignment horizontal="left"/>
    </xf>
    <xf numFmtId="0" fontId="20" fillId="15" borderId="0" xfId="0" applyFont="1" applyFill="1" applyAlignment="1">
      <alignment horizontal="center" vertic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'!$D$5:$D$34</c:f>
              <c:numCache>
                <c:formatCode>General</c:formatCode>
                <c:ptCount val="30"/>
                <c:pt idx="0">
                  <c:v>3937</c:v>
                </c:pt>
                <c:pt idx="1">
                  <c:v>3942</c:v>
                </c:pt>
                <c:pt idx="2">
                  <c:v>3729</c:v>
                </c:pt>
                <c:pt idx="3">
                  <c:v>3645</c:v>
                </c:pt>
                <c:pt idx="4">
                  <c:v>3772</c:v>
                </c:pt>
                <c:pt idx="5">
                  <c:v>3708</c:v>
                </c:pt>
                <c:pt idx="6">
                  <c:v>3774</c:v>
                </c:pt>
                <c:pt idx="7">
                  <c:v>3761</c:v>
                </c:pt>
                <c:pt idx="8">
                  <c:v>3540</c:v>
                </c:pt>
                <c:pt idx="9">
                  <c:v>3254</c:v>
                </c:pt>
                <c:pt idx="10">
                  <c:v>3149</c:v>
                </c:pt>
                <c:pt idx="11">
                  <c:v>3177</c:v>
                </c:pt>
                <c:pt idx="12">
                  <c:v>3590</c:v>
                </c:pt>
                <c:pt idx="13">
                  <c:v>3679</c:v>
                </c:pt>
                <c:pt idx="14">
                  <c:v>3541</c:v>
                </c:pt>
                <c:pt idx="15">
                  <c:v>3591</c:v>
                </c:pt>
                <c:pt idx="16">
                  <c:v>3625</c:v>
                </c:pt>
                <c:pt idx="17">
                  <c:v>3660</c:v>
                </c:pt>
                <c:pt idx="18">
                  <c:v>3791</c:v>
                </c:pt>
                <c:pt idx="19">
                  <c:v>3833</c:v>
                </c:pt>
                <c:pt idx="20">
                  <c:v>-25372144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'!$G$5:$G$34</c:f>
              <c:numCache>
                <c:formatCode>General</c:formatCode>
                <c:ptCount val="30"/>
                <c:pt idx="0">
                  <c:v>5240</c:v>
                </c:pt>
                <c:pt idx="1">
                  <c:v>5617</c:v>
                </c:pt>
                <c:pt idx="2">
                  <c:v>5264</c:v>
                </c:pt>
                <c:pt idx="3">
                  <c:v>5129</c:v>
                </c:pt>
                <c:pt idx="4">
                  <c:v>5699</c:v>
                </c:pt>
                <c:pt idx="5">
                  <c:v>5775</c:v>
                </c:pt>
                <c:pt idx="6">
                  <c:v>5717</c:v>
                </c:pt>
                <c:pt idx="7">
                  <c:v>5696</c:v>
                </c:pt>
                <c:pt idx="8">
                  <c:v>5509</c:v>
                </c:pt>
                <c:pt idx="9">
                  <c:v>4165</c:v>
                </c:pt>
                <c:pt idx="10">
                  <c:v>3646</c:v>
                </c:pt>
                <c:pt idx="11">
                  <c:v>4171</c:v>
                </c:pt>
                <c:pt idx="12">
                  <c:v>4811</c:v>
                </c:pt>
                <c:pt idx="13">
                  <c:v>5607</c:v>
                </c:pt>
                <c:pt idx="14">
                  <c:v>5171</c:v>
                </c:pt>
                <c:pt idx="15">
                  <c:v>4702</c:v>
                </c:pt>
                <c:pt idx="16">
                  <c:v>4779</c:v>
                </c:pt>
                <c:pt idx="17">
                  <c:v>4859</c:v>
                </c:pt>
                <c:pt idx="18">
                  <c:v>5019</c:v>
                </c:pt>
                <c:pt idx="19">
                  <c:v>5070</c:v>
                </c:pt>
                <c:pt idx="20">
                  <c:v>-22358180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06784"/>
        <c:axId val="202808320"/>
      </c:lineChart>
      <c:catAx>
        <c:axId val="202806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02808320"/>
        <c:crosses val="autoZero"/>
        <c:auto val="1"/>
        <c:lblAlgn val="ctr"/>
        <c:lblOffset val="100"/>
        <c:noMultiLvlLbl val="0"/>
      </c:catAx>
      <c:valAx>
        <c:axId val="202808320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806784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14319</c:v>
                </c:pt>
                <c:pt idx="1">
                  <c:v>14747</c:v>
                </c:pt>
                <c:pt idx="2">
                  <c:v>14259</c:v>
                </c:pt>
                <c:pt idx="3">
                  <c:v>14157</c:v>
                </c:pt>
                <c:pt idx="4">
                  <c:v>14502</c:v>
                </c:pt>
                <c:pt idx="5">
                  <c:v>14799</c:v>
                </c:pt>
                <c:pt idx="6">
                  <c:v>14923</c:v>
                </c:pt>
                <c:pt idx="7">
                  <c:v>14604</c:v>
                </c:pt>
                <c:pt idx="8">
                  <c:v>15313</c:v>
                </c:pt>
                <c:pt idx="9">
                  <c:v>14521</c:v>
                </c:pt>
                <c:pt idx="10">
                  <c:v>12052</c:v>
                </c:pt>
                <c:pt idx="11">
                  <c:v>12786</c:v>
                </c:pt>
                <c:pt idx="12">
                  <c:v>13223</c:v>
                </c:pt>
                <c:pt idx="13">
                  <c:v>14263</c:v>
                </c:pt>
                <c:pt idx="14">
                  <c:v>14566</c:v>
                </c:pt>
                <c:pt idx="15">
                  <c:v>13890</c:v>
                </c:pt>
                <c:pt idx="16">
                  <c:v>14194</c:v>
                </c:pt>
                <c:pt idx="17">
                  <c:v>14463</c:v>
                </c:pt>
                <c:pt idx="18">
                  <c:v>14383</c:v>
                </c:pt>
                <c:pt idx="19">
                  <c:v>14241</c:v>
                </c:pt>
                <c:pt idx="20">
                  <c:v>-84814069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897664"/>
        <c:axId val="214047360"/>
      </c:lineChart>
      <c:catAx>
        <c:axId val="204897664"/>
        <c:scaling>
          <c:orientation val="minMax"/>
        </c:scaling>
        <c:delete val="0"/>
        <c:axPos val="b"/>
        <c:majorTickMark val="out"/>
        <c:minorTickMark val="none"/>
        <c:tickLblPos val="nextTo"/>
        <c:crossAx val="214047360"/>
        <c:crosses val="autoZero"/>
        <c:auto val="1"/>
        <c:lblAlgn val="ctr"/>
        <c:lblOffset val="100"/>
        <c:noMultiLvlLbl val="0"/>
      </c:catAx>
      <c:valAx>
        <c:axId val="214047360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4897664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'!$M$5:$M$34</c:f>
              <c:numCache>
                <c:formatCode>General</c:formatCode>
                <c:ptCount val="30"/>
                <c:pt idx="0">
                  <c:v>2000</c:v>
                </c:pt>
                <c:pt idx="1">
                  <c:v>2000</c:v>
                </c:pt>
                <c:pt idx="2">
                  <c:v>1800</c:v>
                </c:pt>
                <c:pt idx="3">
                  <c:v>2000</c:v>
                </c:pt>
                <c:pt idx="4">
                  <c:v>1900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1900</c:v>
                </c:pt>
                <c:pt idx="9">
                  <c:v>1800</c:v>
                </c:pt>
                <c:pt idx="10">
                  <c:v>1800</c:v>
                </c:pt>
                <c:pt idx="11">
                  <c:v>1800</c:v>
                </c:pt>
                <c:pt idx="12">
                  <c:v>2000</c:v>
                </c:pt>
                <c:pt idx="13">
                  <c:v>1900</c:v>
                </c:pt>
                <c:pt idx="14">
                  <c:v>2000</c:v>
                </c:pt>
                <c:pt idx="15">
                  <c:v>1900</c:v>
                </c:pt>
                <c:pt idx="16">
                  <c:v>1900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-1881600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'!$P$5:$P$34</c:f>
              <c:numCache>
                <c:formatCode>General</c:formatCode>
                <c:ptCount val="30"/>
                <c:pt idx="0">
                  <c:v>2698</c:v>
                </c:pt>
                <c:pt idx="1">
                  <c:v>2834</c:v>
                </c:pt>
                <c:pt idx="2">
                  <c:v>2813</c:v>
                </c:pt>
                <c:pt idx="3">
                  <c:v>2796</c:v>
                </c:pt>
                <c:pt idx="4">
                  <c:v>2727</c:v>
                </c:pt>
                <c:pt idx="5">
                  <c:v>2630</c:v>
                </c:pt>
                <c:pt idx="6">
                  <c:v>2837</c:v>
                </c:pt>
                <c:pt idx="7">
                  <c:v>2777</c:v>
                </c:pt>
                <c:pt idx="8">
                  <c:v>2537</c:v>
                </c:pt>
                <c:pt idx="9">
                  <c:v>2465</c:v>
                </c:pt>
                <c:pt idx="10">
                  <c:v>2501</c:v>
                </c:pt>
                <c:pt idx="11">
                  <c:v>2522</c:v>
                </c:pt>
                <c:pt idx="12">
                  <c:v>2708</c:v>
                </c:pt>
                <c:pt idx="13">
                  <c:v>2751</c:v>
                </c:pt>
                <c:pt idx="14">
                  <c:v>2800</c:v>
                </c:pt>
                <c:pt idx="15">
                  <c:v>2569</c:v>
                </c:pt>
                <c:pt idx="16">
                  <c:v>2559</c:v>
                </c:pt>
                <c:pt idx="17">
                  <c:v>2642</c:v>
                </c:pt>
                <c:pt idx="18">
                  <c:v>2737</c:v>
                </c:pt>
                <c:pt idx="19">
                  <c:v>2778</c:v>
                </c:pt>
                <c:pt idx="20">
                  <c:v>-2545474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6100</c:v>
                </c:pt>
                <c:pt idx="1">
                  <c:v>6400</c:v>
                </c:pt>
                <c:pt idx="2">
                  <c:v>6400</c:v>
                </c:pt>
                <c:pt idx="3">
                  <c:v>6100</c:v>
                </c:pt>
                <c:pt idx="4">
                  <c:v>6400</c:v>
                </c:pt>
                <c:pt idx="5">
                  <c:v>6500</c:v>
                </c:pt>
                <c:pt idx="6">
                  <c:v>6600</c:v>
                </c:pt>
                <c:pt idx="7">
                  <c:v>6600</c:v>
                </c:pt>
                <c:pt idx="8">
                  <c:v>6200</c:v>
                </c:pt>
                <c:pt idx="9">
                  <c:v>6100</c:v>
                </c:pt>
                <c:pt idx="10">
                  <c:v>5700</c:v>
                </c:pt>
                <c:pt idx="11">
                  <c:v>5800</c:v>
                </c:pt>
                <c:pt idx="12">
                  <c:v>6500</c:v>
                </c:pt>
                <c:pt idx="13">
                  <c:v>6100</c:v>
                </c:pt>
                <c:pt idx="14">
                  <c:v>6500</c:v>
                </c:pt>
                <c:pt idx="15">
                  <c:v>6500</c:v>
                </c:pt>
                <c:pt idx="16">
                  <c:v>6800</c:v>
                </c:pt>
                <c:pt idx="17">
                  <c:v>6800</c:v>
                </c:pt>
                <c:pt idx="18">
                  <c:v>6300</c:v>
                </c:pt>
                <c:pt idx="19">
                  <c:v>6800</c:v>
                </c:pt>
                <c:pt idx="20">
                  <c:v>-7326700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'!$AB$5:$AB$34</c:f>
              <c:numCache>
                <c:formatCode>General</c:formatCode>
                <c:ptCount val="30"/>
                <c:pt idx="0">
                  <c:v>2500</c:v>
                </c:pt>
                <c:pt idx="1">
                  <c:v>2500</c:v>
                </c:pt>
                <c:pt idx="2">
                  <c:v>2100</c:v>
                </c:pt>
                <c:pt idx="3">
                  <c:v>1800</c:v>
                </c:pt>
                <c:pt idx="4">
                  <c:v>2000</c:v>
                </c:pt>
                <c:pt idx="5">
                  <c:v>2200</c:v>
                </c:pt>
                <c:pt idx="6">
                  <c:v>2100</c:v>
                </c:pt>
                <c:pt idx="7">
                  <c:v>1800</c:v>
                </c:pt>
                <c:pt idx="8">
                  <c:v>2000</c:v>
                </c:pt>
                <c:pt idx="9">
                  <c:v>1900</c:v>
                </c:pt>
                <c:pt idx="10">
                  <c:v>2100</c:v>
                </c:pt>
                <c:pt idx="11">
                  <c:v>2000</c:v>
                </c:pt>
                <c:pt idx="12">
                  <c:v>1800</c:v>
                </c:pt>
                <c:pt idx="13">
                  <c:v>1800</c:v>
                </c:pt>
                <c:pt idx="14">
                  <c:v>1800</c:v>
                </c:pt>
                <c:pt idx="15">
                  <c:v>1800</c:v>
                </c:pt>
                <c:pt idx="16">
                  <c:v>1600</c:v>
                </c:pt>
                <c:pt idx="17">
                  <c:v>1700</c:v>
                </c:pt>
                <c:pt idx="18">
                  <c:v>1600</c:v>
                </c:pt>
                <c:pt idx="19">
                  <c:v>1900</c:v>
                </c:pt>
                <c:pt idx="20">
                  <c:v>-1653900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295296"/>
        <c:axId val="331440512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666850</c:v>
                </c:pt>
                <c:pt idx="1">
                  <c:v>667720</c:v>
                </c:pt>
                <c:pt idx="2">
                  <c:v>668600</c:v>
                </c:pt>
                <c:pt idx="3">
                  <c:v>669470</c:v>
                </c:pt>
                <c:pt idx="4">
                  <c:v>670350</c:v>
                </c:pt>
                <c:pt idx="5">
                  <c:v>671260</c:v>
                </c:pt>
                <c:pt idx="6">
                  <c:v>672180</c:v>
                </c:pt>
                <c:pt idx="7">
                  <c:v>673130</c:v>
                </c:pt>
                <c:pt idx="8">
                  <c:v>674100</c:v>
                </c:pt>
                <c:pt idx="9">
                  <c:v>675230</c:v>
                </c:pt>
                <c:pt idx="10">
                  <c:v>676260</c:v>
                </c:pt>
                <c:pt idx="11">
                  <c:v>677010</c:v>
                </c:pt>
                <c:pt idx="12">
                  <c:v>677830</c:v>
                </c:pt>
                <c:pt idx="13">
                  <c:v>678670</c:v>
                </c:pt>
                <c:pt idx="14">
                  <c:v>679560</c:v>
                </c:pt>
                <c:pt idx="15">
                  <c:v>680450</c:v>
                </c:pt>
                <c:pt idx="16">
                  <c:v>681300</c:v>
                </c:pt>
                <c:pt idx="17">
                  <c:v>682250</c:v>
                </c:pt>
                <c:pt idx="18">
                  <c:v>683210</c:v>
                </c:pt>
                <c:pt idx="19">
                  <c:v>684120</c:v>
                </c:pt>
                <c:pt idx="20">
                  <c:v>685040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820096"/>
        <c:axId val="338818176"/>
      </c:lineChart>
      <c:catAx>
        <c:axId val="304295296"/>
        <c:scaling>
          <c:orientation val="minMax"/>
        </c:scaling>
        <c:delete val="0"/>
        <c:axPos val="b"/>
        <c:majorTickMark val="out"/>
        <c:minorTickMark val="none"/>
        <c:tickLblPos val="nextTo"/>
        <c:crossAx val="331440512"/>
        <c:crosses val="autoZero"/>
        <c:auto val="1"/>
        <c:lblAlgn val="ctr"/>
        <c:lblOffset val="100"/>
        <c:noMultiLvlLbl val="0"/>
      </c:catAx>
      <c:valAx>
        <c:axId val="331440512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4295296"/>
        <c:crosses val="autoZero"/>
        <c:crossBetween val="between"/>
        <c:minorUnit val="100"/>
      </c:valAx>
      <c:valAx>
        <c:axId val="3388181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38820096"/>
        <c:crosses val="max"/>
        <c:crossBetween val="between"/>
      </c:valAx>
      <c:catAx>
        <c:axId val="338820096"/>
        <c:scaling>
          <c:orientation val="minMax"/>
        </c:scaling>
        <c:delete val="1"/>
        <c:axPos val="b"/>
        <c:majorTickMark val="out"/>
        <c:minorTickMark val="none"/>
        <c:tickLblPos val="nextTo"/>
        <c:crossAx val="33881817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30462</c:v>
                </c:pt>
                <c:pt idx="1">
                  <c:v>31274</c:v>
                </c:pt>
                <c:pt idx="2">
                  <c:v>30266</c:v>
                </c:pt>
                <c:pt idx="3">
                  <c:v>29095</c:v>
                </c:pt>
                <c:pt idx="4">
                  <c:v>30371</c:v>
                </c:pt>
                <c:pt idx="5">
                  <c:v>31077</c:v>
                </c:pt>
                <c:pt idx="6">
                  <c:v>30879</c:v>
                </c:pt>
                <c:pt idx="7">
                  <c:v>30415</c:v>
                </c:pt>
                <c:pt idx="8">
                  <c:v>31010</c:v>
                </c:pt>
                <c:pt idx="9">
                  <c:v>28059</c:v>
                </c:pt>
                <c:pt idx="10">
                  <c:v>24815</c:v>
                </c:pt>
                <c:pt idx="11">
                  <c:v>26393</c:v>
                </c:pt>
                <c:pt idx="12">
                  <c:v>27554</c:v>
                </c:pt>
                <c:pt idx="13">
                  <c:v>29353</c:v>
                </c:pt>
                <c:pt idx="14">
                  <c:v>29352</c:v>
                </c:pt>
                <c:pt idx="15">
                  <c:v>28168</c:v>
                </c:pt>
                <c:pt idx="16">
                  <c:v>28362</c:v>
                </c:pt>
                <c:pt idx="17">
                  <c:v>28781</c:v>
                </c:pt>
                <c:pt idx="18">
                  <c:v>29287</c:v>
                </c:pt>
                <c:pt idx="19">
                  <c:v>29267</c:v>
                </c:pt>
                <c:pt idx="20">
                  <c:v>-88331778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084672"/>
        <c:axId val="345086592"/>
      </c:barChart>
      <c:catAx>
        <c:axId val="345084672"/>
        <c:scaling>
          <c:orientation val="minMax"/>
        </c:scaling>
        <c:delete val="0"/>
        <c:axPos val="b"/>
        <c:majorTickMark val="out"/>
        <c:minorTickMark val="none"/>
        <c:tickLblPos val="nextTo"/>
        <c:crossAx val="345086592"/>
        <c:crosses val="autoZero"/>
        <c:auto val="1"/>
        <c:lblAlgn val="ctr"/>
        <c:lblOffset val="100"/>
        <c:noMultiLvlLbl val="0"/>
      </c:catAx>
      <c:valAx>
        <c:axId val="345086592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345084672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979840"/>
        <c:axId val="296985728"/>
      </c:barChart>
      <c:catAx>
        <c:axId val="296979840"/>
        <c:scaling>
          <c:orientation val="minMax"/>
        </c:scaling>
        <c:delete val="0"/>
        <c:axPos val="b"/>
        <c:majorTickMark val="out"/>
        <c:minorTickMark val="none"/>
        <c:tickLblPos val="nextTo"/>
        <c:crossAx val="296985728"/>
        <c:crosses val="autoZero"/>
        <c:auto val="1"/>
        <c:lblAlgn val="ctr"/>
        <c:lblOffset val="100"/>
        <c:noMultiLvlLbl val="0"/>
      </c:catAx>
      <c:valAx>
        <c:axId val="296985728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6979840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7006592"/>
        <c:axId val="297008128"/>
      </c:barChart>
      <c:catAx>
        <c:axId val="297006592"/>
        <c:scaling>
          <c:orientation val="minMax"/>
        </c:scaling>
        <c:delete val="0"/>
        <c:axPos val="b"/>
        <c:majorTickMark val="out"/>
        <c:minorTickMark val="none"/>
        <c:tickLblPos val="nextTo"/>
        <c:crossAx val="297008128"/>
        <c:crosses val="autoZero"/>
        <c:auto val="1"/>
        <c:lblAlgn val="ctr"/>
        <c:lblOffset val="100"/>
        <c:noMultiLvlLbl val="0"/>
      </c:catAx>
      <c:valAx>
        <c:axId val="297008128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7006592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4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41</xdr:row>
      <xdr:rowOff>11206</xdr:rowOff>
    </xdr:from>
    <xdr:to>
      <xdr:col>10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42</xdr:row>
      <xdr:rowOff>136071</xdr:rowOff>
    </xdr:from>
    <xdr:to>
      <xdr:col>24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ENERGY%20INPUT/LG/2021/2.%20Feb%2021/FS%20Maldives%20at%20LG_HEP_Daily_Feb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KWH Summary"/>
      <sheetName val="Focus Data"/>
      <sheetName val="WATER VILLA PRJECT"/>
      <sheetName val="FEEDER summry"/>
      <sheetName val="Sheet1"/>
    </sheetNames>
    <sheetDataSet>
      <sheetData sheetId="0"/>
      <sheetData sheetId="1"/>
      <sheetData sheetId="2"/>
      <sheetData sheetId="3">
        <row r="37">
          <cell r="C37">
            <v>17010072</v>
          </cell>
        </row>
      </sheetData>
      <sheetData sheetId="4">
        <row r="37">
          <cell r="C37">
            <v>28925329</v>
          </cell>
        </row>
      </sheetData>
      <sheetData sheetId="5">
        <row r="37">
          <cell r="C37">
            <v>12602173</v>
          </cell>
        </row>
      </sheetData>
      <sheetData sheetId="6">
        <row r="37">
          <cell r="C37">
            <v>11468630</v>
          </cell>
        </row>
      </sheetData>
      <sheetData sheetId="7">
        <row r="37">
          <cell r="C37">
            <v>17741334</v>
          </cell>
        </row>
      </sheetData>
      <sheetData sheetId="8">
        <row r="32">
          <cell r="C32">
            <v>43343220</v>
          </cell>
        </row>
      </sheetData>
      <sheetData sheetId="9">
        <row r="36">
          <cell r="C36">
            <v>2412901</v>
          </cell>
        </row>
      </sheetData>
      <sheetData sheetId="10">
        <row r="36">
          <cell r="C36">
            <v>25299446</v>
          </cell>
          <cell r="F36">
            <v>22256534</v>
          </cell>
          <cell r="I36">
            <v>84529864</v>
          </cell>
          <cell r="L36">
            <v>1842900</v>
          </cell>
          <cell r="O36">
            <v>2491793</v>
          </cell>
          <cell r="R36">
            <v>1509500</v>
          </cell>
          <cell r="U36">
            <v>695400</v>
          </cell>
          <cell r="X36">
            <v>7199500</v>
          </cell>
          <cell r="AA36">
            <v>1614900</v>
          </cell>
          <cell r="AD36">
            <v>467628</v>
          </cell>
          <cell r="AG36">
            <v>334120</v>
          </cell>
          <cell r="AJ36">
            <v>572210</v>
          </cell>
          <cell r="AM36">
            <v>1047400</v>
          </cell>
          <cell r="AP36">
            <v>666850</v>
          </cell>
          <cell r="AS36">
            <v>540890</v>
          </cell>
          <cell r="AV36">
            <v>491370</v>
          </cell>
          <cell r="AY36">
            <v>382690</v>
          </cell>
          <cell r="BB36">
            <v>1059100</v>
          </cell>
          <cell r="BE36">
            <v>22670</v>
          </cell>
          <cell r="BH36">
            <v>18223</v>
          </cell>
          <cell r="BK36">
            <v>16778</v>
          </cell>
          <cell r="BN36">
            <v>26640</v>
          </cell>
          <cell r="BQ36">
            <v>19074</v>
          </cell>
          <cell r="BT36">
            <v>19564</v>
          </cell>
          <cell r="BW36">
            <v>13606</v>
          </cell>
          <cell r="BZ36">
            <v>35302</v>
          </cell>
          <cell r="CC36">
            <v>27666</v>
          </cell>
          <cell r="CF36">
            <v>81511</v>
          </cell>
          <cell r="CI36">
            <v>55072</v>
          </cell>
          <cell r="CL36">
            <v>13610</v>
          </cell>
          <cell r="CO36">
            <v>48296</v>
          </cell>
        </row>
      </sheetData>
      <sheetData sheetId="11">
        <row r="33">
          <cell r="C33">
            <v>1521.8</v>
          </cell>
          <cell r="H33">
            <v>3085</v>
          </cell>
          <cell r="M33">
            <v>721913</v>
          </cell>
          <cell r="R33">
            <v>196992</v>
          </cell>
        </row>
      </sheetData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2"/>
  <sheetViews>
    <sheetView topLeftCell="A4" workbookViewId="0">
      <selection activeCell="A20" sqref="A20:XFD20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71" t="s">
        <v>115</v>
      </c>
      <c r="B1" s="171" t="s">
        <v>42</v>
      </c>
      <c r="C1" s="172" t="s">
        <v>3</v>
      </c>
      <c r="D1" s="171" t="s">
        <v>4</v>
      </c>
      <c r="E1" s="173" t="s">
        <v>116</v>
      </c>
      <c r="F1" s="174" t="s">
        <v>117</v>
      </c>
      <c r="G1" s="173" t="s">
        <v>118</v>
      </c>
      <c r="H1" s="174" t="s">
        <v>119</v>
      </c>
      <c r="I1" s="173" t="s">
        <v>120</v>
      </c>
      <c r="J1" s="175" t="s">
        <v>121</v>
      </c>
      <c r="K1" s="173" t="s">
        <v>122</v>
      </c>
      <c r="L1" s="173" t="s">
        <v>123</v>
      </c>
    </row>
    <row r="2" spans="1:12" ht="15" x14ac:dyDescent="0.25">
      <c r="A2" s="176" t="s">
        <v>124</v>
      </c>
      <c r="B2" s="176">
        <v>1</v>
      </c>
      <c r="C2" s="177">
        <v>3</v>
      </c>
      <c r="D2" s="176">
        <v>2021</v>
      </c>
      <c r="E2" s="178">
        <f>'Maldives at LG Daily'!D5</f>
        <v>30462</v>
      </c>
      <c r="F2" s="179">
        <v>0.93</v>
      </c>
      <c r="G2" s="178">
        <f>'Maldives at LG Daily'!F5</f>
        <v>90</v>
      </c>
      <c r="H2" s="179">
        <v>1.24</v>
      </c>
      <c r="I2" s="178">
        <f>'Maldives at LG Daily'!H5</f>
        <v>418</v>
      </c>
      <c r="J2" s="179">
        <v>1.72</v>
      </c>
      <c r="K2" s="178">
        <f>'Maldives at LG Daily'!I5</f>
        <v>78.599999999999994</v>
      </c>
      <c r="L2" s="178">
        <f>'Maldives at LG Daily'!J5</f>
        <v>577</v>
      </c>
    </row>
    <row r="3" spans="1:12" ht="15" x14ac:dyDescent="0.25">
      <c r="A3" s="176" t="s">
        <v>124</v>
      </c>
      <c r="B3" s="176">
        <f>B2+1</f>
        <v>2</v>
      </c>
      <c r="C3" s="177">
        <v>3</v>
      </c>
      <c r="D3" s="176">
        <v>2021</v>
      </c>
      <c r="E3" s="178">
        <f>'Maldives at LG Daily'!D6</f>
        <v>31274</v>
      </c>
      <c r="F3" s="179">
        <v>0.93</v>
      </c>
      <c r="G3" s="178">
        <f>'Maldives at LG Daily'!F6</f>
        <v>90</v>
      </c>
      <c r="H3" s="179">
        <v>1.24</v>
      </c>
      <c r="I3" s="178">
        <f>'Maldives at LG Daily'!H6</f>
        <v>386</v>
      </c>
      <c r="J3" s="179">
        <v>1.72</v>
      </c>
      <c r="K3" s="178">
        <f>'Maldives at LG Daily'!I6</f>
        <v>78.599999999999994</v>
      </c>
      <c r="L3" s="178">
        <f>'Maldives at LG Daily'!J6</f>
        <v>583</v>
      </c>
    </row>
    <row r="4" spans="1:12" ht="15" x14ac:dyDescent="0.25">
      <c r="A4" s="176" t="s">
        <v>124</v>
      </c>
      <c r="B4" s="176">
        <f t="shared" ref="B4:B32" si="0">B3+1</f>
        <v>3</v>
      </c>
      <c r="C4" s="177">
        <v>3</v>
      </c>
      <c r="D4" s="176">
        <v>2021</v>
      </c>
      <c r="E4" s="178">
        <f>'Maldives at LG Daily'!D7</f>
        <v>30266</v>
      </c>
      <c r="F4" s="179">
        <v>0.93</v>
      </c>
      <c r="G4" s="178" t="str">
        <f>'Maldives at LG Daily'!F7</f>
        <v>0</v>
      </c>
      <c r="H4" s="179">
        <v>1.24</v>
      </c>
      <c r="I4" s="178">
        <f>'Maldives at LG Daily'!H7</f>
        <v>452</v>
      </c>
      <c r="J4" s="179">
        <v>1.72</v>
      </c>
      <c r="K4" s="178">
        <f>'Maldives at LG Daily'!I7</f>
        <v>71.8</v>
      </c>
      <c r="L4" s="178">
        <f>'Maldives at LG Daily'!J7</f>
        <v>570</v>
      </c>
    </row>
    <row r="5" spans="1:12" ht="15" x14ac:dyDescent="0.25">
      <c r="A5" s="176" t="s">
        <v>124</v>
      </c>
      <c r="B5" s="176">
        <f t="shared" si="0"/>
        <v>4</v>
      </c>
      <c r="C5" s="177">
        <v>3</v>
      </c>
      <c r="D5" s="176">
        <v>2021</v>
      </c>
      <c r="E5" s="178">
        <f>'Maldives at LG Daily'!D8</f>
        <v>29095</v>
      </c>
      <c r="F5" s="179">
        <v>0.93</v>
      </c>
      <c r="G5" s="178">
        <f>'Maldives at LG Daily'!F8</f>
        <v>180</v>
      </c>
      <c r="H5" s="179">
        <v>1.24</v>
      </c>
      <c r="I5" s="178">
        <f>'Maldives at LG Daily'!H8</f>
        <v>435</v>
      </c>
      <c r="J5" s="179">
        <v>1.72</v>
      </c>
      <c r="K5" s="178">
        <f>'Maldives at LG Daily'!I8</f>
        <v>69.900000000000006</v>
      </c>
      <c r="L5" s="178">
        <f>'Maldives at LG Daily'!J8</f>
        <v>553</v>
      </c>
    </row>
    <row r="6" spans="1:12" ht="15" x14ac:dyDescent="0.25">
      <c r="A6" s="176" t="s">
        <v>124</v>
      </c>
      <c r="B6" s="176">
        <f t="shared" si="0"/>
        <v>5</v>
      </c>
      <c r="C6" s="177">
        <v>3</v>
      </c>
      <c r="D6" s="176">
        <v>2021</v>
      </c>
      <c r="E6" s="178">
        <f>'Maldives at LG Daily'!D9</f>
        <v>30371</v>
      </c>
      <c r="F6" s="179">
        <v>0.93</v>
      </c>
      <c r="G6" s="178" t="str">
        <f>'Maldives at LG Daily'!F9</f>
        <v>0</v>
      </c>
      <c r="H6" s="179">
        <v>1.24</v>
      </c>
      <c r="I6" s="178">
        <f>'Maldives at LG Daily'!H9</f>
        <v>444</v>
      </c>
      <c r="J6" s="179">
        <v>1.72</v>
      </c>
      <c r="K6" s="178">
        <f>'Maldives at LG Daily'!I9</f>
        <v>61.2</v>
      </c>
      <c r="L6" s="178">
        <f>'Maldives at LG Daily'!J9</f>
        <v>538</v>
      </c>
    </row>
    <row r="7" spans="1:12" ht="15" x14ac:dyDescent="0.25">
      <c r="A7" s="176" t="s">
        <v>124</v>
      </c>
      <c r="B7" s="176">
        <f t="shared" si="0"/>
        <v>6</v>
      </c>
      <c r="C7" s="177">
        <v>3</v>
      </c>
      <c r="D7" s="176">
        <v>2021</v>
      </c>
      <c r="E7" s="178">
        <f>'Maldives at LG Daily'!D10</f>
        <v>31077</v>
      </c>
      <c r="F7" s="179">
        <v>0.93</v>
      </c>
      <c r="G7" s="178">
        <f>'Maldives at LG Daily'!F10</f>
        <v>270</v>
      </c>
      <c r="H7" s="179">
        <v>1.24</v>
      </c>
      <c r="I7" s="178">
        <f>'Maldives at LG Daily'!H10</f>
        <v>477</v>
      </c>
      <c r="J7" s="179">
        <v>1.72</v>
      </c>
      <c r="K7" s="178">
        <f>'Maldives at LG Daily'!I10</f>
        <v>60.2</v>
      </c>
      <c r="L7" s="178">
        <f>'Maldives at LG Daily'!J10</f>
        <v>466</v>
      </c>
    </row>
    <row r="8" spans="1:12" ht="15" x14ac:dyDescent="0.25">
      <c r="A8" s="176" t="s">
        <v>124</v>
      </c>
      <c r="B8" s="176">
        <f t="shared" si="0"/>
        <v>7</v>
      </c>
      <c r="C8" s="177">
        <v>3</v>
      </c>
      <c r="D8" s="176">
        <v>2021</v>
      </c>
      <c r="E8" s="178">
        <f>'Maldives at LG Daily'!D11</f>
        <v>30879</v>
      </c>
      <c r="F8" s="179">
        <v>0.93</v>
      </c>
      <c r="G8" s="178" t="str">
        <f>'Maldives at LG Daily'!F11</f>
        <v>0</v>
      </c>
      <c r="H8" s="179">
        <v>1.24</v>
      </c>
      <c r="I8" s="178">
        <f>'Maldives at LG Daily'!H11</f>
        <v>411</v>
      </c>
      <c r="J8" s="179">
        <v>1.72</v>
      </c>
      <c r="K8" s="178">
        <f>'Maldives at LG Daily'!I11</f>
        <v>55.3</v>
      </c>
      <c r="L8" s="178">
        <f>'Maldives at LG Daily'!J11</f>
        <v>459</v>
      </c>
    </row>
    <row r="9" spans="1:12" ht="15" x14ac:dyDescent="0.25">
      <c r="A9" s="176" t="s">
        <v>124</v>
      </c>
      <c r="B9" s="176">
        <f t="shared" si="0"/>
        <v>8</v>
      </c>
      <c r="C9" s="177">
        <v>3</v>
      </c>
      <c r="D9" s="176">
        <v>2021</v>
      </c>
      <c r="E9" s="178">
        <f>'Maldives at LG Daily'!D12</f>
        <v>30415</v>
      </c>
      <c r="F9" s="179">
        <v>0.93</v>
      </c>
      <c r="G9" s="178">
        <f>'Maldives at LG Daily'!F12</f>
        <v>540</v>
      </c>
      <c r="H9" s="179">
        <v>1.24</v>
      </c>
      <c r="I9" s="178">
        <f>'Maldives at LG Daily'!H12</f>
        <v>423</v>
      </c>
      <c r="J9" s="179">
        <v>1.72</v>
      </c>
      <c r="K9" s="178">
        <f>'Maldives at LG Daily'!I12</f>
        <v>53.4</v>
      </c>
      <c r="L9" s="178">
        <f>'Maldives at LG Daily'!J12</f>
        <v>462</v>
      </c>
    </row>
    <row r="10" spans="1:12" ht="15" x14ac:dyDescent="0.25">
      <c r="A10" s="176" t="s">
        <v>124</v>
      </c>
      <c r="B10" s="176">
        <f t="shared" si="0"/>
        <v>9</v>
      </c>
      <c r="C10" s="177">
        <v>3</v>
      </c>
      <c r="D10" s="176">
        <v>2021</v>
      </c>
      <c r="E10" s="178">
        <f>'Maldives at LG Daily'!D13</f>
        <v>31010</v>
      </c>
      <c r="F10" s="179">
        <v>0.93</v>
      </c>
      <c r="G10" s="178" t="str">
        <f>'Maldives at LG Daily'!F13</f>
        <v>0</v>
      </c>
      <c r="H10" s="179">
        <v>1.24</v>
      </c>
      <c r="I10" s="178">
        <f>'Maldives at LG Daily'!H13</f>
        <v>410</v>
      </c>
      <c r="J10" s="179">
        <v>1.72</v>
      </c>
      <c r="K10" s="178">
        <f>'Maldives at LG Daily'!I13</f>
        <v>45.6</v>
      </c>
      <c r="L10" s="178">
        <f>'Maldives at LG Daily'!J13</f>
        <v>378</v>
      </c>
    </row>
    <row r="11" spans="1:12" ht="15" x14ac:dyDescent="0.25">
      <c r="A11" s="176" t="s">
        <v>124</v>
      </c>
      <c r="B11" s="176">
        <f t="shared" si="0"/>
        <v>10</v>
      </c>
      <c r="C11" s="177">
        <v>3</v>
      </c>
      <c r="D11" s="176">
        <v>2021</v>
      </c>
      <c r="E11" s="178">
        <f>'Maldives at LG Daily'!D14</f>
        <v>28059</v>
      </c>
      <c r="F11" s="179">
        <v>0.93</v>
      </c>
      <c r="G11" s="178">
        <f>'Maldives at LG Daily'!F14</f>
        <v>360</v>
      </c>
      <c r="H11" s="179">
        <v>1.24</v>
      </c>
      <c r="I11" s="178">
        <f>'Maldives at LG Daily'!H14</f>
        <v>415</v>
      </c>
      <c r="J11" s="179">
        <v>1.72</v>
      </c>
      <c r="K11" s="178">
        <f>'Maldives at LG Daily'!I14</f>
        <v>41.7</v>
      </c>
      <c r="L11" s="178">
        <f>'Maldives at LG Daily'!J14</f>
        <v>339</v>
      </c>
    </row>
    <row r="12" spans="1:12" ht="15" x14ac:dyDescent="0.25">
      <c r="A12" s="176" t="s">
        <v>124</v>
      </c>
      <c r="B12" s="176">
        <f t="shared" si="0"/>
        <v>11</v>
      </c>
      <c r="C12" s="177">
        <v>3</v>
      </c>
      <c r="D12" s="176">
        <v>2021</v>
      </c>
      <c r="E12" s="178">
        <f>'Maldives at LG Daily'!D15</f>
        <v>24815</v>
      </c>
      <c r="F12" s="179">
        <v>0.93</v>
      </c>
      <c r="G12" s="178" t="str">
        <f>'Maldives at LG Daily'!F15</f>
        <v>0</v>
      </c>
      <c r="H12" s="179">
        <v>1.24</v>
      </c>
      <c r="I12" s="178">
        <f>'Maldives at LG Daily'!H15</f>
        <v>396</v>
      </c>
      <c r="J12" s="179">
        <v>1.72</v>
      </c>
      <c r="K12" s="178">
        <f>'Maldives at LG Daily'!I15</f>
        <v>43.7</v>
      </c>
      <c r="L12" s="178">
        <f>'Maldives at LG Daily'!J15</f>
        <v>371</v>
      </c>
    </row>
    <row r="13" spans="1:12" ht="15" x14ac:dyDescent="0.25">
      <c r="A13" s="176" t="s">
        <v>124</v>
      </c>
      <c r="B13" s="176">
        <f t="shared" si="0"/>
        <v>12</v>
      </c>
      <c r="C13" s="177">
        <v>3</v>
      </c>
      <c r="D13" s="176">
        <v>2021</v>
      </c>
      <c r="E13" s="178">
        <f>'Maldives at LG Daily'!D16</f>
        <v>26393</v>
      </c>
      <c r="F13" s="179">
        <v>0.93</v>
      </c>
      <c r="G13" s="178">
        <f>'Maldives at LG Daily'!F16</f>
        <v>180</v>
      </c>
      <c r="H13" s="179">
        <v>1.24</v>
      </c>
      <c r="I13" s="178">
        <f>'Maldives at LG Daily'!H16</f>
        <v>341</v>
      </c>
      <c r="J13" s="179">
        <v>1.72</v>
      </c>
      <c r="K13" s="178">
        <f>'Maldives at LG Daily'!I16</f>
        <v>42.7</v>
      </c>
      <c r="L13" s="178">
        <f>'Maldives at LG Daily'!J16</f>
        <v>376</v>
      </c>
    </row>
    <row r="14" spans="1:12" ht="15" x14ac:dyDescent="0.25">
      <c r="A14" s="176" t="s">
        <v>124</v>
      </c>
      <c r="B14" s="176">
        <f t="shared" si="0"/>
        <v>13</v>
      </c>
      <c r="C14" s="177">
        <v>3</v>
      </c>
      <c r="D14" s="176">
        <v>2021</v>
      </c>
      <c r="E14" s="178">
        <f>'Maldives at LG Daily'!D17</f>
        <v>27554</v>
      </c>
      <c r="F14" s="179">
        <v>0.93</v>
      </c>
      <c r="G14" s="178" t="str">
        <f>'Maldives at LG Daily'!F17</f>
        <v>0</v>
      </c>
      <c r="H14" s="179">
        <v>1.24</v>
      </c>
      <c r="I14" s="178">
        <f>'Maldives at LG Daily'!H17</f>
        <v>345</v>
      </c>
      <c r="J14" s="179">
        <v>1.72</v>
      </c>
      <c r="K14" s="178">
        <f>'Maldives at LG Daily'!I17</f>
        <v>43.7</v>
      </c>
      <c r="L14" s="178">
        <f>'Maldives at LG Daily'!J17</f>
        <v>380</v>
      </c>
    </row>
    <row r="15" spans="1:12" ht="15" x14ac:dyDescent="0.25">
      <c r="A15" s="176" t="s">
        <v>124</v>
      </c>
      <c r="B15" s="176">
        <f t="shared" si="0"/>
        <v>14</v>
      </c>
      <c r="C15" s="177">
        <v>3</v>
      </c>
      <c r="D15" s="176">
        <v>2021</v>
      </c>
      <c r="E15" s="178">
        <f>'Maldives at LG Daily'!D18</f>
        <v>29353</v>
      </c>
      <c r="F15" s="179">
        <v>0.93</v>
      </c>
      <c r="G15" s="178">
        <f>'Maldives at LG Daily'!F18</f>
        <v>90</v>
      </c>
      <c r="H15" s="179">
        <v>1.24</v>
      </c>
      <c r="I15" s="178">
        <f>'Maldives at LG Daily'!H18</f>
        <v>398</v>
      </c>
      <c r="J15" s="179">
        <v>1.72</v>
      </c>
      <c r="K15" s="178">
        <f>'Maldives at LG Daily'!I18</f>
        <v>39.799999999999997</v>
      </c>
      <c r="L15" s="178">
        <f>'Maldives at LG Daily'!J18</f>
        <v>332</v>
      </c>
    </row>
    <row r="16" spans="1:12" ht="15" x14ac:dyDescent="0.25">
      <c r="A16" s="176" t="s">
        <v>124</v>
      </c>
      <c r="B16" s="176">
        <f t="shared" si="0"/>
        <v>15</v>
      </c>
      <c r="C16" s="177">
        <v>3</v>
      </c>
      <c r="D16" s="176">
        <v>2021</v>
      </c>
      <c r="E16" s="178">
        <f>'Maldives at LG Daily'!D19</f>
        <v>29352</v>
      </c>
      <c r="F16" s="179">
        <v>0.93</v>
      </c>
      <c r="G16" s="178">
        <f>'Maldives at LG Daily'!F19</f>
        <v>0</v>
      </c>
      <c r="H16" s="179">
        <v>1.24</v>
      </c>
      <c r="I16" s="178">
        <f>'Maldives at LG Daily'!H19</f>
        <v>455</v>
      </c>
      <c r="J16" s="179">
        <v>1.72</v>
      </c>
      <c r="K16" s="178">
        <f>'Maldives at LG Daily'!I19</f>
        <v>39.799999999999997</v>
      </c>
      <c r="L16" s="178">
        <f>'Maldives at LG Daily'!J19</f>
        <v>321</v>
      </c>
    </row>
    <row r="17" spans="1:12" ht="15" x14ac:dyDescent="0.25">
      <c r="A17" s="176" t="s">
        <v>124</v>
      </c>
      <c r="B17" s="176">
        <f t="shared" si="0"/>
        <v>16</v>
      </c>
      <c r="C17" s="177">
        <v>3</v>
      </c>
      <c r="D17" s="176">
        <v>2021</v>
      </c>
      <c r="E17" s="178">
        <f>'Maldives at LG Daily'!D20</f>
        <v>28168</v>
      </c>
      <c r="F17" s="179">
        <v>0.93</v>
      </c>
      <c r="G17" s="178">
        <f>'Maldives at LG Daily'!F20</f>
        <v>90</v>
      </c>
      <c r="H17" s="179">
        <v>1.24</v>
      </c>
      <c r="I17" s="178">
        <f>'Maldives at LG Daily'!H20</f>
        <v>420</v>
      </c>
      <c r="J17" s="179">
        <v>1.72</v>
      </c>
      <c r="K17" s="178">
        <f>'Maldives at LG Daily'!I20</f>
        <v>41</v>
      </c>
      <c r="L17" s="178">
        <f>'Maldives at LG Daily'!J20</f>
        <v>341</v>
      </c>
    </row>
    <row r="18" spans="1:12" ht="15" x14ac:dyDescent="0.25">
      <c r="A18" s="176" t="s">
        <v>124</v>
      </c>
      <c r="B18" s="176">
        <f t="shared" si="0"/>
        <v>17</v>
      </c>
      <c r="C18" s="177">
        <v>3</v>
      </c>
      <c r="D18" s="176">
        <v>2021</v>
      </c>
      <c r="E18" s="178">
        <f>'Maldives at LG Daily'!D21</f>
        <v>28362</v>
      </c>
      <c r="F18" s="179">
        <v>0.93</v>
      </c>
      <c r="G18" s="178" t="str">
        <f>'Maldives at LG Daily'!F21</f>
        <v>0</v>
      </c>
      <c r="H18" s="179">
        <v>1.24</v>
      </c>
      <c r="I18" s="178">
        <f>'Maldives at LG Daily'!H21</f>
        <v>454</v>
      </c>
      <c r="J18" s="179">
        <v>1.72</v>
      </c>
      <c r="K18" s="178">
        <f>'Maldives at LG Daily'!I21</f>
        <v>42.7</v>
      </c>
      <c r="L18" s="178">
        <f>'Maldives at LG Daily'!J21</f>
        <v>327</v>
      </c>
    </row>
    <row r="19" spans="1:12" ht="15" x14ac:dyDescent="0.25">
      <c r="A19" s="176" t="s">
        <v>124</v>
      </c>
      <c r="B19" s="176">
        <f t="shared" si="0"/>
        <v>18</v>
      </c>
      <c r="C19" s="177">
        <v>3</v>
      </c>
      <c r="D19" s="176">
        <v>2021</v>
      </c>
      <c r="E19" s="178">
        <f>'Maldives at LG Daily'!D22</f>
        <v>28781</v>
      </c>
      <c r="F19" s="179">
        <v>0.93</v>
      </c>
      <c r="G19" s="178">
        <f>'Maldives at LG Daily'!F22</f>
        <v>360</v>
      </c>
      <c r="H19" s="179">
        <v>1.24</v>
      </c>
      <c r="I19" s="178">
        <f>'Maldives at LG Daily'!H22</f>
        <v>416</v>
      </c>
      <c r="J19" s="179">
        <v>1.72</v>
      </c>
      <c r="K19" s="178">
        <f>'Maldives at LG Daily'!I22</f>
        <v>43.7</v>
      </c>
      <c r="L19" s="178">
        <f>'Maldives at LG Daily'!J22</f>
        <v>358</v>
      </c>
    </row>
    <row r="20" spans="1:12" ht="15" x14ac:dyDescent="0.25">
      <c r="A20" s="176" t="s">
        <v>124</v>
      </c>
      <c r="B20" s="176">
        <f t="shared" si="0"/>
        <v>19</v>
      </c>
      <c r="C20" s="177">
        <v>3</v>
      </c>
      <c r="D20" s="176">
        <v>2021</v>
      </c>
      <c r="E20" s="178">
        <f>'Maldives at LG Daily'!D23</f>
        <v>29287</v>
      </c>
      <c r="F20" s="179">
        <v>0.93</v>
      </c>
      <c r="G20" s="178" t="str">
        <f>'Maldives at LG Daily'!F23</f>
        <v>0</v>
      </c>
      <c r="H20" s="179">
        <v>1.24</v>
      </c>
      <c r="I20" s="178">
        <f>'Maldives at LG Daily'!H23</f>
        <v>392</v>
      </c>
      <c r="J20" s="179">
        <v>1.72</v>
      </c>
      <c r="K20" s="178">
        <f>'Maldives at LG Daily'!I23</f>
        <v>47.6</v>
      </c>
      <c r="L20" s="178">
        <f>'Maldives at LG Daily'!J23</f>
        <v>378</v>
      </c>
    </row>
    <row r="21" spans="1:12" ht="15" x14ac:dyDescent="0.25">
      <c r="A21" s="176" t="s">
        <v>124</v>
      </c>
      <c r="B21" s="176">
        <f t="shared" si="0"/>
        <v>20</v>
      </c>
      <c r="C21" s="177">
        <v>3</v>
      </c>
      <c r="D21" s="176">
        <v>2021</v>
      </c>
      <c r="E21" s="178">
        <f>'Maldives at LG Daily'!D24</f>
        <v>29267</v>
      </c>
      <c r="F21" s="179">
        <v>0.93</v>
      </c>
      <c r="G21" s="178">
        <f>'Maldives at LG Daily'!F24</f>
        <v>495</v>
      </c>
      <c r="H21" s="179">
        <v>1.24</v>
      </c>
      <c r="I21" s="178">
        <f>'Maldives at LG Daily'!H24</f>
        <v>401</v>
      </c>
      <c r="J21" s="179">
        <v>1.72</v>
      </c>
      <c r="K21" s="178">
        <f>'Maldives at LG Daily'!I24</f>
        <v>0</v>
      </c>
      <c r="L21" s="178">
        <f>'Maldives at LG Daily'!J24</f>
        <v>0</v>
      </c>
    </row>
    <row r="22" spans="1:12" ht="15" x14ac:dyDescent="0.25">
      <c r="A22" s="176" t="s">
        <v>124</v>
      </c>
      <c r="B22" s="176">
        <f t="shared" si="0"/>
        <v>21</v>
      </c>
      <c r="C22" s="177">
        <v>3</v>
      </c>
      <c r="D22" s="176">
        <v>2021</v>
      </c>
      <c r="E22" s="178" t="str">
        <f>'Maldives at LG Daily'!D25</f>
        <v>0</v>
      </c>
      <c r="F22" s="179">
        <v>0.93</v>
      </c>
      <c r="G22" s="178" t="str">
        <f>'Maldives at LG Daily'!F25</f>
        <v>0</v>
      </c>
      <c r="H22" s="179">
        <v>1.24</v>
      </c>
      <c r="I22" s="178">
        <f>'Maldives at LG Daily'!H25</f>
        <v>408</v>
      </c>
      <c r="J22" s="179">
        <v>1.72</v>
      </c>
      <c r="K22" s="178">
        <f>'Maldives at LG Daily'!I25</f>
        <v>0</v>
      </c>
      <c r="L22" s="178">
        <f>'Maldives at LG Daily'!J25</f>
        <v>0</v>
      </c>
    </row>
    <row r="23" spans="1:12" ht="15" x14ac:dyDescent="0.25">
      <c r="A23" s="176" t="s">
        <v>124</v>
      </c>
      <c r="B23" s="176">
        <f t="shared" si="0"/>
        <v>22</v>
      </c>
      <c r="C23" s="177">
        <v>3</v>
      </c>
      <c r="D23" s="176">
        <v>2021</v>
      </c>
      <c r="E23" s="178">
        <f>'Maldives at LG Daily'!D26</f>
        <v>0</v>
      </c>
      <c r="F23" s="179">
        <v>0.93</v>
      </c>
      <c r="G23" s="178">
        <f>'Maldives at LG Daily'!F26</f>
        <v>0</v>
      </c>
      <c r="H23" s="179">
        <v>1.24</v>
      </c>
      <c r="I23" s="178" t="str">
        <f>'Maldives at LG Daily'!H26</f>
        <v>0</v>
      </c>
      <c r="J23" s="179">
        <v>1.72</v>
      </c>
      <c r="K23" s="178">
        <f>'Maldives at LG Daily'!I26</f>
        <v>0</v>
      </c>
      <c r="L23" s="178">
        <f>'Maldives at LG Daily'!J26</f>
        <v>0</v>
      </c>
    </row>
    <row r="24" spans="1:12" ht="15" x14ac:dyDescent="0.25">
      <c r="A24" s="176" t="s">
        <v>124</v>
      </c>
      <c r="B24" s="176">
        <f t="shared" si="0"/>
        <v>23</v>
      </c>
      <c r="C24" s="177">
        <v>3</v>
      </c>
      <c r="D24" s="176">
        <v>2021</v>
      </c>
      <c r="E24" s="178">
        <f>'Maldives at LG Daily'!D27</f>
        <v>0</v>
      </c>
      <c r="F24" s="179">
        <v>0.93</v>
      </c>
      <c r="G24" s="178">
        <f>'Maldives at LG Daily'!F27</f>
        <v>0</v>
      </c>
      <c r="H24" s="179">
        <v>1.24</v>
      </c>
      <c r="I24" s="178">
        <f>'Maldives at LG Daily'!H27</f>
        <v>0</v>
      </c>
      <c r="J24" s="179">
        <v>1.72</v>
      </c>
      <c r="K24" s="178">
        <f>'Maldives at LG Daily'!I27</f>
        <v>0</v>
      </c>
      <c r="L24" s="178">
        <f>'Maldives at LG Daily'!J27</f>
        <v>0</v>
      </c>
    </row>
    <row r="25" spans="1:12" ht="15" x14ac:dyDescent="0.25">
      <c r="A25" s="176" t="s">
        <v>124</v>
      </c>
      <c r="B25" s="176">
        <f t="shared" si="0"/>
        <v>24</v>
      </c>
      <c r="C25" s="177">
        <v>3</v>
      </c>
      <c r="D25" s="176">
        <v>2021</v>
      </c>
      <c r="E25" s="178">
        <f>'Maldives at LG Daily'!D28</f>
        <v>0</v>
      </c>
      <c r="F25" s="179">
        <v>0.93</v>
      </c>
      <c r="G25" s="178">
        <f>'Maldives at LG Daily'!F28</f>
        <v>0</v>
      </c>
      <c r="H25" s="179">
        <v>1.24</v>
      </c>
      <c r="I25" s="178">
        <f>'Maldives at LG Daily'!H28</f>
        <v>0</v>
      </c>
      <c r="J25" s="179">
        <v>1.72</v>
      </c>
      <c r="K25" s="178">
        <f>'Maldives at LG Daily'!I28</f>
        <v>0</v>
      </c>
      <c r="L25" s="178">
        <f>'Maldives at LG Daily'!J28</f>
        <v>0</v>
      </c>
    </row>
    <row r="26" spans="1:12" ht="15" x14ac:dyDescent="0.25">
      <c r="A26" s="176" t="s">
        <v>124</v>
      </c>
      <c r="B26" s="176">
        <f>B25+1</f>
        <v>25</v>
      </c>
      <c r="C26" s="177">
        <v>3</v>
      </c>
      <c r="D26" s="176">
        <v>2021</v>
      </c>
      <c r="E26" s="178">
        <f>'Maldives at LG Daily'!D29</f>
        <v>0</v>
      </c>
      <c r="F26" s="179">
        <v>0.93</v>
      </c>
      <c r="G26" s="178">
        <f>'Maldives at LG Daily'!F29</f>
        <v>0</v>
      </c>
      <c r="H26" s="179">
        <v>1.24</v>
      </c>
      <c r="I26" s="178">
        <f>'Maldives at LG Daily'!H29</f>
        <v>0</v>
      </c>
      <c r="J26" s="179">
        <v>1.72</v>
      </c>
      <c r="K26" s="178">
        <f>'Maldives at LG Daily'!I29</f>
        <v>0</v>
      </c>
      <c r="L26" s="178">
        <f>'Maldives at LG Daily'!J29</f>
        <v>0</v>
      </c>
    </row>
    <row r="27" spans="1:12" ht="15" x14ac:dyDescent="0.25">
      <c r="A27" s="176" t="s">
        <v>124</v>
      </c>
      <c r="B27" s="176">
        <f t="shared" si="0"/>
        <v>26</v>
      </c>
      <c r="C27" s="177">
        <v>3</v>
      </c>
      <c r="D27" s="176">
        <v>2021</v>
      </c>
      <c r="E27" s="178">
        <f>'Maldives at LG Daily'!D30</f>
        <v>0</v>
      </c>
      <c r="F27" s="179">
        <v>0.93</v>
      </c>
      <c r="G27" s="178">
        <f>'Maldives at LG Daily'!F30</f>
        <v>0</v>
      </c>
      <c r="H27" s="179">
        <v>1.24</v>
      </c>
      <c r="I27" s="178">
        <f>'Maldives at LG Daily'!H30</f>
        <v>0</v>
      </c>
      <c r="J27" s="179">
        <v>1.72</v>
      </c>
      <c r="K27" s="178">
        <f>'Maldives at LG Daily'!I30</f>
        <v>0</v>
      </c>
      <c r="L27" s="178">
        <f>'Maldives at LG Daily'!J30</f>
        <v>0</v>
      </c>
    </row>
    <row r="28" spans="1:12" ht="15" x14ac:dyDescent="0.25">
      <c r="A28" s="176" t="s">
        <v>124</v>
      </c>
      <c r="B28" s="176">
        <f t="shared" si="0"/>
        <v>27</v>
      </c>
      <c r="C28" s="177">
        <v>3</v>
      </c>
      <c r="D28" s="176">
        <v>2021</v>
      </c>
      <c r="E28" s="178">
        <f>'Maldives at LG Daily'!D31</f>
        <v>0</v>
      </c>
      <c r="F28" s="179">
        <v>0.93</v>
      </c>
      <c r="G28" s="178">
        <f>'Maldives at LG Daily'!F31</f>
        <v>0</v>
      </c>
      <c r="H28" s="179">
        <v>1.24</v>
      </c>
      <c r="I28" s="178">
        <f>'Maldives at LG Daily'!H31</f>
        <v>0</v>
      </c>
      <c r="J28" s="179">
        <v>1.72</v>
      </c>
      <c r="K28" s="178">
        <f>'Maldives at LG Daily'!I31</f>
        <v>0</v>
      </c>
      <c r="L28" s="178">
        <f>'Maldives at LG Daily'!J31</f>
        <v>0</v>
      </c>
    </row>
    <row r="29" spans="1:12" ht="15" x14ac:dyDescent="0.25">
      <c r="A29" s="176" t="s">
        <v>124</v>
      </c>
      <c r="B29" s="176">
        <f t="shared" si="0"/>
        <v>28</v>
      </c>
      <c r="C29" s="177">
        <v>3</v>
      </c>
      <c r="D29" s="176">
        <v>2021</v>
      </c>
      <c r="E29" s="178">
        <f>'Maldives at LG Daily'!D32</f>
        <v>0</v>
      </c>
      <c r="F29" s="179">
        <v>0.93</v>
      </c>
      <c r="G29" s="178">
        <f>'Maldives at LG Daily'!F32</f>
        <v>0</v>
      </c>
      <c r="H29" s="179">
        <v>1.24</v>
      </c>
      <c r="I29" s="178">
        <f>'Maldives at LG Daily'!H32</f>
        <v>0</v>
      </c>
      <c r="J29" s="179">
        <v>1.72</v>
      </c>
      <c r="K29" s="178">
        <f>'Maldives at LG Daily'!I32</f>
        <v>0</v>
      </c>
      <c r="L29" s="178">
        <f>'Maldives at LG Daily'!J32</f>
        <v>0</v>
      </c>
    </row>
    <row r="30" spans="1:12" ht="15" x14ac:dyDescent="0.25">
      <c r="A30" s="176" t="s">
        <v>124</v>
      </c>
      <c r="B30" s="176">
        <f t="shared" si="0"/>
        <v>29</v>
      </c>
      <c r="C30" s="177">
        <v>3</v>
      </c>
      <c r="D30" s="176">
        <v>2021</v>
      </c>
      <c r="E30" s="178">
        <f>'Maldives at LG Daily'!D33</f>
        <v>0</v>
      </c>
      <c r="F30" s="179">
        <v>0.93</v>
      </c>
      <c r="G30" s="178">
        <f>'Maldives at LG Daily'!F33</f>
        <v>0</v>
      </c>
      <c r="H30" s="179">
        <v>2.2400000000000002</v>
      </c>
      <c r="I30" s="178">
        <f>'Maldives at LG Daily'!H33</f>
        <v>0</v>
      </c>
      <c r="J30" s="179">
        <v>2.72</v>
      </c>
      <c r="K30" s="178">
        <f>'Maldives at LG Daily'!I33</f>
        <v>0</v>
      </c>
      <c r="L30" s="178">
        <f>'Maldives at LG Daily'!J33</f>
        <v>0</v>
      </c>
    </row>
    <row r="31" spans="1:12" ht="15" x14ac:dyDescent="0.25">
      <c r="A31" s="176" t="s">
        <v>124</v>
      </c>
      <c r="B31" s="176">
        <f t="shared" si="0"/>
        <v>30</v>
      </c>
      <c r="C31" s="177">
        <v>3</v>
      </c>
      <c r="D31" s="176">
        <v>2021</v>
      </c>
      <c r="E31" s="178">
        <f>'Maldives at LG Daily'!D34</f>
        <v>0</v>
      </c>
      <c r="F31" s="179">
        <v>0.93</v>
      </c>
      <c r="G31" s="178">
        <f>'Maldives at LG Daily'!F34</f>
        <v>0</v>
      </c>
      <c r="H31" s="179">
        <v>3.24</v>
      </c>
      <c r="I31" s="178">
        <f>'Maldives at LG Daily'!H34</f>
        <v>0</v>
      </c>
      <c r="J31" s="179">
        <v>3.72</v>
      </c>
      <c r="K31" s="178">
        <f>'Maldives at LG Daily'!I34</f>
        <v>0</v>
      </c>
      <c r="L31" s="178">
        <f>'Maldives at LG Daily'!J34</f>
        <v>0</v>
      </c>
    </row>
    <row r="32" spans="1:12" ht="15" x14ac:dyDescent="0.25">
      <c r="A32" s="176" t="s">
        <v>124</v>
      </c>
      <c r="B32" s="176">
        <f t="shared" si="0"/>
        <v>31</v>
      </c>
      <c r="C32" s="177">
        <v>3</v>
      </c>
      <c r="D32" s="176">
        <v>2021</v>
      </c>
      <c r="E32" s="178">
        <f>'Maldives at LG Daily'!D35</f>
        <v>0</v>
      </c>
      <c r="F32" s="179">
        <v>0.93</v>
      </c>
      <c r="G32" s="178">
        <f>'Maldives at LG Daily'!F35</f>
        <v>0</v>
      </c>
      <c r="H32" s="179">
        <v>4.24</v>
      </c>
      <c r="I32" s="178">
        <f>'Maldives at LG Daily'!H35</f>
        <v>0</v>
      </c>
      <c r="J32" s="179">
        <v>4.72</v>
      </c>
      <c r="K32" s="178">
        <f>'Maldives at LG Daily'!I35</f>
        <v>0</v>
      </c>
      <c r="L32" s="178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abSelected="1" topLeftCell="A19" zoomScale="85" zoomScaleNormal="85" workbookViewId="0">
      <pane xSplit="1" topLeftCell="B1" activePane="topRight" state="frozen"/>
      <selection pane="topRight" activeCell="I24" sqref="I24"/>
    </sheetView>
  </sheetViews>
  <sheetFormatPr defaultRowHeight="15" x14ac:dyDescent="0.25"/>
  <cols>
    <col min="1" max="1" width="14" style="238" customWidth="1"/>
    <col min="2" max="2" width="2" style="238" customWidth="1"/>
    <col min="3" max="3" width="11.85546875" style="256" customWidth="1"/>
    <col min="4" max="4" width="13.5703125" style="257" customWidth="1"/>
    <col min="5" max="5" width="14.85546875" style="238" customWidth="1"/>
    <col min="6" max="6" width="14.85546875" style="256" customWidth="1"/>
    <col min="7" max="7" width="8.85546875" style="238" customWidth="1"/>
    <col min="8" max="8" width="12.5703125" style="238" customWidth="1"/>
    <col min="9" max="10" width="13" style="260" customWidth="1"/>
    <col min="11" max="254" width="9.140625" style="238"/>
    <col min="255" max="255" width="14" style="238" customWidth="1"/>
    <col min="256" max="256" width="2" style="238" customWidth="1"/>
    <col min="257" max="257" width="11.85546875" style="238" customWidth="1"/>
    <col min="258" max="258" width="13.5703125" style="238" customWidth="1"/>
    <col min="259" max="260" width="13.85546875" style="238" customWidth="1"/>
    <col min="261" max="262" width="14.85546875" style="238" customWidth="1"/>
    <col min="263" max="263" width="8.85546875" style="238" customWidth="1"/>
    <col min="264" max="264" width="12.5703125" style="238" customWidth="1"/>
    <col min="265" max="266" width="13" style="238" customWidth="1"/>
    <col min="267" max="510" width="9.140625" style="238"/>
    <col min="511" max="511" width="14" style="238" customWidth="1"/>
    <col min="512" max="512" width="2" style="238" customWidth="1"/>
    <col min="513" max="513" width="11.85546875" style="238" customWidth="1"/>
    <col min="514" max="514" width="13.5703125" style="238" customWidth="1"/>
    <col min="515" max="516" width="13.85546875" style="238" customWidth="1"/>
    <col min="517" max="518" width="14.85546875" style="238" customWidth="1"/>
    <col min="519" max="519" width="8.85546875" style="238" customWidth="1"/>
    <col min="520" max="520" width="12.5703125" style="238" customWidth="1"/>
    <col min="521" max="522" width="13" style="238" customWidth="1"/>
    <col min="523" max="766" width="9.140625" style="238"/>
    <col min="767" max="767" width="14" style="238" customWidth="1"/>
    <col min="768" max="768" width="2" style="238" customWidth="1"/>
    <col min="769" max="769" width="11.85546875" style="238" customWidth="1"/>
    <col min="770" max="770" width="13.5703125" style="238" customWidth="1"/>
    <col min="771" max="772" width="13.85546875" style="238" customWidth="1"/>
    <col min="773" max="774" width="14.85546875" style="238" customWidth="1"/>
    <col min="775" max="775" width="8.85546875" style="238" customWidth="1"/>
    <col min="776" max="776" width="12.5703125" style="238" customWidth="1"/>
    <col min="777" max="778" width="13" style="238" customWidth="1"/>
    <col min="779" max="1022" width="9.140625" style="238"/>
    <col min="1023" max="1023" width="14" style="238" customWidth="1"/>
    <col min="1024" max="1024" width="2" style="238" customWidth="1"/>
    <col min="1025" max="1025" width="11.85546875" style="238" customWidth="1"/>
    <col min="1026" max="1026" width="13.5703125" style="238" customWidth="1"/>
    <col min="1027" max="1028" width="13.85546875" style="238" customWidth="1"/>
    <col min="1029" max="1030" width="14.85546875" style="238" customWidth="1"/>
    <col min="1031" max="1031" width="8.85546875" style="238" customWidth="1"/>
    <col min="1032" max="1032" width="12.5703125" style="238" customWidth="1"/>
    <col min="1033" max="1034" width="13" style="238" customWidth="1"/>
    <col min="1035" max="1278" width="9.140625" style="238"/>
    <col min="1279" max="1279" width="14" style="238" customWidth="1"/>
    <col min="1280" max="1280" width="2" style="238" customWidth="1"/>
    <col min="1281" max="1281" width="11.85546875" style="238" customWidth="1"/>
    <col min="1282" max="1282" width="13.5703125" style="238" customWidth="1"/>
    <col min="1283" max="1284" width="13.85546875" style="238" customWidth="1"/>
    <col min="1285" max="1286" width="14.85546875" style="238" customWidth="1"/>
    <col min="1287" max="1287" width="8.85546875" style="238" customWidth="1"/>
    <col min="1288" max="1288" width="12.5703125" style="238" customWidth="1"/>
    <col min="1289" max="1290" width="13" style="238" customWidth="1"/>
    <col min="1291" max="1534" width="9.140625" style="238"/>
    <col min="1535" max="1535" width="14" style="238" customWidth="1"/>
    <col min="1536" max="1536" width="2" style="238" customWidth="1"/>
    <col min="1537" max="1537" width="11.85546875" style="238" customWidth="1"/>
    <col min="1538" max="1538" width="13.5703125" style="238" customWidth="1"/>
    <col min="1539" max="1540" width="13.85546875" style="238" customWidth="1"/>
    <col min="1541" max="1542" width="14.85546875" style="238" customWidth="1"/>
    <col min="1543" max="1543" width="8.85546875" style="238" customWidth="1"/>
    <col min="1544" max="1544" width="12.5703125" style="238" customWidth="1"/>
    <col min="1545" max="1546" width="13" style="238" customWidth="1"/>
    <col min="1547" max="1790" width="9.140625" style="238"/>
    <col min="1791" max="1791" width="14" style="238" customWidth="1"/>
    <col min="1792" max="1792" width="2" style="238" customWidth="1"/>
    <col min="1793" max="1793" width="11.85546875" style="238" customWidth="1"/>
    <col min="1794" max="1794" width="13.5703125" style="238" customWidth="1"/>
    <col min="1795" max="1796" width="13.85546875" style="238" customWidth="1"/>
    <col min="1797" max="1798" width="14.85546875" style="238" customWidth="1"/>
    <col min="1799" max="1799" width="8.85546875" style="238" customWidth="1"/>
    <col min="1800" max="1800" width="12.5703125" style="238" customWidth="1"/>
    <col min="1801" max="1802" width="13" style="238" customWidth="1"/>
    <col min="1803" max="2046" width="9.140625" style="238"/>
    <col min="2047" max="2047" width="14" style="238" customWidth="1"/>
    <col min="2048" max="2048" width="2" style="238" customWidth="1"/>
    <col min="2049" max="2049" width="11.85546875" style="238" customWidth="1"/>
    <col min="2050" max="2050" width="13.5703125" style="238" customWidth="1"/>
    <col min="2051" max="2052" width="13.85546875" style="238" customWidth="1"/>
    <col min="2053" max="2054" width="14.85546875" style="238" customWidth="1"/>
    <col min="2055" max="2055" width="8.85546875" style="238" customWidth="1"/>
    <col min="2056" max="2056" width="12.5703125" style="238" customWidth="1"/>
    <col min="2057" max="2058" width="13" style="238" customWidth="1"/>
    <col min="2059" max="2302" width="9.140625" style="238"/>
    <col min="2303" max="2303" width="14" style="238" customWidth="1"/>
    <col min="2304" max="2304" width="2" style="238" customWidth="1"/>
    <col min="2305" max="2305" width="11.85546875" style="238" customWidth="1"/>
    <col min="2306" max="2306" width="13.5703125" style="238" customWidth="1"/>
    <col min="2307" max="2308" width="13.85546875" style="238" customWidth="1"/>
    <col min="2309" max="2310" width="14.85546875" style="238" customWidth="1"/>
    <col min="2311" max="2311" width="8.85546875" style="238" customWidth="1"/>
    <col min="2312" max="2312" width="12.5703125" style="238" customWidth="1"/>
    <col min="2313" max="2314" width="13" style="238" customWidth="1"/>
    <col min="2315" max="2558" width="9.140625" style="238"/>
    <col min="2559" max="2559" width="14" style="238" customWidth="1"/>
    <col min="2560" max="2560" width="2" style="238" customWidth="1"/>
    <col min="2561" max="2561" width="11.85546875" style="238" customWidth="1"/>
    <col min="2562" max="2562" width="13.5703125" style="238" customWidth="1"/>
    <col min="2563" max="2564" width="13.85546875" style="238" customWidth="1"/>
    <col min="2565" max="2566" width="14.85546875" style="238" customWidth="1"/>
    <col min="2567" max="2567" width="8.85546875" style="238" customWidth="1"/>
    <col min="2568" max="2568" width="12.5703125" style="238" customWidth="1"/>
    <col min="2569" max="2570" width="13" style="238" customWidth="1"/>
    <col min="2571" max="2814" width="9.140625" style="238"/>
    <col min="2815" max="2815" width="14" style="238" customWidth="1"/>
    <col min="2816" max="2816" width="2" style="238" customWidth="1"/>
    <col min="2817" max="2817" width="11.85546875" style="238" customWidth="1"/>
    <col min="2818" max="2818" width="13.5703125" style="238" customWidth="1"/>
    <col min="2819" max="2820" width="13.85546875" style="238" customWidth="1"/>
    <col min="2821" max="2822" width="14.85546875" style="238" customWidth="1"/>
    <col min="2823" max="2823" width="8.85546875" style="238" customWidth="1"/>
    <col min="2824" max="2824" width="12.5703125" style="238" customWidth="1"/>
    <col min="2825" max="2826" width="13" style="238" customWidth="1"/>
    <col min="2827" max="3070" width="9.140625" style="238"/>
    <col min="3071" max="3071" width="14" style="238" customWidth="1"/>
    <col min="3072" max="3072" width="2" style="238" customWidth="1"/>
    <col min="3073" max="3073" width="11.85546875" style="238" customWidth="1"/>
    <col min="3074" max="3074" width="13.5703125" style="238" customWidth="1"/>
    <col min="3075" max="3076" width="13.85546875" style="238" customWidth="1"/>
    <col min="3077" max="3078" width="14.85546875" style="238" customWidth="1"/>
    <col min="3079" max="3079" width="8.85546875" style="238" customWidth="1"/>
    <col min="3080" max="3080" width="12.5703125" style="238" customWidth="1"/>
    <col min="3081" max="3082" width="13" style="238" customWidth="1"/>
    <col min="3083" max="3326" width="9.140625" style="238"/>
    <col min="3327" max="3327" width="14" style="238" customWidth="1"/>
    <col min="3328" max="3328" width="2" style="238" customWidth="1"/>
    <col min="3329" max="3329" width="11.85546875" style="238" customWidth="1"/>
    <col min="3330" max="3330" width="13.5703125" style="238" customWidth="1"/>
    <col min="3331" max="3332" width="13.85546875" style="238" customWidth="1"/>
    <col min="3333" max="3334" width="14.85546875" style="238" customWidth="1"/>
    <col min="3335" max="3335" width="8.85546875" style="238" customWidth="1"/>
    <col min="3336" max="3336" width="12.5703125" style="238" customWidth="1"/>
    <col min="3337" max="3338" width="13" style="238" customWidth="1"/>
    <col min="3339" max="3582" width="9.140625" style="238"/>
    <col min="3583" max="3583" width="14" style="238" customWidth="1"/>
    <col min="3584" max="3584" width="2" style="238" customWidth="1"/>
    <col min="3585" max="3585" width="11.85546875" style="238" customWidth="1"/>
    <col min="3586" max="3586" width="13.5703125" style="238" customWidth="1"/>
    <col min="3587" max="3588" width="13.85546875" style="238" customWidth="1"/>
    <col min="3589" max="3590" width="14.85546875" style="238" customWidth="1"/>
    <col min="3591" max="3591" width="8.85546875" style="238" customWidth="1"/>
    <col min="3592" max="3592" width="12.5703125" style="238" customWidth="1"/>
    <col min="3593" max="3594" width="13" style="238" customWidth="1"/>
    <col min="3595" max="3838" width="9.140625" style="238"/>
    <col min="3839" max="3839" width="14" style="238" customWidth="1"/>
    <col min="3840" max="3840" width="2" style="238" customWidth="1"/>
    <col min="3841" max="3841" width="11.85546875" style="238" customWidth="1"/>
    <col min="3842" max="3842" width="13.5703125" style="238" customWidth="1"/>
    <col min="3843" max="3844" width="13.85546875" style="238" customWidth="1"/>
    <col min="3845" max="3846" width="14.85546875" style="238" customWidth="1"/>
    <col min="3847" max="3847" width="8.85546875" style="238" customWidth="1"/>
    <col min="3848" max="3848" width="12.5703125" style="238" customWidth="1"/>
    <col min="3849" max="3850" width="13" style="238" customWidth="1"/>
    <col min="3851" max="4094" width="9.140625" style="238"/>
    <col min="4095" max="4095" width="14" style="238" customWidth="1"/>
    <col min="4096" max="4096" width="2" style="238" customWidth="1"/>
    <col min="4097" max="4097" width="11.85546875" style="238" customWidth="1"/>
    <col min="4098" max="4098" width="13.5703125" style="238" customWidth="1"/>
    <col min="4099" max="4100" width="13.85546875" style="238" customWidth="1"/>
    <col min="4101" max="4102" width="14.85546875" style="238" customWidth="1"/>
    <col min="4103" max="4103" width="8.85546875" style="238" customWidth="1"/>
    <col min="4104" max="4104" width="12.5703125" style="238" customWidth="1"/>
    <col min="4105" max="4106" width="13" style="238" customWidth="1"/>
    <col min="4107" max="4350" width="9.140625" style="238"/>
    <col min="4351" max="4351" width="14" style="238" customWidth="1"/>
    <col min="4352" max="4352" width="2" style="238" customWidth="1"/>
    <col min="4353" max="4353" width="11.85546875" style="238" customWidth="1"/>
    <col min="4354" max="4354" width="13.5703125" style="238" customWidth="1"/>
    <col min="4355" max="4356" width="13.85546875" style="238" customWidth="1"/>
    <col min="4357" max="4358" width="14.85546875" style="238" customWidth="1"/>
    <col min="4359" max="4359" width="8.85546875" style="238" customWidth="1"/>
    <col min="4360" max="4360" width="12.5703125" style="238" customWidth="1"/>
    <col min="4361" max="4362" width="13" style="238" customWidth="1"/>
    <col min="4363" max="4606" width="9.140625" style="238"/>
    <col min="4607" max="4607" width="14" style="238" customWidth="1"/>
    <col min="4608" max="4608" width="2" style="238" customWidth="1"/>
    <col min="4609" max="4609" width="11.85546875" style="238" customWidth="1"/>
    <col min="4610" max="4610" width="13.5703125" style="238" customWidth="1"/>
    <col min="4611" max="4612" width="13.85546875" style="238" customWidth="1"/>
    <col min="4613" max="4614" width="14.85546875" style="238" customWidth="1"/>
    <col min="4615" max="4615" width="8.85546875" style="238" customWidth="1"/>
    <col min="4616" max="4616" width="12.5703125" style="238" customWidth="1"/>
    <col min="4617" max="4618" width="13" style="238" customWidth="1"/>
    <col min="4619" max="4862" width="9.140625" style="238"/>
    <col min="4863" max="4863" width="14" style="238" customWidth="1"/>
    <col min="4864" max="4864" width="2" style="238" customWidth="1"/>
    <col min="4865" max="4865" width="11.85546875" style="238" customWidth="1"/>
    <col min="4866" max="4866" width="13.5703125" style="238" customWidth="1"/>
    <col min="4867" max="4868" width="13.85546875" style="238" customWidth="1"/>
    <col min="4869" max="4870" width="14.85546875" style="238" customWidth="1"/>
    <col min="4871" max="4871" width="8.85546875" style="238" customWidth="1"/>
    <col min="4872" max="4872" width="12.5703125" style="238" customWidth="1"/>
    <col min="4873" max="4874" width="13" style="238" customWidth="1"/>
    <col min="4875" max="5118" width="9.140625" style="238"/>
    <col min="5119" max="5119" width="14" style="238" customWidth="1"/>
    <col min="5120" max="5120" width="2" style="238" customWidth="1"/>
    <col min="5121" max="5121" width="11.85546875" style="238" customWidth="1"/>
    <col min="5122" max="5122" width="13.5703125" style="238" customWidth="1"/>
    <col min="5123" max="5124" width="13.85546875" style="238" customWidth="1"/>
    <col min="5125" max="5126" width="14.85546875" style="238" customWidth="1"/>
    <col min="5127" max="5127" width="8.85546875" style="238" customWidth="1"/>
    <col min="5128" max="5128" width="12.5703125" style="238" customWidth="1"/>
    <col min="5129" max="5130" width="13" style="238" customWidth="1"/>
    <col min="5131" max="5374" width="9.140625" style="238"/>
    <col min="5375" max="5375" width="14" style="238" customWidth="1"/>
    <col min="5376" max="5376" width="2" style="238" customWidth="1"/>
    <col min="5377" max="5377" width="11.85546875" style="238" customWidth="1"/>
    <col min="5378" max="5378" width="13.5703125" style="238" customWidth="1"/>
    <col min="5379" max="5380" width="13.85546875" style="238" customWidth="1"/>
    <col min="5381" max="5382" width="14.85546875" style="238" customWidth="1"/>
    <col min="5383" max="5383" width="8.85546875" style="238" customWidth="1"/>
    <col min="5384" max="5384" width="12.5703125" style="238" customWidth="1"/>
    <col min="5385" max="5386" width="13" style="238" customWidth="1"/>
    <col min="5387" max="5630" width="9.140625" style="238"/>
    <col min="5631" max="5631" width="14" style="238" customWidth="1"/>
    <col min="5632" max="5632" width="2" style="238" customWidth="1"/>
    <col min="5633" max="5633" width="11.85546875" style="238" customWidth="1"/>
    <col min="5634" max="5634" width="13.5703125" style="238" customWidth="1"/>
    <col min="5635" max="5636" width="13.85546875" style="238" customWidth="1"/>
    <col min="5637" max="5638" width="14.85546875" style="238" customWidth="1"/>
    <col min="5639" max="5639" width="8.85546875" style="238" customWidth="1"/>
    <col min="5640" max="5640" width="12.5703125" style="238" customWidth="1"/>
    <col min="5641" max="5642" width="13" style="238" customWidth="1"/>
    <col min="5643" max="5886" width="9.140625" style="238"/>
    <col min="5887" max="5887" width="14" style="238" customWidth="1"/>
    <col min="5888" max="5888" width="2" style="238" customWidth="1"/>
    <col min="5889" max="5889" width="11.85546875" style="238" customWidth="1"/>
    <col min="5890" max="5890" width="13.5703125" style="238" customWidth="1"/>
    <col min="5891" max="5892" width="13.85546875" style="238" customWidth="1"/>
    <col min="5893" max="5894" width="14.85546875" style="238" customWidth="1"/>
    <col min="5895" max="5895" width="8.85546875" style="238" customWidth="1"/>
    <col min="5896" max="5896" width="12.5703125" style="238" customWidth="1"/>
    <col min="5897" max="5898" width="13" style="238" customWidth="1"/>
    <col min="5899" max="6142" width="9.140625" style="238"/>
    <col min="6143" max="6143" width="14" style="238" customWidth="1"/>
    <col min="6144" max="6144" width="2" style="238" customWidth="1"/>
    <col min="6145" max="6145" width="11.85546875" style="238" customWidth="1"/>
    <col min="6146" max="6146" width="13.5703125" style="238" customWidth="1"/>
    <col min="6147" max="6148" width="13.85546875" style="238" customWidth="1"/>
    <col min="6149" max="6150" width="14.85546875" style="238" customWidth="1"/>
    <col min="6151" max="6151" width="8.85546875" style="238" customWidth="1"/>
    <col min="6152" max="6152" width="12.5703125" style="238" customWidth="1"/>
    <col min="6153" max="6154" width="13" style="238" customWidth="1"/>
    <col min="6155" max="6398" width="9.140625" style="238"/>
    <col min="6399" max="6399" width="14" style="238" customWidth="1"/>
    <col min="6400" max="6400" width="2" style="238" customWidth="1"/>
    <col min="6401" max="6401" width="11.85546875" style="238" customWidth="1"/>
    <col min="6402" max="6402" width="13.5703125" style="238" customWidth="1"/>
    <col min="6403" max="6404" width="13.85546875" style="238" customWidth="1"/>
    <col min="6405" max="6406" width="14.85546875" style="238" customWidth="1"/>
    <col min="6407" max="6407" width="8.85546875" style="238" customWidth="1"/>
    <col min="6408" max="6408" width="12.5703125" style="238" customWidth="1"/>
    <col min="6409" max="6410" width="13" style="238" customWidth="1"/>
    <col min="6411" max="6654" width="9.140625" style="238"/>
    <col min="6655" max="6655" width="14" style="238" customWidth="1"/>
    <col min="6656" max="6656" width="2" style="238" customWidth="1"/>
    <col min="6657" max="6657" width="11.85546875" style="238" customWidth="1"/>
    <col min="6658" max="6658" width="13.5703125" style="238" customWidth="1"/>
    <col min="6659" max="6660" width="13.85546875" style="238" customWidth="1"/>
    <col min="6661" max="6662" width="14.85546875" style="238" customWidth="1"/>
    <col min="6663" max="6663" width="8.85546875" style="238" customWidth="1"/>
    <col min="6664" max="6664" width="12.5703125" style="238" customWidth="1"/>
    <col min="6665" max="6666" width="13" style="238" customWidth="1"/>
    <col min="6667" max="6910" width="9.140625" style="238"/>
    <col min="6911" max="6911" width="14" style="238" customWidth="1"/>
    <col min="6912" max="6912" width="2" style="238" customWidth="1"/>
    <col min="6913" max="6913" width="11.85546875" style="238" customWidth="1"/>
    <col min="6914" max="6914" width="13.5703125" style="238" customWidth="1"/>
    <col min="6915" max="6916" width="13.85546875" style="238" customWidth="1"/>
    <col min="6917" max="6918" width="14.85546875" style="238" customWidth="1"/>
    <col min="6919" max="6919" width="8.85546875" style="238" customWidth="1"/>
    <col min="6920" max="6920" width="12.5703125" style="238" customWidth="1"/>
    <col min="6921" max="6922" width="13" style="238" customWidth="1"/>
    <col min="6923" max="7166" width="9.140625" style="238"/>
    <col min="7167" max="7167" width="14" style="238" customWidth="1"/>
    <col min="7168" max="7168" width="2" style="238" customWidth="1"/>
    <col min="7169" max="7169" width="11.85546875" style="238" customWidth="1"/>
    <col min="7170" max="7170" width="13.5703125" style="238" customWidth="1"/>
    <col min="7171" max="7172" width="13.85546875" style="238" customWidth="1"/>
    <col min="7173" max="7174" width="14.85546875" style="238" customWidth="1"/>
    <col min="7175" max="7175" width="8.85546875" style="238" customWidth="1"/>
    <col min="7176" max="7176" width="12.5703125" style="238" customWidth="1"/>
    <col min="7177" max="7178" width="13" style="238" customWidth="1"/>
    <col min="7179" max="7422" width="9.140625" style="238"/>
    <col min="7423" max="7423" width="14" style="238" customWidth="1"/>
    <col min="7424" max="7424" width="2" style="238" customWidth="1"/>
    <col min="7425" max="7425" width="11.85546875" style="238" customWidth="1"/>
    <col min="7426" max="7426" width="13.5703125" style="238" customWidth="1"/>
    <col min="7427" max="7428" width="13.85546875" style="238" customWidth="1"/>
    <col min="7429" max="7430" width="14.85546875" style="238" customWidth="1"/>
    <col min="7431" max="7431" width="8.85546875" style="238" customWidth="1"/>
    <col min="7432" max="7432" width="12.5703125" style="238" customWidth="1"/>
    <col min="7433" max="7434" width="13" style="238" customWidth="1"/>
    <col min="7435" max="7678" width="9.140625" style="238"/>
    <col min="7679" max="7679" width="14" style="238" customWidth="1"/>
    <col min="7680" max="7680" width="2" style="238" customWidth="1"/>
    <col min="7681" max="7681" width="11.85546875" style="238" customWidth="1"/>
    <col min="7682" max="7682" width="13.5703125" style="238" customWidth="1"/>
    <col min="7683" max="7684" width="13.85546875" style="238" customWidth="1"/>
    <col min="7685" max="7686" width="14.85546875" style="238" customWidth="1"/>
    <col min="7687" max="7687" width="8.85546875" style="238" customWidth="1"/>
    <col min="7688" max="7688" width="12.5703125" style="238" customWidth="1"/>
    <col min="7689" max="7690" width="13" style="238" customWidth="1"/>
    <col min="7691" max="7934" width="9.140625" style="238"/>
    <col min="7935" max="7935" width="14" style="238" customWidth="1"/>
    <col min="7936" max="7936" width="2" style="238" customWidth="1"/>
    <col min="7937" max="7937" width="11.85546875" style="238" customWidth="1"/>
    <col min="7938" max="7938" width="13.5703125" style="238" customWidth="1"/>
    <col min="7939" max="7940" width="13.85546875" style="238" customWidth="1"/>
    <col min="7941" max="7942" width="14.85546875" style="238" customWidth="1"/>
    <col min="7943" max="7943" width="8.85546875" style="238" customWidth="1"/>
    <col min="7944" max="7944" width="12.5703125" style="238" customWidth="1"/>
    <col min="7945" max="7946" width="13" style="238" customWidth="1"/>
    <col min="7947" max="8190" width="9.140625" style="238"/>
    <col min="8191" max="8191" width="14" style="238" customWidth="1"/>
    <col min="8192" max="8192" width="2" style="238" customWidth="1"/>
    <col min="8193" max="8193" width="11.85546875" style="238" customWidth="1"/>
    <col min="8194" max="8194" width="13.5703125" style="238" customWidth="1"/>
    <col min="8195" max="8196" width="13.85546875" style="238" customWidth="1"/>
    <col min="8197" max="8198" width="14.85546875" style="238" customWidth="1"/>
    <col min="8199" max="8199" width="8.85546875" style="238" customWidth="1"/>
    <col min="8200" max="8200" width="12.5703125" style="238" customWidth="1"/>
    <col min="8201" max="8202" width="13" style="238" customWidth="1"/>
    <col min="8203" max="8446" width="9.140625" style="238"/>
    <col min="8447" max="8447" width="14" style="238" customWidth="1"/>
    <col min="8448" max="8448" width="2" style="238" customWidth="1"/>
    <col min="8449" max="8449" width="11.85546875" style="238" customWidth="1"/>
    <col min="8450" max="8450" width="13.5703125" style="238" customWidth="1"/>
    <col min="8451" max="8452" width="13.85546875" style="238" customWidth="1"/>
    <col min="8453" max="8454" width="14.85546875" style="238" customWidth="1"/>
    <col min="8455" max="8455" width="8.85546875" style="238" customWidth="1"/>
    <col min="8456" max="8456" width="12.5703125" style="238" customWidth="1"/>
    <col min="8457" max="8458" width="13" style="238" customWidth="1"/>
    <col min="8459" max="8702" width="9.140625" style="238"/>
    <col min="8703" max="8703" width="14" style="238" customWidth="1"/>
    <col min="8704" max="8704" width="2" style="238" customWidth="1"/>
    <col min="8705" max="8705" width="11.85546875" style="238" customWidth="1"/>
    <col min="8706" max="8706" width="13.5703125" style="238" customWidth="1"/>
    <col min="8707" max="8708" width="13.85546875" style="238" customWidth="1"/>
    <col min="8709" max="8710" width="14.85546875" style="238" customWidth="1"/>
    <col min="8711" max="8711" width="8.85546875" style="238" customWidth="1"/>
    <col min="8712" max="8712" width="12.5703125" style="238" customWidth="1"/>
    <col min="8713" max="8714" width="13" style="238" customWidth="1"/>
    <col min="8715" max="8958" width="9.140625" style="238"/>
    <col min="8959" max="8959" width="14" style="238" customWidth="1"/>
    <col min="8960" max="8960" width="2" style="238" customWidth="1"/>
    <col min="8961" max="8961" width="11.85546875" style="238" customWidth="1"/>
    <col min="8962" max="8962" width="13.5703125" style="238" customWidth="1"/>
    <col min="8963" max="8964" width="13.85546875" style="238" customWidth="1"/>
    <col min="8965" max="8966" width="14.85546875" style="238" customWidth="1"/>
    <col min="8967" max="8967" width="8.85546875" style="238" customWidth="1"/>
    <col min="8968" max="8968" width="12.5703125" style="238" customWidth="1"/>
    <col min="8969" max="8970" width="13" style="238" customWidth="1"/>
    <col min="8971" max="9214" width="9.140625" style="238"/>
    <col min="9215" max="9215" width="14" style="238" customWidth="1"/>
    <col min="9216" max="9216" width="2" style="238" customWidth="1"/>
    <col min="9217" max="9217" width="11.85546875" style="238" customWidth="1"/>
    <col min="9218" max="9218" width="13.5703125" style="238" customWidth="1"/>
    <col min="9219" max="9220" width="13.85546875" style="238" customWidth="1"/>
    <col min="9221" max="9222" width="14.85546875" style="238" customWidth="1"/>
    <col min="9223" max="9223" width="8.85546875" style="238" customWidth="1"/>
    <col min="9224" max="9224" width="12.5703125" style="238" customWidth="1"/>
    <col min="9225" max="9226" width="13" style="238" customWidth="1"/>
    <col min="9227" max="9470" width="9.140625" style="238"/>
    <col min="9471" max="9471" width="14" style="238" customWidth="1"/>
    <col min="9472" max="9472" width="2" style="238" customWidth="1"/>
    <col min="9473" max="9473" width="11.85546875" style="238" customWidth="1"/>
    <col min="9474" max="9474" width="13.5703125" style="238" customWidth="1"/>
    <col min="9475" max="9476" width="13.85546875" style="238" customWidth="1"/>
    <col min="9477" max="9478" width="14.85546875" style="238" customWidth="1"/>
    <col min="9479" max="9479" width="8.85546875" style="238" customWidth="1"/>
    <col min="9480" max="9480" width="12.5703125" style="238" customWidth="1"/>
    <col min="9481" max="9482" width="13" style="238" customWidth="1"/>
    <col min="9483" max="9726" width="9.140625" style="238"/>
    <col min="9727" max="9727" width="14" style="238" customWidth="1"/>
    <col min="9728" max="9728" width="2" style="238" customWidth="1"/>
    <col min="9729" max="9729" width="11.85546875" style="238" customWidth="1"/>
    <col min="9730" max="9730" width="13.5703125" style="238" customWidth="1"/>
    <col min="9731" max="9732" width="13.85546875" style="238" customWidth="1"/>
    <col min="9733" max="9734" width="14.85546875" style="238" customWidth="1"/>
    <col min="9735" max="9735" width="8.85546875" style="238" customWidth="1"/>
    <col min="9736" max="9736" width="12.5703125" style="238" customWidth="1"/>
    <col min="9737" max="9738" width="13" style="238" customWidth="1"/>
    <col min="9739" max="9982" width="9.140625" style="238"/>
    <col min="9983" max="9983" width="14" style="238" customWidth="1"/>
    <col min="9984" max="9984" width="2" style="238" customWidth="1"/>
    <col min="9985" max="9985" width="11.85546875" style="238" customWidth="1"/>
    <col min="9986" max="9986" width="13.5703125" style="238" customWidth="1"/>
    <col min="9987" max="9988" width="13.85546875" style="238" customWidth="1"/>
    <col min="9989" max="9990" width="14.85546875" style="238" customWidth="1"/>
    <col min="9991" max="9991" width="8.85546875" style="238" customWidth="1"/>
    <col min="9992" max="9992" width="12.5703125" style="238" customWidth="1"/>
    <col min="9993" max="9994" width="13" style="238" customWidth="1"/>
    <col min="9995" max="10238" width="9.140625" style="238"/>
    <col min="10239" max="10239" width="14" style="238" customWidth="1"/>
    <col min="10240" max="10240" width="2" style="238" customWidth="1"/>
    <col min="10241" max="10241" width="11.85546875" style="238" customWidth="1"/>
    <col min="10242" max="10242" width="13.5703125" style="238" customWidth="1"/>
    <col min="10243" max="10244" width="13.85546875" style="238" customWidth="1"/>
    <col min="10245" max="10246" width="14.85546875" style="238" customWidth="1"/>
    <col min="10247" max="10247" width="8.85546875" style="238" customWidth="1"/>
    <col min="10248" max="10248" width="12.5703125" style="238" customWidth="1"/>
    <col min="10249" max="10250" width="13" style="238" customWidth="1"/>
    <col min="10251" max="10494" width="9.140625" style="238"/>
    <col min="10495" max="10495" width="14" style="238" customWidth="1"/>
    <col min="10496" max="10496" width="2" style="238" customWidth="1"/>
    <col min="10497" max="10497" width="11.85546875" style="238" customWidth="1"/>
    <col min="10498" max="10498" width="13.5703125" style="238" customWidth="1"/>
    <col min="10499" max="10500" width="13.85546875" style="238" customWidth="1"/>
    <col min="10501" max="10502" width="14.85546875" style="238" customWidth="1"/>
    <col min="10503" max="10503" width="8.85546875" style="238" customWidth="1"/>
    <col min="10504" max="10504" width="12.5703125" style="238" customWidth="1"/>
    <col min="10505" max="10506" width="13" style="238" customWidth="1"/>
    <col min="10507" max="10750" width="9.140625" style="238"/>
    <col min="10751" max="10751" width="14" style="238" customWidth="1"/>
    <col min="10752" max="10752" width="2" style="238" customWidth="1"/>
    <col min="10753" max="10753" width="11.85546875" style="238" customWidth="1"/>
    <col min="10754" max="10754" width="13.5703125" style="238" customWidth="1"/>
    <col min="10755" max="10756" width="13.85546875" style="238" customWidth="1"/>
    <col min="10757" max="10758" width="14.85546875" style="238" customWidth="1"/>
    <col min="10759" max="10759" width="8.85546875" style="238" customWidth="1"/>
    <col min="10760" max="10760" width="12.5703125" style="238" customWidth="1"/>
    <col min="10761" max="10762" width="13" style="238" customWidth="1"/>
    <col min="10763" max="11006" width="9.140625" style="238"/>
    <col min="11007" max="11007" width="14" style="238" customWidth="1"/>
    <col min="11008" max="11008" width="2" style="238" customWidth="1"/>
    <col min="11009" max="11009" width="11.85546875" style="238" customWidth="1"/>
    <col min="11010" max="11010" width="13.5703125" style="238" customWidth="1"/>
    <col min="11011" max="11012" width="13.85546875" style="238" customWidth="1"/>
    <col min="11013" max="11014" width="14.85546875" style="238" customWidth="1"/>
    <col min="11015" max="11015" width="8.85546875" style="238" customWidth="1"/>
    <col min="11016" max="11016" width="12.5703125" style="238" customWidth="1"/>
    <col min="11017" max="11018" width="13" style="238" customWidth="1"/>
    <col min="11019" max="11262" width="9.140625" style="238"/>
    <col min="11263" max="11263" width="14" style="238" customWidth="1"/>
    <col min="11264" max="11264" width="2" style="238" customWidth="1"/>
    <col min="11265" max="11265" width="11.85546875" style="238" customWidth="1"/>
    <col min="11266" max="11266" width="13.5703125" style="238" customWidth="1"/>
    <col min="11267" max="11268" width="13.85546875" style="238" customWidth="1"/>
    <col min="11269" max="11270" width="14.85546875" style="238" customWidth="1"/>
    <col min="11271" max="11271" width="8.85546875" style="238" customWidth="1"/>
    <col min="11272" max="11272" width="12.5703125" style="238" customWidth="1"/>
    <col min="11273" max="11274" width="13" style="238" customWidth="1"/>
    <col min="11275" max="11518" width="9.140625" style="238"/>
    <col min="11519" max="11519" width="14" style="238" customWidth="1"/>
    <col min="11520" max="11520" width="2" style="238" customWidth="1"/>
    <col min="11521" max="11521" width="11.85546875" style="238" customWidth="1"/>
    <col min="11522" max="11522" width="13.5703125" style="238" customWidth="1"/>
    <col min="11523" max="11524" width="13.85546875" style="238" customWidth="1"/>
    <col min="11525" max="11526" width="14.85546875" style="238" customWidth="1"/>
    <col min="11527" max="11527" width="8.85546875" style="238" customWidth="1"/>
    <col min="11528" max="11528" width="12.5703125" style="238" customWidth="1"/>
    <col min="11529" max="11530" width="13" style="238" customWidth="1"/>
    <col min="11531" max="11774" width="9.140625" style="238"/>
    <col min="11775" max="11775" width="14" style="238" customWidth="1"/>
    <col min="11776" max="11776" width="2" style="238" customWidth="1"/>
    <col min="11777" max="11777" width="11.85546875" style="238" customWidth="1"/>
    <col min="11778" max="11778" width="13.5703125" style="238" customWidth="1"/>
    <col min="11779" max="11780" width="13.85546875" style="238" customWidth="1"/>
    <col min="11781" max="11782" width="14.85546875" style="238" customWidth="1"/>
    <col min="11783" max="11783" width="8.85546875" style="238" customWidth="1"/>
    <col min="11784" max="11784" width="12.5703125" style="238" customWidth="1"/>
    <col min="11785" max="11786" width="13" style="238" customWidth="1"/>
    <col min="11787" max="12030" width="9.140625" style="238"/>
    <col min="12031" max="12031" width="14" style="238" customWidth="1"/>
    <col min="12032" max="12032" width="2" style="238" customWidth="1"/>
    <col min="12033" max="12033" width="11.85546875" style="238" customWidth="1"/>
    <col min="12034" max="12034" width="13.5703125" style="238" customWidth="1"/>
    <col min="12035" max="12036" width="13.85546875" style="238" customWidth="1"/>
    <col min="12037" max="12038" width="14.85546875" style="238" customWidth="1"/>
    <col min="12039" max="12039" width="8.85546875" style="238" customWidth="1"/>
    <col min="12040" max="12040" width="12.5703125" style="238" customWidth="1"/>
    <col min="12041" max="12042" width="13" style="238" customWidth="1"/>
    <col min="12043" max="12286" width="9.140625" style="238"/>
    <col min="12287" max="12287" width="14" style="238" customWidth="1"/>
    <col min="12288" max="12288" width="2" style="238" customWidth="1"/>
    <col min="12289" max="12289" width="11.85546875" style="238" customWidth="1"/>
    <col min="12290" max="12290" width="13.5703125" style="238" customWidth="1"/>
    <col min="12291" max="12292" width="13.85546875" style="238" customWidth="1"/>
    <col min="12293" max="12294" width="14.85546875" style="238" customWidth="1"/>
    <col min="12295" max="12295" width="8.85546875" style="238" customWidth="1"/>
    <col min="12296" max="12296" width="12.5703125" style="238" customWidth="1"/>
    <col min="12297" max="12298" width="13" style="238" customWidth="1"/>
    <col min="12299" max="12542" width="9.140625" style="238"/>
    <col min="12543" max="12543" width="14" style="238" customWidth="1"/>
    <col min="12544" max="12544" width="2" style="238" customWidth="1"/>
    <col min="12545" max="12545" width="11.85546875" style="238" customWidth="1"/>
    <col min="12546" max="12546" width="13.5703125" style="238" customWidth="1"/>
    <col min="12547" max="12548" width="13.85546875" style="238" customWidth="1"/>
    <col min="12549" max="12550" width="14.85546875" style="238" customWidth="1"/>
    <col min="12551" max="12551" width="8.85546875" style="238" customWidth="1"/>
    <col min="12552" max="12552" width="12.5703125" style="238" customWidth="1"/>
    <col min="12553" max="12554" width="13" style="238" customWidth="1"/>
    <col min="12555" max="12798" width="9.140625" style="238"/>
    <col min="12799" max="12799" width="14" style="238" customWidth="1"/>
    <col min="12800" max="12800" width="2" style="238" customWidth="1"/>
    <col min="12801" max="12801" width="11.85546875" style="238" customWidth="1"/>
    <col min="12802" max="12802" width="13.5703125" style="238" customWidth="1"/>
    <col min="12803" max="12804" width="13.85546875" style="238" customWidth="1"/>
    <col min="12805" max="12806" width="14.85546875" style="238" customWidth="1"/>
    <col min="12807" max="12807" width="8.85546875" style="238" customWidth="1"/>
    <col min="12808" max="12808" width="12.5703125" style="238" customWidth="1"/>
    <col min="12809" max="12810" width="13" style="238" customWidth="1"/>
    <col min="12811" max="13054" width="9.140625" style="238"/>
    <col min="13055" max="13055" width="14" style="238" customWidth="1"/>
    <col min="13056" max="13056" width="2" style="238" customWidth="1"/>
    <col min="13057" max="13057" width="11.85546875" style="238" customWidth="1"/>
    <col min="13058" max="13058" width="13.5703125" style="238" customWidth="1"/>
    <col min="13059" max="13060" width="13.85546875" style="238" customWidth="1"/>
    <col min="13061" max="13062" width="14.85546875" style="238" customWidth="1"/>
    <col min="13063" max="13063" width="8.85546875" style="238" customWidth="1"/>
    <col min="13064" max="13064" width="12.5703125" style="238" customWidth="1"/>
    <col min="13065" max="13066" width="13" style="238" customWidth="1"/>
    <col min="13067" max="13310" width="9.140625" style="238"/>
    <col min="13311" max="13311" width="14" style="238" customWidth="1"/>
    <col min="13312" max="13312" width="2" style="238" customWidth="1"/>
    <col min="13313" max="13313" width="11.85546875" style="238" customWidth="1"/>
    <col min="13314" max="13314" width="13.5703125" style="238" customWidth="1"/>
    <col min="13315" max="13316" width="13.85546875" style="238" customWidth="1"/>
    <col min="13317" max="13318" width="14.85546875" style="238" customWidth="1"/>
    <col min="13319" max="13319" width="8.85546875" style="238" customWidth="1"/>
    <col min="13320" max="13320" width="12.5703125" style="238" customWidth="1"/>
    <col min="13321" max="13322" width="13" style="238" customWidth="1"/>
    <col min="13323" max="13566" width="9.140625" style="238"/>
    <col min="13567" max="13567" width="14" style="238" customWidth="1"/>
    <col min="13568" max="13568" width="2" style="238" customWidth="1"/>
    <col min="13569" max="13569" width="11.85546875" style="238" customWidth="1"/>
    <col min="13570" max="13570" width="13.5703125" style="238" customWidth="1"/>
    <col min="13571" max="13572" width="13.85546875" style="238" customWidth="1"/>
    <col min="13573" max="13574" width="14.85546875" style="238" customWidth="1"/>
    <col min="13575" max="13575" width="8.85546875" style="238" customWidth="1"/>
    <col min="13576" max="13576" width="12.5703125" style="238" customWidth="1"/>
    <col min="13577" max="13578" width="13" style="238" customWidth="1"/>
    <col min="13579" max="13822" width="9.140625" style="238"/>
    <col min="13823" max="13823" width="14" style="238" customWidth="1"/>
    <col min="13824" max="13824" width="2" style="238" customWidth="1"/>
    <col min="13825" max="13825" width="11.85546875" style="238" customWidth="1"/>
    <col min="13826" max="13826" width="13.5703125" style="238" customWidth="1"/>
    <col min="13827" max="13828" width="13.85546875" style="238" customWidth="1"/>
    <col min="13829" max="13830" width="14.85546875" style="238" customWidth="1"/>
    <col min="13831" max="13831" width="8.85546875" style="238" customWidth="1"/>
    <col min="13832" max="13832" width="12.5703125" style="238" customWidth="1"/>
    <col min="13833" max="13834" width="13" style="238" customWidth="1"/>
    <col min="13835" max="14078" width="9.140625" style="238"/>
    <col min="14079" max="14079" width="14" style="238" customWidth="1"/>
    <col min="14080" max="14080" width="2" style="238" customWidth="1"/>
    <col min="14081" max="14081" width="11.85546875" style="238" customWidth="1"/>
    <col min="14082" max="14082" width="13.5703125" style="238" customWidth="1"/>
    <col min="14083" max="14084" width="13.85546875" style="238" customWidth="1"/>
    <col min="14085" max="14086" width="14.85546875" style="238" customWidth="1"/>
    <col min="14087" max="14087" width="8.85546875" style="238" customWidth="1"/>
    <col min="14088" max="14088" width="12.5703125" style="238" customWidth="1"/>
    <col min="14089" max="14090" width="13" style="238" customWidth="1"/>
    <col min="14091" max="14334" width="9.140625" style="238"/>
    <col min="14335" max="14335" width="14" style="238" customWidth="1"/>
    <col min="14336" max="14336" width="2" style="238" customWidth="1"/>
    <col min="14337" max="14337" width="11.85546875" style="238" customWidth="1"/>
    <col min="14338" max="14338" width="13.5703125" style="238" customWidth="1"/>
    <col min="14339" max="14340" width="13.85546875" style="238" customWidth="1"/>
    <col min="14341" max="14342" width="14.85546875" style="238" customWidth="1"/>
    <col min="14343" max="14343" width="8.85546875" style="238" customWidth="1"/>
    <col min="14344" max="14344" width="12.5703125" style="238" customWidth="1"/>
    <col min="14345" max="14346" width="13" style="238" customWidth="1"/>
    <col min="14347" max="14590" width="9.140625" style="238"/>
    <col min="14591" max="14591" width="14" style="238" customWidth="1"/>
    <col min="14592" max="14592" width="2" style="238" customWidth="1"/>
    <col min="14593" max="14593" width="11.85546875" style="238" customWidth="1"/>
    <col min="14594" max="14594" width="13.5703125" style="238" customWidth="1"/>
    <col min="14595" max="14596" width="13.85546875" style="238" customWidth="1"/>
    <col min="14597" max="14598" width="14.85546875" style="238" customWidth="1"/>
    <col min="14599" max="14599" width="8.85546875" style="238" customWidth="1"/>
    <col min="14600" max="14600" width="12.5703125" style="238" customWidth="1"/>
    <col min="14601" max="14602" width="13" style="238" customWidth="1"/>
    <col min="14603" max="14846" width="9.140625" style="238"/>
    <col min="14847" max="14847" width="14" style="238" customWidth="1"/>
    <col min="14848" max="14848" width="2" style="238" customWidth="1"/>
    <col min="14849" max="14849" width="11.85546875" style="238" customWidth="1"/>
    <col min="14850" max="14850" width="13.5703125" style="238" customWidth="1"/>
    <col min="14851" max="14852" width="13.85546875" style="238" customWidth="1"/>
    <col min="14853" max="14854" width="14.85546875" style="238" customWidth="1"/>
    <col min="14855" max="14855" width="8.85546875" style="238" customWidth="1"/>
    <col min="14856" max="14856" width="12.5703125" style="238" customWidth="1"/>
    <col min="14857" max="14858" width="13" style="238" customWidth="1"/>
    <col min="14859" max="15102" width="9.140625" style="238"/>
    <col min="15103" max="15103" width="14" style="238" customWidth="1"/>
    <col min="15104" max="15104" width="2" style="238" customWidth="1"/>
    <col min="15105" max="15105" width="11.85546875" style="238" customWidth="1"/>
    <col min="15106" max="15106" width="13.5703125" style="238" customWidth="1"/>
    <col min="15107" max="15108" width="13.85546875" style="238" customWidth="1"/>
    <col min="15109" max="15110" width="14.85546875" style="238" customWidth="1"/>
    <col min="15111" max="15111" width="8.85546875" style="238" customWidth="1"/>
    <col min="15112" max="15112" width="12.5703125" style="238" customWidth="1"/>
    <col min="15113" max="15114" width="13" style="238" customWidth="1"/>
    <col min="15115" max="15358" width="9.140625" style="238"/>
    <col min="15359" max="15359" width="14" style="238" customWidth="1"/>
    <col min="15360" max="15360" width="2" style="238" customWidth="1"/>
    <col min="15361" max="15361" width="11.85546875" style="238" customWidth="1"/>
    <col min="15362" max="15362" width="13.5703125" style="238" customWidth="1"/>
    <col min="15363" max="15364" width="13.85546875" style="238" customWidth="1"/>
    <col min="15365" max="15366" width="14.85546875" style="238" customWidth="1"/>
    <col min="15367" max="15367" width="8.85546875" style="238" customWidth="1"/>
    <col min="15368" max="15368" width="12.5703125" style="238" customWidth="1"/>
    <col min="15369" max="15370" width="13" style="238" customWidth="1"/>
    <col min="15371" max="15614" width="9.140625" style="238"/>
    <col min="15615" max="15615" width="14" style="238" customWidth="1"/>
    <col min="15616" max="15616" width="2" style="238" customWidth="1"/>
    <col min="15617" max="15617" width="11.85546875" style="238" customWidth="1"/>
    <col min="15618" max="15618" width="13.5703125" style="238" customWidth="1"/>
    <col min="15619" max="15620" width="13.85546875" style="238" customWidth="1"/>
    <col min="15621" max="15622" width="14.85546875" style="238" customWidth="1"/>
    <col min="15623" max="15623" width="8.85546875" style="238" customWidth="1"/>
    <col min="15624" max="15624" width="12.5703125" style="238" customWidth="1"/>
    <col min="15625" max="15626" width="13" style="238" customWidth="1"/>
    <col min="15627" max="15870" width="9.140625" style="238"/>
    <col min="15871" max="15871" width="14" style="238" customWidth="1"/>
    <col min="15872" max="15872" width="2" style="238" customWidth="1"/>
    <col min="15873" max="15873" width="11.85546875" style="238" customWidth="1"/>
    <col min="15874" max="15874" width="13.5703125" style="238" customWidth="1"/>
    <col min="15875" max="15876" width="13.85546875" style="238" customWidth="1"/>
    <col min="15877" max="15878" width="14.85546875" style="238" customWidth="1"/>
    <col min="15879" max="15879" width="8.85546875" style="238" customWidth="1"/>
    <col min="15880" max="15880" width="12.5703125" style="238" customWidth="1"/>
    <col min="15881" max="15882" width="13" style="238" customWidth="1"/>
    <col min="15883" max="16126" width="9.140625" style="238"/>
    <col min="16127" max="16127" width="14" style="238" customWidth="1"/>
    <col min="16128" max="16128" width="2" style="238" customWidth="1"/>
    <col min="16129" max="16129" width="11.85546875" style="238" customWidth="1"/>
    <col min="16130" max="16130" width="13.5703125" style="238" customWidth="1"/>
    <col min="16131" max="16132" width="13.85546875" style="238" customWidth="1"/>
    <col min="16133" max="16134" width="14.85546875" style="238" customWidth="1"/>
    <col min="16135" max="16135" width="8.85546875" style="238" customWidth="1"/>
    <col min="16136" max="16136" width="12.5703125" style="238" customWidth="1"/>
    <col min="16137" max="16138" width="13" style="238" customWidth="1"/>
    <col min="16139" max="16384" width="9.140625" style="238"/>
  </cols>
  <sheetData>
    <row r="1" spans="1:10" ht="10.5" customHeight="1" thickBot="1" x14ac:dyDescent="0.45">
      <c r="A1" s="236"/>
      <c r="B1" s="274"/>
      <c r="C1" s="236"/>
      <c r="D1" s="237"/>
      <c r="E1" s="236"/>
      <c r="F1" s="236"/>
      <c r="G1" s="275"/>
      <c r="H1" s="275"/>
      <c r="I1" s="255"/>
      <c r="J1" s="255"/>
    </row>
    <row r="2" spans="1:10" ht="35.25" customHeight="1" thickBot="1" x14ac:dyDescent="0.3">
      <c r="A2" s="239" t="s">
        <v>103</v>
      </c>
      <c r="B2" s="274"/>
      <c r="C2" s="276" t="s">
        <v>104</v>
      </c>
      <c r="D2" s="277"/>
      <c r="E2" s="278" t="s">
        <v>105</v>
      </c>
      <c r="F2" s="278"/>
      <c r="G2" s="279" t="s">
        <v>106</v>
      </c>
      <c r="H2" s="280"/>
      <c r="I2" s="258"/>
      <c r="J2" s="258"/>
    </row>
    <row r="3" spans="1:10" ht="44.25" customHeight="1" x14ac:dyDescent="0.25">
      <c r="A3" s="240" t="s">
        <v>39</v>
      </c>
      <c r="B3" s="274"/>
      <c r="C3" s="241" t="s">
        <v>107</v>
      </c>
      <c r="D3" s="242" t="s">
        <v>108</v>
      </c>
      <c r="E3" s="243" t="s">
        <v>109</v>
      </c>
      <c r="F3" s="243" t="s">
        <v>110</v>
      </c>
      <c r="G3" s="243" t="s">
        <v>111</v>
      </c>
      <c r="H3" s="244" t="s">
        <v>112</v>
      </c>
      <c r="I3" s="259" t="s">
        <v>113</v>
      </c>
      <c r="J3" s="259" t="s">
        <v>114</v>
      </c>
    </row>
    <row r="4" spans="1:10" s="250" customFormat="1" ht="35.25" customHeight="1" x14ac:dyDescent="0.25">
      <c r="A4" s="245">
        <v>44255</v>
      </c>
      <c r="B4" s="274"/>
      <c r="C4" s="246">
        <f>SUM('GENSET #1'!B10+'GENSET #2'!B10+'GENSET #3'!B10+'GENSET #4'!B10+'GENSET #5'!B10)</f>
        <v>87747538</v>
      </c>
      <c r="D4" s="247">
        <v>30577</v>
      </c>
      <c r="E4" s="248">
        <f>'Gas-2'!G5</f>
        <v>180</v>
      </c>
      <c r="F4" s="249">
        <v>90</v>
      </c>
      <c r="G4" s="248">
        <f>SUM(WATER!G6,WATER!L6,WATER!Q6,WATER!B6)</f>
        <v>923511.8</v>
      </c>
      <c r="H4" s="250">
        <v>423</v>
      </c>
      <c r="I4" s="251">
        <v>81</v>
      </c>
      <c r="J4" s="251">
        <v>598</v>
      </c>
    </row>
    <row r="5" spans="1:10" ht="33" customHeight="1" x14ac:dyDescent="0.25">
      <c r="A5" s="252">
        <f>A4+1</f>
        <v>44256</v>
      </c>
      <c r="B5" s="274"/>
      <c r="C5" s="246">
        <f>SUM('GENSET #1'!B11+'GENSET #2'!B11+'GENSET #3'!B11+'GENSET #4'!B11+'GENSET #5'!B11)</f>
        <v>87778000</v>
      </c>
      <c r="D5" s="253">
        <f>IF((C5-C4&lt;0), "0",C5-C4)</f>
        <v>30462</v>
      </c>
      <c r="E5" s="246">
        <f>'Gas-2'!G6</f>
        <v>270</v>
      </c>
      <c r="F5" s="253">
        <f>IF((E5-E4&lt;0), "0",E5-E4)</f>
        <v>90</v>
      </c>
      <c r="G5" s="254">
        <f>SUM(WATER!C6,WATER!H6,WATER!M6,WATER!R6)</f>
        <v>922337</v>
      </c>
      <c r="H5" s="253">
        <v>418</v>
      </c>
      <c r="I5" s="255">
        <v>78.599999999999994</v>
      </c>
      <c r="J5" s="255">
        <v>577</v>
      </c>
    </row>
    <row r="6" spans="1:10" ht="45" customHeight="1" x14ac:dyDescent="0.25">
      <c r="A6" s="252">
        <f t="shared" ref="A6:A34" si="0">A5+1</f>
        <v>44257</v>
      </c>
      <c r="B6" s="274"/>
      <c r="C6" s="246">
        <f>SUM('GENSET #1'!B12+'GENSET #2'!B12+'GENSET #3'!B12+'GENSET #4'!B12+'GENSET #5'!B12)</f>
        <v>87809274</v>
      </c>
      <c r="D6" s="253">
        <f>IF((C6-C5&lt;0), "0",C6-C5)</f>
        <v>31274</v>
      </c>
      <c r="E6" s="246">
        <f>'Gas-2'!G7</f>
        <v>360</v>
      </c>
      <c r="F6" s="253">
        <f t="shared" ref="F6:F35" si="1">IF((E6-E5&lt;0), "0",E6-E5)</f>
        <v>90</v>
      </c>
      <c r="G6" s="254">
        <f>SUM(WATER!C7,WATER!H7,WATER!M7,WATER!R7)</f>
        <v>922723</v>
      </c>
      <c r="H6" s="253">
        <f t="shared" ref="H6:H35" si="2">IF((G6-G5&lt;0), "0",G6-G5)</f>
        <v>386</v>
      </c>
      <c r="I6" s="255">
        <v>78.599999999999994</v>
      </c>
      <c r="J6" s="255">
        <v>583</v>
      </c>
    </row>
    <row r="7" spans="1:10" ht="45" customHeight="1" x14ac:dyDescent="0.25">
      <c r="A7" s="252">
        <f t="shared" si="0"/>
        <v>44258</v>
      </c>
      <c r="B7" s="274"/>
      <c r="C7" s="246">
        <f>SUM('GENSET #1'!B13+'GENSET #2'!B13+'GENSET #3'!B13+'GENSET #4'!B13+'GENSET #5'!B13)</f>
        <v>87839540</v>
      </c>
      <c r="D7" s="253">
        <f t="shared" ref="D7:D22" si="3">IF((C7-C6&lt;0), "0",C7-C6)</f>
        <v>30266</v>
      </c>
      <c r="E7" s="246">
        <f>'Gas-2'!G8</f>
        <v>135</v>
      </c>
      <c r="F7" s="253" t="str">
        <f t="shared" si="1"/>
        <v>0</v>
      </c>
      <c r="G7" s="254">
        <f>SUM(WATER!C8,WATER!H8,WATER!M8,WATER!R8)</f>
        <v>923175</v>
      </c>
      <c r="H7" s="253">
        <f t="shared" si="2"/>
        <v>452</v>
      </c>
      <c r="I7" s="255">
        <v>71.8</v>
      </c>
      <c r="J7" s="255">
        <v>570</v>
      </c>
    </row>
    <row r="8" spans="1:10" ht="45" customHeight="1" x14ac:dyDescent="0.25">
      <c r="A8" s="252">
        <f t="shared" si="0"/>
        <v>44259</v>
      </c>
      <c r="B8" s="274"/>
      <c r="C8" s="246">
        <f>SUM('GENSET #1'!B14+'GENSET #2'!B14+'GENSET #3'!B14+'GENSET #4'!B14+'GENSET #5'!B14)</f>
        <v>87868635</v>
      </c>
      <c r="D8" s="253">
        <f t="shared" si="3"/>
        <v>29095</v>
      </c>
      <c r="E8" s="246">
        <f>'Gas-2'!G9</f>
        <v>315</v>
      </c>
      <c r="F8" s="253">
        <f t="shared" si="1"/>
        <v>180</v>
      </c>
      <c r="G8" s="254">
        <f>SUM(WATER!C9,WATER!H9,WATER!M9,WATER!R9)</f>
        <v>923610</v>
      </c>
      <c r="H8" s="253">
        <f t="shared" si="2"/>
        <v>435</v>
      </c>
      <c r="I8" s="255">
        <v>69.900000000000006</v>
      </c>
      <c r="J8" s="255">
        <v>553</v>
      </c>
    </row>
    <row r="9" spans="1:10" ht="45" customHeight="1" x14ac:dyDescent="0.25">
      <c r="A9" s="252">
        <f t="shared" si="0"/>
        <v>44260</v>
      </c>
      <c r="B9" s="274"/>
      <c r="C9" s="246">
        <f>SUM('GENSET #1'!B15+'GENSET #2'!B15+'GENSET #3'!B15+'GENSET #4'!B15+'GENSET #5'!B15)</f>
        <v>87899006</v>
      </c>
      <c r="D9" s="253">
        <f t="shared" si="3"/>
        <v>30371</v>
      </c>
      <c r="E9" s="246">
        <f>'Gas-2'!G10</f>
        <v>45</v>
      </c>
      <c r="F9" s="253" t="str">
        <f t="shared" si="1"/>
        <v>0</v>
      </c>
      <c r="G9" s="254">
        <f>SUM(WATER!C10,WATER!H10,WATER!M10,WATER!R10)</f>
        <v>924054</v>
      </c>
      <c r="H9" s="253">
        <f t="shared" si="2"/>
        <v>444</v>
      </c>
      <c r="I9" s="255">
        <v>61.2</v>
      </c>
      <c r="J9" s="255">
        <v>538</v>
      </c>
    </row>
    <row r="10" spans="1:10" ht="45" customHeight="1" x14ac:dyDescent="0.25">
      <c r="A10" s="252">
        <f t="shared" si="0"/>
        <v>44261</v>
      </c>
      <c r="B10" s="274"/>
      <c r="C10" s="246">
        <f>SUM('GENSET #1'!B16+'GENSET #2'!B16+'GENSET #3'!B16+'GENSET #4'!B16+'GENSET #5'!B16)</f>
        <v>87930083</v>
      </c>
      <c r="D10" s="253">
        <f t="shared" si="3"/>
        <v>31077</v>
      </c>
      <c r="E10" s="246">
        <f>'Gas-2'!G11</f>
        <v>315</v>
      </c>
      <c r="F10" s="253">
        <f t="shared" si="1"/>
        <v>270</v>
      </c>
      <c r="G10" s="254">
        <f>SUM(WATER!C11,WATER!H11,WATER!M11,WATER!R11)</f>
        <v>924531</v>
      </c>
      <c r="H10" s="253">
        <f t="shared" si="2"/>
        <v>477</v>
      </c>
      <c r="I10" s="255">
        <v>60.2</v>
      </c>
      <c r="J10" s="255">
        <v>466</v>
      </c>
    </row>
    <row r="11" spans="1:10" ht="45" customHeight="1" x14ac:dyDescent="0.25">
      <c r="A11" s="252">
        <f t="shared" si="0"/>
        <v>44262</v>
      </c>
      <c r="B11" s="274"/>
      <c r="C11" s="246">
        <f>SUM('GENSET #1'!B17+'GENSET #2'!B17+'GENSET #3'!B17+'GENSET #4'!B17+'GENSET #5'!B17)</f>
        <v>87960962</v>
      </c>
      <c r="D11" s="253">
        <f t="shared" si="3"/>
        <v>30879</v>
      </c>
      <c r="E11" s="246">
        <f>'Gas-2'!G12</f>
        <v>0</v>
      </c>
      <c r="F11" s="253" t="str">
        <f t="shared" si="1"/>
        <v>0</v>
      </c>
      <c r="G11" s="254">
        <f>SUM(WATER!C12,WATER!H12,WATER!M12,WATER!R12)</f>
        <v>924942</v>
      </c>
      <c r="H11" s="253">
        <f t="shared" si="2"/>
        <v>411</v>
      </c>
      <c r="I11" s="255">
        <v>55.3</v>
      </c>
      <c r="J11" s="255">
        <v>459</v>
      </c>
    </row>
    <row r="12" spans="1:10" ht="45" customHeight="1" x14ac:dyDescent="0.25">
      <c r="A12" s="252">
        <f t="shared" si="0"/>
        <v>44263</v>
      </c>
      <c r="B12" s="274"/>
      <c r="C12" s="246">
        <f>SUM('GENSET #1'!B18+'GENSET #2'!B18+'GENSET #3'!B18+'GENSET #4'!B18+'GENSET #5'!B18)</f>
        <v>87991377</v>
      </c>
      <c r="D12" s="253">
        <f t="shared" si="3"/>
        <v>30415</v>
      </c>
      <c r="E12" s="246">
        <f>'Gas-2'!G13</f>
        <v>540</v>
      </c>
      <c r="F12" s="253">
        <f t="shared" si="1"/>
        <v>540</v>
      </c>
      <c r="G12" s="254">
        <f>SUM(WATER!C13,WATER!H13,WATER!M13,WATER!R13)</f>
        <v>925365</v>
      </c>
      <c r="H12" s="253">
        <f t="shared" si="2"/>
        <v>423</v>
      </c>
      <c r="I12" s="255">
        <v>53.4</v>
      </c>
      <c r="J12" s="255">
        <v>462</v>
      </c>
    </row>
    <row r="13" spans="1:10" ht="45" customHeight="1" x14ac:dyDescent="0.25">
      <c r="A13" s="252">
        <f t="shared" si="0"/>
        <v>44264</v>
      </c>
      <c r="B13" s="274"/>
      <c r="C13" s="246">
        <f>SUM('GENSET #1'!B19+'GENSET #2'!B19+'GENSET #3'!B19+'GENSET #4'!B19+'GENSET #5'!B19)</f>
        <v>88022387</v>
      </c>
      <c r="D13" s="253">
        <f t="shared" si="3"/>
        <v>31010</v>
      </c>
      <c r="E13" s="246">
        <f>'Gas-2'!G14</f>
        <v>0</v>
      </c>
      <c r="F13" s="253" t="str">
        <f t="shared" si="1"/>
        <v>0</v>
      </c>
      <c r="G13" s="254">
        <f>SUM(WATER!C14,WATER!H14,WATER!M14,WATER!R14)</f>
        <v>925775</v>
      </c>
      <c r="H13" s="253">
        <f t="shared" si="2"/>
        <v>410</v>
      </c>
      <c r="I13" s="255">
        <v>45.6</v>
      </c>
      <c r="J13" s="255">
        <v>378</v>
      </c>
    </row>
    <row r="14" spans="1:10" ht="45" customHeight="1" x14ac:dyDescent="0.25">
      <c r="A14" s="252">
        <f t="shared" si="0"/>
        <v>44265</v>
      </c>
      <c r="B14" s="274"/>
      <c r="C14" s="246">
        <f>SUM('GENSET #1'!B20+'GENSET #2'!B20+'GENSET #3'!B20+'GENSET #4'!B20+'GENSET #5'!B20)</f>
        <v>88050446</v>
      </c>
      <c r="D14" s="253">
        <f t="shared" si="3"/>
        <v>28059</v>
      </c>
      <c r="E14" s="246">
        <f>'Gas-2'!G15</f>
        <v>360</v>
      </c>
      <c r="F14" s="253">
        <f t="shared" si="1"/>
        <v>360</v>
      </c>
      <c r="G14" s="254">
        <f>SUM(WATER!C15,WATER!H15,WATER!M15,WATER!R15)</f>
        <v>926190</v>
      </c>
      <c r="H14" s="253">
        <f t="shared" si="2"/>
        <v>415</v>
      </c>
      <c r="I14" s="255">
        <v>41.7</v>
      </c>
      <c r="J14" s="255">
        <v>339</v>
      </c>
    </row>
    <row r="15" spans="1:10" ht="45" customHeight="1" x14ac:dyDescent="0.25">
      <c r="A15" s="252">
        <f t="shared" si="0"/>
        <v>44266</v>
      </c>
      <c r="B15" s="274"/>
      <c r="C15" s="246">
        <f>SUM('GENSET #1'!B21+'GENSET #2'!B21+'GENSET #3'!B21+'GENSET #4'!B21+'GENSET #5'!B21)</f>
        <v>88075261</v>
      </c>
      <c r="D15" s="253">
        <f t="shared" si="3"/>
        <v>24815</v>
      </c>
      <c r="E15" s="246">
        <f>'Gas-2'!G16</f>
        <v>0</v>
      </c>
      <c r="F15" s="253" t="str">
        <f t="shared" si="1"/>
        <v>0</v>
      </c>
      <c r="G15" s="254">
        <f>SUM(WATER!C16,WATER!H16,WATER!M16,WATER!R16)</f>
        <v>926586</v>
      </c>
      <c r="H15" s="253">
        <f t="shared" si="2"/>
        <v>396</v>
      </c>
      <c r="I15" s="255">
        <v>43.7</v>
      </c>
      <c r="J15" s="255">
        <v>371</v>
      </c>
    </row>
    <row r="16" spans="1:10" ht="45" customHeight="1" x14ac:dyDescent="0.25">
      <c r="A16" s="252">
        <f t="shared" si="0"/>
        <v>44267</v>
      </c>
      <c r="B16" s="274"/>
      <c r="C16" s="246">
        <f>SUM('GENSET #1'!B22+'GENSET #2'!B22+'GENSET #3'!B22+'GENSET #4'!B22+'GENSET #5'!B22)</f>
        <v>88101654</v>
      </c>
      <c r="D16" s="253">
        <f t="shared" si="3"/>
        <v>26393</v>
      </c>
      <c r="E16" s="246">
        <f>'Gas-2'!G17</f>
        <v>180</v>
      </c>
      <c r="F16" s="253">
        <f t="shared" si="1"/>
        <v>180</v>
      </c>
      <c r="G16" s="254">
        <f>SUM(WATER!C17,WATER!H17,WATER!M17,WATER!R17)</f>
        <v>926927</v>
      </c>
      <c r="H16" s="253">
        <f t="shared" si="2"/>
        <v>341</v>
      </c>
      <c r="I16" s="255">
        <v>42.7</v>
      </c>
      <c r="J16" s="255">
        <v>376</v>
      </c>
    </row>
    <row r="17" spans="1:10" ht="45" customHeight="1" x14ac:dyDescent="0.25">
      <c r="A17" s="252">
        <f t="shared" si="0"/>
        <v>44268</v>
      </c>
      <c r="B17" s="274"/>
      <c r="C17" s="246">
        <f>SUM('GENSET #1'!B23+'GENSET #2'!B23+'GENSET #3'!B23+'GENSET #4'!B23+'GENSET #5'!B23)</f>
        <v>88129208</v>
      </c>
      <c r="D17" s="253">
        <f t="shared" si="3"/>
        <v>27554</v>
      </c>
      <c r="E17" s="246">
        <f>'Gas-2'!G18</f>
        <v>135</v>
      </c>
      <c r="F17" s="253" t="str">
        <f t="shared" si="1"/>
        <v>0</v>
      </c>
      <c r="G17" s="254">
        <f>SUM(WATER!C18,WATER!H18,WATER!M18,WATER!R18)</f>
        <v>927272</v>
      </c>
      <c r="H17" s="253">
        <f t="shared" si="2"/>
        <v>345</v>
      </c>
      <c r="I17" s="255">
        <v>43.7</v>
      </c>
      <c r="J17" s="255">
        <v>380</v>
      </c>
    </row>
    <row r="18" spans="1:10" ht="45" customHeight="1" x14ac:dyDescent="0.25">
      <c r="A18" s="252">
        <f t="shared" si="0"/>
        <v>44269</v>
      </c>
      <c r="B18" s="274"/>
      <c r="C18" s="246">
        <f>SUM('GENSET #1'!B24+'GENSET #2'!B24+'GENSET #3'!B24+'GENSET #4'!B24+'GENSET #5'!B24)</f>
        <v>88158561</v>
      </c>
      <c r="D18" s="253">
        <f t="shared" si="3"/>
        <v>29353</v>
      </c>
      <c r="E18" s="246">
        <f>'Gas-2'!G19</f>
        <v>225</v>
      </c>
      <c r="F18" s="253">
        <f t="shared" si="1"/>
        <v>90</v>
      </c>
      <c r="G18" s="254">
        <f>SUM(WATER!C19,WATER!H19,WATER!M19,WATER!R19)</f>
        <v>927670</v>
      </c>
      <c r="H18" s="253">
        <f t="shared" si="2"/>
        <v>398</v>
      </c>
      <c r="I18" s="255">
        <v>39.799999999999997</v>
      </c>
      <c r="J18" s="255">
        <v>332</v>
      </c>
    </row>
    <row r="19" spans="1:10" ht="45" customHeight="1" x14ac:dyDescent="0.25">
      <c r="A19" s="252">
        <f t="shared" si="0"/>
        <v>44270</v>
      </c>
      <c r="B19" s="274"/>
      <c r="C19" s="246">
        <f>SUM('GENSET #1'!B25+'GENSET #2'!B25+'GENSET #3'!B25+'GENSET #4'!B25+'GENSET #5'!B25)</f>
        <v>88187913</v>
      </c>
      <c r="D19" s="253">
        <f t="shared" si="3"/>
        <v>29352</v>
      </c>
      <c r="E19" s="246">
        <f>'Gas-2'!G20</f>
        <v>225</v>
      </c>
      <c r="F19" s="253">
        <f t="shared" si="1"/>
        <v>0</v>
      </c>
      <c r="G19" s="254">
        <f>SUM(WATER!C20,WATER!H20,WATER!M20,WATER!R20)</f>
        <v>928125</v>
      </c>
      <c r="H19" s="253">
        <f t="shared" si="2"/>
        <v>455</v>
      </c>
      <c r="I19" s="255">
        <v>39.799999999999997</v>
      </c>
      <c r="J19" s="255">
        <v>321</v>
      </c>
    </row>
    <row r="20" spans="1:10" ht="45" customHeight="1" x14ac:dyDescent="0.25">
      <c r="A20" s="252">
        <f t="shared" si="0"/>
        <v>44271</v>
      </c>
      <c r="B20" s="274"/>
      <c r="C20" s="246">
        <f>SUM('GENSET #1'!B26+'GENSET #2'!B26+'GENSET #3'!B26+'GENSET #4'!B26+'GENSET #5'!B26)</f>
        <v>88216081</v>
      </c>
      <c r="D20" s="253">
        <f t="shared" si="3"/>
        <v>28168</v>
      </c>
      <c r="E20" s="246">
        <f>'Gas-2'!G21</f>
        <v>315</v>
      </c>
      <c r="F20" s="253">
        <f t="shared" si="1"/>
        <v>90</v>
      </c>
      <c r="G20" s="254">
        <f>SUM(WATER!C21,WATER!H21,WATER!M21,WATER!R21)</f>
        <v>928545</v>
      </c>
      <c r="H20" s="253">
        <f t="shared" si="2"/>
        <v>420</v>
      </c>
      <c r="I20" s="255">
        <v>41</v>
      </c>
      <c r="J20" s="255">
        <v>341</v>
      </c>
    </row>
    <row r="21" spans="1:10" ht="45" customHeight="1" x14ac:dyDescent="0.25">
      <c r="A21" s="252">
        <f t="shared" si="0"/>
        <v>44272</v>
      </c>
      <c r="B21" s="274"/>
      <c r="C21" s="246">
        <f>SUM('GENSET #1'!B27+'GENSET #2'!B27+'GENSET #3'!B27+'GENSET #4'!B27+'GENSET #5'!B27)</f>
        <v>88244443</v>
      </c>
      <c r="D21" s="253">
        <f t="shared" si="3"/>
        <v>28362</v>
      </c>
      <c r="E21" s="246">
        <f>'Gas-2'!G22</f>
        <v>0</v>
      </c>
      <c r="F21" s="253" t="str">
        <f t="shared" si="1"/>
        <v>0</v>
      </c>
      <c r="G21" s="254">
        <f>SUM(WATER!C22,WATER!H22,WATER!M22,WATER!R22)</f>
        <v>928999</v>
      </c>
      <c r="H21" s="253">
        <f t="shared" si="2"/>
        <v>454</v>
      </c>
      <c r="I21" s="255">
        <v>42.7</v>
      </c>
      <c r="J21" s="255">
        <v>327</v>
      </c>
    </row>
    <row r="22" spans="1:10" ht="45" customHeight="1" x14ac:dyDescent="0.25">
      <c r="A22" s="252">
        <f t="shared" si="0"/>
        <v>44273</v>
      </c>
      <c r="B22" s="274"/>
      <c r="C22" s="246">
        <f>SUM('GENSET #1'!B28+'GENSET #2'!B28+'GENSET #3'!B28+'GENSET #4'!B28+'GENSET #5'!B28)</f>
        <v>88273224</v>
      </c>
      <c r="D22" s="253">
        <f t="shared" si="3"/>
        <v>28781</v>
      </c>
      <c r="E22" s="246">
        <f>'Gas-2'!G23</f>
        <v>360</v>
      </c>
      <c r="F22" s="253">
        <f t="shared" si="1"/>
        <v>360</v>
      </c>
      <c r="G22" s="254">
        <f>SUM(WATER!C23,WATER!H23,WATER!M23,WATER!R23)</f>
        <v>929415</v>
      </c>
      <c r="H22" s="253">
        <f t="shared" si="2"/>
        <v>416</v>
      </c>
      <c r="I22" s="255">
        <v>43.7</v>
      </c>
      <c r="J22" s="255">
        <v>358</v>
      </c>
    </row>
    <row r="23" spans="1:10" ht="45" customHeight="1" x14ac:dyDescent="0.25">
      <c r="A23" s="252">
        <f t="shared" si="0"/>
        <v>44274</v>
      </c>
      <c r="B23" s="274"/>
      <c r="C23" s="246">
        <f>SUM('GENSET #1'!B29+'GENSET #2'!B29+'GENSET #3'!B29+'GENSET #4'!B29+'GENSET #5'!B29)</f>
        <v>88302511</v>
      </c>
      <c r="D23" s="253">
        <f>IF((C23-C22&lt;0), "0",C23-C22)</f>
        <v>29287</v>
      </c>
      <c r="E23" s="246">
        <f>'Gas-2'!G24</f>
        <v>0</v>
      </c>
      <c r="F23" s="253" t="str">
        <f t="shared" si="1"/>
        <v>0</v>
      </c>
      <c r="G23" s="254">
        <f>SUM(WATER!C24,WATER!H24,WATER!M24,WATER!R24)</f>
        <v>929807</v>
      </c>
      <c r="H23" s="253">
        <f t="shared" si="2"/>
        <v>392</v>
      </c>
      <c r="I23" s="255">
        <v>47.6</v>
      </c>
      <c r="J23" s="255">
        <v>378</v>
      </c>
    </row>
    <row r="24" spans="1:10" ht="45" customHeight="1" x14ac:dyDescent="0.25">
      <c r="A24" s="252">
        <f t="shared" si="0"/>
        <v>44275</v>
      </c>
      <c r="B24" s="274"/>
      <c r="C24" s="246">
        <f>SUM('GENSET #1'!B30+'GENSET #2'!B30+'GENSET #3'!B30+'GENSET #4'!B30+'GENSET #5'!B30)</f>
        <v>88331778</v>
      </c>
      <c r="D24" s="253">
        <f t="shared" ref="D24:D35" si="4">IF((C24-C23&lt;0), "0",C24-C23)</f>
        <v>29267</v>
      </c>
      <c r="E24" s="246">
        <f>'Gas-2'!G25</f>
        <v>495</v>
      </c>
      <c r="F24" s="253">
        <f t="shared" si="1"/>
        <v>495</v>
      </c>
      <c r="G24" s="254">
        <f>SUM(WATER!C25,WATER!H25,WATER!M25,WATER!R25)</f>
        <v>930208</v>
      </c>
      <c r="H24" s="253">
        <f t="shared" si="2"/>
        <v>401</v>
      </c>
      <c r="I24" s="255"/>
      <c r="J24" s="255"/>
    </row>
    <row r="25" spans="1:10" ht="45" customHeight="1" x14ac:dyDescent="0.25">
      <c r="A25" s="252">
        <f t="shared" si="0"/>
        <v>44276</v>
      </c>
      <c r="B25" s="274"/>
      <c r="C25" s="246">
        <f>SUM('GENSET #1'!B31+'GENSET #2'!B31+'GENSET #3'!B31+'GENSET #4'!B31+'GENSET #5'!B31)</f>
        <v>0</v>
      </c>
      <c r="D25" s="253" t="str">
        <f t="shared" si="4"/>
        <v>0</v>
      </c>
      <c r="E25" s="246">
        <f>'Gas-2'!G26</f>
        <v>0</v>
      </c>
      <c r="F25" s="253" t="str">
        <f t="shared" si="1"/>
        <v>0</v>
      </c>
      <c r="G25" s="254">
        <f>SUM(WATER!C26,WATER!H26,WATER!M26,WATER!R26)</f>
        <v>930616</v>
      </c>
      <c r="H25" s="253">
        <f t="shared" si="2"/>
        <v>408</v>
      </c>
      <c r="I25" s="255"/>
      <c r="J25" s="255"/>
    </row>
    <row r="26" spans="1:10" ht="45" customHeight="1" x14ac:dyDescent="0.25">
      <c r="A26" s="252">
        <f t="shared" si="0"/>
        <v>44277</v>
      </c>
      <c r="B26" s="274"/>
      <c r="C26" s="246">
        <f>SUM('GENSET #1'!B32+'GENSET #2'!B32+'GENSET #3'!B32+'GENSET #4'!B32+'GENSET #5'!B32)</f>
        <v>0</v>
      </c>
      <c r="D26" s="253">
        <f t="shared" si="4"/>
        <v>0</v>
      </c>
      <c r="E26" s="246">
        <f>'Gas-2'!G27</f>
        <v>0</v>
      </c>
      <c r="F26" s="253">
        <f t="shared" si="1"/>
        <v>0</v>
      </c>
      <c r="G26" s="254">
        <f>SUM(WATER!C27,WATER!H27,WATER!M27,WATER!R27)</f>
        <v>0</v>
      </c>
      <c r="H26" s="253" t="str">
        <f t="shared" si="2"/>
        <v>0</v>
      </c>
      <c r="I26" s="255"/>
      <c r="J26" s="255"/>
    </row>
    <row r="27" spans="1:10" ht="45" customHeight="1" x14ac:dyDescent="0.25">
      <c r="A27" s="252">
        <f t="shared" si="0"/>
        <v>44278</v>
      </c>
      <c r="B27" s="274"/>
      <c r="C27" s="246">
        <f>SUM('GENSET #1'!B33+'GENSET #2'!B33+'GENSET #3'!B33+'GENSET #4'!B33+'GENSET #5'!B33)</f>
        <v>0</v>
      </c>
      <c r="D27" s="253">
        <f t="shared" si="4"/>
        <v>0</v>
      </c>
      <c r="E27" s="246">
        <f>'Gas-2'!G28</f>
        <v>0</v>
      </c>
      <c r="F27" s="253">
        <f t="shared" si="1"/>
        <v>0</v>
      </c>
      <c r="G27" s="254">
        <f>SUM(WATER!C28,WATER!H28,WATER!M28,WATER!R28)</f>
        <v>0</v>
      </c>
      <c r="H27" s="253">
        <f t="shared" si="2"/>
        <v>0</v>
      </c>
      <c r="I27" s="255"/>
      <c r="J27" s="255"/>
    </row>
    <row r="28" spans="1:10" ht="45" customHeight="1" x14ac:dyDescent="0.25">
      <c r="A28" s="252">
        <f t="shared" si="0"/>
        <v>44279</v>
      </c>
      <c r="B28" s="274"/>
      <c r="C28" s="246">
        <f>SUM('GENSET #1'!B34+'GENSET #2'!B34+'GENSET #3'!B34+'GENSET #4'!B34+'GENSET #5'!B34)</f>
        <v>0</v>
      </c>
      <c r="D28" s="253">
        <f t="shared" si="4"/>
        <v>0</v>
      </c>
      <c r="E28" s="246">
        <f>'Gas-2'!G29</f>
        <v>0</v>
      </c>
      <c r="F28" s="253">
        <f t="shared" si="1"/>
        <v>0</v>
      </c>
      <c r="G28" s="254">
        <f>SUM(WATER!C29,WATER!H29,WATER!M29,WATER!R29)</f>
        <v>0</v>
      </c>
      <c r="H28" s="253">
        <f t="shared" si="2"/>
        <v>0</v>
      </c>
      <c r="I28" s="255"/>
      <c r="J28" s="255"/>
    </row>
    <row r="29" spans="1:10" ht="45" customHeight="1" x14ac:dyDescent="0.25">
      <c r="A29" s="252">
        <f t="shared" si="0"/>
        <v>44280</v>
      </c>
      <c r="B29" s="274"/>
      <c r="C29" s="246">
        <f>SUM('GENSET #1'!B35+'GENSET #2'!B35+'GENSET #3'!B35+'GENSET #4'!B35+'GENSET #5'!B35)</f>
        <v>0</v>
      </c>
      <c r="D29" s="253">
        <f t="shared" si="4"/>
        <v>0</v>
      </c>
      <c r="E29" s="246">
        <f>'Gas-2'!G30</f>
        <v>0</v>
      </c>
      <c r="F29" s="253">
        <f t="shared" si="1"/>
        <v>0</v>
      </c>
      <c r="G29" s="254">
        <f>SUM(WATER!C30,WATER!H30,WATER!M30,WATER!R30)</f>
        <v>0</v>
      </c>
      <c r="H29" s="253">
        <f t="shared" si="2"/>
        <v>0</v>
      </c>
      <c r="I29" s="255"/>
      <c r="J29" s="255"/>
    </row>
    <row r="30" spans="1:10" ht="45" customHeight="1" x14ac:dyDescent="0.25">
      <c r="A30" s="252">
        <f t="shared" si="0"/>
        <v>44281</v>
      </c>
      <c r="B30" s="274"/>
      <c r="C30" s="246">
        <f>SUM('GENSET #1'!B36+'GENSET #2'!B36+'GENSET #3'!B36+'GENSET #4'!B36+'GENSET #5'!B36)</f>
        <v>0</v>
      </c>
      <c r="D30" s="253">
        <f t="shared" si="4"/>
        <v>0</v>
      </c>
      <c r="E30" s="246">
        <f>'Gas-2'!G31</f>
        <v>0</v>
      </c>
      <c r="F30" s="253">
        <f t="shared" si="1"/>
        <v>0</v>
      </c>
      <c r="G30" s="254">
        <f>SUM(WATER!C31,WATER!H31,WATER!M31,WATER!R31)</f>
        <v>0</v>
      </c>
      <c r="H30" s="253">
        <f t="shared" si="2"/>
        <v>0</v>
      </c>
      <c r="I30" s="255"/>
      <c r="J30" s="255"/>
    </row>
    <row r="31" spans="1:10" ht="45" customHeight="1" x14ac:dyDescent="0.25">
      <c r="A31" s="252">
        <f t="shared" si="0"/>
        <v>44282</v>
      </c>
      <c r="B31" s="274"/>
      <c r="C31" s="246">
        <f>SUM('GENSET #1'!B37+'GENSET #2'!B37+'GENSET #3'!B37+'GENSET #4'!B37+'GENSET #5'!B37)</f>
        <v>0</v>
      </c>
      <c r="D31" s="253">
        <f t="shared" si="4"/>
        <v>0</v>
      </c>
      <c r="E31" s="246">
        <f>'Gas-2'!G32</f>
        <v>0</v>
      </c>
      <c r="F31" s="253">
        <f t="shared" si="1"/>
        <v>0</v>
      </c>
      <c r="G31" s="254">
        <f>SUM(WATER!C32,WATER!H32,WATER!M32,WATER!R32)</f>
        <v>0</v>
      </c>
      <c r="H31" s="253">
        <f t="shared" si="2"/>
        <v>0</v>
      </c>
      <c r="I31" s="255"/>
      <c r="J31" s="255"/>
    </row>
    <row r="32" spans="1:10" ht="45" customHeight="1" x14ac:dyDescent="0.25">
      <c r="A32" s="252">
        <f t="shared" si="0"/>
        <v>44283</v>
      </c>
      <c r="B32" s="274"/>
      <c r="C32" s="246">
        <f>SUM('GENSET #1'!B38+'GENSET #2'!B38+'GENSET #3'!B38+'GENSET #4'!B38+'GENSET #5'!B38)</f>
        <v>0</v>
      </c>
      <c r="D32" s="253">
        <f t="shared" si="4"/>
        <v>0</v>
      </c>
      <c r="E32" s="246">
        <f>'Gas-2'!G33</f>
        <v>0</v>
      </c>
      <c r="F32" s="253">
        <f t="shared" si="1"/>
        <v>0</v>
      </c>
      <c r="G32" s="254">
        <f>SUM(WATER!C33,WATER!H33,WATER!M33,WATER!R33)</f>
        <v>0</v>
      </c>
      <c r="H32" s="253">
        <f t="shared" si="2"/>
        <v>0</v>
      </c>
      <c r="I32" s="255"/>
      <c r="J32" s="255"/>
    </row>
    <row r="33" spans="1:10" ht="36" customHeight="1" x14ac:dyDescent="0.25">
      <c r="A33" s="252">
        <f t="shared" si="0"/>
        <v>44284</v>
      </c>
      <c r="C33" s="246">
        <f>SUM('GENSET #1'!B39+'GENSET #2'!B39+'GENSET #3'!B39+'GENSET #4'!B39+'GENSET #5'!B39)</f>
        <v>0</v>
      </c>
      <c r="D33" s="253">
        <f t="shared" si="4"/>
        <v>0</v>
      </c>
      <c r="E33" s="246">
        <f>'Gas-2'!G34</f>
        <v>0</v>
      </c>
      <c r="F33" s="253">
        <f t="shared" si="1"/>
        <v>0</v>
      </c>
      <c r="G33" s="254">
        <f>SUM(WATER!C34,WATER!H34,WATER!M34,WATER!R34)</f>
        <v>0</v>
      </c>
      <c r="H33" s="253">
        <f t="shared" si="2"/>
        <v>0</v>
      </c>
      <c r="I33" s="255"/>
      <c r="J33" s="255"/>
    </row>
    <row r="34" spans="1:10" ht="45.6" customHeight="1" x14ac:dyDescent="0.25">
      <c r="A34" s="252">
        <f t="shared" si="0"/>
        <v>44285</v>
      </c>
      <c r="C34" s="246">
        <f>SUM('GENSET #1'!B40+'GENSET #2'!B40+'GENSET #3'!B40+'GENSET #4'!B40+'GENSET #5'!B40)</f>
        <v>0</v>
      </c>
      <c r="D34" s="253">
        <f t="shared" si="4"/>
        <v>0</v>
      </c>
      <c r="E34" s="246">
        <f>'Gas-2'!G35</f>
        <v>0</v>
      </c>
      <c r="F34" s="253">
        <f t="shared" si="1"/>
        <v>0</v>
      </c>
      <c r="G34" s="254">
        <f>SUM(WATER!C35,WATER!H35,WATER!M35,WATER!R35)</f>
        <v>0</v>
      </c>
      <c r="H34" s="253">
        <f t="shared" si="2"/>
        <v>0</v>
      </c>
      <c r="I34" s="255"/>
      <c r="J34" s="255"/>
    </row>
    <row r="35" spans="1:10" ht="47.45" customHeight="1" x14ac:dyDescent="0.25">
      <c r="A35" s="252">
        <f>A34+1</f>
        <v>44286</v>
      </c>
      <c r="C35" s="246">
        <f>SUM('GENSET #1'!B41+'GENSET #2'!B41+'GENSET #3'!B41+'GENSET #4'!B41+'GENSET #5'!B41)</f>
        <v>0</v>
      </c>
      <c r="D35" s="253">
        <f t="shared" si="4"/>
        <v>0</v>
      </c>
      <c r="E35" s="246">
        <f>'Gas-2'!G36</f>
        <v>0</v>
      </c>
      <c r="F35" s="253">
        <f t="shared" si="1"/>
        <v>0</v>
      </c>
      <c r="G35" s="254">
        <f>SUM(WATER!C36,WATER!H36,WATER!M36,WATER!R36)</f>
        <v>0</v>
      </c>
      <c r="H35" s="253">
        <f t="shared" si="2"/>
        <v>0</v>
      </c>
      <c r="I35" s="255"/>
      <c r="J35" s="255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topLeftCell="A13" zoomScaleNormal="100" workbookViewId="0">
      <selection activeCell="F20" sqref="F20"/>
    </sheetView>
  </sheetViews>
  <sheetFormatPr defaultRowHeight="12.75" x14ac:dyDescent="0.2"/>
  <cols>
    <col min="1" max="1" width="9.5703125" style="147" customWidth="1"/>
    <col min="2" max="2" width="15.5703125" style="18" customWidth="1"/>
    <col min="3" max="3" width="13" style="18" customWidth="1"/>
    <col min="4" max="4" width="18.5703125" style="156" customWidth="1"/>
    <col min="5" max="5" width="14.5703125" style="19" customWidth="1"/>
    <col min="6" max="6" width="18.85546875" customWidth="1"/>
  </cols>
  <sheetData>
    <row r="1" spans="1:7" x14ac:dyDescent="0.2">
      <c r="A1" s="282" t="s">
        <v>0</v>
      </c>
      <c r="B1" s="282"/>
      <c r="C1" s="282"/>
      <c r="D1" s="282"/>
      <c r="E1" s="282"/>
      <c r="F1" s="282"/>
    </row>
    <row r="2" spans="1:7" x14ac:dyDescent="0.2">
      <c r="A2" s="5"/>
      <c r="E2" s="159"/>
    </row>
    <row r="3" spans="1:7" x14ac:dyDescent="0.2">
      <c r="A3" s="5" t="s">
        <v>1</v>
      </c>
      <c r="B3" s="89" t="s">
        <v>2</v>
      </c>
      <c r="C3" s="89"/>
      <c r="D3" s="157"/>
      <c r="E3" s="159"/>
    </row>
    <row r="4" spans="1:7" x14ac:dyDescent="0.2">
      <c r="A4" s="5" t="s">
        <v>3</v>
      </c>
      <c r="B4" s="93" t="s">
        <v>140</v>
      </c>
      <c r="C4" s="93"/>
      <c r="D4" s="154"/>
      <c r="E4" s="159"/>
    </row>
    <row r="5" spans="1:7" x14ac:dyDescent="0.2">
      <c r="A5" s="5" t="s">
        <v>4</v>
      </c>
      <c r="B5" s="148">
        <v>2021</v>
      </c>
      <c r="C5" s="148"/>
      <c r="D5" s="154"/>
      <c r="E5" s="159"/>
    </row>
    <row r="6" spans="1:7" x14ac:dyDescent="0.2">
      <c r="E6" s="281"/>
      <c r="F6" s="281"/>
    </row>
    <row r="7" spans="1:7" ht="38.25" x14ac:dyDescent="0.2">
      <c r="A7" s="149" t="s">
        <v>5</v>
      </c>
      <c r="B7" s="150" t="s">
        <v>100</v>
      </c>
      <c r="C7" s="150" t="s">
        <v>101</v>
      </c>
      <c r="D7" s="151" t="s">
        <v>102</v>
      </c>
      <c r="E7" s="152" t="s">
        <v>99</v>
      </c>
      <c r="F7" s="150" t="s">
        <v>6</v>
      </c>
    </row>
    <row r="8" spans="1:7" ht="15.75" customHeight="1" x14ac:dyDescent="0.2">
      <c r="A8" s="62">
        <v>1</v>
      </c>
      <c r="B8" s="134">
        <f>SUM('GENSET #1:GENSET #5'!D10)</f>
        <v>30462</v>
      </c>
      <c r="C8" s="134">
        <f>'Diesel consumption'!D5</f>
        <v>8470</v>
      </c>
      <c r="D8" s="158">
        <f>'SOLAR METER READING'!D9</f>
        <v>3074</v>
      </c>
      <c r="E8" s="155">
        <f>'Gas-2'!G6</f>
        <v>270</v>
      </c>
      <c r="F8" s="134">
        <f>WATER!V6</f>
        <v>418</v>
      </c>
      <c r="G8" s="8"/>
    </row>
    <row r="9" spans="1:7" ht="15.75" customHeight="1" x14ac:dyDescent="0.2">
      <c r="A9" s="62">
        <v>2</v>
      </c>
      <c r="B9" s="134">
        <f>SUM('GENSET #1:GENSET #5'!D11)</f>
        <v>31274</v>
      </c>
      <c r="C9" s="134">
        <f>'Diesel consumption'!D6</f>
        <v>8650</v>
      </c>
      <c r="D9" s="158">
        <f>'SOLAR METER READING'!D10</f>
        <v>3257</v>
      </c>
      <c r="E9" s="155">
        <f>'Gas-2'!G7</f>
        <v>360</v>
      </c>
      <c r="F9" s="134">
        <f>WATER!V7</f>
        <v>386</v>
      </c>
      <c r="G9" s="8"/>
    </row>
    <row r="10" spans="1:7" ht="15.75" customHeight="1" x14ac:dyDescent="0.2">
      <c r="A10" s="62">
        <v>3</v>
      </c>
      <c r="B10" s="134">
        <f>SUM('GENSET #1:GENSET #5'!D12)</f>
        <v>30266</v>
      </c>
      <c r="C10" s="134">
        <f>'Diesel consumption'!D7</f>
        <v>8340</v>
      </c>
      <c r="D10" s="158">
        <f>'SOLAR METER READING'!D11</f>
        <v>3651</v>
      </c>
      <c r="E10" s="155">
        <f>'Gas-2'!G8</f>
        <v>135</v>
      </c>
      <c r="F10" s="134">
        <f>WATER!V8</f>
        <v>452</v>
      </c>
      <c r="G10" s="8"/>
    </row>
    <row r="11" spans="1:7" ht="15.75" customHeight="1" x14ac:dyDescent="0.2">
      <c r="A11" s="62">
        <v>4</v>
      </c>
      <c r="B11" s="134">
        <f>SUM('GENSET #1:GENSET #5'!D13)</f>
        <v>29095</v>
      </c>
      <c r="C11" s="134">
        <f>'Diesel consumption'!D8</f>
        <v>8260</v>
      </c>
      <c r="D11" s="158">
        <f>'SOLAR METER READING'!D12</f>
        <v>2690</v>
      </c>
      <c r="E11" s="155">
        <f>'Gas-2'!G9</f>
        <v>315</v>
      </c>
      <c r="F11" s="134">
        <f>WATER!V9</f>
        <v>435</v>
      </c>
      <c r="G11" s="8"/>
    </row>
    <row r="12" spans="1:7" ht="15.75" customHeight="1" x14ac:dyDescent="0.2">
      <c r="A12" s="62">
        <v>5</v>
      </c>
      <c r="B12" s="134">
        <f>SUM('GENSET #1:GENSET #5'!D14)</f>
        <v>30371</v>
      </c>
      <c r="C12" s="134">
        <f>'Diesel consumption'!D9</f>
        <v>8550</v>
      </c>
      <c r="D12" s="158">
        <f>'SOLAR METER READING'!D13</f>
        <v>3273</v>
      </c>
      <c r="E12" s="155">
        <f>'Gas-2'!G10</f>
        <v>45</v>
      </c>
      <c r="F12" s="134">
        <f>WATER!V10</f>
        <v>444</v>
      </c>
      <c r="G12" s="8"/>
    </row>
    <row r="13" spans="1:7" ht="15.75" customHeight="1" x14ac:dyDescent="0.2">
      <c r="A13" s="62">
        <v>6</v>
      </c>
      <c r="B13" s="134">
        <f>SUM('GENSET #1:GENSET #5'!D15)</f>
        <v>31077</v>
      </c>
      <c r="C13" s="134">
        <f>'Diesel consumption'!D10</f>
        <v>8670</v>
      </c>
      <c r="D13" s="158">
        <f>'SOLAR METER READING'!D14</f>
        <v>3257</v>
      </c>
      <c r="E13" s="155">
        <f>'Gas-2'!G11</f>
        <v>315</v>
      </c>
      <c r="F13" s="134">
        <f>WATER!V11</f>
        <v>477</v>
      </c>
      <c r="G13" s="8"/>
    </row>
    <row r="14" spans="1:7" ht="15.75" customHeight="1" x14ac:dyDescent="0.2">
      <c r="A14" s="62">
        <v>7</v>
      </c>
      <c r="B14" s="134">
        <f>SUM('GENSET #1:GENSET #5'!D16)</f>
        <v>30879</v>
      </c>
      <c r="C14" s="134">
        <f>'Diesel consumption'!D11</f>
        <v>8570</v>
      </c>
      <c r="D14" s="158">
        <f>'SOLAR METER READING'!D15</f>
        <v>3200</v>
      </c>
      <c r="E14" s="155">
        <f>'Gas-2'!G12</f>
        <v>0</v>
      </c>
      <c r="F14" s="134">
        <f>WATER!V12</f>
        <v>411</v>
      </c>
      <c r="G14" s="8"/>
    </row>
    <row r="15" spans="1:7" ht="15.75" customHeight="1" x14ac:dyDescent="0.2">
      <c r="A15" s="62">
        <v>8</v>
      </c>
      <c r="B15" s="134">
        <f>SUM('GENSET #1:GENSET #5'!D17)</f>
        <v>30415</v>
      </c>
      <c r="C15" s="134">
        <f>'Diesel consumption'!D12</f>
        <v>8480</v>
      </c>
      <c r="D15" s="158">
        <f>'SOLAR METER READING'!D16</f>
        <v>3134</v>
      </c>
      <c r="E15" s="155">
        <f>'Gas-2'!G13</f>
        <v>540</v>
      </c>
      <c r="F15" s="134">
        <f>WATER!V13</f>
        <v>423</v>
      </c>
      <c r="G15" s="8"/>
    </row>
    <row r="16" spans="1:7" ht="15.75" customHeight="1" x14ac:dyDescent="0.2">
      <c r="A16" s="62">
        <v>9</v>
      </c>
      <c r="B16" s="134">
        <f>SUM('GENSET #1:GENSET #5'!D18)</f>
        <v>31010</v>
      </c>
      <c r="C16" s="134">
        <f>'Diesel consumption'!D13</f>
        <v>8620</v>
      </c>
      <c r="D16" s="158">
        <f>'SOLAR METER READING'!D17</f>
        <v>1708</v>
      </c>
      <c r="E16" s="155">
        <f>'Gas-2'!G14</f>
        <v>0</v>
      </c>
      <c r="F16" s="134">
        <f>WATER!V14</f>
        <v>410</v>
      </c>
      <c r="G16" s="8"/>
    </row>
    <row r="17" spans="1:7" ht="15.75" customHeight="1" x14ac:dyDescent="0.2">
      <c r="A17" s="62">
        <v>10</v>
      </c>
      <c r="B17" s="134">
        <f>SUM('GENSET #1:GENSET #5'!D19)</f>
        <v>28059</v>
      </c>
      <c r="C17" s="134">
        <f>'Diesel consumption'!D14</f>
        <v>8020</v>
      </c>
      <c r="D17" s="158">
        <f>'SOLAR METER READING'!D18</f>
        <v>1299</v>
      </c>
      <c r="E17" s="155">
        <f>'Gas-2'!G15</f>
        <v>360</v>
      </c>
      <c r="F17" s="134">
        <f>WATER!V15</f>
        <v>415</v>
      </c>
      <c r="G17" s="8"/>
    </row>
    <row r="18" spans="1:7" ht="15.75" customHeight="1" x14ac:dyDescent="0.2">
      <c r="A18" s="62">
        <v>11</v>
      </c>
      <c r="B18" s="134">
        <f>SUM('GENSET #1:GENSET #5'!D20)</f>
        <v>24815</v>
      </c>
      <c r="C18" s="134">
        <f>'Diesel consumption'!D15</f>
        <v>6800</v>
      </c>
      <c r="D18" s="158">
        <f>'SOLAR METER READING'!D19</f>
        <v>2321</v>
      </c>
      <c r="E18" s="155">
        <f>'Gas-2'!G16</f>
        <v>0</v>
      </c>
      <c r="F18" s="134">
        <f>WATER!V16</f>
        <v>396</v>
      </c>
      <c r="G18" s="8"/>
    </row>
    <row r="19" spans="1:7" ht="15.75" customHeight="1" x14ac:dyDescent="0.2">
      <c r="A19" s="62">
        <v>12</v>
      </c>
      <c r="B19" s="134">
        <f>SUM('GENSET #1:GENSET #5'!D21)</f>
        <v>26393</v>
      </c>
      <c r="C19" s="134">
        <f>'Diesel consumption'!D16</f>
        <v>7410</v>
      </c>
      <c r="D19" s="158">
        <f>'SOLAR METER READING'!D20</f>
        <v>2438</v>
      </c>
      <c r="E19" s="155">
        <f>'Gas-2'!G17</f>
        <v>180</v>
      </c>
      <c r="F19" s="134">
        <f>WATER!V17</f>
        <v>341</v>
      </c>
      <c r="G19" s="8"/>
    </row>
    <row r="20" spans="1:7" ht="15.75" customHeight="1" x14ac:dyDescent="0.2">
      <c r="A20" s="62">
        <v>13</v>
      </c>
      <c r="B20" s="134">
        <f>SUM('GENSET #1:GENSET #5'!D22)</f>
        <v>27554</v>
      </c>
      <c r="C20" s="134">
        <f>'Diesel consumption'!D17</f>
        <v>7770</v>
      </c>
      <c r="D20" s="158">
        <f>'SOLAR METER READING'!D21</f>
        <v>3214</v>
      </c>
      <c r="E20" s="155">
        <f>'Gas-2'!G18</f>
        <v>135</v>
      </c>
      <c r="F20" s="134">
        <f>WATER!V18</f>
        <v>345</v>
      </c>
      <c r="G20" s="8"/>
    </row>
    <row r="21" spans="1:7" ht="15.75" customHeight="1" x14ac:dyDescent="0.2">
      <c r="A21" s="62">
        <v>14</v>
      </c>
      <c r="B21" s="134">
        <f>SUM('GENSET #1:GENSET #5'!D23)</f>
        <v>29353</v>
      </c>
      <c r="C21" s="134">
        <f>'Diesel consumption'!D18</f>
        <v>8210</v>
      </c>
      <c r="D21" s="158">
        <f>'SOLAR METER READING'!D22</f>
        <v>2994</v>
      </c>
      <c r="E21" s="155">
        <f>'Gas-2'!G19</f>
        <v>225</v>
      </c>
      <c r="F21" s="134">
        <f>WATER!V19</f>
        <v>398</v>
      </c>
      <c r="G21" s="8"/>
    </row>
    <row r="22" spans="1:7" ht="15.75" customHeight="1" x14ac:dyDescent="0.2">
      <c r="A22" s="62">
        <v>15</v>
      </c>
      <c r="B22" s="134">
        <f>SUM('GENSET #1:GENSET #5'!D24)</f>
        <v>29352</v>
      </c>
      <c r="C22" s="134">
        <f>'Diesel consumption'!D19</f>
        <v>7940</v>
      </c>
      <c r="D22" s="158">
        <f>'SOLAR METER READING'!D23</f>
        <v>3100</v>
      </c>
      <c r="E22" s="155">
        <f>'Gas-2'!G20</f>
        <v>225</v>
      </c>
      <c r="F22" s="134">
        <f>WATER!V20</f>
        <v>455</v>
      </c>
      <c r="G22" s="8"/>
    </row>
    <row r="23" spans="1:7" ht="15.75" customHeight="1" x14ac:dyDescent="0.2">
      <c r="A23" s="62">
        <v>16</v>
      </c>
      <c r="B23" s="134">
        <f>SUM('GENSET #1:GENSET #5'!D25)</f>
        <v>28168</v>
      </c>
      <c r="C23" s="134">
        <f>'Diesel consumption'!D20</f>
        <v>7990</v>
      </c>
      <c r="D23" s="158">
        <f>'SOLAR METER READING'!D24</f>
        <v>3334</v>
      </c>
      <c r="E23" s="155">
        <f>'Gas-2'!G21</f>
        <v>315</v>
      </c>
      <c r="F23" s="134">
        <f>WATER!V21</f>
        <v>420</v>
      </c>
      <c r="G23" s="8"/>
    </row>
    <row r="24" spans="1:7" ht="15.75" customHeight="1" x14ac:dyDescent="0.2">
      <c r="A24" s="62">
        <v>17</v>
      </c>
      <c r="B24" s="134">
        <f>SUM('GENSET #1:GENSET #5'!D26)</f>
        <v>28362</v>
      </c>
      <c r="C24" s="134">
        <f>'Diesel consumption'!D21</f>
        <v>7860</v>
      </c>
      <c r="D24" s="158">
        <f>'SOLAR METER READING'!D25</f>
        <v>3038</v>
      </c>
      <c r="E24" s="155">
        <f>'Gas-2'!G22</f>
        <v>0</v>
      </c>
      <c r="F24" s="134">
        <f>WATER!V22</f>
        <v>454</v>
      </c>
      <c r="G24" s="8"/>
    </row>
    <row r="25" spans="1:7" ht="15.75" customHeight="1" x14ac:dyDescent="0.2">
      <c r="A25" s="62">
        <v>18</v>
      </c>
      <c r="B25" s="134">
        <f>SUM('GENSET #1:GENSET #5'!D27)</f>
        <v>28781</v>
      </c>
      <c r="C25" s="134">
        <f>'Diesel consumption'!D22</f>
        <v>7840</v>
      </c>
      <c r="D25" s="158">
        <f>'SOLAR METER READING'!D26</f>
        <v>3112</v>
      </c>
      <c r="E25" s="155">
        <f>'Gas-2'!G23</f>
        <v>360</v>
      </c>
      <c r="F25" s="134">
        <f>WATER!V23</f>
        <v>416</v>
      </c>
      <c r="G25" s="8"/>
    </row>
    <row r="26" spans="1:7" ht="15.75" customHeight="1" x14ac:dyDescent="0.2">
      <c r="A26" s="62">
        <v>19</v>
      </c>
      <c r="B26" s="134">
        <f>SUM('GENSET #1:GENSET #5'!D28)</f>
        <v>29287</v>
      </c>
      <c r="C26" s="134">
        <f>'Diesel consumption'!D23</f>
        <v>7910</v>
      </c>
      <c r="D26" s="158">
        <f>'SOLAR METER READING'!D27</f>
        <v>3205</v>
      </c>
      <c r="E26" s="155">
        <f>'Gas-2'!G24</f>
        <v>0</v>
      </c>
      <c r="F26" s="134">
        <f>WATER!V24</f>
        <v>392</v>
      </c>
      <c r="G26" s="8"/>
    </row>
    <row r="27" spans="1:7" ht="15.75" customHeight="1" x14ac:dyDescent="0.2">
      <c r="A27" s="62">
        <v>20</v>
      </c>
      <c r="B27" s="134">
        <f>SUM('GENSET #1:GENSET #5'!D29)</f>
        <v>29267</v>
      </c>
      <c r="C27" s="134">
        <f>'Diesel consumption'!D24</f>
        <v>8100</v>
      </c>
      <c r="D27" s="158">
        <f>'SOLAR METER READING'!D28</f>
        <v>3164</v>
      </c>
      <c r="E27" s="155">
        <f>'Gas-2'!G25</f>
        <v>495</v>
      </c>
      <c r="F27" s="134">
        <f>WATER!V25</f>
        <v>401</v>
      </c>
      <c r="G27" s="8"/>
    </row>
    <row r="28" spans="1:7" ht="15.75" customHeight="1" x14ac:dyDescent="0.2">
      <c r="A28" s="62">
        <v>21</v>
      </c>
      <c r="B28" s="134">
        <f>SUM('GENSET #1:GENSET #5'!D30)</f>
        <v>-88331778</v>
      </c>
      <c r="C28" s="134">
        <f>'Diesel consumption'!D25</f>
        <v>-43505680</v>
      </c>
      <c r="D28" s="158">
        <f>'SOLAR METER READING'!D29</f>
        <v>-2471364</v>
      </c>
      <c r="E28" s="155">
        <f>'Gas-2'!G26</f>
        <v>0</v>
      </c>
      <c r="F28" s="134">
        <f>WATER!V26</f>
        <v>408</v>
      </c>
      <c r="G28" s="8"/>
    </row>
    <row r="29" spans="1:7" ht="15.75" customHeight="1" x14ac:dyDescent="0.2">
      <c r="A29" s="62">
        <v>22</v>
      </c>
      <c r="B29" s="134">
        <f>SUM('GENSET #1:GENSET #5'!D31)</f>
        <v>0</v>
      </c>
      <c r="C29" s="134">
        <f>'Diesel consumption'!D26</f>
        <v>0</v>
      </c>
      <c r="D29" s="158">
        <f>'SOLAR METER READING'!D30</f>
        <v>0</v>
      </c>
      <c r="E29" s="155">
        <f>'Gas-2'!G27</f>
        <v>0</v>
      </c>
      <c r="F29" s="134">
        <f>WATER!V27</f>
        <v>-930616</v>
      </c>
      <c r="G29" s="8"/>
    </row>
    <row r="30" spans="1:7" ht="15.75" customHeight="1" x14ac:dyDescent="0.2">
      <c r="A30" s="62">
        <v>23</v>
      </c>
      <c r="B30" s="134">
        <f>SUM('GENSET #1:GENSET #5'!D32)</f>
        <v>0</v>
      </c>
      <c r="C30" s="134">
        <f>'Diesel consumption'!D27</f>
        <v>0</v>
      </c>
      <c r="D30" s="158">
        <f>'SOLAR METER READING'!D31</f>
        <v>0</v>
      </c>
      <c r="E30" s="155">
        <f>'Gas-2'!G28</f>
        <v>0</v>
      </c>
      <c r="F30" s="134">
        <f>WATER!V28</f>
        <v>0</v>
      </c>
      <c r="G30" s="8"/>
    </row>
    <row r="31" spans="1:7" ht="15.75" customHeight="1" x14ac:dyDescent="0.2">
      <c r="A31" s="62">
        <v>24</v>
      </c>
      <c r="B31" s="134">
        <f>SUM('GENSET #1:GENSET #5'!D33)</f>
        <v>0</v>
      </c>
      <c r="C31" s="134">
        <f>'Diesel consumption'!D28</f>
        <v>0</v>
      </c>
      <c r="D31" s="158">
        <f>'SOLAR METER READING'!D32</f>
        <v>0</v>
      </c>
      <c r="E31" s="155">
        <f>'Gas-2'!G29</f>
        <v>0</v>
      </c>
      <c r="F31" s="134">
        <f>WATER!V29</f>
        <v>0</v>
      </c>
      <c r="G31" s="8"/>
    </row>
    <row r="32" spans="1:7" ht="15.75" customHeight="1" x14ac:dyDescent="0.2">
      <c r="A32" s="62">
        <v>25</v>
      </c>
      <c r="B32" s="134">
        <f>SUM('GENSET #1:GENSET #5'!D34)</f>
        <v>0</v>
      </c>
      <c r="C32" s="134">
        <f>'Diesel consumption'!D29</f>
        <v>0</v>
      </c>
      <c r="D32" s="158">
        <f>'SOLAR METER READING'!D33</f>
        <v>0</v>
      </c>
      <c r="E32" s="155">
        <f>'Gas-2'!G30</f>
        <v>0</v>
      </c>
      <c r="F32" s="134">
        <f>WATER!V30</f>
        <v>0</v>
      </c>
      <c r="G32" s="8"/>
    </row>
    <row r="33" spans="1:11" ht="15.75" customHeight="1" x14ac:dyDescent="0.2">
      <c r="A33" s="62">
        <v>26</v>
      </c>
      <c r="B33" s="161">
        <f>SUM('GENSET #1:GENSET #5'!D35)</f>
        <v>0</v>
      </c>
      <c r="C33" s="134">
        <f>'Diesel consumption'!D30</f>
        <v>0</v>
      </c>
      <c r="D33" s="158">
        <f>'SOLAR METER READING'!D34</f>
        <v>0</v>
      </c>
      <c r="E33" s="155">
        <f>'Gas-2'!G31</f>
        <v>0</v>
      </c>
      <c r="F33" s="134">
        <f>WATER!V31</f>
        <v>0</v>
      </c>
      <c r="G33" s="8"/>
    </row>
    <row r="34" spans="1:11" ht="15.75" customHeight="1" x14ac:dyDescent="0.2">
      <c r="A34" s="62">
        <v>27</v>
      </c>
      <c r="B34" s="134">
        <f>SUM('GENSET #1:GENSET #5'!D36)</f>
        <v>0</v>
      </c>
      <c r="C34" s="134">
        <f>'Diesel consumption'!D31</f>
        <v>0</v>
      </c>
      <c r="D34" s="158">
        <f>'SOLAR METER READING'!D35</f>
        <v>0</v>
      </c>
      <c r="E34" s="155">
        <f>'Gas-2'!G32</f>
        <v>0</v>
      </c>
      <c r="F34" s="134">
        <f>WATER!V32</f>
        <v>0</v>
      </c>
      <c r="G34" s="8"/>
    </row>
    <row r="35" spans="1:11" ht="15.75" customHeight="1" x14ac:dyDescent="0.2">
      <c r="A35" s="62">
        <v>28</v>
      </c>
      <c r="B35" s="134">
        <f>SUM('GENSET #1:GENSET #5'!D37)</f>
        <v>0</v>
      </c>
      <c r="C35" s="134">
        <f>'Diesel consumption'!D32</f>
        <v>0</v>
      </c>
      <c r="D35" s="158">
        <f>'SOLAR METER READING'!D36</f>
        <v>0</v>
      </c>
      <c r="E35" s="155">
        <f>'Gas-2'!G33</f>
        <v>0</v>
      </c>
      <c r="F35" s="134">
        <f>WATER!V33</f>
        <v>0</v>
      </c>
      <c r="G35" s="8"/>
    </row>
    <row r="36" spans="1:11" ht="15.75" customHeight="1" x14ac:dyDescent="0.2">
      <c r="A36" s="62">
        <v>29</v>
      </c>
      <c r="B36" s="134">
        <f>SUM('GENSET #1:GENSET #5'!D38)</f>
        <v>0</v>
      </c>
      <c r="C36" s="134">
        <f>'Diesel consumption'!D33</f>
        <v>0</v>
      </c>
      <c r="D36" s="158">
        <f>'SOLAR METER READING'!D37</f>
        <v>0</v>
      </c>
      <c r="E36" s="155">
        <f>'Gas-2'!G34</f>
        <v>0</v>
      </c>
      <c r="F36" s="134">
        <f>WATER!V34</f>
        <v>0</v>
      </c>
      <c r="G36" s="8"/>
    </row>
    <row r="37" spans="1:11" ht="15.75" customHeight="1" x14ac:dyDescent="0.2">
      <c r="A37" s="62">
        <v>30</v>
      </c>
      <c r="B37" s="134">
        <f>SUM('GENSET #1:GENSET #5'!D39)</f>
        <v>0</v>
      </c>
      <c r="C37" s="134">
        <f>'Diesel consumption'!D34</f>
        <v>0</v>
      </c>
      <c r="D37" s="158">
        <f>'SOLAR METER READING'!D38</f>
        <v>0</v>
      </c>
      <c r="E37" s="155">
        <f>'Gas-2'!G35</f>
        <v>0</v>
      </c>
      <c r="F37" s="134">
        <f>WATER!V35</f>
        <v>0</v>
      </c>
      <c r="G37" s="8"/>
    </row>
    <row r="38" spans="1:11" ht="15.75" customHeight="1" x14ac:dyDescent="0.2">
      <c r="A38" s="62">
        <v>31</v>
      </c>
      <c r="B38" s="134">
        <f>SUM('GENSET #1:GENSET #5'!D40)</f>
        <v>0</v>
      </c>
      <c r="C38" s="134">
        <f>'Diesel consumption'!D35</f>
        <v>0</v>
      </c>
      <c r="D38" s="158">
        <f>'SOLAR METER READING'!D39</f>
        <v>0</v>
      </c>
      <c r="E38" s="155">
        <f>'Gas-2'!G36</f>
        <v>0</v>
      </c>
      <c r="F38" s="134">
        <f>WATER!V36</f>
        <v>0</v>
      </c>
      <c r="G38" s="8"/>
    </row>
    <row r="39" spans="1:11" ht="18.75" customHeight="1" thickBot="1" x14ac:dyDescent="0.25">
      <c r="A39" s="147" t="s">
        <v>7</v>
      </c>
      <c r="B39" s="153">
        <f>SUM(B8:B38)</f>
        <v>-87747538</v>
      </c>
      <c r="C39" s="153">
        <f>SUM(C8:C38)</f>
        <v>-43343220</v>
      </c>
      <c r="D39" s="153">
        <f>SUM(D8:D38)</f>
        <v>-2412901</v>
      </c>
      <c r="E39" s="160">
        <f>SUM(E8:E38)</f>
        <v>4275</v>
      </c>
      <c r="F39" s="9">
        <f>SUM(F8:F38)</f>
        <v>-921919</v>
      </c>
      <c r="K39" s="130"/>
    </row>
    <row r="40" spans="1:11" ht="13.5" thickTop="1" x14ac:dyDescent="0.2">
      <c r="E40" s="69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10" zoomScaleNormal="100" workbookViewId="0">
      <selection activeCell="C29" sqref="C29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283" t="s">
        <v>16</v>
      </c>
      <c r="D1" s="283"/>
    </row>
    <row r="2" spans="1:6" x14ac:dyDescent="0.2">
      <c r="C2" s="283"/>
      <c r="D2" s="283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86">
        <v>44256</v>
      </c>
      <c r="B6" s="86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284" t="s">
        <v>18</v>
      </c>
      <c r="C8" s="285"/>
      <c r="D8" s="65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84">
        <f>'[1]GENSET #1'!$C$37</f>
        <v>17010072</v>
      </c>
      <c r="C10" s="84">
        <v>17013059</v>
      </c>
      <c r="D10" s="6">
        <f>C10-B10</f>
        <v>2987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17013059</v>
      </c>
      <c r="C11" s="84">
        <v>17016763</v>
      </c>
      <c r="D11" s="6">
        <f t="shared" ref="D11:D37" si="1">C11-B11</f>
        <v>3704</v>
      </c>
      <c r="E11" s="34"/>
      <c r="F11" s="34"/>
    </row>
    <row r="12" spans="1:6" ht="13.5" customHeight="1" x14ac:dyDescent="0.2">
      <c r="A12" s="30">
        <v>3</v>
      </c>
      <c r="B12" s="33">
        <f t="shared" si="0"/>
        <v>17016763</v>
      </c>
      <c r="C12" s="84">
        <v>17020624</v>
      </c>
      <c r="D12" s="6">
        <f t="shared" si="1"/>
        <v>3861</v>
      </c>
      <c r="E12" s="34"/>
      <c r="F12" s="34"/>
    </row>
    <row r="13" spans="1:6" ht="13.5" customHeight="1" x14ac:dyDescent="0.2">
      <c r="A13" s="30">
        <v>4</v>
      </c>
      <c r="B13" s="33">
        <f t="shared" si="0"/>
        <v>17020624</v>
      </c>
      <c r="C13" s="84">
        <v>17030624</v>
      </c>
      <c r="D13" s="6">
        <f t="shared" si="1"/>
        <v>10000</v>
      </c>
      <c r="E13" s="34"/>
      <c r="F13" s="34"/>
    </row>
    <row r="14" spans="1:6" ht="13.5" customHeight="1" x14ac:dyDescent="0.2">
      <c r="A14" s="30">
        <v>5</v>
      </c>
      <c r="B14" s="33">
        <f t="shared" si="0"/>
        <v>17030624</v>
      </c>
      <c r="C14" s="84">
        <v>17034720</v>
      </c>
      <c r="D14" s="6">
        <f t="shared" si="1"/>
        <v>4096</v>
      </c>
      <c r="E14" s="34"/>
      <c r="F14" s="34"/>
    </row>
    <row r="15" spans="1:6" ht="13.5" customHeight="1" x14ac:dyDescent="0.2">
      <c r="A15" s="30">
        <v>6</v>
      </c>
      <c r="B15" s="33">
        <f t="shared" si="0"/>
        <v>17034720</v>
      </c>
      <c r="C15" s="84">
        <v>17038544</v>
      </c>
      <c r="D15" s="6">
        <f>C15-B15</f>
        <v>3824</v>
      </c>
      <c r="E15" s="34"/>
      <c r="F15" s="34"/>
    </row>
    <row r="16" spans="1:6" ht="13.5" customHeight="1" x14ac:dyDescent="0.2">
      <c r="A16" s="30">
        <v>7</v>
      </c>
      <c r="B16" s="33">
        <f t="shared" si="0"/>
        <v>17038544</v>
      </c>
      <c r="C16" s="84">
        <v>17043950</v>
      </c>
      <c r="D16" s="6">
        <f t="shared" si="1"/>
        <v>5406</v>
      </c>
      <c r="E16" s="34"/>
      <c r="F16" s="34"/>
    </row>
    <row r="17" spans="1:6" ht="13.5" customHeight="1" x14ac:dyDescent="0.2">
      <c r="A17" s="30">
        <v>8</v>
      </c>
      <c r="B17" s="33">
        <f t="shared" si="0"/>
        <v>17043950</v>
      </c>
      <c r="C17" s="84">
        <v>17055320</v>
      </c>
      <c r="D17" s="6">
        <f t="shared" si="1"/>
        <v>11370</v>
      </c>
      <c r="E17" s="34"/>
      <c r="F17" s="34"/>
    </row>
    <row r="18" spans="1:6" ht="13.5" customHeight="1" x14ac:dyDescent="0.2">
      <c r="A18" s="30">
        <v>9</v>
      </c>
      <c r="B18" s="33">
        <f t="shared" si="0"/>
        <v>17055320</v>
      </c>
      <c r="C18" s="84">
        <v>17056960</v>
      </c>
      <c r="D18" s="6">
        <f t="shared" si="1"/>
        <v>1640</v>
      </c>
      <c r="E18" s="34"/>
      <c r="F18" s="34"/>
    </row>
    <row r="19" spans="1:6" ht="13.5" customHeight="1" x14ac:dyDescent="0.2">
      <c r="A19" s="30">
        <v>10</v>
      </c>
      <c r="B19" s="33">
        <f t="shared" si="0"/>
        <v>17056960</v>
      </c>
      <c r="C19" s="84">
        <v>17065558</v>
      </c>
      <c r="D19" s="6">
        <f t="shared" si="1"/>
        <v>8598</v>
      </c>
      <c r="E19" s="34"/>
      <c r="F19" s="34"/>
    </row>
    <row r="20" spans="1:6" ht="13.5" customHeight="1" x14ac:dyDescent="0.2">
      <c r="A20" s="30">
        <v>11</v>
      </c>
      <c r="B20" s="33">
        <f t="shared" si="0"/>
        <v>17065558</v>
      </c>
      <c r="C20" s="84">
        <v>17076192</v>
      </c>
      <c r="D20" s="6">
        <f t="shared" si="1"/>
        <v>10634</v>
      </c>
      <c r="E20" s="34"/>
      <c r="F20" s="34"/>
    </row>
    <row r="21" spans="1:6" ht="13.5" customHeight="1" x14ac:dyDescent="0.2">
      <c r="A21" s="30">
        <v>12</v>
      </c>
      <c r="B21" s="33">
        <f t="shared" si="0"/>
        <v>17076192</v>
      </c>
      <c r="C21" s="84">
        <v>17082256</v>
      </c>
      <c r="D21" s="6">
        <f t="shared" si="1"/>
        <v>6064</v>
      </c>
      <c r="E21" s="34"/>
      <c r="F21" s="34"/>
    </row>
    <row r="22" spans="1:6" ht="13.5" customHeight="1" x14ac:dyDescent="0.2">
      <c r="A22" s="30">
        <v>13</v>
      </c>
      <c r="B22" s="33">
        <f t="shared" si="0"/>
        <v>17082256</v>
      </c>
      <c r="C22" s="84">
        <v>17082256</v>
      </c>
      <c r="D22" s="6">
        <f t="shared" si="1"/>
        <v>0</v>
      </c>
      <c r="E22" s="34"/>
      <c r="F22" s="34"/>
    </row>
    <row r="23" spans="1:6" ht="13.5" customHeight="1" x14ac:dyDescent="0.2">
      <c r="A23" s="30">
        <v>14</v>
      </c>
      <c r="B23" s="33">
        <f t="shared" si="0"/>
        <v>17082256</v>
      </c>
      <c r="C23" s="84">
        <v>17082256</v>
      </c>
      <c r="D23" s="6">
        <f t="shared" si="1"/>
        <v>0</v>
      </c>
      <c r="E23" s="34"/>
      <c r="F23" s="34"/>
    </row>
    <row r="24" spans="1:6" ht="13.5" customHeight="1" x14ac:dyDescent="0.2">
      <c r="A24" s="30">
        <v>15</v>
      </c>
      <c r="B24" s="33">
        <f t="shared" si="0"/>
        <v>17082256</v>
      </c>
      <c r="C24" s="84">
        <v>17082256</v>
      </c>
      <c r="D24" s="6">
        <f t="shared" si="1"/>
        <v>0</v>
      </c>
      <c r="E24" s="34"/>
      <c r="F24" s="34"/>
    </row>
    <row r="25" spans="1:6" ht="13.5" customHeight="1" x14ac:dyDescent="0.2">
      <c r="A25" s="30">
        <v>16</v>
      </c>
      <c r="B25" s="33">
        <f t="shared" si="0"/>
        <v>17082256</v>
      </c>
      <c r="C25" s="84">
        <v>17082256</v>
      </c>
      <c r="D25" s="6">
        <f t="shared" si="1"/>
        <v>0</v>
      </c>
      <c r="E25" s="34"/>
      <c r="F25" s="34"/>
    </row>
    <row r="26" spans="1:6" ht="13.5" customHeight="1" x14ac:dyDescent="0.2">
      <c r="A26" s="30">
        <v>17</v>
      </c>
      <c r="B26" s="33">
        <f t="shared" si="0"/>
        <v>17082256</v>
      </c>
      <c r="C26" s="84">
        <v>17082256</v>
      </c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3">
        <f t="shared" si="0"/>
        <v>17082256</v>
      </c>
      <c r="C27" s="84">
        <v>17082256</v>
      </c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3">
        <f t="shared" si="0"/>
        <v>17082256</v>
      </c>
      <c r="C28" s="84">
        <v>17082256</v>
      </c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3">
        <f t="shared" si="0"/>
        <v>17082256</v>
      </c>
      <c r="C29" s="84">
        <v>17082256</v>
      </c>
      <c r="D29" s="6">
        <f>C29-B29</f>
        <v>0</v>
      </c>
      <c r="E29" s="34"/>
      <c r="F29" s="34"/>
    </row>
    <row r="30" spans="1:6" ht="13.5" customHeight="1" x14ac:dyDescent="0.2">
      <c r="A30" s="30">
        <v>21</v>
      </c>
      <c r="B30" s="33">
        <f t="shared" si="0"/>
        <v>17082256</v>
      </c>
      <c r="C30" s="84"/>
      <c r="D30" s="6">
        <f t="shared" si="1"/>
        <v>-17082256</v>
      </c>
      <c r="E30" s="34"/>
      <c r="F30" s="34"/>
    </row>
    <row r="31" spans="1:6" ht="13.5" customHeight="1" x14ac:dyDescent="0.2">
      <c r="A31" s="30">
        <v>22</v>
      </c>
      <c r="B31" s="33">
        <f t="shared" si="0"/>
        <v>0</v>
      </c>
      <c r="C31" s="84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3">
        <f t="shared" si="0"/>
        <v>0</v>
      </c>
      <c r="C32" s="84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3">
        <f t="shared" si="0"/>
        <v>0</v>
      </c>
      <c r="C33" s="84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3">
        <f t="shared" si="0"/>
        <v>0</v>
      </c>
      <c r="C34" s="119"/>
      <c r="D34" s="6">
        <f>C34-B34</f>
        <v>0</v>
      </c>
      <c r="E34" s="35"/>
      <c r="F34" s="34"/>
    </row>
    <row r="35" spans="1:10" s="3" customFormat="1" ht="13.5" customHeight="1" x14ac:dyDescent="0.2">
      <c r="A35" s="30">
        <v>26</v>
      </c>
      <c r="B35" s="270">
        <f t="shared" si="0"/>
        <v>0</v>
      </c>
      <c r="C35" s="84"/>
      <c r="D35" s="271">
        <f t="shared" si="1"/>
        <v>0</v>
      </c>
      <c r="E35" s="35"/>
      <c r="F35" s="34"/>
    </row>
    <row r="36" spans="1:10" ht="13.5" customHeight="1" x14ac:dyDescent="0.2">
      <c r="A36" s="30">
        <v>27</v>
      </c>
      <c r="B36" s="33">
        <f t="shared" si="0"/>
        <v>0</v>
      </c>
      <c r="C36" s="84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84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84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84"/>
      <c r="D39" s="6">
        <f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84"/>
      <c r="D40" s="6">
        <f>C40-B40</f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B41" s="18">
        <f>C40</f>
        <v>0</v>
      </c>
      <c r="D41" s="39">
        <f>SUM(D10:D40)</f>
        <v>-17010072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9" workbookViewId="0">
      <selection activeCell="C30" sqref="C30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283" t="s">
        <v>23</v>
      </c>
      <c r="D1" s="283"/>
    </row>
    <row r="2" spans="1:7" x14ac:dyDescent="0.2">
      <c r="C2" s="283"/>
      <c r="D2" s="283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86">
        <v>44256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284" t="s">
        <v>25</v>
      </c>
      <c r="C8" s="286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84">
        <f>'[1]GENSET #2'!$C$37</f>
        <v>28925329</v>
      </c>
      <c r="C10" s="84">
        <v>28939147</v>
      </c>
      <c r="D10" s="6">
        <f>C10-B10</f>
        <v>13818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28939147</v>
      </c>
      <c r="C11" s="84">
        <v>28952046</v>
      </c>
      <c r="D11" s="6">
        <f t="shared" ref="D11:D40" si="0">C11-B11</f>
        <v>12899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28952046</v>
      </c>
      <c r="C12" s="84">
        <v>28965164</v>
      </c>
      <c r="D12" s="6">
        <f t="shared" si="0"/>
        <v>13118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28965164</v>
      </c>
      <c r="C13" s="84">
        <v>28972244</v>
      </c>
      <c r="D13" s="6">
        <f t="shared" si="0"/>
        <v>7080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28972244</v>
      </c>
      <c r="C14" s="84">
        <v>28986058</v>
      </c>
      <c r="D14" s="6">
        <f t="shared" si="0"/>
        <v>13814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28986058</v>
      </c>
      <c r="C15" s="84">
        <v>28998423</v>
      </c>
      <c r="D15" s="6">
        <f t="shared" si="0"/>
        <v>12365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28998423</v>
      </c>
      <c r="C16" s="84">
        <v>29010583</v>
      </c>
      <c r="D16" s="6">
        <f t="shared" si="0"/>
        <v>12160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29010583</v>
      </c>
      <c r="C17" s="84">
        <v>29010705</v>
      </c>
      <c r="D17" s="6">
        <f t="shared" si="0"/>
        <v>122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29010705</v>
      </c>
      <c r="C18" s="84">
        <v>29027911</v>
      </c>
      <c r="D18" s="6">
        <f t="shared" si="0"/>
        <v>17206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29027911</v>
      </c>
      <c r="C19" s="84">
        <v>29032134</v>
      </c>
      <c r="D19" s="6">
        <f t="shared" si="0"/>
        <v>4223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29032134</v>
      </c>
      <c r="C20" s="84">
        <v>29032134</v>
      </c>
      <c r="D20" s="6">
        <f t="shared" si="0"/>
        <v>0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29032134</v>
      </c>
      <c r="C21" s="84">
        <v>29040006</v>
      </c>
      <c r="D21" s="6">
        <f t="shared" si="0"/>
        <v>7872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29040006</v>
      </c>
      <c r="C22" s="84">
        <v>29058174</v>
      </c>
      <c r="D22" s="6">
        <f t="shared" si="0"/>
        <v>18168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29058174</v>
      </c>
      <c r="C23" s="84">
        <v>29070610</v>
      </c>
      <c r="D23" s="6">
        <f t="shared" si="0"/>
        <v>12436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29070610</v>
      </c>
      <c r="C24" s="84">
        <v>29083333</v>
      </c>
      <c r="D24" s="6">
        <f t="shared" si="0"/>
        <v>12723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29083333</v>
      </c>
      <c r="C25" s="84">
        <v>29095571</v>
      </c>
      <c r="D25" s="6">
        <f t="shared" si="0"/>
        <v>12238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29095571</v>
      </c>
      <c r="C26" s="84">
        <v>29107757</v>
      </c>
      <c r="D26" s="6">
        <f t="shared" si="0"/>
        <v>12186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29107757</v>
      </c>
      <c r="C27" s="84">
        <v>29117326</v>
      </c>
      <c r="D27" s="6">
        <f t="shared" si="0"/>
        <v>9569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29117326</v>
      </c>
      <c r="C28" s="84">
        <v>29124886</v>
      </c>
      <c r="D28" s="6">
        <f t="shared" si="0"/>
        <v>7560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29124886</v>
      </c>
      <c r="C29" s="84">
        <v>29138812</v>
      </c>
      <c r="D29" s="6">
        <f t="shared" si="0"/>
        <v>13926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29138812</v>
      </c>
      <c r="C30" s="84"/>
      <c r="D30" s="6">
        <f t="shared" si="0"/>
        <v>-29138812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84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84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84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84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270">
        <f t="shared" si="1"/>
        <v>0</v>
      </c>
      <c r="C35" s="84"/>
      <c r="D35" s="271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84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84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84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84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84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B41" s="18">
        <f>C40</f>
        <v>0</v>
      </c>
      <c r="D41" s="49">
        <f>SUM(D10:D40)</f>
        <v>-28925329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topLeftCell="A7" workbookViewId="0">
      <selection activeCell="C30" sqref="C30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86">
        <v>44256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f>'[1]GENSET #3'!$C$37</f>
        <v>12602173</v>
      </c>
      <c r="C10" s="32">
        <v>12610675</v>
      </c>
      <c r="D10" s="38">
        <f>C10-B10</f>
        <v>8502</v>
      </c>
    </row>
    <row r="11" spans="1:5" ht="15.75" customHeight="1" x14ac:dyDescent="0.2">
      <c r="A11" s="45">
        <v>2</v>
      </c>
      <c r="B11" s="33">
        <f>C10</f>
        <v>12610675</v>
      </c>
      <c r="C11" s="32">
        <v>12617817</v>
      </c>
      <c r="D11" s="38">
        <f t="shared" ref="D11:D36" si="0">C11-B11</f>
        <v>7142</v>
      </c>
    </row>
    <row r="12" spans="1:5" x14ac:dyDescent="0.2">
      <c r="A12" s="45">
        <v>3</v>
      </c>
      <c r="B12" s="33">
        <f t="shared" ref="B12:B14" si="1">C11</f>
        <v>12617817</v>
      </c>
      <c r="C12" s="32">
        <v>12618222</v>
      </c>
      <c r="D12" s="38">
        <f t="shared" si="0"/>
        <v>405</v>
      </c>
      <c r="E12" s="55"/>
    </row>
    <row r="13" spans="1:5" x14ac:dyDescent="0.2">
      <c r="A13" s="45">
        <v>4</v>
      </c>
      <c r="B13" s="33">
        <f t="shared" si="1"/>
        <v>12618222</v>
      </c>
      <c r="C13" s="32">
        <v>12623343</v>
      </c>
      <c r="D13" s="38">
        <f t="shared" si="0"/>
        <v>5121</v>
      </c>
      <c r="E13" s="55"/>
    </row>
    <row r="14" spans="1:5" ht="13.5" customHeight="1" x14ac:dyDescent="0.2">
      <c r="A14" s="45">
        <v>5</v>
      </c>
      <c r="B14" s="33">
        <f t="shared" si="1"/>
        <v>12623343</v>
      </c>
      <c r="C14" s="32">
        <v>12630078</v>
      </c>
      <c r="D14" s="38">
        <f t="shared" si="0"/>
        <v>6735</v>
      </c>
      <c r="E14" s="55"/>
    </row>
    <row r="15" spans="1:5" ht="13.5" customHeight="1" x14ac:dyDescent="0.2">
      <c r="A15" s="45">
        <v>6</v>
      </c>
      <c r="B15" s="33">
        <f t="shared" ref="B15:B38" si="2">C14</f>
        <v>12630078</v>
      </c>
      <c r="C15" s="32">
        <v>12636997</v>
      </c>
      <c r="D15" s="38">
        <f t="shared" si="0"/>
        <v>6919</v>
      </c>
      <c r="E15" s="55"/>
    </row>
    <row r="16" spans="1:5" ht="13.5" customHeight="1" x14ac:dyDescent="0.2">
      <c r="A16" s="45">
        <v>7</v>
      </c>
      <c r="B16" s="33">
        <f t="shared" si="2"/>
        <v>12636997</v>
      </c>
      <c r="C16" s="32">
        <v>12643754</v>
      </c>
      <c r="D16" s="38">
        <f t="shared" si="0"/>
        <v>6757</v>
      </c>
      <c r="E16" s="55"/>
    </row>
    <row r="17" spans="1:5" ht="13.5" customHeight="1" x14ac:dyDescent="0.2">
      <c r="A17" s="45">
        <v>8</v>
      </c>
      <c r="B17" s="33">
        <f t="shared" si="2"/>
        <v>12643754</v>
      </c>
      <c r="C17" s="32">
        <v>12650643</v>
      </c>
      <c r="D17" s="38">
        <f t="shared" si="0"/>
        <v>6889</v>
      </c>
      <c r="E17" s="55"/>
    </row>
    <row r="18" spans="1:5" ht="13.5" customHeight="1" x14ac:dyDescent="0.2">
      <c r="A18" s="45">
        <v>9</v>
      </c>
      <c r="B18" s="33">
        <f t="shared" si="2"/>
        <v>12650643</v>
      </c>
      <c r="C18" s="32">
        <v>12658898</v>
      </c>
      <c r="D18" s="38">
        <f t="shared" si="0"/>
        <v>8255</v>
      </c>
      <c r="E18" s="55"/>
    </row>
    <row r="19" spans="1:5" ht="13.5" customHeight="1" x14ac:dyDescent="0.2">
      <c r="A19" s="45">
        <v>10</v>
      </c>
      <c r="B19" s="33">
        <f t="shared" si="2"/>
        <v>12658898</v>
      </c>
      <c r="C19" s="32">
        <v>12665227</v>
      </c>
      <c r="D19" s="38">
        <f t="shared" si="0"/>
        <v>6329</v>
      </c>
      <c r="E19" s="55"/>
    </row>
    <row r="20" spans="1:5" ht="13.5" customHeight="1" x14ac:dyDescent="0.2">
      <c r="A20" s="45">
        <v>11</v>
      </c>
      <c r="B20" s="33">
        <f t="shared" si="2"/>
        <v>12665227</v>
      </c>
      <c r="C20" s="32">
        <v>12672628</v>
      </c>
      <c r="D20" s="38">
        <f t="shared" si="0"/>
        <v>7401</v>
      </c>
      <c r="E20" s="55"/>
    </row>
    <row r="21" spans="1:5" ht="13.5" customHeight="1" x14ac:dyDescent="0.2">
      <c r="A21" s="45">
        <v>12</v>
      </c>
      <c r="B21" s="33">
        <f t="shared" si="2"/>
        <v>12672628</v>
      </c>
      <c r="C21" s="32">
        <v>12678583</v>
      </c>
      <c r="D21" s="38">
        <f t="shared" si="0"/>
        <v>5955</v>
      </c>
      <c r="E21" s="55"/>
    </row>
    <row r="22" spans="1:5" ht="13.5" customHeight="1" x14ac:dyDescent="0.2">
      <c r="A22" s="45">
        <v>13</v>
      </c>
      <c r="B22" s="33">
        <f t="shared" si="2"/>
        <v>12678583</v>
      </c>
      <c r="C22" s="32">
        <v>12685091</v>
      </c>
      <c r="D22" s="38">
        <f t="shared" si="0"/>
        <v>6508</v>
      </c>
      <c r="E22" s="55"/>
    </row>
    <row r="23" spans="1:5" ht="13.5" customHeight="1" x14ac:dyDescent="0.2">
      <c r="A23" s="45">
        <v>14</v>
      </c>
      <c r="B23" s="33">
        <f t="shared" si="2"/>
        <v>12685091</v>
      </c>
      <c r="C23" s="32">
        <v>12691784</v>
      </c>
      <c r="D23" s="38">
        <f t="shared" si="0"/>
        <v>6693</v>
      </c>
      <c r="E23" s="55"/>
    </row>
    <row r="24" spans="1:5" ht="13.5" customHeight="1" x14ac:dyDescent="0.2">
      <c r="A24" s="45">
        <v>15</v>
      </c>
      <c r="B24" s="33">
        <f t="shared" si="2"/>
        <v>12691784</v>
      </c>
      <c r="C24" s="32">
        <v>12699756</v>
      </c>
      <c r="D24" s="38">
        <f t="shared" si="0"/>
        <v>7972</v>
      </c>
      <c r="E24" s="55"/>
    </row>
    <row r="25" spans="1:5" ht="13.5" customHeight="1" x14ac:dyDescent="0.2">
      <c r="A25" s="45">
        <v>16</v>
      </c>
      <c r="B25" s="33">
        <f t="shared" si="2"/>
        <v>12699756</v>
      </c>
      <c r="C25" s="32">
        <v>12707790</v>
      </c>
      <c r="D25" s="38">
        <f t="shared" si="0"/>
        <v>8034</v>
      </c>
      <c r="E25" s="55"/>
    </row>
    <row r="26" spans="1:5" ht="13.5" customHeight="1" x14ac:dyDescent="0.2">
      <c r="A26" s="45">
        <v>17</v>
      </c>
      <c r="B26" s="33">
        <f t="shared" si="2"/>
        <v>12707790</v>
      </c>
      <c r="C26" s="32">
        <v>12714843</v>
      </c>
      <c r="D26" s="38">
        <f t="shared" si="0"/>
        <v>7053</v>
      </c>
      <c r="E26" s="55"/>
    </row>
    <row r="27" spans="1:5" ht="13.5" customHeight="1" x14ac:dyDescent="0.2">
      <c r="A27" s="45">
        <v>18</v>
      </c>
      <c r="B27" s="33">
        <f t="shared" si="2"/>
        <v>12714843</v>
      </c>
      <c r="C27" s="32">
        <v>12722876</v>
      </c>
      <c r="D27" s="38">
        <f t="shared" si="0"/>
        <v>8033</v>
      </c>
      <c r="E27" s="55"/>
    </row>
    <row r="28" spans="1:5" ht="13.5" customHeight="1" x14ac:dyDescent="0.2">
      <c r="A28" s="45">
        <v>19</v>
      </c>
      <c r="B28" s="33">
        <f t="shared" si="2"/>
        <v>12722876</v>
      </c>
      <c r="C28" s="32">
        <v>12731727</v>
      </c>
      <c r="D28" s="38">
        <f t="shared" si="0"/>
        <v>8851</v>
      </c>
      <c r="E28" s="55"/>
    </row>
    <row r="29" spans="1:5" ht="13.5" customHeight="1" x14ac:dyDescent="0.2">
      <c r="A29" s="45">
        <v>20</v>
      </c>
      <c r="B29" s="33">
        <f t="shared" si="2"/>
        <v>12731727</v>
      </c>
      <c r="C29" s="32">
        <v>12741421</v>
      </c>
      <c r="D29" s="38">
        <f t="shared" si="0"/>
        <v>9694</v>
      </c>
      <c r="E29" s="55"/>
    </row>
    <row r="30" spans="1:5" ht="13.5" customHeight="1" x14ac:dyDescent="0.2">
      <c r="A30" s="45">
        <v>21</v>
      </c>
      <c r="B30" s="33">
        <f t="shared" si="2"/>
        <v>12741421</v>
      </c>
      <c r="C30" s="32"/>
      <c r="D30" s="38">
        <f t="shared" si="0"/>
        <v>-12741421</v>
      </c>
      <c r="E30" s="55"/>
    </row>
    <row r="31" spans="1:5" ht="13.5" customHeight="1" x14ac:dyDescent="0.2">
      <c r="A31" s="45">
        <v>22</v>
      </c>
      <c r="B31" s="33">
        <f t="shared" si="2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2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2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2"/>
        <v>0</v>
      </c>
      <c r="C34" s="32"/>
      <c r="D34" s="38">
        <f t="shared" si="0"/>
        <v>0</v>
      </c>
      <c r="E34" s="109"/>
      <c r="F34" s="110"/>
      <c r="G34" s="113"/>
      <c r="H34" s="114"/>
      <c r="I34" s="113"/>
      <c r="J34" s="113"/>
    </row>
    <row r="35" spans="1:10" s="3" customFormat="1" ht="13.5" customHeight="1" x14ac:dyDescent="0.2">
      <c r="A35" s="45">
        <v>26</v>
      </c>
      <c r="B35" s="270">
        <f t="shared" si="2"/>
        <v>0</v>
      </c>
      <c r="C35" s="32"/>
      <c r="D35" s="38">
        <f t="shared" si="0"/>
        <v>0</v>
      </c>
      <c r="E35" s="109"/>
      <c r="F35" s="111"/>
      <c r="G35" s="114"/>
      <c r="H35" s="114"/>
      <c r="I35" s="114"/>
      <c r="J35" s="114"/>
    </row>
    <row r="36" spans="1:10" ht="13.5" customHeight="1" x14ac:dyDescent="0.2">
      <c r="A36" s="45">
        <v>27</v>
      </c>
      <c r="B36" s="33">
        <f t="shared" si="2"/>
        <v>0</v>
      </c>
      <c r="C36" s="32"/>
      <c r="D36" s="38">
        <f t="shared" si="0"/>
        <v>0</v>
      </c>
      <c r="E36" s="109"/>
      <c r="F36" s="110"/>
      <c r="G36" s="113"/>
      <c r="H36" s="113"/>
      <c r="I36" s="113"/>
      <c r="J36" s="113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109"/>
      <c r="F37" s="110"/>
      <c r="G37" s="113"/>
      <c r="H37" s="113"/>
      <c r="I37" s="113"/>
      <c r="J37" s="113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287"/>
      <c r="F38" s="288"/>
      <c r="G38" s="113"/>
      <c r="H38" s="113"/>
      <c r="I38" s="113"/>
      <c r="J38" s="113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109"/>
      <c r="F39" s="110"/>
      <c r="G39" s="113"/>
      <c r="H39" s="113"/>
      <c r="I39" s="113"/>
      <c r="J39" s="113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109"/>
      <c r="F40" s="110"/>
      <c r="G40" s="113"/>
      <c r="H40" s="113"/>
      <c r="I40" s="113"/>
      <c r="J40" s="113"/>
    </row>
    <row r="41" spans="1:10" ht="13.5" customHeight="1" thickBot="1" x14ac:dyDescent="0.25">
      <c r="A41" t="s">
        <v>7</v>
      </c>
      <c r="B41" s="18">
        <f>C40</f>
        <v>0</v>
      </c>
      <c r="D41" s="49">
        <f>SUM(D10:D40)</f>
        <v>-12602173</v>
      </c>
      <c r="E41" s="109"/>
      <c r="F41" s="110"/>
      <c r="G41" s="113"/>
      <c r="H41" s="113"/>
      <c r="I41" s="113"/>
      <c r="J41" s="113"/>
    </row>
    <row r="42" spans="1:10" ht="12" customHeight="1" thickTop="1" x14ac:dyDescent="0.2">
      <c r="E42" s="109"/>
      <c r="F42" s="110"/>
      <c r="G42" s="113"/>
      <c r="H42" s="113"/>
      <c r="I42" s="113"/>
      <c r="J42" s="113"/>
    </row>
    <row r="43" spans="1:10" ht="14.25" customHeight="1" x14ac:dyDescent="0.2">
      <c r="E43" s="112"/>
      <c r="F43" s="110"/>
      <c r="G43" s="113"/>
      <c r="H43" s="113"/>
      <c r="I43" s="113"/>
      <c r="J43" s="113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8" workbookViewId="0">
      <selection activeCell="C30" sqref="C30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283" t="s">
        <v>30</v>
      </c>
      <c r="D1" s="283"/>
    </row>
    <row r="2" spans="1:5" x14ac:dyDescent="0.2">
      <c r="C2" s="283"/>
      <c r="D2" s="283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86">
        <v>44256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284" t="s">
        <v>32</v>
      </c>
      <c r="C8" s="286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f>'[1]GENSET #4'!$C$37</f>
        <v>11468630</v>
      </c>
      <c r="C10" s="32">
        <v>11471648</v>
      </c>
      <c r="D10" s="38">
        <f>C10-B10</f>
        <v>3018</v>
      </c>
      <c r="E10" s="29"/>
    </row>
    <row r="11" spans="1:5" ht="13.5" customHeight="1" x14ac:dyDescent="0.2">
      <c r="A11" s="45">
        <v>2</v>
      </c>
      <c r="B11" s="33">
        <f>C10</f>
        <v>11471648</v>
      </c>
      <c r="C11" s="32">
        <v>11475491</v>
      </c>
      <c r="D11" s="38">
        <f t="shared" ref="D11:D36" si="0">C11-B11</f>
        <v>3843</v>
      </c>
      <c r="E11" s="34"/>
    </row>
    <row r="12" spans="1:5" ht="13.5" customHeight="1" x14ac:dyDescent="0.2">
      <c r="A12" s="45">
        <v>3</v>
      </c>
      <c r="B12" s="33">
        <f t="shared" ref="B12:B40" si="1">C11</f>
        <v>11475491</v>
      </c>
      <c r="C12" s="32">
        <v>11478098</v>
      </c>
      <c r="D12" s="38">
        <f t="shared" si="0"/>
        <v>2607</v>
      </c>
      <c r="E12" s="34"/>
    </row>
    <row r="13" spans="1:5" ht="13.5" customHeight="1" x14ac:dyDescent="0.2">
      <c r="A13" s="45">
        <v>4</v>
      </c>
      <c r="B13" s="33">
        <f t="shared" si="1"/>
        <v>11478098</v>
      </c>
      <c r="C13" s="32">
        <v>11480206</v>
      </c>
      <c r="D13" s="38">
        <f t="shared" si="0"/>
        <v>2108</v>
      </c>
      <c r="E13" s="34"/>
    </row>
    <row r="14" spans="1:5" ht="13.5" customHeight="1" x14ac:dyDescent="0.2">
      <c r="A14" s="45">
        <v>5</v>
      </c>
      <c r="B14" s="33">
        <f t="shared" si="1"/>
        <v>11480206</v>
      </c>
      <c r="C14" s="32">
        <v>11482867</v>
      </c>
      <c r="D14" s="38">
        <f t="shared" si="0"/>
        <v>2661</v>
      </c>
      <c r="E14" s="34"/>
    </row>
    <row r="15" spans="1:5" ht="13.5" customHeight="1" x14ac:dyDescent="0.2">
      <c r="A15" s="45">
        <v>6</v>
      </c>
      <c r="B15" s="33">
        <f t="shared" si="1"/>
        <v>11482867</v>
      </c>
      <c r="C15" s="32">
        <v>11486982</v>
      </c>
      <c r="D15" s="38">
        <f t="shared" si="0"/>
        <v>4115</v>
      </c>
      <c r="E15" s="34"/>
    </row>
    <row r="16" spans="1:5" ht="13.5" customHeight="1" x14ac:dyDescent="0.2">
      <c r="A16" s="45">
        <v>7</v>
      </c>
      <c r="B16" s="33">
        <f t="shared" si="1"/>
        <v>11486982</v>
      </c>
      <c r="C16" s="32">
        <v>11489429</v>
      </c>
      <c r="D16" s="38">
        <f t="shared" si="0"/>
        <v>2447</v>
      </c>
      <c r="E16" s="34"/>
    </row>
    <row r="17" spans="1:5" ht="13.5" customHeight="1" x14ac:dyDescent="0.2">
      <c r="A17" s="45">
        <v>8</v>
      </c>
      <c r="B17" s="33">
        <f t="shared" si="1"/>
        <v>11489429</v>
      </c>
      <c r="C17" s="32">
        <v>11490064</v>
      </c>
      <c r="D17" s="38">
        <f t="shared" si="0"/>
        <v>635</v>
      </c>
      <c r="E17" s="34"/>
    </row>
    <row r="18" spans="1:5" ht="13.5" customHeight="1" x14ac:dyDescent="0.2">
      <c r="A18" s="45">
        <v>9</v>
      </c>
      <c r="B18" s="33">
        <f t="shared" si="1"/>
        <v>11490064</v>
      </c>
      <c r="C18" s="32">
        <v>11492970</v>
      </c>
      <c r="D18" s="38">
        <f t="shared" si="0"/>
        <v>2906</v>
      </c>
      <c r="E18" s="34"/>
    </row>
    <row r="19" spans="1:5" ht="13.5" customHeight="1" x14ac:dyDescent="0.2">
      <c r="A19" s="45">
        <v>10</v>
      </c>
      <c r="B19" s="33">
        <f t="shared" si="1"/>
        <v>11492970</v>
      </c>
      <c r="C19" s="32">
        <v>11495035</v>
      </c>
      <c r="D19" s="38">
        <f t="shared" si="0"/>
        <v>2065</v>
      </c>
      <c r="E19" s="34"/>
    </row>
    <row r="20" spans="1:5" ht="13.5" customHeight="1" x14ac:dyDescent="0.2">
      <c r="A20" s="45">
        <v>11</v>
      </c>
      <c r="B20" s="33">
        <f t="shared" si="1"/>
        <v>11495035</v>
      </c>
      <c r="C20" s="32">
        <v>11497676</v>
      </c>
      <c r="D20" s="38">
        <f t="shared" si="0"/>
        <v>2641</v>
      </c>
      <c r="E20" s="34"/>
    </row>
    <row r="21" spans="1:5" ht="13.5" customHeight="1" x14ac:dyDescent="0.2">
      <c r="A21" s="45">
        <v>12</v>
      </c>
      <c r="B21" s="33">
        <f t="shared" si="1"/>
        <v>11497676</v>
      </c>
      <c r="C21" s="32">
        <v>11498118</v>
      </c>
      <c r="D21" s="38">
        <f t="shared" si="0"/>
        <v>442</v>
      </c>
      <c r="E21" s="34"/>
    </row>
    <row r="22" spans="1:5" ht="13.5" customHeight="1" x14ac:dyDescent="0.2">
      <c r="A22" s="45">
        <v>13</v>
      </c>
      <c r="B22" s="33">
        <f t="shared" si="1"/>
        <v>11498118</v>
      </c>
      <c r="C22" s="32">
        <v>11500996</v>
      </c>
      <c r="D22" s="38">
        <f t="shared" si="0"/>
        <v>2878</v>
      </c>
      <c r="E22" s="34"/>
    </row>
    <row r="23" spans="1:5" ht="13.5" customHeight="1" x14ac:dyDescent="0.2">
      <c r="A23" s="45">
        <v>14</v>
      </c>
      <c r="B23" s="33">
        <f t="shared" si="1"/>
        <v>11500996</v>
      </c>
      <c r="C23" s="32">
        <v>11503710</v>
      </c>
      <c r="D23" s="38">
        <f t="shared" si="0"/>
        <v>2714</v>
      </c>
      <c r="E23" s="34"/>
    </row>
    <row r="24" spans="1:5" ht="13.5" customHeight="1" x14ac:dyDescent="0.2">
      <c r="A24" s="45">
        <v>15</v>
      </c>
      <c r="B24" s="33">
        <f t="shared" si="1"/>
        <v>11503710</v>
      </c>
      <c r="C24" s="32">
        <v>11506435</v>
      </c>
      <c r="D24" s="38">
        <f t="shared" si="0"/>
        <v>2725</v>
      </c>
      <c r="E24" s="34"/>
    </row>
    <row r="25" spans="1:5" ht="13.5" customHeight="1" x14ac:dyDescent="0.2">
      <c r="A25" s="45">
        <v>16</v>
      </c>
      <c r="B25" s="33">
        <f t="shared" si="1"/>
        <v>11506435</v>
      </c>
      <c r="C25" s="32">
        <v>11508654</v>
      </c>
      <c r="D25" s="38">
        <f t="shared" si="0"/>
        <v>2219</v>
      </c>
      <c r="E25" s="34"/>
    </row>
    <row r="26" spans="1:5" ht="13.5" customHeight="1" x14ac:dyDescent="0.2">
      <c r="A26" s="45">
        <v>17</v>
      </c>
      <c r="B26" s="33">
        <f t="shared" si="1"/>
        <v>11508654</v>
      </c>
      <c r="C26" s="32">
        <v>11512049</v>
      </c>
      <c r="D26" s="38">
        <f t="shared" si="0"/>
        <v>3395</v>
      </c>
      <c r="E26" s="34"/>
    </row>
    <row r="27" spans="1:5" ht="13.5" customHeight="1" x14ac:dyDescent="0.2">
      <c r="A27" s="45">
        <v>18</v>
      </c>
      <c r="B27" s="33">
        <f t="shared" si="1"/>
        <v>11512049</v>
      </c>
      <c r="C27" s="106">
        <v>11514820</v>
      </c>
      <c r="D27" s="107">
        <f t="shared" si="0"/>
        <v>2771</v>
      </c>
      <c r="E27" s="108"/>
    </row>
    <row r="28" spans="1:5" ht="13.5" customHeight="1" x14ac:dyDescent="0.2">
      <c r="A28" s="45">
        <v>19</v>
      </c>
      <c r="B28" s="33">
        <f t="shared" si="1"/>
        <v>11514820</v>
      </c>
      <c r="C28" s="32">
        <v>11518646</v>
      </c>
      <c r="D28" s="38">
        <f>C28-B28</f>
        <v>3826</v>
      </c>
      <c r="E28" s="34"/>
    </row>
    <row r="29" spans="1:5" ht="13.5" customHeight="1" x14ac:dyDescent="0.2">
      <c r="A29" s="45">
        <v>20</v>
      </c>
      <c r="B29" s="33">
        <f t="shared" si="1"/>
        <v>11518646</v>
      </c>
      <c r="C29" s="32">
        <v>11520863</v>
      </c>
      <c r="D29" s="38">
        <f t="shared" si="0"/>
        <v>2217</v>
      </c>
      <c r="E29" s="34"/>
    </row>
    <row r="30" spans="1:5" ht="13.5" customHeight="1" x14ac:dyDescent="0.2">
      <c r="A30" s="45">
        <v>21</v>
      </c>
      <c r="B30" s="33">
        <f t="shared" si="1"/>
        <v>11520863</v>
      </c>
      <c r="C30" s="32"/>
      <c r="D30" s="38">
        <f t="shared" si="0"/>
        <v>-11520863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270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B41" s="18">
        <f>C40</f>
        <v>0</v>
      </c>
      <c r="D41" s="49">
        <f>SUM(D10:D40)</f>
        <v>-11468630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topLeftCell="A11" workbookViewId="0">
      <selection activeCell="C30" sqref="C30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283" t="s">
        <v>16</v>
      </c>
      <c r="D1" s="283"/>
    </row>
    <row r="2" spans="1:5" x14ac:dyDescent="0.2">
      <c r="C2" s="283"/>
      <c r="D2" s="283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86"/>
      <c r="B4" s="4"/>
      <c r="C4" s="24"/>
      <c r="D4" s="24"/>
      <c r="E4" s="24"/>
    </row>
    <row r="5" spans="1:5" s="1" customFormat="1" x14ac:dyDescent="0.2">
      <c r="A5" s="168"/>
      <c r="B5" s="166"/>
      <c r="C5" s="167"/>
      <c r="D5" s="167"/>
      <c r="E5" s="167"/>
    </row>
    <row r="6" spans="1:5" x14ac:dyDescent="0.2">
      <c r="A6" s="86">
        <v>44256</v>
      </c>
    </row>
    <row r="7" spans="1:5" ht="13.5" thickBot="1" x14ac:dyDescent="0.25">
      <c r="A7" s="168"/>
    </row>
    <row r="8" spans="1:5" ht="15.75" customHeight="1" thickBot="1" x14ac:dyDescent="0.25">
      <c r="A8" s="58"/>
      <c r="B8" s="284" t="s">
        <v>34</v>
      </c>
      <c r="C8" s="286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f>'[1]GENSET #5'!$C$37</f>
        <v>17741334</v>
      </c>
      <c r="C10" s="32">
        <v>17743471</v>
      </c>
      <c r="D10" s="38">
        <f>C10-B10</f>
        <v>2137</v>
      </c>
      <c r="E10" s="29"/>
    </row>
    <row r="11" spans="1:5" ht="13.5" customHeight="1" x14ac:dyDescent="0.2">
      <c r="A11" s="61">
        <v>2</v>
      </c>
      <c r="B11" s="33">
        <f>C10</f>
        <v>17743471</v>
      </c>
      <c r="C11" s="32">
        <v>17747157</v>
      </c>
      <c r="D11" s="38">
        <f t="shared" ref="D11:D37" si="0">C11-B11</f>
        <v>3686</v>
      </c>
      <c r="E11" s="34"/>
    </row>
    <row r="12" spans="1:5" ht="13.5" customHeight="1" x14ac:dyDescent="0.2">
      <c r="A12" s="60">
        <v>3</v>
      </c>
      <c r="B12" s="33">
        <f t="shared" ref="B12:B38" si="1">C11</f>
        <v>17747157</v>
      </c>
      <c r="C12" s="32">
        <v>17757432</v>
      </c>
      <c r="D12" s="38">
        <f t="shared" si="0"/>
        <v>10275</v>
      </c>
      <c r="E12" s="34"/>
    </row>
    <row r="13" spans="1:5" ht="13.5" customHeight="1" x14ac:dyDescent="0.2">
      <c r="A13" s="61">
        <v>4</v>
      </c>
      <c r="B13" s="33">
        <f t="shared" si="1"/>
        <v>17757432</v>
      </c>
      <c r="C13" s="32">
        <v>17762218</v>
      </c>
      <c r="D13" s="38">
        <f t="shared" si="0"/>
        <v>4786</v>
      </c>
      <c r="E13" s="34"/>
    </row>
    <row r="14" spans="1:5" ht="13.5" customHeight="1" x14ac:dyDescent="0.2">
      <c r="A14" s="60">
        <v>5</v>
      </c>
      <c r="B14" s="33">
        <f t="shared" si="1"/>
        <v>17762218</v>
      </c>
      <c r="C14" s="32">
        <v>17765283</v>
      </c>
      <c r="D14" s="38">
        <f t="shared" si="0"/>
        <v>3065</v>
      </c>
      <c r="E14" s="34"/>
    </row>
    <row r="15" spans="1:5" ht="13.5" customHeight="1" x14ac:dyDescent="0.2">
      <c r="A15" s="61">
        <v>6</v>
      </c>
      <c r="B15" s="33">
        <f t="shared" si="1"/>
        <v>17765283</v>
      </c>
      <c r="C15" s="32">
        <v>17769137</v>
      </c>
      <c r="D15" s="38">
        <f t="shared" si="0"/>
        <v>3854</v>
      </c>
      <c r="E15" s="34"/>
    </row>
    <row r="16" spans="1:5" ht="13.5" customHeight="1" x14ac:dyDescent="0.2">
      <c r="A16" s="60">
        <v>7</v>
      </c>
      <c r="B16" s="33">
        <f t="shared" si="1"/>
        <v>17769137</v>
      </c>
      <c r="C16" s="32">
        <v>17773246</v>
      </c>
      <c r="D16" s="38">
        <f t="shared" si="0"/>
        <v>4109</v>
      </c>
      <c r="E16" s="34"/>
    </row>
    <row r="17" spans="1:5" ht="13.5" customHeight="1" x14ac:dyDescent="0.2">
      <c r="A17" s="61">
        <v>8</v>
      </c>
      <c r="B17" s="33">
        <f t="shared" si="1"/>
        <v>17773246</v>
      </c>
      <c r="C17" s="32">
        <v>17784645</v>
      </c>
      <c r="D17" s="38">
        <f t="shared" si="0"/>
        <v>11399</v>
      </c>
      <c r="E17" s="34"/>
    </row>
    <row r="18" spans="1:5" ht="13.5" customHeight="1" x14ac:dyDescent="0.2">
      <c r="A18" s="60">
        <v>9</v>
      </c>
      <c r="B18" s="33">
        <f t="shared" si="1"/>
        <v>17784645</v>
      </c>
      <c r="C18" s="32">
        <v>17785648</v>
      </c>
      <c r="D18" s="38">
        <f t="shared" si="0"/>
        <v>1003</v>
      </c>
      <c r="E18" s="34"/>
    </row>
    <row r="19" spans="1:5" ht="13.5" customHeight="1" x14ac:dyDescent="0.2">
      <c r="A19" s="61">
        <v>10</v>
      </c>
      <c r="B19" s="33">
        <f t="shared" si="1"/>
        <v>17785648</v>
      </c>
      <c r="C19" s="32">
        <v>17792492</v>
      </c>
      <c r="D19" s="38">
        <f t="shared" si="0"/>
        <v>6844</v>
      </c>
      <c r="E19" s="34"/>
    </row>
    <row r="20" spans="1:5" ht="13.5" customHeight="1" x14ac:dyDescent="0.2">
      <c r="A20" s="60">
        <v>11</v>
      </c>
      <c r="B20" s="33">
        <f t="shared" si="1"/>
        <v>17792492</v>
      </c>
      <c r="C20" s="32">
        <v>17796631</v>
      </c>
      <c r="D20" s="38">
        <f t="shared" si="0"/>
        <v>4139</v>
      </c>
      <c r="E20" s="34"/>
    </row>
    <row r="21" spans="1:5" ht="13.5" customHeight="1" x14ac:dyDescent="0.2">
      <c r="A21" s="61">
        <v>12</v>
      </c>
      <c r="B21" s="33">
        <f t="shared" si="1"/>
        <v>17796631</v>
      </c>
      <c r="C21" s="32">
        <v>17802691</v>
      </c>
      <c r="D21" s="38">
        <f t="shared" si="0"/>
        <v>6060</v>
      </c>
      <c r="E21" s="34"/>
    </row>
    <row r="22" spans="1:5" ht="13.5" customHeight="1" x14ac:dyDescent="0.2">
      <c r="A22" s="60">
        <v>13</v>
      </c>
      <c r="B22" s="33">
        <f t="shared" si="1"/>
        <v>17802691</v>
      </c>
      <c r="C22" s="32">
        <v>17802691</v>
      </c>
      <c r="D22" s="38">
        <f t="shared" si="0"/>
        <v>0</v>
      </c>
      <c r="E22" s="34"/>
    </row>
    <row r="23" spans="1:5" ht="13.5" customHeight="1" x14ac:dyDescent="0.2">
      <c r="A23" s="61">
        <v>14</v>
      </c>
      <c r="B23" s="33">
        <f t="shared" si="1"/>
        <v>17802691</v>
      </c>
      <c r="C23" s="32">
        <v>17810201</v>
      </c>
      <c r="D23" s="38">
        <f t="shared" si="0"/>
        <v>7510</v>
      </c>
      <c r="E23" s="34"/>
    </row>
    <row r="24" spans="1:5" ht="13.5" customHeight="1" x14ac:dyDescent="0.2">
      <c r="A24" s="60">
        <v>15</v>
      </c>
      <c r="B24" s="33">
        <f t="shared" si="1"/>
        <v>17810201</v>
      </c>
      <c r="C24" s="32">
        <v>17816133</v>
      </c>
      <c r="D24" s="38">
        <f t="shared" si="0"/>
        <v>5932</v>
      </c>
      <c r="E24" s="34"/>
    </row>
    <row r="25" spans="1:5" ht="13.5" customHeight="1" x14ac:dyDescent="0.2">
      <c r="A25" s="61">
        <v>16</v>
      </c>
      <c r="B25" s="33">
        <f t="shared" si="1"/>
        <v>17816133</v>
      </c>
      <c r="C25" s="32">
        <v>17821810</v>
      </c>
      <c r="D25" s="38">
        <f t="shared" si="0"/>
        <v>5677</v>
      </c>
      <c r="E25" s="34"/>
    </row>
    <row r="26" spans="1:5" ht="13.5" customHeight="1" x14ac:dyDescent="0.2">
      <c r="A26" s="60">
        <v>17</v>
      </c>
      <c r="B26" s="33">
        <f t="shared" si="1"/>
        <v>17821810</v>
      </c>
      <c r="C26" s="32">
        <v>17827538</v>
      </c>
      <c r="D26" s="38">
        <f t="shared" si="0"/>
        <v>5728</v>
      </c>
      <c r="E26" s="34"/>
    </row>
    <row r="27" spans="1:5" ht="13.5" customHeight="1" x14ac:dyDescent="0.2">
      <c r="A27" s="61">
        <v>18</v>
      </c>
      <c r="B27" s="33">
        <f t="shared" si="1"/>
        <v>17827538</v>
      </c>
      <c r="C27" s="32">
        <v>17835946</v>
      </c>
      <c r="D27" s="38">
        <f t="shared" si="0"/>
        <v>8408</v>
      </c>
      <c r="E27" s="34"/>
    </row>
    <row r="28" spans="1:5" ht="13.5" customHeight="1" x14ac:dyDescent="0.2">
      <c r="A28" s="60">
        <v>19</v>
      </c>
      <c r="B28" s="33">
        <f t="shared" si="1"/>
        <v>17835946</v>
      </c>
      <c r="C28" s="32">
        <v>17844996</v>
      </c>
      <c r="D28" s="38">
        <f t="shared" si="0"/>
        <v>9050</v>
      </c>
      <c r="E28" s="34"/>
    </row>
    <row r="29" spans="1:5" ht="13.5" customHeight="1" x14ac:dyDescent="0.2">
      <c r="A29" s="61">
        <v>20</v>
      </c>
      <c r="B29" s="33">
        <f t="shared" si="1"/>
        <v>17844996</v>
      </c>
      <c r="C29" s="32">
        <v>17848426</v>
      </c>
      <c r="D29" s="38">
        <f t="shared" si="0"/>
        <v>3430</v>
      </c>
      <c r="E29" s="34"/>
    </row>
    <row r="30" spans="1:5" ht="13.5" customHeight="1" x14ac:dyDescent="0.2">
      <c r="A30" s="60">
        <v>21</v>
      </c>
      <c r="B30" s="33">
        <f t="shared" si="1"/>
        <v>17848426</v>
      </c>
      <c r="C30" s="32"/>
      <c r="D30" s="38">
        <f t="shared" si="0"/>
        <v>-17848426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72">
        <v>26</v>
      </c>
      <c r="B35" s="270">
        <f t="shared" si="1"/>
        <v>0</v>
      </c>
      <c r="C35" s="32"/>
      <c r="D35" s="38">
        <f>C35-B35</f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B41" s="18">
        <f>C40</f>
        <v>0</v>
      </c>
      <c r="D41" s="49">
        <f>SUM(D10:D40)</f>
        <v>-17741334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C25" sqref="C25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1" spans="1:12" x14ac:dyDescent="0.2">
      <c r="A1" s="282" t="s">
        <v>139</v>
      </c>
      <c r="B1" s="282"/>
      <c r="C1" s="282"/>
      <c r="D1" s="282"/>
    </row>
    <row r="2" spans="1:12" x14ac:dyDescent="0.2">
      <c r="A2" s="86">
        <v>44256</v>
      </c>
    </row>
    <row r="3" spans="1:12" x14ac:dyDescent="0.2">
      <c r="A3" s="6"/>
      <c r="B3" s="6" t="s">
        <v>38</v>
      </c>
      <c r="C3" s="6"/>
      <c r="D3" s="62"/>
      <c r="F3" s="289" t="s">
        <v>65</v>
      </c>
      <c r="G3" s="289"/>
    </row>
    <row r="4" spans="1:12" x14ac:dyDescent="0.2">
      <c r="A4" s="6" t="s">
        <v>39</v>
      </c>
      <c r="B4" s="6" t="s">
        <v>40</v>
      </c>
      <c r="C4" s="6" t="s">
        <v>41</v>
      </c>
      <c r="D4" s="87" t="s">
        <v>71</v>
      </c>
      <c r="F4" s="122" t="s">
        <v>54</v>
      </c>
      <c r="G4" s="122" t="s">
        <v>55</v>
      </c>
      <c r="I4" s="125" t="s">
        <v>70</v>
      </c>
      <c r="K4" s="290" t="s">
        <v>72</v>
      </c>
      <c r="L4" s="291"/>
    </row>
    <row r="5" spans="1:12" x14ac:dyDescent="0.2">
      <c r="A5" s="128">
        <v>1</v>
      </c>
      <c r="B5" s="6">
        <f>'[1]Diesel consumption'!$C$32</f>
        <v>43343220</v>
      </c>
      <c r="C5" s="63">
        <v>43351690</v>
      </c>
      <c r="D5" s="63">
        <f>C5-B5</f>
        <v>8470</v>
      </c>
      <c r="F5" s="122"/>
      <c r="G5" s="122"/>
      <c r="I5" s="126">
        <f t="shared" ref="I5:I34" si="0">D5/200</f>
        <v>42.35</v>
      </c>
      <c r="K5" s="8">
        <f>2.68*D5</f>
        <v>22699.600000000002</v>
      </c>
      <c r="L5" s="8">
        <f>K5/1000</f>
        <v>22.699600000000004</v>
      </c>
    </row>
    <row r="6" spans="1:12" x14ac:dyDescent="0.2">
      <c r="A6" s="128">
        <v>2</v>
      </c>
      <c r="B6" s="6">
        <f>C5</f>
        <v>43351690</v>
      </c>
      <c r="C6" s="6">
        <v>43360340</v>
      </c>
      <c r="D6" s="63">
        <f>C6-B6</f>
        <v>8650</v>
      </c>
      <c r="F6" s="122"/>
      <c r="G6" s="122"/>
      <c r="I6" s="126">
        <f t="shared" si="0"/>
        <v>43.25</v>
      </c>
      <c r="K6" s="8">
        <f t="shared" ref="K6:K36" si="1">2.68*D6</f>
        <v>23182</v>
      </c>
      <c r="L6" s="8">
        <f t="shared" ref="L6:L36" si="2">K6/1000</f>
        <v>23.181999999999999</v>
      </c>
    </row>
    <row r="7" spans="1:12" x14ac:dyDescent="0.2">
      <c r="A7" s="128">
        <v>3</v>
      </c>
      <c r="B7" s="6">
        <f t="shared" ref="B7:B35" si="3">C6</f>
        <v>43360340</v>
      </c>
      <c r="C7" s="6">
        <v>43368680</v>
      </c>
      <c r="D7" s="63">
        <f t="shared" ref="D7:D31" si="4">C7-B7</f>
        <v>8340</v>
      </c>
      <c r="F7" s="122"/>
      <c r="G7" s="122"/>
      <c r="I7" s="126">
        <f t="shared" si="0"/>
        <v>41.7</v>
      </c>
      <c r="K7" s="8">
        <f t="shared" si="1"/>
        <v>22351.200000000001</v>
      </c>
      <c r="L7" s="8">
        <f t="shared" si="2"/>
        <v>22.351200000000002</v>
      </c>
    </row>
    <row r="8" spans="1:12" x14ac:dyDescent="0.2">
      <c r="A8" s="128">
        <v>4</v>
      </c>
      <c r="B8" s="6">
        <f t="shared" si="3"/>
        <v>43368680</v>
      </c>
      <c r="C8" s="6">
        <v>43376940</v>
      </c>
      <c r="D8" s="63">
        <f t="shared" si="4"/>
        <v>8260</v>
      </c>
      <c r="F8" s="122"/>
      <c r="G8" s="122"/>
      <c r="I8" s="126">
        <f t="shared" si="0"/>
        <v>41.3</v>
      </c>
      <c r="K8" s="8">
        <f t="shared" si="1"/>
        <v>22136.800000000003</v>
      </c>
      <c r="L8" s="8">
        <f t="shared" si="2"/>
        <v>22.136800000000004</v>
      </c>
    </row>
    <row r="9" spans="1:12" x14ac:dyDescent="0.2">
      <c r="A9" s="128">
        <v>5</v>
      </c>
      <c r="B9" s="6">
        <f t="shared" si="3"/>
        <v>43376940</v>
      </c>
      <c r="C9" s="6">
        <v>43385490</v>
      </c>
      <c r="D9" s="63">
        <f t="shared" si="4"/>
        <v>8550</v>
      </c>
      <c r="F9" s="122"/>
      <c r="G9" s="122"/>
      <c r="I9" s="126">
        <f t="shared" si="0"/>
        <v>42.75</v>
      </c>
      <c r="K9" s="8">
        <f t="shared" si="1"/>
        <v>22914</v>
      </c>
      <c r="L9" s="8">
        <f t="shared" si="2"/>
        <v>22.914000000000001</v>
      </c>
    </row>
    <row r="10" spans="1:12" x14ac:dyDescent="0.2">
      <c r="A10" s="128">
        <v>6</v>
      </c>
      <c r="B10" s="6">
        <f t="shared" si="3"/>
        <v>43385490</v>
      </c>
      <c r="C10" s="6">
        <v>43394160</v>
      </c>
      <c r="D10" s="63">
        <f t="shared" si="4"/>
        <v>8670</v>
      </c>
      <c r="F10" s="122"/>
      <c r="G10" s="122"/>
      <c r="I10" s="126">
        <f t="shared" si="0"/>
        <v>43.35</v>
      </c>
      <c r="K10" s="8">
        <f t="shared" si="1"/>
        <v>23235.600000000002</v>
      </c>
      <c r="L10" s="8">
        <f t="shared" si="2"/>
        <v>23.235600000000002</v>
      </c>
    </row>
    <row r="11" spans="1:12" x14ac:dyDescent="0.2">
      <c r="A11" s="128">
        <v>7</v>
      </c>
      <c r="B11" s="6">
        <f t="shared" si="3"/>
        <v>43394160</v>
      </c>
      <c r="C11" s="6">
        <v>43402730</v>
      </c>
      <c r="D11" s="63">
        <f t="shared" si="4"/>
        <v>8570</v>
      </c>
      <c r="F11" s="122"/>
      <c r="G11" s="122"/>
      <c r="I11" s="126">
        <f t="shared" si="0"/>
        <v>42.85</v>
      </c>
      <c r="K11" s="8">
        <f t="shared" si="1"/>
        <v>22967.600000000002</v>
      </c>
      <c r="L11" s="8">
        <f t="shared" si="2"/>
        <v>22.967600000000001</v>
      </c>
    </row>
    <row r="12" spans="1:12" x14ac:dyDescent="0.2">
      <c r="A12" s="128">
        <v>8</v>
      </c>
      <c r="B12" s="6">
        <f t="shared" si="3"/>
        <v>43402730</v>
      </c>
      <c r="C12" s="6">
        <v>43411210</v>
      </c>
      <c r="D12" s="63">
        <f t="shared" si="4"/>
        <v>8480</v>
      </c>
      <c r="F12" s="122"/>
      <c r="G12" s="122"/>
      <c r="I12" s="126">
        <f t="shared" si="0"/>
        <v>42.4</v>
      </c>
      <c r="K12" s="8">
        <f t="shared" si="1"/>
        <v>22726.400000000001</v>
      </c>
      <c r="L12" s="8">
        <f t="shared" si="2"/>
        <v>22.726400000000002</v>
      </c>
    </row>
    <row r="13" spans="1:12" x14ac:dyDescent="0.2">
      <c r="A13" s="128">
        <v>9</v>
      </c>
      <c r="B13" s="6">
        <f t="shared" si="3"/>
        <v>43411210</v>
      </c>
      <c r="C13" s="6">
        <v>43419830</v>
      </c>
      <c r="D13" s="63">
        <f t="shared" si="4"/>
        <v>8620</v>
      </c>
      <c r="F13" s="122"/>
      <c r="G13" s="122"/>
      <c r="I13" s="126">
        <f t="shared" si="0"/>
        <v>43.1</v>
      </c>
      <c r="K13" s="8">
        <f t="shared" si="1"/>
        <v>23101.600000000002</v>
      </c>
      <c r="L13" s="8">
        <f t="shared" si="2"/>
        <v>23.101600000000001</v>
      </c>
    </row>
    <row r="14" spans="1:12" x14ac:dyDescent="0.2">
      <c r="A14" s="128">
        <v>10</v>
      </c>
      <c r="B14" s="6">
        <f t="shared" si="3"/>
        <v>43419830</v>
      </c>
      <c r="C14" s="6">
        <v>43427850</v>
      </c>
      <c r="D14" s="63">
        <f t="shared" si="4"/>
        <v>8020</v>
      </c>
      <c r="F14" s="122"/>
      <c r="G14" s="122"/>
      <c r="I14" s="126">
        <f t="shared" si="0"/>
        <v>40.1</v>
      </c>
      <c r="K14" s="8">
        <f t="shared" si="1"/>
        <v>21493.600000000002</v>
      </c>
      <c r="L14" s="8">
        <f t="shared" si="2"/>
        <v>21.493600000000001</v>
      </c>
    </row>
    <row r="15" spans="1:12" x14ac:dyDescent="0.2">
      <c r="A15" s="128">
        <v>11</v>
      </c>
      <c r="B15" s="6">
        <f t="shared" si="3"/>
        <v>43427850</v>
      </c>
      <c r="C15" s="6">
        <v>43434650</v>
      </c>
      <c r="D15" s="63">
        <f t="shared" si="4"/>
        <v>6800</v>
      </c>
      <c r="F15" s="122"/>
      <c r="G15" s="122"/>
      <c r="I15" s="126">
        <f t="shared" si="0"/>
        <v>34</v>
      </c>
      <c r="K15" s="8">
        <f t="shared" si="1"/>
        <v>18224</v>
      </c>
      <c r="L15" s="8">
        <f t="shared" si="2"/>
        <v>18.224</v>
      </c>
    </row>
    <row r="16" spans="1:12" x14ac:dyDescent="0.2">
      <c r="A16" s="128">
        <v>12</v>
      </c>
      <c r="B16" s="6">
        <f t="shared" si="3"/>
        <v>43434650</v>
      </c>
      <c r="C16" s="6">
        <v>43442060</v>
      </c>
      <c r="D16" s="63">
        <f t="shared" si="4"/>
        <v>7410</v>
      </c>
      <c r="F16" s="122"/>
      <c r="G16" s="122"/>
      <c r="I16" s="126">
        <f t="shared" si="0"/>
        <v>37.049999999999997</v>
      </c>
      <c r="K16" s="8">
        <f t="shared" si="1"/>
        <v>19858.800000000003</v>
      </c>
      <c r="L16" s="8">
        <f t="shared" si="2"/>
        <v>19.858800000000002</v>
      </c>
    </row>
    <row r="17" spans="1:12" x14ac:dyDescent="0.2">
      <c r="A17" s="128">
        <v>13</v>
      </c>
      <c r="B17" s="6">
        <f t="shared" si="3"/>
        <v>43442060</v>
      </c>
      <c r="C17" s="6">
        <v>43449830</v>
      </c>
      <c r="D17" s="63">
        <f t="shared" si="4"/>
        <v>7770</v>
      </c>
      <c r="F17" s="122"/>
      <c r="G17" s="122"/>
      <c r="I17" s="126">
        <f t="shared" si="0"/>
        <v>38.85</v>
      </c>
      <c r="K17" s="8">
        <f t="shared" si="1"/>
        <v>20823.600000000002</v>
      </c>
      <c r="L17" s="8">
        <f t="shared" si="2"/>
        <v>20.823600000000003</v>
      </c>
    </row>
    <row r="18" spans="1:12" x14ac:dyDescent="0.2">
      <c r="A18" s="128">
        <v>14</v>
      </c>
      <c r="B18" s="6">
        <f t="shared" si="3"/>
        <v>43449830</v>
      </c>
      <c r="C18" s="6">
        <v>43458040</v>
      </c>
      <c r="D18" s="63">
        <f t="shared" si="4"/>
        <v>8210</v>
      </c>
      <c r="F18" s="122"/>
      <c r="G18" s="122"/>
      <c r="I18" s="126">
        <f t="shared" si="0"/>
        <v>41.05</v>
      </c>
      <c r="K18" s="8">
        <f t="shared" si="1"/>
        <v>22002.800000000003</v>
      </c>
      <c r="L18" s="8">
        <f t="shared" si="2"/>
        <v>22.002800000000004</v>
      </c>
    </row>
    <row r="19" spans="1:12" x14ac:dyDescent="0.2">
      <c r="A19" s="128">
        <v>15</v>
      </c>
      <c r="B19" s="6">
        <f t="shared" si="3"/>
        <v>43458040</v>
      </c>
      <c r="C19" s="6">
        <v>43465980</v>
      </c>
      <c r="D19" s="63">
        <f t="shared" si="4"/>
        <v>7940</v>
      </c>
      <c r="F19" s="122"/>
      <c r="G19" s="122"/>
      <c r="I19" s="126">
        <f t="shared" si="0"/>
        <v>39.700000000000003</v>
      </c>
      <c r="K19" s="8">
        <f t="shared" si="1"/>
        <v>21279.200000000001</v>
      </c>
      <c r="L19" s="8">
        <f t="shared" si="2"/>
        <v>21.279199999999999</v>
      </c>
    </row>
    <row r="20" spans="1:12" x14ac:dyDescent="0.2">
      <c r="A20" s="128">
        <v>16</v>
      </c>
      <c r="B20" s="6">
        <f t="shared" si="3"/>
        <v>43465980</v>
      </c>
      <c r="C20" s="6">
        <v>43473970</v>
      </c>
      <c r="D20" s="63">
        <f t="shared" si="4"/>
        <v>7990</v>
      </c>
      <c r="F20" s="122"/>
      <c r="G20" s="122"/>
      <c r="I20" s="126">
        <f t="shared" si="0"/>
        <v>39.950000000000003</v>
      </c>
      <c r="K20" s="8">
        <f t="shared" si="1"/>
        <v>21413.200000000001</v>
      </c>
      <c r="L20" s="8">
        <f t="shared" si="2"/>
        <v>21.4132</v>
      </c>
    </row>
    <row r="21" spans="1:12" x14ac:dyDescent="0.2">
      <c r="A21" s="128">
        <v>17</v>
      </c>
      <c r="B21" s="6">
        <f t="shared" si="3"/>
        <v>43473970</v>
      </c>
      <c r="C21" s="6">
        <v>43481830</v>
      </c>
      <c r="D21" s="63">
        <f t="shared" si="4"/>
        <v>7860</v>
      </c>
      <c r="F21" s="122"/>
      <c r="G21" s="122"/>
      <c r="I21" s="126">
        <f t="shared" si="0"/>
        <v>39.299999999999997</v>
      </c>
      <c r="K21" s="8">
        <f t="shared" si="1"/>
        <v>21064.800000000003</v>
      </c>
      <c r="L21" s="8">
        <f t="shared" si="2"/>
        <v>21.064800000000002</v>
      </c>
    </row>
    <row r="22" spans="1:12" x14ac:dyDescent="0.2">
      <c r="A22" s="128">
        <v>18</v>
      </c>
      <c r="B22" s="6">
        <f t="shared" si="3"/>
        <v>43481830</v>
      </c>
      <c r="C22" s="6">
        <v>43489670</v>
      </c>
      <c r="D22" s="63">
        <f t="shared" si="4"/>
        <v>7840</v>
      </c>
      <c r="F22" s="122"/>
      <c r="G22" s="122"/>
      <c r="I22" s="126">
        <f t="shared" si="0"/>
        <v>39.200000000000003</v>
      </c>
      <c r="K22" s="8">
        <f t="shared" si="1"/>
        <v>21011.200000000001</v>
      </c>
      <c r="L22" s="8">
        <f t="shared" si="2"/>
        <v>21.011200000000002</v>
      </c>
    </row>
    <row r="23" spans="1:12" x14ac:dyDescent="0.2">
      <c r="A23" s="128">
        <v>19</v>
      </c>
      <c r="B23" s="6">
        <f t="shared" si="3"/>
        <v>43489670</v>
      </c>
      <c r="C23" s="6">
        <v>43497580</v>
      </c>
      <c r="D23" s="63">
        <f t="shared" si="4"/>
        <v>7910</v>
      </c>
      <c r="F23" s="122"/>
      <c r="G23" s="122"/>
      <c r="I23" s="126">
        <f t="shared" si="0"/>
        <v>39.549999999999997</v>
      </c>
      <c r="K23" s="8">
        <f t="shared" si="1"/>
        <v>21198.800000000003</v>
      </c>
      <c r="L23" s="8">
        <f t="shared" si="2"/>
        <v>21.198800000000002</v>
      </c>
    </row>
    <row r="24" spans="1:12" x14ac:dyDescent="0.2">
      <c r="A24" s="128">
        <v>20</v>
      </c>
      <c r="B24" s="6">
        <f t="shared" si="3"/>
        <v>43497580</v>
      </c>
      <c r="C24" s="6">
        <v>43505680</v>
      </c>
      <c r="D24" s="63">
        <f t="shared" si="4"/>
        <v>8100</v>
      </c>
      <c r="F24" s="122"/>
      <c r="G24" s="122"/>
      <c r="I24" s="126">
        <f t="shared" si="0"/>
        <v>40.5</v>
      </c>
      <c r="K24" s="8">
        <f t="shared" si="1"/>
        <v>21708</v>
      </c>
      <c r="L24" s="8">
        <f t="shared" si="2"/>
        <v>21.707999999999998</v>
      </c>
    </row>
    <row r="25" spans="1:12" x14ac:dyDescent="0.2">
      <c r="A25" s="128">
        <v>21</v>
      </c>
      <c r="B25" s="6">
        <f t="shared" si="3"/>
        <v>43505680</v>
      </c>
      <c r="C25" s="6"/>
      <c r="D25" s="63">
        <f t="shared" si="4"/>
        <v>-43505680</v>
      </c>
      <c r="F25" s="122"/>
      <c r="G25" s="122"/>
      <c r="I25" s="126">
        <f t="shared" si="0"/>
        <v>-217528.4</v>
      </c>
      <c r="K25" s="8">
        <f t="shared" si="1"/>
        <v>-116595222.40000001</v>
      </c>
      <c r="L25" s="8">
        <f t="shared" si="2"/>
        <v>-116595.2224</v>
      </c>
    </row>
    <row r="26" spans="1:12" x14ac:dyDescent="0.2">
      <c r="A26" s="128">
        <v>22</v>
      </c>
      <c r="B26" s="6">
        <f t="shared" si="3"/>
        <v>0</v>
      </c>
      <c r="C26" s="6"/>
      <c r="D26" s="63">
        <f t="shared" si="4"/>
        <v>0</v>
      </c>
      <c r="F26" s="122"/>
      <c r="G26" s="122"/>
      <c r="I26" s="126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28">
        <v>23</v>
      </c>
      <c r="B27" s="6">
        <f t="shared" si="3"/>
        <v>0</v>
      </c>
      <c r="C27" s="6"/>
      <c r="D27" s="63">
        <f t="shared" si="4"/>
        <v>0</v>
      </c>
      <c r="F27" s="122"/>
      <c r="G27" s="122"/>
      <c r="I27" s="126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28">
        <v>24</v>
      </c>
      <c r="B28" s="6">
        <f t="shared" si="3"/>
        <v>0</v>
      </c>
      <c r="C28" s="6"/>
      <c r="D28" s="63">
        <f t="shared" si="4"/>
        <v>0</v>
      </c>
      <c r="F28" s="122"/>
      <c r="G28" s="122"/>
      <c r="I28" s="126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28">
        <v>25</v>
      </c>
      <c r="B29" s="6">
        <f t="shared" si="3"/>
        <v>0</v>
      </c>
      <c r="C29" s="6"/>
      <c r="D29" s="115">
        <f t="shared" si="4"/>
        <v>0</v>
      </c>
      <c r="E29" s="111"/>
      <c r="F29" s="123"/>
      <c r="G29" s="122"/>
      <c r="I29" s="126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28">
        <v>26</v>
      </c>
      <c r="B30" s="6">
        <f t="shared" si="3"/>
        <v>0</v>
      </c>
      <c r="C30" s="6"/>
      <c r="D30" s="63">
        <f t="shared" si="4"/>
        <v>0</v>
      </c>
      <c r="F30" s="122"/>
      <c r="G30" s="122"/>
      <c r="I30" s="126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28">
        <v>27</v>
      </c>
      <c r="B31" s="6">
        <f t="shared" si="3"/>
        <v>0</v>
      </c>
      <c r="C31" s="6"/>
      <c r="D31" s="63">
        <f t="shared" si="4"/>
        <v>0</v>
      </c>
      <c r="F31" s="122"/>
      <c r="G31" s="122"/>
      <c r="I31" s="126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28">
        <v>28</v>
      </c>
      <c r="B32" s="6">
        <f t="shared" si="3"/>
        <v>0</v>
      </c>
      <c r="C32" s="6"/>
      <c r="D32" s="63">
        <f>C32-B32</f>
        <v>0</v>
      </c>
      <c r="F32" s="122"/>
      <c r="G32" s="122"/>
      <c r="I32" s="126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28">
        <v>29</v>
      </c>
      <c r="B33" s="6">
        <f t="shared" si="3"/>
        <v>0</v>
      </c>
      <c r="C33" s="6"/>
      <c r="D33" s="63">
        <f t="shared" ref="D33:D35" si="5">C33-B33</f>
        <v>0</v>
      </c>
      <c r="F33" s="122"/>
      <c r="G33" s="122"/>
      <c r="I33" s="126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28">
        <v>30</v>
      </c>
      <c r="B34" s="6">
        <f t="shared" si="3"/>
        <v>0</v>
      </c>
      <c r="C34" s="6"/>
      <c r="D34" s="63">
        <f t="shared" si="5"/>
        <v>0</v>
      </c>
      <c r="F34" s="122">
        <v>0</v>
      </c>
      <c r="G34" s="122"/>
      <c r="I34" s="126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28">
        <v>31</v>
      </c>
      <c r="B35" s="6">
        <f t="shared" si="3"/>
        <v>0</v>
      </c>
      <c r="C35" s="6"/>
      <c r="D35" s="63">
        <f t="shared" si="5"/>
        <v>0</v>
      </c>
      <c r="F35" s="146"/>
      <c r="G35" s="146"/>
      <c r="I35" s="126"/>
      <c r="K35" s="8"/>
      <c r="L35" s="8"/>
    </row>
    <row r="36" spans="1:12" ht="13.5" thickBot="1" x14ac:dyDescent="0.25">
      <c r="D36" s="64">
        <f>SUM(D5:D34)</f>
        <v>-43343220</v>
      </c>
      <c r="F36" s="124"/>
      <c r="G36" s="124"/>
      <c r="I36" s="126">
        <f>SUM(I5:I34)</f>
        <v>-216716.1</v>
      </c>
      <c r="K36" s="8">
        <f t="shared" si="1"/>
        <v>-116159829.60000001</v>
      </c>
      <c r="L36" s="8">
        <f t="shared" si="2"/>
        <v>-116159.82960000001</v>
      </c>
    </row>
    <row r="37" spans="1:12" ht="13.5" thickTop="1" x14ac:dyDescent="0.2"/>
  </sheetData>
  <mergeCells count="3">
    <mergeCell ref="F3:G3"/>
    <mergeCell ref="K4:L4"/>
    <mergeCell ref="A1:D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topLeftCell="A10" zoomScaleNormal="100" workbookViewId="0">
      <selection activeCell="C29" sqref="C29"/>
    </sheetView>
  </sheetViews>
  <sheetFormatPr defaultRowHeight="12.75" x14ac:dyDescent="0.2"/>
  <cols>
    <col min="1" max="1" width="5.28515625" style="163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8"/>
      <c r="C1" s="283"/>
      <c r="D1" s="283"/>
    </row>
    <row r="2" spans="1:11" x14ac:dyDescent="0.2">
      <c r="B2" s="18"/>
      <c r="C2" s="283"/>
      <c r="D2" s="283"/>
    </row>
    <row r="3" spans="1:11" ht="20.25" x14ac:dyDescent="0.2">
      <c r="B3" s="19"/>
      <c r="C3" s="66" t="s">
        <v>43</v>
      </c>
      <c r="D3" s="67"/>
    </row>
    <row r="4" spans="1:11" ht="20.25" x14ac:dyDescent="0.2">
      <c r="B4" s="18"/>
      <c r="C4" s="68"/>
      <c r="D4" s="67"/>
    </row>
    <row r="5" spans="1:11" ht="20.25" x14ac:dyDescent="0.2">
      <c r="A5" s="162"/>
      <c r="B5" s="86">
        <v>44256</v>
      </c>
      <c r="C5" s="68"/>
      <c r="D5" s="67"/>
    </row>
    <row r="6" spans="1:11" ht="13.5" thickBot="1" x14ac:dyDescent="0.25">
      <c r="B6" s="18"/>
      <c r="C6" s="18"/>
      <c r="D6" s="69"/>
    </row>
    <row r="7" spans="1:11" ht="13.5" thickBot="1" x14ac:dyDescent="0.25">
      <c r="B7" s="284" t="s">
        <v>44</v>
      </c>
      <c r="C7" s="286"/>
      <c r="D7" s="70"/>
    </row>
    <row r="8" spans="1:11" ht="38.25" x14ac:dyDescent="0.2">
      <c r="A8" s="164" t="s">
        <v>5</v>
      </c>
      <c r="B8" s="129" t="s">
        <v>19</v>
      </c>
      <c r="C8" s="43" t="s">
        <v>20</v>
      </c>
      <c r="D8" s="71" t="s">
        <v>29</v>
      </c>
    </row>
    <row r="9" spans="1:11" x14ac:dyDescent="0.2">
      <c r="A9" s="165">
        <v>1</v>
      </c>
      <c r="B9" s="33">
        <f>'[1]SOLAR METER READING'!$C$36</f>
        <v>2412901</v>
      </c>
      <c r="C9" s="33">
        <v>2415975</v>
      </c>
      <c r="D9" s="72">
        <f t="shared" ref="D9:D39" si="0">C9-B9</f>
        <v>3074</v>
      </c>
    </row>
    <row r="10" spans="1:11" x14ac:dyDescent="0.2">
      <c r="A10" s="74">
        <v>2</v>
      </c>
      <c r="B10" s="33">
        <f>C9</f>
        <v>2415975</v>
      </c>
      <c r="C10" s="33">
        <v>2419232</v>
      </c>
      <c r="D10" s="72">
        <f t="shared" si="0"/>
        <v>3257</v>
      </c>
    </row>
    <row r="11" spans="1:11" x14ac:dyDescent="0.2">
      <c r="A11" s="163">
        <v>3</v>
      </c>
      <c r="B11" s="33">
        <f t="shared" ref="B11:B39" si="1">C10</f>
        <v>2419232</v>
      </c>
      <c r="C11" s="33">
        <v>2422883</v>
      </c>
      <c r="D11" s="72">
        <f t="shared" si="0"/>
        <v>3651</v>
      </c>
    </row>
    <row r="12" spans="1:11" x14ac:dyDescent="0.2">
      <c r="A12" s="74">
        <v>4</v>
      </c>
      <c r="B12" s="33">
        <f t="shared" si="1"/>
        <v>2422883</v>
      </c>
      <c r="C12" s="33">
        <v>2425573</v>
      </c>
      <c r="D12" s="72">
        <f t="shared" si="0"/>
        <v>2690</v>
      </c>
    </row>
    <row r="13" spans="1:11" x14ac:dyDescent="0.2">
      <c r="A13" s="163">
        <v>5</v>
      </c>
      <c r="B13" s="33">
        <f t="shared" si="1"/>
        <v>2425573</v>
      </c>
      <c r="C13" s="33">
        <v>2428846</v>
      </c>
      <c r="D13" s="72">
        <f t="shared" si="0"/>
        <v>3273</v>
      </c>
      <c r="J13" t="s">
        <v>67</v>
      </c>
      <c r="K13" t="s">
        <v>66</v>
      </c>
    </row>
    <row r="14" spans="1:11" x14ac:dyDescent="0.2">
      <c r="A14" s="74">
        <v>6</v>
      </c>
      <c r="B14" s="33">
        <f t="shared" si="1"/>
        <v>2428846</v>
      </c>
      <c r="C14" s="33">
        <v>2432103</v>
      </c>
      <c r="D14" s="72">
        <f t="shared" si="0"/>
        <v>3257</v>
      </c>
      <c r="J14" s="125" t="s">
        <v>68</v>
      </c>
      <c r="K14" t="s">
        <v>69</v>
      </c>
    </row>
    <row r="15" spans="1:11" x14ac:dyDescent="0.2">
      <c r="A15" s="163">
        <v>7</v>
      </c>
      <c r="B15" s="33">
        <f t="shared" si="1"/>
        <v>2432103</v>
      </c>
      <c r="C15" s="33">
        <v>2435303</v>
      </c>
      <c r="D15" s="72">
        <f t="shared" si="0"/>
        <v>3200</v>
      </c>
      <c r="E15" s="44"/>
    </row>
    <row r="16" spans="1:11" x14ac:dyDescent="0.2">
      <c r="A16" s="74">
        <v>8</v>
      </c>
      <c r="B16" s="33">
        <f t="shared" si="1"/>
        <v>2435303</v>
      </c>
      <c r="C16" s="33">
        <v>2438437</v>
      </c>
      <c r="D16" s="72">
        <f t="shared" si="0"/>
        <v>3134</v>
      </c>
      <c r="E16" s="44"/>
    </row>
    <row r="17" spans="1:5" x14ac:dyDescent="0.2">
      <c r="A17" s="163">
        <v>9</v>
      </c>
      <c r="B17" s="33">
        <f t="shared" si="1"/>
        <v>2438437</v>
      </c>
      <c r="C17" s="33">
        <v>2440145</v>
      </c>
      <c r="D17" s="72">
        <f t="shared" si="0"/>
        <v>1708</v>
      </c>
      <c r="E17" s="44"/>
    </row>
    <row r="18" spans="1:5" x14ac:dyDescent="0.2">
      <c r="A18" s="74">
        <v>10</v>
      </c>
      <c r="B18" s="33">
        <f t="shared" si="1"/>
        <v>2440145</v>
      </c>
      <c r="C18" s="33">
        <v>2441444</v>
      </c>
      <c r="D18" s="72">
        <f t="shared" si="0"/>
        <v>1299</v>
      </c>
      <c r="E18" s="44"/>
    </row>
    <row r="19" spans="1:5" x14ac:dyDescent="0.2">
      <c r="A19" s="163">
        <v>11</v>
      </c>
      <c r="B19" s="33">
        <f t="shared" si="1"/>
        <v>2441444</v>
      </c>
      <c r="C19" s="33">
        <v>2443765</v>
      </c>
      <c r="D19" s="72">
        <f t="shared" si="0"/>
        <v>2321</v>
      </c>
      <c r="E19" s="44"/>
    </row>
    <row r="20" spans="1:5" x14ac:dyDescent="0.2">
      <c r="A20" s="74">
        <v>12</v>
      </c>
      <c r="B20" s="33">
        <f t="shared" si="1"/>
        <v>2443765</v>
      </c>
      <c r="C20" s="33">
        <v>2446203</v>
      </c>
      <c r="D20" s="72">
        <f t="shared" si="0"/>
        <v>2438</v>
      </c>
      <c r="E20" s="44"/>
    </row>
    <row r="21" spans="1:5" x14ac:dyDescent="0.2">
      <c r="A21" s="163">
        <v>13</v>
      </c>
      <c r="B21" s="33">
        <f t="shared" si="1"/>
        <v>2446203</v>
      </c>
      <c r="C21" s="33">
        <v>2449417</v>
      </c>
      <c r="D21" s="72">
        <f t="shared" si="0"/>
        <v>3214</v>
      </c>
      <c r="E21" s="44"/>
    </row>
    <row r="22" spans="1:5" x14ac:dyDescent="0.2">
      <c r="A22" s="74">
        <v>14</v>
      </c>
      <c r="B22" s="33">
        <f t="shared" si="1"/>
        <v>2449417</v>
      </c>
      <c r="C22" s="33">
        <v>2452411</v>
      </c>
      <c r="D22" s="72">
        <f t="shared" si="0"/>
        <v>2994</v>
      </c>
      <c r="E22" s="44"/>
    </row>
    <row r="23" spans="1:5" x14ac:dyDescent="0.2">
      <c r="A23" s="163">
        <v>15</v>
      </c>
      <c r="B23" s="33">
        <f t="shared" si="1"/>
        <v>2452411</v>
      </c>
      <c r="C23" s="33">
        <v>2455511</v>
      </c>
      <c r="D23" s="72">
        <f t="shared" si="0"/>
        <v>3100</v>
      </c>
      <c r="E23" s="44"/>
    </row>
    <row r="24" spans="1:5" x14ac:dyDescent="0.2">
      <c r="A24" s="74">
        <v>16</v>
      </c>
      <c r="B24" s="33">
        <f t="shared" si="1"/>
        <v>2455511</v>
      </c>
      <c r="C24" s="33">
        <v>2458845</v>
      </c>
      <c r="D24" s="72">
        <f t="shared" si="0"/>
        <v>3334</v>
      </c>
    </row>
    <row r="25" spans="1:5" x14ac:dyDescent="0.2">
      <c r="A25" s="163">
        <v>17</v>
      </c>
      <c r="B25" s="33">
        <f t="shared" si="1"/>
        <v>2458845</v>
      </c>
      <c r="C25" s="33">
        <v>2461883</v>
      </c>
      <c r="D25" s="72">
        <f t="shared" si="0"/>
        <v>3038</v>
      </c>
    </row>
    <row r="26" spans="1:5" x14ac:dyDescent="0.2">
      <c r="A26" s="74">
        <v>18</v>
      </c>
      <c r="B26" s="33">
        <f t="shared" si="1"/>
        <v>2461883</v>
      </c>
      <c r="C26" s="33">
        <v>2464995</v>
      </c>
      <c r="D26" s="72">
        <f t="shared" si="0"/>
        <v>3112</v>
      </c>
    </row>
    <row r="27" spans="1:5" x14ac:dyDescent="0.2">
      <c r="A27" s="163">
        <v>19</v>
      </c>
      <c r="B27" s="33">
        <f t="shared" si="1"/>
        <v>2464995</v>
      </c>
      <c r="C27" s="33">
        <v>2468200</v>
      </c>
      <c r="D27" s="72">
        <f t="shared" si="0"/>
        <v>3205</v>
      </c>
    </row>
    <row r="28" spans="1:5" x14ac:dyDescent="0.2">
      <c r="A28" s="74">
        <v>20</v>
      </c>
      <c r="B28" s="33">
        <f t="shared" si="1"/>
        <v>2468200</v>
      </c>
      <c r="C28" s="33">
        <v>2471364</v>
      </c>
      <c r="D28" s="72">
        <f t="shared" si="0"/>
        <v>3164</v>
      </c>
      <c r="E28" s="44"/>
    </row>
    <row r="29" spans="1:5" x14ac:dyDescent="0.2">
      <c r="A29" s="163">
        <v>21</v>
      </c>
      <c r="B29" s="33">
        <f t="shared" si="1"/>
        <v>2471364</v>
      </c>
      <c r="C29" s="33"/>
      <c r="D29" s="72">
        <f t="shared" si="0"/>
        <v>-2471364</v>
      </c>
    </row>
    <row r="30" spans="1:5" x14ac:dyDescent="0.2">
      <c r="A30" s="74">
        <v>22</v>
      </c>
      <c r="B30" s="33">
        <f t="shared" si="1"/>
        <v>0</v>
      </c>
      <c r="C30" s="33"/>
      <c r="D30" s="72">
        <f t="shared" si="0"/>
        <v>0</v>
      </c>
    </row>
    <row r="31" spans="1:5" x14ac:dyDescent="0.2">
      <c r="A31" s="163">
        <v>23</v>
      </c>
      <c r="B31" s="33">
        <f t="shared" si="1"/>
        <v>0</v>
      </c>
      <c r="C31" s="33"/>
      <c r="D31" s="72">
        <f t="shared" si="0"/>
        <v>0</v>
      </c>
    </row>
    <row r="32" spans="1:5" x14ac:dyDescent="0.2">
      <c r="A32" s="74">
        <v>24</v>
      </c>
      <c r="B32" s="33">
        <f t="shared" si="1"/>
        <v>0</v>
      </c>
      <c r="C32" s="120"/>
      <c r="D32" s="72">
        <f t="shared" si="0"/>
        <v>0</v>
      </c>
      <c r="E32" s="44"/>
    </row>
    <row r="33" spans="1:5" x14ac:dyDescent="0.2">
      <c r="A33" s="163">
        <v>25</v>
      </c>
      <c r="B33" s="33">
        <f t="shared" si="1"/>
        <v>0</v>
      </c>
      <c r="C33" s="33"/>
      <c r="D33" s="72">
        <f t="shared" si="0"/>
        <v>0</v>
      </c>
    </row>
    <row r="34" spans="1:5" x14ac:dyDescent="0.2">
      <c r="A34" s="74">
        <v>26</v>
      </c>
      <c r="B34" s="33">
        <f t="shared" si="1"/>
        <v>0</v>
      </c>
      <c r="C34" s="33"/>
      <c r="D34" s="72">
        <f t="shared" si="0"/>
        <v>0</v>
      </c>
      <c r="E34" s="44"/>
    </row>
    <row r="35" spans="1:5" x14ac:dyDescent="0.2">
      <c r="A35" s="163">
        <v>27</v>
      </c>
      <c r="B35" s="33">
        <f t="shared" si="1"/>
        <v>0</v>
      </c>
      <c r="C35" s="33"/>
      <c r="D35" s="72">
        <f t="shared" si="0"/>
        <v>0</v>
      </c>
      <c r="E35" s="44"/>
    </row>
    <row r="36" spans="1:5" x14ac:dyDescent="0.2">
      <c r="A36" s="74">
        <v>28</v>
      </c>
      <c r="B36" s="33">
        <f t="shared" si="1"/>
        <v>0</v>
      </c>
      <c r="C36" s="33"/>
      <c r="D36" s="72">
        <f t="shared" si="0"/>
        <v>0</v>
      </c>
      <c r="E36" s="44"/>
    </row>
    <row r="37" spans="1:5" x14ac:dyDescent="0.2">
      <c r="A37" s="74">
        <v>29</v>
      </c>
      <c r="B37" s="33">
        <f t="shared" si="1"/>
        <v>0</v>
      </c>
      <c r="C37" s="33"/>
      <c r="D37" s="72">
        <f t="shared" si="0"/>
        <v>0</v>
      </c>
      <c r="E37" s="44"/>
    </row>
    <row r="38" spans="1:5" x14ac:dyDescent="0.2">
      <c r="A38" s="74">
        <v>30</v>
      </c>
      <c r="B38" s="33">
        <f t="shared" si="1"/>
        <v>0</v>
      </c>
      <c r="C38" s="33"/>
      <c r="D38" s="72">
        <f t="shared" si="0"/>
        <v>0</v>
      </c>
      <c r="E38" s="44"/>
    </row>
    <row r="39" spans="1:5" x14ac:dyDescent="0.2">
      <c r="A39" s="74">
        <v>31</v>
      </c>
      <c r="B39" s="33">
        <f t="shared" si="1"/>
        <v>0</v>
      </c>
      <c r="C39" s="33"/>
      <c r="D39" s="72">
        <f t="shared" si="0"/>
        <v>0</v>
      </c>
      <c r="E39" s="44"/>
    </row>
    <row r="40" spans="1:5" ht="13.5" thickBot="1" x14ac:dyDescent="0.25">
      <c r="A40" s="163" t="s">
        <v>7</v>
      </c>
      <c r="B40" s="18"/>
      <c r="C40" s="18"/>
      <c r="D40" s="73">
        <f>SUM(D9:D39)</f>
        <v>-2412901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37"/>
  <sheetViews>
    <sheetView zoomScale="85" zoomScaleNormal="85" workbookViewId="0">
      <pane xSplit="3" ySplit="4" topLeftCell="D5" activePane="bottomRight" state="frozen"/>
      <selection pane="topRight" activeCell="D1" sqref="D1"/>
      <selection pane="bottomLeft" activeCell="A9" sqref="A9"/>
      <selection pane="bottomRight" activeCell="C25" sqref="C25"/>
    </sheetView>
  </sheetViews>
  <sheetFormatPr defaultRowHeight="12.75" x14ac:dyDescent="0.2"/>
  <cols>
    <col min="1" max="1" width="5" customWidth="1"/>
    <col min="2" max="3" width="11.7109375" style="18" customWidth="1"/>
    <col min="4" max="4" width="14.28515625" style="18" customWidth="1"/>
    <col min="5" max="6" width="11.7109375" style="18" customWidth="1"/>
    <col min="7" max="7" width="12.28515625" style="18" bestFit="1" customWidth="1"/>
    <col min="8" max="8" width="11.7109375" style="18" customWidth="1"/>
    <col min="9" max="9" width="11.7109375" customWidth="1"/>
    <col min="10" max="10" width="12.28515625" bestFit="1" customWidth="1"/>
    <col min="11" max="11" width="10.28515625" style="18" bestFit="1" customWidth="1"/>
    <col min="12" max="12" width="11.28515625" customWidth="1"/>
    <col min="13" max="13" width="11.28515625" bestFit="1" customWidth="1"/>
    <col min="14" max="14" width="10.28515625" style="18" customWidth="1"/>
    <col min="15" max="15" width="11.42578125" customWidth="1"/>
    <col min="16" max="16" width="11.28515625" bestFit="1" customWidth="1"/>
    <col min="17" max="17" width="10.28515625" style="18" bestFit="1" customWidth="1"/>
    <col min="18" max="18" width="11.140625" bestFit="1" customWidth="1"/>
    <col min="19" max="19" width="11.7109375" bestFit="1" customWidth="1"/>
    <col min="20" max="20" width="9" style="18" customWidth="1"/>
    <col min="21" max="21" width="9" customWidth="1"/>
    <col min="22" max="22" width="10.7109375" bestFit="1" customWidth="1"/>
    <col min="23" max="23" width="9" style="18" customWidth="1"/>
    <col min="24" max="24" width="9" customWidth="1"/>
    <col min="25" max="25" width="11.85546875" bestFit="1" customWidth="1"/>
    <col min="26" max="26" width="10.28515625" style="18" customWidth="1"/>
    <col min="27" max="27" width="9" customWidth="1"/>
    <col min="28" max="28" width="11.28515625" bestFit="1" customWidth="1"/>
    <col min="29" max="29" width="9" style="18" customWidth="1"/>
    <col min="30" max="30" width="9" customWidth="1"/>
    <col min="31" max="31" width="10.28515625" customWidth="1"/>
    <col min="32" max="32" width="9" style="18" customWidth="1"/>
    <col min="33" max="33" width="9" customWidth="1"/>
    <col min="34" max="34" width="10.140625" customWidth="1"/>
    <col min="35" max="35" width="9" style="18" customWidth="1"/>
    <col min="36" max="36" width="9" customWidth="1"/>
    <col min="37" max="37" width="10.7109375" bestFit="1" customWidth="1"/>
    <col min="38" max="38" width="9" style="18" customWidth="1"/>
    <col min="39" max="39" width="9" customWidth="1"/>
    <col min="40" max="40" width="10.7109375" bestFit="1" customWidth="1"/>
    <col min="41" max="41" width="9.85546875" style="18" bestFit="1" customWidth="1"/>
    <col min="42" max="42" width="9" customWidth="1"/>
    <col min="43" max="43" width="10.7109375" bestFit="1" customWidth="1"/>
    <col min="44" max="44" width="9.85546875" style="18" bestFit="1" customWidth="1"/>
    <col min="45" max="45" width="9" customWidth="1"/>
    <col min="46" max="46" width="11.85546875" bestFit="1" customWidth="1"/>
    <col min="47" max="47" width="9.85546875" style="18" bestFit="1" customWidth="1"/>
    <col min="48" max="48" width="9" customWidth="1"/>
    <col min="49" max="49" width="11.85546875" bestFit="1" customWidth="1"/>
    <col min="50" max="50" width="9.85546875" style="18" bestFit="1" customWidth="1"/>
    <col min="51" max="51" width="9" customWidth="1"/>
    <col min="52" max="52" width="11.85546875" bestFit="1" customWidth="1"/>
    <col min="53" max="53" width="9.85546875" style="18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s="1" customFormat="1" x14ac:dyDescent="0.2">
      <c r="A1" s="301">
        <v>44256</v>
      </c>
      <c r="B1" s="301"/>
      <c r="C1" s="300"/>
      <c r="D1" s="300"/>
      <c r="E1" s="300"/>
      <c r="F1" s="300"/>
      <c r="G1" s="24"/>
      <c r="H1" s="24"/>
      <c r="K1" s="24"/>
      <c r="N1" s="24"/>
      <c r="Q1" s="24"/>
      <c r="T1" s="24"/>
      <c r="W1" s="24"/>
      <c r="Z1" s="24"/>
      <c r="AC1" s="24"/>
      <c r="AF1" s="24"/>
      <c r="AI1" s="24"/>
      <c r="AL1" s="24"/>
      <c r="AO1" s="24"/>
      <c r="AR1" s="127"/>
      <c r="AU1" s="131"/>
      <c r="AX1" s="131"/>
      <c r="BA1" s="131"/>
    </row>
    <row r="2" spans="1:94" ht="13.5" thickBot="1" x14ac:dyDescent="0.25">
      <c r="A2" s="1" t="s">
        <v>45</v>
      </c>
    </row>
    <row r="3" spans="1:94" s="104" customFormat="1" ht="15.75" customHeight="1" x14ac:dyDescent="0.2">
      <c r="A3" s="105"/>
      <c r="B3" s="302" t="s">
        <v>46</v>
      </c>
      <c r="C3" s="302"/>
      <c r="D3" s="302"/>
      <c r="E3" s="303" t="s">
        <v>47</v>
      </c>
      <c r="F3" s="303"/>
      <c r="G3" s="303"/>
      <c r="H3" s="299" t="s">
        <v>48</v>
      </c>
      <c r="I3" s="299"/>
      <c r="J3" s="299"/>
      <c r="K3" s="297" t="s">
        <v>49</v>
      </c>
      <c r="L3" s="297"/>
      <c r="M3" s="298"/>
      <c r="N3" s="297" t="s">
        <v>50</v>
      </c>
      <c r="O3" s="297"/>
      <c r="P3" s="298"/>
      <c r="Q3" s="297" t="s">
        <v>51</v>
      </c>
      <c r="R3" s="297"/>
      <c r="S3" s="298"/>
      <c r="T3" s="297" t="s">
        <v>52</v>
      </c>
      <c r="U3" s="297"/>
      <c r="V3" s="298"/>
      <c r="W3" s="297" t="s">
        <v>91</v>
      </c>
      <c r="X3" s="297"/>
      <c r="Y3" s="298"/>
      <c r="Z3" s="297" t="s">
        <v>53</v>
      </c>
      <c r="AA3" s="297"/>
      <c r="AB3" s="298"/>
      <c r="AC3" s="297" t="s">
        <v>80</v>
      </c>
      <c r="AD3" s="297"/>
      <c r="AE3" s="298"/>
      <c r="AF3" s="297" t="s">
        <v>60</v>
      </c>
      <c r="AG3" s="297"/>
      <c r="AH3" s="298"/>
      <c r="AI3" s="297" t="s">
        <v>78</v>
      </c>
      <c r="AJ3" s="297"/>
      <c r="AK3" s="298"/>
      <c r="AL3" s="297" t="s">
        <v>59</v>
      </c>
      <c r="AM3" s="297"/>
      <c r="AN3" s="298"/>
      <c r="AO3" s="297" t="s">
        <v>79</v>
      </c>
      <c r="AP3" s="297"/>
      <c r="AQ3" s="298"/>
      <c r="AR3" s="294" t="s">
        <v>73</v>
      </c>
      <c r="AS3" s="295"/>
      <c r="AT3" s="296"/>
      <c r="AU3" s="294" t="s">
        <v>81</v>
      </c>
      <c r="AV3" s="295"/>
      <c r="AW3" s="296"/>
      <c r="AX3" s="294" t="s">
        <v>82</v>
      </c>
      <c r="AY3" s="295"/>
      <c r="AZ3" s="296"/>
      <c r="BA3" s="294" t="s">
        <v>83</v>
      </c>
      <c r="BB3" s="295"/>
      <c r="BC3" s="296"/>
      <c r="BD3" s="292" t="s">
        <v>74</v>
      </c>
      <c r="BE3" s="292"/>
      <c r="BF3" s="293"/>
      <c r="BG3" s="292" t="s">
        <v>61</v>
      </c>
      <c r="BH3" s="292"/>
      <c r="BI3" s="293"/>
      <c r="BJ3" s="292" t="s">
        <v>62</v>
      </c>
      <c r="BK3" s="292"/>
      <c r="BL3" s="293"/>
      <c r="BM3" s="292" t="s">
        <v>63</v>
      </c>
      <c r="BN3" s="292"/>
      <c r="BO3" s="293"/>
      <c r="BP3" s="292" t="s">
        <v>64</v>
      </c>
      <c r="BQ3" s="292"/>
      <c r="BR3" s="293"/>
      <c r="BS3" s="292" t="s">
        <v>76</v>
      </c>
      <c r="BT3" s="292"/>
      <c r="BU3" s="293"/>
      <c r="BV3" s="292" t="s">
        <v>92</v>
      </c>
      <c r="BW3" s="292"/>
      <c r="BX3" s="293"/>
      <c r="BY3" s="292" t="s">
        <v>93</v>
      </c>
      <c r="BZ3" s="292"/>
      <c r="CA3" s="293"/>
      <c r="CB3" s="292" t="s">
        <v>94</v>
      </c>
      <c r="CC3" s="292"/>
      <c r="CD3" s="293"/>
      <c r="CE3" s="292" t="s">
        <v>95</v>
      </c>
      <c r="CF3" s="292"/>
      <c r="CG3" s="293"/>
      <c r="CH3" s="292" t="s">
        <v>96</v>
      </c>
      <c r="CI3" s="292"/>
      <c r="CJ3" s="293"/>
      <c r="CK3" s="292" t="s">
        <v>97</v>
      </c>
      <c r="CL3" s="292"/>
      <c r="CM3" s="293"/>
      <c r="CN3" s="292" t="s">
        <v>98</v>
      </c>
      <c r="CO3" s="292"/>
      <c r="CP3" s="293"/>
    </row>
    <row r="4" spans="1:94" s="104" customFormat="1" ht="26.25" customHeight="1" thickBot="1" x14ac:dyDescent="0.25">
      <c r="A4" s="95" t="s">
        <v>5</v>
      </c>
      <c r="B4" s="96" t="s">
        <v>54</v>
      </c>
      <c r="C4" s="96" t="s">
        <v>55</v>
      </c>
      <c r="D4" s="97" t="s">
        <v>56</v>
      </c>
      <c r="E4" s="98" t="s">
        <v>54</v>
      </c>
      <c r="F4" s="98" t="s">
        <v>55</v>
      </c>
      <c r="G4" s="99" t="s">
        <v>56</v>
      </c>
      <c r="H4" s="100" t="s">
        <v>54</v>
      </c>
      <c r="I4" s="100" t="s">
        <v>55</v>
      </c>
      <c r="J4" s="101" t="s">
        <v>56</v>
      </c>
      <c r="K4" s="102" t="s">
        <v>54</v>
      </c>
      <c r="L4" s="102" t="s">
        <v>55</v>
      </c>
      <c r="M4" s="103" t="s">
        <v>56</v>
      </c>
      <c r="N4" s="102" t="s">
        <v>54</v>
      </c>
      <c r="O4" s="102" t="s">
        <v>55</v>
      </c>
      <c r="P4" s="103" t="s">
        <v>56</v>
      </c>
      <c r="Q4" s="102" t="s">
        <v>54</v>
      </c>
      <c r="R4" s="102" t="s">
        <v>55</v>
      </c>
      <c r="S4" s="103" t="s">
        <v>56</v>
      </c>
      <c r="T4" s="102" t="s">
        <v>54</v>
      </c>
      <c r="U4" s="102" t="s">
        <v>55</v>
      </c>
      <c r="V4" s="103" t="s">
        <v>56</v>
      </c>
      <c r="W4" s="102" t="s">
        <v>54</v>
      </c>
      <c r="X4" s="102" t="s">
        <v>55</v>
      </c>
      <c r="Y4" s="103" t="s">
        <v>56</v>
      </c>
      <c r="Z4" s="102" t="s">
        <v>54</v>
      </c>
      <c r="AA4" s="102" t="s">
        <v>55</v>
      </c>
      <c r="AB4" s="103" t="s">
        <v>56</v>
      </c>
      <c r="AC4" s="102" t="s">
        <v>54</v>
      </c>
      <c r="AD4" s="102" t="s">
        <v>55</v>
      </c>
      <c r="AE4" s="103" t="s">
        <v>56</v>
      </c>
      <c r="AF4" s="102" t="s">
        <v>54</v>
      </c>
      <c r="AG4" s="102" t="s">
        <v>55</v>
      </c>
      <c r="AH4" s="103" t="s">
        <v>56</v>
      </c>
      <c r="AI4" s="102" t="s">
        <v>54</v>
      </c>
      <c r="AJ4" s="102" t="s">
        <v>55</v>
      </c>
      <c r="AK4" s="103" t="s">
        <v>56</v>
      </c>
      <c r="AL4" s="102" t="s">
        <v>54</v>
      </c>
      <c r="AM4" s="102" t="s">
        <v>55</v>
      </c>
      <c r="AN4" s="103" t="s">
        <v>56</v>
      </c>
      <c r="AO4" s="102" t="s">
        <v>54</v>
      </c>
      <c r="AP4" s="102" t="s">
        <v>55</v>
      </c>
      <c r="AQ4" s="103" t="s">
        <v>56</v>
      </c>
      <c r="AR4" s="102" t="s">
        <v>54</v>
      </c>
      <c r="AS4" s="102" t="s">
        <v>55</v>
      </c>
      <c r="AT4" s="103" t="s">
        <v>56</v>
      </c>
      <c r="AU4" s="102" t="s">
        <v>54</v>
      </c>
      <c r="AV4" s="102" t="s">
        <v>55</v>
      </c>
      <c r="AW4" s="103" t="s">
        <v>56</v>
      </c>
      <c r="AX4" s="102" t="s">
        <v>54</v>
      </c>
      <c r="AY4" s="102" t="s">
        <v>55</v>
      </c>
      <c r="AZ4" s="103" t="s">
        <v>56</v>
      </c>
      <c r="BA4" s="102" t="s">
        <v>54</v>
      </c>
      <c r="BB4" s="102" t="s">
        <v>55</v>
      </c>
      <c r="BC4" s="103" t="s">
        <v>56</v>
      </c>
      <c r="BD4" s="116" t="s">
        <v>54</v>
      </c>
      <c r="BE4" s="116" t="s">
        <v>55</v>
      </c>
      <c r="BF4" s="116" t="s">
        <v>75</v>
      </c>
      <c r="BG4" s="116" t="s">
        <v>54</v>
      </c>
      <c r="BH4" s="116" t="s">
        <v>55</v>
      </c>
      <c r="BI4" s="117" t="s">
        <v>56</v>
      </c>
      <c r="BJ4" s="116" t="s">
        <v>54</v>
      </c>
      <c r="BK4" s="116" t="s">
        <v>55</v>
      </c>
      <c r="BL4" s="117" t="s">
        <v>56</v>
      </c>
      <c r="BM4" s="116" t="s">
        <v>54</v>
      </c>
      <c r="BN4" s="116" t="s">
        <v>55</v>
      </c>
      <c r="BO4" s="117" t="s">
        <v>56</v>
      </c>
      <c r="BP4" s="116" t="s">
        <v>54</v>
      </c>
      <c r="BQ4" s="116" t="s">
        <v>55</v>
      </c>
      <c r="BR4" s="117" t="s">
        <v>56</v>
      </c>
      <c r="BS4" s="121" t="s">
        <v>54</v>
      </c>
      <c r="BT4" s="116" t="s">
        <v>55</v>
      </c>
      <c r="BU4" s="117" t="s">
        <v>56</v>
      </c>
      <c r="BV4" s="121" t="s">
        <v>54</v>
      </c>
      <c r="BW4" s="116" t="s">
        <v>55</v>
      </c>
      <c r="BX4" s="117" t="s">
        <v>56</v>
      </c>
      <c r="BY4" s="121" t="s">
        <v>54</v>
      </c>
      <c r="BZ4" s="116" t="s">
        <v>55</v>
      </c>
      <c r="CA4" s="117" t="s">
        <v>56</v>
      </c>
      <c r="CB4" s="121" t="s">
        <v>54</v>
      </c>
      <c r="CC4" s="116" t="s">
        <v>55</v>
      </c>
      <c r="CD4" s="117" t="s">
        <v>56</v>
      </c>
      <c r="CE4" s="121" t="s">
        <v>54</v>
      </c>
      <c r="CF4" s="116" t="s">
        <v>55</v>
      </c>
      <c r="CG4" s="117" t="s">
        <v>56</v>
      </c>
      <c r="CH4" s="121" t="s">
        <v>54</v>
      </c>
      <c r="CI4" s="116" t="s">
        <v>55</v>
      </c>
      <c r="CJ4" s="117" t="s">
        <v>56</v>
      </c>
      <c r="CK4" s="121" t="s">
        <v>54</v>
      </c>
      <c r="CL4" s="116" t="s">
        <v>55</v>
      </c>
      <c r="CM4" s="117" t="s">
        <v>56</v>
      </c>
      <c r="CN4" s="121" t="s">
        <v>54</v>
      </c>
      <c r="CO4" s="116" t="s">
        <v>55</v>
      </c>
      <c r="CP4" s="117" t="s">
        <v>56</v>
      </c>
    </row>
    <row r="5" spans="1:94" s="3" customFormat="1" x14ac:dyDescent="0.2">
      <c r="A5" s="74">
        <v>1</v>
      </c>
      <c r="B5" s="75">
        <f>'[1]FEEDER Consumption '!$C$36</f>
        <v>25299446</v>
      </c>
      <c r="C5" s="75">
        <v>25303383</v>
      </c>
      <c r="D5" s="76">
        <f t="shared" ref="D5:D35" si="0">C5-B5</f>
        <v>3937</v>
      </c>
      <c r="E5" s="145">
        <f>'[1]FEEDER Consumption '!$F$36</f>
        <v>22256534</v>
      </c>
      <c r="F5" s="78">
        <v>22261774</v>
      </c>
      <c r="G5" s="77">
        <f>F5-E5</f>
        <v>5240</v>
      </c>
      <c r="H5" s="79">
        <f>'[1]FEEDER Consumption '!$I$36</f>
        <v>84529864</v>
      </c>
      <c r="I5" s="79">
        <v>84544183</v>
      </c>
      <c r="J5" s="83">
        <f t="shared" ref="J5:J35" si="1">I5-H5</f>
        <v>14319</v>
      </c>
      <c r="K5" s="79">
        <f>'[1]FEEDER Consumption '!$L$36</f>
        <v>1842900</v>
      </c>
      <c r="L5" s="80">
        <v>1844900</v>
      </c>
      <c r="M5" s="83">
        <f t="shared" ref="M5:M31" si="2">L5-K5</f>
        <v>2000</v>
      </c>
      <c r="N5" s="79">
        <f>'[1]FEEDER Consumption '!$O$36</f>
        <v>2491793</v>
      </c>
      <c r="O5" s="79">
        <v>2494491</v>
      </c>
      <c r="P5" s="83">
        <f t="shared" ref="P5:P31" si="3">O5-N5</f>
        <v>2698</v>
      </c>
      <c r="Q5" s="83">
        <f>'[1]FEEDER Consumption '!$R$36</f>
        <v>1509500</v>
      </c>
      <c r="R5" s="80">
        <v>1511400</v>
      </c>
      <c r="S5" s="83">
        <f t="shared" ref="S5:S31" si="4">R5-Q5</f>
        <v>1900</v>
      </c>
      <c r="T5" s="79">
        <f>'[1]FEEDER Consumption '!$U$36</f>
        <v>695400</v>
      </c>
      <c r="U5" s="80">
        <v>696020</v>
      </c>
      <c r="V5" s="83">
        <f t="shared" ref="V5:V31" si="5">U5-T5</f>
        <v>620</v>
      </c>
      <c r="W5" s="79">
        <f>'[1]FEEDER Consumption '!$X$36</f>
        <v>7199500</v>
      </c>
      <c r="X5" s="80">
        <v>7205600</v>
      </c>
      <c r="Y5" s="83">
        <f t="shared" ref="Y5:Y31" si="6">X5-W5</f>
        <v>6100</v>
      </c>
      <c r="Z5" s="79">
        <f>'[1]FEEDER Consumption '!$AA$36</f>
        <v>1614900</v>
      </c>
      <c r="AA5" s="80">
        <v>1617400</v>
      </c>
      <c r="AB5" s="83">
        <f>AA5-Z5</f>
        <v>2500</v>
      </c>
      <c r="AC5" s="79">
        <f>'[1]FEEDER Consumption '!$AD$36</f>
        <v>467628</v>
      </c>
      <c r="AD5" s="81">
        <v>468034</v>
      </c>
      <c r="AE5" s="83">
        <f>AD5-AC5</f>
        <v>406</v>
      </c>
      <c r="AF5" s="79">
        <f>'[1]FEEDER Consumption '!$AG$36</f>
        <v>334120</v>
      </c>
      <c r="AG5" s="81">
        <v>334540</v>
      </c>
      <c r="AH5" s="83">
        <f>AG5-AF5</f>
        <v>420</v>
      </c>
      <c r="AI5" s="79">
        <f>'[1]FEEDER Consumption '!$AJ$36</f>
        <v>572210</v>
      </c>
      <c r="AJ5" s="81">
        <v>573070</v>
      </c>
      <c r="AK5" s="83">
        <f>AJ5-AI5</f>
        <v>860</v>
      </c>
      <c r="AL5" s="79">
        <f>'[1]FEEDER Consumption '!$AM$36</f>
        <v>1047400</v>
      </c>
      <c r="AM5" s="81">
        <v>1048700</v>
      </c>
      <c r="AN5" s="83">
        <f>AM5-AL5</f>
        <v>1300</v>
      </c>
      <c r="AO5" s="79">
        <f>'[1]FEEDER Consumption '!$AP$36</f>
        <v>666850</v>
      </c>
      <c r="AP5" s="81">
        <v>667720</v>
      </c>
      <c r="AQ5" s="83">
        <f>AP5-AO5</f>
        <v>870</v>
      </c>
      <c r="AR5" s="79">
        <f>'[1]FEEDER Consumption '!$AS$36</f>
        <v>540890</v>
      </c>
      <c r="AS5" s="81">
        <v>541880</v>
      </c>
      <c r="AT5" s="83">
        <f>AS5-AR5</f>
        <v>990</v>
      </c>
      <c r="AU5" s="79">
        <f>'[1]FEEDER Consumption '!$AV$36</f>
        <v>491370</v>
      </c>
      <c r="AV5" s="81">
        <v>493180</v>
      </c>
      <c r="AW5" s="83">
        <f>AV5-AU5</f>
        <v>1810</v>
      </c>
      <c r="AX5" s="81">
        <f>'[1]FEEDER Consumption '!$AY$36</f>
        <v>382690</v>
      </c>
      <c r="AY5" s="81">
        <v>383900</v>
      </c>
      <c r="AZ5" s="83">
        <f>AY5-AX5</f>
        <v>1210</v>
      </c>
      <c r="BA5" s="79">
        <f>'[1]FEEDER Consumption '!$BB$36</f>
        <v>1059100</v>
      </c>
      <c r="BB5" s="81">
        <v>1063200</v>
      </c>
      <c r="BC5" s="83">
        <f>BB5-BA5</f>
        <v>4100</v>
      </c>
      <c r="BD5" s="83">
        <f>'[1]FEEDER Consumption '!$BE$36</f>
        <v>22670</v>
      </c>
      <c r="BE5" s="83">
        <v>22771</v>
      </c>
      <c r="BF5" s="83">
        <f>BE5-BD5</f>
        <v>101</v>
      </c>
      <c r="BG5" s="79">
        <f>'[1]FEEDER Consumption '!$BH$36</f>
        <v>18223</v>
      </c>
      <c r="BH5" s="81">
        <v>18318</v>
      </c>
      <c r="BI5" s="169">
        <f>BH5-BG5</f>
        <v>95</v>
      </c>
      <c r="BJ5" s="81">
        <f>'[1]FEEDER Consumption '!$BK$36</f>
        <v>16778</v>
      </c>
      <c r="BK5" s="81">
        <v>16859</v>
      </c>
      <c r="BL5" s="83">
        <f>BK5-BJ5</f>
        <v>81</v>
      </c>
      <c r="BM5" s="79">
        <f>'[1]FEEDER Consumption '!$BN$36</f>
        <v>26640</v>
      </c>
      <c r="BN5" s="81">
        <v>26754</v>
      </c>
      <c r="BO5" s="83">
        <f>BN5-BM5</f>
        <v>114</v>
      </c>
      <c r="BP5" s="79">
        <f>'[1]FEEDER Consumption '!$BQ$36</f>
        <v>19074</v>
      </c>
      <c r="BQ5" s="81">
        <v>19165</v>
      </c>
      <c r="BR5" s="83">
        <f>BQ5-BP5</f>
        <v>91</v>
      </c>
      <c r="BS5" s="79">
        <f>'[1]FEEDER Consumption '!$BT$36</f>
        <v>19564</v>
      </c>
      <c r="BT5" s="81">
        <v>19653</v>
      </c>
      <c r="BU5" s="83">
        <f>BT5-BS5</f>
        <v>89</v>
      </c>
      <c r="BV5" s="79">
        <f>'[1]FEEDER Consumption '!$BW$36</f>
        <v>13606</v>
      </c>
      <c r="BW5" s="81">
        <v>13653</v>
      </c>
      <c r="BX5" s="83">
        <f>BW5-BV5</f>
        <v>47</v>
      </c>
      <c r="BY5" s="79">
        <f>'[1]FEEDER Consumption '!$BZ$36</f>
        <v>35302</v>
      </c>
      <c r="BZ5" s="81">
        <v>35474</v>
      </c>
      <c r="CA5" s="83">
        <f>BZ5-BY5</f>
        <v>172</v>
      </c>
      <c r="CB5" s="79">
        <f>'[1]FEEDER Consumption '!$CC$36</f>
        <v>27666</v>
      </c>
      <c r="CC5" s="81">
        <v>27747</v>
      </c>
      <c r="CD5" s="83">
        <f>CC5-CB5</f>
        <v>81</v>
      </c>
      <c r="CE5" s="79">
        <f>'[1]FEEDER Consumption '!$CF$36</f>
        <v>81511</v>
      </c>
      <c r="CF5" s="81">
        <v>81766</v>
      </c>
      <c r="CG5" s="83">
        <f>CF5-CE5</f>
        <v>255</v>
      </c>
      <c r="CH5" s="79">
        <f>'[1]FEEDER Consumption '!$CI$36</f>
        <v>55072</v>
      </c>
      <c r="CI5" s="81">
        <v>55417</v>
      </c>
      <c r="CJ5" s="83">
        <f>CI5-CH5</f>
        <v>345</v>
      </c>
      <c r="CK5" s="79">
        <f>'[1]FEEDER Consumption '!$CL$36</f>
        <v>13610</v>
      </c>
      <c r="CL5" s="81">
        <v>13660</v>
      </c>
      <c r="CM5" s="83">
        <f>CL5-CK5</f>
        <v>50</v>
      </c>
      <c r="CN5" s="79">
        <f>'[1]FEEDER Consumption '!$CO$36</f>
        <v>48296</v>
      </c>
      <c r="CO5" s="81">
        <v>48430</v>
      </c>
      <c r="CP5" s="83">
        <f>CO5-CN5</f>
        <v>134</v>
      </c>
    </row>
    <row r="6" spans="1:94" s="3" customFormat="1" ht="13.5" customHeight="1" x14ac:dyDescent="0.2">
      <c r="A6" s="82">
        <v>2</v>
      </c>
      <c r="B6" s="75">
        <f>C5</f>
        <v>25303383</v>
      </c>
      <c r="C6" s="75">
        <v>25307325</v>
      </c>
      <c r="D6" s="76">
        <f t="shared" si="0"/>
        <v>3942</v>
      </c>
      <c r="E6" s="77">
        <f>F5</f>
        <v>22261774</v>
      </c>
      <c r="F6" s="78">
        <v>22267391</v>
      </c>
      <c r="G6" s="77">
        <f>F6-E6</f>
        <v>5617</v>
      </c>
      <c r="H6" s="79">
        <f>I5</f>
        <v>84544183</v>
      </c>
      <c r="I6" s="79">
        <v>84558930</v>
      </c>
      <c r="J6" s="83">
        <f t="shared" si="1"/>
        <v>14747</v>
      </c>
      <c r="K6" s="79">
        <f>L5</f>
        <v>1844900</v>
      </c>
      <c r="L6" s="80">
        <v>1846900</v>
      </c>
      <c r="M6" s="83">
        <f t="shared" si="2"/>
        <v>2000</v>
      </c>
      <c r="N6" s="79">
        <f>O5</f>
        <v>2494491</v>
      </c>
      <c r="O6" s="79">
        <v>2497325</v>
      </c>
      <c r="P6" s="83">
        <f t="shared" si="3"/>
        <v>2834</v>
      </c>
      <c r="Q6" s="79">
        <f>R5</f>
        <v>1511400</v>
      </c>
      <c r="R6" s="80">
        <v>1513300</v>
      </c>
      <c r="S6" s="83">
        <f t="shared" si="4"/>
        <v>1900</v>
      </c>
      <c r="T6" s="79">
        <f>U5</f>
        <v>696020</v>
      </c>
      <c r="U6" s="80">
        <v>696670</v>
      </c>
      <c r="V6" s="83">
        <f t="shared" si="5"/>
        <v>650</v>
      </c>
      <c r="W6" s="79">
        <f>X5</f>
        <v>7205600</v>
      </c>
      <c r="X6" s="80">
        <v>7212000</v>
      </c>
      <c r="Y6" s="83">
        <f t="shared" si="6"/>
        <v>6400</v>
      </c>
      <c r="Z6" s="79">
        <f>AA5</f>
        <v>1617400</v>
      </c>
      <c r="AA6" s="80">
        <v>1619900</v>
      </c>
      <c r="AB6" s="83">
        <f t="shared" ref="AB6:AB31" si="7">AA6-Z6</f>
        <v>2500</v>
      </c>
      <c r="AC6" s="79">
        <f t="shared" ref="AC6:AC35" si="8">AD5</f>
        <v>468034</v>
      </c>
      <c r="AD6" s="79">
        <v>468451</v>
      </c>
      <c r="AE6" s="83">
        <f t="shared" ref="AE6:AE35" si="9">AD6-AC6</f>
        <v>417</v>
      </c>
      <c r="AF6" s="79">
        <f t="shared" ref="AF6:AF35" si="10">AG5</f>
        <v>334540</v>
      </c>
      <c r="AG6" s="79">
        <v>334980</v>
      </c>
      <c r="AH6" s="83">
        <f t="shared" ref="AH6:AH35" si="11">AG6-AF6</f>
        <v>440</v>
      </c>
      <c r="AI6" s="79">
        <f t="shared" ref="AI6:AI35" si="12">AJ5</f>
        <v>573070</v>
      </c>
      <c r="AJ6" s="79">
        <v>573920</v>
      </c>
      <c r="AK6" s="83">
        <f t="shared" ref="AK6:AK35" si="13">AJ6-AI6</f>
        <v>850</v>
      </c>
      <c r="AL6" s="79">
        <f>AM5</f>
        <v>1048700</v>
      </c>
      <c r="AM6" s="79">
        <v>1050100</v>
      </c>
      <c r="AN6" s="83">
        <f t="shared" ref="AN6:AN35" si="14">AM6-AL6</f>
        <v>1400</v>
      </c>
      <c r="AO6" s="79">
        <f>AP5</f>
        <v>667720</v>
      </c>
      <c r="AP6" s="79">
        <v>668600</v>
      </c>
      <c r="AQ6" s="83">
        <f t="shared" ref="AQ6:AQ35" si="15">AP6-AO6</f>
        <v>880</v>
      </c>
      <c r="AR6" s="79">
        <f>AS5</f>
        <v>541880</v>
      </c>
      <c r="AS6" s="79">
        <v>544780</v>
      </c>
      <c r="AT6" s="83">
        <f t="shared" ref="AT6:AT35" si="16">AS6-AR6</f>
        <v>2900</v>
      </c>
      <c r="AU6" s="79">
        <f>AV5</f>
        <v>493180</v>
      </c>
      <c r="AV6" s="79">
        <v>495020</v>
      </c>
      <c r="AW6" s="83">
        <f t="shared" ref="AW6:AW35" si="17">AV6-AU6</f>
        <v>1840</v>
      </c>
      <c r="AX6" s="79">
        <f>AY5</f>
        <v>383900</v>
      </c>
      <c r="AY6" s="79">
        <v>385120</v>
      </c>
      <c r="AZ6" s="83">
        <f t="shared" ref="AZ6:AZ35" si="18">AY6-AX6</f>
        <v>1220</v>
      </c>
      <c r="BA6" s="79">
        <f>BB5</f>
        <v>1063200</v>
      </c>
      <c r="BB6" s="79">
        <v>1067000</v>
      </c>
      <c r="BC6" s="83">
        <f t="shared" ref="BC6:BC35" si="19">BB6-BA6</f>
        <v>3800</v>
      </c>
      <c r="BD6" s="83">
        <f>BE5</f>
        <v>22771</v>
      </c>
      <c r="BE6" s="83">
        <v>22903</v>
      </c>
      <c r="BF6" s="83">
        <f>BE6-BD6</f>
        <v>132</v>
      </c>
      <c r="BG6" s="79">
        <f>BH5</f>
        <v>18318</v>
      </c>
      <c r="BH6" s="79">
        <v>18441</v>
      </c>
      <c r="BI6" s="169">
        <f t="shared" ref="BI6:BI35" si="20">BH6-BG6</f>
        <v>123</v>
      </c>
      <c r="BJ6" s="79">
        <f>BK5</f>
        <v>16859</v>
      </c>
      <c r="BK6" s="79">
        <v>16948</v>
      </c>
      <c r="BL6" s="83">
        <f t="shared" ref="BL6:BL35" si="21">BK6-BJ6</f>
        <v>89</v>
      </c>
      <c r="BM6" s="79">
        <f>BN5</f>
        <v>26754</v>
      </c>
      <c r="BN6" s="79">
        <v>26885</v>
      </c>
      <c r="BO6" s="83">
        <f t="shared" ref="BO6:BO35" si="22">BN6-BM6</f>
        <v>131</v>
      </c>
      <c r="BP6" s="79">
        <f>BQ5</f>
        <v>19165</v>
      </c>
      <c r="BQ6" s="79">
        <v>19266</v>
      </c>
      <c r="BR6" s="83">
        <f t="shared" ref="BR6:BR35" si="23">BQ6-BP6</f>
        <v>101</v>
      </c>
      <c r="BS6" s="79">
        <f>BT5</f>
        <v>19653</v>
      </c>
      <c r="BT6" s="79">
        <v>19747</v>
      </c>
      <c r="BU6" s="83">
        <f t="shared" ref="BU6:BU35" si="24">BT6-BS6</f>
        <v>94</v>
      </c>
      <c r="BV6" s="79">
        <f>BW5</f>
        <v>13653</v>
      </c>
      <c r="BW6" s="79">
        <v>13709</v>
      </c>
      <c r="BX6" s="83">
        <f t="shared" ref="BX6:BX35" si="25">BW6-BV6</f>
        <v>56</v>
      </c>
      <c r="BY6" s="79">
        <f>BZ5</f>
        <v>35474</v>
      </c>
      <c r="BZ6" s="79">
        <v>35645</v>
      </c>
      <c r="CA6" s="83">
        <f t="shared" ref="CA6:CA35" si="26">BZ6-BY6</f>
        <v>171</v>
      </c>
      <c r="CB6" s="79">
        <f>CC5</f>
        <v>27747</v>
      </c>
      <c r="CC6" s="79">
        <v>27834</v>
      </c>
      <c r="CD6" s="83">
        <f t="shared" ref="CD6:CD35" si="27">CC6-CB6</f>
        <v>87</v>
      </c>
      <c r="CE6" s="79">
        <f>CF5</f>
        <v>81766</v>
      </c>
      <c r="CF6" s="79">
        <v>82063</v>
      </c>
      <c r="CG6" s="83">
        <f t="shared" ref="CG6:CG35" si="28">CF6-CE6</f>
        <v>297</v>
      </c>
      <c r="CH6" s="79">
        <f>CI5</f>
        <v>55417</v>
      </c>
      <c r="CI6" s="79">
        <v>55838</v>
      </c>
      <c r="CJ6" s="83">
        <f t="shared" ref="CJ6:CJ35" si="29">CI6-CH6</f>
        <v>421</v>
      </c>
      <c r="CK6" s="79">
        <f>CL5</f>
        <v>13660</v>
      </c>
      <c r="CL6" s="79">
        <v>13713</v>
      </c>
      <c r="CM6" s="83">
        <f t="shared" ref="CM6:CM35" si="30">CL6-CK6</f>
        <v>53</v>
      </c>
      <c r="CN6" s="79">
        <f>CO5</f>
        <v>48430</v>
      </c>
      <c r="CO6" s="79">
        <v>48567</v>
      </c>
      <c r="CP6" s="83">
        <f t="shared" ref="CP6:CP35" si="31">CO6-CN6</f>
        <v>137</v>
      </c>
    </row>
    <row r="7" spans="1:94" s="3" customFormat="1" ht="13.5" customHeight="1" x14ac:dyDescent="0.2">
      <c r="A7" s="82">
        <v>3</v>
      </c>
      <c r="B7" s="75">
        <f t="shared" ref="B7:B35" si="32">C6</f>
        <v>25307325</v>
      </c>
      <c r="C7" s="75">
        <v>25311054</v>
      </c>
      <c r="D7" s="76">
        <f t="shared" si="0"/>
        <v>3729</v>
      </c>
      <c r="E7" s="77">
        <f>F6</f>
        <v>22267391</v>
      </c>
      <c r="F7" s="78">
        <v>22272655</v>
      </c>
      <c r="G7" s="77">
        <f t="shared" ref="G7:G31" si="33">F7-E7</f>
        <v>5264</v>
      </c>
      <c r="H7" s="79">
        <f t="shared" ref="H7:H35" si="34">I6</f>
        <v>84558930</v>
      </c>
      <c r="I7" s="79">
        <v>84573189</v>
      </c>
      <c r="J7" s="83">
        <f t="shared" si="1"/>
        <v>14259</v>
      </c>
      <c r="K7" s="79">
        <f>L6</f>
        <v>1846900</v>
      </c>
      <c r="L7" s="80">
        <v>1848700</v>
      </c>
      <c r="M7" s="83">
        <f t="shared" si="2"/>
        <v>1800</v>
      </c>
      <c r="N7" s="79">
        <f>O6</f>
        <v>2497325</v>
      </c>
      <c r="O7" s="79">
        <v>2500138</v>
      </c>
      <c r="P7" s="83">
        <f t="shared" si="3"/>
        <v>2813</v>
      </c>
      <c r="Q7" s="79">
        <f t="shared" ref="Q7:Q35" si="35">R6</f>
        <v>1513300</v>
      </c>
      <c r="R7" s="80">
        <v>1515200</v>
      </c>
      <c r="S7" s="83">
        <f t="shared" si="4"/>
        <v>1900</v>
      </c>
      <c r="T7" s="79">
        <f>U6</f>
        <v>696670</v>
      </c>
      <c r="U7" s="80">
        <v>697267</v>
      </c>
      <c r="V7" s="83">
        <f t="shared" si="5"/>
        <v>597</v>
      </c>
      <c r="W7" s="79">
        <f>X6</f>
        <v>7212000</v>
      </c>
      <c r="X7" s="80">
        <v>7218400</v>
      </c>
      <c r="Y7" s="83">
        <f t="shared" si="6"/>
        <v>6400</v>
      </c>
      <c r="Z7" s="79">
        <f>AA6</f>
        <v>1619900</v>
      </c>
      <c r="AA7" s="80">
        <v>1622000</v>
      </c>
      <c r="AB7" s="83">
        <f t="shared" si="7"/>
        <v>2100</v>
      </c>
      <c r="AC7" s="79">
        <f t="shared" si="8"/>
        <v>468451</v>
      </c>
      <c r="AD7" s="79">
        <v>468833</v>
      </c>
      <c r="AE7" s="83">
        <f t="shared" si="9"/>
        <v>382</v>
      </c>
      <c r="AF7" s="79">
        <f t="shared" si="10"/>
        <v>334980</v>
      </c>
      <c r="AG7" s="79">
        <v>335420</v>
      </c>
      <c r="AH7" s="83">
        <f t="shared" si="11"/>
        <v>440</v>
      </c>
      <c r="AI7" s="79">
        <f t="shared" si="12"/>
        <v>573920</v>
      </c>
      <c r="AJ7" s="79">
        <v>574780</v>
      </c>
      <c r="AK7" s="83">
        <f t="shared" si="13"/>
        <v>860</v>
      </c>
      <c r="AL7" s="79">
        <f t="shared" ref="AL7:AL35" si="36">AM6</f>
        <v>1050100</v>
      </c>
      <c r="AM7" s="79">
        <v>1051500</v>
      </c>
      <c r="AN7" s="83">
        <f t="shared" si="14"/>
        <v>1400</v>
      </c>
      <c r="AO7" s="79">
        <f t="shared" ref="AO7:AO35" si="37">AP6</f>
        <v>668600</v>
      </c>
      <c r="AP7" s="80">
        <v>669470</v>
      </c>
      <c r="AQ7" s="83">
        <f t="shared" si="15"/>
        <v>870</v>
      </c>
      <c r="AR7" s="79">
        <f t="shared" ref="AR7:AR35" si="38">AS6</f>
        <v>544780</v>
      </c>
      <c r="AS7" s="79">
        <v>547420</v>
      </c>
      <c r="AT7" s="83">
        <f t="shared" si="16"/>
        <v>2640</v>
      </c>
      <c r="AU7" s="79">
        <f t="shared" ref="AU7:AU35" si="39">AV6</f>
        <v>495020</v>
      </c>
      <c r="AV7" s="79">
        <v>496940</v>
      </c>
      <c r="AW7" s="83">
        <f t="shared" si="17"/>
        <v>1920</v>
      </c>
      <c r="AX7" s="79">
        <f t="shared" ref="AX7:AX35" si="40">AY6</f>
        <v>385120</v>
      </c>
      <c r="AY7" s="79">
        <v>386330</v>
      </c>
      <c r="AZ7" s="83">
        <f t="shared" si="18"/>
        <v>1210</v>
      </c>
      <c r="BA7" s="79">
        <f t="shared" ref="BA7:BA35" si="41">BB6</f>
        <v>1067000</v>
      </c>
      <c r="BB7" s="79">
        <v>1070900</v>
      </c>
      <c r="BC7" s="83">
        <f t="shared" si="19"/>
        <v>3900</v>
      </c>
      <c r="BD7" s="83">
        <f t="shared" ref="BD7:BD35" si="42">BE6</f>
        <v>22903</v>
      </c>
      <c r="BE7" s="83">
        <v>23017</v>
      </c>
      <c r="BF7" s="83">
        <f t="shared" ref="BF7:BF35" si="43">BE7-BD7</f>
        <v>114</v>
      </c>
      <c r="BG7" s="79">
        <f t="shared" ref="BG7:BG35" si="44">BH6</f>
        <v>18441</v>
      </c>
      <c r="BH7" s="79">
        <v>18549</v>
      </c>
      <c r="BI7" s="169">
        <f t="shared" si="20"/>
        <v>108</v>
      </c>
      <c r="BJ7" s="79">
        <f t="shared" ref="BJ7:BJ35" si="45">BK6</f>
        <v>16948</v>
      </c>
      <c r="BK7" s="79">
        <v>17033</v>
      </c>
      <c r="BL7" s="83">
        <f t="shared" si="21"/>
        <v>85</v>
      </c>
      <c r="BM7" s="79">
        <f t="shared" ref="BM7:BM31" si="46">BN6</f>
        <v>26885</v>
      </c>
      <c r="BN7" s="79">
        <v>26994</v>
      </c>
      <c r="BO7" s="83">
        <f t="shared" si="22"/>
        <v>109</v>
      </c>
      <c r="BP7" s="79">
        <f t="shared" ref="BP7:BP35" si="47">BQ6</f>
        <v>19266</v>
      </c>
      <c r="BQ7" s="79">
        <v>19357</v>
      </c>
      <c r="BR7" s="83">
        <f t="shared" si="23"/>
        <v>91</v>
      </c>
      <c r="BS7" s="79">
        <f t="shared" ref="BS7:BS35" si="48">BT6</f>
        <v>19747</v>
      </c>
      <c r="BT7" s="79">
        <v>19822</v>
      </c>
      <c r="BU7" s="83">
        <f t="shared" si="24"/>
        <v>75</v>
      </c>
      <c r="BV7" s="79">
        <f t="shared" ref="BV7:BV35" si="49">BW6</f>
        <v>13709</v>
      </c>
      <c r="BW7" s="79">
        <v>13762</v>
      </c>
      <c r="BX7" s="83">
        <f t="shared" si="25"/>
        <v>53</v>
      </c>
      <c r="BY7" s="79">
        <f t="shared" ref="BY7:BY35" si="50">BZ6</f>
        <v>35645</v>
      </c>
      <c r="BZ7" s="80">
        <v>35818</v>
      </c>
      <c r="CA7" s="83">
        <f t="shared" si="26"/>
        <v>173</v>
      </c>
      <c r="CB7" s="79">
        <f t="shared" ref="CB7:CB35" si="51">CC6</f>
        <v>27834</v>
      </c>
      <c r="CC7" s="79">
        <v>27906</v>
      </c>
      <c r="CD7" s="83">
        <f t="shared" si="27"/>
        <v>72</v>
      </c>
      <c r="CE7" s="79">
        <f t="shared" ref="CE7:CE35" si="52">CF6</f>
        <v>82063</v>
      </c>
      <c r="CF7" s="80">
        <v>82348</v>
      </c>
      <c r="CG7" s="83">
        <f t="shared" si="28"/>
        <v>285</v>
      </c>
      <c r="CH7" s="79">
        <f t="shared" ref="CH7:CH35" si="53">CI6</f>
        <v>55838</v>
      </c>
      <c r="CI7" s="79">
        <v>56240</v>
      </c>
      <c r="CJ7" s="83">
        <f t="shared" si="29"/>
        <v>402</v>
      </c>
      <c r="CK7" s="79">
        <f t="shared" ref="CK7:CK35" si="54">CL6</f>
        <v>13713</v>
      </c>
      <c r="CL7" s="79">
        <v>13768</v>
      </c>
      <c r="CM7" s="83">
        <f t="shared" si="30"/>
        <v>55</v>
      </c>
      <c r="CN7" s="79">
        <f t="shared" ref="CN7:CN35" si="55">CO6</f>
        <v>48567</v>
      </c>
      <c r="CO7" s="79">
        <v>48625</v>
      </c>
      <c r="CP7" s="83">
        <f t="shared" si="31"/>
        <v>58</v>
      </c>
    </row>
    <row r="8" spans="1:94" s="3" customFormat="1" ht="13.5" customHeight="1" x14ac:dyDescent="0.2">
      <c r="A8" s="82">
        <v>4</v>
      </c>
      <c r="B8" s="75">
        <f t="shared" si="32"/>
        <v>25311054</v>
      </c>
      <c r="C8" s="75">
        <v>25314699</v>
      </c>
      <c r="D8" s="76">
        <f t="shared" si="0"/>
        <v>3645</v>
      </c>
      <c r="E8" s="77">
        <f>F7</f>
        <v>22272655</v>
      </c>
      <c r="F8" s="78">
        <v>22277784</v>
      </c>
      <c r="G8" s="77">
        <f t="shared" si="33"/>
        <v>5129</v>
      </c>
      <c r="H8" s="79">
        <f t="shared" si="34"/>
        <v>84573189</v>
      </c>
      <c r="I8" s="79">
        <v>84587346</v>
      </c>
      <c r="J8" s="83">
        <f t="shared" si="1"/>
        <v>14157</v>
      </c>
      <c r="K8" s="79">
        <f>L7</f>
        <v>1848700</v>
      </c>
      <c r="L8" s="80">
        <v>1850700</v>
      </c>
      <c r="M8" s="83">
        <f t="shared" si="2"/>
        <v>2000</v>
      </c>
      <c r="N8" s="79">
        <f>O7</f>
        <v>2500138</v>
      </c>
      <c r="O8" s="79">
        <v>2502934</v>
      </c>
      <c r="P8" s="83">
        <f t="shared" si="3"/>
        <v>2796</v>
      </c>
      <c r="Q8" s="79">
        <f t="shared" si="35"/>
        <v>1515200</v>
      </c>
      <c r="R8" s="80">
        <v>1516900</v>
      </c>
      <c r="S8" s="83">
        <f t="shared" si="4"/>
        <v>1700</v>
      </c>
      <c r="T8" s="79">
        <f>U7</f>
        <v>697267</v>
      </c>
      <c r="U8" s="80">
        <v>697894</v>
      </c>
      <c r="V8" s="83">
        <f t="shared" si="5"/>
        <v>627</v>
      </c>
      <c r="W8" s="79">
        <f>X7</f>
        <v>7218400</v>
      </c>
      <c r="X8" s="80">
        <v>7224500</v>
      </c>
      <c r="Y8" s="83">
        <f t="shared" si="6"/>
        <v>6100</v>
      </c>
      <c r="Z8" s="79">
        <f>AA7</f>
        <v>1622000</v>
      </c>
      <c r="AA8" s="80">
        <v>1623800</v>
      </c>
      <c r="AB8" s="83">
        <f t="shared" si="7"/>
        <v>1800</v>
      </c>
      <c r="AC8" s="79">
        <f t="shared" si="8"/>
        <v>468833</v>
      </c>
      <c r="AD8" s="79">
        <v>469212</v>
      </c>
      <c r="AE8" s="83">
        <f t="shared" si="9"/>
        <v>379</v>
      </c>
      <c r="AF8" s="79">
        <f t="shared" si="10"/>
        <v>335420</v>
      </c>
      <c r="AG8" s="79">
        <v>335830</v>
      </c>
      <c r="AH8" s="83">
        <f t="shared" si="11"/>
        <v>410</v>
      </c>
      <c r="AI8" s="79">
        <f t="shared" si="12"/>
        <v>574780</v>
      </c>
      <c r="AJ8" s="79">
        <v>575630</v>
      </c>
      <c r="AK8" s="83">
        <f t="shared" si="13"/>
        <v>850</v>
      </c>
      <c r="AL8" s="79">
        <f t="shared" si="36"/>
        <v>1051500</v>
      </c>
      <c r="AM8" s="79">
        <v>1052800</v>
      </c>
      <c r="AN8" s="83">
        <f t="shared" si="14"/>
        <v>1300</v>
      </c>
      <c r="AO8" s="79">
        <f t="shared" si="37"/>
        <v>669470</v>
      </c>
      <c r="AP8" s="80">
        <v>670350</v>
      </c>
      <c r="AQ8" s="83">
        <f t="shared" si="15"/>
        <v>880</v>
      </c>
      <c r="AR8" s="79">
        <f t="shared" si="38"/>
        <v>547420</v>
      </c>
      <c r="AS8" s="79">
        <v>547420</v>
      </c>
      <c r="AT8" s="83">
        <f t="shared" si="16"/>
        <v>0</v>
      </c>
      <c r="AU8" s="79">
        <f t="shared" si="39"/>
        <v>496940</v>
      </c>
      <c r="AV8" s="79">
        <v>498880</v>
      </c>
      <c r="AW8" s="83">
        <f t="shared" si="17"/>
        <v>1940</v>
      </c>
      <c r="AX8" s="79">
        <f t="shared" si="40"/>
        <v>386330</v>
      </c>
      <c r="AY8" s="79">
        <v>387500</v>
      </c>
      <c r="AZ8" s="83">
        <f t="shared" si="18"/>
        <v>1170</v>
      </c>
      <c r="BA8" s="79">
        <f t="shared" si="41"/>
        <v>1070900</v>
      </c>
      <c r="BB8" s="79">
        <v>1075400</v>
      </c>
      <c r="BC8" s="83">
        <f t="shared" si="19"/>
        <v>4500</v>
      </c>
      <c r="BD8" s="83">
        <f t="shared" si="42"/>
        <v>23017</v>
      </c>
      <c r="BE8" s="83">
        <v>23131</v>
      </c>
      <c r="BF8" s="83">
        <f t="shared" si="43"/>
        <v>114</v>
      </c>
      <c r="BG8" s="79">
        <f t="shared" si="44"/>
        <v>18549</v>
      </c>
      <c r="BH8" s="79">
        <v>18640</v>
      </c>
      <c r="BI8" s="169">
        <f t="shared" si="20"/>
        <v>91</v>
      </c>
      <c r="BJ8" s="79">
        <f t="shared" si="45"/>
        <v>17033</v>
      </c>
      <c r="BK8" s="79">
        <v>17112</v>
      </c>
      <c r="BL8" s="83">
        <f t="shared" si="21"/>
        <v>79</v>
      </c>
      <c r="BM8" s="79">
        <f t="shared" si="46"/>
        <v>26994</v>
      </c>
      <c r="BN8" s="79">
        <v>27099</v>
      </c>
      <c r="BO8" s="83">
        <f t="shared" si="22"/>
        <v>105</v>
      </c>
      <c r="BP8" s="79">
        <f t="shared" si="47"/>
        <v>19357</v>
      </c>
      <c r="BQ8" s="79">
        <v>19441</v>
      </c>
      <c r="BR8" s="83">
        <f t="shared" si="23"/>
        <v>84</v>
      </c>
      <c r="BS8" s="79">
        <f t="shared" si="48"/>
        <v>19822</v>
      </c>
      <c r="BT8" s="79">
        <v>19899</v>
      </c>
      <c r="BU8" s="83">
        <f t="shared" si="24"/>
        <v>77</v>
      </c>
      <c r="BV8" s="79">
        <f t="shared" si="49"/>
        <v>13762</v>
      </c>
      <c r="BW8" s="79">
        <v>13807</v>
      </c>
      <c r="BX8" s="83">
        <f t="shared" si="25"/>
        <v>45</v>
      </c>
      <c r="BY8" s="79">
        <f t="shared" si="50"/>
        <v>35818</v>
      </c>
      <c r="BZ8" s="80">
        <v>35961</v>
      </c>
      <c r="CA8" s="83">
        <f t="shared" si="26"/>
        <v>143</v>
      </c>
      <c r="CB8" s="79">
        <f t="shared" si="51"/>
        <v>27906</v>
      </c>
      <c r="CC8" s="79">
        <v>27981</v>
      </c>
      <c r="CD8" s="83">
        <f t="shared" si="27"/>
        <v>75</v>
      </c>
      <c r="CE8" s="79">
        <f t="shared" si="52"/>
        <v>82348</v>
      </c>
      <c r="CF8" s="80">
        <v>82626</v>
      </c>
      <c r="CG8" s="83">
        <f t="shared" si="28"/>
        <v>278</v>
      </c>
      <c r="CH8" s="79">
        <f t="shared" si="53"/>
        <v>56240</v>
      </c>
      <c r="CI8" s="79">
        <v>56612</v>
      </c>
      <c r="CJ8" s="83">
        <f t="shared" si="29"/>
        <v>372</v>
      </c>
      <c r="CK8" s="79">
        <f t="shared" si="54"/>
        <v>13768</v>
      </c>
      <c r="CL8" s="79">
        <v>13813</v>
      </c>
      <c r="CM8" s="83">
        <f t="shared" si="30"/>
        <v>45</v>
      </c>
      <c r="CN8" s="79">
        <f t="shared" si="55"/>
        <v>48625</v>
      </c>
      <c r="CO8" s="79">
        <v>48696</v>
      </c>
      <c r="CP8" s="83">
        <f t="shared" si="31"/>
        <v>71</v>
      </c>
    </row>
    <row r="9" spans="1:94" s="3" customFormat="1" ht="13.5" customHeight="1" x14ac:dyDescent="0.2">
      <c r="A9" s="87">
        <v>5</v>
      </c>
      <c r="B9" s="75">
        <f t="shared" si="32"/>
        <v>25314699</v>
      </c>
      <c r="C9" s="75">
        <v>25318471</v>
      </c>
      <c r="D9" s="76">
        <f t="shared" si="0"/>
        <v>3772</v>
      </c>
      <c r="E9" s="77">
        <f t="shared" ref="E9:E32" si="56">F8</f>
        <v>22277784</v>
      </c>
      <c r="F9" s="78">
        <v>22283483</v>
      </c>
      <c r="G9" s="77">
        <f t="shared" si="33"/>
        <v>5699</v>
      </c>
      <c r="H9" s="79">
        <f t="shared" si="34"/>
        <v>84587346</v>
      </c>
      <c r="I9" s="79">
        <v>84601848</v>
      </c>
      <c r="J9" s="83">
        <f t="shared" si="1"/>
        <v>14502</v>
      </c>
      <c r="K9" s="79">
        <f t="shared" ref="K9:K35" si="57">L8</f>
        <v>1850700</v>
      </c>
      <c r="L9" s="80">
        <v>1852600</v>
      </c>
      <c r="M9" s="83">
        <f t="shared" si="2"/>
        <v>1900</v>
      </c>
      <c r="N9" s="79">
        <f t="shared" ref="N9:N20" si="58">O8</f>
        <v>2502934</v>
      </c>
      <c r="O9" s="79">
        <v>2505661</v>
      </c>
      <c r="P9" s="83">
        <f t="shared" si="3"/>
        <v>2727</v>
      </c>
      <c r="Q9" s="79">
        <f t="shared" si="35"/>
        <v>1516900</v>
      </c>
      <c r="R9" s="80">
        <v>1518700</v>
      </c>
      <c r="S9" s="83">
        <f t="shared" si="4"/>
        <v>1800</v>
      </c>
      <c r="T9" s="79">
        <f t="shared" ref="T9:T20" si="59">U8</f>
        <v>697894</v>
      </c>
      <c r="U9" s="80">
        <v>698550</v>
      </c>
      <c r="V9" s="83">
        <f t="shared" si="5"/>
        <v>656</v>
      </c>
      <c r="W9" s="79">
        <f t="shared" ref="W9:W20" si="60">X8</f>
        <v>7224500</v>
      </c>
      <c r="X9" s="80">
        <v>7230900</v>
      </c>
      <c r="Y9" s="83">
        <f t="shared" si="6"/>
        <v>6400</v>
      </c>
      <c r="Z9" s="79">
        <f t="shared" ref="Z9:Z20" si="61">AA8</f>
        <v>1623800</v>
      </c>
      <c r="AA9" s="80">
        <v>1625800</v>
      </c>
      <c r="AB9" s="83">
        <f t="shared" si="7"/>
        <v>2000</v>
      </c>
      <c r="AC9" s="79">
        <f t="shared" si="8"/>
        <v>469212</v>
      </c>
      <c r="AD9" s="79">
        <v>469816</v>
      </c>
      <c r="AE9" s="83">
        <f t="shared" si="9"/>
        <v>604</v>
      </c>
      <c r="AF9" s="79">
        <f t="shared" si="10"/>
        <v>335830</v>
      </c>
      <c r="AG9" s="79">
        <v>336220</v>
      </c>
      <c r="AH9" s="83">
        <f t="shared" si="11"/>
        <v>390</v>
      </c>
      <c r="AI9" s="79">
        <f t="shared" si="12"/>
        <v>575630</v>
      </c>
      <c r="AJ9" s="79">
        <v>576510</v>
      </c>
      <c r="AK9" s="83">
        <f t="shared" si="13"/>
        <v>880</v>
      </c>
      <c r="AL9" s="79">
        <f t="shared" si="36"/>
        <v>1052800</v>
      </c>
      <c r="AM9" s="79">
        <v>1054200</v>
      </c>
      <c r="AN9" s="83">
        <f t="shared" si="14"/>
        <v>1400</v>
      </c>
      <c r="AO9" s="79">
        <f t="shared" si="37"/>
        <v>670350</v>
      </c>
      <c r="AP9" s="80">
        <v>671260</v>
      </c>
      <c r="AQ9" s="83">
        <f t="shared" si="15"/>
        <v>910</v>
      </c>
      <c r="AR9" s="79">
        <f t="shared" si="38"/>
        <v>547420</v>
      </c>
      <c r="AS9" s="79">
        <v>548010</v>
      </c>
      <c r="AT9" s="83">
        <f t="shared" si="16"/>
        <v>590</v>
      </c>
      <c r="AU9" s="79">
        <f t="shared" si="39"/>
        <v>498880</v>
      </c>
      <c r="AV9" s="79">
        <v>500510</v>
      </c>
      <c r="AW9" s="83">
        <f t="shared" si="17"/>
        <v>1630</v>
      </c>
      <c r="AX9" s="79">
        <f t="shared" si="40"/>
        <v>387500</v>
      </c>
      <c r="AY9" s="79">
        <v>388740</v>
      </c>
      <c r="AZ9" s="83">
        <f t="shared" si="18"/>
        <v>1240</v>
      </c>
      <c r="BA9" s="79">
        <f t="shared" si="41"/>
        <v>1075400</v>
      </c>
      <c r="BB9" s="79">
        <v>1079100</v>
      </c>
      <c r="BC9" s="83">
        <f t="shared" si="19"/>
        <v>3700</v>
      </c>
      <c r="BD9" s="83">
        <f t="shared" si="42"/>
        <v>23131</v>
      </c>
      <c r="BE9" s="83">
        <v>23247</v>
      </c>
      <c r="BF9" s="83">
        <f t="shared" si="43"/>
        <v>116</v>
      </c>
      <c r="BG9" s="79">
        <f t="shared" si="44"/>
        <v>18640</v>
      </c>
      <c r="BH9" s="79">
        <v>18754</v>
      </c>
      <c r="BI9" s="169">
        <f t="shared" si="20"/>
        <v>114</v>
      </c>
      <c r="BJ9" s="79">
        <f t="shared" si="45"/>
        <v>17112</v>
      </c>
      <c r="BK9" s="79">
        <v>17203</v>
      </c>
      <c r="BL9" s="83">
        <f t="shared" si="21"/>
        <v>91</v>
      </c>
      <c r="BM9" s="79">
        <f t="shared" si="46"/>
        <v>27099</v>
      </c>
      <c r="BN9" s="79">
        <v>27225</v>
      </c>
      <c r="BO9" s="83">
        <f t="shared" si="22"/>
        <v>126</v>
      </c>
      <c r="BP9" s="79">
        <f t="shared" si="47"/>
        <v>19441</v>
      </c>
      <c r="BQ9" s="79">
        <v>19531</v>
      </c>
      <c r="BR9" s="83">
        <f t="shared" si="23"/>
        <v>90</v>
      </c>
      <c r="BS9" s="79">
        <f t="shared" si="48"/>
        <v>19899</v>
      </c>
      <c r="BT9" s="79">
        <v>19985</v>
      </c>
      <c r="BU9" s="83">
        <f t="shared" si="24"/>
        <v>86</v>
      </c>
      <c r="BV9" s="79">
        <f t="shared" si="49"/>
        <v>13807</v>
      </c>
      <c r="BW9" s="79">
        <v>13859</v>
      </c>
      <c r="BX9" s="83">
        <f t="shared" si="25"/>
        <v>52</v>
      </c>
      <c r="BY9" s="79">
        <f t="shared" si="50"/>
        <v>35961</v>
      </c>
      <c r="BZ9" s="80">
        <v>36144</v>
      </c>
      <c r="CA9" s="83">
        <f t="shared" si="26"/>
        <v>183</v>
      </c>
      <c r="CB9" s="79">
        <f t="shared" si="51"/>
        <v>27981</v>
      </c>
      <c r="CC9" s="79">
        <v>28056</v>
      </c>
      <c r="CD9" s="83">
        <f t="shared" si="27"/>
        <v>75</v>
      </c>
      <c r="CE9" s="79">
        <f t="shared" si="52"/>
        <v>82626</v>
      </c>
      <c r="CF9" s="80">
        <v>82876</v>
      </c>
      <c r="CG9" s="83">
        <f t="shared" si="28"/>
        <v>250</v>
      </c>
      <c r="CH9" s="79">
        <f t="shared" si="53"/>
        <v>56612</v>
      </c>
      <c r="CI9" s="79">
        <v>56944</v>
      </c>
      <c r="CJ9" s="83">
        <f t="shared" si="29"/>
        <v>332</v>
      </c>
      <c r="CK9" s="79">
        <f t="shared" si="54"/>
        <v>13813</v>
      </c>
      <c r="CL9" s="79">
        <v>13863</v>
      </c>
      <c r="CM9" s="83">
        <f t="shared" si="30"/>
        <v>50</v>
      </c>
      <c r="CN9" s="79">
        <f t="shared" si="55"/>
        <v>48696</v>
      </c>
      <c r="CO9" s="79">
        <v>48772</v>
      </c>
      <c r="CP9" s="83">
        <f t="shared" si="31"/>
        <v>76</v>
      </c>
    </row>
    <row r="10" spans="1:94" s="3" customFormat="1" ht="13.5" customHeight="1" x14ac:dyDescent="0.2">
      <c r="A10" s="82">
        <v>6</v>
      </c>
      <c r="B10" s="75">
        <f t="shared" si="32"/>
        <v>25318471</v>
      </c>
      <c r="C10" s="75">
        <v>25322179</v>
      </c>
      <c r="D10" s="76">
        <f t="shared" si="0"/>
        <v>3708</v>
      </c>
      <c r="E10" s="77">
        <f t="shared" si="56"/>
        <v>22283483</v>
      </c>
      <c r="F10" s="78">
        <v>22289258</v>
      </c>
      <c r="G10" s="77">
        <f t="shared" si="33"/>
        <v>5775</v>
      </c>
      <c r="H10" s="79">
        <f t="shared" si="34"/>
        <v>84601848</v>
      </c>
      <c r="I10" s="79">
        <v>84616647</v>
      </c>
      <c r="J10" s="83">
        <f t="shared" si="1"/>
        <v>14799</v>
      </c>
      <c r="K10" s="79">
        <f t="shared" si="57"/>
        <v>1852600</v>
      </c>
      <c r="L10" s="80">
        <v>1854600</v>
      </c>
      <c r="M10" s="83">
        <f t="shared" si="2"/>
        <v>2000</v>
      </c>
      <c r="N10" s="79">
        <f t="shared" si="58"/>
        <v>2505661</v>
      </c>
      <c r="O10" s="79">
        <v>2508291</v>
      </c>
      <c r="P10" s="83">
        <f t="shared" si="3"/>
        <v>2630</v>
      </c>
      <c r="Q10" s="79">
        <f t="shared" si="35"/>
        <v>1518700</v>
      </c>
      <c r="R10" s="80">
        <v>1520600</v>
      </c>
      <c r="S10" s="83">
        <f t="shared" si="4"/>
        <v>1900</v>
      </c>
      <c r="T10" s="79">
        <f t="shared" si="59"/>
        <v>698550</v>
      </c>
      <c r="U10" s="80">
        <v>699208</v>
      </c>
      <c r="V10" s="83">
        <f t="shared" si="5"/>
        <v>658</v>
      </c>
      <c r="W10" s="79">
        <f t="shared" si="60"/>
        <v>7230900</v>
      </c>
      <c r="X10" s="80">
        <v>7237400</v>
      </c>
      <c r="Y10" s="83">
        <f t="shared" si="6"/>
        <v>6500</v>
      </c>
      <c r="Z10" s="79">
        <f t="shared" si="61"/>
        <v>1625800</v>
      </c>
      <c r="AA10" s="80">
        <v>1628000</v>
      </c>
      <c r="AB10" s="83">
        <f t="shared" si="7"/>
        <v>2200</v>
      </c>
      <c r="AC10" s="79">
        <f t="shared" si="8"/>
        <v>469816</v>
      </c>
      <c r="AD10" s="79">
        <v>470276</v>
      </c>
      <c r="AE10" s="83">
        <f t="shared" si="9"/>
        <v>460</v>
      </c>
      <c r="AF10" s="79">
        <f t="shared" si="10"/>
        <v>336220</v>
      </c>
      <c r="AG10" s="79">
        <v>336600</v>
      </c>
      <c r="AH10" s="83">
        <f t="shared" si="11"/>
        <v>380</v>
      </c>
      <c r="AI10" s="79">
        <f t="shared" si="12"/>
        <v>576510</v>
      </c>
      <c r="AJ10" s="79">
        <v>577360</v>
      </c>
      <c r="AK10" s="83">
        <f t="shared" si="13"/>
        <v>850</v>
      </c>
      <c r="AL10" s="79">
        <f t="shared" si="36"/>
        <v>1054200</v>
      </c>
      <c r="AM10" s="79">
        <v>1055600</v>
      </c>
      <c r="AN10" s="83">
        <f t="shared" si="14"/>
        <v>1400</v>
      </c>
      <c r="AO10" s="79">
        <f t="shared" si="37"/>
        <v>671260</v>
      </c>
      <c r="AP10" s="80">
        <v>672180</v>
      </c>
      <c r="AQ10" s="83">
        <f t="shared" si="15"/>
        <v>920</v>
      </c>
      <c r="AR10" s="79">
        <f t="shared" si="38"/>
        <v>548010</v>
      </c>
      <c r="AS10" s="79">
        <v>548010</v>
      </c>
      <c r="AT10" s="83">
        <f t="shared" si="16"/>
        <v>0</v>
      </c>
      <c r="AU10" s="79">
        <f t="shared" si="39"/>
        <v>500510</v>
      </c>
      <c r="AV10" s="79">
        <v>502190</v>
      </c>
      <c r="AW10" s="83">
        <f t="shared" si="17"/>
        <v>1680</v>
      </c>
      <c r="AX10" s="79">
        <f t="shared" si="40"/>
        <v>388740</v>
      </c>
      <c r="AY10" s="79">
        <v>389940</v>
      </c>
      <c r="AZ10" s="83">
        <f t="shared" si="18"/>
        <v>1200</v>
      </c>
      <c r="BA10" s="79">
        <f t="shared" si="41"/>
        <v>1079100</v>
      </c>
      <c r="BB10" s="79">
        <v>1082900</v>
      </c>
      <c r="BC10" s="83">
        <f t="shared" si="19"/>
        <v>3800</v>
      </c>
      <c r="BD10" s="83">
        <f t="shared" si="42"/>
        <v>23247</v>
      </c>
      <c r="BE10" s="83">
        <v>23377</v>
      </c>
      <c r="BF10" s="83">
        <f t="shared" si="43"/>
        <v>130</v>
      </c>
      <c r="BG10" s="79">
        <f t="shared" si="44"/>
        <v>18754</v>
      </c>
      <c r="BH10" s="79">
        <v>18861</v>
      </c>
      <c r="BI10" s="169">
        <f t="shared" si="20"/>
        <v>107</v>
      </c>
      <c r="BJ10" s="79">
        <f t="shared" si="45"/>
        <v>17203</v>
      </c>
      <c r="BK10" s="79">
        <v>17291</v>
      </c>
      <c r="BL10" s="83">
        <f t="shared" si="21"/>
        <v>88</v>
      </c>
      <c r="BM10" s="79">
        <f t="shared" si="46"/>
        <v>27225</v>
      </c>
      <c r="BN10" s="79">
        <v>27371</v>
      </c>
      <c r="BO10" s="83">
        <f t="shared" si="22"/>
        <v>146</v>
      </c>
      <c r="BP10" s="79">
        <f t="shared" si="47"/>
        <v>19531</v>
      </c>
      <c r="BQ10" s="79">
        <v>19534</v>
      </c>
      <c r="BR10" s="83">
        <f t="shared" si="23"/>
        <v>3</v>
      </c>
      <c r="BS10" s="79">
        <f t="shared" si="48"/>
        <v>19985</v>
      </c>
      <c r="BT10" s="79">
        <v>20076</v>
      </c>
      <c r="BU10" s="83">
        <f t="shared" si="24"/>
        <v>91</v>
      </c>
      <c r="BV10" s="79">
        <f t="shared" si="49"/>
        <v>13859</v>
      </c>
      <c r="BW10" s="79">
        <v>13911</v>
      </c>
      <c r="BX10" s="83">
        <f t="shared" si="25"/>
        <v>52</v>
      </c>
      <c r="BY10" s="79">
        <f t="shared" si="50"/>
        <v>36144</v>
      </c>
      <c r="BZ10" s="80">
        <v>36314</v>
      </c>
      <c r="CA10" s="83">
        <f t="shared" si="26"/>
        <v>170</v>
      </c>
      <c r="CB10" s="79">
        <f t="shared" si="51"/>
        <v>28056</v>
      </c>
      <c r="CC10" s="79">
        <v>28137</v>
      </c>
      <c r="CD10" s="83">
        <f t="shared" si="27"/>
        <v>81</v>
      </c>
      <c r="CE10" s="79">
        <f t="shared" si="52"/>
        <v>82876</v>
      </c>
      <c r="CF10" s="80">
        <v>83171</v>
      </c>
      <c r="CG10" s="83">
        <f t="shared" si="28"/>
        <v>295</v>
      </c>
      <c r="CH10" s="79">
        <f t="shared" si="53"/>
        <v>56944</v>
      </c>
      <c r="CI10" s="79">
        <v>57304</v>
      </c>
      <c r="CJ10" s="83">
        <f t="shared" si="29"/>
        <v>360</v>
      </c>
      <c r="CK10" s="79">
        <f t="shared" si="54"/>
        <v>13863</v>
      </c>
      <c r="CL10" s="79">
        <v>13913</v>
      </c>
      <c r="CM10" s="83">
        <f t="shared" si="30"/>
        <v>50</v>
      </c>
      <c r="CN10" s="79">
        <f t="shared" si="55"/>
        <v>48772</v>
      </c>
      <c r="CO10" s="79">
        <v>48806</v>
      </c>
      <c r="CP10" s="83">
        <f t="shared" si="31"/>
        <v>34</v>
      </c>
    </row>
    <row r="11" spans="1:94" s="3" customFormat="1" ht="13.5" customHeight="1" x14ac:dyDescent="0.2">
      <c r="A11" s="82">
        <v>7</v>
      </c>
      <c r="B11" s="75">
        <f t="shared" si="32"/>
        <v>25322179</v>
      </c>
      <c r="C11" s="75">
        <v>25325953</v>
      </c>
      <c r="D11" s="76">
        <f t="shared" si="0"/>
        <v>3774</v>
      </c>
      <c r="E11" s="77">
        <f t="shared" si="56"/>
        <v>22289258</v>
      </c>
      <c r="F11" s="78">
        <v>22294975</v>
      </c>
      <c r="G11" s="77">
        <f t="shared" si="33"/>
        <v>5717</v>
      </c>
      <c r="H11" s="79">
        <f t="shared" si="34"/>
        <v>84616647</v>
      </c>
      <c r="I11" s="79">
        <v>84631570</v>
      </c>
      <c r="J11" s="83">
        <f t="shared" si="1"/>
        <v>14923</v>
      </c>
      <c r="K11" s="79">
        <f t="shared" si="57"/>
        <v>1854600</v>
      </c>
      <c r="L11" s="80">
        <v>1856600</v>
      </c>
      <c r="M11" s="83">
        <f t="shared" si="2"/>
        <v>2000</v>
      </c>
      <c r="N11" s="79">
        <f t="shared" si="58"/>
        <v>2508291</v>
      </c>
      <c r="O11" s="79">
        <v>2511128</v>
      </c>
      <c r="P11" s="83">
        <f t="shared" si="3"/>
        <v>2837</v>
      </c>
      <c r="Q11" s="79">
        <f t="shared" si="35"/>
        <v>1520600</v>
      </c>
      <c r="R11" s="80">
        <v>1522400</v>
      </c>
      <c r="S11" s="83">
        <f t="shared" si="4"/>
        <v>1800</v>
      </c>
      <c r="T11" s="79">
        <f t="shared" si="59"/>
        <v>699208</v>
      </c>
      <c r="U11" s="80">
        <v>699883</v>
      </c>
      <c r="V11" s="83">
        <f t="shared" si="5"/>
        <v>675</v>
      </c>
      <c r="W11" s="79">
        <f t="shared" si="60"/>
        <v>7237400</v>
      </c>
      <c r="X11" s="80">
        <v>7244000</v>
      </c>
      <c r="Y11" s="83">
        <f t="shared" si="6"/>
        <v>6600</v>
      </c>
      <c r="Z11" s="79">
        <f t="shared" si="61"/>
        <v>1628000</v>
      </c>
      <c r="AA11" s="80">
        <v>1630100</v>
      </c>
      <c r="AB11" s="83">
        <f t="shared" si="7"/>
        <v>2100</v>
      </c>
      <c r="AC11" s="79">
        <f t="shared" si="8"/>
        <v>470276</v>
      </c>
      <c r="AD11" s="79">
        <v>470748</v>
      </c>
      <c r="AE11" s="83">
        <f t="shared" si="9"/>
        <v>472</v>
      </c>
      <c r="AF11" s="79">
        <f t="shared" si="10"/>
        <v>336600</v>
      </c>
      <c r="AG11" s="79">
        <v>337010</v>
      </c>
      <c r="AH11" s="83">
        <f t="shared" si="11"/>
        <v>410</v>
      </c>
      <c r="AI11" s="79">
        <f t="shared" si="12"/>
        <v>577360</v>
      </c>
      <c r="AJ11" s="79">
        <v>578320</v>
      </c>
      <c r="AK11" s="83">
        <f t="shared" si="13"/>
        <v>960</v>
      </c>
      <c r="AL11" s="79">
        <f t="shared" si="36"/>
        <v>1055600</v>
      </c>
      <c r="AM11" s="79">
        <v>1057200</v>
      </c>
      <c r="AN11" s="83">
        <f t="shared" si="14"/>
        <v>1600</v>
      </c>
      <c r="AO11" s="79">
        <f t="shared" si="37"/>
        <v>672180</v>
      </c>
      <c r="AP11" s="80">
        <v>673130</v>
      </c>
      <c r="AQ11" s="83">
        <f t="shared" si="15"/>
        <v>950</v>
      </c>
      <c r="AR11" s="79">
        <f t="shared" si="38"/>
        <v>548010</v>
      </c>
      <c r="AS11" s="79">
        <v>550060</v>
      </c>
      <c r="AT11" s="83">
        <f t="shared" si="16"/>
        <v>2050</v>
      </c>
      <c r="AU11" s="79">
        <f t="shared" si="39"/>
        <v>502190</v>
      </c>
      <c r="AV11" s="79">
        <v>503980</v>
      </c>
      <c r="AW11" s="83">
        <f t="shared" si="17"/>
        <v>1790</v>
      </c>
      <c r="AX11" s="79">
        <f t="shared" si="40"/>
        <v>389940</v>
      </c>
      <c r="AY11" s="79">
        <v>391130</v>
      </c>
      <c r="AZ11" s="83">
        <f t="shared" si="18"/>
        <v>1190</v>
      </c>
      <c r="BA11" s="79">
        <f t="shared" si="41"/>
        <v>1082900</v>
      </c>
      <c r="BB11" s="79">
        <v>1086400</v>
      </c>
      <c r="BC11" s="83">
        <f t="shared" si="19"/>
        <v>3500</v>
      </c>
      <c r="BD11" s="83">
        <f t="shared" si="42"/>
        <v>23377</v>
      </c>
      <c r="BE11" s="83">
        <v>23513</v>
      </c>
      <c r="BF11" s="83">
        <f t="shared" si="43"/>
        <v>136</v>
      </c>
      <c r="BG11" s="79">
        <f t="shared" si="44"/>
        <v>18861</v>
      </c>
      <c r="BH11" s="79">
        <v>18975</v>
      </c>
      <c r="BI11" s="169">
        <f t="shared" si="20"/>
        <v>114</v>
      </c>
      <c r="BJ11" s="79">
        <f t="shared" si="45"/>
        <v>17291</v>
      </c>
      <c r="BK11" s="79">
        <v>17368</v>
      </c>
      <c r="BL11" s="83">
        <f t="shared" si="21"/>
        <v>77</v>
      </c>
      <c r="BM11" s="79">
        <f t="shared" si="46"/>
        <v>27371</v>
      </c>
      <c r="BN11" s="79">
        <v>27512</v>
      </c>
      <c r="BO11" s="83">
        <f t="shared" si="22"/>
        <v>141</v>
      </c>
      <c r="BP11" s="79">
        <f t="shared" si="47"/>
        <v>19534</v>
      </c>
      <c r="BQ11" s="79">
        <v>19741</v>
      </c>
      <c r="BR11" s="83">
        <f t="shared" si="23"/>
        <v>207</v>
      </c>
      <c r="BS11" s="79">
        <f t="shared" si="48"/>
        <v>20076</v>
      </c>
      <c r="BT11" s="79">
        <v>20160</v>
      </c>
      <c r="BU11" s="83">
        <f t="shared" si="24"/>
        <v>84</v>
      </c>
      <c r="BV11" s="79">
        <f t="shared" si="49"/>
        <v>13911</v>
      </c>
      <c r="BW11" s="79">
        <v>13962</v>
      </c>
      <c r="BX11" s="83">
        <f t="shared" si="25"/>
        <v>51</v>
      </c>
      <c r="BY11" s="79">
        <f t="shared" si="50"/>
        <v>36314</v>
      </c>
      <c r="BZ11" s="80">
        <v>36506</v>
      </c>
      <c r="CA11" s="83">
        <f t="shared" si="26"/>
        <v>192</v>
      </c>
      <c r="CB11" s="79">
        <f t="shared" si="51"/>
        <v>28137</v>
      </c>
      <c r="CC11" s="79">
        <v>28218</v>
      </c>
      <c r="CD11" s="83">
        <f t="shared" si="27"/>
        <v>81</v>
      </c>
      <c r="CE11" s="79">
        <f t="shared" si="52"/>
        <v>83171</v>
      </c>
      <c r="CF11" s="80">
        <v>83449</v>
      </c>
      <c r="CG11" s="83">
        <f t="shared" si="28"/>
        <v>278</v>
      </c>
      <c r="CH11" s="79">
        <f t="shared" si="53"/>
        <v>57304</v>
      </c>
      <c r="CI11" s="79">
        <v>57703</v>
      </c>
      <c r="CJ11" s="83">
        <f t="shared" si="29"/>
        <v>399</v>
      </c>
      <c r="CK11" s="79">
        <f t="shared" si="54"/>
        <v>13913</v>
      </c>
      <c r="CL11" s="79">
        <v>13971</v>
      </c>
      <c r="CM11" s="83">
        <f t="shared" si="30"/>
        <v>58</v>
      </c>
      <c r="CN11" s="79">
        <f t="shared" si="55"/>
        <v>48806</v>
      </c>
      <c r="CO11" s="79">
        <v>48847</v>
      </c>
      <c r="CP11" s="83">
        <f t="shared" si="31"/>
        <v>41</v>
      </c>
    </row>
    <row r="12" spans="1:94" s="3" customFormat="1" ht="13.5" customHeight="1" x14ac:dyDescent="0.2">
      <c r="A12" s="82">
        <v>8</v>
      </c>
      <c r="B12" s="75">
        <f t="shared" si="32"/>
        <v>25325953</v>
      </c>
      <c r="C12" s="75">
        <v>25329714</v>
      </c>
      <c r="D12" s="76">
        <f t="shared" si="0"/>
        <v>3761</v>
      </c>
      <c r="E12" s="77">
        <f t="shared" si="56"/>
        <v>22294975</v>
      </c>
      <c r="F12" s="78">
        <v>22300671</v>
      </c>
      <c r="G12" s="77">
        <f t="shared" si="33"/>
        <v>5696</v>
      </c>
      <c r="H12" s="79">
        <f t="shared" si="34"/>
        <v>84631570</v>
      </c>
      <c r="I12" s="79">
        <v>84646174</v>
      </c>
      <c r="J12" s="83">
        <f t="shared" si="1"/>
        <v>14604</v>
      </c>
      <c r="K12" s="79">
        <f t="shared" si="57"/>
        <v>1856600</v>
      </c>
      <c r="L12" s="80">
        <v>1858600</v>
      </c>
      <c r="M12" s="83">
        <f t="shared" si="2"/>
        <v>2000</v>
      </c>
      <c r="N12" s="79">
        <f t="shared" si="58"/>
        <v>2511128</v>
      </c>
      <c r="O12" s="79">
        <v>2513905</v>
      </c>
      <c r="P12" s="83">
        <f t="shared" si="3"/>
        <v>2777</v>
      </c>
      <c r="Q12" s="79">
        <f t="shared" si="35"/>
        <v>1522400</v>
      </c>
      <c r="R12" s="80">
        <v>1524100</v>
      </c>
      <c r="S12" s="83">
        <f t="shared" si="4"/>
        <v>1700</v>
      </c>
      <c r="T12" s="79">
        <f t="shared" si="59"/>
        <v>699883</v>
      </c>
      <c r="U12" s="80">
        <v>700576</v>
      </c>
      <c r="V12" s="83">
        <f t="shared" si="5"/>
        <v>693</v>
      </c>
      <c r="W12" s="79">
        <f t="shared" si="60"/>
        <v>7244000</v>
      </c>
      <c r="X12" s="80">
        <v>7250600</v>
      </c>
      <c r="Y12" s="83">
        <f t="shared" si="6"/>
        <v>6600</v>
      </c>
      <c r="Z12" s="79">
        <f t="shared" si="61"/>
        <v>1630100</v>
      </c>
      <c r="AA12" s="80">
        <v>1631900</v>
      </c>
      <c r="AB12" s="83">
        <f t="shared" si="7"/>
        <v>1800</v>
      </c>
      <c r="AC12" s="79">
        <f t="shared" si="8"/>
        <v>470748</v>
      </c>
      <c r="AD12" s="79">
        <v>471216</v>
      </c>
      <c r="AE12" s="83">
        <f t="shared" si="9"/>
        <v>468</v>
      </c>
      <c r="AF12" s="79">
        <f t="shared" si="10"/>
        <v>337010</v>
      </c>
      <c r="AG12" s="79">
        <v>337430</v>
      </c>
      <c r="AH12" s="83">
        <f t="shared" si="11"/>
        <v>420</v>
      </c>
      <c r="AI12" s="79">
        <f t="shared" si="12"/>
        <v>578320</v>
      </c>
      <c r="AJ12" s="79">
        <v>579240</v>
      </c>
      <c r="AK12" s="83">
        <f t="shared" si="13"/>
        <v>920</v>
      </c>
      <c r="AL12" s="79">
        <f t="shared" si="36"/>
        <v>1057200</v>
      </c>
      <c r="AM12" s="79">
        <v>1058600</v>
      </c>
      <c r="AN12" s="83">
        <f t="shared" si="14"/>
        <v>1400</v>
      </c>
      <c r="AO12" s="79">
        <f t="shared" si="37"/>
        <v>673130</v>
      </c>
      <c r="AP12" s="80">
        <v>674100</v>
      </c>
      <c r="AQ12" s="83">
        <f t="shared" si="15"/>
        <v>970</v>
      </c>
      <c r="AR12" s="79">
        <f t="shared" si="38"/>
        <v>550060</v>
      </c>
      <c r="AS12" s="79">
        <v>551760</v>
      </c>
      <c r="AT12" s="83">
        <f t="shared" si="16"/>
        <v>1700</v>
      </c>
      <c r="AU12" s="79">
        <f t="shared" si="39"/>
        <v>503980</v>
      </c>
      <c r="AV12" s="79">
        <v>505770</v>
      </c>
      <c r="AW12" s="83">
        <f t="shared" si="17"/>
        <v>1790</v>
      </c>
      <c r="AX12" s="79">
        <f t="shared" si="40"/>
        <v>391130</v>
      </c>
      <c r="AY12" s="79">
        <v>392310</v>
      </c>
      <c r="AZ12" s="83">
        <f t="shared" si="18"/>
        <v>1180</v>
      </c>
      <c r="BA12" s="79">
        <f t="shared" si="41"/>
        <v>1086400</v>
      </c>
      <c r="BB12" s="79">
        <v>1090300</v>
      </c>
      <c r="BC12" s="83">
        <f t="shared" si="19"/>
        <v>3900</v>
      </c>
      <c r="BD12" s="83">
        <f t="shared" si="42"/>
        <v>23513</v>
      </c>
      <c r="BE12" s="83">
        <v>23635</v>
      </c>
      <c r="BF12" s="83">
        <f t="shared" si="43"/>
        <v>122</v>
      </c>
      <c r="BG12" s="79">
        <f t="shared" si="44"/>
        <v>18975</v>
      </c>
      <c r="BH12" s="79">
        <v>19096</v>
      </c>
      <c r="BI12" s="169">
        <f t="shared" si="20"/>
        <v>121</v>
      </c>
      <c r="BJ12" s="79">
        <f t="shared" si="45"/>
        <v>17368</v>
      </c>
      <c r="BK12" s="79">
        <v>17448</v>
      </c>
      <c r="BL12" s="83">
        <f t="shared" si="21"/>
        <v>80</v>
      </c>
      <c r="BM12" s="79">
        <f t="shared" si="46"/>
        <v>27512</v>
      </c>
      <c r="BN12" s="79">
        <v>27631</v>
      </c>
      <c r="BO12" s="83">
        <f t="shared" si="22"/>
        <v>119</v>
      </c>
      <c r="BP12" s="79">
        <f t="shared" si="47"/>
        <v>19741</v>
      </c>
      <c r="BQ12" s="79">
        <v>19842</v>
      </c>
      <c r="BR12" s="83">
        <f t="shared" si="23"/>
        <v>101</v>
      </c>
      <c r="BS12" s="79">
        <f t="shared" si="48"/>
        <v>20160</v>
      </c>
      <c r="BT12" s="79">
        <v>20237</v>
      </c>
      <c r="BU12" s="83">
        <f t="shared" si="24"/>
        <v>77</v>
      </c>
      <c r="BV12" s="79">
        <f t="shared" si="49"/>
        <v>13962</v>
      </c>
      <c r="BW12" s="79">
        <v>14016</v>
      </c>
      <c r="BX12" s="83">
        <f t="shared" si="25"/>
        <v>54</v>
      </c>
      <c r="BY12" s="79">
        <f t="shared" si="50"/>
        <v>36506</v>
      </c>
      <c r="BZ12" s="80">
        <v>36652</v>
      </c>
      <c r="CA12" s="83">
        <f t="shared" si="26"/>
        <v>146</v>
      </c>
      <c r="CB12" s="79">
        <f t="shared" si="51"/>
        <v>28218</v>
      </c>
      <c r="CC12" s="79">
        <v>28300</v>
      </c>
      <c r="CD12" s="83">
        <f t="shared" si="27"/>
        <v>82</v>
      </c>
      <c r="CE12" s="79">
        <f t="shared" si="52"/>
        <v>83449</v>
      </c>
      <c r="CF12" s="80">
        <v>83704</v>
      </c>
      <c r="CG12" s="83">
        <f t="shared" si="28"/>
        <v>255</v>
      </c>
      <c r="CH12" s="79">
        <f t="shared" si="53"/>
        <v>57703</v>
      </c>
      <c r="CI12" s="79">
        <v>58044</v>
      </c>
      <c r="CJ12" s="83">
        <f t="shared" si="29"/>
        <v>341</v>
      </c>
      <c r="CK12" s="79">
        <f t="shared" si="54"/>
        <v>13971</v>
      </c>
      <c r="CL12" s="79">
        <v>14020</v>
      </c>
      <c r="CM12" s="83">
        <f t="shared" si="30"/>
        <v>49</v>
      </c>
      <c r="CN12" s="79">
        <f t="shared" si="55"/>
        <v>48847</v>
      </c>
      <c r="CO12" s="79">
        <v>48881</v>
      </c>
      <c r="CP12" s="83">
        <f t="shared" si="31"/>
        <v>34</v>
      </c>
    </row>
    <row r="13" spans="1:94" s="3" customFormat="1" ht="13.5" customHeight="1" x14ac:dyDescent="0.2">
      <c r="A13" s="82">
        <v>9</v>
      </c>
      <c r="B13" s="75">
        <f t="shared" si="32"/>
        <v>25329714</v>
      </c>
      <c r="C13" s="75">
        <v>25333254</v>
      </c>
      <c r="D13" s="76">
        <f t="shared" si="0"/>
        <v>3540</v>
      </c>
      <c r="E13" s="77">
        <f t="shared" si="56"/>
        <v>22300671</v>
      </c>
      <c r="F13" s="78">
        <v>22306180</v>
      </c>
      <c r="G13" s="77">
        <f t="shared" si="33"/>
        <v>5509</v>
      </c>
      <c r="H13" s="79">
        <f t="shared" si="34"/>
        <v>84646174</v>
      </c>
      <c r="I13" s="79">
        <v>84661487</v>
      </c>
      <c r="J13" s="83">
        <f t="shared" si="1"/>
        <v>15313</v>
      </c>
      <c r="K13" s="79">
        <f t="shared" si="57"/>
        <v>1858600</v>
      </c>
      <c r="L13" s="80">
        <v>1860500</v>
      </c>
      <c r="M13" s="83">
        <f t="shared" si="2"/>
        <v>1900</v>
      </c>
      <c r="N13" s="79">
        <f t="shared" si="58"/>
        <v>2513905</v>
      </c>
      <c r="O13" s="79">
        <v>2516442</v>
      </c>
      <c r="P13" s="83">
        <f t="shared" si="3"/>
        <v>2537</v>
      </c>
      <c r="Q13" s="79">
        <f t="shared" si="35"/>
        <v>1524100</v>
      </c>
      <c r="R13" s="80">
        <v>1525800</v>
      </c>
      <c r="S13" s="83">
        <f t="shared" si="4"/>
        <v>1700</v>
      </c>
      <c r="T13" s="79">
        <f t="shared" si="59"/>
        <v>700576</v>
      </c>
      <c r="U13" s="80">
        <v>701197</v>
      </c>
      <c r="V13" s="83">
        <f t="shared" si="5"/>
        <v>621</v>
      </c>
      <c r="W13" s="79">
        <f t="shared" si="60"/>
        <v>7250600</v>
      </c>
      <c r="X13" s="80">
        <v>7256800</v>
      </c>
      <c r="Y13" s="83">
        <f t="shared" si="6"/>
        <v>6200</v>
      </c>
      <c r="Z13" s="79">
        <f t="shared" si="61"/>
        <v>1631900</v>
      </c>
      <c r="AA13" s="80">
        <v>1633900</v>
      </c>
      <c r="AB13" s="83">
        <f t="shared" si="7"/>
        <v>2000</v>
      </c>
      <c r="AC13" s="79">
        <f t="shared" si="8"/>
        <v>471216</v>
      </c>
      <c r="AD13" s="79">
        <v>471703</v>
      </c>
      <c r="AE13" s="83">
        <f t="shared" si="9"/>
        <v>487</v>
      </c>
      <c r="AF13" s="79">
        <f t="shared" si="10"/>
        <v>337430</v>
      </c>
      <c r="AG13" s="79">
        <v>337960</v>
      </c>
      <c r="AH13" s="83">
        <f t="shared" si="11"/>
        <v>530</v>
      </c>
      <c r="AI13" s="79">
        <f t="shared" si="12"/>
        <v>579240</v>
      </c>
      <c r="AJ13" s="79">
        <v>580320</v>
      </c>
      <c r="AK13" s="83">
        <f t="shared" si="13"/>
        <v>1080</v>
      </c>
      <c r="AL13" s="79">
        <f t="shared" si="36"/>
        <v>1058600</v>
      </c>
      <c r="AM13" s="79">
        <v>1060300</v>
      </c>
      <c r="AN13" s="83">
        <f t="shared" si="14"/>
        <v>1700</v>
      </c>
      <c r="AO13" s="79">
        <f t="shared" si="37"/>
        <v>674100</v>
      </c>
      <c r="AP13" s="80">
        <v>675230</v>
      </c>
      <c r="AQ13" s="83">
        <f t="shared" si="15"/>
        <v>1130</v>
      </c>
      <c r="AR13" s="79">
        <f t="shared" si="38"/>
        <v>551760</v>
      </c>
      <c r="AS13" s="79">
        <v>552400</v>
      </c>
      <c r="AT13" s="83">
        <f t="shared" si="16"/>
        <v>640</v>
      </c>
      <c r="AU13" s="79">
        <f t="shared" si="39"/>
        <v>505770</v>
      </c>
      <c r="AV13" s="79">
        <v>507830</v>
      </c>
      <c r="AW13" s="83">
        <f t="shared" si="17"/>
        <v>2060</v>
      </c>
      <c r="AX13" s="79">
        <f t="shared" si="40"/>
        <v>392310</v>
      </c>
      <c r="AY13" s="79">
        <v>393470</v>
      </c>
      <c r="AZ13" s="83">
        <f t="shared" si="18"/>
        <v>1160</v>
      </c>
      <c r="BA13" s="79">
        <f t="shared" si="41"/>
        <v>1090300</v>
      </c>
      <c r="BB13" s="79">
        <v>1094400</v>
      </c>
      <c r="BC13" s="83">
        <f t="shared" si="19"/>
        <v>4100</v>
      </c>
      <c r="BD13" s="83">
        <f t="shared" si="42"/>
        <v>23635</v>
      </c>
      <c r="BE13" s="83">
        <v>23773</v>
      </c>
      <c r="BF13" s="83">
        <f t="shared" si="43"/>
        <v>138</v>
      </c>
      <c r="BG13" s="79">
        <f t="shared" si="44"/>
        <v>19096</v>
      </c>
      <c r="BH13" s="79">
        <v>19222</v>
      </c>
      <c r="BI13" s="169">
        <f t="shared" si="20"/>
        <v>126</v>
      </c>
      <c r="BJ13" s="79">
        <f t="shared" si="45"/>
        <v>17448</v>
      </c>
      <c r="BK13" s="79">
        <v>17536</v>
      </c>
      <c r="BL13" s="83">
        <f t="shared" si="21"/>
        <v>88</v>
      </c>
      <c r="BM13" s="79">
        <f t="shared" si="46"/>
        <v>27631</v>
      </c>
      <c r="BN13" s="79">
        <v>27761</v>
      </c>
      <c r="BO13" s="83">
        <f t="shared" si="22"/>
        <v>130</v>
      </c>
      <c r="BP13" s="79">
        <f t="shared" si="47"/>
        <v>19842</v>
      </c>
      <c r="BQ13" s="79">
        <v>19929</v>
      </c>
      <c r="BR13" s="83">
        <f t="shared" si="23"/>
        <v>87</v>
      </c>
      <c r="BS13" s="79">
        <f t="shared" si="48"/>
        <v>20237</v>
      </c>
      <c r="BT13" s="79">
        <v>20311</v>
      </c>
      <c r="BU13" s="83">
        <f t="shared" si="24"/>
        <v>74</v>
      </c>
      <c r="BV13" s="79">
        <f t="shared" si="49"/>
        <v>14016</v>
      </c>
      <c r="BW13" s="79">
        <v>14067</v>
      </c>
      <c r="BX13" s="83">
        <f t="shared" si="25"/>
        <v>51</v>
      </c>
      <c r="BY13" s="79">
        <f t="shared" si="50"/>
        <v>36652</v>
      </c>
      <c r="BZ13" s="80">
        <v>36783</v>
      </c>
      <c r="CA13" s="83">
        <f t="shared" si="26"/>
        <v>131</v>
      </c>
      <c r="CB13" s="79">
        <f t="shared" si="51"/>
        <v>28300</v>
      </c>
      <c r="CC13" s="79">
        <v>28383</v>
      </c>
      <c r="CD13" s="83">
        <f t="shared" si="27"/>
        <v>83</v>
      </c>
      <c r="CE13" s="79">
        <f t="shared" si="52"/>
        <v>83704</v>
      </c>
      <c r="CF13" s="80">
        <v>83976</v>
      </c>
      <c r="CG13" s="83">
        <f t="shared" si="28"/>
        <v>272</v>
      </c>
      <c r="CH13" s="79">
        <f t="shared" si="53"/>
        <v>58044</v>
      </c>
      <c r="CI13" s="79">
        <v>58411</v>
      </c>
      <c r="CJ13" s="83">
        <f t="shared" si="29"/>
        <v>367</v>
      </c>
      <c r="CK13" s="79">
        <f t="shared" si="54"/>
        <v>14020</v>
      </c>
      <c r="CL13" s="79">
        <v>14072</v>
      </c>
      <c r="CM13" s="83">
        <f t="shared" si="30"/>
        <v>52</v>
      </c>
      <c r="CN13" s="79">
        <f t="shared" si="55"/>
        <v>48881</v>
      </c>
      <c r="CO13" s="79">
        <v>48929</v>
      </c>
      <c r="CP13" s="83">
        <f t="shared" si="31"/>
        <v>48</v>
      </c>
    </row>
    <row r="14" spans="1:94" s="3" customFormat="1" ht="13.5" customHeight="1" x14ac:dyDescent="0.2">
      <c r="A14" s="91">
        <v>10</v>
      </c>
      <c r="B14" s="75">
        <f t="shared" si="32"/>
        <v>25333254</v>
      </c>
      <c r="C14" s="75">
        <v>25336508</v>
      </c>
      <c r="D14" s="76">
        <f t="shared" si="0"/>
        <v>3254</v>
      </c>
      <c r="E14" s="77">
        <f t="shared" si="56"/>
        <v>22306180</v>
      </c>
      <c r="F14" s="78">
        <v>22310345</v>
      </c>
      <c r="G14" s="77">
        <f t="shared" si="33"/>
        <v>4165</v>
      </c>
      <c r="H14" s="79">
        <f t="shared" si="34"/>
        <v>84661487</v>
      </c>
      <c r="I14" s="79">
        <v>84676008</v>
      </c>
      <c r="J14" s="83">
        <f t="shared" si="1"/>
        <v>14521</v>
      </c>
      <c r="K14" s="79">
        <f t="shared" si="57"/>
        <v>1860500</v>
      </c>
      <c r="L14" s="80">
        <v>1862300</v>
      </c>
      <c r="M14" s="83">
        <f t="shared" si="2"/>
        <v>1800</v>
      </c>
      <c r="N14" s="79">
        <f t="shared" si="58"/>
        <v>2516442</v>
      </c>
      <c r="O14" s="79">
        <v>2518907</v>
      </c>
      <c r="P14" s="83">
        <f t="shared" si="3"/>
        <v>2465</v>
      </c>
      <c r="Q14" s="79">
        <f t="shared" si="35"/>
        <v>1525800</v>
      </c>
      <c r="R14" s="80">
        <v>1527700</v>
      </c>
      <c r="S14" s="83">
        <f t="shared" si="4"/>
        <v>1900</v>
      </c>
      <c r="T14" s="79">
        <f t="shared" si="59"/>
        <v>701197</v>
      </c>
      <c r="U14" s="80">
        <v>701872</v>
      </c>
      <c r="V14" s="83">
        <f t="shared" si="5"/>
        <v>675</v>
      </c>
      <c r="W14" s="79">
        <f t="shared" si="60"/>
        <v>7256800</v>
      </c>
      <c r="X14" s="80">
        <v>7262900</v>
      </c>
      <c r="Y14" s="83">
        <f t="shared" si="6"/>
        <v>6100</v>
      </c>
      <c r="Z14" s="79">
        <f t="shared" si="61"/>
        <v>1633900</v>
      </c>
      <c r="AA14" s="80">
        <v>1635800</v>
      </c>
      <c r="AB14" s="83">
        <f t="shared" si="7"/>
        <v>1900</v>
      </c>
      <c r="AC14" s="79">
        <f t="shared" si="8"/>
        <v>471703</v>
      </c>
      <c r="AD14" s="79">
        <v>472068</v>
      </c>
      <c r="AE14" s="83">
        <f t="shared" si="9"/>
        <v>365</v>
      </c>
      <c r="AF14" s="79">
        <f t="shared" si="10"/>
        <v>337960</v>
      </c>
      <c r="AG14" s="79">
        <v>338490</v>
      </c>
      <c r="AH14" s="83">
        <f t="shared" si="11"/>
        <v>530</v>
      </c>
      <c r="AI14" s="79">
        <f t="shared" si="12"/>
        <v>580320</v>
      </c>
      <c r="AJ14" s="79">
        <v>581360</v>
      </c>
      <c r="AK14" s="83">
        <f t="shared" si="13"/>
        <v>1040</v>
      </c>
      <c r="AL14" s="79">
        <f t="shared" si="36"/>
        <v>1060300</v>
      </c>
      <c r="AM14" s="79">
        <v>1061900</v>
      </c>
      <c r="AN14" s="83">
        <f t="shared" si="14"/>
        <v>1600</v>
      </c>
      <c r="AO14" s="79">
        <f t="shared" si="37"/>
        <v>675230</v>
      </c>
      <c r="AP14" s="80">
        <v>676260</v>
      </c>
      <c r="AQ14" s="83">
        <f t="shared" si="15"/>
        <v>1030</v>
      </c>
      <c r="AR14" s="79">
        <f t="shared" si="38"/>
        <v>552400</v>
      </c>
      <c r="AS14" s="79">
        <v>554210</v>
      </c>
      <c r="AT14" s="83">
        <f t="shared" si="16"/>
        <v>1810</v>
      </c>
      <c r="AU14" s="79">
        <f t="shared" si="39"/>
        <v>507830</v>
      </c>
      <c r="AV14" s="79">
        <v>509600</v>
      </c>
      <c r="AW14" s="83">
        <f t="shared" si="17"/>
        <v>1770</v>
      </c>
      <c r="AX14" s="79">
        <f t="shared" si="40"/>
        <v>393470</v>
      </c>
      <c r="AY14" s="79">
        <v>394570</v>
      </c>
      <c r="AZ14" s="83">
        <f t="shared" si="18"/>
        <v>1100</v>
      </c>
      <c r="BA14" s="79">
        <f t="shared" si="41"/>
        <v>1094400</v>
      </c>
      <c r="BB14" s="79">
        <v>1097700</v>
      </c>
      <c r="BC14" s="83">
        <f t="shared" si="19"/>
        <v>3300</v>
      </c>
      <c r="BD14" s="83">
        <f t="shared" si="42"/>
        <v>23773</v>
      </c>
      <c r="BE14" s="83">
        <v>23871</v>
      </c>
      <c r="BF14" s="83">
        <f t="shared" si="43"/>
        <v>98</v>
      </c>
      <c r="BG14" s="79">
        <f t="shared" si="44"/>
        <v>19222</v>
      </c>
      <c r="BH14" s="79">
        <v>19298</v>
      </c>
      <c r="BI14" s="169">
        <f t="shared" si="20"/>
        <v>76</v>
      </c>
      <c r="BJ14" s="79">
        <f t="shared" si="45"/>
        <v>17536</v>
      </c>
      <c r="BK14" s="79">
        <v>17608</v>
      </c>
      <c r="BL14" s="83">
        <f t="shared" si="21"/>
        <v>72</v>
      </c>
      <c r="BM14" s="79">
        <f t="shared" si="46"/>
        <v>27761</v>
      </c>
      <c r="BN14" s="79">
        <v>27856</v>
      </c>
      <c r="BO14" s="83">
        <f t="shared" si="22"/>
        <v>95</v>
      </c>
      <c r="BP14" s="79">
        <f t="shared" si="47"/>
        <v>19929</v>
      </c>
      <c r="BQ14" s="79">
        <v>19995</v>
      </c>
      <c r="BR14" s="83">
        <f t="shared" si="23"/>
        <v>66</v>
      </c>
      <c r="BS14" s="79">
        <f t="shared" si="48"/>
        <v>20311</v>
      </c>
      <c r="BT14" s="79">
        <v>20361</v>
      </c>
      <c r="BU14" s="83">
        <f t="shared" si="24"/>
        <v>50</v>
      </c>
      <c r="BV14" s="79">
        <f t="shared" si="49"/>
        <v>14067</v>
      </c>
      <c r="BW14" s="79">
        <v>14116</v>
      </c>
      <c r="BX14" s="83">
        <f t="shared" si="25"/>
        <v>49</v>
      </c>
      <c r="BY14" s="79">
        <f t="shared" si="50"/>
        <v>36783</v>
      </c>
      <c r="BZ14" s="80">
        <v>36978</v>
      </c>
      <c r="CA14" s="83">
        <f t="shared" si="26"/>
        <v>195</v>
      </c>
      <c r="CB14" s="79">
        <f t="shared" si="51"/>
        <v>28383</v>
      </c>
      <c r="CC14" s="79">
        <v>28462</v>
      </c>
      <c r="CD14" s="83">
        <f t="shared" si="27"/>
        <v>79</v>
      </c>
      <c r="CE14" s="79">
        <f t="shared" si="52"/>
        <v>83976</v>
      </c>
      <c r="CF14" s="80">
        <v>84245</v>
      </c>
      <c r="CG14" s="83">
        <f t="shared" si="28"/>
        <v>269</v>
      </c>
      <c r="CH14" s="79">
        <f t="shared" si="53"/>
        <v>58411</v>
      </c>
      <c r="CI14" s="79">
        <v>58790</v>
      </c>
      <c r="CJ14" s="83">
        <f t="shared" si="29"/>
        <v>379</v>
      </c>
      <c r="CK14" s="79">
        <f t="shared" si="54"/>
        <v>14072</v>
      </c>
      <c r="CL14" s="79">
        <v>14122</v>
      </c>
      <c r="CM14" s="83">
        <f t="shared" si="30"/>
        <v>50</v>
      </c>
      <c r="CN14" s="79">
        <f t="shared" si="55"/>
        <v>48929</v>
      </c>
      <c r="CO14" s="79">
        <v>48973</v>
      </c>
      <c r="CP14" s="83">
        <f t="shared" si="31"/>
        <v>44</v>
      </c>
    </row>
    <row r="15" spans="1:94" s="3" customFormat="1" ht="13.5" customHeight="1" x14ac:dyDescent="0.2">
      <c r="A15" s="91">
        <v>11</v>
      </c>
      <c r="B15" s="75">
        <f t="shared" si="32"/>
        <v>25336508</v>
      </c>
      <c r="C15" s="75">
        <v>25339657</v>
      </c>
      <c r="D15" s="76">
        <f t="shared" si="0"/>
        <v>3149</v>
      </c>
      <c r="E15" s="77">
        <f t="shared" si="56"/>
        <v>22310345</v>
      </c>
      <c r="F15" s="78">
        <v>22313991</v>
      </c>
      <c r="G15" s="77">
        <f t="shared" si="33"/>
        <v>3646</v>
      </c>
      <c r="H15" s="79">
        <f t="shared" si="34"/>
        <v>84676008</v>
      </c>
      <c r="I15" s="79">
        <v>84688060</v>
      </c>
      <c r="J15" s="83">
        <f t="shared" si="1"/>
        <v>12052</v>
      </c>
      <c r="K15" s="79">
        <f t="shared" si="57"/>
        <v>1862300</v>
      </c>
      <c r="L15" s="80">
        <v>1864100</v>
      </c>
      <c r="M15" s="83">
        <f t="shared" si="2"/>
        <v>1800</v>
      </c>
      <c r="N15" s="79">
        <f t="shared" si="58"/>
        <v>2518907</v>
      </c>
      <c r="O15" s="79">
        <v>2521408</v>
      </c>
      <c r="P15" s="83">
        <f t="shared" si="3"/>
        <v>2501</v>
      </c>
      <c r="Q15" s="79">
        <f t="shared" si="35"/>
        <v>1527700</v>
      </c>
      <c r="R15" s="80">
        <v>1529100</v>
      </c>
      <c r="S15" s="83">
        <f t="shared" si="4"/>
        <v>1400</v>
      </c>
      <c r="T15" s="79">
        <f t="shared" si="59"/>
        <v>701872</v>
      </c>
      <c r="U15" s="80">
        <v>702496</v>
      </c>
      <c r="V15" s="83">
        <f t="shared" si="5"/>
        <v>624</v>
      </c>
      <c r="W15" s="79">
        <f t="shared" si="60"/>
        <v>7262900</v>
      </c>
      <c r="X15" s="80">
        <v>7268600</v>
      </c>
      <c r="Y15" s="83">
        <f t="shared" si="6"/>
        <v>5700</v>
      </c>
      <c r="Z15" s="79">
        <f t="shared" si="61"/>
        <v>1635800</v>
      </c>
      <c r="AA15" s="80">
        <v>1637900</v>
      </c>
      <c r="AB15" s="83">
        <f t="shared" si="7"/>
        <v>2100</v>
      </c>
      <c r="AC15" s="79">
        <f t="shared" si="8"/>
        <v>472068</v>
      </c>
      <c r="AD15" s="79">
        <v>472486</v>
      </c>
      <c r="AE15" s="83">
        <f t="shared" si="9"/>
        <v>418</v>
      </c>
      <c r="AF15" s="79">
        <f t="shared" si="10"/>
        <v>338490</v>
      </c>
      <c r="AG15" s="79">
        <v>338890</v>
      </c>
      <c r="AH15" s="83">
        <f t="shared" si="11"/>
        <v>400</v>
      </c>
      <c r="AI15" s="79">
        <f t="shared" si="12"/>
        <v>581360</v>
      </c>
      <c r="AJ15" s="79">
        <v>582140</v>
      </c>
      <c r="AK15" s="83">
        <f t="shared" si="13"/>
        <v>780</v>
      </c>
      <c r="AL15" s="79">
        <f t="shared" si="36"/>
        <v>1061900</v>
      </c>
      <c r="AM15" s="79">
        <v>1063100</v>
      </c>
      <c r="AN15" s="83">
        <f t="shared" si="14"/>
        <v>1200</v>
      </c>
      <c r="AO15" s="79">
        <f t="shared" si="37"/>
        <v>676260</v>
      </c>
      <c r="AP15" s="80">
        <v>677010</v>
      </c>
      <c r="AQ15" s="83">
        <f t="shared" si="15"/>
        <v>750</v>
      </c>
      <c r="AR15" s="79">
        <f t="shared" si="38"/>
        <v>554210</v>
      </c>
      <c r="AS15" s="79">
        <v>554440</v>
      </c>
      <c r="AT15" s="83">
        <f t="shared" si="16"/>
        <v>230</v>
      </c>
      <c r="AU15" s="79">
        <f t="shared" si="39"/>
        <v>509600</v>
      </c>
      <c r="AV15" s="79">
        <v>510990</v>
      </c>
      <c r="AW15" s="83">
        <f t="shared" si="17"/>
        <v>1390</v>
      </c>
      <c r="AX15" s="79">
        <f t="shared" si="40"/>
        <v>394570</v>
      </c>
      <c r="AY15" s="79">
        <v>395650</v>
      </c>
      <c r="AZ15" s="83">
        <f t="shared" si="18"/>
        <v>1080</v>
      </c>
      <c r="BA15" s="79">
        <f t="shared" si="41"/>
        <v>1097700</v>
      </c>
      <c r="BB15" s="79">
        <v>1100900</v>
      </c>
      <c r="BC15" s="83">
        <f t="shared" si="19"/>
        <v>3200</v>
      </c>
      <c r="BD15" s="83">
        <f t="shared" si="42"/>
        <v>23871</v>
      </c>
      <c r="BE15" s="83">
        <v>23953</v>
      </c>
      <c r="BF15" s="83">
        <f t="shared" si="43"/>
        <v>82</v>
      </c>
      <c r="BG15" s="79">
        <f t="shared" si="44"/>
        <v>19298</v>
      </c>
      <c r="BH15" s="79">
        <v>19368</v>
      </c>
      <c r="BI15" s="169">
        <f t="shared" si="20"/>
        <v>70</v>
      </c>
      <c r="BJ15" s="79">
        <f t="shared" si="45"/>
        <v>17608</v>
      </c>
      <c r="BK15" s="79">
        <v>17655</v>
      </c>
      <c r="BL15" s="83">
        <f t="shared" si="21"/>
        <v>47</v>
      </c>
      <c r="BM15" s="79">
        <f t="shared" si="46"/>
        <v>27856</v>
      </c>
      <c r="BN15" s="79">
        <v>27930</v>
      </c>
      <c r="BO15" s="83">
        <f t="shared" si="22"/>
        <v>74</v>
      </c>
      <c r="BP15" s="79">
        <f t="shared" si="47"/>
        <v>19995</v>
      </c>
      <c r="BQ15" s="79">
        <v>20052</v>
      </c>
      <c r="BR15" s="83">
        <f t="shared" si="23"/>
        <v>57</v>
      </c>
      <c r="BS15" s="79">
        <f t="shared" si="48"/>
        <v>20361</v>
      </c>
      <c r="BT15" s="79">
        <v>20411</v>
      </c>
      <c r="BU15" s="83">
        <f t="shared" si="24"/>
        <v>50</v>
      </c>
      <c r="BV15" s="79">
        <f t="shared" si="49"/>
        <v>14116</v>
      </c>
      <c r="BW15" s="79">
        <v>14162</v>
      </c>
      <c r="BX15" s="83">
        <f t="shared" si="25"/>
        <v>46</v>
      </c>
      <c r="BY15" s="79">
        <f t="shared" si="50"/>
        <v>36978</v>
      </c>
      <c r="BZ15" s="80">
        <v>37198</v>
      </c>
      <c r="CA15" s="83">
        <f t="shared" si="26"/>
        <v>220</v>
      </c>
      <c r="CB15" s="79">
        <f t="shared" si="51"/>
        <v>28462</v>
      </c>
      <c r="CC15" s="79">
        <v>28539</v>
      </c>
      <c r="CD15" s="83">
        <f t="shared" si="27"/>
        <v>77</v>
      </c>
      <c r="CE15" s="79">
        <f t="shared" si="52"/>
        <v>84245</v>
      </c>
      <c r="CF15" s="80">
        <v>84488</v>
      </c>
      <c r="CG15" s="83">
        <f t="shared" si="28"/>
        <v>243</v>
      </c>
      <c r="CH15" s="79">
        <f t="shared" si="53"/>
        <v>58790</v>
      </c>
      <c r="CI15" s="79">
        <v>59135</v>
      </c>
      <c r="CJ15" s="83">
        <f t="shared" si="29"/>
        <v>345</v>
      </c>
      <c r="CK15" s="79">
        <f t="shared" si="54"/>
        <v>14122</v>
      </c>
      <c r="CL15" s="79">
        <v>14170</v>
      </c>
      <c r="CM15" s="83">
        <f t="shared" si="30"/>
        <v>48</v>
      </c>
      <c r="CN15" s="79">
        <f t="shared" si="55"/>
        <v>48973</v>
      </c>
      <c r="CO15" s="79">
        <v>49068</v>
      </c>
      <c r="CP15" s="83">
        <f t="shared" si="31"/>
        <v>95</v>
      </c>
    </row>
    <row r="16" spans="1:94" s="3" customFormat="1" ht="13.5" customHeight="1" x14ac:dyDescent="0.2">
      <c r="A16" s="91">
        <v>12</v>
      </c>
      <c r="B16" s="75">
        <f t="shared" si="32"/>
        <v>25339657</v>
      </c>
      <c r="C16" s="75">
        <v>25342834</v>
      </c>
      <c r="D16" s="76">
        <f t="shared" si="0"/>
        <v>3177</v>
      </c>
      <c r="E16" s="77">
        <f t="shared" si="56"/>
        <v>22313991</v>
      </c>
      <c r="F16" s="78">
        <v>22318162</v>
      </c>
      <c r="G16" s="77">
        <f t="shared" si="33"/>
        <v>4171</v>
      </c>
      <c r="H16" s="79">
        <f t="shared" si="34"/>
        <v>84688060</v>
      </c>
      <c r="I16" s="79">
        <v>84700846</v>
      </c>
      <c r="J16" s="83">
        <f t="shared" si="1"/>
        <v>12786</v>
      </c>
      <c r="K16" s="79">
        <f t="shared" si="57"/>
        <v>1864100</v>
      </c>
      <c r="L16" s="80">
        <v>1865900</v>
      </c>
      <c r="M16" s="83">
        <f t="shared" si="2"/>
        <v>1800</v>
      </c>
      <c r="N16" s="79">
        <f t="shared" si="58"/>
        <v>2521408</v>
      </c>
      <c r="O16" s="79">
        <v>2523930</v>
      </c>
      <c r="P16" s="83">
        <f t="shared" si="3"/>
        <v>2522</v>
      </c>
      <c r="Q16" s="79">
        <f t="shared" si="35"/>
        <v>1529100</v>
      </c>
      <c r="R16" s="80">
        <v>1530600</v>
      </c>
      <c r="S16" s="83">
        <f t="shared" si="4"/>
        <v>1500</v>
      </c>
      <c r="T16" s="79">
        <f t="shared" si="59"/>
        <v>702496</v>
      </c>
      <c r="U16" s="80">
        <v>703179</v>
      </c>
      <c r="V16" s="83">
        <f t="shared" si="5"/>
        <v>683</v>
      </c>
      <c r="W16" s="79">
        <f t="shared" si="60"/>
        <v>7268600</v>
      </c>
      <c r="X16" s="80">
        <v>7274400</v>
      </c>
      <c r="Y16" s="83">
        <f t="shared" si="6"/>
        <v>5800</v>
      </c>
      <c r="Z16" s="79">
        <f t="shared" si="61"/>
        <v>1637900</v>
      </c>
      <c r="AA16" s="80">
        <v>1639900</v>
      </c>
      <c r="AB16" s="83">
        <f t="shared" si="7"/>
        <v>2000</v>
      </c>
      <c r="AC16" s="79">
        <f t="shared" si="8"/>
        <v>472486</v>
      </c>
      <c r="AD16" s="79">
        <v>472872</v>
      </c>
      <c r="AE16" s="83">
        <f t="shared" si="9"/>
        <v>386</v>
      </c>
      <c r="AF16" s="79">
        <f t="shared" si="10"/>
        <v>338890</v>
      </c>
      <c r="AG16" s="79">
        <v>339310</v>
      </c>
      <c r="AH16" s="83">
        <f t="shared" si="11"/>
        <v>420</v>
      </c>
      <c r="AI16" s="79">
        <f t="shared" si="12"/>
        <v>582140</v>
      </c>
      <c r="AJ16" s="79">
        <v>582960</v>
      </c>
      <c r="AK16" s="83">
        <f t="shared" si="13"/>
        <v>820</v>
      </c>
      <c r="AL16" s="79">
        <f t="shared" si="36"/>
        <v>1063100</v>
      </c>
      <c r="AM16" s="79">
        <v>1064400</v>
      </c>
      <c r="AN16" s="83">
        <f t="shared" si="14"/>
        <v>1300</v>
      </c>
      <c r="AO16" s="79">
        <f t="shared" si="37"/>
        <v>677010</v>
      </c>
      <c r="AP16" s="80">
        <v>677830</v>
      </c>
      <c r="AQ16" s="83">
        <f t="shared" si="15"/>
        <v>820</v>
      </c>
      <c r="AR16" s="79">
        <f t="shared" si="38"/>
        <v>554440</v>
      </c>
      <c r="AS16" s="79">
        <v>554940</v>
      </c>
      <c r="AT16" s="83">
        <f t="shared" si="16"/>
        <v>500</v>
      </c>
      <c r="AU16" s="79">
        <f t="shared" si="39"/>
        <v>510990</v>
      </c>
      <c r="AV16" s="79">
        <v>512310</v>
      </c>
      <c r="AW16" s="83">
        <f t="shared" si="17"/>
        <v>1320</v>
      </c>
      <c r="AX16" s="79">
        <f t="shared" si="40"/>
        <v>395650</v>
      </c>
      <c r="AY16" s="79">
        <v>396760</v>
      </c>
      <c r="AZ16" s="83">
        <f t="shared" si="18"/>
        <v>1110</v>
      </c>
      <c r="BA16" s="79">
        <f t="shared" si="41"/>
        <v>1100900</v>
      </c>
      <c r="BB16" s="79">
        <v>1103800</v>
      </c>
      <c r="BC16" s="83">
        <f t="shared" si="19"/>
        <v>2900</v>
      </c>
      <c r="BD16" s="83">
        <f t="shared" si="42"/>
        <v>23953</v>
      </c>
      <c r="BE16" s="83">
        <v>24049</v>
      </c>
      <c r="BF16" s="83">
        <f t="shared" si="43"/>
        <v>96</v>
      </c>
      <c r="BG16" s="79">
        <f t="shared" si="44"/>
        <v>19368</v>
      </c>
      <c r="BH16" s="79">
        <v>19452</v>
      </c>
      <c r="BI16" s="169">
        <f t="shared" si="20"/>
        <v>84</v>
      </c>
      <c r="BJ16" s="79">
        <f t="shared" si="45"/>
        <v>17655</v>
      </c>
      <c r="BK16" s="79">
        <v>17723</v>
      </c>
      <c r="BL16" s="83">
        <f t="shared" si="21"/>
        <v>68</v>
      </c>
      <c r="BM16" s="79">
        <f t="shared" si="46"/>
        <v>27930</v>
      </c>
      <c r="BN16" s="79">
        <v>28015</v>
      </c>
      <c r="BO16" s="83">
        <f t="shared" si="22"/>
        <v>85</v>
      </c>
      <c r="BP16" s="79">
        <f t="shared" si="47"/>
        <v>20052</v>
      </c>
      <c r="BQ16" s="79">
        <v>20120</v>
      </c>
      <c r="BR16" s="83">
        <f t="shared" si="23"/>
        <v>68</v>
      </c>
      <c r="BS16" s="79">
        <f t="shared" si="48"/>
        <v>20411</v>
      </c>
      <c r="BT16" s="79">
        <v>20464</v>
      </c>
      <c r="BU16" s="83">
        <f t="shared" si="24"/>
        <v>53</v>
      </c>
      <c r="BV16" s="79">
        <f t="shared" si="49"/>
        <v>14162</v>
      </c>
      <c r="BW16" s="79">
        <v>14208</v>
      </c>
      <c r="BX16" s="83">
        <f t="shared" si="25"/>
        <v>46</v>
      </c>
      <c r="BY16" s="79">
        <f t="shared" si="50"/>
        <v>37198</v>
      </c>
      <c r="BZ16" s="80">
        <v>37374</v>
      </c>
      <c r="CA16" s="83">
        <f t="shared" si="26"/>
        <v>176</v>
      </c>
      <c r="CB16" s="79">
        <f t="shared" si="51"/>
        <v>28539</v>
      </c>
      <c r="CC16" s="79">
        <v>28614</v>
      </c>
      <c r="CD16" s="83">
        <f t="shared" si="27"/>
        <v>75</v>
      </c>
      <c r="CE16" s="79">
        <f t="shared" si="52"/>
        <v>84488</v>
      </c>
      <c r="CF16" s="80">
        <v>84726</v>
      </c>
      <c r="CG16" s="83">
        <f t="shared" si="28"/>
        <v>238</v>
      </c>
      <c r="CH16" s="79">
        <f t="shared" si="53"/>
        <v>59135</v>
      </c>
      <c r="CI16" s="79">
        <v>59480</v>
      </c>
      <c r="CJ16" s="83">
        <f t="shared" si="29"/>
        <v>345</v>
      </c>
      <c r="CK16" s="79">
        <f t="shared" si="54"/>
        <v>14170</v>
      </c>
      <c r="CL16" s="79">
        <v>14219</v>
      </c>
      <c r="CM16" s="83">
        <f t="shared" si="30"/>
        <v>49</v>
      </c>
      <c r="CN16" s="79">
        <f t="shared" si="55"/>
        <v>49068</v>
      </c>
      <c r="CO16" s="79">
        <v>49142</v>
      </c>
      <c r="CP16" s="83">
        <f t="shared" si="31"/>
        <v>74</v>
      </c>
    </row>
    <row r="17" spans="1:1028" s="3" customFormat="1" ht="13.5" customHeight="1" x14ac:dyDescent="0.2">
      <c r="A17" s="91">
        <v>13</v>
      </c>
      <c r="B17" s="75">
        <f t="shared" si="32"/>
        <v>25342834</v>
      </c>
      <c r="C17" s="75">
        <v>25346424</v>
      </c>
      <c r="D17" s="76">
        <f t="shared" si="0"/>
        <v>3590</v>
      </c>
      <c r="E17" s="77">
        <f t="shared" si="56"/>
        <v>22318162</v>
      </c>
      <c r="F17" s="78">
        <v>22322973</v>
      </c>
      <c r="G17" s="77">
        <f t="shared" si="33"/>
        <v>4811</v>
      </c>
      <c r="H17" s="79">
        <f t="shared" si="34"/>
        <v>84700846</v>
      </c>
      <c r="I17" s="79">
        <v>84714069</v>
      </c>
      <c r="J17" s="83">
        <f t="shared" si="1"/>
        <v>13223</v>
      </c>
      <c r="K17" s="79">
        <f t="shared" si="57"/>
        <v>1865900</v>
      </c>
      <c r="L17" s="80">
        <v>1867900</v>
      </c>
      <c r="M17" s="83">
        <f t="shared" si="2"/>
        <v>2000</v>
      </c>
      <c r="N17" s="79">
        <f t="shared" si="58"/>
        <v>2523930</v>
      </c>
      <c r="O17" s="79">
        <v>2526638</v>
      </c>
      <c r="P17" s="83">
        <f t="shared" si="3"/>
        <v>2708</v>
      </c>
      <c r="Q17" s="79">
        <f t="shared" si="35"/>
        <v>1530600</v>
      </c>
      <c r="R17" s="80">
        <v>1531900</v>
      </c>
      <c r="S17" s="83">
        <f t="shared" si="4"/>
        <v>1300</v>
      </c>
      <c r="T17" s="79">
        <f t="shared" si="59"/>
        <v>703179</v>
      </c>
      <c r="U17" s="80">
        <v>703829</v>
      </c>
      <c r="V17" s="83">
        <f t="shared" si="5"/>
        <v>650</v>
      </c>
      <c r="W17" s="79">
        <f t="shared" si="60"/>
        <v>7274400</v>
      </c>
      <c r="X17" s="80">
        <v>7280900</v>
      </c>
      <c r="Y17" s="83">
        <f t="shared" si="6"/>
        <v>6500</v>
      </c>
      <c r="Z17" s="79">
        <f t="shared" si="61"/>
        <v>1639900</v>
      </c>
      <c r="AA17" s="80">
        <v>1641700</v>
      </c>
      <c r="AB17" s="83">
        <f t="shared" si="7"/>
        <v>1800</v>
      </c>
      <c r="AC17" s="79">
        <f t="shared" si="8"/>
        <v>472872</v>
      </c>
      <c r="AD17" s="79">
        <v>473296</v>
      </c>
      <c r="AE17" s="83">
        <f t="shared" si="9"/>
        <v>424</v>
      </c>
      <c r="AF17" s="79">
        <f t="shared" si="10"/>
        <v>339310</v>
      </c>
      <c r="AG17" s="79">
        <v>339710</v>
      </c>
      <c r="AH17" s="83">
        <f t="shared" si="11"/>
        <v>400</v>
      </c>
      <c r="AI17" s="79">
        <f t="shared" si="12"/>
        <v>582960</v>
      </c>
      <c r="AJ17" s="79">
        <v>583760</v>
      </c>
      <c r="AK17" s="83">
        <f t="shared" si="13"/>
        <v>800</v>
      </c>
      <c r="AL17" s="79">
        <f t="shared" si="36"/>
        <v>1064400</v>
      </c>
      <c r="AM17" s="79">
        <v>1065700</v>
      </c>
      <c r="AN17" s="83">
        <f t="shared" si="14"/>
        <v>1300</v>
      </c>
      <c r="AO17" s="79">
        <f t="shared" si="37"/>
        <v>677830</v>
      </c>
      <c r="AP17" s="80">
        <v>678670</v>
      </c>
      <c r="AQ17" s="83">
        <f t="shared" si="15"/>
        <v>840</v>
      </c>
      <c r="AR17" s="79">
        <f t="shared" si="38"/>
        <v>554940</v>
      </c>
      <c r="AS17" s="79">
        <v>555030</v>
      </c>
      <c r="AT17" s="83">
        <f t="shared" si="16"/>
        <v>90</v>
      </c>
      <c r="AU17" s="79">
        <f t="shared" si="39"/>
        <v>512310</v>
      </c>
      <c r="AV17" s="79">
        <v>513860</v>
      </c>
      <c r="AW17" s="83">
        <f t="shared" si="17"/>
        <v>1550</v>
      </c>
      <c r="AX17" s="79">
        <f t="shared" si="40"/>
        <v>396760</v>
      </c>
      <c r="AY17" s="79">
        <v>397920</v>
      </c>
      <c r="AZ17" s="83">
        <f t="shared" si="18"/>
        <v>1160</v>
      </c>
      <c r="BA17" s="79">
        <f t="shared" si="41"/>
        <v>1103800</v>
      </c>
      <c r="BB17" s="79">
        <v>1107300</v>
      </c>
      <c r="BC17" s="83">
        <f t="shared" si="19"/>
        <v>3500</v>
      </c>
      <c r="BD17" s="83">
        <f t="shared" si="42"/>
        <v>24049</v>
      </c>
      <c r="BE17" s="83">
        <v>24163</v>
      </c>
      <c r="BF17" s="83">
        <f t="shared" si="43"/>
        <v>114</v>
      </c>
      <c r="BG17" s="79">
        <f t="shared" si="44"/>
        <v>19452</v>
      </c>
      <c r="BH17" s="79">
        <v>19554</v>
      </c>
      <c r="BI17" s="169">
        <f t="shared" si="20"/>
        <v>102</v>
      </c>
      <c r="BJ17" s="79">
        <f t="shared" si="45"/>
        <v>17723</v>
      </c>
      <c r="BK17" s="79">
        <v>17802</v>
      </c>
      <c r="BL17" s="83">
        <f t="shared" si="21"/>
        <v>79</v>
      </c>
      <c r="BM17" s="79">
        <f t="shared" si="46"/>
        <v>28015</v>
      </c>
      <c r="BN17" s="79">
        <v>28113</v>
      </c>
      <c r="BO17" s="83">
        <f t="shared" si="22"/>
        <v>98</v>
      </c>
      <c r="BP17" s="79">
        <f t="shared" si="47"/>
        <v>20120</v>
      </c>
      <c r="BQ17" s="79">
        <v>20193</v>
      </c>
      <c r="BR17" s="83">
        <f t="shared" si="23"/>
        <v>73</v>
      </c>
      <c r="BS17" s="79">
        <f t="shared" si="48"/>
        <v>20464</v>
      </c>
      <c r="BT17" s="79">
        <v>20529</v>
      </c>
      <c r="BU17" s="83">
        <f t="shared" si="24"/>
        <v>65</v>
      </c>
      <c r="BV17" s="79">
        <f t="shared" si="49"/>
        <v>14208</v>
      </c>
      <c r="BW17" s="79">
        <v>14256</v>
      </c>
      <c r="BX17" s="83">
        <f t="shared" si="25"/>
        <v>48</v>
      </c>
      <c r="BY17" s="79">
        <f t="shared" si="50"/>
        <v>37374</v>
      </c>
      <c r="BZ17" s="80">
        <v>37513</v>
      </c>
      <c r="CA17" s="83">
        <f t="shared" si="26"/>
        <v>139</v>
      </c>
      <c r="CB17" s="79">
        <f t="shared" si="51"/>
        <v>28614</v>
      </c>
      <c r="CC17" s="79">
        <v>28695</v>
      </c>
      <c r="CD17" s="83">
        <f t="shared" si="27"/>
        <v>81</v>
      </c>
      <c r="CE17" s="79">
        <f t="shared" si="52"/>
        <v>84726</v>
      </c>
      <c r="CF17" s="80">
        <v>84985</v>
      </c>
      <c r="CG17" s="83">
        <f t="shared" si="28"/>
        <v>259</v>
      </c>
      <c r="CH17" s="79">
        <f t="shared" si="53"/>
        <v>59480</v>
      </c>
      <c r="CI17" s="79">
        <v>59853</v>
      </c>
      <c r="CJ17" s="83">
        <f t="shared" si="29"/>
        <v>373</v>
      </c>
      <c r="CK17" s="79">
        <f t="shared" si="54"/>
        <v>14219</v>
      </c>
      <c r="CL17" s="79">
        <v>14266</v>
      </c>
      <c r="CM17" s="83">
        <f t="shared" si="30"/>
        <v>47</v>
      </c>
      <c r="CN17" s="79">
        <f t="shared" si="55"/>
        <v>49142</v>
      </c>
      <c r="CO17" s="79">
        <v>49224</v>
      </c>
      <c r="CP17" s="83">
        <f t="shared" si="31"/>
        <v>82</v>
      </c>
    </row>
    <row r="18" spans="1:1028" s="3" customFormat="1" ht="13.5" customHeight="1" x14ac:dyDescent="0.2">
      <c r="A18" s="91">
        <v>14</v>
      </c>
      <c r="B18" s="75">
        <f t="shared" si="32"/>
        <v>25346424</v>
      </c>
      <c r="C18" s="75">
        <v>25350103</v>
      </c>
      <c r="D18" s="76">
        <f t="shared" si="0"/>
        <v>3679</v>
      </c>
      <c r="E18" s="77">
        <f t="shared" si="56"/>
        <v>22322973</v>
      </c>
      <c r="F18" s="78">
        <v>22328580</v>
      </c>
      <c r="G18" s="77">
        <f t="shared" si="33"/>
        <v>5607</v>
      </c>
      <c r="H18" s="79">
        <f t="shared" si="34"/>
        <v>84714069</v>
      </c>
      <c r="I18" s="79">
        <v>84728332</v>
      </c>
      <c r="J18" s="83">
        <f t="shared" si="1"/>
        <v>14263</v>
      </c>
      <c r="K18" s="79">
        <f t="shared" si="57"/>
        <v>1867900</v>
      </c>
      <c r="L18" s="80">
        <v>1869800</v>
      </c>
      <c r="M18" s="83">
        <f t="shared" si="2"/>
        <v>1900</v>
      </c>
      <c r="N18" s="79">
        <f t="shared" si="58"/>
        <v>2526638</v>
      </c>
      <c r="O18" s="79">
        <v>2529389</v>
      </c>
      <c r="P18" s="83">
        <f t="shared" si="3"/>
        <v>2751</v>
      </c>
      <c r="Q18" s="79">
        <f t="shared" si="35"/>
        <v>1531900</v>
      </c>
      <c r="R18" s="79">
        <v>1533700</v>
      </c>
      <c r="S18" s="83">
        <f t="shared" si="4"/>
        <v>1800</v>
      </c>
      <c r="T18" s="79">
        <f t="shared" si="59"/>
        <v>703829</v>
      </c>
      <c r="U18" s="80">
        <v>704455</v>
      </c>
      <c r="V18" s="83">
        <f t="shared" si="5"/>
        <v>626</v>
      </c>
      <c r="W18" s="79">
        <f t="shared" si="60"/>
        <v>7280900</v>
      </c>
      <c r="X18" s="80">
        <v>7287000</v>
      </c>
      <c r="Y18" s="83">
        <f t="shared" si="6"/>
        <v>6100</v>
      </c>
      <c r="Z18" s="79">
        <f t="shared" si="61"/>
        <v>1641700</v>
      </c>
      <c r="AA18" s="80">
        <v>1643500</v>
      </c>
      <c r="AB18" s="83">
        <f t="shared" si="7"/>
        <v>1800</v>
      </c>
      <c r="AC18" s="79">
        <f t="shared" si="8"/>
        <v>473296</v>
      </c>
      <c r="AD18" s="79">
        <v>473787</v>
      </c>
      <c r="AE18" s="83">
        <f t="shared" si="9"/>
        <v>491</v>
      </c>
      <c r="AF18" s="79">
        <f t="shared" si="10"/>
        <v>339710</v>
      </c>
      <c r="AG18" s="79">
        <v>340200</v>
      </c>
      <c r="AH18" s="83">
        <f t="shared" si="11"/>
        <v>490</v>
      </c>
      <c r="AI18" s="79">
        <f t="shared" si="12"/>
        <v>583760</v>
      </c>
      <c r="AJ18" s="79">
        <v>584640</v>
      </c>
      <c r="AK18" s="83">
        <f t="shared" si="13"/>
        <v>880</v>
      </c>
      <c r="AL18" s="79">
        <f t="shared" si="36"/>
        <v>1065700</v>
      </c>
      <c r="AM18" s="79">
        <v>1067300</v>
      </c>
      <c r="AN18" s="83">
        <f t="shared" si="14"/>
        <v>1600</v>
      </c>
      <c r="AO18" s="79">
        <f t="shared" si="37"/>
        <v>678670</v>
      </c>
      <c r="AP18" s="80">
        <v>679560</v>
      </c>
      <c r="AQ18" s="83">
        <f t="shared" si="15"/>
        <v>890</v>
      </c>
      <c r="AR18" s="79">
        <f t="shared" si="38"/>
        <v>555030</v>
      </c>
      <c r="AS18" s="79">
        <v>556830</v>
      </c>
      <c r="AT18" s="83">
        <f t="shared" si="16"/>
        <v>1800</v>
      </c>
      <c r="AU18" s="79">
        <f t="shared" si="39"/>
        <v>513860</v>
      </c>
      <c r="AV18" s="79">
        <v>515830</v>
      </c>
      <c r="AW18" s="83">
        <f t="shared" si="17"/>
        <v>1970</v>
      </c>
      <c r="AX18" s="79">
        <f t="shared" si="40"/>
        <v>397920</v>
      </c>
      <c r="AY18" s="79">
        <v>399050</v>
      </c>
      <c r="AZ18" s="83">
        <f t="shared" si="18"/>
        <v>1130</v>
      </c>
      <c r="BA18" s="79">
        <f t="shared" si="41"/>
        <v>1107300</v>
      </c>
      <c r="BB18" s="79">
        <v>1111000</v>
      </c>
      <c r="BC18" s="83">
        <f t="shared" si="19"/>
        <v>3700</v>
      </c>
      <c r="BD18" s="83">
        <f t="shared" si="42"/>
        <v>24163</v>
      </c>
      <c r="BE18" s="83">
        <v>24315</v>
      </c>
      <c r="BF18" s="83">
        <f t="shared" si="43"/>
        <v>152</v>
      </c>
      <c r="BG18" s="79">
        <f t="shared" si="44"/>
        <v>19554</v>
      </c>
      <c r="BH18" s="79">
        <v>19657</v>
      </c>
      <c r="BI18" s="169">
        <f t="shared" si="20"/>
        <v>103</v>
      </c>
      <c r="BJ18" s="79">
        <f t="shared" si="45"/>
        <v>17802</v>
      </c>
      <c r="BK18" s="79">
        <v>17906</v>
      </c>
      <c r="BL18" s="83">
        <f t="shared" si="21"/>
        <v>104</v>
      </c>
      <c r="BM18" s="79">
        <f t="shared" si="46"/>
        <v>28113</v>
      </c>
      <c r="BN18" s="79">
        <v>28236</v>
      </c>
      <c r="BO18" s="83">
        <f t="shared" si="22"/>
        <v>123</v>
      </c>
      <c r="BP18" s="79">
        <f t="shared" si="47"/>
        <v>20193</v>
      </c>
      <c r="BQ18" s="79">
        <v>20279</v>
      </c>
      <c r="BR18" s="83">
        <f t="shared" si="23"/>
        <v>86</v>
      </c>
      <c r="BS18" s="79">
        <f t="shared" si="48"/>
        <v>20529</v>
      </c>
      <c r="BT18" s="79">
        <v>20589</v>
      </c>
      <c r="BU18" s="83">
        <f t="shared" si="24"/>
        <v>60</v>
      </c>
      <c r="BV18" s="79">
        <f t="shared" si="49"/>
        <v>14256</v>
      </c>
      <c r="BW18" s="79">
        <v>14308</v>
      </c>
      <c r="BX18" s="83">
        <f t="shared" si="25"/>
        <v>52</v>
      </c>
      <c r="BY18" s="79">
        <f t="shared" si="50"/>
        <v>37513</v>
      </c>
      <c r="BZ18" s="80">
        <v>37631</v>
      </c>
      <c r="CA18" s="83">
        <f t="shared" si="26"/>
        <v>118</v>
      </c>
      <c r="CB18" s="79">
        <f t="shared" si="51"/>
        <v>28695</v>
      </c>
      <c r="CC18" s="79">
        <v>28773</v>
      </c>
      <c r="CD18" s="83">
        <f t="shared" si="27"/>
        <v>78</v>
      </c>
      <c r="CE18" s="79">
        <f t="shared" si="52"/>
        <v>84985</v>
      </c>
      <c r="CF18" s="80">
        <v>85265</v>
      </c>
      <c r="CG18" s="83">
        <f t="shared" si="28"/>
        <v>280</v>
      </c>
      <c r="CH18" s="79">
        <f t="shared" si="53"/>
        <v>59853</v>
      </c>
      <c r="CI18" s="79">
        <v>60174</v>
      </c>
      <c r="CJ18" s="83">
        <f t="shared" si="29"/>
        <v>321</v>
      </c>
      <c r="CK18" s="79">
        <f t="shared" si="54"/>
        <v>14266</v>
      </c>
      <c r="CL18" s="79">
        <v>14315</v>
      </c>
      <c r="CM18" s="83">
        <f t="shared" si="30"/>
        <v>49</v>
      </c>
      <c r="CN18" s="79">
        <f t="shared" si="55"/>
        <v>49224</v>
      </c>
      <c r="CO18" s="79">
        <v>49282</v>
      </c>
      <c r="CP18" s="83">
        <f t="shared" si="31"/>
        <v>58</v>
      </c>
    </row>
    <row r="19" spans="1:1028" s="3" customFormat="1" ht="13.5" customHeight="1" x14ac:dyDescent="0.2">
      <c r="A19" s="91">
        <v>15</v>
      </c>
      <c r="B19" s="75">
        <f t="shared" si="32"/>
        <v>25350103</v>
      </c>
      <c r="C19" s="75">
        <v>25353644</v>
      </c>
      <c r="D19" s="76">
        <f t="shared" si="0"/>
        <v>3541</v>
      </c>
      <c r="E19" s="77">
        <f t="shared" si="56"/>
        <v>22328580</v>
      </c>
      <c r="F19" s="78">
        <v>22333751</v>
      </c>
      <c r="G19" s="77">
        <f t="shared" si="33"/>
        <v>5171</v>
      </c>
      <c r="H19" s="79">
        <f t="shared" si="34"/>
        <v>84728332</v>
      </c>
      <c r="I19" s="79">
        <v>84742898</v>
      </c>
      <c r="J19" s="83">
        <f t="shared" si="1"/>
        <v>14566</v>
      </c>
      <c r="K19" s="79">
        <f t="shared" si="57"/>
        <v>1869800</v>
      </c>
      <c r="L19" s="79">
        <v>1871800</v>
      </c>
      <c r="M19" s="83">
        <f t="shared" si="2"/>
        <v>2000</v>
      </c>
      <c r="N19" s="79">
        <f t="shared" si="58"/>
        <v>2529389</v>
      </c>
      <c r="O19" s="79">
        <v>2532189</v>
      </c>
      <c r="P19" s="83">
        <f t="shared" si="3"/>
        <v>2800</v>
      </c>
      <c r="Q19" s="79">
        <f t="shared" si="35"/>
        <v>1533700</v>
      </c>
      <c r="R19" s="79">
        <v>1535600</v>
      </c>
      <c r="S19" s="83">
        <f t="shared" si="4"/>
        <v>1900</v>
      </c>
      <c r="T19" s="79">
        <f t="shared" si="59"/>
        <v>704455</v>
      </c>
      <c r="U19" s="80">
        <v>705115</v>
      </c>
      <c r="V19" s="83">
        <f t="shared" si="5"/>
        <v>660</v>
      </c>
      <c r="W19" s="79">
        <f t="shared" si="60"/>
        <v>7287000</v>
      </c>
      <c r="X19" s="80">
        <v>7293500</v>
      </c>
      <c r="Y19" s="83">
        <f t="shared" si="6"/>
        <v>6500</v>
      </c>
      <c r="Z19" s="79">
        <f t="shared" si="61"/>
        <v>1643500</v>
      </c>
      <c r="AA19" s="80">
        <v>1645300</v>
      </c>
      <c r="AB19" s="83">
        <f t="shared" si="7"/>
        <v>1800</v>
      </c>
      <c r="AC19" s="79">
        <f t="shared" si="8"/>
        <v>473787</v>
      </c>
      <c r="AD19" s="79">
        <v>474245</v>
      </c>
      <c r="AE19" s="83">
        <f t="shared" si="9"/>
        <v>458</v>
      </c>
      <c r="AF19" s="79">
        <f t="shared" si="10"/>
        <v>340200</v>
      </c>
      <c r="AG19" s="79">
        <v>340640</v>
      </c>
      <c r="AH19" s="83">
        <f t="shared" si="11"/>
        <v>440</v>
      </c>
      <c r="AI19" s="79">
        <f t="shared" si="12"/>
        <v>584640</v>
      </c>
      <c r="AJ19" s="79">
        <v>585450</v>
      </c>
      <c r="AK19" s="83">
        <f t="shared" si="13"/>
        <v>810</v>
      </c>
      <c r="AL19" s="79">
        <f t="shared" si="36"/>
        <v>1067300</v>
      </c>
      <c r="AM19" s="79">
        <v>1068800</v>
      </c>
      <c r="AN19" s="83">
        <f t="shared" si="14"/>
        <v>1500</v>
      </c>
      <c r="AO19" s="79">
        <f t="shared" si="37"/>
        <v>679560</v>
      </c>
      <c r="AP19" s="80">
        <v>680450</v>
      </c>
      <c r="AQ19" s="83">
        <f t="shared" si="15"/>
        <v>890</v>
      </c>
      <c r="AR19" s="79">
        <f t="shared" si="38"/>
        <v>556830</v>
      </c>
      <c r="AS19" s="79">
        <v>557670</v>
      </c>
      <c r="AT19" s="83">
        <f t="shared" si="16"/>
        <v>840</v>
      </c>
      <c r="AU19" s="79">
        <f t="shared" si="39"/>
        <v>515830</v>
      </c>
      <c r="AV19" s="79">
        <v>517650</v>
      </c>
      <c r="AW19" s="83">
        <f t="shared" si="17"/>
        <v>1820</v>
      </c>
      <c r="AX19" s="79">
        <f t="shared" si="40"/>
        <v>399050</v>
      </c>
      <c r="AY19" s="79">
        <v>400270</v>
      </c>
      <c r="AZ19" s="83">
        <f t="shared" si="18"/>
        <v>1220</v>
      </c>
      <c r="BA19" s="79">
        <f t="shared" si="41"/>
        <v>1111000</v>
      </c>
      <c r="BB19" s="79">
        <v>1115200</v>
      </c>
      <c r="BC19" s="83">
        <f t="shared" si="19"/>
        <v>4200</v>
      </c>
      <c r="BD19" s="83">
        <f t="shared" si="42"/>
        <v>24315</v>
      </c>
      <c r="BE19" s="83">
        <v>24449</v>
      </c>
      <c r="BF19" s="83">
        <f t="shared" si="43"/>
        <v>134</v>
      </c>
      <c r="BG19" s="79">
        <f t="shared" si="44"/>
        <v>19657</v>
      </c>
      <c r="BH19" s="79">
        <v>19765</v>
      </c>
      <c r="BI19" s="169">
        <f t="shared" si="20"/>
        <v>108</v>
      </c>
      <c r="BJ19" s="79">
        <f t="shared" si="45"/>
        <v>17906</v>
      </c>
      <c r="BK19" s="79">
        <v>17984</v>
      </c>
      <c r="BL19" s="83">
        <f t="shared" si="21"/>
        <v>78</v>
      </c>
      <c r="BM19" s="79">
        <f t="shared" si="46"/>
        <v>28236</v>
      </c>
      <c r="BN19" s="79">
        <v>28349</v>
      </c>
      <c r="BO19" s="83">
        <f t="shared" si="22"/>
        <v>113</v>
      </c>
      <c r="BP19" s="79">
        <f t="shared" si="47"/>
        <v>20279</v>
      </c>
      <c r="BQ19" s="79">
        <v>20357</v>
      </c>
      <c r="BR19" s="83">
        <f t="shared" si="23"/>
        <v>78</v>
      </c>
      <c r="BS19" s="79">
        <f t="shared" si="48"/>
        <v>20589</v>
      </c>
      <c r="BT19" s="79">
        <v>20663</v>
      </c>
      <c r="BU19" s="83">
        <f t="shared" si="24"/>
        <v>74</v>
      </c>
      <c r="BV19" s="79">
        <f t="shared" si="49"/>
        <v>14308</v>
      </c>
      <c r="BW19" s="79">
        <v>14355</v>
      </c>
      <c r="BX19" s="83">
        <f t="shared" si="25"/>
        <v>47</v>
      </c>
      <c r="BY19" s="79">
        <f t="shared" si="50"/>
        <v>37631</v>
      </c>
      <c r="BZ19" s="79">
        <v>37764</v>
      </c>
      <c r="CA19" s="83">
        <f t="shared" si="26"/>
        <v>133</v>
      </c>
      <c r="CB19" s="79">
        <f t="shared" si="51"/>
        <v>28773</v>
      </c>
      <c r="CC19" s="79">
        <v>28853</v>
      </c>
      <c r="CD19" s="83">
        <f t="shared" si="27"/>
        <v>80</v>
      </c>
      <c r="CE19" s="79">
        <f t="shared" si="52"/>
        <v>85265</v>
      </c>
      <c r="CF19" s="79">
        <v>85529</v>
      </c>
      <c r="CG19" s="83">
        <f t="shared" si="28"/>
        <v>264</v>
      </c>
      <c r="CH19" s="79">
        <f t="shared" si="53"/>
        <v>60174</v>
      </c>
      <c r="CI19" s="79">
        <v>60538</v>
      </c>
      <c r="CJ19" s="83">
        <f t="shared" si="29"/>
        <v>364</v>
      </c>
      <c r="CK19" s="79">
        <f t="shared" si="54"/>
        <v>14315</v>
      </c>
      <c r="CL19" s="79">
        <v>14369</v>
      </c>
      <c r="CM19" s="83">
        <f t="shared" si="30"/>
        <v>54</v>
      </c>
      <c r="CN19" s="79">
        <f t="shared" si="55"/>
        <v>49282</v>
      </c>
      <c r="CO19" s="79">
        <v>49346</v>
      </c>
      <c r="CP19" s="83">
        <f t="shared" si="31"/>
        <v>64</v>
      </c>
    </row>
    <row r="20" spans="1:1028" s="3" customFormat="1" ht="13.5" customHeight="1" x14ac:dyDescent="0.2">
      <c r="A20" s="91">
        <v>16</v>
      </c>
      <c r="B20" s="75">
        <f t="shared" si="32"/>
        <v>25353644</v>
      </c>
      <c r="C20" s="75">
        <v>25357235</v>
      </c>
      <c r="D20" s="76">
        <f t="shared" si="0"/>
        <v>3591</v>
      </c>
      <c r="E20" s="77">
        <f t="shared" si="56"/>
        <v>22333751</v>
      </c>
      <c r="F20" s="78">
        <v>22338453</v>
      </c>
      <c r="G20" s="77">
        <f t="shared" si="33"/>
        <v>4702</v>
      </c>
      <c r="H20" s="79">
        <f t="shared" si="34"/>
        <v>84742898</v>
      </c>
      <c r="I20" s="79">
        <v>84756788</v>
      </c>
      <c r="J20" s="83">
        <f t="shared" si="1"/>
        <v>13890</v>
      </c>
      <c r="K20" s="79">
        <f t="shared" si="57"/>
        <v>1871800</v>
      </c>
      <c r="L20" s="79">
        <v>1873700</v>
      </c>
      <c r="M20" s="83">
        <f t="shared" si="2"/>
        <v>1900</v>
      </c>
      <c r="N20" s="79">
        <f t="shared" si="58"/>
        <v>2532189</v>
      </c>
      <c r="O20" s="79">
        <v>2534758</v>
      </c>
      <c r="P20" s="83">
        <f t="shared" si="3"/>
        <v>2569</v>
      </c>
      <c r="Q20" s="79">
        <f t="shared" si="35"/>
        <v>1535600</v>
      </c>
      <c r="R20" s="79">
        <v>1537400</v>
      </c>
      <c r="S20" s="83">
        <f t="shared" si="4"/>
        <v>1800</v>
      </c>
      <c r="T20" s="79">
        <f t="shared" si="59"/>
        <v>705115</v>
      </c>
      <c r="U20" s="80">
        <v>705781</v>
      </c>
      <c r="V20" s="83">
        <f t="shared" si="5"/>
        <v>666</v>
      </c>
      <c r="W20" s="79">
        <f t="shared" si="60"/>
        <v>7293500</v>
      </c>
      <c r="X20" s="79">
        <v>7300000</v>
      </c>
      <c r="Y20" s="83">
        <f t="shared" si="6"/>
        <v>6500</v>
      </c>
      <c r="Z20" s="79">
        <f t="shared" si="61"/>
        <v>1645300</v>
      </c>
      <c r="AA20" s="80">
        <v>1647100</v>
      </c>
      <c r="AB20" s="83">
        <f t="shared" si="7"/>
        <v>1800</v>
      </c>
      <c r="AC20" s="79">
        <f t="shared" si="8"/>
        <v>474245</v>
      </c>
      <c r="AD20" s="79">
        <v>474693</v>
      </c>
      <c r="AE20" s="83">
        <f t="shared" si="9"/>
        <v>448</v>
      </c>
      <c r="AF20" s="79">
        <f t="shared" si="10"/>
        <v>340640</v>
      </c>
      <c r="AG20" s="79">
        <v>341040</v>
      </c>
      <c r="AH20" s="83">
        <f t="shared" si="11"/>
        <v>400</v>
      </c>
      <c r="AI20" s="79">
        <f t="shared" si="12"/>
        <v>585450</v>
      </c>
      <c r="AJ20" s="79">
        <v>586260</v>
      </c>
      <c r="AK20" s="83">
        <f t="shared" si="13"/>
        <v>810</v>
      </c>
      <c r="AL20" s="79">
        <f t="shared" si="36"/>
        <v>1068800</v>
      </c>
      <c r="AM20" s="79">
        <v>1070300</v>
      </c>
      <c r="AN20" s="83">
        <f t="shared" si="14"/>
        <v>1500</v>
      </c>
      <c r="AO20" s="79">
        <f t="shared" si="37"/>
        <v>680450</v>
      </c>
      <c r="AP20" s="80">
        <v>681300</v>
      </c>
      <c r="AQ20" s="83">
        <f t="shared" si="15"/>
        <v>850</v>
      </c>
      <c r="AR20" s="79">
        <f t="shared" si="38"/>
        <v>557670</v>
      </c>
      <c r="AS20" s="79">
        <v>557810</v>
      </c>
      <c r="AT20" s="83">
        <f t="shared" si="16"/>
        <v>140</v>
      </c>
      <c r="AU20" s="79">
        <f t="shared" si="39"/>
        <v>517650</v>
      </c>
      <c r="AV20" s="79">
        <v>519340</v>
      </c>
      <c r="AW20" s="83">
        <f t="shared" si="17"/>
        <v>1690</v>
      </c>
      <c r="AX20" s="79">
        <f t="shared" si="40"/>
        <v>400270</v>
      </c>
      <c r="AY20" s="79">
        <v>401440</v>
      </c>
      <c r="AZ20" s="83">
        <f t="shared" si="18"/>
        <v>1170</v>
      </c>
      <c r="BA20" s="79">
        <f t="shared" si="41"/>
        <v>1115200</v>
      </c>
      <c r="BB20" s="79">
        <v>1119000</v>
      </c>
      <c r="BC20" s="83">
        <f t="shared" si="19"/>
        <v>3800</v>
      </c>
      <c r="BD20" s="83">
        <f t="shared" si="42"/>
        <v>24449</v>
      </c>
      <c r="BE20" s="83">
        <v>24590</v>
      </c>
      <c r="BF20" s="83">
        <f t="shared" si="43"/>
        <v>141</v>
      </c>
      <c r="BG20" s="79">
        <f t="shared" si="44"/>
        <v>19765</v>
      </c>
      <c r="BH20" s="79">
        <v>19851</v>
      </c>
      <c r="BI20" s="169">
        <f t="shared" si="20"/>
        <v>86</v>
      </c>
      <c r="BJ20" s="79">
        <f t="shared" si="45"/>
        <v>17984</v>
      </c>
      <c r="BK20" s="79">
        <v>18060</v>
      </c>
      <c r="BL20" s="83">
        <f t="shared" si="21"/>
        <v>76</v>
      </c>
      <c r="BM20" s="79">
        <f t="shared" si="46"/>
        <v>28349</v>
      </c>
      <c r="BN20" s="79">
        <v>28460</v>
      </c>
      <c r="BO20" s="83">
        <f t="shared" si="22"/>
        <v>111</v>
      </c>
      <c r="BP20" s="79">
        <f t="shared" si="47"/>
        <v>20357</v>
      </c>
      <c r="BQ20" s="79">
        <v>20433</v>
      </c>
      <c r="BR20" s="83">
        <f t="shared" si="23"/>
        <v>76</v>
      </c>
      <c r="BS20" s="79">
        <f t="shared" si="48"/>
        <v>20663</v>
      </c>
      <c r="BT20" s="79">
        <v>20725</v>
      </c>
      <c r="BU20" s="83">
        <f t="shared" si="24"/>
        <v>62</v>
      </c>
      <c r="BV20" s="79">
        <f t="shared" si="49"/>
        <v>14355</v>
      </c>
      <c r="BW20" s="79">
        <v>14402</v>
      </c>
      <c r="BX20" s="83">
        <f t="shared" si="25"/>
        <v>47</v>
      </c>
      <c r="BY20" s="79">
        <f t="shared" si="50"/>
        <v>37764</v>
      </c>
      <c r="BZ20" s="79">
        <v>37891</v>
      </c>
      <c r="CA20" s="83">
        <f t="shared" si="26"/>
        <v>127</v>
      </c>
      <c r="CB20" s="79">
        <f t="shared" si="51"/>
        <v>28853</v>
      </c>
      <c r="CC20" s="79">
        <v>28936</v>
      </c>
      <c r="CD20" s="83">
        <f t="shared" si="27"/>
        <v>83</v>
      </c>
      <c r="CE20" s="79">
        <f t="shared" si="52"/>
        <v>85529</v>
      </c>
      <c r="CF20" s="79">
        <v>85825</v>
      </c>
      <c r="CG20" s="83">
        <f t="shared" si="28"/>
        <v>296</v>
      </c>
      <c r="CH20" s="79">
        <f t="shared" si="53"/>
        <v>60538</v>
      </c>
      <c r="CI20" s="79">
        <v>60855</v>
      </c>
      <c r="CJ20" s="83">
        <f t="shared" si="29"/>
        <v>317</v>
      </c>
      <c r="CK20" s="79">
        <f t="shared" si="54"/>
        <v>14369</v>
      </c>
      <c r="CL20" s="79">
        <v>14415</v>
      </c>
      <c r="CM20" s="83">
        <f t="shared" si="30"/>
        <v>46</v>
      </c>
      <c r="CN20" s="79">
        <f t="shared" si="55"/>
        <v>49346</v>
      </c>
      <c r="CO20" s="79">
        <v>49387</v>
      </c>
      <c r="CP20" s="83">
        <f t="shared" si="31"/>
        <v>41</v>
      </c>
    </row>
    <row r="21" spans="1:1028" s="3" customFormat="1" ht="13.5" customHeight="1" x14ac:dyDescent="0.2">
      <c r="A21" s="91">
        <v>17</v>
      </c>
      <c r="B21" s="75">
        <f t="shared" si="32"/>
        <v>25357235</v>
      </c>
      <c r="C21" s="75">
        <v>25360860</v>
      </c>
      <c r="D21" s="76">
        <f t="shared" si="0"/>
        <v>3625</v>
      </c>
      <c r="E21" s="77">
        <f t="shared" si="56"/>
        <v>22338453</v>
      </c>
      <c r="F21" s="78">
        <v>22343232</v>
      </c>
      <c r="G21" s="77">
        <f t="shared" si="33"/>
        <v>4779</v>
      </c>
      <c r="H21" s="79">
        <f>I20</f>
        <v>84756788</v>
      </c>
      <c r="I21" s="79">
        <v>84770982</v>
      </c>
      <c r="J21" s="83">
        <f t="shared" si="1"/>
        <v>14194</v>
      </c>
      <c r="K21" s="79">
        <f t="shared" si="57"/>
        <v>1873700</v>
      </c>
      <c r="L21" s="79">
        <v>1875600</v>
      </c>
      <c r="M21" s="83">
        <f t="shared" si="2"/>
        <v>1900</v>
      </c>
      <c r="N21" s="79">
        <f>O20</f>
        <v>2534758</v>
      </c>
      <c r="O21" s="79">
        <v>2537317</v>
      </c>
      <c r="P21" s="83">
        <f t="shared" si="3"/>
        <v>2559</v>
      </c>
      <c r="Q21" s="79">
        <f t="shared" si="35"/>
        <v>1537400</v>
      </c>
      <c r="R21" s="79">
        <v>1539400</v>
      </c>
      <c r="S21" s="83">
        <f t="shared" si="4"/>
        <v>2000</v>
      </c>
      <c r="T21" s="79">
        <f>U20</f>
        <v>705781</v>
      </c>
      <c r="U21" s="80">
        <v>706172</v>
      </c>
      <c r="V21" s="83">
        <f t="shared" si="5"/>
        <v>391</v>
      </c>
      <c r="W21" s="79">
        <f>X20</f>
        <v>7300000</v>
      </c>
      <c r="X21" s="79">
        <v>7306800</v>
      </c>
      <c r="Y21" s="83">
        <f t="shared" si="6"/>
        <v>6800</v>
      </c>
      <c r="Z21" s="79">
        <f>AA20</f>
        <v>1647100</v>
      </c>
      <c r="AA21" s="79">
        <v>1648700</v>
      </c>
      <c r="AB21" s="83">
        <f t="shared" si="7"/>
        <v>1600</v>
      </c>
      <c r="AC21" s="79">
        <f t="shared" si="8"/>
        <v>474693</v>
      </c>
      <c r="AD21" s="79">
        <v>475138</v>
      </c>
      <c r="AE21" s="83">
        <f t="shared" si="9"/>
        <v>445</v>
      </c>
      <c r="AF21" s="79">
        <f t="shared" si="10"/>
        <v>341040</v>
      </c>
      <c r="AG21" s="79">
        <v>341480</v>
      </c>
      <c r="AH21" s="83">
        <f t="shared" si="11"/>
        <v>440</v>
      </c>
      <c r="AI21" s="79">
        <f t="shared" si="12"/>
        <v>586260</v>
      </c>
      <c r="AJ21" s="79">
        <v>587170</v>
      </c>
      <c r="AK21" s="83">
        <f t="shared" si="13"/>
        <v>910</v>
      </c>
      <c r="AL21" s="79">
        <f t="shared" si="36"/>
        <v>1070300</v>
      </c>
      <c r="AM21" s="79">
        <v>1071700</v>
      </c>
      <c r="AN21" s="83">
        <f t="shared" si="14"/>
        <v>1400</v>
      </c>
      <c r="AO21" s="79">
        <f t="shared" si="37"/>
        <v>681300</v>
      </c>
      <c r="AP21" s="80">
        <v>682250</v>
      </c>
      <c r="AQ21" s="83">
        <f t="shared" si="15"/>
        <v>950</v>
      </c>
      <c r="AR21" s="79">
        <f t="shared" si="38"/>
        <v>557810</v>
      </c>
      <c r="AS21" s="79">
        <v>560150</v>
      </c>
      <c r="AT21" s="83">
        <f t="shared" si="16"/>
        <v>2340</v>
      </c>
      <c r="AU21" s="79">
        <f t="shared" si="39"/>
        <v>519340</v>
      </c>
      <c r="AV21" s="79">
        <v>521070</v>
      </c>
      <c r="AW21" s="83">
        <f t="shared" si="17"/>
        <v>1730</v>
      </c>
      <c r="AX21" s="79">
        <f t="shared" si="40"/>
        <v>401440</v>
      </c>
      <c r="AY21" s="79">
        <v>402620</v>
      </c>
      <c r="AZ21" s="83">
        <f t="shared" si="18"/>
        <v>1180</v>
      </c>
      <c r="BA21" s="79">
        <f t="shared" si="41"/>
        <v>1119000</v>
      </c>
      <c r="BB21" s="79">
        <v>1123100</v>
      </c>
      <c r="BC21" s="83">
        <f t="shared" si="19"/>
        <v>4100</v>
      </c>
      <c r="BD21" s="83">
        <f t="shared" si="42"/>
        <v>24590</v>
      </c>
      <c r="BE21" s="83">
        <v>24717</v>
      </c>
      <c r="BF21" s="83">
        <f t="shared" si="43"/>
        <v>127</v>
      </c>
      <c r="BG21" s="79">
        <f t="shared" si="44"/>
        <v>19851</v>
      </c>
      <c r="BH21" s="79">
        <v>19937</v>
      </c>
      <c r="BI21" s="169">
        <f t="shared" si="20"/>
        <v>86</v>
      </c>
      <c r="BJ21" s="79">
        <f t="shared" si="45"/>
        <v>18060</v>
      </c>
      <c r="BK21" s="79">
        <v>18130</v>
      </c>
      <c r="BL21" s="83">
        <f t="shared" si="21"/>
        <v>70</v>
      </c>
      <c r="BM21" s="79">
        <f t="shared" si="46"/>
        <v>28460</v>
      </c>
      <c r="BN21" s="79">
        <v>28556</v>
      </c>
      <c r="BO21" s="83">
        <f>BN21-BM21</f>
        <v>96</v>
      </c>
      <c r="BP21" s="79">
        <f t="shared" si="47"/>
        <v>20433</v>
      </c>
      <c r="BQ21" s="79">
        <v>20514</v>
      </c>
      <c r="BR21" s="83">
        <f t="shared" si="23"/>
        <v>81</v>
      </c>
      <c r="BS21" s="79">
        <f t="shared" si="48"/>
        <v>20725</v>
      </c>
      <c r="BT21" s="79">
        <v>20788</v>
      </c>
      <c r="BU21" s="83">
        <f t="shared" si="24"/>
        <v>63</v>
      </c>
      <c r="BV21" s="79">
        <f t="shared" si="49"/>
        <v>14402</v>
      </c>
      <c r="BW21" s="79">
        <v>14450</v>
      </c>
      <c r="BX21" s="83">
        <f t="shared" si="25"/>
        <v>48</v>
      </c>
      <c r="BY21" s="79">
        <f t="shared" si="50"/>
        <v>37891</v>
      </c>
      <c r="BZ21" s="79">
        <v>38023</v>
      </c>
      <c r="CA21" s="83">
        <f t="shared" si="26"/>
        <v>132</v>
      </c>
      <c r="CB21" s="79">
        <f t="shared" si="51"/>
        <v>28936</v>
      </c>
      <c r="CC21" s="79">
        <v>29011</v>
      </c>
      <c r="CD21" s="83">
        <f t="shared" si="27"/>
        <v>75</v>
      </c>
      <c r="CE21" s="79">
        <f t="shared" si="52"/>
        <v>85825</v>
      </c>
      <c r="CF21" s="79">
        <v>86096</v>
      </c>
      <c r="CG21" s="83">
        <f t="shared" si="28"/>
        <v>271</v>
      </c>
      <c r="CH21" s="79">
        <f t="shared" si="53"/>
        <v>60855</v>
      </c>
      <c r="CI21" s="79">
        <v>61203</v>
      </c>
      <c r="CJ21" s="83">
        <f t="shared" si="29"/>
        <v>348</v>
      </c>
      <c r="CK21" s="79">
        <f t="shared" si="54"/>
        <v>14415</v>
      </c>
      <c r="CL21" s="79">
        <v>14461</v>
      </c>
      <c r="CM21" s="83">
        <f t="shared" si="30"/>
        <v>46</v>
      </c>
      <c r="CN21" s="79">
        <f t="shared" si="55"/>
        <v>49387</v>
      </c>
      <c r="CO21" s="79">
        <v>49429</v>
      </c>
      <c r="CP21" s="83">
        <f t="shared" si="31"/>
        <v>42</v>
      </c>
    </row>
    <row r="22" spans="1:1028" s="3" customFormat="1" ht="13.5" customHeight="1" x14ac:dyDescent="0.2">
      <c r="A22" s="91">
        <v>18</v>
      </c>
      <c r="B22" s="75">
        <f t="shared" si="32"/>
        <v>25360860</v>
      </c>
      <c r="C22" s="75">
        <v>25364520</v>
      </c>
      <c r="D22" s="76">
        <f t="shared" si="0"/>
        <v>3660</v>
      </c>
      <c r="E22" s="77">
        <f t="shared" si="56"/>
        <v>22343232</v>
      </c>
      <c r="F22" s="78">
        <v>22348091</v>
      </c>
      <c r="G22" s="77">
        <f t="shared" si="33"/>
        <v>4859</v>
      </c>
      <c r="H22" s="79">
        <f>I21</f>
        <v>84770982</v>
      </c>
      <c r="I22" s="79">
        <v>84785445</v>
      </c>
      <c r="J22" s="83">
        <f t="shared" si="1"/>
        <v>14463</v>
      </c>
      <c r="K22" s="79">
        <f t="shared" si="57"/>
        <v>1875600</v>
      </c>
      <c r="L22" s="79">
        <v>1877600</v>
      </c>
      <c r="M22" s="83">
        <f t="shared" si="2"/>
        <v>2000</v>
      </c>
      <c r="N22" s="79">
        <f>O21</f>
        <v>2537317</v>
      </c>
      <c r="O22" s="79">
        <v>2539959</v>
      </c>
      <c r="P22" s="83">
        <f t="shared" si="3"/>
        <v>2642</v>
      </c>
      <c r="Q22" s="79">
        <f t="shared" si="35"/>
        <v>1539400</v>
      </c>
      <c r="R22" s="79">
        <v>1541100</v>
      </c>
      <c r="S22" s="83">
        <f t="shared" si="4"/>
        <v>1700</v>
      </c>
      <c r="T22" s="79">
        <f>U21</f>
        <v>706172</v>
      </c>
      <c r="U22" s="79">
        <v>706762</v>
      </c>
      <c r="V22" s="83">
        <f t="shared" si="5"/>
        <v>590</v>
      </c>
      <c r="W22" s="79">
        <f>X21</f>
        <v>7306800</v>
      </c>
      <c r="X22" s="79">
        <v>7313600</v>
      </c>
      <c r="Y22" s="83">
        <f t="shared" si="6"/>
        <v>6800</v>
      </c>
      <c r="Z22" s="79">
        <f>AA21</f>
        <v>1648700</v>
      </c>
      <c r="AA22" s="79">
        <v>1650400</v>
      </c>
      <c r="AB22" s="83">
        <f t="shared" si="7"/>
        <v>1700</v>
      </c>
      <c r="AC22" s="79">
        <f t="shared" si="8"/>
        <v>475138</v>
      </c>
      <c r="AD22" s="79">
        <v>475590</v>
      </c>
      <c r="AE22" s="83">
        <f t="shared" si="9"/>
        <v>452</v>
      </c>
      <c r="AF22" s="79">
        <f t="shared" si="10"/>
        <v>341480</v>
      </c>
      <c r="AG22" s="79">
        <v>341910</v>
      </c>
      <c r="AH22" s="83">
        <f t="shared" si="11"/>
        <v>430</v>
      </c>
      <c r="AI22" s="79">
        <f t="shared" si="12"/>
        <v>587170</v>
      </c>
      <c r="AJ22" s="79">
        <v>588090</v>
      </c>
      <c r="AK22" s="83">
        <f t="shared" si="13"/>
        <v>920</v>
      </c>
      <c r="AL22" s="79">
        <f t="shared" si="36"/>
        <v>1071700</v>
      </c>
      <c r="AM22" s="79">
        <v>1073100</v>
      </c>
      <c r="AN22" s="83">
        <f t="shared" si="14"/>
        <v>1400</v>
      </c>
      <c r="AO22" s="79">
        <f t="shared" si="37"/>
        <v>682250</v>
      </c>
      <c r="AP22" s="79">
        <v>683210</v>
      </c>
      <c r="AQ22" s="83">
        <f t="shared" si="15"/>
        <v>960</v>
      </c>
      <c r="AR22" s="79">
        <f t="shared" si="38"/>
        <v>560150</v>
      </c>
      <c r="AS22" s="79">
        <v>560850</v>
      </c>
      <c r="AT22" s="83">
        <f t="shared" si="16"/>
        <v>700</v>
      </c>
      <c r="AU22" s="79">
        <f t="shared" si="39"/>
        <v>521070</v>
      </c>
      <c r="AV22" s="79">
        <v>522730</v>
      </c>
      <c r="AW22" s="83">
        <f t="shared" si="17"/>
        <v>1660</v>
      </c>
      <c r="AX22" s="79">
        <f t="shared" si="40"/>
        <v>402620</v>
      </c>
      <c r="AY22" s="79">
        <v>403800</v>
      </c>
      <c r="AZ22" s="83">
        <f t="shared" si="18"/>
        <v>1180</v>
      </c>
      <c r="BA22" s="79">
        <f t="shared" si="41"/>
        <v>1123100</v>
      </c>
      <c r="BB22" s="79">
        <v>1127200</v>
      </c>
      <c r="BC22" s="83">
        <f t="shared" si="19"/>
        <v>4100</v>
      </c>
      <c r="BD22" s="83">
        <f t="shared" si="42"/>
        <v>24717</v>
      </c>
      <c r="BE22" s="83">
        <v>24836</v>
      </c>
      <c r="BF22" s="83">
        <f t="shared" si="43"/>
        <v>119</v>
      </c>
      <c r="BG22" s="79">
        <f t="shared" si="44"/>
        <v>19937</v>
      </c>
      <c r="BH22" s="79">
        <v>20021</v>
      </c>
      <c r="BI22" s="169">
        <f t="shared" si="20"/>
        <v>84</v>
      </c>
      <c r="BJ22" s="79">
        <f t="shared" si="45"/>
        <v>18130</v>
      </c>
      <c r="BK22" s="79">
        <v>18199</v>
      </c>
      <c r="BL22" s="83">
        <f t="shared" si="21"/>
        <v>69</v>
      </c>
      <c r="BM22" s="79">
        <f>BN21</f>
        <v>28556</v>
      </c>
      <c r="BN22" s="79">
        <v>28668</v>
      </c>
      <c r="BO22" s="83">
        <f>BN22-BM22</f>
        <v>112</v>
      </c>
      <c r="BP22" s="79">
        <f t="shared" si="47"/>
        <v>20514</v>
      </c>
      <c r="BQ22" s="79">
        <v>20616</v>
      </c>
      <c r="BR22" s="83">
        <f t="shared" si="23"/>
        <v>102</v>
      </c>
      <c r="BS22" s="79">
        <f t="shared" si="48"/>
        <v>20788</v>
      </c>
      <c r="BT22" s="79">
        <v>20855</v>
      </c>
      <c r="BU22" s="83">
        <f t="shared" si="24"/>
        <v>67</v>
      </c>
      <c r="BV22" s="79">
        <f t="shared" si="49"/>
        <v>14450</v>
      </c>
      <c r="BW22" s="79">
        <v>14497</v>
      </c>
      <c r="BX22" s="83">
        <f t="shared" si="25"/>
        <v>47</v>
      </c>
      <c r="BY22" s="79">
        <f t="shared" si="50"/>
        <v>38023</v>
      </c>
      <c r="BZ22" s="79">
        <v>38159</v>
      </c>
      <c r="CA22" s="83">
        <f t="shared" si="26"/>
        <v>136</v>
      </c>
      <c r="CB22" s="79">
        <f t="shared" si="51"/>
        <v>29011</v>
      </c>
      <c r="CC22" s="79">
        <v>29089</v>
      </c>
      <c r="CD22" s="83">
        <f t="shared" si="27"/>
        <v>78</v>
      </c>
      <c r="CE22" s="79">
        <f t="shared" si="52"/>
        <v>86096</v>
      </c>
      <c r="CF22" s="79">
        <v>86362</v>
      </c>
      <c r="CG22" s="83">
        <f t="shared" si="28"/>
        <v>266</v>
      </c>
      <c r="CH22" s="79">
        <f t="shared" si="53"/>
        <v>61203</v>
      </c>
      <c r="CI22" s="79">
        <v>61568</v>
      </c>
      <c r="CJ22" s="83">
        <f t="shared" si="29"/>
        <v>365</v>
      </c>
      <c r="CK22" s="79">
        <f t="shared" si="54"/>
        <v>14461</v>
      </c>
      <c r="CL22" s="79">
        <v>14510</v>
      </c>
      <c r="CM22" s="83">
        <f t="shared" si="30"/>
        <v>49</v>
      </c>
      <c r="CN22" s="79">
        <f t="shared" si="55"/>
        <v>49429</v>
      </c>
      <c r="CO22" s="273"/>
      <c r="CP22" s="83">
        <f t="shared" si="31"/>
        <v>-49429</v>
      </c>
    </row>
    <row r="23" spans="1:1028" s="3" customFormat="1" ht="13.5" customHeight="1" x14ac:dyDescent="0.2">
      <c r="A23" s="91">
        <v>19</v>
      </c>
      <c r="B23" s="75">
        <f t="shared" si="32"/>
        <v>25364520</v>
      </c>
      <c r="C23" s="75">
        <v>25368311</v>
      </c>
      <c r="D23" s="76">
        <f t="shared" si="0"/>
        <v>3791</v>
      </c>
      <c r="E23" s="77">
        <f t="shared" si="56"/>
        <v>22348091</v>
      </c>
      <c r="F23" s="77">
        <v>22353110</v>
      </c>
      <c r="G23" s="77">
        <f t="shared" si="33"/>
        <v>5019</v>
      </c>
      <c r="H23" s="79">
        <f>I22</f>
        <v>84785445</v>
      </c>
      <c r="I23" s="79">
        <v>84799828</v>
      </c>
      <c r="J23" s="83">
        <f t="shared" si="1"/>
        <v>14383</v>
      </c>
      <c r="K23" s="79">
        <f t="shared" si="57"/>
        <v>1877600</v>
      </c>
      <c r="L23" s="79">
        <v>1879600</v>
      </c>
      <c r="M23" s="83">
        <f t="shared" si="2"/>
        <v>2000</v>
      </c>
      <c r="N23" s="79">
        <f>O22</f>
        <v>2539959</v>
      </c>
      <c r="O23" s="79">
        <v>2542696</v>
      </c>
      <c r="P23" s="83">
        <f t="shared" si="3"/>
        <v>2737</v>
      </c>
      <c r="Q23" s="79">
        <f t="shared" si="35"/>
        <v>1541100</v>
      </c>
      <c r="R23" s="79">
        <v>1542900</v>
      </c>
      <c r="S23" s="83">
        <f t="shared" si="4"/>
        <v>1800</v>
      </c>
      <c r="T23" s="79">
        <f>U22</f>
        <v>706762</v>
      </c>
      <c r="U23" s="79">
        <v>707373</v>
      </c>
      <c r="V23" s="83">
        <f t="shared" si="5"/>
        <v>611</v>
      </c>
      <c r="W23" s="79">
        <f>X22</f>
        <v>7313600</v>
      </c>
      <c r="X23" s="79">
        <v>7319900</v>
      </c>
      <c r="Y23" s="83">
        <f t="shared" si="6"/>
        <v>6300</v>
      </c>
      <c r="Z23" s="79">
        <f>AA22</f>
        <v>1650400</v>
      </c>
      <c r="AA23" s="79">
        <v>1652000</v>
      </c>
      <c r="AB23" s="83">
        <f t="shared" si="7"/>
        <v>1600</v>
      </c>
      <c r="AC23" s="79">
        <f t="shared" si="8"/>
        <v>475590</v>
      </c>
      <c r="AD23" s="79">
        <v>476053</v>
      </c>
      <c r="AE23" s="83">
        <f t="shared" si="9"/>
        <v>463</v>
      </c>
      <c r="AF23" s="79">
        <f t="shared" si="10"/>
        <v>341910</v>
      </c>
      <c r="AG23" s="79">
        <v>342320</v>
      </c>
      <c r="AH23" s="83">
        <f t="shared" si="11"/>
        <v>410</v>
      </c>
      <c r="AI23" s="79">
        <f t="shared" si="12"/>
        <v>588090</v>
      </c>
      <c r="AJ23" s="79">
        <v>588990</v>
      </c>
      <c r="AK23" s="83">
        <f t="shared" si="13"/>
        <v>900</v>
      </c>
      <c r="AL23" s="79">
        <f t="shared" si="36"/>
        <v>1073100</v>
      </c>
      <c r="AM23" s="79">
        <v>1074600</v>
      </c>
      <c r="AN23" s="83">
        <f t="shared" si="14"/>
        <v>1500</v>
      </c>
      <c r="AO23" s="79">
        <f t="shared" si="37"/>
        <v>683210</v>
      </c>
      <c r="AP23" s="79">
        <v>684120</v>
      </c>
      <c r="AQ23" s="83">
        <f t="shared" si="15"/>
        <v>910</v>
      </c>
      <c r="AR23" s="79">
        <f t="shared" si="38"/>
        <v>560850</v>
      </c>
      <c r="AS23" s="79">
        <v>561560</v>
      </c>
      <c r="AT23" s="83">
        <f t="shared" si="16"/>
        <v>710</v>
      </c>
      <c r="AU23" s="79">
        <f t="shared" si="39"/>
        <v>522730</v>
      </c>
      <c r="AV23" s="79">
        <v>524450</v>
      </c>
      <c r="AW23" s="83">
        <f t="shared" si="17"/>
        <v>1720</v>
      </c>
      <c r="AX23" s="79">
        <f t="shared" si="40"/>
        <v>403800</v>
      </c>
      <c r="AY23" s="79">
        <v>404960</v>
      </c>
      <c r="AZ23" s="83">
        <f t="shared" si="18"/>
        <v>1160</v>
      </c>
      <c r="BA23" s="79">
        <f t="shared" si="41"/>
        <v>1127200</v>
      </c>
      <c r="BB23" s="79">
        <v>1131200</v>
      </c>
      <c r="BC23" s="83">
        <f t="shared" si="19"/>
        <v>4000</v>
      </c>
      <c r="BD23" s="83">
        <f t="shared" si="42"/>
        <v>24836</v>
      </c>
      <c r="BE23" s="83">
        <v>24955</v>
      </c>
      <c r="BF23" s="83">
        <f t="shared" si="43"/>
        <v>119</v>
      </c>
      <c r="BG23" s="79">
        <f t="shared" si="44"/>
        <v>20021</v>
      </c>
      <c r="BH23" s="79">
        <v>20104</v>
      </c>
      <c r="BI23" s="169">
        <f t="shared" si="20"/>
        <v>83</v>
      </c>
      <c r="BJ23" s="79">
        <f t="shared" si="45"/>
        <v>18199</v>
      </c>
      <c r="BK23" s="79">
        <v>18271</v>
      </c>
      <c r="BL23" s="83">
        <f t="shared" si="21"/>
        <v>72</v>
      </c>
      <c r="BM23" s="79">
        <f>BN22</f>
        <v>28668</v>
      </c>
      <c r="BN23" s="79">
        <v>28795</v>
      </c>
      <c r="BO23" s="83">
        <f t="shared" si="22"/>
        <v>127</v>
      </c>
      <c r="BP23" s="79">
        <f t="shared" si="47"/>
        <v>20616</v>
      </c>
      <c r="BQ23" s="79">
        <v>20721</v>
      </c>
      <c r="BR23" s="83">
        <f t="shared" si="23"/>
        <v>105</v>
      </c>
      <c r="BS23" s="79">
        <f t="shared" si="48"/>
        <v>20855</v>
      </c>
      <c r="BT23" s="79">
        <v>20925</v>
      </c>
      <c r="BU23" s="83">
        <f t="shared" si="24"/>
        <v>70</v>
      </c>
      <c r="BV23" s="79">
        <f t="shared" si="49"/>
        <v>14497</v>
      </c>
      <c r="BW23" s="79">
        <v>14546</v>
      </c>
      <c r="BX23" s="83">
        <f t="shared" si="25"/>
        <v>49</v>
      </c>
      <c r="BY23" s="79">
        <f t="shared" si="50"/>
        <v>38159</v>
      </c>
      <c r="BZ23" s="79">
        <v>38266</v>
      </c>
      <c r="CA23" s="83">
        <f t="shared" si="26"/>
        <v>107</v>
      </c>
      <c r="CB23" s="79">
        <f t="shared" si="51"/>
        <v>29089</v>
      </c>
      <c r="CC23" s="79">
        <v>29167</v>
      </c>
      <c r="CD23" s="83">
        <f t="shared" si="27"/>
        <v>78</v>
      </c>
      <c r="CE23" s="79">
        <f t="shared" si="52"/>
        <v>86362</v>
      </c>
      <c r="CF23" s="79">
        <v>86649</v>
      </c>
      <c r="CG23" s="83">
        <f t="shared" si="28"/>
        <v>287</v>
      </c>
      <c r="CH23" s="79">
        <f t="shared" si="53"/>
        <v>61568</v>
      </c>
      <c r="CI23" s="79">
        <v>61923</v>
      </c>
      <c r="CJ23" s="83">
        <f t="shared" si="29"/>
        <v>355</v>
      </c>
      <c r="CK23" s="79">
        <f t="shared" si="54"/>
        <v>14510</v>
      </c>
      <c r="CL23" s="79">
        <v>14635</v>
      </c>
      <c r="CM23" s="83">
        <f t="shared" si="30"/>
        <v>125</v>
      </c>
      <c r="CN23" s="79">
        <f t="shared" si="55"/>
        <v>0</v>
      </c>
      <c r="CO23" s="273"/>
      <c r="CP23" s="83">
        <f t="shared" si="31"/>
        <v>0</v>
      </c>
    </row>
    <row r="24" spans="1:1028" s="3" customFormat="1" ht="13.5" customHeight="1" x14ac:dyDescent="0.2">
      <c r="A24" s="91">
        <v>20</v>
      </c>
      <c r="B24" s="75">
        <f t="shared" si="32"/>
        <v>25368311</v>
      </c>
      <c r="C24" s="75">
        <v>25372144</v>
      </c>
      <c r="D24" s="76">
        <f t="shared" si="0"/>
        <v>3833</v>
      </c>
      <c r="E24" s="77">
        <f t="shared" si="56"/>
        <v>22353110</v>
      </c>
      <c r="F24" s="77">
        <v>22358180</v>
      </c>
      <c r="G24" s="77">
        <f t="shared" si="33"/>
        <v>5070</v>
      </c>
      <c r="H24" s="79">
        <f t="shared" si="34"/>
        <v>84799828</v>
      </c>
      <c r="I24" s="79">
        <v>84814069</v>
      </c>
      <c r="J24" s="83">
        <f t="shared" si="1"/>
        <v>14241</v>
      </c>
      <c r="K24" s="79">
        <f t="shared" si="57"/>
        <v>1879600</v>
      </c>
      <c r="L24" s="79">
        <v>1881600</v>
      </c>
      <c r="M24" s="83">
        <f t="shared" si="2"/>
        <v>2000</v>
      </c>
      <c r="N24" s="79">
        <f t="shared" ref="N24:N35" si="62">O23</f>
        <v>2542696</v>
      </c>
      <c r="O24" s="79">
        <v>2545474</v>
      </c>
      <c r="P24" s="83">
        <f t="shared" si="3"/>
        <v>2778</v>
      </c>
      <c r="Q24" s="79">
        <f t="shared" si="35"/>
        <v>1542900</v>
      </c>
      <c r="R24" s="106">
        <v>1544700</v>
      </c>
      <c r="S24" s="83">
        <f t="shared" si="4"/>
        <v>1800</v>
      </c>
      <c r="T24" s="79">
        <f t="shared" ref="T24:T35" si="63">U23</f>
        <v>707373</v>
      </c>
      <c r="U24" s="79">
        <v>707913</v>
      </c>
      <c r="V24" s="83">
        <f t="shared" si="5"/>
        <v>540</v>
      </c>
      <c r="W24" s="79">
        <f t="shared" ref="W24:W35" si="64">X23</f>
        <v>7319900</v>
      </c>
      <c r="X24" s="79">
        <v>7326700</v>
      </c>
      <c r="Y24" s="83">
        <f t="shared" si="6"/>
        <v>6800</v>
      </c>
      <c r="Z24" s="79">
        <f t="shared" ref="Z24:Z35" si="65">AA23</f>
        <v>1652000</v>
      </c>
      <c r="AA24" s="79">
        <v>1653900</v>
      </c>
      <c r="AB24" s="83">
        <f t="shared" si="7"/>
        <v>1900</v>
      </c>
      <c r="AC24" s="79">
        <f t="shared" si="8"/>
        <v>476053</v>
      </c>
      <c r="AD24" s="79">
        <v>476491</v>
      </c>
      <c r="AE24" s="83">
        <f t="shared" si="9"/>
        <v>438</v>
      </c>
      <c r="AF24" s="79">
        <f t="shared" si="10"/>
        <v>342320</v>
      </c>
      <c r="AG24" s="79">
        <v>342720</v>
      </c>
      <c r="AH24" s="83">
        <f t="shared" si="11"/>
        <v>400</v>
      </c>
      <c r="AI24" s="79">
        <f t="shared" si="12"/>
        <v>588990</v>
      </c>
      <c r="AJ24" s="79">
        <v>589940</v>
      </c>
      <c r="AK24" s="83">
        <f t="shared" si="13"/>
        <v>950</v>
      </c>
      <c r="AL24" s="79">
        <f t="shared" si="36"/>
        <v>1074600</v>
      </c>
      <c r="AM24" s="79">
        <v>1076100</v>
      </c>
      <c r="AN24" s="83">
        <f t="shared" si="14"/>
        <v>1500</v>
      </c>
      <c r="AO24" s="79">
        <f t="shared" si="37"/>
        <v>684120</v>
      </c>
      <c r="AP24" s="79">
        <v>685040</v>
      </c>
      <c r="AQ24" s="83">
        <f t="shared" si="15"/>
        <v>920</v>
      </c>
      <c r="AR24" s="79">
        <f t="shared" si="38"/>
        <v>561560</v>
      </c>
      <c r="AS24" s="79">
        <v>562770</v>
      </c>
      <c r="AT24" s="83">
        <f t="shared" si="16"/>
        <v>1210</v>
      </c>
      <c r="AU24" s="79">
        <f t="shared" si="39"/>
        <v>524450</v>
      </c>
      <c r="AV24" s="79">
        <v>526180</v>
      </c>
      <c r="AW24" s="83">
        <f t="shared" si="17"/>
        <v>1730</v>
      </c>
      <c r="AX24" s="79">
        <f t="shared" si="40"/>
        <v>404960</v>
      </c>
      <c r="AY24" s="79">
        <v>406160</v>
      </c>
      <c r="AZ24" s="83">
        <f t="shared" si="18"/>
        <v>1200</v>
      </c>
      <c r="BA24" s="79">
        <f t="shared" si="41"/>
        <v>1131200</v>
      </c>
      <c r="BB24" s="79">
        <v>1135600</v>
      </c>
      <c r="BC24" s="83">
        <f t="shared" si="19"/>
        <v>4400</v>
      </c>
      <c r="BD24" s="83">
        <f t="shared" si="42"/>
        <v>24955</v>
      </c>
      <c r="BE24" s="83">
        <v>25069</v>
      </c>
      <c r="BF24" s="83">
        <f t="shared" si="43"/>
        <v>114</v>
      </c>
      <c r="BG24" s="79">
        <f t="shared" si="44"/>
        <v>20104</v>
      </c>
      <c r="BH24" s="79">
        <v>20193</v>
      </c>
      <c r="BI24" s="169">
        <f t="shared" si="20"/>
        <v>89</v>
      </c>
      <c r="BJ24" s="79">
        <f t="shared" si="45"/>
        <v>18271</v>
      </c>
      <c r="BK24" s="79">
        <v>18347</v>
      </c>
      <c r="BL24" s="83">
        <f t="shared" si="21"/>
        <v>76</v>
      </c>
      <c r="BM24" s="79">
        <f t="shared" si="46"/>
        <v>28795</v>
      </c>
      <c r="BN24" s="79">
        <v>28916</v>
      </c>
      <c r="BO24" s="83">
        <f t="shared" si="22"/>
        <v>121</v>
      </c>
      <c r="BP24" s="79">
        <f t="shared" si="47"/>
        <v>20721</v>
      </c>
      <c r="BQ24" s="79">
        <v>20822</v>
      </c>
      <c r="BR24" s="83">
        <f t="shared" si="23"/>
        <v>101</v>
      </c>
      <c r="BS24" s="79">
        <f t="shared" si="48"/>
        <v>20925</v>
      </c>
      <c r="BT24" s="79">
        <v>21003</v>
      </c>
      <c r="BU24" s="83">
        <f t="shared" si="24"/>
        <v>78</v>
      </c>
      <c r="BV24" s="79">
        <f t="shared" si="49"/>
        <v>14546</v>
      </c>
      <c r="BW24" s="79">
        <v>14596</v>
      </c>
      <c r="BX24" s="83">
        <f t="shared" si="25"/>
        <v>50</v>
      </c>
      <c r="BY24" s="79">
        <f t="shared" si="50"/>
        <v>38266</v>
      </c>
      <c r="BZ24" s="79">
        <v>38398</v>
      </c>
      <c r="CA24" s="83">
        <f t="shared" si="26"/>
        <v>132</v>
      </c>
      <c r="CB24" s="79">
        <f t="shared" si="51"/>
        <v>29167</v>
      </c>
      <c r="CC24" s="79">
        <v>29246</v>
      </c>
      <c r="CD24" s="83">
        <f t="shared" si="27"/>
        <v>79</v>
      </c>
      <c r="CE24" s="79">
        <f t="shared" si="52"/>
        <v>86649</v>
      </c>
      <c r="CF24" s="79">
        <v>86933</v>
      </c>
      <c r="CG24" s="83">
        <f t="shared" si="28"/>
        <v>284</v>
      </c>
      <c r="CH24" s="79">
        <f t="shared" si="53"/>
        <v>61923</v>
      </c>
      <c r="CI24" s="79">
        <v>62325</v>
      </c>
      <c r="CJ24" s="83">
        <f t="shared" si="29"/>
        <v>402</v>
      </c>
      <c r="CK24" s="79">
        <f t="shared" si="54"/>
        <v>14635</v>
      </c>
      <c r="CL24" s="79">
        <v>14608</v>
      </c>
      <c r="CM24" s="83">
        <f t="shared" si="30"/>
        <v>-27</v>
      </c>
      <c r="CN24" s="79">
        <f t="shared" si="55"/>
        <v>0</v>
      </c>
      <c r="CO24" s="79"/>
      <c r="CP24" s="83">
        <f t="shared" si="31"/>
        <v>0</v>
      </c>
    </row>
    <row r="25" spans="1:1028" s="3" customFormat="1" ht="13.5" customHeight="1" x14ac:dyDescent="0.2">
      <c r="A25" s="91">
        <v>21</v>
      </c>
      <c r="B25" s="75">
        <f t="shared" si="32"/>
        <v>25372144</v>
      </c>
      <c r="C25" s="75"/>
      <c r="D25" s="76">
        <f t="shared" si="0"/>
        <v>-25372144</v>
      </c>
      <c r="E25" s="77">
        <f t="shared" si="56"/>
        <v>22358180</v>
      </c>
      <c r="F25" s="77"/>
      <c r="G25" s="77">
        <f t="shared" si="33"/>
        <v>-22358180</v>
      </c>
      <c r="H25" s="79">
        <f t="shared" si="34"/>
        <v>84814069</v>
      </c>
      <c r="I25" s="79"/>
      <c r="J25" s="83">
        <f t="shared" si="1"/>
        <v>-84814069</v>
      </c>
      <c r="K25" s="79">
        <f t="shared" si="57"/>
        <v>1881600</v>
      </c>
      <c r="L25" s="79"/>
      <c r="M25" s="83">
        <f t="shared" si="2"/>
        <v>-1881600</v>
      </c>
      <c r="N25" s="79">
        <f t="shared" si="62"/>
        <v>2545474</v>
      </c>
      <c r="O25" s="79"/>
      <c r="P25" s="83">
        <f t="shared" si="3"/>
        <v>-2545474</v>
      </c>
      <c r="Q25" s="79">
        <f t="shared" si="35"/>
        <v>1544700</v>
      </c>
      <c r="R25" s="79"/>
      <c r="S25" s="83">
        <f t="shared" si="4"/>
        <v>-1544700</v>
      </c>
      <c r="T25" s="79">
        <f t="shared" si="63"/>
        <v>707913</v>
      </c>
      <c r="U25" s="79"/>
      <c r="V25" s="83">
        <f t="shared" si="5"/>
        <v>-707913</v>
      </c>
      <c r="W25" s="79">
        <f t="shared" si="64"/>
        <v>7326700</v>
      </c>
      <c r="X25" s="79"/>
      <c r="Y25" s="83">
        <f t="shared" si="6"/>
        <v>-7326700</v>
      </c>
      <c r="Z25" s="79">
        <f t="shared" si="65"/>
        <v>1653900</v>
      </c>
      <c r="AA25" s="79"/>
      <c r="AB25" s="83">
        <f t="shared" si="7"/>
        <v>-1653900</v>
      </c>
      <c r="AC25" s="79">
        <f t="shared" si="8"/>
        <v>476491</v>
      </c>
      <c r="AD25" s="79"/>
      <c r="AE25" s="83">
        <f t="shared" si="9"/>
        <v>-476491</v>
      </c>
      <c r="AF25" s="79">
        <f t="shared" si="10"/>
        <v>342720</v>
      </c>
      <c r="AG25" s="79"/>
      <c r="AH25" s="83">
        <f t="shared" si="11"/>
        <v>-342720</v>
      </c>
      <c r="AI25" s="79">
        <f t="shared" si="12"/>
        <v>589940</v>
      </c>
      <c r="AJ25" s="79"/>
      <c r="AK25" s="83">
        <f t="shared" si="13"/>
        <v>-589940</v>
      </c>
      <c r="AL25" s="79">
        <f t="shared" si="36"/>
        <v>1076100</v>
      </c>
      <c r="AM25" s="79"/>
      <c r="AN25" s="83">
        <f t="shared" si="14"/>
        <v>-1076100</v>
      </c>
      <c r="AO25" s="79">
        <f t="shared" si="37"/>
        <v>685040</v>
      </c>
      <c r="AP25" s="79"/>
      <c r="AQ25" s="83">
        <f t="shared" si="15"/>
        <v>-685040</v>
      </c>
      <c r="AR25" s="79">
        <f t="shared" si="38"/>
        <v>562770</v>
      </c>
      <c r="AS25" s="79"/>
      <c r="AT25" s="83">
        <f t="shared" si="16"/>
        <v>-562770</v>
      </c>
      <c r="AU25" s="79">
        <f t="shared" si="39"/>
        <v>526180</v>
      </c>
      <c r="AV25" s="79">
        <v>0</v>
      </c>
      <c r="AW25" s="83">
        <f t="shared" si="17"/>
        <v>-526180</v>
      </c>
      <c r="AX25" s="79">
        <f t="shared" si="40"/>
        <v>406160</v>
      </c>
      <c r="AY25" s="79"/>
      <c r="AZ25" s="83">
        <f t="shared" si="18"/>
        <v>-406160</v>
      </c>
      <c r="BA25" s="79">
        <f t="shared" si="41"/>
        <v>1135600</v>
      </c>
      <c r="BB25" s="79"/>
      <c r="BC25" s="83">
        <f t="shared" si="19"/>
        <v>-1135600</v>
      </c>
      <c r="BD25" s="83">
        <f t="shared" si="42"/>
        <v>25069</v>
      </c>
      <c r="BE25" s="83"/>
      <c r="BF25" s="83">
        <f t="shared" si="43"/>
        <v>-25069</v>
      </c>
      <c r="BG25" s="79">
        <f t="shared" si="44"/>
        <v>20193</v>
      </c>
      <c r="BH25" s="79"/>
      <c r="BI25" s="169">
        <f t="shared" si="20"/>
        <v>-20193</v>
      </c>
      <c r="BJ25" s="79">
        <f t="shared" si="45"/>
        <v>18347</v>
      </c>
      <c r="BK25" s="79"/>
      <c r="BL25" s="83">
        <f t="shared" si="21"/>
        <v>-18347</v>
      </c>
      <c r="BM25" s="79">
        <f t="shared" si="46"/>
        <v>28916</v>
      </c>
      <c r="BN25" s="79"/>
      <c r="BO25" s="83">
        <f t="shared" si="22"/>
        <v>-28916</v>
      </c>
      <c r="BP25" s="79">
        <f t="shared" si="47"/>
        <v>20822</v>
      </c>
      <c r="BQ25" s="79"/>
      <c r="BR25" s="83">
        <f t="shared" si="23"/>
        <v>-20822</v>
      </c>
      <c r="BS25" s="79">
        <f t="shared" si="48"/>
        <v>21003</v>
      </c>
      <c r="BT25" s="79"/>
      <c r="BU25" s="83">
        <f t="shared" si="24"/>
        <v>-21003</v>
      </c>
      <c r="BV25" s="79">
        <f t="shared" si="49"/>
        <v>14596</v>
      </c>
      <c r="BW25" s="79"/>
      <c r="BX25" s="83">
        <f t="shared" si="25"/>
        <v>-14596</v>
      </c>
      <c r="BY25" s="79">
        <f t="shared" si="50"/>
        <v>38398</v>
      </c>
      <c r="BZ25" s="79"/>
      <c r="CA25" s="83">
        <f t="shared" si="26"/>
        <v>-38398</v>
      </c>
      <c r="CB25" s="79">
        <f t="shared" si="51"/>
        <v>29246</v>
      </c>
      <c r="CC25" s="79"/>
      <c r="CD25" s="83">
        <f t="shared" si="27"/>
        <v>-29246</v>
      </c>
      <c r="CE25" s="79">
        <f t="shared" si="52"/>
        <v>86933</v>
      </c>
      <c r="CF25" s="79"/>
      <c r="CG25" s="83">
        <f t="shared" si="28"/>
        <v>-86933</v>
      </c>
      <c r="CH25" s="79">
        <f t="shared" si="53"/>
        <v>62325</v>
      </c>
      <c r="CI25" s="79"/>
      <c r="CJ25" s="83">
        <f t="shared" si="29"/>
        <v>-62325</v>
      </c>
      <c r="CK25" s="79">
        <f t="shared" si="54"/>
        <v>14608</v>
      </c>
      <c r="CL25" s="79"/>
      <c r="CM25" s="83">
        <f t="shared" si="30"/>
        <v>-14608</v>
      </c>
      <c r="CN25" s="79">
        <f t="shared" si="55"/>
        <v>0</v>
      </c>
      <c r="CO25" s="79"/>
      <c r="CP25" s="83">
        <f t="shared" si="31"/>
        <v>0</v>
      </c>
    </row>
    <row r="26" spans="1:1028" s="3" customFormat="1" ht="13.5" customHeight="1" x14ac:dyDescent="0.2">
      <c r="A26" s="91">
        <v>22</v>
      </c>
      <c r="B26" s="75">
        <f t="shared" si="32"/>
        <v>0</v>
      </c>
      <c r="C26" s="75"/>
      <c r="D26" s="76">
        <f t="shared" si="0"/>
        <v>0</v>
      </c>
      <c r="E26" s="77">
        <f t="shared" si="56"/>
        <v>0</v>
      </c>
      <c r="F26" s="77"/>
      <c r="G26" s="77">
        <f t="shared" si="33"/>
        <v>0</v>
      </c>
      <c r="H26" s="79">
        <f t="shared" si="34"/>
        <v>0</v>
      </c>
      <c r="I26" s="79"/>
      <c r="J26" s="83">
        <f t="shared" si="1"/>
        <v>0</v>
      </c>
      <c r="K26" s="79">
        <f t="shared" si="57"/>
        <v>0</v>
      </c>
      <c r="L26" s="79"/>
      <c r="M26" s="83">
        <f t="shared" si="2"/>
        <v>0</v>
      </c>
      <c r="N26" s="79">
        <f t="shared" si="62"/>
        <v>0</v>
      </c>
      <c r="O26" s="79"/>
      <c r="P26" s="83">
        <f t="shared" si="3"/>
        <v>0</v>
      </c>
      <c r="Q26" s="79">
        <f t="shared" si="35"/>
        <v>0</v>
      </c>
      <c r="R26" s="79"/>
      <c r="S26" s="83">
        <f t="shared" si="4"/>
        <v>0</v>
      </c>
      <c r="T26" s="79">
        <f t="shared" si="63"/>
        <v>0</v>
      </c>
      <c r="U26" s="79"/>
      <c r="V26" s="83">
        <f t="shared" si="5"/>
        <v>0</v>
      </c>
      <c r="W26" s="79">
        <f t="shared" si="64"/>
        <v>0</v>
      </c>
      <c r="X26" s="79"/>
      <c r="Y26" s="83">
        <f t="shared" si="6"/>
        <v>0</v>
      </c>
      <c r="Z26" s="79">
        <f t="shared" si="65"/>
        <v>0</v>
      </c>
      <c r="AA26" s="79"/>
      <c r="AB26" s="83">
        <f t="shared" si="7"/>
        <v>0</v>
      </c>
      <c r="AC26" s="79">
        <f t="shared" si="8"/>
        <v>0</v>
      </c>
      <c r="AD26" s="79"/>
      <c r="AE26" s="83">
        <f t="shared" si="9"/>
        <v>0</v>
      </c>
      <c r="AF26" s="79">
        <f t="shared" si="10"/>
        <v>0</v>
      </c>
      <c r="AG26" s="79"/>
      <c r="AH26" s="83">
        <f t="shared" si="11"/>
        <v>0</v>
      </c>
      <c r="AI26" s="79">
        <f t="shared" si="12"/>
        <v>0</v>
      </c>
      <c r="AJ26" s="79"/>
      <c r="AK26" s="83">
        <f t="shared" si="13"/>
        <v>0</v>
      </c>
      <c r="AL26" s="79">
        <f t="shared" si="36"/>
        <v>0</v>
      </c>
      <c r="AM26" s="79"/>
      <c r="AN26" s="83">
        <f t="shared" si="14"/>
        <v>0</v>
      </c>
      <c r="AO26" s="79">
        <f t="shared" si="37"/>
        <v>0</v>
      </c>
      <c r="AP26" s="79"/>
      <c r="AQ26" s="83">
        <f t="shared" si="15"/>
        <v>0</v>
      </c>
      <c r="AR26" s="79">
        <f t="shared" si="38"/>
        <v>0</v>
      </c>
      <c r="AS26" s="79"/>
      <c r="AT26" s="83">
        <f t="shared" si="16"/>
        <v>0</v>
      </c>
      <c r="AU26" s="79">
        <f t="shared" si="39"/>
        <v>0</v>
      </c>
      <c r="AV26" s="79">
        <v>0</v>
      </c>
      <c r="AW26" s="83">
        <f t="shared" si="17"/>
        <v>0</v>
      </c>
      <c r="AX26" s="79">
        <f t="shared" si="40"/>
        <v>0</v>
      </c>
      <c r="AY26" s="79"/>
      <c r="AZ26" s="83">
        <f t="shared" si="18"/>
        <v>0</v>
      </c>
      <c r="BA26" s="79">
        <f t="shared" si="41"/>
        <v>0</v>
      </c>
      <c r="BB26" s="79"/>
      <c r="BC26" s="83">
        <f t="shared" si="19"/>
        <v>0</v>
      </c>
      <c r="BD26" s="83">
        <f t="shared" si="42"/>
        <v>0</v>
      </c>
      <c r="BE26" s="83"/>
      <c r="BF26" s="83">
        <f t="shared" si="43"/>
        <v>0</v>
      </c>
      <c r="BG26" s="79">
        <f t="shared" si="44"/>
        <v>0</v>
      </c>
      <c r="BH26" s="79"/>
      <c r="BI26" s="169">
        <f t="shared" si="20"/>
        <v>0</v>
      </c>
      <c r="BJ26" s="79">
        <f t="shared" si="45"/>
        <v>0</v>
      </c>
      <c r="BK26" s="79"/>
      <c r="BL26" s="83">
        <f t="shared" si="21"/>
        <v>0</v>
      </c>
      <c r="BM26" s="79">
        <f t="shared" si="46"/>
        <v>0</v>
      </c>
      <c r="BN26" s="79"/>
      <c r="BO26" s="83">
        <f t="shared" si="22"/>
        <v>0</v>
      </c>
      <c r="BP26" s="79">
        <f t="shared" si="47"/>
        <v>0</v>
      </c>
      <c r="BQ26" s="79"/>
      <c r="BR26" s="83">
        <f t="shared" si="23"/>
        <v>0</v>
      </c>
      <c r="BS26" s="79">
        <f t="shared" si="48"/>
        <v>0</v>
      </c>
      <c r="BT26" s="79"/>
      <c r="BU26" s="83">
        <f t="shared" si="24"/>
        <v>0</v>
      </c>
      <c r="BV26" s="79">
        <f t="shared" si="49"/>
        <v>0</v>
      </c>
      <c r="BW26" s="79"/>
      <c r="BX26" s="83">
        <f t="shared" si="25"/>
        <v>0</v>
      </c>
      <c r="BY26" s="79">
        <f t="shared" si="50"/>
        <v>0</v>
      </c>
      <c r="BZ26" s="79"/>
      <c r="CA26" s="83">
        <f t="shared" si="26"/>
        <v>0</v>
      </c>
      <c r="CB26" s="79">
        <f t="shared" si="51"/>
        <v>0</v>
      </c>
      <c r="CC26" s="79"/>
      <c r="CD26" s="83">
        <f t="shared" si="27"/>
        <v>0</v>
      </c>
      <c r="CE26" s="79">
        <f t="shared" si="52"/>
        <v>0</v>
      </c>
      <c r="CF26" s="79"/>
      <c r="CG26" s="83">
        <f t="shared" si="28"/>
        <v>0</v>
      </c>
      <c r="CH26" s="79">
        <f t="shared" si="53"/>
        <v>0</v>
      </c>
      <c r="CI26" s="79"/>
      <c r="CJ26" s="83">
        <f t="shared" si="29"/>
        <v>0</v>
      </c>
      <c r="CK26" s="79">
        <f t="shared" si="54"/>
        <v>0</v>
      </c>
      <c r="CL26" s="79"/>
      <c r="CM26" s="83">
        <f t="shared" si="30"/>
        <v>0</v>
      </c>
      <c r="CN26" s="79">
        <f t="shared" si="55"/>
        <v>0</v>
      </c>
      <c r="CO26" s="79"/>
      <c r="CP26" s="83">
        <f t="shared" si="31"/>
        <v>0</v>
      </c>
    </row>
    <row r="27" spans="1:1028" s="3" customFormat="1" ht="13.5" customHeight="1" x14ac:dyDescent="0.2">
      <c r="A27" s="91">
        <v>23</v>
      </c>
      <c r="B27" s="75">
        <f t="shared" si="32"/>
        <v>0</v>
      </c>
      <c r="C27" s="75"/>
      <c r="D27" s="76">
        <f t="shared" si="0"/>
        <v>0</v>
      </c>
      <c r="E27" s="77">
        <f t="shared" si="56"/>
        <v>0</v>
      </c>
      <c r="F27" s="77"/>
      <c r="G27" s="77">
        <f t="shared" si="33"/>
        <v>0</v>
      </c>
      <c r="H27" s="79">
        <f t="shared" si="34"/>
        <v>0</v>
      </c>
      <c r="I27" s="79"/>
      <c r="J27" s="83">
        <f t="shared" si="1"/>
        <v>0</v>
      </c>
      <c r="K27" s="79">
        <f t="shared" si="57"/>
        <v>0</v>
      </c>
      <c r="L27" s="79"/>
      <c r="M27" s="83">
        <f t="shared" si="2"/>
        <v>0</v>
      </c>
      <c r="N27" s="79">
        <f t="shared" si="62"/>
        <v>0</v>
      </c>
      <c r="O27" s="79"/>
      <c r="P27" s="83">
        <f t="shared" si="3"/>
        <v>0</v>
      </c>
      <c r="Q27" s="79">
        <f t="shared" si="35"/>
        <v>0</v>
      </c>
      <c r="R27" s="79"/>
      <c r="S27" s="83">
        <f t="shared" si="4"/>
        <v>0</v>
      </c>
      <c r="T27" s="79">
        <f t="shared" si="63"/>
        <v>0</v>
      </c>
      <c r="U27" s="79"/>
      <c r="V27" s="83">
        <f t="shared" si="5"/>
        <v>0</v>
      </c>
      <c r="W27" s="79">
        <f t="shared" si="64"/>
        <v>0</v>
      </c>
      <c r="X27" s="79"/>
      <c r="Y27" s="83">
        <f t="shared" si="6"/>
        <v>0</v>
      </c>
      <c r="Z27" s="79">
        <f t="shared" si="65"/>
        <v>0</v>
      </c>
      <c r="AA27" s="79"/>
      <c r="AB27" s="83">
        <f t="shared" si="7"/>
        <v>0</v>
      </c>
      <c r="AC27" s="79">
        <f t="shared" si="8"/>
        <v>0</v>
      </c>
      <c r="AD27" s="79"/>
      <c r="AE27" s="83">
        <f t="shared" si="9"/>
        <v>0</v>
      </c>
      <c r="AF27" s="79">
        <f t="shared" si="10"/>
        <v>0</v>
      </c>
      <c r="AG27" s="79"/>
      <c r="AH27" s="83">
        <f t="shared" si="11"/>
        <v>0</v>
      </c>
      <c r="AI27" s="79">
        <f t="shared" si="12"/>
        <v>0</v>
      </c>
      <c r="AJ27" s="79"/>
      <c r="AK27" s="83">
        <f t="shared" si="13"/>
        <v>0</v>
      </c>
      <c r="AL27" s="79">
        <f t="shared" si="36"/>
        <v>0</v>
      </c>
      <c r="AM27" s="79"/>
      <c r="AN27" s="83">
        <f t="shared" si="14"/>
        <v>0</v>
      </c>
      <c r="AO27" s="79">
        <f t="shared" si="37"/>
        <v>0</v>
      </c>
      <c r="AP27" s="79"/>
      <c r="AQ27" s="83">
        <f t="shared" si="15"/>
        <v>0</v>
      </c>
      <c r="AR27" s="79">
        <f t="shared" si="38"/>
        <v>0</v>
      </c>
      <c r="AS27" s="79"/>
      <c r="AT27" s="83">
        <f t="shared" si="16"/>
        <v>0</v>
      </c>
      <c r="AU27" s="79">
        <f t="shared" si="39"/>
        <v>0</v>
      </c>
      <c r="AV27" s="79"/>
      <c r="AW27" s="83">
        <f t="shared" si="17"/>
        <v>0</v>
      </c>
      <c r="AX27" s="79">
        <f t="shared" si="40"/>
        <v>0</v>
      </c>
      <c r="AY27" s="79"/>
      <c r="AZ27" s="83">
        <f t="shared" si="18"/>
        <v>0</v>
      </c>
      <c r="BA27" s="79">
        <f t="shared" si="41"/>
        <v>0</v>
      </c>
      <c r="BB27" s="79"/>
      <c r="BC27" s="83">
        <f t="shared" si="19"/>
        <v>0</v>
      </c>
      <c r="BD27" s="83">
        <f t="shared" si="42"/>
        <v>0</v>
      </c>
      <c r="BE27" s="83"/>
      <c r="BF27" s="83">
        <f t="shared" si="43"/>
        <v>0</v>
      </c>
      <c r="BG27" s="79">
        <f t="shared" si="44"/>
        <v>0</v>
      </c>
      <c r="BH27" s="79"/>
      <c r="BI27" s="169">
        <f t="shared" si="20"/>
        <v>0</v>
      </c>
      <c r="BJ27" s="79">
        <f t="shared" si="45"/>
        <v>0</v>
      </c>
      <c r="BK27" s="79"/>
      <c r="BL27" s="83">
        <f t="shared" si="21"/>
        <v>0</v>
      </c>
      <c r="BM27" s="79">
        <f t="shared" si="46"/>
        <v>0</v>
      </c>
      <c r="BN27" s="79"/>
      <c r="BO27" s="83">
        <f t="shared" si="22"/>
        <v>0</v>
      </c>
      <c r="BP27" s="79">
        <f t="shared" si="47"/>
        <v>0</v>
      </c>
      <c r="BQ27" s="79"/>
      <c r="BR27" s="83">
        <f t="shared" si="23"/>
        <v>0</v>
      </c>
      <c r="BS27" s="79">
        <f t="shared" si="48"/>
        <v>0</v>
      </c>
      <c r="BT27" s="79"/>
      <c r="BU27" s="83">
        <f t="shared" si="24"/>
        <v>0</v>
      </c>
      <c r="BV27" s="79">
        <f t="shared" si="49"/>
        <v>0</v>
      </c>
      <c r="BW27" s="79"/>
      <c r="BX27" s="83">
        <f t="shared" si="25"/>
        <v>0</v>
      </c>
      <c r="BY27" s="79">
        <f t="shared" si="50"/>
        <v>0</v>
      </c>
      <c r="BZ27" s="79"/>
      <c r="CA27" s="83">
        <f t="shared" si="26"/>
        <v>0</v>
      </c>
      <c r="CB27" s="79">
        <f t="shared" si="51"/>
        <v>0</v>
      </c>
      <c r="CC27" s="79"/>
      <c r="CD27" s="83">
        <f t="shared" si="27"/>
        <v>0</v>
      </c>
      <c r="CE27" s="79">
        <f t="shared" si="52"/>
        <v>0</v>
      </c>
      <c r="CF27" s="79"/>
      <c r="CG27" s="83">
        <f t="shared" si="28"/>
        <v>0</v>
      </c>
      <c r="CH27" s="79">
        <f t="shared" si="53"/>
        <v>0</v>
      </c>
      <c r="CI27" s="79"/>
      <c r="CJ27" s="83">
        <f t="shared" si="29"/>
        <v>0</v>
      </c>
      <c r="CK27" s="79">
        <f t="shared" si="54"/>
        <v>0</v>
      </c>
      <c r="CL27" s="79"/>
      <c r="CM27" s="83">
        <f t="shared" si="30"/>
        <v>0</v>
      </c>
      <c r="CN27" s="79">
        <f t="shared" si="55"/>
        <v>0</v>
      </c>
      <c r="CO27" s="79"/>
      <c r="CP27" s="83">
        <f t="shared" si="31"/>
        <v>0</v>
      </c>
    </row>
    <row r="28" spans="1:1028" s="88" customFormat="1" ht="13.5" customHeight="1" x14ac:dyDescent="0.2">
      <c r="A28" s="91">
        <v>24</v>
      </c>
      <c r="B28" s="75">
        <f t="shared" si="32"/>
        <v>0</v>
      </c>
      <c r="C28" s="75"/>
      <c r="D28" s="76">
        <f t="shared" si="0"/>
        <v>0</v>
      </c>
      <c r="E28" s="77">
        <f t="shared" si="56"/>
        <v>0</v>
      </c>
      <c r="F28" s="77"/>
      <c r="G28" s="77">
        <f t="shared" si="33"/>
        <v>0</v>
      </c>
      <c r="H28" s="79">
        <f t="shared" si="34"/>
        <v>0</v>
      </c>
      <c r="I28" s="79"/>
      <c r="J28" s="83">
        <f t="shared" si="1"/>
        <v>0</v>
      </c>
      <c r="K28" s="79">
        <f t="shared" si="57"/>
        <v>0</v>
      </c>
      <c r="L28" s="79"/>
      <c r="M28" s="83">
        <f t="shared" si="2"/>
        <v>0</v>
      </c>
      <c r="N28" s="79">
        <f t="shared" si="62"/>
        <v>0</v>
      </c>
      <c r="O28" s="79"/>
      <c r="P28" s="83">
        <f t="shared" si="3"/>
        <v>0</v>
      </c>
      <c r="Q28" s="79">
        <f t="shared" si="35"/>
        <v>0</v>
      </c>
      <c r="R28" s="79"/>
      <c r="S28" s="83">
        <f t="shared" si="4"/>
        <v>0</v>
      </c>
      <c r="T28" s="79">
        <f t="shared" si="63"/>
        <v>0</v>
      </c>
      <c r="U28" s="79"/>
      <c r="V28" s="83">
        <f t="shared" si="5"/>
        <v>0</v>
      </c>
      <c r="W28" s="79">
        <f t="shared" si="64"/>
        <v>0</v>
      </c>
      <c r="X28" s="79"/>
      <c r="Y28" s="83">
        <f t="shared" si="6"/>
        <v>0</v>
      </c>
      <c r="Z28" s="79">
        <f t="shared" si="65"/>
        <v>0</v>
      </c>
      <c r="AA28" s="79"/>
      <c r="AB28" s="83">
        <f t="shared" si="7"/>
        <v>0</v>
      </c>
      <c r="AC28" s="79">
        <f t="shared" si="8"/>
        <v>0</v>
      </c>
      <c r="AD28" s="79"/>
      <c r="AE28" s="83">
        <f t="shared" si="9"/>
        <v>0</v>
      </c>
      <c r="AF28" s="79">
        <f t="shared" si="10"/>
        <v>0</v>
      </c>
      <c r="AG28" s="79"/>
      <c r="AH28" s="83">
        <f t="shared" si="11"/>
        <v>0</v>
      </c>
      <c r="AI28" s="79">
        <f t="shared" si="12"/>
        <v>0</v>
      </c>
      <c r="AJ28" s="79"/>
      <c r="AK28" s="83">
        <f t="shared" si="13"/>
        <v>0</v>
      </c>
      <c r="AL28" s="79">
        <f t="shared" si="36"/>
        <v>0</v>
      </c>
      <c r="AM28" s="79"/>
      <c r="AN28" s="83">
        <f t="shared" si="14"/>
        <v>0</v>
      </c>
      <c r="AO28" s="79">
        <f t="shared" si="37"/>
        <v>0</v>
      </c>
      <c r="AP28" s="79"/>
      <c r="AQ28" s="83">
        <f t="shared" si="15"/>
        <v>0</v>
      </c>
      <c r="AR28" s="79">
        <f t="shared" si="38"/>
        <v>0</v>
      </c>
      <c r="AS28" s="79"/>
      <c r="AT28" s="83">
        <f t="shared" si="16"/>
        <v>0</v>
      </c>
      <c r="AU28" s="79">
        <f t="shared" si="39"/>
        <v>0</v>
      </c>
      <c r="AV28" s="79"/>
      <c r="AW28" s="83">
        <f t="shared" si="17"/>
        <v>0</v>
      </c>
      <c r="AX28" s="79">
        <f t="shared" si="40"/>
        <v>0</v>
      </c>
      <c r="AY28" s="79"/>
      <c r="AZ28" s="83">
        <f t="shared" si="18"/>
        <v>0</v>
      </c>
      <c r="BA28" s="79">
        <f t="shared" si="41"/>
        <v>0</v>
      </c>
      <c r="BB28" s="79"/>
      <c r="BC28" s="83">
        <f t="shared" si="19"/>
        <v>0</v>
      </c>
      <c r="BD28" s="83">
        <f t="shared" si="42"/>
        <v>0</v>
      </c>
      <c r="BE28" s="83"/>
      <c r="BF28" s="83">
        <f t="shared" si="43"/>
        <v>0</v>
      </c>
      <c r="BG28" s="79">
        <f t="shared" si="44"/>
        <v>0</v>
      </c>
      <c r="BH28" s="79"/>
      <c r="BI28" s="169">
        <f t="shared" si="20"/>
        <v>0</v>
      </c>
      <c r="BJ28" s="79">
        <f t="shared" si="45"/>
        <v>0</v>
      </c>
      <c r="BK28" s="79"/>
      <c r="BL28" s="83">
        <f t="shared" si="21"/>
        <v>0</v>
      </c>
      <c r="BM28" s="79">
        <f t="shared" si="46"/>
        <v>0</v>
      </c>
      <c r="BN28" s="79"/>
      <c r="BO28" s="83">
        <f t="shared" si="22"/>
        <v>0</v>
      </c>
      <c r="BP28" s="79">
        <f t="shared" si="47"/>
        <v>0</v>
      </c>
      <c r="BQ28" s="79"/>
      <c r="BR28" s="83">
        <f t="shared" si="23"/>
        <v>0</v>
      </c>
      <c r="BS28" s="79">
        <f t="shared" si="48"/>
        <v>0</v>
      </c>
      <c r="BT28" s="79"/>
      <c r="BU28" s="83">
        <f t="shared" si="24"/>
        <v>0</v>
      </c>
      <c r="BV28" s="79">
        <f t="shared" si="49"/>
        <v>0</v>
      </c>
      <c r="BW28" s="79"/>
      <c r="BX28" s="83">
        <f t="shared" si="25"/>
        <v>0</v>
      </c>
      <c r="BY28" s="79">
        <f t="shared" si="50"/>
        <v>0</v>
      </c>
      <c r="BZ28" s="79"/>
      <c r="CA28" s="83">
        <f t="shared" si="26"/>
        <v>0</v>
      </c>
      <c r="CB28" s="79">
        <f t="shared" si="51"/>
        <v>0</v>
      </c>
      <c r="CC28" s="79"/>
      <c r="CD28" s="83">
        <f t="shared" si="27"/>
        <v>0</v>
      </c>
      <c r="CE28" s="79">
        <f t="shared" si="52"/>
        <v>0</v>
      </c>
      <c r="CF28" s="79"/>
      <c r="CG28" s="83">
        <f t="shared" si="28"/>
        <v>0</v>
      </c>
      <c r="CH28" s="79">
        <f t="shared" si="53"/>
        <v>0</v>
      </c>
      <c r="CI28" s="79"/>
      <c r="CJ28" s="83">
        <f t="shared" si="29"/>
        <v>0</v>
      </c>
      <c r="CK28" s="79">
        <f t="shared" si="54"/>
        <v>0</v>
      </c>
      <c r="CL28" s="79"/>
      <c r="CM28" s="83">
        <f t="shared" si="30"/>
        <v>0</v>
      </c>
      <c r="CN28" s="79">
        <f t="shared" si="55"/>
        <v>0</v>
      </c>
      <c r="CO28" s="79"/>
      <c r="CP28" s="83">
        <f t="shared" si="31"/>
        <v>0</v>
      </c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</row>
    <row r="29" spans="1:1028" s="3" customFormat="1" ht="13.5" customHeight="1" x14ac:dyDescent="0.2">
      <c r="A29" s="91">
        <v>25</v>
      </c>
      <c r="B29" s="75">
        <f t="shared" si="32"/>
        <v>0</v>
      </c>
      <c r="C29" s="75"/>
      <c r="D29" s="76">
        <f t="shared" si="0"/>
        <v>0</v>
      </c>
      <c r="E29" s="77">
        <f t="shared" si="56"/>
        <v>0</v>
      </c>
      <c r="F29" s="77"/>
      <c r="G29" s="77">
        <f t="shared" si="33"/>
        <v>0</v>
      </c>
      <c r="H29" s="79">
        <f t="shared" si="34"/>
        <v>0</v>
      </c>
      <c r="I29" s="79"/>
      <c r="J29" s="83">
        <f t="shared" si="1"/>
        <v>0</v>
      </c>
      <c r="K29" s="79">
        <f t="shared" si="57"/>
        <v>0</v>
      </c>
      <c r="L29" s="79"/>
      <c r="M29" s="83">
        <f t="shared" si="2"/>
        <v>0</v>
      </c>
      <c r="N29" s="79">
        <f t="shared" si="62"/>
        <v>0</v>
      </c>
      <c r="O29" s="79"/>
      <c r="P29" s="83">
        <f t="shared" si="3"/>
        <v>0</v>
      </c>
      <c r="Q29" s="79">
        <f t="shared" si="35"/>
        <v>0</v>
      </c>
      <c r="R29" s="79"/>
      <c r="S29" s="83">
        <f t="shared" si="4"/>
        <v>0</v>
      </c>
      <c r="T29" s="79">
        <f t="shared" si="63"/>
        <v>0</v>
      </c>
      <c r="U29" s="79"/>
      <c r="V29" s="83">
        <f t="shared" si="5"/>
        <v>0</v>
      </c>
      <c r="W29" s="79">
        <f t="shared" si="64"/>
        <v>0</v>
      </c>
      <c r="X29" s="79"/>
      <c r="Y29" s="83">
        <f t="shared" si="6"/>
        <v>0</v>
      </c>
      <c r="Z29" s="79">
        <f t="shared" si="65"/>
        <v>0</v>
      </c>
      <c r="AA29" s="79"/>
      <c r="AB29" s="83">
        <f t="shared" si="7"/>
        <v>0</v>
      </c>
      <c r="AC29" s="79">
        <f t="shared" si="8"/>
        <v>0</v>
      </c>
      <c r="AD29" s="79"/>
      <c r="AE29" s="83">
        <f t="shared" si="9"/>
        <v>0</v>
      </c>
      <c r="AF29" s="79">
        <f t="shared" si="10"/>
        <v>0</v>
      </c>
      <c r="AG29" s="79"/>
      <c r="AH29" s="83">
        <f t="shared" si="11"/>
        <v>0</v>
      </c>
      <c r="AI29" s="79">
        <f t="shared" si="12"/>
        <v>0</v>
      </c>
      <c r="AJ29" s="79"/>
      <c r="AK29" s="83">
        <f t="shared" si="13"/>
        <v>0</v>
      </c>
      <c r="AL29" s="79">
        <f t="shared" si="36"/>
        <v>0</v>
      </c>
      <c r="AM29" s="79"/>
      <c r="AN29" s="83">
        <f t="shared" si="14"/>
        <v>0</v>
      </c>
      <c r="AO29" s="79">
        <f t="shared" si="37"/>
        <v>0</v>
      </c>
      <c r="AP29" s="79"/>
      <c r="AQ29" s="83">
        <f t="shared" si="15"/>
        <v>0</v>
      </c>
      <c r="AR29" s="79">
        <f t="shared" si="38"/>
        <v>0</v>
      </c>
      <c r="AS29" s="79"/>
      <c r="AT29" s="83">
        <f t="shared" si="16"/>
        <v>0</v>
      </c>
      <c r="AU29" s="79">
        <f t="shared" si="39"/>
        <v>0</v>
      </c>
      <c r="AV29" s="79"/>
      <c r="AW29" s="83">
        <f t="shared" si="17"/>
        <v>0</v>
      </c>
      <c r="AX29" s="79">
        <f t="shared" si="40"/>
        <v>0</v>
      </c>
      <c r="AY29" s="79"/>
      <c r="AZ29" s="83">
        <f t="shared" si="18"/>
        <v>0</v>
      </c>
      <c r="BA29" s="79">
        <f t="shared" si="41"/>
        <v>0</v>
      </c>
      <c r="BB29" s="79"/>
      <c r="BC29" s="83">
        <f t="shared" si="19"/>
        <v>0</v>
      </c>
      <c r="BD29" s="83">
        <f t="shared" si="42"/>
        <v>0</v>
      </c>
      <c r="BE29" s="83"/>
      <c r="BF29" s="83">
        <f t="shared" si="43"/>
        <v>0</v>
      </c>
      <c r="BG29" s="79">
        <f t="shared" si="44"/>
        <v>0</v>
      </c>
      <c r="BH29" s="79"/>
      <c r="BI29" s="169">
        <f t="shared" si="20"/>
        <v>0</v>
      </c>
      <c r="BJ29" s="79">
        <f t="shared" si="45"/>
        <v>0</v>
      </c>
      <c r="BK29" s="79"/>
      <c r="BL29" s="83">
        <f t="shared" si="21"/>
        <v>0</v>
      </c>
      <c r="BM29" s="79">
        <f t="shared" si="46"/>
        <v>0</v>
      </c>
      <c r="BN29" s="79"/>
      <c r="BO29" s="83">
        <f t="shared" si="22"/>
        <v>0</v>
      </c>
      <c r="BP29" s="79">
        <f t="shared" si="47"/>
        <v>0</v>
      </c>
      <c r="BQ29" s="79"/>
      <c r="BR29" s="83">
        <f t="shared" si="23"/>
        <v>0</v>
      </c>
      <c r="BS29" s="79">
        <f t="shared" si="48"/>
        <v>0</v>
      </c>
      <c r="BT29" s="79"/>
      <c r="BU29" s="83">
        <f t="shared" si="24"/>
        <v>0</v>
      </c>
      <c r="BV29" s="79">
        <f t="shared" si="49"/>
        <v>0</v>
      </c>
      <c r="BW29" s="79"/>
      <c r="BX29" s="83">
        <f t="shared" si="25"/>
        <v>0</v>
      </c>
      <c r="BY29" s="79">
        <f t="shared" si="50"/>
        <v>0</v>
      </c>
      <c r="BZ29" s="79"/>
      <c r="CA29" s="83">
        <f t="shared" si="26"/>
        <v>0</v>
      </c>
      <c r="CB29" s="79">
        <f t="shared" si="51"/>
        <v>0</v>
      </c>
      <c r="CC29" s="79"/>
      <c r="CD29" s="83">
        <f t="shared" si="27"/>
        <v>0</v>
      </c>
      <c r="CE29" s="79">
        <f t="shared" si="52"/>
        <v>0</v>
      </c>
      <c r="CF29" s="79"/>
      <c r="CG29" s="83">
        <f t="shared" si="28"/>
        <v>0</v>
      </c>
      <c r="CH29" s="79">
        <f t="shared" si="53"/>
        <v>0</v>
      </c>
      <c r="CI29" s="79"/>
      <c r="CJ29" s="83">
        <f t="shared" si="29"/>
        <v>0</v>
      </c>
      <c r="CK29" s="79">
        <f t="shared" si="54"/>
        <v>0</v>
      </c>
      <c r="CL29" s="79"/>
      <c r="CM29" s="83">
        <f t="shared" si="30"/>
        <v>0</v>
      </c>
      <c r="CN29" s="79">
        <f t="shared" si="55"/>
        <v>0</v>
      </c>
      <c r="CO29" s="79"/>
      <c r="CP29" s="83">
        <f t="shared" si="31"/>
        <v>0</v>
      </c>
    </row>
    <row r="30" spans="1:1028" s="3" customFormat="1" ht="13.5" customHeight="1" x14ac:dyDescent="0.2">
      <c r="A30" s="91">
        <v>26</v>
      </c>
      <c r="B30" s="75">
        <f t="shared" si="32"/>
        <v>0</v>
      </c>
      <c r="C30" s="75"/>
      <c r="D30" s="76">
        <f t="shared" si="0"/>
        <v>0</v>
      </c>
      <c r="E30" s="77">
        <f t="shared" si="56"/>
        <v>0</v>
      </c>
      <c r="F30" s="77"/>
      <c r="G30" s="77">
        <f t="shared" si="33"/>
        <v>0</v>
      </c>
      <c r="H30" s="79">
        <f t="shared" si="34"/>
        <v>0</v>
      </c>
      <c r="I30" s="79"/>
      <c r="J30" s="83">
        <f t="shared" si="1"/>
        <v>0</v>
      </c>
      <c r="K30" s="79">
        <f t="shared" si="57"/>
        <v>0</v>
      </c>
      <c r="L30" s="79"/>
      <c r="M30" s="83">
        <f t="shared" si="2"/>
        <v>0</v>
      </c>
      <c r="N30" s="79">
        <f t="shared" si="62"/>
        <v>0</v>
      </c>
      <c r="O30" s="79"/>
      <c r="P30" s="83">
        <f t="shared" si="3"/>
        <v>0</v>
      </c>
      <c r="Q30" s="79">
        <f t="shared" si="35"/>
        <v>0</v>
      </c>
      <c r="R30" s="79"/>
      <c r="S30" s="83">
        <f t="shared" si="4"/>
        <v>0</v>
      </c>
      <c r="T30" s="79">
        <f t="shared" si="63"/>
        <v>0</v>
      </c>
      <c r="U30" s="79"/>
      <c r="V30" s="83">
        <f t="shared" si="5"/>
        <v>0</v>
      </c>
      <c r="W30" s="79">
        <f t="shared" si="64"/>
        <v>0</v>
      </c>
      <c r="X30" s="79"/>
      <c r="Y30" s="83">
        <f t="shared" si="6"/>
        <v>0</v>
      </c>
      <c r="Z30" s="79">
        <f t="shared" si="65"/>
        <v>0</v>
      </c>
      <c r="AA30" s="79"/>
      <c r="AB30" s="83">
        <f t="shared" si="7"/>
        <v>0</v>
      </c>
      <c r="AC30" s="79">
        <f t="shared" si="8"/>
        <v>0</v>
      </c>
      <c r="AD30" s="79"/>
      <c r="AE30" s="83">
        <f t="shared" si="9"/>
        <v>0</v>
      </c>
      <c r="AF30" s="79">
        <f t="shared" si="10"/>
        <v>0</v>
      </c>
      <c r="AG30" s="79"/>
      <c r="AH30" s="83">
        <f t="shared" si="11"/>
        <v>0</v>
      </c>
      <c r="AI30" s="79">
        <f t="shared" si="12"/>
        <v>0</v>
      </c>
      <c r="AJ30" s="79"/>
      <c r="AK30" s="83">
        <f t="shared" si="13"/>
        <v>0</v>
      </c>
      <c r="AL30" s="79">
        <f t="shared" si="36"/>
        <v>0</v>
      </c>
      <c r="AM30" s="79"/>
      <c r="AN30" s="83">
        <f t="shared" si="14"/>
        <v>0</v>
      </c>
      <c r="AO30" s="79">
        <f t="shared" si="37"/>
        <v>0</v>
      </c>
      <c r="AP30" s="79"/>
      <c r="AQ30" s="83">
        <f t="shared" si="15"/>
        <v>0</v>
      </c>
      <c r="AR30" s="79">
        <f t="shared" si="38"/>
        <v>0</v>
      </c>
      <c r="AS30" s="79"/>
      <c r="AT30" s="83">
        <f t="shared" si="16"/>
        <v>0</v>
      </c>
      <c r="AU30" s="79">
        <f t="shared" si="39"/>
        <v>0</v>
      </c>
      <c r="AV30" s="79"/>
      <c r="AW30" s="83">
        <f t="shared" si="17"/>
        <v>0</v>
      </c>
      <c r="AX30" s="79">
        <f t="shared" si="40"/>
        <v>0</v>
      </c>
      <c r="AY30" s="79"/>
      <c r="AZ30" s="83">
        <f t="shared" si="18"/>
        <v>0</v>
      </c>
      <c r="BA30" s="79">
        <f t="shared" si="41"/>
        <v>0</v>
      </c>
      <c r="BB30" s="79"/>
      <c r="BC30" s="83">
        <f t="shared" si="19"/>
        <v>0</v>
      </c>
      <c r="BD30" s="83">
        <f t="shared" si="42"/>
        <v>0</v>
      </c>
      <c r="BE30" s="83"/>
      <c r="BF30" s="83">
        <f t="shared" si="43"/>
        <v>0</v>
      </c>
      <c r="BG30" s="79">
        <f t="shared" si="44"/>
        <v>0</v>
      </c>
      <c r="BH30" s="79"/>
      <c r="BI30" s="169">
        <f t="shared" si="20"/>
        <v>0</v>
      </c>
      <c r="BJ30" s="79">
        <f t="shared" si="45"/>
        <v>0</v>
      </c>
      <c r="BK30" s="79"/>
      <c r="BL30" s="83">
        <f t="shared" si="21"/>
        <v>0</v>
      </c>
      <c r="BM30" s="79">
        <f t="shared" si="46"/>
        <v>0</v>
      </c>
      <c r="BN30" s="79"/>
      <c r="BO30" s="83">
        <f t="shared" si="22"/>
        <v>0</v>
      </c>
      <c r="BP30" s="79">
        <f t="shared" si="47"/>
        <v>0</v>
      </c>
      <c r="BQ30" s="79"/>
      <c r="BR30" s="83">
        <f t="shared" si="23"/>
        <v>0</v>
      </c>
      <c r="BS30" s="79">
        <f t="shared" si="48"/>
        <v>0</v>
      </c>
      <c r="BT30" s="79"/>
      <c r="BU30" s="83">
        <f t="shared" si="24"/>
        <v>0</v>
      </c>
      <c r="BV30" s="79">
        <f t="shared" si="49"/>
        <v>0</v>
      </c>
      <c r="BW30" s="79"/>
      <c r="BX30" s="83">
        <f t="shared" si="25"/>
        <v>0</v>
      </c>
      <c r="BY30" s="79">
        <f t="shared" si="50"/>
        <v>0</v>
      </c>
      <c r="BZ30" s="79"/>
      <c r="CA30" s="83">
        <f t="shared" si="26"/>
        <v>0</v>
      </c>
      <c r="CB30" s="79">
        <f t="shared" si="51"/>
        <v>0</v>
      </c>
      <c r="CC30" s="79"/>
      <c r="CD30" s="83">
        <f t="shared" si="27"/>
        <v>0</v>
      </c>
      <c r="CE30" s="79">
        <f t="shared" si="52"/>
        <v>0</v>
      </c>
      <c r="CF30" s="79"/>
      <c r="CG30" s="83">
        <f t="shared" si="28"/>
        <v>0</v>
      </c>
      <c r="CH30" s="79">
        <f t="shared" si="53"/>
        <v>0</v>
      </c>
      <c r="CI30" s="79"/>
      <c r="CJ30" s="83">
        <f t="shared" si="29"/>
        <v>0</v>
      </c>
      <c r="CK30" s="79">
        <f t="shared" si="54"/>
        <v>0</v>
      </c>
      <c r="CL30" s="79"/>
      <c r="CM30" s="83">
        <f t="shared" si="30"/>
        <v>0</v>
      </c>
      <c r="CN30" s="79">
        <f t="shared" si="55"/>
        <v>0</v>
      </c>
      <c r="CO30" s="79"/>
      <c r="CP30" s="83">
        <f t="shared" si="31"/>
        <v>0</v>
      </c>
    </row>
    <row r="31" spans="1:1028" s="3" customFormat="1" ht="13.5" customHeight="1" x14ac:dyDescent="0.2">
      <c r="A31" s="91">
        <v>27</v>
      </c>
      <c r="B31" s="75">
        <f t="shared" si="32"/>
        <v>0</v>
      </c>
      <c r="C31" s="75"/>
      <c r="D31" s="76">
        <f t="shared" si="0"/>
        <v>0</v>
      </c>
      <c r="E31" s="77">
        <f t="shared" si="56"/>
        <v>0</v>
      </c>
      <c r="F31" s="77"/>
      <c r="G31" s="77">
        <f t="shared" si="33"/>
        <v>0</v>
      </c>
      <c r="H31" s="79">
        <f t="shared" si="34"/>
        <v>0</v>
      </c>
      <c r="I31" s="79"/>
      <c r="J31" s="83">
        <f t="shared" si="1"/>
        <v>0</v>
      </c>
      <c r="K31" s="79">
        <f t="shared" si="57"/>
        <v>0</v>
      </c>
      <c r="L31" s="79"/>
      <c r="M31" s="83">
        <f t="shared" si="2"/>
        <v>0</v>
      </c>
      <c r="N31" s="79">
        <f t="shared" si="62"/>
        <v>0</v>
      </c>
      <c r="O31" s="79"/>
      <c r="P31" s="83">
        <f t="shared" si="3"/>
        <v>0</v>
      </c>
      <c r="Q31" s="79">
        <f t="shared" si="35"/>
        <v>0</v>
      </c>
      <c r="R31" s="79"/>
      <c r="S31" s="83">
        <f t="shared" si="4"/>
        <v>0</v>
      </c>
      <c r="T31" s="79">
        <f t="shared" si="63"/>
        <v>0</v>
      </c>
      <c r="U31" s="79"/>
      <c r="V31" s="83">
        <f t="shared" si="5"/>
        <v>0</v>
      </c>
      <c r="W31" s="79">
        <f t="shared" si="64"/>
        <v>0</v>
      </c>
      <c r="X31" s="79"/>
      <c r="Y31" s="83">
        <f t="shared" si="6"/>
        <v>0</v>
      </c>
      <c r="Z31" s="79">
        <f t="shared" si="65"/>
        <v>0</v>
      </c>
      <c r="AA31" s="79"/>
      <c r="AB31" s="83">
        <f t="shared" si="7"/>
        <v>0</v>
      </c>
      <c r="AC31" s="79">
        <f t="shared" si="8"/>
        <v>0</v>
      </c>
      <c r="AD31" s="79"/>
      <c r="AE31" s="83">
        <f t="shared" si="9"/>
        <v>0</v>
      </c>
      <c r="AF31" s="79">
        <f t="shared" si="10"/>
        <v>0</v>
      </c>
      <c r="AG31" s="79"/>
      <c r="AH31" s="83">
        <f t="shared" si="11"/>
        <v>0</v>
      </c>
      <c r="AI31" s="79">
        <f t="shared" si="12"/>
        <v>0</v>
      </c>
      <c r="AJ31" s="79"/>
      <c r="AK31" s="83">
        <f t="shared" si="13"/>
        <v>0</v>
      </c>
      <c r="AL31" s="79">
        <f t="shared" si="36"/>
        <v>0</v>
      </c>
      <c r="AM31" s="79"/>
      <c r="AN31" s="83">
        <f t="shared" si="14"/>
        <v>0</v>
      </c>
      <c r="AO31" s="79">
        <f t="shared" si="37"/>
        <v>0</v>
      </c>
      <c r="AP31" s="79"/>
      <c r="AQ31" s="83">
        <f t="shared" si="15"/>
        <v>0</v>
      </c>
      <c r="AR31" s="79">
        <f t="shared" si="38"/>
        <v>0</v>
      </c>
      <c r="AS31" s="79"/>
      <c r="AT31" s="83">
        <f t="shared" si="16"/>
        <v>0</v>
      </c>
      <c r="AU31" s="79">
        <f t="shared" si="39"/>
        <v>0</v>
      </c>
      <c r="AV31" s="79"/>
      <c r="AW31" s="83">
        <f t="shared" si="17"/>
        <v>0</v>
      </c>
      <c r="AX31" s="79">
        <f t="shared" si="40"/>
        <v>0</v>
      </c>
      <c r="AY31" s="79"/>
      <c r="AZ31" s="83">
        <f t="shared" si="18"/>
        <v>0</v>
      </c>
      <c r="BA31" s="79">
        <f t="shared" si="41"/>
        <v>0</v>
      </c>
      <c r="BB31" s="79"/>
      <c r="BC31" s="83">
        <f t="shared" si="19"/>
        <v>0</v>
      </c>
      <c r="BD31" s="83">
        <f t="shared" si="42"/>
        <v>0</v>
      </c>
      <c r="BE31" s="83"/>
      <c r="BF31" s="83">
        <f t="shared" si="43"/>
        <v>0</v>
      </c>
      <c r="BG31" s="79">
        <f t="shared" si="44"/>
        <v>0</v>
      </c>
      <c r="BH31" s="79"/>
      <c r="BI31" s="169">
        <f t="shared" si="20"/>
        <v>0</v>
      </c>
      <c r="BJ31" s="79">
        <f t="shared" si="45"/>
        <v>0</v>
      </c>
      <c r="BK31" s="79"/>
      <c r="BL31" s="83">
        <f t="shared" si="21"/>
        <v>0</v>
      </c>
      <c r="BM31" s="79">
        <f t="shared" si="46"/>
        <v>0</v>
      </c>
      <c r="BN31" s="79"/>
      <c r="BO31" s="83">
        <f t="shared" si="22"/>
        <v>0</v>
      </c>
      <c r="BP31" s="79">
        <f t="shared" si="47"/>
        <v>0</v>
      </c>
      <c r="BQ31" s="79"/>
      <c r="BR31" s="83">
        <f t="shared" si="23"/>
        <v>0</v>
      </c>
      <c r="BS31" s="79">
        <f t="shared" si="48"/>
        <v>0</v>
      </c>
      <c r="BT31" s="79"/>
      <c r="BU31" s="83">
        <f t="shared" si="24"/>
        <v>0</v>
      </c>
      <c r="BV31" s="79">
        <f t="shared" si="49"/>
        <v>0</v>
      </c>
      <c r="BW31" s="79"/>
      <c r="BX31" s="83">
        <f t="shared" si="25"/>
        <v>0</v>
      </c>
      <c r="BY31" s="79">
        <f t="shared" si="50"/>
        <v>0</v>
      </c>
      <c r="BZ31" s="79"/>
      <c r="CA31" s="83">
        <f t="shared" si="26"/>
        <v>0</v>
      </c>
      <c r="CB31" s="79">
        <f t="shared" si="51"/>
        <v>0</v>
      </c>
      <c r="CC31" s="79"/>
      <c r="CD31" s="83">
        <f t="shared" si="27"/>
        <v>0</v>
      </c>
      <c r="CE31" s="79">
        <f t="shared" si="52"/>
        <v>0</v>
      </c>
      <c r="CF31" s="79"/>
      <c r="CG31" s="83">
        <f t="shared" si="28"/>
        <v>0</v>
      </c>
      <c r="CH31" s="79">
        <f t="shared" si="53"/>
        <v>0</v>
      </c>
      <c r="CI31" s="79"/>
      <c r="CJ31" s="83">
        <f t="shared" si="29"/>
        <v>0</v>
      </c>
      <c r="CK31" s="79">
        <f t="shared" si="54"/>
        <v>0</v>
      </c>
      <c r="CL31" s="79"/>
      <c r="CM31" s="83">
        <f t="shared" si="30"/>
        <v>0</v>
      </c>
      <c r="CN31" s="79">
        <f t="shared" si="55"/>
        <v>0</v>
      </c>
      <c r="CO31" s="79"/>
      <c r="CP31" s="83">
        <f t="shared" si="31"/>
        <v>0</v>
      </c>
    </row>
    <row r="32" spans="1:1028" s="3" customFormat="1" ht="13.5" customHeight="1" x14ac:dyDescent="0.2">
      <c r="A32" s="91">
        <v>28</v>
      </c>
      <c r="B32" s="75">
        <f t="shared" si="32"/>
        <v>0</v>
      </c>
      <c r="C32" s="75"/>
      <c r="D32" s="76">
        <f t="shared" si="0"/>
        <v>0</v>
      </c>
      <c r="E32" s="77">
        <f t="shared" si="56"/>
        <v>0</v>
      </c>
      <c r="F32" s="77"/>
      <c r="G32" s="77">
        <f>F32-E32</f>
        <v>0</v>
      </c>
      <c r="H32" s="79">
        <f t="shared" si="34"/>
        <v>0</v>
      </c>
      <c r="I32" s="79"/>
      <c r="J32" s="83">
        <f>I32-H32</f>
        <v>0</v>
      </c>
      <c r="K32" s="79">
        <f t="shared" si="57"/>
        <v>0</v>
      </c>
      <c r="L32" s="79"/>
      <c r="M32" s="83">
        <f>L32-K32</f>
        <v>0</v>
      </c>
      <c r="N32" s="79">
        <f t="shared" si="62"/>
        <v>0</v>
      </c>
      <c r="O32" s="79"/>
      <c r="P32" s="83">
        <f>O32-N32</f>
        <v>0</v>
      </c>
      <c r="Q32" s="79">
        <f t="shared" si="35"/>
        <v>0</v>
      </c>
      <c r="R32" s="81"/>
      <c r="S32" s="83">
        <f>R32-Q32</f>
        <v>0</v>
      </c>
      <c r="T32" s="79">
        <f t="shared" si="63"/>
        <v>0</v>
      </c>
      <c r="U32" s="79"/>
      <c r="V32" s="83">
        <f>U32-T32</f>
        <v>0</v>
      </c>
      <c r="W32" s="79">
        <f t="shared" si="64"/>
        <v>0</v>
      </c>
      <c r="X32" s="79"/>
      <c r="Y32" s="83">
        <f>X32-W32</f>
        <v>0</v>
      </c>
      <c r="Z32" s="79">
        <f t="shared" si="65"/>
        <v>0</v>
      </c>
      <c r="AA32" s="79"/>
      <c r="AB32" s="83">
        <f>AA32-Z32</f>
        <v>0</v>
      </c>
      <c r="AC32" s="79">
        <f t="shared" si="8"/>
        <v>0</v>
      </c>
      <c r="AD32" s="79"/>
      <c r="AE32" s="83">
        <f t="shared" si="9"/>
        <v>0</v>
      </c>
      <c r="AF32" s="79">
        <f t="shared" si="10"/>
        <v>0</v>
      </c>
      <c r="AG32" s="79"/>
      <c r="AH32" s="83">
        <f t="shared" si="11"/>
        <v>0</v>
      </c>
      <c r="AI32" s="79">
        <f t="shared" si="12"/>
        <v>0</v>
      </c>
      <c r="AJ32" s="79"/>
      <c r="AK32" s="83">
        <f t="shared" si="13"/>
        <v>0</v>
      </c>
      <c r="AL32" s="79">
        <f t="shared" si="36"/>
        <v>0</v>
      </c>
      <c r="AM32" s="79"/>
      <c r="AN32" s="83">
        <f t="shared" si="14"/>
        <v>0</v>
      </c>
      <c r="AO32" s="79">
        <f t="shared" si="37"/>
        <v>0</v>
      </c>
      <c r="AP32" s="79"/>
      <c r="AQ32" s="83">
        <f t="shared" si="15"/>
        <v>0</v>
      </c>
      <c r="AR32" s="79">
        <f t="shared" si="38"/>
        <v>0</v>
      </c>
      <c r="AS32" s="79"/>
      <c r="AT32" s="83">
        <f t="shared" si="16"/>
        <v>0</v>
      </c>
      <c r="AU32" s="79">
        <f t="shared" si="39"/>
        <v>0</v>
      </c>
      <c r="AV32" s="79"/>
      <c r="AW32" s="83">
        <f t="shared" si="17"/>
        <v>0</v>
      </c>
      <c r="AX32" s="79">
        <f t="shared" si="40"/>
        <v>0</v>
      </c>
      <c r="AY32" s="79"/>
      <c r="AZ32" s="83">
        <f t="shared" si="18"/>
        <v>0</v>
      </c>
      <c r="BA32" s="79">
        <f t="shared" si="41"/>
        <v>0</v>
      </c>
      <c r="BB32" s="79"/>
      <c r="BC32" s="83">
        <f t="shared" si="19"/>
        <v>0</v>
      </c>
      <c r="BD32" s="83">
        <f t="shared" si="42"/>
        <v>0</v>
      </c>
      <c r="BE32" s="83"/>
      <c r="BF32" s="83">
        <f t="shared" si="43"/>
        <v>0</v>
      </c>
      <c r="BG32" s="79">
        <f t="shared" si="44"/>
        <v>0</v>
      </c>
      <c r="BH32" s="79"/>
      <c r="BI32" s="169">
        <f t="shared" si="20"/>
        <v>0</v>
      </c>
      <c r="BJ32" s="79">
        <f t="shared" si="45"/>
        <v>0</v>
      </c>
      <c r="BK32" s="79"/>
      <c r="BL32" s="83">
        <f t="shared" si="21"/>
        <v>0</v>
      </c>
      <c r="BM32" s="79">
        <f>BN31</f>
        <v>0</v>
      </c>
      <c r="BN32" s="79"/>
      <c r="BO32" s="83">
        <f t="shared" si="22"/>
        <v>0</v>
      </c>
      <c r="BP32" s="79">
        <f t="shared" si="47"/>
        <v>0</v>
      </c>
      <c r="BQ32" s="79"/>
      <c r="BR32" s="83">
        <f t="shared" si="23"/>
        <v>0</v>
      </c>
      <c r="BS32" s="79">
        <f t="shared" si="48"/>
        <v>0</v>
      </c>
      <c r="BT32" s="79"/>
      <c r="BU32" s="83">
        <f t="shared" si="24"/>
        <v>0</v>
      </c>
      <c r="BV32" s="79">
        <f t="shared" si="49"/>
        <v>0</v>
      </c>
      <c r="BW32" s="79"/>
      <c r="BX32" s="83">
        <f t="shared" si="25"/>
        <v>0</v>
      </c>
      <c r="BY32" s="79">
        <f t="shared" si="50"/>
        <v>0</v>
      </c>
      <c r="BZ32" s="79"/>
      <c r="CA32" s="83">
        <f t="shared" si="26"/>
        <v>0</v>
      </c>
      <c r="CB32" s="79">
        <f t="shared" si="51"/>
        <v>0</v>
      </c>
      <c r="CC32" s="79"/>
      <c r="CD32" s="83">
        <f t="shared" si="27"/>
        <v>0</v>
      </c>
      <c r="CE32" s="79">
        <f t="shared" si="52"/>
        <v>0</v>
      </c>
      <c r="CF32" s="79"/>
      <c r="CG32" s="83">
        <f t="shared" si="28"/>
        <v>0</v>
      </c>
      <c r="CH32" s="79">
        <f t="shared" si="53"/>
        <v>0</v>
      </c>
      <c r="CI32" s="79"/>
      <c r="CJ32" s="83">
        <f t="shared" si="29"/>
        <v>0</v>
      </c>
      <c r="CK32" s="79">
        <f t="shared" si="54"/>
        <v>0</v>
      </c>
      <c r="CL32" s="79"/>
      <c r="CM32" s="83">
        <f t="shared" si="30"/>
        <v>0</v>
      </c>
      <c r="CN32" s="79">
        <f t="shared" si="55"/>
        <v>0</v>
      </c>
      <c r="CO32" s="79"/>
      <c r="CP32" s="83">
        <f t="shared" si="31"/>
        <v>0</v>
      </c>
    </row>
    <row r="33" spans="1:94" s="3" customFormat="1" ht="13.5" customHeight="1" x14ac:dyDescent="0.2">
      <c r="A33" s="91">
        <v>29</v>
      </c>
      <c r="B33" s="75">
        <f t="shared" si="32"/>
        <v>0</v>
      </c>
      <c r="C33" s="92"/>
      <c r="D33" s="76">
        <f t="shared" si="0"/>
        <v>0</v>
      </c>
      <c r="E33" s="77">
        <f>F32</f>
        <v>0</v>
      </c>
      <c r="F33" s="77"/>
      <c r="G33" s="77">
        <f>F33-E33</f>
        <v>0</v>
      </c>
      <c r="H33" s="79">
        <f t="shared" si="34"/>
        <v>0</v>
      </c>
      <c r="I33" s="79"/>
      <c r="J33" s="83">
        <f t="shared" si="1"/>
        <v>0</v>
      </c>
      <c r="K33" s="79">
        <f t="shared" si="57"/>
        <v>0</v>
      </c>
      <c r="L33" s="79"/>
      <c r="M33" s="83">
        <f t="shared" ref="M33:M35" si="66">L33-K33</f>
        <v>0</v>
      </c>
      <c r="N33" s="79">
        <f t="shared" si="62"/>
        <v>0</v>
      </c>
      <c r="O33" s="79"/>
      <c r="P33" s="83">
        <f t="shared" ref="P33:P35" si="67">O33-N33</f>
        <v>0</v>
      </c>
      <c r="Q33" s="79">
        <f t="shared" si="35"/>
        <v>0</v>
      </c>
      <c r="R33" s="83"/>
      <c r="S33" s="83">
        <f t="shared" ref="S33:S35" si="68">R33-Q33</f>
        <v>0</v>
      </c>
      <c r="T33" s="79">
        <f t="shared" si="63"/>
        <v>0</v>
      </c>
      <c r="U33" s="79"/>
      <c r="V33" s="83">
        <f t="shared" ref="V33:V35" si="69">U33-T33</f>
        <v>0</v>
      </c>
      <c r="W33" s="79">
        <f t="shared" si="64"/>
        <v>0</v>
      </c>
      <c r="X33" s="79"/>
      <c r="Y33" s="83">
        <f t="shared" ref="Y33:Y35" si="70">X33-W33</f>
        <v>0</v>
      </c>
      <c r="Z33" s="79">
        <f t="shared" si="65"/>
        <v>0</v>
      </c>
      <c r="AA33" s="79"/>
      <c r="AB33" s="83">
        <f t="shared" ref="AB33:AB35" si="71">AA33-Z33</f>
        <v>0</v>
      </c>
      <c r="AC33" s="79">
        <f t="shared" si="8"/>
        <v>0</v>
      </c>
      <c r="AD33" s="79"/>
      <c r="AE33" s="83">
        <f t="shared" si="9"/>
        <v>0</v>
      </c>
      <c r="AF33" s="79">
        <f t="shared" si="10"/>
        <v>0</v>
      </c>
      <c r="AG33" s="79"/>
      <c r="AH33" s="83">
        <f t="shared" si="11"/>
        <v>0</v>
      </c>
      <c r="AI33" s="79">
        <f t="shared" si="12"/>
        <v>0</v>
      </c>
      <c r="AJ33" s="79"/>
      <c r="AK33" s="83">
        <f t="shared" si="13"/>
        <v>0</v>
      </c>
      <c r="AL33" s="79">
        <f t="shared" si="36"/>
        <v>0</v>
      </c>
      <c r="AM33" s="79"/>
      <c r="AN33" s="83">
        <f t="shared" si="14"/>
        <v>0</v>
      </c>
      <c r="AO33" s="79">
        <f t="shared" si="37"/>
        <v>0</v>
      </c>
      <c r="AP33" s="79"/>
      <c r="AQ33" s="83">
        <f t="shared" si="15"/>
        <v>0</v>
      </c>
      <c r="AR33" s="79">
        <f t="shared" si="38"/>
        <v>0</v>
      </c>
      <c r="AS33" s="79"/>
      <c r="AT33" s="83">
        <f t="shared" si="16"/>
        <v>0</v>
      </c>
      <c r="AU33" s="79">
        <f t="shared" si="39"/>
        <v>0</v>
      </c>
      <c r="AV33" s="79"/>
      <c r="AW33" s="83">
        <f t="shared" si="17"/>
        <v>0</v>
      </c>
      <c r="AX33" s="79">
        <f t="shared" si="40"/>
        <v>0</v>
      </c>
      <c r="AY33" s="79"/>
      <c r="AZ33" s="83">
        <f t="shared" si="18"/>
        <v>0</v>
      </c>
      <c r="BA33" s="79">
        <f t="shared" si="41"/>
        <v>0</v>
      </c>
      <c r="BB33" s="79"/>
      <c r="BC33" s="83">
        <f t="shared" si="19"/>
        <v>0</v>
      </c>
      <c r="BD33" s="83">
        <f t="shared" si="42"/>
        <v>0</v>
      </c>
      <c r="BE33" s="83"/>
      <c r="BF33" s="83">
        <f t="shared" si="43"/>
        <v>0</v>
      </c>
      <c r="BG33" s="79">
        <f t="shared" si="44"/>
        <v>0</v>
      </c>
      <c r="BH33" s="79"/>
      <c r="BI33" s="169">
        <f t="shared" si="20"/>
        <v>0</v>
      </c>
      <c r="BJ33" s="79">
        <f t="shared" si="45"/>
        <v>0</v>
      </c>
      <c r="BK33" s="79"/>
      <c r="BL33" s="83">
        <f t="shared" si="21"/>
        <v>0</v>
      </c>
      <c r="BM33" s="79">
        <f t="shared" ref="BM33:BM35" si="72">BN32</f>
        <v>0</v>
      </c>
      <c r="BN33" s="79"/>
      <c r="BO33" s="83">
        <f t="shared" si="22"/>
        <v>0</v>
      </c>
      <c r="BP33" s="79">
        <f t="shared" si="47"/>
        <v>0</v>
      </c>
      <c r="BQ33" s="79"/>
      <c r="BR33" s="83">
        <f t="shared" si="23"/>
        <v>0</v>
      </c>
      <c r="BS33" s="79">
        <f t="shared" si="48"/>
        <v>0</v>
      </c>
      <c r="BT33" s="79"/>
      <c r="BU33" s="83">
        <f t="shared" si="24"/>
        <v>0</v>
      </c>
      <c r="BV33" s="79">
        <f t="shared" si="49"/>
        <v>0</v>
      </c>
      <c r="BW33" s="79"/>
      <c r="BX33" s="83">
        <f t="shared" si="25"/>
        <v>0</v>
      </c>
      <c r="BY33" s="79">
        <f t="shared" si="50"/>
        <v>0</v>
      </c>
      <c r="BZ33" s="79"/>
      <c r="CA33" s="83">
        <f t="shared" si="26"/>
        <v>0</v>
      </c>
      <c r="CB33" s="79">
        <f t="shared" si="51"/>
        <v>0</v>
      </c>
      <c r="CC33" s="79"/>
      <c r="CD33" s="83">
        <f t="shared" si="27"/>
        <v>0</v>
      </c>
      <c r="CE33" s="79">
        <f t="shared" si="52"/>
        <v>0</v>
      </c>
      <c r="CF33" s="79"/>
      <c r="CG33" s="83">
        <f t="shared" si="28"/>
        <v>0</v>
      </c>
      <c r="CH33" s="79">
        <f t="shared" si="53"/>
        <v>0</v>
      </c>
      <c r="CI33" s="79"/>
      <c r="CJ33" s="83">
        <f t="shared" si="29"/>
        <v>0</v>
      </c>
      <c r="CK33" s="79">
        <f t="shared" si="54"/>
        <v>0</v>
      </c>
      <c r="CL33" s="79"/>
      <c r="CM33" s="83">
        <f t="shared" si="30"/>
        <v>0</v>
      </c>
      <c r="CN33" s="79">
        <f t="shared" si="55"/>
        <v>0</v>
      </c>
      <c r="CO33" s="79"/>
      <c r="CP33" s="83">
        <f t="shared" si="31"/>
        <v>0</v>
      </c>
    </row>
    <row r="34" spans="1:94" s="3" customFormat="1" ht="13.5" customHeight="1" x14ac:dyDescent="0.2">
      <c r="A34" s="91">
        <v>30</v>
      </c>
      <c r="B34" s="75">
        <f t="shared" si="32"/>
        <v>0</v>
      </c>
      <c r="C34" s="75"/>
      <c r="D34" s="76">
        <f t="shared" si="0"/>
        <v>0</v>
      </c>
      <c r="E34" s="77">
        <f t="shared" ref="E34:E35" si="73">F33</f>
        <v>0</v>
      </c>
      <c r="F34" s="145"/>
      <c r="G34" s="77">
        <f t="shared" ref="G34:G35" si="74">F34-E34</f>
        <v>0</v>
      </c>
      <c r="H34" s="79">
        <f t="shared" si="34"/>
        <v>0</v>
      </c>
      <c r="I34" s="79"/>
      <c r="J34" s="83">
        <f t="shared" si="1"/>
        <v>0</v>
      </c>
      <c r="K34" s="79">
        <f t="shared" si="57"/>
        <v>0</v>
      </c>
      <c r="L34" s="79"/>
      <c r="M34" s="83">
        <f t="shared" si="66"/>
        <v>0</v>
      </c>
      <c r="N34" s="79">
        <f t="shared" si="62"/>
        <v>0</v>
      </c>
      <c r="O34" s="79"/>
      <c r="P34" s="83">
        <f t="shared" si="67"/>
        <v>0</v>
      </c>
      <c r="Q34" s="79">
        <f t="shared" si="35"/>
        <v>0</v>
      </c>
      <c r="R34" s="83"/>
      <c r="S34" s="83">
        <f t="shared" si="68"/>
        <v>0</v>
      </c>
      <c r="T34" s="79">
        <f t="shared" si="63"/>
        <v>0</v>
      </c>
      <c r="U34" s="79"/>
      <c r="V34" s="83">
        <f t="shared" si="69"/>
        <v>0</v>
      </c>
      <c r="W34" s="79">
        <f t="shared" si="64"/>
        <v>0</v>
      </c>
      <c r="X34" s="79"/>
      <c r="Y34" s="83">
        <f t="shared" si="70"/>
        <v>0</v>
      </c>
      <c r="Z34" s="79">
        <f t="shared" si="65"/>
        <v>0</v>
      </c>
      <c r="AA34" s="79"/>
      <c r="AB34" s="83">
        <f t="shared" si="71"/>
        <v>0</v>
      </c>
      <c r="AC34" s="79">
        <f t="shared" si="8"/>
        <v>0</v>
      </c>
      <c r="AD34" s="79"/>
      <c r="AE34" s="83">
        <f t="shared" si="9"/>
        <v>0</v>
      </c>
      <c r="AF34" s="79">
        <f t="shared" si="10"/>
        <v>0</v>
      </c>
      <c r="AG34" s="79"/>
      <c r="AH34" s="83">
        <f t="shared" si="11"/>
        <v>0</v>
      </c>
      <c r="AI34" s="79">
        <f t="shared" si="12"/>
        <v>0</v>
      </c>
      <c r="AJ34" s="79"/>
      <c r="AK34" s="83">
        <f t="shared" si="13"/>
        <v>0</v>
      </c>
      <c r="AL34" s="79">
        <f t="shared" si="36"/>
        <v>0</v>
      </c>
      <c r="AM34" s="79"/>
      <c r="AN34" s="83">
        <f t="shared" si="14"/>
        <v>0</v>
      </c>
      <c r="AO34" s="79">
        <f t="shared" si="37"/>
        <v>0</v>
      </c>
      <c r="AP34" s="79"/>
      <c r="AQ34" s="83">
        <f t="shared" si="15"/>
        <v>0</v>
      </c>
      <c r="AR34" s="79">
        <f t="shared" si="38"/>
        <v>0</v>
      </c>
      <c r="AS34" s="79"/>
      <c r="AT34" s="83">
        <f t="shared" si="16"/>
        <v>0</v>
      </c>
      <c r="AU34" s="79">
        <f t="shared" si="39"/>
        <v>0</v>
      </c>
      <c r="AV34" s="79"/>
      <c r="AW34" s="83">
        <f t="shared" si="17"/>
        <v>0</v>
      </c>
      <c r="AX34" s="79">
        <f t="shared" si="40"/>
        <v>0</v>
      </c>
      <c r="AY34" s="79"/>
      <c r="AZ34" s="83">
        <f t="shared" si="18"/>
        <v>0</v>
      </c>
      <c r="BA34" s="79">
        <f t="shared" si="41"/>
        <v>0</v>
      </c>
      <c r="BB34" s="79"/>
      <c r="BC34" s="83">
        <f t="shared" si="19"/>
        <v>0</v>
      </c>
      <c r="BD34" s="83">
        <f t="shared" si="42"/>
        <v>0</v>
      </c>
      <c r="BE34" s="83"/>
      <c r="BF34" s="83">
        <f t="shared" si="43"/>
        <v>0</v>
      </c>
      <c r="BG34" s="79">
        <f t="shared" si="44"/>
        <v>0</v>
      </c>
      <c r="BH34" s="79"/>
      <c r="BI34" s="169">
        <f t="shared" si="20"/>
        <v>0</v>
      </c>
      <c r="BJ34" s="79">
        <f t="shared" si="45"/>
        <v>0</v>
      </c>
      <c r="BK34" s="79"/>
      <c r="BL34" s="83">
        <f t="shared" si="21"/>
        <v>0</v>
      </c>
      <c r="BM34" s="79">
        <f t="shared" si="72"/>
        <v>0</v>
      </c>
      <c r="BN34" s="79"/>
      <c r="BO34" s="83">
        <f t="shared" si="22"/>
        <v>0</v>
      </c>
      <c r="BP34" s="79">
        <f t="shared" si="47"/>
        <v>0</v>
      </c>
      <c r="BQ34" s="79"/>
      <c r="BR34" s="83">
        <f t="shared" si="23"/>
        <v>0</v>
      </c>
      <c r="BS34" s="79">
        <f t="shared" si="48"/>
        <v>0</v>
      </c>
      <c r="BT34" s="79"/>
      <c r="BU34" s="83">
        <f t="shared" si="24"/>
        <v>0</v>
      </c>
      <c r="BV34" s="79">
        <f t="shared" si="49"/>
        <v>0</v>
      </c>
      <c r="BW34" s="79"/>
      <c r="BX34" s="83">
        <f t="shared" si="25"/>
        <v>0</v>
      </c>
      <c r="BY34" s="79">
        <f t="shared" si="50"/>
        <v>0</v>
      </c>
      <c r="BZ34" s="79"/>
      <c r="CA34" s="83">
        <f t="shared" si="26"/>
        <v>0</v>
      </c>
      <c r="CB34" s="79">
        <f t="shared" si="51"/>
        <v>0</v>
      </c>
      <c r="CC34" s="79"/>
      <c r="CD34" s="83">
        <f t="shared" si="27"/>
        <v>0</v>
      </c>
      <c r="CE34" s="79">
        <f t="shared" si="52"/>
        <v>0</v>
      </c>
      <c r="CF34" s="79"/>
      <c r="CG34" s="83">
        <f t="shared" si="28"/>
        <v>0</v>
      </c>
      <c r="CH34" s="79">
        <f t="shared" si="53"/>
        <v>0</v>
      </c>
      <c r="CI34" s="79"/>
      <c r="CJ34" s="83">
        <f t="shared" si="29"/>
        <v>0</v>
      </c>
      <c r="CK34" s="79">
        <f t="shared" si="54"/>
        <v>0</v>
      </c>
      <c r="CL34" s="79"/>
      <c r="CM34" s="83">
        <f t="shared" si="30"/>
        <v>0</v>
      </c>
      <c r="CN34" s="79">
        <f t="shared" si="55"/>
        <v>0</v>
      </c>
      <c r="CO34" s="79"/>
      <c r="CP34" s="83">
        <f t="shared" si="31"/>
        <v>0</v>
      </c>
    </row>
    <row r="35" spans="1:94" s="3" customFormat="1" ht="13.5" customHeight="1" x14ac:dyDescent="0.2">
      <c r="A35" s="91">
        <v>31</v>
      </c>
      <c r="B35" s="75">
        <f t="shared" si="32"/>
        <v>0</v>
      </c>
      <c r="C35" s="75"/>
      <c r="D35" s="76">
        <f t="shared" si="0"/>
        <v>0</v>
      </c>
      <c r="E35" s="77">
        <f t="shared" si="73"/>
        <v>0</v>
      </c>
      <c r="F35" s="145"/>
      <c r="G35" s="77">
        <f t="shared" si="74"/>
        <v>0</v>
      </c>
      <c r="H35" s="79">
        <f t="shared" si="34"/>
        <v>0</v>
      </c>
      <c r="I35" s="79"/>
      <c r="J35" s="83">
        <f t="shared" si="1"/>
        <v>0</v>
      </c>
      <c r="K35" s="79">
        <f t="shared" si="57"/>
        <v>0</v>
      </c>
      <c r="L35" s="79"/>
      <c r="M35" s="83">
        <f t="shared" si="66"/>
        <v>0</v>
      </c>
      <c r="N35" s="79">
        <f t="shared" si="62"/>
        <v>0</v>
      </c>
      <c r="O35" s="79"/>
      <c r="P35" s="83">
        <f t="shared" si="67"/>
        <v>0</v>
      </c>
      <c r="Q35" s="79">
        <f t="shared" si="35"/>
        <v>0</v>
      </c>
      <c r="R35" s="83"/>
      <c r="S35" s="83">
        <f t="shared" si="68"/>
        <v>0</v>
      </c>
      <c r="T35" s="79">
        <f t="shared" si="63"/>
        <v>0</v>
      </c>
      <c r="U35" s="79"/>
      <c r="V35" s="83">
        <f t="shared" si="69"/>
        <v>0</v>
      </c>
      <c r="W35" s="79">
        <f t="shared" si="64"/>
        <v>0</v>
      </c>
      <c r="X35" s="79"/>
      <c r="Y35" s="83">
        <f t="shared" si="70"/>
        <v>0</v>
      </c>
      <c r="Z35" s="79">
        <f t="shared" si="65"/>
        <v>0</v>
      </c>
      <c r="AA35" s="79"/>
      <c r="AB35" s="83">
        <f t="shared" si="71"/>
        <v>0</v>
      </c>
      <c r="AC35" s="79">
        <f t="shared" si="8"/>
        <v>0</v>
      </c>
      <c r="AD35" s="79"/>
      <c r="AE35" s="83">
        <f t="shared" si="9"/>
        <v>0</v>
      </c>
      <c r="AF35" s="79">
        <f t="shared" si="10"/>
        <v>0</v>
      </c>
      <c r="AG35" s="79"/>
      <c r="AH35" s="83">
        <f t="shared" si="11"/>
        <v>0</v>
      </c>
      <c r="AI35" s="79">
        <f t="shared" si="12"/>
        <v>0</v>
      </c>
      <c r="AJ35" s="79"/>
      <c r="AK35" s="83">
        <f t="shared" si="13"/>
        <v>0</v>
      </c>
      <c r="AL35" s="79">
        <f t="shared" si="36"/>
        <v>0</v>
      </c>
      <c r="AM35" s="79"/>
      <c r="AN35" s="83">
        <f t="shared" si="14"/>
        <v>0</v>
      </c>
      <c r="AO35" s="79">
        <f t="shared" si="37"/>
        <v>0</v>
      </c>
      <c r="AP35" s="79"/>
      <c r="AQ35" s="83">
        <f t="shared" si="15"/>
        <v>0</v>
      </c>
      <c r="AR35" s="79">
        <f t="shared" si="38"/>
        <v>0</v>
      </c>
      <c r="AS35" s="79"/>
      <c r="AT35" s="83">
        <f t="shared" si="16"/>
        <v>0</v>
      </c>
      <c r="AU35" s="79">
        <f t="shared" si="39"/>
        <v>0</v>
      </c>
      <c r="AV35" s="79"/>
      <c r="AW35" s="83">
        <f t="shared" si="17"/>
        <v>0</v>
      </c>
      <c r="AX35" s="79">
        <f t="shared" si="40"/>
        <v>0</v>
      </c>
      <c r="AY35" s="79"/>
      <c r="AZ35" s="83">
        <f t="shared" si="18"/>
        <v>0</v>
      </c>
      <c r="BA35" s="79">
        <f t="shared" si="41"/>
        <v>0</v>
      </c>
      <c r="BB35" s="79"/>
      <c r="BC35" s="83">
        <f t="shared" si="19"/>
        <v>0</v>
      </c>
      <c r="BD35" s="83">
        <f t="shared" si="42"/>
        <v>0</v>
      </c>
      <c r="BE35" s="83"/>
      <c r="BF35" s="83">
        <f t="shared" si="43"/>
        <v>0</v>
      </c>
      <c r="BG35" s="79">
        <f t="shared" si="44"/>
        <v>0</v>
      </c>
      <c r="BH35" s="79"/>
      <c r="BI35" s="169">
        <f t="shared" si="20"/>
        <v>0</v>
      </c>
      <c r="BJ35" s="79">
        <f t="shared" si="45"/>
        <v>0</v>
      </c>
      <c r="BK35" s="79"/>
      <c r="BL35" s="83">
        <f t="shared" si="21"/>
        <v>0</v>
      </c>
      <c r="BM35" s="79">
        <f t="shared" si="72"/>
        <v>0</v>
      </c>
      <c r="BN35" s="79"/>
      <c r="BO35" s="83">
        <f t="shared" si="22"/>
        <v>0</v>
      </c>
      <c r="BP35" s="79">
        <f t="shared" si="47"/>
        <v>0</v>
      </c>
      <c r="BQ35" s="79"/>
      <c r="BR35" s="83">
        <f t="shared" si="23"/>
        <v>0</v>
      </c>
      <c r="BS35" s="79">
        <f t="shared" si="48"/>
        <v>0</v>
      </c>
      <c r="BT35" s="79"/>
      <c r="BU35" s="83">
        <f t="shared" si="24"/>
        <v>0</v>
      </c>
      <c r="BV35" s="79">
        <f t="shared" si="49"/>
        <v>0</v>
      </c>
      <c r="BW35" s="79"/>
      <c r="BX35" s="83">
        <f t="shared" si="25"/>
        <v>0</v>
      </c>
      <c r="BY35" s="79">
        <f t="shared" si="50"/>
        <v>0</v>
      </c>
      <c r="BZ35" s="79"/>
      <c r="CA35" s="83">
        <f t="shared" si="26"/>
        <v>0</v>
      </c>
      <c r="CB35" s="79">
        <f t="shared" si="51"/>
        <v>0</v>
      </c>
      <c r="CC35" s="79"/>
      <c r="CD35" s="83">
        <f t="shared" si="27"/>
        <v>0</v>
      </c>
      <c r="CE35" s="79">
        <f t="shared" si="52"/>
        <v>0</v>
      </c>
      <c r="CF35" s="79"/>
      <c r="CG35" s="83">
        <f t="shared" si="28"/>
        <v>0</v>
      </c>
      <c r="CH35" s="79">
        <f t="shared" si="53"/>
        <v>0</v>
      </c>
      <c r="CI35" s="79"/>
      <c r="CJ35" s="83">
        <f t="shared" si="29"/>
        <v>0</v>
      </c>
      <c r="CK35" s="79">
        <f t="shared" si="54"/>
        <v>0</v>
      </c>
      <c r="CL35" s="79"/>
      <c r="CM35" s="83">
        <f t="shared" si="30"/>
        <v>0</v>
      </c>
      <c r="CN35" s="79">
        <f t="shared" si="55"/>
        <v>0</v>
      </c>
      <c r="CO35" s="79"/>
      <c r="CP35" s="83">
        <f t="shared" si="31"/>
        <v>0</v>
      </c>
    </row>
    <row r="36" spans="1:94" s="3" customFormat="1" ht="13.5" thickBot="1" x14ac:dyDescent="0.25">
      <c r="A36" s="3" t="s">
        <v>7</v>
      </c>
      <c r="B36" s="89"/>
      <c r="C36" s="89"/>
      <c r="D36" s="90">
        <f>SUM(D5:D35)</f>
        <v>-25299446</v>
      </c>
      <c r="E36" s="90"/>
      <c r="F36" s="90"/>
      <c r="G36" s="90">
        <f>SUM(G5:G35)</f>
        <v>-22256534</v>
      </c>
      <c r="H36" s="90"/>
      <c r="I36" s="90"/>
      <c r="J36" s="90">
        <f>SUM(J5:J35)</f>
        <v>-84529864</v>
      </c>
      <c r="K36" s="90"/>
      <c r="L36" s="90"/>
      <c r="M36" s="90">
        <f>SUM(M5:M35)</f>
        <v>-1842900</v>
      </c>
      <c r="N36" s="90"/>
      <c r="O36" s="90"/>
      <c r="P36" s="90">
        <f>SUM(P5:P35)</f>
        <v>-2491793</v>
      </c>
      <c r="Q36" s="90"/>
      <c r="R36" s="90"/>
      <c r="S36" s="90">
        <f>SUM(S5:S35)</f>
        <v>-1509500</v>
      </c>
      <c r="T36" s="90"/>
      <c r="U36" s="90"/>
      <c r="V36" s="90">
        <f>SUM(V5:V35)</f>
        <v>-695400</v>
      </c>
      <c r="W36" s="90"/>
      <c r="X36" s="90"/>
      <c r="Y36" s="90">
        <f>SUM(Y5:Y35)</f>
        <v>-7199500</v>
      </c>
      <c r="Z36" s="90"/>
      <c r="AA36" s="90"/>
      <c r="AB36" s="90">
        <f>SUM(AB5:AB35)</f>
        <v>-1614900</v>
      </c>
      <c r="AC36" s="90"/>
      <c r="AD36" s="90"/>
      <c r="AE36" s="90">
        <f>SUM(AE5:AE35)</f>
        <v>-467628</v>
      </c>
      <c r="AF36" s="90"/>
      <c r="AG36" s="90"/>
      <c r="AH36" s="90">
        <f>SUM(AH5:AH35)</f>
        <v>-334120</v>
      </c>
      <c r="AI36" s="90"/>
      <c r="AJ36" s="90"/>
      <c r="AK36" s="90">
        <f>SUM(AK5:AK35)</f>
        <v>-572210</v>
      </c>
      <c r="AL36" s="90"/>
      <c r="AM36" s="90"/>
      <c r="AN36" s="90">
        <f>SUM(AN5:AN35)</f>
        <v>-1047400</v>
      </c>
      <c r="AO36" s="90"/>
      <c r="AP36" s="90"/>
      <c r="AQ36" s="90">
        <f>SUM(AQ5:AQ35)</f>
        <v>-666850</v>
      </c>
      <c r="AR36" s="90"/>
      <c r="AS36" s="90"/>
      <c r="AT36" s="90">
        <f>SUM(AT5:AT35)</f>
        <v>-540890</v>
      </c>
      <c r="AU36" s="90"/>
      <c r="AV36" s="90"/>
      <c r="AW36" s="90">
        <f>SUM(AW5:AW35)</f>
        <v>-491370</v>
      </c>
      <c r="AX36" s="90"/>
      <c r="AY36" s="90"/>
      <c r="AZ36" s="90">
        <f>SUM(AZ5:AZ35)</f>
        <v>-382690</v>
      </c>
      <c r="BA36" s="90"/>
      <c r="BB36" s="90"/>
      <c r="BC36" s="90">
        <f>SUM(BC5:BC35)</f>
        <v>-1059100</v>
      </c>
      <c r="BD36" s="90"/>
      <c r="BE36" s="90"/>
      <c r="BF36" s="90">
        <f>SUM(BF5:BF35)</f>
        <v>-22670</v>
      </c>
      <c r="BG36" s="90"/>
      <c r="BH36" s="90"/>
      <c r="BI36" s="170">
        <f>SUM(BI5:BI35)</f>
        <v>-18223</v>
      </c>
      <c r="BJ36" s="90"/>
      <c r="BK36" s="90"/>
      <c r="BL36" s="118">
        <f>SUM(BL5:BL35)</f>
        <v>-16778</v>
      </c>
      <c r="BM36" s="90"/>
      <c r="BN36" s="90"/>
      <c r="BO36" s="118">
        <f>SUM(BO5:BO35)</f>
        <v>-26640</v>
      </c>
      <c r="BP36" s="90"/>
      <c r="BQ36" s="90"/>
      <c r="BR36" s="118">
        <f>SUM(BR5:BR35)</f>
        <v>-19074</v>
      </c>
      <c r="BS36" s="90"/>
      <c r="BT36" s="90"/>
      <c r="BU36" s="118">
        <f>SUM(BU5:BU35)</f>
        <v>-19564</v>
      </c>
      <c r="BV36" s="90"/>
      <c r="BW36" s="90"/>
      <c r="BX36" s="118">
        <f>SUM(BX5:BX35)</f>
        <v>-13606</v>
      </c>
      <c r="BY36" s="90"/>
      <c r="BZ36" s="90"/>
      <c r="CA36" s="118">
        <f>SUM(CA5:CA35)</f>
        <v>-35302</v>
      </c>
      <c r="CB36" s="90"/>
      <c r="CC36" s="90"/>
      <c r="CD36" s="118">
        <f>SUM(CD5:CD35)</f>
        <v>-27666</v>
      </c>
      <c r="CE36" s="90"/>
      <c r="CF36" s="90"/>
      <c r="CG36" s="118">
        <f>SUM(CG5:CG35)</f>
        <v>-81511</v>
      </c>
      <c r="CH36" s="90"/>
      <c r="CI36" s="90"/>
      <c r="CJ36" s="118">
        <f>SUM(CJ5:CJ35)</f>
        <v>-55072</v>
      </c>
      <c r="CK36" s="90"/>
      <c r="CL36" s="90"/>
      <c r="CM36" s="118">
        <f>SUM(CM5:CM35)</f>
        <v>-13610</v>
      </c>
      <c r="CN36" s="90"/>
      <c r="CO36" s="90"/>
      <c r="CP36" s="118">
        <f>SUM(CP5:CP35)</f>
        <v>-48296</v>
      </c>
    </row>
    <row r="37" spans="1:94" ht="13.5" thickTop="1" x14ac:dyDescent="0.2"/>
  </sheetData>
  <mergeCells count="33">
    <mergeCell ref="C1:F1"/>
    <mergeCell ref="A1:B1"/>
    <mergeCell ref="B3:D3"/>
    <mergeCell ref="E3:G3"/>
    <mergeCell ref="AF3:AH3"/>
    <mergeCell ref="AI3:AK3"/>
    <mergeCell ref="AL3:AN3"/>
    <mergeCell ref="AO3:AQ3"/>
    <mergeCell ref="H3:J3"/>
    <mergeCell ref="AC3:AE3"/>
    <mergeCell ref="K3:M3"/>
    <mergeCell ref="N3:P3"/>
    <mergeCell ref="Q3:S3"/>
    <mergeCell ref="T3:V3"/>
    <mergeCell ref="W3:Y3"/>
    <mergeCell ref="Z3:AB3"/>
    <mergeCell ref="BS3:BU3"/>
    <mergeCell ref="AR3:AT3"/>
    <mergeCell ref="BG3:BI3"/>
    <mergeCell ref="BJ3:BL3"/>
    <mergeCell ref="BM3:BO3"/>
    <mergeCell ref="BP3:BR3"/>
    <mergeCell ref="BD3:BF3"/>
    <mergeCell ref="AU3:AW3"/>
    <mergeCell ref="AX3:AZ3"/>
    <mergeCell ref="BA3:BC3"/>
    <mergeCell ref="CK3:CM3"/>
    <mergeCell ref="CN3:CP3"/>
    <mergeCell ref="BV3:BX3"/>
    <mergeCell ref="BY3:CA3"/>
    <mergeCell ref="CB3:CD3"/>
    <mergeCell ref="CE3:CG3"/>
    <mergeCell ref="CH3:CJ3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38"/>
  <sheetViews>
    <sheetView zoomScale="80" zoomScaleNormal="80" workbookViewId="0">
      <pane ySplit="5" topLeftCell="A9" activePane="bottomLeft" state="frozen"/>
      <selection activeCell="C1" sqref="C1"/>
      <selection pane="bottomLeft" activeCell="W22" sqref="W22"/>
    </sheetView>
  </sheetViews>
  <sheetFormatPr defaultRowHeight="12.75" x14ac:dyDescent="0.2"/>
  <cols>
    <col min="1" max="1" width="4.7109375" style="209" customWidth="1"/>
    <col min="2" max="2" width="13.5703125" style="209" customWidth="1"/>
    <col min="3" max="3" width="8.85546875" style="209" customWidth="1"/>
    <col min="4" max="4" width="10.5703125" style="209" customWidth="1"/>
    <col min="5" max="5" width="2" style="214" customWidth="1"/>
    <col min="6" max="6" width="5.140625" style="209" customWidth="1"/>
    <col min="7" max="7" width="13.5703125" style="209" customWidth="1"/>
    <col min="8" max="8" width="10" style="209" customWidth="1"/>
    <col min="9" max="9" width="14" style="209" customWidth="1"/>
    <col min="10" max="10" width="2.85546875" style="214" customWidth="1"/>
    <col min="11" max="11" width="5.42578125" style="209" customWidth="1"/>
    <col min="12" max="13" width="13.5703125" style="209" customWidth="1"/>
    <col min="14" max="14" width="12.140625" style="209" customWidth="1"/>
    <col min="15" max="15" width="2.85546875" style="214" customWidth="1"/>
    <col min="16" max="16" width="5.85546875" style="209" customWidth="1"/>
    <col min="17" max="17" width="13.5703125" style="209" customWidth="1"/>
    <col min="18" max="18" width="8.85546875" style="209" customWidth="1"/>
    <col min="19" max="19" width="11.140625" style="209" customWidth="1"/>
    <col min="20" max="20" width="2.42578125" style="214" customWidth="1"/>
    <col min="21" max="21" width="6.42578125" style="180" customWidth="1"/>
    <col min="22" max="22" width="10.85546875" style="212" customWidth="1"/>
    <col min="23" max="23" width="7.42578125" style="213" customWidth="1"/>
    <col min="24" max="24" width="11.85546875" style="180" customWidth="1"/>
    <col min="25" max="16384" width="9.140625" style="180"/>
  </cols>
  <sheetData>
    <row r="1" spans="1:24" ht="12.75" customHeight="1" x14ac:dyDescent="0.2">
      <c r="A1" s="304" t="s">
        <v>125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  <c r="V1" s="304"/>
      <c r="W1" s="304"/>
      <c r="X1" s="304"/>
    </row>
    <row r="2" spans="1:24" s="181" customFormat="1" ht="24" customHeight="1" x14ac:dyDescent="0.2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</row>
    <row r="3" spans="1:24" ht="24.75" customHeight="1" x14ac:dyDescent="0.2">
      <c r="A3" s="305" t="s">
        <v>3</v>
      </c>
      <c r="B3" s="305"/>
      <c r="C3" s="182">
        <v>44256</v>
      </c>
      <c r="D3" s="183"/>
      <c r="E3" s="184"/>
      <c r="F3" s="184"/>
      <c r="G3" s="184"/>
      <c r="H3" s="184"/>
      <c r="I3" s="183"/>
      <c r="J3" s="184"/>
      <c r="K3" s="184"/>
      <c r="L3" s="184"/>
      <c r="M3" s="184"/>
      <c r="N3" s="183"/>
      <c r="O3" s="184"/>
      <c r="P3" s="184"/>
      <c r="Q3" s="184"/>
      <c r="R3" s="184"/>
      <c r="S3" s="183"/>
      <c r="T3" s="184"/>
      <c r="U3" s="184"/>
      <c r="V3" s="184"/>
      <c r="W3" s="184"/>
      <c r="X3" s="184"/>
    </row>
    <row r="4" spans="1:24" ht="15" customHeight="1" x14ac:dyDescent="0.2">
      <c r="A4" s="306" t="s">
        <v>126</v>
      </c>
      <c r="B4" s="307"/>
      <c r="C4" s="307"/>
      <c r="D4" s="308"/>
      <c r="E4" s="185"/>
      <c r="F4" s="306" t="s">
        <v>127</v>
      </c>
      <c r="G4" s="307"/>
      <c r="H4" s="307"/>
      <c r="I4" s="308"/>
      <c r="J4" s="185"/>
      <c r="K4" s="306" t="s">
        <v>128</v>
      </c>
      <c r="L4" s="307"/>
      <c r="M4" s="307"/>
      <c r="N4" s="308"/>
      <c r="O4" s="185"/>
      <c r="P4" s="306" t="s">
        <v>129</v>
      </c>
      <c r="Q4" s="307"/>
      <c r="R4" s="307"/>
      <c r="S4" s="308"/>
      <c r="T4" s="185"/>
      <c r="U4" s="309" t="s">
        <v>130</v>
      </c>
      <c r="V4" s="310"/>
      <c r="W4" s="310"/>
      <c r="X4" s="311"/>
    </row>
    <row r="5" spans="1:24" ht="36" customHeight="1" x14ac:dyDescent="0.2">
      <c r="A5" s="186" t="s">
        <v>5</v>
      </c>
      <c r="B5" s="186" t="s">
        <v>19</v>
      </c>
      <c r="C5" s="186" t="s">
        <v>20</v>
      </c>
      <c r="D5" s="187" t="s">
        <v>131</v>
      </c>
      <c r="E5" s="187"/>
      <c r="F5" s="186" t="s">
        <v>5</v>
      </c>
      <c r="G5" s="186" t="s">
        <v>19</v>
      </c>
      <c r="H5" s="186" t="s">
        <v>20</v>
      </c>
      <c r="I5" s="187" t="s">
        <v>131</v>
      </c>
      <c r="J5" s="187"/>
      <c r="K5" s="186" t="s">
        <v>5</v>
      </c>
      <c r="L5" s="186" t="s">
        <v>19</v>
      </c>
      <c r="M5" s="186" t="s">
        <v>20</v>
      </c>
      <c r="N5" s="187" t="s">
        <v>131</v>
      </c>
      <c r="O5" s="187"/>
      <c r="P5" s="186" t="s">
        <v>5</v>
      </c>
      <c r="Q5" s="186" t="s">
        <v>19</v>
      </c>
      <c r="R5" s="186" t="s">
        <v>20</v>
      </c>
      <c r="S5" s="187" t="s">
        <v>131</v>
      </c>
      <c r="T5" s="187"/>
      <c r="U5" s="188" t="s">
        <v>42</v>
      </c>
      <c r="V5" s="189" t="s">
        <v>13</v>
      </c>
      <c r="W5" s="190" t="s">
        <v>132</v>
      </c>
      <c r="X5" s="188" t="s">
        <v>77</v>
      </c>
    </row>
    <row r="6" spans="1:24" ht="15" customHeight="1" x14ac:dyDescent="0.2">
      <c r="A6" s="203">
        <v>1</v>
      </c>
      <c r="B6" s="191">
        <f>[1]WATER!$C$33</f>
        <v>1521.8</v>
      </c>
      <c r="C6" s="191">
        <v>34</v>
      </c>
      <c r="D6" s="192">
        <v>105</v>
      </c>
      <c r="E6" s="261"/>
      <c r="F6" s="203">
        <v>1</v>
      </c>
      <c r="G6" s="194">
        <f>[1]WATER!$H$33</f>
        <v>3085</v>
      </c>
      <c r="H6" s="191">
        <v>3085</v>
      </c>
      <c r="I6" s="192">
        <f>H6-G6</f>
        <v>0</v>
      </c>
      <c r="J6" s="261"/>
      <c r="K6" s="203">
        <v>1</v>
      </c>
      <c r="L6" s="191">
        <f>[1]WATER!$M$33</f>
        <v>721913</v>
      </c>
      <c r="M6" s="191">
        <v>722139</v>
      </c>
      <c r="N6" s="192">
        <f>M6-L6</f>
        <v>226</v>
      </c>
      <c r="O6" s="195"/>
      <c r="P6" s="203">
        <v>1</v>
      </c>
      <c r="Q6" s="191">
        <f>[1]WATER!$R$33</f>
        <v>196992</v>
      </c>
      <c r="R6" s="191">
        <v>197079</v>
      </c>
      <c r="S6" s="192">
        <f>R6-Q6</f>
        <v>87</v>
      </c>
      <c r="T6" s="193"/>
      <c r="U6" s="196">
        <v>1</v>
      </c>
      <c r="V6" s="197">
        <f>SUM(S6+N6+I6+D6)</f>
        <v>418</v>
      </c>
      <c r="W6" s="198">
        <f>'Maldives at LG Daily'!I5</f>
        <v>78.599999999999994</v>
      </c>
      <c r="X6" s="199"/>
    </row>
    <row r="7" spans="1:24" ht="15" customHeight="1" x14ac:dyDescent="0.2">
      <c r="A7" s="203">
        <v>2</v>
      </c>
      <c r="B7" s="200">
        <f t="shared" ref="B7:B34" si="0">C6</f>
        <v>34</v>
      </c>
      <c r="C7" s="201">
        <v>116</v>
      </c>
      <c r="D7" s="192">
        <f>C7-B7</f>
        <v>82</v>
      </c>
      <c r="E7" s="261"/>
      <c r="F7" s="203">
        <v>2</v>
      </c>
      <c r="G7" s="200">
        <f t="shared" ref="G7:G34" si="1">H6</f>
        <v>3085</v>
      </c>
      <c r="H7" s="191">
        <v>3085</v>
      </c>
      <c r="I7" s="202">
        <f t="shared" ref="I7:I10" si="2">H7-G7</f>
        <v>0</v>
      </c>
      <c r="J7" s="261"/>
      <c r="K7" s="203">
        <v>2</v>
      </c>
      <c r="L7" s="200">
        <f t="shared" ref="L7:L34" si="3">M6</f>
        <v>722139</v>
      </c>
      <c r="M7" s="201">
        <v>722351</v>
      </c>
      <c r="N7" s="202">
        <f t="shared" ref="N7:N10" si="4">M7-L7</f>
        <v>212</v>
      </c>
      <c r="O7" s="195"/>
      <c r="P7" s="203">
        <v>2</v>
      </c>
      <c r="Q7" s="200">
        <f t="shared" ref="Q7:Q34" si="5">R6</f>
        <v>197079</v>
      </c>
      <c r="R7" s="201">
        <v>197171</v>
      </c>
      <c r="S7" s="202">
        <f t="shared" ref="S7:S10" si="6">R7-Q7</f>
        <v>92</v>
      </c>
      <c r="T7" s="193"/>
      <c r="U7" s="203">
        <v>2</v>
      </c>
      <c r="V7" s="94">
        <f t="shared" ref="V7:V36" si="7">SUM(S7+N7+I7+D7)</f>
        <v>386</v>
      </c>
      <c r="W7" s="198">
        <f>'Maldives at LG Daily'!I6</f>
        <v>78.599999999999994</v>
      </c>
      <c r="X7" s="204"/>
    </row>
    <row r="8" spans="1:24" ht="15" customHeight="1" x14ac:dyDescent="0.2">
      <c r="A8" s="203">
        <v>3</v>
      </c>
      <c r="B8" s="196">
        <f t="shared" si="0"/>
        <v>116</v>
      </c>
      <c r="C8" s="201">
        <v>236</v>
      </c>
      <c r="D8" s="202">
        <f t="shared" ref="D8:D33" si="8">C8-B8</f>
        <v>120</v>
      </c>
      <c r="E8" s="261"/>
      <c r="F8" s="203">
        <v>3</v>
      </c>
      <c r="G8" s="196">
        <f t="shared" si="1"/>
        <v>3085</v>
      </c>
      <c r="H8" s="191">
        <v>3085</v>
      </c>
      <c r="I8" s="202">
        <f t="shared" si="2"/>
        <v>0</v>
      </c>
      <c r="J8" s="261"/>
      <c r="K8" s="203">
        <v>3</v>
      </c>
      <c r="L8" s="196">
        <f t="shared" si="3"/>
        <v>722351</v>
      </c>
      <c r="M8" s="201">
        <v>722583</v>
      </c>
      <c r="N8" s="202">
        <f t="shared" si="4"/>
        <v>232</v>
      </c>
      <c r="O8" s="195"/>
      <c r="P8" s="203">
        <v>3</v>
      </c>
      <c r="Q8" s="196">
        <f t="shared" si="5"/>
        <v>197171</v>
      </c>
      <c r="R8" s="201">
        <v>197271</v>
      </c>
      <c r="S8" s="202">
        <f t="shared" si="6"/>
        <v>100</v>
      </c>
      <c r="T8" s="193"/>
      <c r="U8" s="196">
        <v>3</v>
      </c>
      <c r="V8" s="94">
        <f t="shared" si="7"/>
        <v>452</v>
      </c>
      <c r="W8" s="198">
        <f>'Maldives at LG Daily'!I7</f>
        <v>71.8</v>
      </c>
      <c r="X8" s="204"/>
    </row>
    <row r="9" spans="1:24" ht="15" customHeight="1" x14ac:dyDescent="0.2">
      <c r="A9" s="203">
        <v>4</v>
      </c>
      <c r="B9" s="196">
        <f t="shared" si="0"/>
        <v>236</v>
      </c>
      <c r="C9" s="201">
        <v>357</v>
      </c>
      <c r="D9" s="202">
        <f t="shared" si="8"/>
        <v>121</v>
      </c>
      <c r="E9" s="261"/>
      <c r="F9" s="203">
        <v>4</v>
      </c>
      <c r="G9" s="196">
        <f t="shared" si="1"/>
        <v>3085</v>
      </c>
      <c r="H9" s="191">
        <v>3085</v>
      </c>
      <c r="I9" s="202">
        <f t="shared" si="2"/>
        <v>0</v>
      </c>
      <c r="J9" s="261"/>
      <c r="K9" s="203">
        <v>4</v>
      </c>
      <c r="L9" s="196">
        <f t="shared" si="3"/>
        <v>722583</v>
      </c>
      <c r="M9" s="201">
        <v>722808</v>
      </c>
      <c r="N9" s="202">
        <f t="shared" si="4"/>
        <v>225</v>
      </c>
      <c r="O9" s="195"/>
      <c r="P9" s="203">
        <v>4</v>
      </c>
      <c r="Q9" s="196">
        <f t="shared" si="5"/>
        <v>197271</v>
      </c>
      <c r="R9" s="201">
        <v>197360</v>
      </c>
      <c r="S9" s="202">
        <f t="shared" si="6"/>
        <v>89</v>
      </c>
      <c r="T9" s="193"/>
      <c r="U9" s="196">
        <v>4</v>
      </c>
      <c r="V9" s="94">
        <f t="shared" si="7"/>
        <v>435</v>
      </c>
      <c r="W9" s="198">
        <f>'Maldives at LG Daily'!I8</f>
        <v>69.900000000000006</v>
      </c>
      <c r="X9" s="204"/>
    </row>
    <row r="10" spans="1:24" ht="15" customHeight="1" x14ac:dyDescent="0.2">
      <c r="A10" s="203">
        <v>5</v>
      </c>
      <c r="B10" s="196">
        <f t="shared" si="0"/>
        <v>357</v>
      </c>
      <c r="C10" s="201">
        <v>479</v>
      </c>
      <c r="D10" s="202">
        <f t="shared" si="8"/>
        <v>122</v>
      </c>
      <c r="E10" s="261"/>
      <c r="F10" s="203">
        <v>5</v>
      </c>
      <c r="G10" s="196">
        <f t="shared" si="1"/>
        <v>3085</v>
      </c>
      <c r="H10" s="191">
        <v>3085</v>
      </c>
      <c r="I10" s="202">
        <f t="shared" si="2"/>
        <v>0</v>
      </c>
      <c r="J10" s="261"/>
      <c r="K10" s="203">
        <v>5</v>
      </c>
      <c r="L10" s="196">
        <f t="shared" si="3"/>
        <v>722808</v>
      </c>
      <c r="M10" s="201">
        <v>723049</v>
      </c>
      <c r="N10" s="202">
        <f t="shared" si="4"/>
        <v>241</v>
      </c>
      <c r="O10" s="195"/>
      <c r="P10" s="203">
        <v>5</v>
      </c>
      <c r="Q10" s="196">
        <f t="shared" si="5"/>
        <v>197360</v>
      </c>
      <c r="R10" s="201">
        <v>197441</v>
      </c>
      <c r="S10" s="202">
        <f t="shared" si="6"/>
        <v>81</v>
      </c>
      <c r="T10" s="193"/>
      <c r="U10" s="203">
        <v>5</v>
      </c>
      <c r="V10" s="94">
        <f t="shared" si="7"/>
        <v>444</v>
      </c>
      <c r="W10" s="198">
        <f>'Maldives at LG Daily'!I9</f>
        <v>61.2</v>
      </c>
      <c r="X10" s="204"/>
    </row>
    <row r="11" spans="1:24" ht="15" customHeight="1" x14ac:dyDescent="0.2">
      <c r="A11" s="203">
        <v>6</v>
      </c>
      <c r="B11" s="196">
        <f t="shared" si="0"/>
        <v>479</v>
      </c>
      <c r="C11" s="201">
        <v>576</v>
      </c>
      <c r="D11" s="202">
        <f>C11-B11</f>
        <v>97</v>
      </c>
      <c r="E11" s="261"/>
      <c r="F11" s="203">
        <v>6</v>
      </c>
      <c r="G11" s="196">
        <f t="shared" si="1"/>
        <v>3085</v>
      </c>
      <c r="H11" s="191">
        <v>3085</v>
      </c>
      <c r="I11" s="202">
        <f>H11-G11</f>
        <v>0</v>
      </c>
      <c r="J11" s="261"/>
      <c r="K11" s="203">
        <v>6</v>
      </c>
      <c r="L11" s="196">
        <f t="shared" si="3"/>
        <v>723049</v>
      </c>
      <c r="M11" s="201">
        <v>723316</v>
      </c>
      <c r="N11" s="202">
        <f>M11-L11</f>
        <v>267</v>
      </c>
      <c r="O11" s="195"/>
      <c r="P11" s="203">
        <v>6</v>
      </c>
      <c r="Q11" s="196">
        <f t="shared" si="5"/>
        <v>197441</v>
      </c>
      <c r="R11" s="201">
        <v>197554</v>
      </c>
      <c r="S11" s="202">
        <f>R11-Q11</f>
        <v>113</v>
      </c>
      <c r="T11" s="193"/>
      <c r="U11" s="196">
        <v>6</v>
      </c>
      <c r="V11" s="94">
        <f t="shared" si="7"/>
        <v>477</v>
      </c>
      <c r="W11" s="198">
        <f>'Maldives at LG Daily'!I10</f>
        <v>60.2</v>
      </c>
      <c r="X11" s="204"/>
    </row>
    <row r="12" spans="1:24" ht="15" customHeight="1" x14ac:dyDescent="0.2">
      <c r="A12" s="203">
        <v>7</v>
      </c>
      <c r="B12" s="196">
        <f t="shared" si="0"/>
        <v>576</v>
      </c>
      <c r="C12" s="201">
        <v>693</v>
      </c>
      <c r="D12" s="202">
        <f t="shared" si="8"/>
        <v>117</v>
      </c>
      <c r="E12" s="261"/>
      <c r="F12" s="203">
        <v>7</v>
      </c>
      <c r="G12" s="196">
        <f t="shared" si="1"/>
        <v>3085</v>
      </c>
      <c r="H12" s="191">
        <v>3085</v>
      </c>
      <c r="I12" s="202">
        <f t="shared" ref="I12:I24" si="9">H12-G12</f>
        <v>0</v>
      </c>
      <c r="J12" s="261"/>
      <c r="K12" s="203">
        <v>7</v>
      </c>
      <c r="L12" s="196">
        <f t="shared" si="3"/>
        <v>723316</v>
      </c>
      <c r="M12" s="201">
        <v>723530</v>
      </c>
      <c r="N12" s="202">
        <f t="shared" ref="N12:N24" si="10">M12-L12</f>
        <v>214</v>
      </c>
      <c r="O12" s="195"/>
      <c r="P12" s="203">
        <v>7</v>
      </c>
      <c r="Q12" s="196">
        <f t="shared" si="5"/>
        <v>197554</v>
      </c>
      <c r="R12" s="201">
        <v>197634</v>
      </c>
      <c r="S12" s="202">
        <f t="shared" ref="S12:S24" si="11">R12-Q12</f>
        <v>80</v>
      </c>
      <c r="T12" s="193"/>
      <c r="U12" s="196">
        <v>7</v>
      </c>
      <c r="V12" s="94">
        <f t="shared" si="7"/>
        <v>411</v>
      </c>
      <c r="W12" s="198">
        <f>'Maldives at LG Daily'!I11</f>
        <v>55.3</v>
      </c>
      <c r="X12" s="204"/>
    </row>
    <row r="13" spans="1:24" ht="15" customHeight="1" x14ac:dyDescent="0.2">
      <c r="A13" s="203">
        <v>8</v>
      </c>
      <c r="B13" s="196">
        <f t="shared" si="0"/>
        <v>693</v>
      </c>
      <c r="C13" s="201">
        <v>778</v>
      </c>
      <c r="D13" s="202">
        <f t="shared" si="8"/>
        <v>85</v>
      </c>
      <c r="E13" s="261"/>
      <c r="F13" s="203">
        <v>8</v>
      </c>
      <c r="G13" s="196">
        <f t="shared" si="1"/>
        <v>3085</v>
      </c>
      <c r="H13" s="191">
        <v>3085</v>
      </c>
      <c r="I13" s="202">
        <f t="shared" si="9"/>
        <v>0</v>
      </c>
      <c r="J13" s="261"/>
      <c r="K13" s="203">
        <v>8</v>
      </c>
      <c r="L13" s="196">
        <f t="shared" si="3"/>
        <v>723530</v>
      </c>
      <c r="M13" s="201">
        <v>723768</v>
      </c>
      <c r="N13" s="202">
        <f t="shared" si="10"/>
        <v>238</v>
      </c>
      <c r="O13" s="195"/>
      <c r="P13" s="203">
        <v>8</v>
      </c>
      <c r="Q13" s="196">
        <f t="shared" si="5"/>
        <v>197634</v>
      </c>
      <c r="R13" s="201">
        <v>197734</v>
      </c>
      <c r="S13" s="202">
        <f t="shared" si="11"/>
        <v>100</v>
      </c>
      <c r="T13" s="193"/>
      <c r="U13" s="203">
        <v>8</v>
      </c>
      <c r="V13" s="94">
        <f t="shared" si="7"/>
        <v>423</v>
      </c>
      <c r="W13" s="198">
        <f>'Maldives at LG Daily'!I12</f>
        <v>53.4</v>
      </c>
      <c r="X13" s="204"/>
    </row>
    <row r="14" spans="1:24" ht="15" customHeight="1" x14ac:dyDescent="0.2">
      <c r="A14" s="203">
        <v>9</v>
      </c>
      <c r="B14" s="196">
        <f t="shared" si="0"/>
        <v>778</v>
      </c>
      <c r="C14" s="201">
        <v>900</v>
      </c>
      <c r="D14" s="202">
        <f t="shared" si="8"/>
        <v>122</v>
      </c>
      <c r="E14" s="261"/>
      <c r="F14" s="203">
        <v>9</v>
      </c>
      <c r="G14" s="196">
        <f t="shared" si="1"/>
        <v>3085</v>
      </c>
      <c r="H14" s="191">
        <v>3085</v>
      </c>
      <c r="I14" s="202">
        <f t="shared" si="9"/>
        <v>0</v>
      </c>
      <c r="J14" s="261"/>
      <c r="K14" s="203">
        <v>9</v>
      </c>
      <c r="L14" s="196">
        <f t="shared" si="3"/>
        <v>723768</v>
      </c>
      <c r="M14" s="201">
        <v>724016</v>
      </c>
      <c r="N14" s="202">
        <f t="shared" si="10"/>
        <v>248</v>
      </c>
      <c r="O14" s="195"/>
      <c r="P14" s="203">
        <v>9</v>
      </c>
      <c r="Q14" s="196">
        <f t="shared" si="5"/>
        <v>197734</v>
      </c>
      <c r="R14" s="201">
        <v>197774</v>
      </c>
      <c r="S14" s="202">
        <f t="shared" si="11"/>
        <v>40</v>
      </c>
      <c r="T14" s="193"/>
      <c r="U14" s="196">
        <v>9</v>
      </c>
      <c r="V14" s="94">
        <f t="shared" si="7"/>
        <v>410</v>
      </c>
      <c r="W14" s="198">
        <f>'Maldives at LG Daily'!I13</f>
        <v>45.6</v>
      </c>
      <c r="X14" s="204"/>
    </row>
    <row r="15" spans="1:24" ht="15" customHeight="1" x14ac:dyDescent="0.2">
      <c r="A15" s="203">
        <v>10</v>
      </c>
      <c r="B15" s="196">
        <f t="shared" si="0"/>
        <v>900</v>
      </c>
      <c r="C15" s="201">
        <v>1022</v>
      </c>
      <c r="D15" s="202">
        <f t="shared" si="8"/>
        <v>122</v>
      </c>
      <c r="E15" s="261"/>
      <c r="F15" s="203">
        <v>10</v>
      </c>
      <c r="G15" s="196">
        <f t="shared" si="1"/>
        <v>3085</v>
      </c>
      <c r="H15" s="191">
        <v>3085</v>
      </c>
      <c r="I15" s="202">
        <f t="shared" si="9"/>
        <v>0</v>
      </c>
      <c r="J15" s="261"/>
      <c r="K15" s="203">
        <v>10</v>
      </c>
      <c r="L15" s="196">
        <f t="shared" si="3"/>
        <v>724016</v>
      </c>
      <c r="M15" s="201">
        <v>724251</v>
      </c>
      <c r="N15" s="202">
        <f t="shared" si="10"/>
        <v>235</v>
      </c>
      <c r="O15" s="195"/>
      <c r="P15" s="203">
        <v>10</v>
      </c>
      <c r="Q15" s="196">
        <f t="shared" si="5"/>
        <v>197774</v>
      </c>
      <c r="R15" s="201">
        <v>197832</v>
      </c>
      <c r="S15" s="202">
        <f t="shared" si="11"/>
        <v>58</v>
      </c>
      <c r="T15" s="193"/>
      <c r="U15" s="196">
        <v>10</v>
      </c>
      <c r="V15" s="94">
        <f t="shared" si="7"/>
        <v>415</v>
      </c>
      <c r="W15" s="198">
        <f>'Maldives at LG Daily'!I14</f>
        <v>41.7</v>
      </c>
      <c r="X15" s="204"/>
    </row>
    <row r="16" spans="1:24" ht="15" customHeight="1" x14ac:dyDescent="0.2">
      <c r="A16" s="203">
        <v>11</v>
      </c>
      <c r="B16" s="196">
        <f t="shared" si="0"/>
        <v>1022</v>
      </c>
      <c r="C16" s="201">
        <v>1106</v>
      </c>
      <c r="D16" s="202">
        <f t="shared" si="8"/>
        <v>84</v>
      </c>
      <c r="E16" s="261"/>
      <c r="F16" s="203">
        <v>11</v>
      </c>
      <c r="G16" s="196">
        <f t="shared" si="1"/>
        <v>3085</v>
      </c>
      <c r="H16" s="191">
        <v>3085</v>
      </c>
      <c r="I16" s="202">
        <f t="shared" si="9"/>
        <v>0</v>
      </c>
      <c r="J16" s="261"/>
      <c r="K16" s="203">
        <v>11</v>
      </c>
      <c r="L16" s="196">
        <f t="shared" si="3"/>
        <v>724251</v>
      </c>
      <c r="M16" s="201">
        <v>724473</v>
      </c>
      <c r="N16" s="202">
        <f t="shared" si="10"/>
        <v>222</v>
      </c>
      <c r="O16" s="195"/>
      <c r="P16" s="203">
        <v>11</v>
      </c>
      <c r="Q16" s="196">
        <f t="shared" si="5"/>
        <v>197832</v>
      </c>
      <c r="R16" s="201">
        <v>197922</v>
      </c>
      <c r="S16" s="202">
        <f t="shared" si="11"/>
        <v>90</v>
      </c>
      <c r="T16" s="193"/>
      <c r="U16" s="203">
        <v>11</v>
      </c>
      <c r="V16" s="94">
        <f t="shared" si="7"/>
        <v>396</v>
      </c>
      <c r="W16" s="198">
        <f>'Maldives at LG Daily'!I15</f>
        <v>43.7</v>
      </c>
      <c r="X16" s="204"/>
    </row>
    <row r="17" spans="1:24" ht="15" customHeight="1" x14ac:dyDescent="0.2">
      <c r="A17" s="203">
        <v>12</v>
      </c>
      <c r="B17" s="196">
        <f t="shared" si="0"/>
        <v>1106</v>
      </c>
      <c r="C17" s="201">
        <v>1234</v>
      </c>
      <c r="D17" s="202">
        <f t="shared" si="8"/>
        <v>128</v>
      </c>
      <c r="E17" s="261"/>
      <c r="F17" s="203">
        <v>12</v>
      </c>
      <c r="G17" s="196">
        <f t="shared" si="1"/>
        <v>3085</v>
      </c>
      <c r="H17" s="201">
        <v>3085</v>
      </c>
      <c r="I17" s="202">
        <f t="shared" si="9"/>
        <v>0</v>
      </c>
      <c r="J17" s="261"/>
      <c r="K17" s="203">
        <v>12</v>
      </c>
      <c r="L17" s="196">
        <f t="shared" si="3"/>
        <v>724473</v>
      </c>
      <c r="M17" s="201">
        <v>724658</v>
      </c>
      <c r="N17" s="202">
        <f t="shared" si="10"/>
        <v>185</v>
      </c>
      <c r="O17" s="195"/>
      <c r="P17" s="203">
        <v>12</v>
      </c>
      <c r="Q17" s="196">
        <f t="shared" si="5"/>
        <v>197922</v>
      </c>
      <c r="R17" s="201">
        <v>197950</v>
      </c>
      <c r="S17" s="202">
        <f t="shared" si="11"/>
        <v>28</v>
      </c>
      <c r="T17" s="193"/>
      <c r="U17" s="196">
        <v>12</v>
      </c>
      <c r="V17" s="94">
        <f t="shared" si="7"/>
        <v>341</v>
      </c>
      <c r="W17" s="198">
        <f>'Maldives at LG Daily'!I16</f>
        <v>42.7</v>
      </c>
      <c r="X17" s="204"/>
    </row>
    <row r="18" spans="1:24" ht="15" customHeight="1" x14ac:dyDescent="0.2">
      <c r="A18" s="203">
        <v>13</v>
      </c>
      <c r="B18" s="196">
        <f t="shared" si="0"/>
        <v>1234</v>
      </c>
      <c r="C18" s="201">
        <v>1285</v>
      </c>
      <c r="D18" s="202">
        <f t="shared" si="8"/>
        <v>51</v>
      </c>
      <c r="E18" s="261"/>
      <c r="F18" s="203">
        <v>13</v>
      </c>
      <c r="G18" s="196">
        <f t="shared" si="1"/>
        <v>3085</v>
      </c>
      <c r="H18" s="201">
        <v>3085</v>
      </c>
      <c r="I18" s="202">
        <f t="shared" si="9"/>
        <v>0</v>
      </c>
      <c r="J18" s="261"/>
      <c r="K18" s="203">
        <v>13</v>
      </c>
      <c r="L18" s="196">
        <f t="shared" si="3"/>
        <v>724658</v>
      </c>
      <c r="M18" s="201">
        <v>724864</v>
      </c>
      <c r="N18" s="202">
        <f t="shared" si="10"/>
        <v>206</v>
      </c>
      <c r="O18" s="195"/>
      <c r="P18" s="203">
        <v>13</v>
      </c>
      <c r="Q18" s="196">
        <f t="shared" si="5"/>
        <v>197950</v>
      </c>
      <c r="R18" s="201">
        <v>198038</v>
      </c>
      <c r="S18" s="202">
        <f t="shared" si="11"/>
        <v>88</v>
      </c>
      <c r="T18" s="193"/>
      <c r="U18" s="196">
        <v>13</v>
      </c>
      <c r="V18" s="94">
        <f t="shared" si="7"/>
        <v>345</v>
      </c>
      <c r="W18" s="198">
        <f>'Maldives at LG Daily'!I17</f>
        <v>43.7</v>
      </c>
      <c r="X18" s="204"/>
    </row>
    <row r="19" spans="1:24" ht="15" customHeight="1" x14ac:dyDescent="0.2">
      <c r="A19" s="203">
        <v>14</v>
      </c>
      <c r="B19" s="196">
        <f t="shared" si="0"/>
        <v>1285</v>
      </c>
      <c r="C19" s="201">
        <v>1388</v>
      </c>
      <c r="D19" s="202">
        <f t="shared" si="8"/>
        <v>103</v>
      </c>
      <c r="E19" s="261"/>
      <c r="F19" s="203">
        <v>14</v>
      </c>
      <c r="G19" s="196">
        <f t="shared" si="1"/>
        <v>3085</v>
      </c>
      <c r="H19" s="201">
        <v>3085</v>
      </c>
      <c r="I19" s="202">
        <f t="shared" si="9"/>
        <v>0</v>
      </c>
      <c r="J19" s="261"/>
      <c r="K19" s="203">
        <v>14</v>
      </c>
      <c r="L19" s="196">
        <f t="shared" si="3"/>
        <v>724864</v>
      </c>
      <c r="M19" s="201">
        <v>725114</v>
      </c>
      <c r="N19" s="202">
        <f t="shared" si="10"/>
        <v>250</v>
      </c>
      <c r="O19" s="195"/>
      <c r="P19" s="203">
        <v>14</v>
      </c>
      <c r="Q19" s="196">
        <f t="shared" si="5"/>
        <v>198038</v>
      </c>
      <c r="R19" s="201">
        <v>198083</v>
      </c>
      <c r="S19" s="202">
        <f t="shared" si="11"/>
        <v>45</v>
      </c>
      <c r="T19" s="193"/>
      <c r="U19" s="203">
        <v>14</v>
      </c>
      <c r="V19" s="94">
        <f t="shared" si="7"/>
        <v>398</v>
      </c>
      <c r="W19" s="198">
        <f>'Maldives at LG Daily'!I18</f>
        <v>39.799999999999997</v>
      </c>
      <c r="X19" s="204"/>
    </row>
    <row r="20" spans="1:24" ht="15" customHeight="1" x14ac:dyDescent="0.2">
      <c r="A20" s="203">
        <v>15</v>
      </c>
      <c r="B20" s="196">
        <f t="shared" si="0"/>
        <v>1388</v>
      </c>
      <c r="C20" s="201">
        <v>1510</v>
      </c>
      <c r="D20" s="202">
        <f t="shared" si="8"/>
        <v>122</v>
      </c>
      <c r="E20" s="261"/>
      <c r="F20" s="203">
        <v>15</v>
      </c>
      <c r="G20" s="196">
        <f t="shared" si="1"/>
        <v>3085</v>
      </c>
      <c r="H20" s="201">
        <v>3085</v>
      </c>
      <c r="I20" s="202">
        <f t="shared" si="9"/>
        <v>0</v>
      </c>
      <c r="J20" s="261"/>
      <c r="K20" s="203">
        <v>15</v>
      </c>
      <c r="L20" s="196">
        <f t="shared" si="3"/>
        <v>725114</v>
      </c>
      <c r="M20" s="201">
        <v>725359</v>
      </c>
      <c r="N20" s="202">
        <f t="shared" si="10"/>
        <v>245</v>
      </c>
      <c r="O20" s="195"/>
      <c r="P20" s="203">
        <v>15</v>
      </c>
      <c r="Q20" s="196">
        <f t="shared" si="5"/>
        <v>198083</v>
      </c>
      <c r="R20" s="201">
        <v>198171</v>
      </c>
      <c r="S20" s="202">
        <f t="shared" si="11"/>
        <v>88</v>
      </c>
      <c r="T20" s="193"/>
      <c r="U20" s="196">
        <v>15</v>
      </c>
      <c r="V20" s="94">
        <f t="shared" si="7"/>
        <v>455</v>
      </c>
      <c r="W20" s="198">
        <f>'Maldives at LG Daily'!I19</f>
        <v>39.799999999999997</v>
      </c>
      <c r="X20" s="204"/>
    </row>
    <row r="21" spans="1:24" ht="15" customHeight="1" x14ac:dyDescent="0.2">
      <c r="A21" s="203">
        <v>16</v>
      </c>
      <c r="B21" s="196">
        <f t="shared" si="0"/>
        <v>1510</v>
      </c>
      <c r="C21" s="201">
        <v>1615</v>
      </c>
      <c r="D21" s="202">
        <f t="shared" si="8"/>
        <v>105</v>
      </c>
      <c r="E21" s="261"/>
      <c r="F21" s="203">
        <v>16</v>
      </c>
      <c r="G21" s="196">
        <f t="shared" si="1"/>
        <v>3085</v>
      </c>
      <c r="H21" s="201">
        <v>3085</v>
      </c>
      <c r="I21" s="202">
        <f t="shared" si="9"/>
        <v>0</v>
      </c>
      <c r="J21" s="261"/>
      <c r="K21" s="203">
        <v>16</v>
      </c>
      <c r="L21" s="196">
        <f t="shared" si="3"/>
        <v>725359</v>
      </c>
      <c r="M21" s="201">
        <v>725570</v>
      </c>
      <c r="N21" s="202">
        <f t="shared" si="10"/>
        <v>211</v>
      </c>
      <c r="O21" s="195"/>
      <c r="P21" s="203">
        <v>16</v>
      </c>
      <c r="Q21" s="196">
        <f t="shared" si="5"/>
        <v>198171</v>
      </c>
      <c r="R21" s="201">
        <v>198275</v>
      </c>
      <c r="S21" s="202">
        <f t="shared" si="11"/>
        <v>104</v>
      </c>
      <c r="T21" s="193"/>
      <c r="U21" s="196">
        <v>16</v>
      </c>
      <c r="V21" s="94">
        <f t="shared" si="7"/>
        <v>420</v>
      </c>
      <c r="W21" s="198">
        <f>'Maldives at LG Daily'!I20</f>
        <v>41</v>
      </c>
      <c r="X21" s="205"/>
    </row>
    <row r="22" spans="1:24" ht="15" customHeight="1" x14ac:dyDescent="0.2">
      <c r="A22" s="203">
        <v>17</v>
      </c>
      <c r="B22" s="196">
        <f t="shared" si="0"/>
        <v>1615</v>
      </c>
      <c r="C22" s="201">
        <v>1740</v>
      </c>
      <c r="D22" s="202">
        <f t="shared" si="8"/>
        <v>125</v>
      </c>
      <c r="E22" s="261"/>
      <c r="F22" s="203">
        <v>17</v>
      </c>
      <c r="G22" s="196">
        <f t="shared" si="1"/>
        <v>3085</v>
      </c>
      <c r="H22" s="201">
        <v>3085</v>
      </c>
      <c r="I22" s="202">
        <f t="shared" si="9"/>
        <v>0</v>
      </c>
      <c r="J22" s="261"/>
      <c r="K22" s="203">
        <v>17</v>
      </c>
      <c r="L22" s="196">
        <f t="shared" si="3"/>
        <v>725570</v>
      </c>
      <c r="M22" s="201">
        <v>725809</v>
      </c>
      <c r="N22" s="202">
        <f t="shared" si="10"/>
        <v>239</v>
      </c>
      <c r="O22" s="195"/>
      <c r="P22" s="203">
        <v>17</v>
      </c>
      <c r="Q22" s="196">
        <f t="shared" si="5"/>
        <v>198275</v>
      </c>
      <c r="R22" s="201">
        <v>198365</v>
      </c>
      <c r="S22" s="202">
        <f t="shared" si="11"/>
        <v>90</v>
      </c>
      <c r="T22" s="193"/>
      <c r="U22" s="203">
        <v>17</v>
      </c>
      <c r="V22" s="94">
        <f t="shared" si="7"/>
        <v>454</v>
      </c>
      <c r="W22" s="198">
        <f>'Maldives at LG Daily'!I21</f>
        <v>42.7</v>
      </c>
      <c r="X22" s="205"/>
    </row>
    <row r="23" spans="1:24" ht="15" customHeight="1" x14ac:dyDescent="0.2">
      <c r="A23" s="203">
        <v>18</v>
      </c>
      <c r="B23" s="196">
        <f t="shared" si="0"/>
        <v>1740</v>
      </c>
      <c r="C23" s="201">
        <v>1824</v>
      </c>
      <c r="D23" s="202">
        <f t="shared" si="8"/>
        <v>84</v>
      </c>
      <c r="E23" s="261"/>
      <c r="F23" s="203">
        <v>18</v>
      </c>
      <c r="G23" s="196">
        <f t="shared" si="1"/>
        <v>3085</v>
      </c>
      <c r="H23" s="201">
        <v>3085</v>
      </c>
      <c r="I23" s="202">
        <f t="shared" si="9"/>
        <v>0</v>
      </c>
      <c r="J23" s="261"/>
      <c r="K23" s="203">
        <v>18</v>
      </c>
      <c r="L23" s="196">
        <f t="shared" si="3"/>
        <v>725809</v>
      </c>
      <c r="M23" s="201">
        <v>726046</v>
      </c>
      <c r="N23" s="202">
        <f t="shared" si="10"/>
        <v>237</v>
      </c>
      <c r="O23" s="195"/>
      <c r="P23" s="203">
        <v>18</v>
      </c>
      <c r="Q23" s="196">
        <f t="shared" si="5"/>
        <v>198365</v>
      </c>
      <c r="R23" s="201">
        <v>198460</v>
      </c>
      <c r="S23" s="202">
        <f t="shared" si="11"/>
        <v>95</v>
      </c>
      <c r="T23" s="193"/>
      <c r="U23" s="196">
        <v>18</v>
      </c>
      <c r="V23" s="94">
        <f t="shared" si="7"/>
        <v>416</v>
      </c>
      <c r="W23" s="198">
        <f>'Maldives at LG Daily'!I22</f>
        <v>43.7</v>
      </c>
      <c r="X23" s="205"/>
    </row>
    <row r="24" spans="1:24" ht="15" customHeight="1" x14ac:dyDescent="0.2">
      <c r="A24" s="203">
        <v>19</v>
      </c>
      <c r="B24" s="196">
        <f t="shared" si="0"/>
        <v>1824</v>
      </c>
      <c r="C24" s="201">
        <v>1910</v>
      </c>
      <c r="D24" s="202">
        <f t="shared" si="8"/>
        <v>86</v>
      </c>
      <c r="E24" s="261"/>
      <c r="F24" s="203">
        <v>19</v>
      </c>
      <c r="G24" s="196">
        <f t="shared" si="1"/>
        <v>3085</v>
      </c>
      <c r="H24" s="201">
        <v>3085</v>
      </c>
      <c r="I24" s="202">
        <f t="shared" si="9"/>
        <v>0</v>
      </c>
      <c r="J24" s="261"/>
      <c r="K24" s="203">
        <v>19</v>
      </c>
      <c r="L24" s="196">
        <f t="shared" si="3"/>
        <v>726046</v>
      </c>
      <c r="M24" s="201">
        <v>726248</v>
      </c>
      <c r="N24" s="202">
        <f t="shared" si="10"/>
        <v>202</v>
      </c>
      <c r="O24" s="195"/>
      <c r="P24" s="203">
        <v>19</v>
      </c>
      <c r="Q24" s="196">
        <f t="shared" si="5"/>
        <v>198460</v>
      </c>
      <c r="R24" s="201">
        <v>198564</v>
      </c>
      <c r="S24" s="202">
        <f t="shared" si="11"/>
        <v>104</v>
      </c>
      <c r="T24" s="193"/>
      <c r="U24" s="196">
        <v>19</v>
      </c>
      <c r="V24" s="94">
        <f t="shared" si="7"/>
        <v>392</v>
      </c>
      <c r="W24" s="198">
        <f>'Maldives at LG Daily'!I23</f>
        <v>47.6</v>
      </c>
      <c r="X24" s="205"/>
    </row>
    <row r="25" spans="1:24" ht="15" customHeight="1" x14ac:dyDescent="0.2">
      <c r="A25" s="203">
        <v>20</v>
      </c>
      <c r="B25" s="196">
        <f t="shared" si="0"/>
        <v>1910</v>
      </c>
      <c r="C25" s="201">
        <v>2045</v>
      </c>
      <c r="D25" s="202">
        <f>C25-B25</f>
        <v>135</v>
      </c>
      <c r="E25" s="261"/>
      <c r="F25" s="203">
        <v>20</v>
      </c>
      <c r="G25" s="196">
        <f t="shared" si="1"/>
        <v>3085</v>
      </c>
      <c r="H25" s="201">
        <v>3085</v>
      </c>
      <c r="I25" s="202">
        <f>H25-G25</f>
        <v>0</v>
      </c>
      <c r="J25" s="261"/>
      <c r="K25" s="203">
        <v>20</v>
      </c>
      <c r="L25" s="196">
        <f t="shared" si="3"/>
        <v>726248</v>
      </c>
      <c r="M25" s="201">
        <v>726448</v>
      </c>
      <c r="N25" s="202">
        <f>M25-L25</f>
        <v>200</v>
      </c>
      <c r="O25" s="195"/>
      <c r="P25" s="203">
        <v>20</v>
      </c>
      <c r="Q25" s="196">
        <f t="shared" si="5"/>
        <v>198564</v>
      </c>
      <c r="R25" s="201">
        <v>198630</v>
      </c>
      <c r="S25" s="202">
        <f>R25-Q25</f>
        <v>66</v>
      </c>
      <c r="T25" s="193"/>
      <c r="U25" s="203">
        <v>20</v>
      </c>
      <c r="V25" s="94">
        <f t="shared" si="7"/>
        <v>401</v>
      </c>
      <c r="W25" s="198">
        <f>'Maldives at LG Daily'!I24</f>
        <v>0</v>
      </c>
      <c r="X25" s="205"/>
    </row>
    <row r="26" spans="1:24" ht="15" customHeight="1" x14ac:dyDescent="0.2">
      <c r="A26" s="203">
        <v>21</v>
      </c>
      <c r="B26" s="196">
        <f t="shared" si="0"/>
        <v>2045</v>
      </c>
      <c r="C26" s="201">
        <v>2165</v>
      </c>
      <c r="D26" s="202">
        <f t="shared" si="8"/>
        <v>120</v>
      </c>
      <c r="E26" s="261"/>
      <c r="F26" s="203">
        <v>21</v>
      </c>
      <c r="G26" s="196">
        <f t="shared" si="1"/>
        <v>3085</v>
      </c>
      <c r="H26" s="201">
        <v>3085</v>
      </c>
      <c r="I26" s="202">
        <f t="shared" ref="I26:I29" si="12">H26-G26</f>
        <v>0</v>
      </c>
      <c r="J26" s="261"/>
      <c r="K26" s="203">
        <v>21</v>
      </c>
      <c r="L26" s="196">
        <f t="shared" si="3"/>
        <v>726448</v>
      </c>
      <c r="M26" s="201">
        <v>726654</v>
      </c>
      <c r="N26" s="202">
        <f t="shared" ref="N26:N29" si="13">M26-L26</f>
        <v>206</v>
      </c>
      <c r="O26" s="195"/>
      <c r="P26" s="203">
        <v>21</v>
      </c>
      <c r="Q26" s="196">
        <f t="shared" si="5"/>
        <v>198630</v>
      </c>
      <c r="R26" s="201">
        <v>198712</v>
      </c>
      <c r="S26" s="202">
        <f t="shared" ref="S26:S29" si="14">R26-Q26</f>
        <v>82</v>
      </c>
      <c r="T26" s="193"/>
      <c r="U26" s="196">
        <v>21</v>
      </c>
      <c r="V26" s="94">
        <f t="shared" si="7"/>
        <v>408</v>
      </c>
      <c r="W26" s="198">
        <f>'Maldives at LG Daily'!I25</f>
        <v>0</v>
      </c>
      <c r="X26" s="205"/>
    </row>
    <row r="27" spans="1:24" ht="15" customHeight="1" x14ac:dyDescent="0.2">
      <c r="A27" s="203">
        <v>22</v>
      </c>
      <c r="B27" s="196">
        <f t="shared" si="0"/>
        <v>2165</v>
      </c>
      <c r="C27" s="201">
        <v>0</v>
      </c>
      <c r="D27" s="202">
        <f t="shared" si="8"/>
        <v>-2165</v>
      </c>
      <c r="E27" s="261"/>
      <c r="F27" s="203">
        <v>22</v>
      </c>
      <c r="G27" s="196">
        <f t="shared" si="1"/>
        <v>3085</v>
      </c>
      <c r="H27" s="201"/>
      <c r="I27" s="202">
        <f t="shared" si="12"/>
        <v>-3085</v>
      </c>
      <c r="J27" s="261"/>
      <c r="K27" s="203">
        <v>22</v>
      </c>
      <c r="L27" s="196">
        <f t="shared" si="3"/>
        <v>726654</v>
      </c>
      <c r="M27" s="201"/>
      <c r="N27" s="202">
        <f t="shared" si="13"/>
        <v>-726654</v>
      </c>
      <c r="O27" s="195"/>
      <c r="P27" s="203">
        <v>22</v>
      </c>
      <c r="Q27" s="196">
        <f t="shared" si="5"/>
        <v>198712</v>
      </c>
      <c r="R27" s="201"/>
      <c r="S27" s="202">
        <f t="shared" si="14"/>
        <v>-198712</v>
      </c>
      <c r="T27" s="193"/>
      <c r="U27" s="196">
        <v>22</v>
      </c>
      <c r="V27" s="94">
        <f t="shared" si="7"/>
        <v>-930616</v>
      </c>
      <c r="W27" s="198">
        <f>'Maldives at LG Daily'!I26</f>
        <v>0</v>
      </c>
      <c r="X27" s="205"/>
    </row>
    <row r="28" spans="1:24" ht="15" customHeight="1" x14ac:dyDescent="0.2">
      <c r="A28" s="203">
        <v>23</v>
      </c>
      <c r="B28" s="196">
        <f t="shared" si="0"/>
        <v>0</v>
      </c>
      <c r="C28" s="201">
        <v>0</v>
      </c>
      <c r="D28" s="202">
        <f t="shared" si="8"/>
        <v>0</v>
      </c>
      <c r="E28" s="261"/>
      <c r="F28" s="203">
        <v>23</v>
      </c>
      <c r="G28" s="196">
        <f t="shared" si="1"/>
        <v>0</v>
      </c>
      <c r="H28" s="201"/>
      <c r="I28" s="202">
        <f t="shared" si="12"/>
        <v>0</v>
      </c>
      <c r="J28" s="261"/>
      <c r="K28" s="203">
        <v>23</v>
      </c>
      <c r="L28" s="196">
        <f t="shared" si="3"/>
        <v>0</v>
      </c>
      <c r="M28" s="201"/>
      <c r="N28" s="202">
        <f t="shared" si="13"/>
        <v>0</v>
      </c>
      <c r="O28" s="195"/>
      <c r="P28" s="203">
        <v>23</v>
      </c>
      <c r="Q28" s="196">
        <f t="shared" si="5"/>
        <v>0</v>
      </c>
      <c r="R28" s="201"/>
      <c r="S28" s="202">
        <f t="shared" si="14"/>
        <v>0</v>
      </c>
      <c r="T28" s="193"/>
      <c r="U28" s="203">
        <v>23</v>
      </c>
      <c r="V28" s="94">
        <f t="shared" si="7"/>
        <v>0</v>
      </c>
      <c r="W28" s="198">
        <f>'Maldives at LG Daily'!I27</f>
        <v>0</v>
      </c>
      <c r="X28" s="205"/>
    </row>
    <row r="29" spans="1:24" ht="15" customHeight="1" x14ac:dyDescent="0.2">
      <c r="A29" s="203">
        <v>24</v>
      </c>
      <c r="B29" s="196">
        <f t="shared" si="0"/>
        <v>0</v>
      </c>
      <c r="C29" s="201">
        <v>0</v>
      </c>
      <c r="D29" s="202">
        <f t="shared" si="8"/>
        <v>0</v>
      </c>
      <c r="E29" s="261"/>
      <c r="F29" s="203">
        <v>24</v>
      </c>
      <c r="G29" s="196">
        <f t="shared" si="1"/>
        <v>0</v>
      </c>
      <c r="H29" s="201"/>
      <c r="I29" s="202">
        <f t="shared" si="12"/>
        <v>0</v>
      </c>
      <c r="J29" s="261"/>
      <c r="K29" s="203">
        <v>24</v>
      </c>
      <c r="L29" s="196">
        <f t="shared" si="3"/>
        <v>0</v>
      </c>
      <c r="M29" s="201"/>
      <c r="N29" s="202">
        <f t="shared" si="13"/>
        <v>0</v>
      </c>
      <c r="O29" s="195"/>
      <c r="P29" s="203">
        <v>24</v>
      </c>
      <c r="Q29" s="196">
        <f t="shared" si="5"/>
        <v>0</v>
      </c>
      <c r="R29" s="201"/>
      <c r="S29" s="202">
        <f t="shared" si="14"/>
        <v>0</v>
      </c>
      <c r="T29" s="193"/>
      <c r="U29" s="196">
        <v>24</v>
      </c>
      <c r="V29" s="94">
        <f t="shared" si="7"/>
        <v>0</v>
      </c>
      <c r="W29" s="198">
        <f>'Maldives at LG Daily'!I28</f>
        <v>0</v>
      </c>
      <c r="X29" s="205"/>
    </row>
    <row r="30" spans="1:24" ht="15" customHeight="1" x14ac:dyDescent="0.2">
      <c r="A30" s="203">
        <v>25</v>
      </c>
      <c r="B30" s="196">
        <f t="shared" si="0"/>
        <v>0</v>
      </c>
      <c r="C30" s="206">
        <v>0</v>
      </c>
      <c r="D30" s="202">
        <f>C30-B30</f>
        <v>0</v>
      </c>
      <c r="E30" s="261"/>
      <c r="F30" s="203">
        <v>25</v>
      </c>
      <c r="G30" s="196">
        <f t="shared" si="1"/>
        <v>0</v>
      </c>
      <c r="H30" s="206"/>
      <c r="I30" s="202">
        <f>H30-G30</f>
        <v>0</v>
      </c>
      <c r="J30" s="261"/>
      <c r="K30" s="203">
        <v>25</v>
      </c>
      <c r="L30" s="196">
        <f t="shared" si="3"/>
        <v>0</v>
      </c>
      <c r="M30" s="206"/>
      <c r="N30" s="202">
        <f>M30-L30</f>
        <v>0</v>
      </c>
      <c r="O30" s="195"/>
      <c r="P30" s="203">
        <v>25</v>
      </c>
      <c r="Q30" s="196">
        <f t="shared" si="5"/>
        <v>0</v>
      </c>
      <c r="R30" s="206"/>
      <c r="S30" s="202">
        <f>R30-Q30</f>
        <v>0</v>
      </c>
      <c r="T30" s="193"/>
      <c r="U30" s="196">
        <v>25</v>
      </c>
      <c r="V30" s="94">
        <f t="shared" si="7"/>
        <v>0</v>
      </c>
      <c r="W30" s="198">
        <f>'Maldives at LG Daily'!I29</f>
        <v>0</v>
      </c>
      <c r="X30" s="205"/>
    </row>
    <row r="31" spans="1:24" s="213" customFormat="1" ht="15" customHeight="1" x14ac:dyDescent="0.2">
      <c r="A31" s="203">
        <v>26</v>
      </c>
      <c r="B31" s="263">
        <f t="shared" si="0"/>
        <v>0</v>
      </c>
      <c r="C31" s="201">
        <v>0</v>
      </c>
      <c r="D31" s="264">
        <f t="shared" si="8"/>
        <v>0</v>
      </c>
      <c r="E31" s="265"/>
      <c r="F31" s="203">
        <v>26</v>
      </c>
      <c r="G31" s="263">
        <f t="shared" si="1"/>
        <v>0</v>
      </c>
      <c r="H31" s="201"/>
      <c r="I31" s="264">
        <f t="shared" ref="I31:I33" si="15">H31-G31</f>
        <v>0</v>
      </c>
      <c r="J31" s="265"/>
      <c r="K31" s="203">
        <v>26</v>
      </c>
      <c r="L31" s="263">
        <f t="shared" si="3"/>
        <v>0</v>
      </c>
      <c r="M31" s="201"/>
      <c r="N31" s="264">
        <f t="shared" ref="N31:N33" si="16">M31-L31</f>
        <v>0</v>
      </c>
      <c r="O31" s="266"/>
      <c r="P31" s="203">
        <v>26</v>
      </c>
      <c r="Q31" s="263">
        <f t="shared" si="5"/>
        <v>0</v>
      </c>
      <c r="R31" s="201"/>
      <c r="S31" s="264">
        <f t="shared" ref="S31:S33" si="17">R31-Q31</f>
        <v>0</v>
      </c>
      <c r="T31" s="267"/>
      <c r="U31" s="203">
        <v>26</v>
      </c>
      <c r="V31" s="268">
        <f t="shared" si="7"/>
        <v>0</v>
      </c>
      <c r="W31" s="198">
        <f>'Maldives at LG Daily'!I30</f>
        <v>0</v>
      </c>
      <c r="X31" s="269"/>
    </row>
    <row r="32" spans="1:24" ht="15" customHeight="1" x14ac:dyDescent="0.2">
      <c r="A32" s="203">
        <v>27</v>
      </c>
      <c r="B32" s="196">
        <f t="shared" si="0"/>
        <v>0</v>
      </c>
      <c r="C32" s="201">
        <v>0</v>
      </c>
      <c r="D32" s="202">
        <f t="shared" si="8"/>
        <v>0</v>
      </c>
      <c r="E32" s="261"/>
      <c r="F32" s="203">
        <v>27</v>
      </c>
      <c r="G32" s="196">
        <f t="shared" si="1"/>
        <v>0</v>
      </c>
      <c r="H32" s="201"/>
      <c r="I32" s="202">
        <f t="shared" si="15"/>
        <v>0</v>
      </c>
      <c r="J32" s="261"/>
      <c r="K32" s="203">
        <v>27</v>
      </c>
      <c r="L32" s="196">
        <f t="shared" si="3"/>
        <v>0</v>
      </c>
      <c r="M32" s="201"/>
      <c r="N32" s="202">
        <f t="shared" si="16"/>
        <v>0</v>
      </c>
      <c r="O32" s="195"/>
      <c r="P32" s="203">
        <v>27</v>
      </c>
      <c r="Q32" s="196">
        <f t="shared" si="5"/>
        <v>0</v>
      </c>
      <c r="R32" s="201"/>
      <c r="S32" s="202">
        <f t="shared" si="17"/>
        <v>0</v>
      </c>
      <c r="T32" s="193"/>
      <c r="U32" s="196">
        <v>27</v>
      </c>
      <c r="V32" s="94">
        <f t="shared" si="7"/>
        <v>0</v>
      </c>
      <c r="W32" s="198">
        <f>'Maldives at LG Daily'!I31</f>
        <v>0</v>
      </c>
      <c r="X32" s="205"/>
    </row>
    <row r="33" spans="1:26" ht="15" customHeight="1" x14ac:dyDescent="0.2">
      <c r="A33" s="203">
        <v>28</v>
      </c>
      <c r="B33" s="196">
        <f t="shared" si="0"/>
        <v>0</v>
      </c>
      <c r="C33" s="201">
        <v>0</v>
      </c>
      <c r="D33" s="202">
        <f t="shared" si="8"/>
        <v>0</v>
      </c>
      <c r="E33" s="261"/>
      <c r="F33" s="203">
        <v>28</v>
      </c>
      <c r="G33" s="196">
        <f t="shared" si="1"/>
        <v>0</v>
      </c>
      <c r="H33" s="201"/>
      <c r="I33" s="202">
        <f t="shared" si="15"/>
        <v>0</v>
      </c>
      <c r="J33" s="261"/>
      <c r="K33" s="203">
        <v>28</v>
      </c>
      <c r="L33" s="196">
        <f t="shared" si="3"/>
        <v>0</v>
      </c>
      <c r="M33" s="201"/>
      <c r="N33" s="202">
        <f t="shared" si="16"/>
        <v>0</v>
      </c>
      <c r="O33" s="195"/>
      <c r="P33" s="203">
        <v>28</v>
      </c>
      <c r="Q33" s="196">
        <f t="shared" si="5"/>
        <v>0</v>
      </c>
      <c r="R33" s="201"/>
      <c r="S33" s="202">
        <f t="shared" si="17"/>
        <v>0</v>
      </c>
      <c r="T33" s="193"/>
      <c r="U33" s="196">
        <v>28</v>
      </c>
      <c r="V33" s="94">
        <f t="shared" si="7"/>
        <v>0</v>
      </c>
      <c r="W33" s="198">
        <f>'Maldives at LG Daily'!I32</f>
        <v>0</v>
      </c>
      <c r="X33" s="205"/>
    </row>
    <row r="34" spans="1:26" x14ac:dyDescent="0.2">
      <c r="A34" s="203">
        <v>29</v>
      </c>
      <c r="B34" s="196">
        <f t="shared" si="0"/>
        <v>0</v>
      </c>
      <c r="C34" s="201">
        <v>0</v>
      </c>
      <c r="D34" s="202">
        <f>C34-B34</f>
        <v>0</v>
      </c>
      <c r="E34" s="195"/>
      <c r="F34" s="203">
        <v>29</v>
      </c>
      <c r="G34" s="196">
        <f t="shared" si="1"/>
        <v>0</v>
      </c>
      <c r="H34" s="201"/>
      <c r="I34" s="202">
        <f>H34-G34</f>
        <v>0</v>
      </c>
      <c r="J34" s="195"/>
      <c r="K34" s="203">
        <v>29</v>
      </c>
      <c r="L34" s="196">
        <f t="shared" si="3"/>
        <v>0</v>
      </c>
      <c r="M34" s="201"/>
      <c r="N34" s="202">
        <f>M34-L34</f>
        <v>0</v>
      </c>
      <c r="O34" s="195"/>
      <c r="P34" s="203">
        <v>29</v>
      </c>
      <c r="Q34" s="196">
        <f t="shared" si="5"/>
        <v>0</v>
      </c>
      <c r="R34" s="201"/>
      <c r="S34" s="202">
        <f>R34-Q34</f>
        <v>0</v>
      </c>
      <c r="T34" s="193"/>
      <c r="U34" s="203">
        <v>29</v>
      </c>
      <c r="V34" s="94">
        <f t="shared" si="7"/>
        <v>0</v>
      </c>
      <c r="W34" s="198">
        <f>'Maldives at LG Daily'!I33</f>
        <v>0</v>
      </c>
      <c r="X34" s="205"/>
      <c r="Z34" s="207">
        <f>SUM(W23:W32)</f>
        <v>91.300000000000011</v>
      </c>
    </row>
    <row r="35" spans="1:26" x14ac:dyDescent="0.2">
      <c r="A35" s="203">
        <v>30</v>
      </c>
      <c r="B35" s="196">
        <f>C34</f>
        <v>0</v>
      </c>
      <c r="C35" s="201">
        <v>0</v>
      </c>
      <c r="D35" s="202">
        <f>C35-B35</f>
        <v>0</v>
      </c>
      <c r="E35" s="195"/>
      <c r="F35" s="203">
        <v>30</v>
      </c>
      <c r="G35" s="196">
        <f>H34</f>
        <v>0</v>
      </c>
      <c r="H35" s="201"/>
      <c r="I35" s="202">
        <f>H35-G35</f>
        <v>0</v>
      </c>
      <c r="J35" s="195"/>
      <c r="K35" s="203">
        <v>30</v>
      </c>
      <c r="L35" s="196">
        <f>M34</f>
        <v>0</v>
      </c>
      <c r="M35" s="201"/>
      <c r="N35" s="202">
        <f>M35-L35</f>
        <v>0</v>
      </c>
      <c r="O35" s="195"/>
      <c r="P35" s="203">
        <v>30</v>
      </c>
      <c r="Q35" s="196">
        <f>R34</f>
        <v>0</v>
      </c>
      <c r="R35" s="201"/>
      <c r="S35" s="202">
        <f>R35-Q35</f>
        <v>0</v>
      </c>
      <c r="T35" s="193"/>
      <c r="U35" s="196">
        <v>30</v>
      </c>
      <c r="V35" s="94">
        <f t="shared" si="7"/>
        <v>0</v>
      </c>
      <c r="W35" s="198">
        <f>'Maldives at LG Daily'!I34</f>
        <v>0</v>
      </c>
      <c r="X35" s="205"/>
      <c r="Z35" s="180">
        <f>Z34/11</f>
        <v>8.3000000000000007</v>
      </c>
    </row>
    <row r="36" spans="1:26" x14ac:dyDescent="0.2">
      <c r="A36" s="203">
        <v>31</v>
      </c>
      <c r="B36" s="196">
        <f>C35</f>
        <v>0</v>
      </c>
      <c r="C36" s="201">
        <v>0</v>
      </c>
      <c r="D36" s="202">
        <f>C36-B36</f>
        <v>0</v>
      </c>
      <c r="E36" s="195"/>
      <c r="F36" s="203">
        <v>31</v>
      </c>
      <c r="G36" s="196">
        <f>H35</f>
        <v>0</v>
      </c>
      <c r="H36" s="201"/>
      <c r="I36" s="202">
        <f>H36-G36</f>
        <v>0</v>
      </c>
      <c r="J36" s="195"/>
      <c r="K36" s="203">
        <v>31</v>
      </c>
      <c r="L36" s="196">
        <f>M35</f>
        <v>0</v>
      </c>
      <c r="M36" s="201"/>
      <c r="N36" s="202">
        <f>M36-L36</f>
        <v>0</v>
      </c>
      <c r="O36" s="195"/>
      <c r="P36" s="203">
        <v>31</v>
      </c>
      <c r="Q36" s="196">
        <f>R35</f>
        <v>0</v>
      </c>
      <c r="R36" s="201"/>
      <c r="S36" s="202">
        <f>R36-Q36</f>
        <v>0</v>
      </c>
      <c r="T36" s="208"/>
      <c r="U36" s="196">
        <v>31</v>
      </c>
      <c r="V36" s="94">
        <f t="shared" si="7"/>
        <v>0</v>
      </c>
      <c r="W36" s="198">
        <f>'Maldives at LG Daily'!I35</f>
        <v>0</v>
      </c>
      <c r="X36" s="205"/>
    </row>
    <row r="37" spans="1:26" ht="13.5" thickBot="1" x14ac:dyDescent="0.25">
      <c r="A37" s="209" t="s">
        <v>7</v>
      </c>
      <c r="D37" s="210">
        <f>SUM(D6:D36)</f>
        <v>71</v>
      </c>
      <c r="E37" s="211"/>
      <c r="F37" s="209" t="s">
        <v>7</v>
      </c>
      <c r="I37" s="210">
        <f>SUM(I6:I36)</f>
        <v>-3085</v>
      </c>
      <c r="J37" s="211"/>
      <c r="K37" s="209" t="s">
        <v>7</v>
      </c>
      <c r="N37" s="210">
        <f>SUM(N6:N36)</f>
        <v>-721913</v>
      </c>
      <c r="O37" s="211"/>
      <c r="P37" s="209" t="s">
        <v>7</v>
      </c>
      <c r="S37" s="210">
        <f>SUM(S6:S36)</f>
        <v>-196992</v>
      </c>
      <c r="T37" s="211"/>
      <c r="W37" s="262">
        <f>SUM(W6:W36)</f>
        <v>1001.0000000000002</v>
      </c>
    </row>
    <row r="38" spans="1:26" ht="13.5" thickTop="1" x14ac:dyDescent="0.2">
      <c r="W38" s="213">
        <f>W37/31</f>
        <v>32.290322580645167</v>
      </c>
    </row>
  </sheetData>
  <mergeCells count="7">
    <mergeCell ref="A1:X2"/>
    <mergeCell ref="A3:B3"/>
    <mergeCell ref="A4:D4"/>
    <mergeCell ref="F4:I4"/>
    <mergeCell ref="K4:N4"/>
    <mergeCell ref="P4:S4"/>
    <mergeCell ref="U4:X4"/>
  </mergeCells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A13" zoomScale="90" zoomScaleNormal="90" workbookViewId="0">
      <selection activeCell="C28" sqref="C28"/>
    </sheetView>
  </sheetViews>
  <sheetFormatPr defaultRowHeight="12.75" x14ac:dyDescent="0.2"/>
  <cols>
    <col min="1" max="1" width="7" style="234" customWidth="1"/>
    <col min="2" max="2" width="17.7109375" style="209" customWidth="1"/>
    <col min="3" max="3" width="15.7109375" style="209" customWidth="1"/>
    <col min="4" max="5" width="16.140625" style="209" customWidth="1"/>
    <col min="6" max="6" width="16.140625" style="235" customWidth="1"/>
    <col min="7" max="7" width="14.5703125" style="235" customWidth="1"/>
    <col min="8" max="8" width="13" style="180" customWidth="1"/>
    <col min="9" max="16384" width="9.140625" style="180"/>
  </cols>
  <sheetData>
    <row r="1" spans="1:20" s="181" customFormat="1" x14ac:dyDescent="0.2">
      <c r="A1" s="312"/>
      <c r="B1" s="312"/>
      <c r="C1" s="215"/>
      <c r="D1" s="215"/>
      <c r="E1" s="215"/>
      <c r="F1" s="216"/>
      <c r="G1" s="216"/>
    </row>
    <row r="2" spans="1:20" ht="24.75" customHeight="1" x14ac:dyDescent="0.2">
      <c r="A2" s="313" t="s">
        <v>36</v>
      </c>
      <c r="B2" s="313"/>
      <c r="C2" s="313"/>
      <c r="D2" s="313"/>
      <c r="E2" s="313"/>
      <c r="F2" s="313"/>
      <c r="G2" s="313"/>
      <c r="H2" s="313"/>
    </row>
    <row r="3" spans="1:20" ht="26.25" customHeight="1" x14ac:dyDescent="0.2">
      <c r="A3" s="217" t="s">
        <v>133</v>
      </c>
      <c r="B3" s="218">
        <v>44256</v>
      </c>
      <c r="C3" s="219"/>
      <c r="D3" s="217"/>
      <c r="E3" s="217"/>
      <c r="F3" s="217"/>
      <c r="G3" s="220"/>
      <c r="H3" s="221"/>
    </row>
    <row r="4" spans="1:20" ht="42" customHeight="1" x14ac:dyDescent="0.2">
      <c r="A4" s="222" t="s">
        <v>5</v>
      </c>
      <c r="B4" s="223" t="s">
        <v>134</v>
      </c>
      <c r="C4" s="223" t="s">
        <v>135</v>
      </c>
      <c r="D4" s="223" t="s">
        <v>136</v>
      </c>
      <c r="E4" s="223" t="s">
        <v>137</v>
      </c>
      <c r="F4" s="224" t="s">
        <v>7</v>
      </c>
      <c r="G4" s="225" t="s">
        <v>37</v>
      </c>
      <c r="H4" s="225" t="s">
        <v>138</v>
      </c>
    </row>
    <row r="5" spans="1:20" ht="24" customHeight="1" x14ac:dyDescent="0.2">
      <c r="A5" s="314">
        <v>44256</v>
      </c>
      <c r="B5" s="315"/>
      <c r="C5" s="315"/>
      <c r="D5" s="315"/>
      <c r="E5" s="315"/>
      <c r="F5" s="316"/>
      <c r="G5" s="226">
        <v>180</v>
      </c>
      <c r="H5" s="226"/>
    </row>
    <row r="6" spans="1:20" ht="21.75" customHeight="1" x14ac:dyDescent="0.2">
      <c r="A6" s="227">
        <v>1</v>
      </c>
      <c r="B6" s="203">
        <v>0</v>
      </c>
      <c r="C6" s="203">
        <v>4</v>
      </c>
      <c r="D6" s="203">
        <v>2</v>
      </c>
      <c r="E6" s="143">
        <v>0</v>
      </c>
      <c r="F6" s="228">
        <f>SUM(B6:E6)</f>
        <v>6</v>
      </c>
      <c r="G6" s="229">
        <f>F6*45</f>
        <v>270</v>
      </c>
      <c r="H6" s="230">
        <f>WATER!W6/31</f>
        <v>2.5354838709677416</v>
      </c>
    </row>
    <row r="7" spans="1:20" ht="21.75" customHeight="1" x14ac:dyDescent="0.2">
      <c r="A7" s="227">
        <v>2</v>
      </c>
      <c r="B7" s="203">
        <v>3</v>
      </c>
      <c r="C7" s="200">
        <v>0</v>
      </c>
      <c r="D7" s="203">
        <v>0</v>
      </c>
      <c r="E7" s="143">
        <v>5</v>
      </c>
      <c r="F7" s="228">
        <f t="shared" ref="F7:F36" si="0">SUM(B7:E7)</f>
        <v>8</v>
      </c>
      <c r="G7" s="229">
        <f t="shared" ref="G7:G36" si="1">F7*45</f>
        <v>360</v>
      </c>
      <c r="H7" s="230">
        <f>WATER!W7</f>
        <v>78.599999999999994</v>
      </c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</row>
    <row r="8" spans="1:20" ht="21.75" customHeight="1" x14ac:dyDescent="0.2">
      <c r="A8" s="227">
        <v>3</v>
      </c>
      <c r="B8" s="203">
        <v>2</v>
      </c>
      <c r="C8" s="200">
        <v>0</v>
      </c>
      <c r="D8" s="203">
        <v>1</v>
      </c>
      <c r="E8" s="143">
        <v>0</v>
      </c>
      <c r="F8" s="228">
        <f t="shared" si="0"/>
        <v>3</v>
      </c>
      <c r="G8" s="229">
        <f t="shared" si="1"/>
        <v>135</v>
      </c>
      <c r="H8" s="230">
        <f>WATER!W8</f>
        <v>71.8</v>
      </c>
    </row>
    <row r="9" spans="1:20" ht="21.75" customHeight="1" x14ac:dyDescent="0.2">
      <c r="A9" s="227">
        <v>4</v>
      </c>
      <c r="B9" s="203">
        <v>1</v>
      </c>
      <c r="C9" s="200">
        <v>1</v>
      </c>
      <c r="D9" s="203">
        <v>0</v>
      </c>
      <c r="E9" s="143">
        <v>5</v>
      </c>
      <c r="F9" s="228">
        <f t="shared" si="0"/>
        <v>7</v>
      </c>
      <c r="G9" s="229">
        <f t="shared" si="1"/>
        <v>315</v>
      </c>
      <c r="H9" s="230">
        <f>WATER!W9</f>
        <v>69.900000000000006</v>
      </c>
    </row>
    <row r="10" spans="1:20" ht="21.75" customHeight="1" x14ac:dyDescent="0.2">
      <c r="A10" s="227">
        <v>5</v>
      </c>
      <c r="B10" s="203">
        <v>0</v>
      </c>
      <c r="C10" s="200">
        <v>0</v>
      </c>
      <c r="D10" s="203">
        <v>1</v>
      </c>
      <c r="E10" s="143">
        <v>0</v>
      </c>
      <c r="F10" s="228">
        <f t="shared" si="0"/>
        <v>1</v>
      </c>
      <c r="G10" s="229">
        <f t="shared" si="1"/>
        <v>45</v>
      </c>
      <c r="H10" s="230">
        <f>WATER!W10</f>
        <v>61.2</v>
      </c>
    </row>
    <row r="11" spans="1:20" ht="21.75" customHeight="1" x14ac:dyDescent="0.2">
      <c r="A11" s="227">
        <v>6</v>
      </c>
      <c r="B11" s="203">
        <v>1</v>
      </c>
      <c r="C11" s="200">
        <v>0</v>
      </c>
      <c r="D11" s="203">
        <v>1</v>
      </c>
      <c r="E11" s="143">
        <v>5</v>
      </c>
      <c r="F11" s="228">
        <f t="shared" si="0"/>
        <v>7</v>
      </c>
      <c r="G11" s="229">
        <f t="shared" si="1"/>
        <v>315</v>
      </c>
      <c r="H11" s="230">
        <f>WATER!W11</f>
        <v>60.2</v>
      </c>
    </row>
    <row r="12" spans="1:20" ht="21.75" customHeight="1" x14ac:dyDescent="0.2">
      <c r="A12" s="227">
        <v>7</v>
      </c>
      <c r="B12" s="203">
        <v>0</v>
      </c>
      <c r="C12" s="200">
        <v>0</v>
      </c>
      <c r="D12" s="203">
        <v>0</v>
      </c>
      <c r="E12" s="143">
        <v>0</v>
      </c>
      <c r="F12" s="228">
        <f t="shared" si="0"/>
        <v>0</v>
      </c>
      <c r="G12" s="229">
        <f t="shared" si="1"/>
        <v>0</v>
      </c>
      <c r="H12" s="230">
        <f>WATER!W12</f>
        <v>55.3</v>
      </c>
    </row>
    <row r="13" spans="1:20" ht="21.75" customHeight="1" x14ac:dyDescent="0.2">
      <c r="A13" s="227">
        <v>8</v>
      </c>
      <c r="B13" s="203">
        <v>4</v>
      </c>
      <c r="C13" s="200">
        <v>2</v>
      </c>
      <c r="D13" s="203">
        <v>1</v>
      </c>
      <c r="E13" s="143">
        <v>5</v>
      </c>
      <c r="F13" s="228">
        <f t="shared" si="0"/>
        <v>12</v>
      </c>
      <c r="G13" s="229">
        <f t="shared" si="1"/>
        <v>540</v>
      </c>
      <c r="H13" s="230">
        <f>WATER!W13</f>
        <v>53.4</v>
      </c>
    </row>
    <row r="14" spans="1:20" ht="21.75" customHeight="1" x14ac:dyDescent="0.2">
      <c r="A14" s="227">
        <v>9</v>
      </c>
      <c r="B14" s="203">
        <v>0</v>
      </c>
      <c r="C14" s="200">
        <v>0</v>
      </c>
      <c r="D14" s="203">
        <v>0</v>
      </c>
      <c r="E14" s="143">
        <v>0</v>
      </c>
      <c r="F14" s="228">
        <f t="shared" si="0"/>
        <v>0</v>
      </c>
      <c r="G14" s="229">
        <f t="shared" si="1"/>
        <v>0</v>
      </c>
      <c r="H14" s="230">
        <f>WATER!W14</f>
        <v>45.6</v>
      </c>
    </row>
    <row r="15" spans="1:20" ht="21.75" customHeight="1" x14ac:dyDescent="0.2">
      <c r="A15" s="227">
        <v>10</v>
      </c>
      <c r="B15" s="203">
        <v>2</v>
      </c>
      <c r="C15" s="200">
        <v>0</v>
      </c>
      <c r="D15" s="203">
        <v>1</v>
      </c>
      <c r="E15" s="143">
        <v>5</v>
      </c>
      <c r="F15" s="228">
        <f t="shared" si="0"/>
        <v>8</v>
      </c>
      <c r="G15" s="229">
        <f t="shared" si="1"/>
        <v>360</v>
      </c>
      <c r="H15" s="230">
        <f>WATER!W15</f>
        <v>41.7</v>
      </c>
    </row>
    <row r="16" spans="1:20" ht="21.75" customHeight="1" x14ac:dyDescent="0.2">
      <c r="A16" s="227">
        <v>11</v>
      </c>
      <c r="B16" s="203">
        <v>0</v>
      </c>
      <c r="C16" s="200">
        <v>0</v>
      </c>
      <c r="D16" s="203">
        <v>0</v>
      </c>
      <c r="E16" s="143">
        <v>0</v>
      </c>
      <c r="F16" s="228">
        <f t="shared" si="0"/>
        <v>0</v>
      </c>
      <c r="G16" s="229">
        <f t="shared" si="1"/>
        <v>0</v>
      </c>
      <c r="H16" s="230">
        <f>WATER!W16</f>
        <v>43.7</v>
      </c>
    </row>
    <row r="17" spans="1:8" ht="21.75" customHeight="1" x14ac:dyDescent="0.2">
      <c r="A17" s="227">
        <v>12</v>
      </c>
      <c r="B17" s="203">
        <v>0</v>
      </c>
      <c r="C17" s="200">
        <v>0</v>
      </c>
      <c r="D17" s="203">
        <v>0</v>
      </c>
      <c r="E17" s="143">
        <v>4</v>
      </c>
      <c r="F17" s="228">
        <f t="shared" si="0"/>
        <v>4</v>
      </c>
      <c r="G17" s="229">
        <f t="shared" si="1"/>
        <v>180</v>
      </c>
      <c r="H17" s="230">
        <f>WATER!W17</f>
        <v>42.7</v>
      </c>
    </row>
    <row r="18" spans="1:8" ht="21.75" customHeight="1" x14ac:dyDescent="0.2">
      <c r="A18" s="227">
        <v>13</v>
      </c>
      <c r="B18" s="203">
        <v>2</v>
      </c>
      <c r="C18" s="203">
        <v>0</v>
      </c>
      <c r="D18" s="200">
        <v>1</v>
      </c>
      <c r="E18" s="143">
        <v>0</v>
      </c>
      <c r="F18" s="228">
        <f t="shared" si="0"/>
        <v>3</v>
      </c>
      <c r="G18" s="229">
        <f t="shared" si="1"/>
        <v>135</v>
      </c>
      <c r="H18" s="230">
        <f>WATER!W18</f>
        <v>43.7</v>
      </c>
    </row>
    <row r="19" spans="1:8" ht="21.75" customHeight="1" x14ac:dyDescent="0.2">
      <c r="A19" s="227">
        <v>14</v>
      </c>
      <c r="B19" s="200">
        <v>0</v>
      </c>
      <c r="C19" s="200">
        <v>0</v>
      </c>
      <c r="D19" s="200">
        <v>0</v>
      </c>
      <c r="E19" s="143">
        <v>5</v>
      </c>
      <c r="F19" s="228">
        <f t="shared" si="0"/>
        <v>5</v>
      </c>
      <c r="G19" s="229">
        <f t="shared" si="1"/>
        <v>225</v>
      </c>
      <c r="H19" s="230">
        <f>WATER!W19</f>
        <v>39.799999999999997</v>
      </c>
    </row>
    <row r="20" spans="1:8" ht="21.75" customHeight="1" x14ac:dyDescent="0.2">
      <c r="A20" s="227">
        <v>15</v>
      </c>
      <c r="B20" s="200">
        <v>3</v>
      </c>
      <c r="C20" s="200">
        <v>2</v>
      </c>
      <c r="D20" s="200">
        <v>0</v>
      </c>
      <c r="E20" s="143">
        <v>0</v>
      </c>
      <c r="F20" s="228">
        <f t="shared" si="0"/>
        <v>5</v>
      </c>
      <c r="G20" s="229">
        <f t="shared" si="1"/>
        <v>225</v>
      </c>
      <c r="H20" s="230">
        <f>WATER!W20</f>
        <v>39.799999999999997</v>
      </c>
    </row>
    <row r="21" spans="1:8" ht="21.75" customHeight="1" x14ac:dyDescent="0.2">
      <c r="A21" s="227">
        <v>16</v>
      </c>
      <c r="B21" s="200">
        <v>1</v>
      </c>
      <c r="C21" s="203">
        <v>0</v>
      </c>
      <c r="D21" s="200">
        <v>1</v>
      </c>
      <c r="E21" s="143">
        <v>5</v>
      </c>
      <c r="F21" s="228">
        <f t="shared" si="0"/>
        <v>7</v>
      </c>
      <c r="G21" s="229">
        <f t="shared" si="1"/>
        <v>315</v>
      </c>
      <c r="H21" s="230">
        <f>WATER!W21</f>
        <v>41</v>
      </c>
    </row>
    <row r="22" spans="1:8" ht="21.75" customHeight="1" x14ac:dyDescent="0.2">
      <c r="A22" s="227">
        <v>17</v>
      </c>
      <c r="B22" s="200">
        <v>0</v>
      </c>
      <c r="C22" s="200">
        <v>0</v>
      </c>
      <c r="D22" s="200">
        <v>0</v>
      </c>
      <c r="E22" s="143">
        <v>0</v>
      </c>
      <c r="F22" s="228">
        <f t="shared" si="0"/>
        <v>0</v>
      </c>
      <c r="G22" s="229">
        <f t="shared" si="1"/>
        <v>0</v>
      </c>
      <c r="H22" s="230">
        <f>WATER!W22</f>
        <v>42.7</v>
      </c>
    </row>
    <row r="23" spans="1:8" ht="21.75" customHeight="1" x14ac:dyDescent="0.2">
      <c r="A23" s="227">
        <v>18</v>
      </c>
      <c r="B23" s="200">
        <v>2</v>
      </c>
      <c r="C23" s="200">
        <v>0</v>
      </c>
      <c r="D23" s="200">
        <v>1</v>
      </c>
      <c r="E23" s="143">
        <v>5</v>
      </c>
      <c r="F23" s="228">
        <f t="shared" si="0"/>
        <v>8</v>
      </c>
      <c r="G23" s="229">
        <f t="shared" si="1"/>
        <v>360</v>
      </c>
      <c r="H23" s="230">
        <f>WATER!W23</f>
        <v>43.7</v>
      </c>
    </row>
    <row r="24" spans="1:8" ht="21.75" customHeight="1" x14ac:dyDescent="0.2">
      <c r="A24" s="227">
        <v>19</v>
      </c>
      <c r="B24" s="200">
        <v>0</v>
      </c>
      <c r="C24" s="203">
        <v>0</v>
      </c>
      <c r="D24" s="200">
        <v>0</v>
      </c>
      <c r="E24" s="143">
        <v>0</v>
      </c>
      <c r="F24" s="228">
        <f t="shared" si="0"/>
        <v>0</v>
      </c>
      <c r="G24" s="229">
        <f t="shared" si="1"/>
        <v>0</v>
      </c>
      <c r="H24" s="230">
        <f>WATER!W24</f>
        <v>47.6</v>
      </c>
    </row>
    <row r="25" spans="1:8" ht="21.75" customHeight="1" x14ac:dyDescent="0.2">
      <c r="A25" s="227">
        <v>20</v>
      </c>
      <c r="B25" s="200">
        <v>2</v>
      </c>
      <c r="C25" s="200">
        <v>2</v>
      </c>
      <c r="D25" s="200">
        <v>2</v>
      </c>
      <c r="E25" s="143">
        <v>5</v>
      </c>
      <c r="F25" s="228">
        <f t="shared" si="0"/>
        <v>11</v>
      </c>
      <c r="G25" s="229">
        <f t="shared" si="1"/>
        <v>495</v>
      </c>
      <c r="H25" s="230">
        <f>WATER!W25</f>
        <v>0</v>
      </c>
    </row>
    <row r="26" spans="1:8" ht="21.75" customHeight="1" x14ac:dyDescent="0.2">
      <c r="A26" s="227">
        <v>21</v>
      </c>
      <c r="B26" s="200"/>
      <c r="C26" s="200"/>
      <c r="D26" s="200"/>
      <c r="E26" s="143"/>
      <c r="F26" s="228">
        <f t="shared" si="0"/>
        <v>0</v>
      </c>
      <c r="G26" s="229">
        <f t="shared" si="1"/>
        <v>0</v>
      </c>
      <c r="H26" s="230">
        <f>WATER!W26</f>
        <v>0</v>
      </c>
    </row>
    <row r="27" spans="1:8" ht="21.75" customHeight="1" x14ac:dyDescent="0.2">
      <c r="A27" s="227">
        <v>22</v>
      </c>
      <c r="B27" s="200"/>
      <c r="C27" s="203"/>
      <c r="D27" s="200"/>
      <c r="E27" s="143"/>
      <c r="F27" s="228">
        <f t="shared" si="0"/>
        <v>0</v>
      </c>
      <c r="G27" s="229">
        <f t="shared" si="1"/>
        <v>0</v>
      </c>
      <c r="H27" s="230">
        <f>WATER!W27</f>
        <v>0</v>
      </c>
    </row>
    <row r="28" spans="1:8" ht="21.75" customHeight="1" x14ac:dyDescent="0.2">
      <c r="A28" s="227">
        <v>23</v>
      </c>
      <c r="B28" s="200"/>
      <c r="C28" s="200"/>
      <c r="D28" s="200"/>
      <c r="E28" s="143"/>
      <c r="F28" s="228">
        <f t="shared" si="0"/>
        <v>0</v>
      </c>
      <c r="G28" s="229">
        <f t="shared" si="1"/>
        <v>0</v>
      </c>
      <c r="H28" s="230">
        <f>WATER!W28</f>
        <v>0</v>
      </c>
    </row>
    <row r="29" spans="1:8" ht="21.75" customHeight="1" x14ac:dyDescent="0.2">
      <c r="A29" s="227">
        <v>24</v>
      </c>
      <c r="B29" s="200"/>
      <c r="C29" s="200"/>
      <c r="D29" s="200"/>
      <c r="E29" s="143"/>
      <c r="F29" s="228">
        <f t="shared" si="0"/>
        <v>0</v>
      </c>
      <c r="G29" s="229">
        <f t="shared" si="1"/>
        <v>0</v>
      </c>
      <c r="H29" s="230">
        <f>WATER!W29</f>
        <v>0</v>
      </c>
    </row>
    <row r="30" spans="1:8" ht="21.75" customHeight="1" x14ac:dyDescent="0.2">
      <c r="A30" s="227">
        <v>25</v>
      </c>
      <c r="B30" s="200"/>
      <c r="C30" s="203"/>
      <c r="D30" s="200"/>
      <c r="E30" s="143"/>
      <c r="F30" s="228">
        <f t="shared" si="0"/>
        <v>0</v>
      </c>
      <c r="G30" s="229">
        <f t="shared" si="1"/>
        <v>0</v>
      </c>
      <c r="H30" s="230">
        <f>WATER!W30</f>
        <v>0</v>
      </c>
    </row>
    <row r="31" spans="1:8" ht="21.75" customHeight="1" x14ac:dyDescent="0.2">
      <c r="A31" s="227">
        <v>26</v>
      </c>
      <c r="B31" s="200"/>
      <c r="C31" s="200"/>
      <c r="D31" s="200"/>
      <c r="E31" s="143"/>
      <c r="F31" s="228">
        <f t="shared" si="0"/>
        <v>0</v>
      </c>
      <c r="G31" s="229">
        <f t="shared" si="1"/>
        <v>0</v>
      </c>
      <c r="H31" s="230">
        <f>WATER!W31</f>
        <v>0</v>
      </c>
    </row>
    <row r="32" spans="1:8" ht="21.75" customHeight="1" x14ac:dyDescent="0.2">
      <c r="A32" s="227">
        <v>27</v>
      </c>
      <c r="B32" s="200"/>
      <c r="C32" s="200"/>
      <c r="D32" s="200"/>
      <c r="E32" s="143"/>
      <c r="F32" s="228">
        <f t="shared" si="0"/>
        <v>0</v>
      </c>
      <c r="G32" s="229">
        <f t="shared" si="1"/>
        <v>0</v>
      </c>
      <c r="H32" s="230">
        <f>WATER!W32</f>
        <v>0</v>
      </c>
    </row>
    <row r="33" spans="1:8" ht="21.75" customHeight="1" x14ac:dyDescent="0.2">
      <c r="A33" s="227">
        <v>28</v>
      </c>
      <c r="B33" s="200"/>
      <c r="C33" s="203"/>
      <c r="D33" s="200"/>
      <c r="E33" s="143"/>
      <c r="F33" s="228">
        <f t="shared" si="0"/>
        <v>0</v>
      </c>
      <c r="G33" s="229">
        <f t="shared" si="1"/>
        <v>0</v>
      </c>
      <c r="H33" s="230">
        <f>WATER!W33</f>
        <v>0</v>
      </c>
    </row>
    <row r="34" spans="1:8" ht="21.75" customHeight="1" x14ac:dyDescent="0.2">
      <c r="A34" s="227">
        <v>29</v>
      </c>
      <c r="B34" s="200"/>
      <c r="C34" s="200"/>
      <c r="D34" s="200"/>
      <c r="E34" s="143"/>
      <c r="F34" s="228">
        <f t="shared" si="0"/>
        <v>0</v>
      </c>
      <c r="G34" s="229">
        <f t="shared" si="1"/>
        <v>0</v>
      </c>
      <c r="H34" s="230">
        <f>WATER!W34</f>
        <v>0</v>
      </c>
    </row>
    <row r="35" spans="1:8" ht="21.75" customHeight="1" x14ac:dyDescent="0.2">
      <c r="A35" s="227">
        <v>30</v>
      </c>
      <c r="B35" s="200"/>
      <c r="C35" s="200"/>
      <c r="D35" s="200"/>
      <c r="E35" s="143"/>
      <c r="F35" s="228">
        <f t="shared" si="0"/>
        <v>0</v>
      </c>
      <c r="G35" s="229">
        <f t="shared" si="1"/>
        <v>0</v>
      </c>
      <c r="H35" s="230">
        <f>WATER!W35</f>
        <v>0</v>
      </c>
    </row>
    <row r="36" spans="1:8" ht="21.75" customHeight="1" x14ac:dyDescent="0.2">
      <c r="A36" s="227">
        <v>31</v>
      </c>
      <c r="B36" s="200"/>
      <c r="C36" s="200"/>
      <c r="D36" s="200"/>
      <c r="E36" s="143"/>
      <c r="F36" s="228">
        <f t="shared" si="0"/>
        <v>0</v>
      </c>
      <c r="G36" s="229">
        <f t="shared" si="1"/>
        <v>0</v>
      </c>
      <c r="H36" s="230">
        <f>WATER!W36</f>
        <v>0</v>
      </c>
    </row>
    <row r="37" spans="1:8" ht="21" customHeight="1" x14ac:dyDescent="0.2">
      <c r="A37" s="231" t="s">
        <v>7</v>
      </c>
      <c r="B37" s="231"/>
      <c r="C37" s="231"/>
      <c r="D37" s="232"/>
      <c r="E37" s="232">
        <f>SUM(E6:E36)</f>
        <v>49</v>
      </c>
      <c r="F37" s="233">
        <f>SUM(F6:F36)</f>
        <v>95</v>
      </c>
      <c r="G37" s="229">
        <f>SUM(G6:G36)</f>
        <v>4275</v>
      </c>
      <c r="H37" s="230">
        <f>SUM(H6:H36)/30</f>
        <v>30.831182795698929</v>
      </c>
    </row>
  </sheetData>
  <mergeCells count="3">
    <mergeCell ref="A1:B1"/>
    <mergeCell ref="A2:H2"/>
    <mergeCell ref="A5:F5"/>
  </mergeCells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topLeftCell="A7" workbookViewId="0">
      <selection activeCell="J22" sqref="J22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18">
        <v>44256</v>
      </c>
      <c r="C1" s="318"/>
      <c r="D1" s="318"/>
      <c r="E1" s="318"/>
      <c r="F1" s="318"/>
      <c r="G1" s="318"/>
      <c r="H1" s="318"/>
    </row>
    <row r="2" spans="2:14" ht="15.75" customHeight="1" x14ac:dyDescent="0.2">
      <c r="B2" s="318"/>
      <c r="C2" s="318"/>
      <c r="D2" s="318"/>
      <c r="E2" s="318"/>
      <c r="F2" s="318"/>
      <c r="G2" s="318"/>
      <c r="H2" s="318"/>
    </row>
    <row r="3" spans="2:14" ht="28.5" customHeight="1" x14ac:dyDescent="0.2">
      <c r="B3" s="319" t="s">
        <v>89</v>
      </c>
      <c r="C3" s="319"/>
      <c r="D3" s="319"/>
      <c r="E3" s="319"/>
      <c r="F3" s="319"/>
      <c r="G3" s="319"/>
      <c r="H3" s="319"/>
    </row>
    <row r="4" spans="2:14" x14ac:dyDescent="0.2">
      <c r="B4" s="139" t="s">
        <v>42</v>
      </c>
      <c r="C4" s="139" t="s">
        <v>84</v>
      </c>
      <c r="D4" s="139" t="s">
        <v>85</v>
      </c>
      <c r="E4" s="139" t="s">
        <v>86</v>
      </c>
      <c r="F4" s="139" t="s">
        <v>87</v>
      </c>
      <c r="G4" s="139" t="s">
        <v>88</v>
      </c>
      <c r="H4" s="139" t="s">
        <v>7</v>
      </c>
    </row>
    <row r="5" spans="2:14" x14ac:dyDescent="0.2">
      <c r="B5" s="137">
        <v>1</v>
      </c>
      <c r="C5" s="138">
        <f>'GENSET #1'!D10</f>
        <v>2987</v>
      </c>
      <c r="D5" s="138">
        <f>'GENSET #2'!D10</f>
        <v>13818</v>
      </c>
      <c r="E5" s="138">
        <f>'GENSET #3'!D10</f>
        <v>8502</v>
      </c>
      <c r="F5" s="138">
        <f>'GENSET #4'!D10</f>
        <v>3018</v>
      </c>
      <c r="G5" s="138">
        <f>'GENSET #5'!D10</f>
        <v>2137</v>
      </c>
      <c r="H5" s="142">
        <f>SUM(C5:G5)</f>
        <v>30462</v>
      </c>
    </row>
    <row r="6" spans="2:14" x14ac:dyDescent="0.2">
      <c r="B6" s="132">
        <v>2</v>
      </c>
      <c r="C6" s="18">
        <f>'GENSET #1'!D11</f>
        <v>3704</v>
      </c>
      <c r="D6" s="18">
        <f>'GENSET #2'!D11</f>
        <v>12899</v>
      </c>
      <c r="E6" s="18">
        <f>'GENSET #3'!D11</f>
        <v>7142</v>
      </c>
      <c r="F6" s="18">
        <f>'GENSET #4'!D11</f>
        <v>3843</v>
      </c>
      <c r="G6" s="18">
        <f>'GENSET #5'!D11</f>
        <v>3686</v>
      </c>
      <c r="H6" s="142">
        <f>SUM(C6:G6)</f>
        <v>31274</v>
      </c>
    </row>
    <row r="7" spans="2:14" x14ac:dyDescent="0.2">
      <c r="B7" s="137">
        <v>3</v>
      </c>
      <c r="C7" s="138">
        <f>'GENSET #1'!D12</f>
        <v>3861</v>
      </c>
      <c r="D7" s="138">
        <f>'GENSET #2'!D12</f>
        <v>13118</v>
      </c>
      <c r="E7" s="138">
        <f>'GENSET #3'!D12</f>
        <v>405</v>
      </c>
      <c r="F7" s="138">
        <f>'GENSET #4'!D12</f>
        <v>2607</v>
      </c>
      <c r="G7" s="138">
        <f>'GENSET #5'!D12</f>
        <v>10275</v>
      </c>
      <c r="H7" s="142">
        <f t="shared" ref="H7:H35" si="0">SUM(C7:G7)</f>
        <v>30266</v>
      </c>
    </row>
    <row r="8" spans="2:14" x14ac:dyDescent="0.2">
      <c r="B8" s="132">
        <v>4</v>
      </c>
      <c r="C8" s="18">
        <f>'GENSET #1'!D13</f>
        <v>10000</v>
      </c>
      <c r="D8" s="18">
        <f>'GENSET #2'!D13</f>
        <v>7080</v>
      </c>
      <c r="E8" s="18">
        <f>'GENSET #3'!D13</f>
        <v>5121</v>
      </c>
      <c r="F8" s="18">
        <f>'GENSET #4'!D13</f>
        <v>2108</v>
      </c>
      <c r="G8" s="18">
        <f>'GENSET #5'!D13</f>
        <v>4786</v>
      </c>
      <c r="H8" s="142">
        <f t="shared" si="0"/>
        <v>29095</v>
      </c>
    </row>
    <row r="9" spans="2:14" x14ac:dyDescent="0.2">
      <c r="B9" s="137">
        <v>5</v>
      </c>
      <c r="C9" s="138">
        <f>'GENSET #1'!D14</f>
        <v>4096</v>
      </c>
      <c r="D9" s="138">
        <f>'GENSET #2'!D14</f>
        <v>13814</v>
      </c>
      <c r="E9" s="138">
        <f>'GENSET #3'!D14</f>
        <v>6735</v>
      </c>
      <c r="F9" s="138">
        <f>'GENSET #4'!D14</f>
        <v>2661</v>
      </c>
      <c r="G9" s="138">
        <f>'GENSET #5'!D14</f>
        <v>3065</v>
      </c>
      <c r="H9" s="142">
        <f t="shared" si="0"/>
        <v>30371</v>
      </c>
    </row>
    <row r="10" spans="2:14" x14ac:dyDescent="0.2">
      <c r="B10" s="132">
        <v>6</v>
      </c>
      <c r="C10" s="18">
        <f>'GENSET #1'!D15</f>
        <v>3824</v>
      </c>
      <c r="D10" s="18">
        <f>'GENSET #2'!D15</f>
        <v>12365</v>
      </c>
      <c r="E10" s="18">
        <f>'GENSET #3'!D15</f>
        <v>6919</v>
      </c>
      <c r="F10" s="18">
        <f>'GENSET #4'!D15</f>
        <v>4115</v>
      </c>
      <c r="G10" s="18">
        <f>'GENSET #5'!D15</f>
        <v>3854</v>
      </c>
      <c r="H10" s="142">
        <f t="shared" si="0"/>
        <v>31077</v>
      </c>
      <c r="K10" s="141"/>
      <c r="L10" s="141"/>
      <c r="M10" s="141"/>
      <c r="N10" s="141"/>
    </row>
    <row r="11" spans="2:14" x14ac:dyDescent="0.2">
      <c r="B11" s="137">
        <v>7</v>
      </c>
      <c r="C11" s="138">
        <f>'GENSET #1'!D16</f>
        <v>5406</v>
      </c>
      <c r="D11" s="138">
        <f>'GENSET #2'!D16</f>
        <v>12160</v>
      </c>
      <c r="E11" s="138">
        <f>'GENSET #3'!D16</f>
        <v>6757</v>
      </c>
      <c r="F11" s="138">
        <f>'GENSET #4'!D16</f>
        <v>2447</v>
      </c>
      <c r="G11" s="138">
        <f>'GENSET #5'!D16</f>
        <v>4109</v>
      </c>
      <c r="H11" s="142">
        <f t="shared" si="0"/>
        <v>30879</v>
      </c>
      <c r="K11" s="141"/>
      <c r="L11" s="141"/>
      <c r="M11" s="141"/>
      <c r="N11" s="141"/>
    </row>
    <row r="12" spans="2:14" x14ac:dyDescent="0.2">
      <c r="B12" s="132">
        <v>8</v>
      </c>
      <c r="C12" s="18">
        <f>'GENSET #1'!D17</f>
        <v>11370</v>
      </c>
      <c r="D12" s="18">
        <f>'GENSET #2'!D17</f>
        <v>122</v>
      </c>
      <c r="E12" s="18">
        <f>'GENSET #3'!D17</f>
        <v>6889</v>
      </c>
      <c r="F12" s="18">
        <f>'GENSET #4'!D17</f>
        <v>635</v>
      </c>
      <c r="G12" s="18">
        <f>'GENSET #5'!D17</f>
        <v>11399</v>
      </c>
      <c r="H12" s="142">
        <f t="shared" si="0"/>
        <v>30415</v>
      </c>
      <c r="K12" s="141"/>
      <c r="L12" s="141"/>
      <c r="M12" s="141"/>
      <c r="N12" s="141"/>
    </row>
    <row r="13" spans="2:14" x14ac:dyDescent="0.2">
      <c r="B13" s="137">
        <v>9</v>
      </c>
      <c r="C13" s="138">
        <f>'GENSET #1'!D18</f>
        <v>1640</v>
      </c>
      <c r="D13" s="138">
        <f>'GENSET #2'!D18</f>
        <v>17206</v>
      </c>
      <c r="E13" s="138">
        <f>'GENSET #3'!D18</f>
        <v>8255</v>
      </c>
      <c r="F13" s="138">
        <f>'GENSET #4'!D18</f>
        <v>2906</v>
      </c>
      <c r="G13" s="138">
        <f>'GENSET #5'!D18</f>
        <v>1003</v>
      </c>
      <c r="H13" s="142">
        <f t="shared" si="0"/>
        <v>31010</v>
      </c>
      <c r="K13" s="141"/>
      <c r="L13" s="141"/>
      <c r="M13" s="141"/>
      <c r="N13" s="141"/>
    </row>
    <row r="14" spans="2:14" x14ac:dyDescent="0.2">
      <c r="B14" s="132">
        <v>10</v>
      </c>
      <c r="C14" s="18">
        <f>'GENSET #1'!D19</f>
        <v>8598</v>
      </c>
      <c r="D14" s="18">
        <f>'GENSET #2'!D19</f>
        <v>4223</v>
      </c>
      <c r="E14" s="18">
        <f>'GENSET #3'!D19</f>
        <v>6329</v>
      </c>
      <c r="F14" s="18">
        <f>'GENSET #4'!D19</f>
        <v>2065</v>
      </c>
      <c r="G14" s="18">
        <f>'GENSET #5'!D19</f>
        <v>6844</v>
      </c>
      <c r="H14" s="142">
        <f t="shared" si="0"/>
        <v>28059</v>
      </c>
      <c r="K14" s="141"/>
      <c r="L14" s="141"/>
      <c r="M14" s="141"/>
      <c r="N14" s="141"/>
    </row>
    <row r="15" spans="2:14" x14ac:dyDescent="0.2">
      <c r="B15" s="137">
        <v>11</v>
      </c>
      <c r="C15" s="138">
        <f>'GENSET #1'!D20</f>
        <v>10634</v>
      </c>
      <c r="D15" s="138">
        <f>'GENSET #2'!D20</f>
        <v>0</v>
      </c>
      <c r="E15" s="138">
        <f>'GENSET #3'!D20</f>
        <v>7401</v>
      </c>
      <c r="F15" s="138">
        <f>'GENSET #4'!D20</f>
        <v>2641</v>
      </c>
      <c r="G15" s="138">
        <f>'GENSET #5'!D20</f>
        <v>4139</v>
      </c>
      <c r="H15" s="142">
        <f t="shared" si="0"/>
        <v>24815</v>
      </c>
      <c r="K15" s="141"/>
      <c r="L15" s="141"/>
      <c r="M15" s="141"/>
      <c r="N15" s="141"/>
    </row>
    <row r="16" spans="2:14" x14ac:dyDescent="0.2">
      <c r="B16" s="132">
        <v>12</v>
      </c>
      <c r="C16" s="18">
        <f>'GENSET #1'!D21</f>
        <v>6064</v>
      </c>
      <c r="D16" s="18">
        <f>'GENSET #2'!D21</f>
        <v>7872</v>
      </c>
      <c r="E16" s="18">
        <f>'GENSET #3'!D21</f>
        <v>5955</v>
      </c>
      <c r="F16" s="18">
        <f>'GENSET #4'!D21</f>
        <v>442</v>
      </c>
      <c r="G16" s="18">
        <f>'GENSET #5'!D21</f>
        <v>6060</v>
      </c>
      <c r="H16" s="142">
        <f t="shared" si="0"/>
        <v>26393</v>
      </c>
      <c r="K16" s="141"/>
      <c r="L16" s="141"/>
      <c r="M16" s="141"/>
      <c r="N16" s="141"/>
    </row>
    <row r="17" spans="2:14" x14ac:dyDescent="0.2">
      <c r="B17" s="137">
        <v>13</v>
      </c>
      <c r="C17" s="138">
        <f>'GENSET #1'!D22</f>
        <v>0</v>
      </c>
      <c r="D17" s="138">
        <f>'GENSET #2'!D22</f>
        <v>18168</v>
      </c>
      <c r="E17" s="138">
        <f>'GENSET #3'!D22</f>
        <v>6508</v>
      </c>
      <c r="F17" s="138">
        <f>'GENSET #4'!D22</f>
        <v>2878</v>
      </c>
      <c r="G17" s="138">
        <f>'GENSET #5'!D22</f>
        <v>0</v>
      </c>
      <c r="H17" s="142">
        <f t="shared" si="0"/>
        <v>27554</v>
      </c>
      <c r="K17" s="141"/>
      <c r="L17" s="141"/>
      <c r="M17" s="141"/>
      <c r="N17" s="141"/>
    </row>
    <row r="18" spans="2:14" x14ac:dyDescent="0.2">
      <c r="B18" s="132">
        <v>14</v>
      </c>
      <c r="C18" s="18">
        <f>'GENSET #1'!D23</f>
        <v>0</v>
      </c>
      <c r="D18" s="18">
        <f>'GENSET #2'!D23</f>
        <v>12436</v>
      </c>
      <c r="E18" s="18">
        <f>'GENSET #3'!D23</f>
        <v>6693</v>
      </c>
      <c r="F18" s="18">
        <f>'GENSET #4'!D23</f>
        <v>2714</v>
      </c>
      <c r="G18" s="18">
        <f>'GENSET #5'!D23</f>
        <v>7510</v>
      </c>
      <c r="H18" s="142">
        <f t="shared" si="0"/>
        <v>29353</v>
      </c>
      <c r="K18" s="141"/>
      <c r="L18" s="141"/>
      <c r="M18" s="141"/>
      <c r="N18" s="141"/>
    </row>
    <row r="19" spans="2:14" x14ac:dyDescent="0.2">
      <c r="B19" s="137">
        <v>15</v>
      </c>
      <c r="C19" s="138">
        <f>'GENSET #1'!D24</f>
        <v>0</v>
      </c>
      <c r="D19" s="138">
        <f>'GENSET #2'!D24</f>
        <v>12723</v>
      </c>
      <c r="E19" s="138">
        <f>'GENSET #3'!D24</f>
        <v>7972</v>
      </c>
      <c r="F19" s="138">
        <f>'GENSET #4'!D24</f>
        <v>2725</v>
      </c>
      <c r="G19" s="138">
        <f>'GENSET #5'!D24</f>
        <v>5932</v>
      </c>
      <c r="H19" s="142">
        <f t="shared" si="0"/>
        <v>29352</v>
      </c>
      <c r="K19" s="141"/>
      <c r="L19" s="141"/>
      <c r="M19" s="141"/>
      <c r="N19" s="141"/>
    </row>
    <row r="20" spans="2:14" x14ac:dyDescent="0.2">
      <c r="B20" s="132">
        <v>16</v>
      </c>
      <c r="C20" s="18">
        <f>'GENSET #1'!D25</f>
        <v>0</v>
      </c>
      <c r="D20" s="18">
        <f>'GENSET #2'!D25</f>
        <v>12238</v>
      </c>
      <c r="E20" s="18">
        <f>'GENSET #3'!D25</f>
        <v>8034</v>
      </c>
      <c r="F20" s="18">
        <f>'GENSET #4'!D25</f>
        <v>2219</v>
      </c>
      <c r="G20" s="18">
        <f>'GENSET #5'!D25</f>
        <v>5677</v>
      </c>
      <c r="H20" s="142">
        <f t="shared" si="0"/>
        <v>28168</v>
      </c>
      <c r="K20" s="141"/>
      <c r="L20" s="141"/>
      <c r="M20" s="141"/>
      <c r="N20" s="141"/>
    </row>
    <row r="21" spans="2:14" x14ac:dyDescent="0.2">
      <c r="B21" s="137">
        <v>17</v>
      </c>
      <c r="C21" s="138">
        <f>'GENSET #1'!D26</f>
        <v>0</v>
      </c>
      <c r="D21" s="138">
        <f>'GENSET #2'!D26</f>
        <v>12186</v>
      </c>
      <c r="E21" s="138">
        <f>'GENSET #3'!D26</f>
        <v>7053</v>
      </c>
      <c r="F21" s="138">
        <f>'GENSET #4'!D26</f>
        <v>3395</v>
      </c>
      <c r="G21" s="138">
        <f>'GENSET #5'!D26</f>
        <v>5728</v>
      </c>
      <c r="H21" s="142">
        <f t="shared" si="0"/>
        <v>28362</v>
      </c>
      <c r="K21" s="141"/>
      <c r="L21" s="141"/>
      <c r="M21" s="141"/>
      <c r="N21" s="141"/>
    </row>
    <row r="22" spans="2:14" x14ac:dyDescent="0.2">
      <c r="B22" s="132">
        <v>18</v>
      </c>
      <c r="C22" s="18">
        <f>'GENSET #1'!D27</f>
        <v>0</v>
      </c>
      <c r="D22" s="18">
        <f>'GENSET #2'!D27</f>
        <v>9569</v>
      </c>
      <c r="E22" s="18">
        <f>'GENSET #3'!D27</f>
        <v>8033</v>
      </c>
      <c r="F22" s="18">
        <f>'GENSET #4'!D27</f>
        <v>2771</v>
      </c>
      <c r="G22" s="18">
        <f>'GENSET #5'!D27</f>
        <v>8408</v>
      </c>
      <c r="H22" s="142">
        <f t="shared" si="0"/>
        <v>28781</v>
      </c>
    </row>
    <row r="23" spans="2:14" x14ac:dyDescent="0.2">
      <c r="B23" s="137">
        <v>19</v>
      </c>
      <c r="C23" s="138">
        <f>'GENSET #1'!D28</f>
        <v>0</v>
      </c>
      <c r="D23" s="138">
        <f>'GENSET #2'!D28</f>
        <v>7560</v>
      </c>
      <c r="E23" s="138">
        <f>'GENSET #3'!D28</f>
        <v>8851</v>
      </c>
      <c r="F23" s="138">
        <f>'GENSET #4'!D28</f>
        <v>3826</v>
      </c>
      <c r="G23" s="138">
        <f>'GENSET #5'!D28</f>
        <v>9050</v>
      </c>
      <c r="H23" s="142">
        <f t="shared" si="0"/>
        <v>29287</v>
      </c>
    </row>
    <row r="24" spans="2:14" x14ac:dyDescent="0.2">
      <c r="B24" s="132">
        <v>20</v>
      </c>
      <c r="C24" s="18">
        <f>'GENSET #1'!D29</f>
        <v>0</v>
      </c>
      <c r="D24" s="18">
        <f>'GENSET #2'!D29</f>
        <v>13926</v>
      </c>
      <c r="E24" s="18">
        <f>'GENSET #3'!D29</f>
        <v>9694</v>
      </c>
      <c r="F24" s="18">
        <f>'GENSET #4'!D29</f>
        <v>2217</v>
      </c>
      <c r="G24" s="18">
        <f>'GENSET #5'!D29</f>
        <v>3430</v>
      </c>
      <c r="H24" s="142">
        <f t="shared" si="0"/>
        <v>29267</v>
      </c>
    </row>
    <row r="25" spans="2:14" x14ac:dyDescent="0.2">
      <c r="B25" s="137">
        <v>21</v>
      </c>
      <c r="C25" s="138">
        <f>'GENSET #1'!D30</f>
        <v>-17082256</v>
      </c>
      <c r="D25" s="138">
        <f>'GENSET #2'!D30</f>
        <v>-29138812</v>
      </c>
      <c r="E25" s="138">
        <f>'GENSET #3'!D30</f>
        <v>-12741421</v>
      </c>
      <c r="F25" s="138">
        <f>'GENSET #4'!D30</f>
        <v>-11520863</v>
      </c>
      <c r="G25" s="138">
        <f>'GENSET #5'!D30</f>
        <v>-17848426</v>
      </c>
      <c r="H25" s="142">
        <f t="shared" si="0"/>
        <v>-88331778</v>
      </c>
    </row>
    <row r="26" spans="2:14" x14ac:dyDescent="0.2">
      <c r="B26" s="132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42">
        <f t="shared" si="0"/>
        <v>0</v>
      </c>
    </row>
    <row r="27" spans="2:14" x14ac:dyDescent="0.2">
      <c r="B27" s="137">
        <v>23</v>
      </c>
      <c r="C27" s="138">
        <f>'GENSET #1'!D32</f>
        <v>0</v>
      </c>
      <c r="D27" s="138">
        <f>'GENSET #2'!D32</f>
        <v>0</v>
      </c>
      <c r="E27" s="138">
        <f>'GENSET #3'!D32</f>
        <v>0</v>
      </c>
      <c r="F27" s="138">
        <f>'GENSET #4'!D32</f>
        <v>0</v>
      </c>
      <c r="G27" s="138">
        <f>'GENSET #5'!D32</f>
        <v>0</v>
      </c>
      <c r="H27" s="142">
        <f t="shared" si="0"/>
        <v>0</v>
      </c>
    </row>
    <row r="28" spans="2:14" x14ac:dyDescent="0.2">
      <c r="B28" s="132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42">
        <f t="shared" si="0"/>
        <v>0</v>
      </c>
    </row>
    <row r="29" spans="2:14" x14ac:dyDescent="0.2">
      <c r="B29" s="137">
        <v>25</v>
      </c>
      <c r="C29" s="138">
        <f>'GENSET #1'!D34</f>
        <v>0</v>
      </c>
      <c r="D29" s="138">
        <f>'GENSET #2'!D34</f>
        <v>0</v>
      </c>
      <c r="E29" s="138">
        <f>'GENSET #3'!D34</f>
        <v>0</v>
      </c>
      <c r="F29" s="138">
        <f>'GENSET #4'!D34</f>
        <v>0</v>
      </c>
      <c r="G29" s="138">
        <f>'GENSET #5'!D34</f>
        <v>0</v>
      </c>
      <c r="H29" s="142">
        <f t="shared" si="0"/>
        <v>0</v>
      </c>
    </row>
    <row r="30" spans="2:14" x14ac:dyDescent="0.2">
      <c r="B30" s="132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42">
        <f t="shared" si="0"/>
        <v>0</v>
      </c>
    </row>
    <row r="31" spans="2:14" x14ac:dyDescent="0.2">
      <c r="B31" s="137">
        <v>27</v>
      </c>
      <c r="C31" s="138">
        <f>'GENSET #1'!D36</f>
        <v>0</v>
      </c>
      <c r="D31" s="138">
        <f>'GENSET #2'!D36</f>
        <v>0</v>
      </c>
      <c r="E31" s="138">
        <f>'GENSET #3'!D36</f>
        <v>0</v>
      </c>
      <c r="F31" s="138">
        <f>'GENSET #4'!D36</f>
        <v>0</v>
      </c>
      <c r="G31" s="138">
        <f>'GENSET #5'!D36</f>
        <v>0</v>
      </c>
      <c r="H31" s="142">
        <f t="shared" si="0"/>
        <v>0</v>
      </c>
    </row>
    <row r="32" spans="2:14" x14ac:dyDescent="0.2">
      <c r="B32" s="132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42">
        <f t="shared" si="0"/>
        <v>0</v>
      </c>
    </row>
    <row r="33" spans="1:8" x14ac:dyDescent="0.2">
      <c r="B33" s="137">
        <v>29</v>
      </c>
      <c r="C33" s="138">
        <f>'GENSET #1'!D38</f>
        <v>0</v>
      </c>
      <c r="D33" s="138">
        <f>'GENSET #2'!D38</f>
        <v>0</v>
      </c>
      <c r="E33" s="138">
        <f>'GENSET #3'!D38</f>
        <v>0</v>
      </c>
      <c r="F33" s="138">
        <f>'GENSET #4'!D38</f>
        <v>0</v>
      </c>
      <c r="G33" s="138">
        <f>'GENSET #5'!D38</f>
        <v>0</v>
      </c>
      <c r="H33" s="142">
        <f t="shared" si="0"/>
        <v>0</v>
      </c>
    </row>
    <row r="34" spans="1:8" x14ac:dyDescent="0.2">
      <c r="B34" s="132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42">
        <f t="shared" si="0"/>
        <v>0</v>
      </c>
    </row>
    <row r="35" spans="1:8" x14ac:dyDescent="0.2">
      <c r="B35" s="137">
        <v>31</v>
      </c>
      <c r="C35" s="18">
        <f>'GENSET #1'!D40</f>
        <v>0</v>
      </c>
      <c r="D35" s="18">
        <f>'GENSET #2'!D40</f>
        <v>0</v>
      </c>
      <c r="E35" s="18">
        <f>'GENSET #3'!D40</f>
        <v>0</v>
      </c>
      <c r="F35" s="18">
        <f>'GENSET #4'!D40</f>
        <v>0</v>
      </c>
      <c r="G35" s="18">
        <f>'GENSET #5'!D40</f>
        <v>0</v>
      </c>
      <c r="H35" s="142">
        <f t="shared" si="0"/>
        <v>0</v>
      </c>
    </row>
    <row r="36" spans="1:8" x14ac:dyDescent="0.2">
      <c r="A36" s="317" t="s">
        <v>90</v>
      </c>
      <c r="B36" s="317"/>
      <c r="C36" s="140">
        <f>SUM(C5:C35)</f>
        <v>-17010072</v>
      </c>
      <c r="D36" s="140">
        <f>SUM(D5:D35)</f>
        <v>-28925329</v>
      </c>
      <c r="E36" s="140">
        <f>SUM(E5:E35)</f>
        <v>-12602173</v>
      </c>
      <c r="F36" s="140">
        <f>SUM(F5:F35)</f>
        <v>-11468630</v>
      </c>
      <c r="G36" s="140">
        <f>SUM(G5:G35)</f>
        <v>-17741334</v>
      </c>
      <c r="H36" s="140"/>
    </row>
  </sheetData>
  <mergeCells count="3">
    <mergeCell ref="A36:B36"/>
    <mergeCell ref="B1:H2"/>
    <mergeCell ref="B3:H3"/>
  </mergeCells>
  <phoneticPr fontId="17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01">
        <v>44256</v>
      </c>
      <c r="C4" s="301"/>
      <c r="D4" s="10"/>
      <c r="E4" s="10"/>
      <c r="F4" s="133"/>
    </row>
    <row r="5" spans="1:10" ht="14.25" customHeight="1" x14ac:dyDescent="0.2">
      <c r="A5" s="6"/>
      <c r="B5" s="11"/>
      <c r="C5" s="11"/>
      <c r="D5" s="12"/>
      <c r="E5" s="10"/>
      <c r="F5" s="133"/>
    </row>
    <row r="7" spans="1:10" x14ac:dyDescent="0.2">
      <c r="A7" s="1" t="s">
        <v>8</v>
      </c>
    </row>
    <row r="8" spans="1:10" ht="24" customHeight="1" x14ac:dyDescent="0.2">
      <c r="A8" s="13" t="s">
        <v>58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85" t="s">
        <v>57</v>
      </c>
    </row>
    <row r="9" spans="1:10" x14ac:dyDescent="0.2">
      <c r="A9" s="6">
        <v>1</v>
      </c>
      <c r="B9" s="7">
        <f>SUM('GENSET #1:GENSET #5'!D10)</f>
        <v>30462</v>
      </c>
      <c r="C9" s="7">
        <f>'Diesel consumption'!D5</f>
        <v>8470</v>
      </c>
      <c r="D9" s="2">
        <f>'SOLAR METER READING'!D9</f>
        <v>3074</v>
      </c>
      <c r="E9" s="7">
        <f>'Gas-2'!G6</f>
        <v>270</v>
      </c>
      <c r="F9" s="134">
        <f>WATER!V6</f>
        <v>418</v>
      </c>
      <c r="G9" s="136">
        <f>WATER!W6</f>
        <v>78.599999999999994</v>
      </c>
      <c r="H9" s="15">
        <f>B9/C9</f>
        <v>3.5964580873671781</v>
      </c>
      <c r="I9" s="15">
        <f>SUM(B9,D9)</f>
        <v>33536</v>
      </c>
      <c r="J9" s="3"/>
    </row>
    <row r="10" spans="1:10" x14ac:dyDescent="0.2">
      <c r="A10" s="6">
        <v>2</v>
      </c>
      <c r="B10" s="7">
        <f>SUM('GENSET #1:GENSET #5'!D11)</f>
        <v>31274</v>
      </c>
      <c r="C10" s="7">
        <f>'Diesel consumption'!D6</f>
        <v>8650</v>
      </c>
      <c r="D10" s="2">
        <f>'SOLAR METER READING'!D10</f>
        <v>3257</v>
      </c>
      <c r="E10" s="7">
        <f>'Gas-2'!G7</f>
        <v>360</v>
      </c>
      <c r="F10" s="134">
        <f>WATER!V7</f>
        <v>386</v>
      </c>
      <c r="G10" s="136">
        <f>WATER!W7</f>
        <v>78.599999999999994</v>
      </c>
      <c r="H10" s="15">
        <f t="shared" ref="H10:H38" si="0">B10/C10</f>
        <v>3.6154913294797688</v>
      </c>
      <c r="I10" s="15">
        <f t="shared" ref="I10:I40" si="1">SUM(B10,D10)</f>
        <v>34531</v>
      </c>
    </row>
    <row r="11" spans="1:10" x14ac:dyDescent="0.2">
      <c r="A11" s="6">
        <v>3</v>
      </c>
      <c r="B11" s="7">
        <f>SUM('GENSET #1:GENSET #5'!D12)</f>
        <v>30266</v>
      </c>
      <c r="C11" s="7">
        <f>'Diesel consumption'!D7</f>
        <v>8340</v>
      </c>
      <c r="D11" s="2">
        <f>'SOLAR METER READING'!D11</f>
        <v>3651</v>
      </c>
      <c r="E11" s="7">
        <f>'Gas-2'!G8</f>
        <v>135</v>
      </c>
      <c r="F11" s="134">
        <f>WATER!V8</f>
        <v>452</v>
      </c>
      <c r="G11" s="136">
        <f>WATER!W8</f>
        <v>71.8</v>
      </c>
      <c r="H11" s="15">
        <f t="shared" si="0"/>
        <v>3.6290167865707432</v>
      </c>
      <c r="I11" s="15">
        <f t="shared" si="1"/>
        <v>33917</v>
      </c>
    </row>
    <row r="12" spans="1:10" x14ac:dyDescent="0.2">
      <c r="A12" s="6">
        <v>4</v>
      </c>
      <c r="B12" s="7">
        <f>SUM('GENSET #1:GENSET #5'!D13)</f>
        <v>29095</v>
      </c>
      <c r="C12" s="7">
        <f>'Diesel consumption'!D8</f>
        <v>8260</v>
      </c>
      <c r="D12" s="2">
        <f>'SOLAR METER READING'!D12</f>
        <v>2690</v>
      </c>
      <c r="E12" s="7">
        <f>'Gas-2'!G9</f>
        <v>315</v>
      </c>
      <c r="F12" s="134">
        <f>WATER!V9</f>
        <v>435</v>
      </c>
      <c r="G12" s="136">
        <f>WATER!W9</f>
        <v>69.900000000000006</v>
      </c>
      <c r="H12" s="15">
        <f t="shared" si="0"/>
        <v>3.5223970944309926</v>
      </c>
      <c r="I12" s="15">
        <f t="shared" si="1"/>
        <v>31785</v>
      </c>
    </row>
    <row r="13" spans="1:10" x14ac:dyDescent="0.2">
      <c r="A13" s="6">
        <v>5</v>
      </c>
      <c r="B13" s="7">
        <f>SUM('GENSET #1:GENSET #5'!D14)</f>
        <v>30371</v>
      </c>
      <c r="C13" s="7">
        <f>'Diesel consumption'!D9</f>
        <v>8550</v>
      </c>
      <c r="D13" s="2">
        <f>'SOLAR METER READING'!D13</f>
        <v>3273</v>
      </c>
      <c r="E13" s="7">
        <f>'Gas-2'!G10</f>
        <v>45</v>
      </c>
      <c r="F13" s="134">
        <f>WATER!V10</f>
        <v>444</v>
      </c>
      <c r="G13" s="136">
        <f>WATER!W10</f>
        <v>61.2</v>
      </c>
      <c r="H13" s="15">
        <f t="shared" si="0"/>
        <v>3.5521637426900585</v>
      </c>
      <c r="I13" s="15">
        <f t="shared" si="1"/>
        <v>33644</v>
      </c>
    </row>
    <row r="14" spans="1:10" x14ac:dyDescent="0.2">
      <c r="A14" s="6">
        <v>6</v>
      </c>
      <c r="B14" s="7">
        <f>SUM('GENSET #1:GENSET #5'!D15)</f>
        <v>31077</v>
      </c>
      <c r="C14" s="7">
        <f>'Diesel consumption'!D10</f>
        <v>8670</v>
      </c>
      <c r="D14" s="2">
        <f>'SOLAR METER READING'!D14</f>
        <v>3257</v>
      </c>
      <c r="E14" s="7">
        <f>'Gas-2'!G11</f>
        <v>315</v>
      </c>
      <c r="F14" s="134">
        <f>WATER!V11</f>
        <v>477</v>
      </c>
      <c r="G14" s="136">
        <f>WATER!W11</f>
        <v>60.2</v>
      </c>
      <c r="H14" s="15">
        <f t="shared" si="0"/>
        <v>3.5844290657439446</v>
      </c>
      <c r="I14" s="15">
        <f t="shared" si="1"/>
        <v>34334</v>
      </c>
    </row>
    <row r="15" spans="1:10" x14ac:dyDescent="0.2">
      <c r="A15" s="6">
        <v>7</v>
      </c>
      <c r="B15" s="7">
        <f>SUM('GENSET #1:GENSET #5'!D16)</f>
        <v>30879</v>
      </c>
      <c r="C15" s="7">
        <f>'Diesel consumption'!D11</f>
        <v>8570</v>
      </c>
      <c r="D15" s="2">
        <f>'SOLAR METER READING'!D15</f>
        <v>3200</v>
      </c>
      <c r="E15" s="7">
        <f>'Gas-2'!G12</f>
        <v>0</v>
      </c>
      <c r="F15" s="134">
        <f>WATER!V12</f>
        <v>411</v>
      </c>
      <c r="G15" s="136">
        <f>WATER!W12</f>
        <v>55.3</v>
      </c>
      <c r="H15" s="15">
        <f t="shared" si="0"/>
        <v>3.6031505250875147</v>
      </c>
      <c r="I15" s="15">
        <f t="shared" si="1"/>
        <v>34079</v>
      </c>
    </row>
    <row r="16" spans="1:10" x14ac:dyDescent="0.2">
      <c r="A16" s="6">
        <v>8</v>
      </c>
      <c r="B16" s="7">
        <f>SUM('GENSET #1:GENSET #5'!D17)</f>
        <v>30415</v>
      </c>
      <c r="C16" s="7">
        <f>'Diesel consumption'!D12</f>
        <v>8480</v>
      </c>
      <c r="D16" s="2">
        <f>'SOLAR METER READING'!D16</f>
        <v>3134</v>
      </c>
      <c r="E16" s="7">
        <f>'Gas-2'!G13</f>
        <v>540</v>
      </c>
      <c r="F16" s="134">
        <f>WATER!V13</f>
        <v>423</v>
      </c>
      <c r="G16" s="136">
        <f>WATER!W13</f>
        <v>53.4</v>
      </c>
      <c r="H16" s="15">
        <f t="shared" si="0"/>
        <v>3.5866745283018866</v>
      </c>
      <c r="I16" s="15">
        <f t="shared" si="1"/>
        <v>33549</v>
      </c>
    </row>
    <row r="17" spans="1:9" x14ac:dyDescent="0.2">
      <c r="A17" s="6">
        <v>9</v>
      </c>
      <c r="B17" s="7">
        <f>SUM('GENSET #1:GENSET #5'!D18)</f>
        <v>31010</v>
      </c>
      <c r="C17" s="7">
        <f>'Diesel consumption'!D13</f>
        <v>8620</v>
      </c>
      <c r="D17" s="2">
        <f>'SOLAR METER READING'!D17</f>
        <v>1708</v>
      </c>
      <c r="E17" s="7">
        <f>'Gas-2'!G14</f>
        <v>0</v>
      </c>
      <c r="F17" s="134">
        <f>WATER!V14</f>
        <v>410</v>
      </c>
      <c r="G17" s="136">
        <f>WATER!W14</f>
        <v>45.6</v>
      </c>
      <c r="H17" s="15">
        <f t="shared" si="0"/>
        <v>3.5974477958236659</v>
      </c>
      <c r="I17" s="15">
        <f t="shared" si="1"/>
        <v>32718</v>
      </c>
    </row>
    <row r="18" spans="1:9" x14ac:dyDescent="0.2">
      <c r="A18" s="6">
        <v>10</v>
      </c>
      <c r="B18" s="7">
        <f>SUM('GENSET #1:GENSET #5'!D19)</f>
        <v>28059</v>
      </c>
      <c r="C18" s="7">
        <f>'Diesel consumption'!D14</f>
        <v>8020</v>
      </c>
      <c r="D18" s="2">
        <f>'SOLAR METER READING'!D18</f>
        <v>1299</v>
      </c>
      <c r="E18" s="7">
        <f>'Gas-2'!G15</f>
        <v>360</v>
      </c>
      <c r="F18" s="134">
        <f>WATER!V15</f>
        <v>415</v>
      </c>
      <c r="G18" s="136">
        <f>WATER!W15</f>
        <v>41.7</v>
      </c>
      <c r="H18" s="15">
        <f t="shared" si="0"/>
        <v>3.498628428927681</v>
      </c>
      <c r="I18" s="15">
        <f t="shared" si="1"/>
        <v>29358</v>
      </c>
    </row>
    <row r="19" spans="1:9" x14ac:dyDescent="0.2">
      <c r="A19" s="6">
        <v>11</v>
      </c>
      <c r="B19" s="7">
        <f>SUM('GENSET #1:GENSET #5'!D20)</f>
        <v>24815</v>
      </c>
      <c r="C19" s="7">
        <f>'Diesel consumption'!D15</f>
        <v>6800</v>
      </c>
      <c r="D19" s="2">
        <f>'SOLAR METER READING'!D19</f>
        <v>2321</v>
      </c>
      <c r="E19" s="7">
        <f>'Gas-2'!G16</f>
        <v>0</v>
      </c>
      <c r="F19" s="134">
        <f>WATER!V16</f>
        <v>396</v>
      </c>
      <c r="G19" s="136">
        <f>WATER!W16</f>
        <v>43.7</v>
      </c>
      <c r="H19" s="15">
        <f t="shared" si="0"/>
        <v>3.6492647058823531</v>
      </c>
      <c r="I19" s="15">
        <f t="shared" si="1"/>
        <v>27136</v>
      </c>
    </row>
    <row r="20" spans="1:9" x14ac:dyDescent="0.2">
      <c r="A20" s="6">
        <v>12</v>
      </c>
      <c r="B20" s="7">
        <f>SUM('GENSET #1:GENSET #5'!D21)</f>
        <v>26393</v>
      </c>
      <c r="C20" s="7">
        <f>'Diesel consumption'!D16</f>
        <v>7410</v>
      </c>
      <c r="D20" s="2">
        <f>'SOLAR METER READING'!D20</f>
        <v>2438</v>
      </c>
      <c r="E20" s="7">
        <f>'Gas-2'!G17</f>
        <v>180</v>
      </c>
      <c r="F20" s="134">
        <f>WATER!V17</f>
        <v>341</v>
      </c>
      <c r="G20" s="136">
        <f>WATER!W17</f>
        <v>42.7</v>
      </c>
      <c r="H20" s="15">
        <f t="shared" si="0"/>
        <v>3.5618083670715248</v>
      </c>
      <c r="I20" s="15">
        <f t="shared" si="1"/>
        <v>28831</v>
      </c>
    </row>
    <row r="21" spans="1:9" x14ac:dyDescent="0.2">
      <c r="A21" s="6">
        <v>13</v>
      </c>
      <c r="B21" s="7">
        <f>SUM('GENSET #1:GENSET #5'!D22)</f>
        <v>27554</v>
      </c>
      <c r="C21" s="7">
        <f>'Diesel consumption'!D17</f>
        <v>7770</v>
      </c>
      <c r="D21" s="2">
        <f>'SOLAR METER READING'!D21</f>
        <v>3214</v>
      </c>
      <c r="E21" s="7">
        <f>'Gas-2'!G18</f>
        <v>135</v>
      </c>
      <c r="F21" s="134">
        <f>WATER!V18</f>
        <v>345</v>
      </c>
      <c r="G21" s="136">
        <f>WATER!W18</f>
        <v>43.7</v>
      </c>
      <c r="H21" s="15">
        <f t="shared" si="0"/>
        <v>3.5462033462033462</v>
      </c>
      <c r="I21" s="15">
        <f t="shared" si="1"/>
        <v>30768</v>
      </c>
    </row>
    <row r="22" spans="1:9" x14ac:dyDescent="0.2">
      <c r="A22" s="6">
        <v>14</v>
      </c>
      <c r="B22" s="7">
        <f>SUM('GENSET #1:GENSET #5'!D23)</f>
        <v>29353</v>
      </c>
      <c r="C22" s="7">
        <f>'Diesel consumption'!D18</f>
        <v>8210</v>
      </c>
      <c r="D22" s="2">
        <f>'SOLAR METER READING'!D22</f>
        <v>2994</v>
      </c>
      <c r="E22" s="7">
        <f>'Gas-2'!G19</f>
        <v>225</v>
      </c>
      <c r="F22" s="134">
        <f>WATER!V19</f>
        <v>398</v>
      </c>
      <c r="G22" s="136">
        <f>WATER!W19</f>
        <v>39.799999999999997</v>
      </c>
      <c r="H22" s="15">
        <f t="shared" si="0"/>
        <v>3.5752740560292326</v>
      </c>
      <c r="I22" s="15">
        <f t="shared" si="1"/>
        <v>32347</v>
      </c>
    </row>
    <row r="23" spans="1:9" x14ac:dyDescent="0.2">
      <c r="A23" s="6">
        <v>15</v>
      </c>
      <c r="B23" s="7">
        <f>SUM('GENSET #1:GENSET #5'!D24)</f>
        <v>29352</v>
      </c>
      <c r="C23" s="7">
        <f>'Diesel consumption'!D19</f>
        <v>7940</v>
      </c>
      <c r="D23" s="2">
        <f>'SOLAR METER READING'!D23</f>
        <v>3100</v>
      </c>
      <c r="E23" s="7">
        <f>'Gas-2'!G20</f>
        <v>225</v>
      </c>
      <c r="F23" s="134">
        <f>WATER!V20</f>
        <v>455</v>
      </c>
      <c r="G23" s="136">
        <f>WATER!W20</f>
        <v>39.799999999999997</v>
      </c>
      <c r="H23" s="15">
        <f t="shared" si="0"/>
        <v>3.6967254408060453</v>
      </c>
      <c r="I23" s="15">
        <f t="shared" si="1"/>
        <v>32452</v>
      </c>
    </row>
    <row r="24" spans="1:9" x14ac:dyDescent="0.2">
      <c r="A24" s="6">
        <v>16</v>
      </c>
      <c r="B24" s="7">
        <f>SUM('GENSET #1:GENSET #5'!D25)</f>
        <v>28168</v>
      </c>
      <c r="C24" s="7">
        <f>'Diesel consumption'!D20</f>
        <v>7990</v>
      </c>
      <c r="D24" s="2">
        <f>'SOLAR METER READING'!D24</f>
        <v>3334</v>
      </c>
      <c r="E24" s="7">
        <f>'Gas-2'!G21</f>
        <v>315</v>
      </c>
      <c r="F24" s="134">
        <f>WATER!V21</f>
        <v>420</v>
      </c>
      <c r="G24" s="136">
        <f>WATER!W21</f>
        <v>41</v>
      </c>
      <c r="H24" s="15">
        <f t="shared" si="0"/>
        <v>3.5254067584480602</v>
      </c>
      <c r="I24" s="15">
        <f t="shared" si="1"/>
        <v>31502</v>
      </c>
    </row>
    <row r="25" spans="1:9" x14ac:dyDescent="0.2">
      <c r="A25" s="6">
        <v>17</v>
      </c>
      <c r="B25" s="7">
        <f>SUM('GENSET #1:GENSET #5'!D26)</f>
        <v>28362</v>
      </c>
      <c r="C25" s="7">
        <f>'Diesel consumption'!D21</f>
        <v>7860</v>
      </c>
      <c r="D25" s="2">
        <f>'SOLAR METER READING'!D25</f>
        <v>3038</v>
      </c>
      <c r="E25" s="7">
        <f>'Gas-2'!G22</f>
        <v>0</v>
      </c>
      <c r="F25" s="134">
        <f>WATER!V22</f>
        <v>454</v>
      </c>
      <c r="G25" s="136">
        <f>WATER!W22</f>
        <v>42.7</v>
      </c>
      <c r="H25" s="15">
        <f t="shared" si="0"/>
        <v>3.6083969465648855</v>
      </c>
      <c r="I25" s="15">
        <f t="shared" si="1"/>
        <v>31400</v>
      </c>
    </row>
    <row r="26" spans="1:9" x14ac:dyDescent="0.2">
      <c r="A26" s="6">
        <v>18</v>
      </c>
      <c r="B26" s="7">
        <f>SUM('GENSET #1:GENSET #5'!D27)</f>
        <v>28781</v>
      </c>
      <c r="C26" s="7">
        <f>'Diesel consumption'!D22</f>
        <v>7840</v>
      </c>
      <c r="D26" s="2">
        <f>'SOLAR METER READING'!D26</f>
        <v>3112</v>
      </c>
      <c r="E26" s="7">
        <f>'Gas-2'!G23</f>
        <v>360</v>
      </c>
      <c r="F26" s="134">
        <f>WATER!V23</f>
        <v>416</v>
      </c>
      <c r="G26" s="136">
        <f>WATER!W23</f>
        <v>43.7</v>
      </c>
      <c r="H26" s="15">
        <f t="shared" si="0"/>
        <v>3.6710459183673469</v>
      </c>
      <c r="I26" s="15">
        <f t="shared" si="1"/>
        <v>31893</v>
      </c>
    </row>
    <row r="27" spans="1:9" x14ac:dyDescent="0.2">
      <c r="A27" s="6">
        <v>19</v>
      </c>
      <c r="B27" s="7">
        <f>SUM('GENSET #1:GENSET #5'!D28)</f>
        <v>29287</v>
      </c>
      <c r="C27" s="7">
        <f>'Diesel consumption'!D23</f>
        <v>7910</v>
      </c>
      <c r="D27" s="2">
        <f>'SOLAR METER READING'!D27</f>
        <v>3205</v>
      </c>
      <c r="E27" s="7">
        <f>'Gas-2'!G24</f>
        <v>0</v>
      </c>
      <c r="F27" s="134">
        <f>WATER!V24</f>
        <v>392</v>
      </c>
      <c r="G27" s="136">
        <f>WATER!W24</f>
        <v>47.6</v>
      </c>
      <c r="H27" s="15">
        <f t="shared" si="0"/>
        <v>3.7025284450063212</v>
      </c>
      <c r="I27" s="15">
        <f t="shared" si="1"/>
        <v>32492</v>
      </c>
    </row>
    <row r="28" spans="1:9" x14ac:dyDescent="0.2">
      <c r="A28" s="6">
        <v>20</v>
      </c>
      <c r="B28" s="7">
        <f>SUM('GENSET #1:GENSET #5'!D29)</f>
        <v>29267</v>
      </c>
      <c r="C28" s="7">
        <f>'Diesel consumption'!D24</f>
        <v>8100</v>
      </c>
      <c r="D28" s="2">
        <f>'SOLAR METER READING'!D28</f>
        <v>3164</v>
      </c>
      <c r="E28" s="7">
        <f>'Gas-2'!G25</f>
        <v>495</v>
      </c>
      <c r="F28" s="134">
        <f>WATER!V25</f>
        <v>401</v>
      </c>
      <c r="G28" s="136">
        <f>WATER!W25</f>
        <v>0</v>
      </c>
      <c r="H28" s="15">
        <f t="shared" si="0"/>
        <v>3.6132098765432099</v>
      </c>
      <c r="I28" s="15">
        <f t="shared" si="1"/>
        <v>32431</v>
      </c>
    </row>
    <row r="29" spans="1:9" x14ac:dyDescent="0.2">
      <c r="A29" s="6">
        <v>21</v>
      </c>
      <c r="B29" s="7">
        <f>SUM('GENSET #1:GENSET #5'!D30)</f>
        <v>-88331778</v>
      </c>
      <c r="C29" s="7">
        <f>'Diesel consumption'!D25</f>
        <v>-43505680</v>
      </c>
      <c r="D29" s="2">
        <f>'SOLAR METER READING'!D29</f>
        <v>-2471364</v>
      </c>
      <c r="E29" s="7">
        <f>'Gas-2'!G26</f>
        <v>0</v>
      </c>
      <c r="F29" s="134">
        <f>WATER!V26</f>
        <v>408</v>
      </c>
      <c r="G29" s="136">
        <f>WATER!W26</f>
        <v>0</v>
      </c>
      <c r="H29" s="15">
        <f t="shared" si="0"/>
        <v>2.0303504737772173</v>
      </c>
      <c r="I29" s="15">
        <f t="shared" si="1"/>
        <v>-90803142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34">
        <f>WATER!V27</f>
        <v>-930616</v>
      </c>
      <c r="G30" s="136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34">
        <f>WATER!V28</f>
        <v>0</v>
      </c>
      <c r="G31" s="136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34">
        <f>WATER!V29</f>
        <v>0</v>
      </c>
      <c r="G32" s="136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34">
        <f>WATER!V30</f>
        <v>0</v>
      </c>
      <c r="G33" s="136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34">
        <f>WATER!V31</f>
        <v>0</v>
      </c>
      <c r="G34" s="136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34">
        <f>WATER!V32</f>
        <v>0</v>
      </c>
      <c r="G35" s="136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34">
        <f>WATER!V33</f>
        <v>0</v>
      </c>
      <c r="G36" s="136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34">
        <f>WATER!V34</f>
        <v>0</v>
      </c>
      <c r="G37" s="136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34">
        <f>WATER!V35</f>
        <v>0</v>
      </c>
      <c r="G38" s="136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>
        <f>'Diesel consumption'!D35</f>
        <v>0</v>
      </c>
      <c r="D39" s="2">
        <f>'SOLAR METER READING'!D39</f>
        <v>0</v>
      </c>
      <c r="E39" s="7">
        <f>'Gas-2'!G36</f>
        <v>0</v>
      </c>
      <c r="F39" s="134">
        <f>WATER!V36</f>
        <v>0</v>
      </c>
      <c r="G39" s="136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-87747538</v>
      </c>
      <c r="C40" s="17">
        <f t="shared" ref="C40:D40" si="2">SUM(C9:C39)</f>
        <v>-43343220</v>
      </c>
      <c r="D40" s="17">
        <f t="shared" si="2"/>
        <v>-2412901</v>
      </c>
      <c r="E40" s="17">
        <f>SUM(E9:E39)</f>
        <v>4275</v>
      </c>
      <c r="F40" s="135">
        <f>SUM(F9:F39)</f>
        <v>-921919</v>
      </c>
      <c r="G40" s="6"/>
      <c r="I40" s="15">
        <f t="shared" si="1"/>
        <v>-90160439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Ahmed Risan</cp:lastModifiedBy>
  <cp:lastPrinted>2021-02-02T03:22:28Z</cp:lastPrinted>
  <dcterms:created xsi:type="dcterms:W3CDTF">2018-12-01T06:13:40Z</dcterms:created>
  <dcterms:modified xsi:type="dcterms:W3CDTF">2021-03-21T13:33:40Z</dcterms:modified>
</cp:coreProperties>
</file>