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0" documentId="8_{2108259D-3C9E-4781-94A6-DE6BCA040E18}" xr6:coauthVersionLast="47" xr6:coauthVersionMax="47" xr10:uidLastSave="{00000000-0000-0000-0000-000000000000}"/>
  <bookViews>
    <workbookView xWindow="-96" yWindow="-96" windowWidth="18192" windowHeight="11472" tabRatio="296" xr2:uid="{00000000-000D-0000-FFFF-FFFF00000000}"/>
  </bookViews>
  <sheets>
    <sheet name="Total" sheetId="2" r:id="rId1"/>
    <sheet name="ALMYR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N2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F4" i="2"/>
  <c r="F5" i="2"/>
  <c r="F6" i="2"/>
  <c r="F7" i="2"/>
  <c r="F8" i="2"/>
  <c r="F9" i="2"/>
  <c r="F10" i="2"/>
  <c r="F16" i="2"/>
  <c r="F17" i="2"/>
  <c r="F18" i="2"/>
  <c r="F19" i="2"/>
  <c r="F20" i="2"/>
  <c r="F21" i="2"/>
  <c r="F22" i="2"/>
  <c r="F28" i="2"/>
  <c r="F29" i="2"/>
  <c r="F30" i="2"/>
  <c r="F31" i="2"/>
  <c r="F32" i="2"/>
  <c r="F2" i="2"/>
  <c r="E3" i="2"/>
  <c r="F3" i="2" s="1"/>
  <c r="E4" i="2"/>
  <c r="E5" i="2"/>
  <c r="E6" i="2"/>
  <c r="E7" i="2"/>
  <c r="E8" i="2"/>
  <c r="E9" i="2"/>
  <c r="E10" i="2"/>
  <c r="E11" i="2"/>
  <c r="F11" i="2" s="1"/>
  <c r="E12" i="2"/>
  <c r="F12" i="2" s="1"/>
  <c r="E13" i="2"/>
  <c r="F13" i="2" s="1"/>
  <c r="E14" i="2"/>
  <c r="F14" i="2" s="1"/>
  <c r="E15" i="2"/>
  <c r="F15" i="2" s="1"/>
  <c r="E16" i="2"/>
  <c r="E17" i="2"/>
  <c r="E18" i="2"/>
  <c r="E19" i="2"/>
  <c r="E20" i="2"/>
  <c r="E21" i="2"/>
  <c r="E22" i="2"/>
  <c r="E23" i="2"/>
  <c r="F23" i="2" s="1"/>
  <c r="E24" i="2"/>
  <c r="F24" i="2" s="1"/>
  <c r="E25" i="2"/>
  <c r="F25" i="2" s="1"/>
  <c r="E26" i="2"/>
  <c r="F26" i="2" s="1"/>
  <c r="E27" i="2"/>
  <c r="F27" i="2" s="1"/>
  <c r="E28" i="2"/>
  <c r="E29" i="2"/>
  <c r="E30" i="2"/>
  <c r="E31" i="2"/>
  <c r="E32" i="2"/>
  <c r="E2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  <c r="AH34" i="1" l="1"/>
  <c r="Y34" i="1"/>
  <c r="AK34" i="1"/>
  <c r="AJ34" i="1"/>
  <c r="AI34" i="1"/>
  <c r="K2" i="1"/>
  <c r="M2" i="1"/>
  <c r="O2" i="1"/>
  <c r="Q2" i="1"/>
  <c r="R2" i="1"/>
  <c r="U2" i="1"/>
  <c r="X2" i="1"/>
  <c r="AB2" i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Q32" i="1"/>
  <c r="O32" i="1"/>
  <c r="M32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U4" i="1"/>
  <c r="U5" i="1"/>
  <c r="U6" i="1"/>
  <c r="U7" i="1"/>
  <c r="U8" i="1"/>
  <c r="U9" i="1"/>
  <c r="U10" i="1"/>
  <c r="U11" i="1"/>
  <c r="U12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U34" i="1" l="1"/>
  <c r="Z3" i="1"/>
  <c r="Z2" i="1"/>
  <c r="Z30" i="1"/>
  <c r="Z26" i="1"/>
  <c r="Z22" i="1"/>
  <c r="Z18" i="1"/>
  <c r="Z14" i="1"/>
  <c r="Z10" i="1"/>
  <c r="Z6" i="1"/>
  <c r="Z32" i="1"/>
  <c r="Z16" i="1"/>
  <c r="Z29" i="1"/>
  <c r="Z25" i="1"/>
  <c r="Z21" i="1"/>
  <c r="Z17" i="1"/>
  <c r="Z9" i="1"/>
  <c r="Z5" i="1"/>
  <c r="Z28" i="1"/>
  <c r="Z24" i="1"/>
  <c r="Z20" i="1"/>
  <c r="Z12" i="1"/>
  <c r="Z8" i="1"/>
  <c r="Z4" i="1"/>
  <c r="Z31" i="1"/>
  <c r="Z27" i="1"/>
  <c r="Z23" i="1"/>
  <c r="Z19" i="1"/>
  <c r="Z15" i="1"/>
  <c r="Z11" i="1"/>
  <c r="Z7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4" i="1"/>
  <c r="C5" i="1"/>
  <c r="C6" i="1"/>
  <c r="C7" i="1"/>
  <c r="C8" i="1"/>
  <c r="C9" i="1"/>
  <c r="C10" i="1"/>
  <c r="C11" i="1"/>
  <c r="C12" i="1"/>
  <c r="C13" i="1"/>
  <c r="C14" i="1"/>
  <c r="C15" i="1"/>
  <c r="H15" i="1" s="1"/>
  <c r="C16" i="1"/>
  <c r="C17" i="1"/>
  <c r="H17" i="1" s="1"/>
  <c r="C18" i="1"/>
  <c r="C19" i="1"/>
  <c r="H19" i="1" s="1"/>
  <c r="C20" i="1"/>
  <c r="C21" i="1"/>
  <c r="H21" i="1" s="1"/>
  <c r="C22" i="1"/>
  <c r="C23" i="1"/>
  <c r="H23" i="1" s="1"/>
  <c r="C24" i="1"/>
  <c r="C25" i="1"/>
  <c r="H25" i="1" s="1"/>
  <c r="C26" i="1"/>
  <c r="C27" i="1"/>
  <c r="H27" i="1" s="1"/>
  <c r="C28" i="1"/>
  <c r="C29" i="1"/>
  <c r="H29" i="1" s="1"/>
  <c r="C30" i="1"/>
  <c r="C31" i="1"/>
  <c r="H31" i="1" s="1"/>
  <c r="I31" i="1" s="1"/>
  <c r="C32" i="1"/>
  <c r="C3" i="1"/>
  <c r="H3" i="1" s="1"/>
  <c r="C2" i="1"/>
  <c r="Q34" i="1" l="1"/>
  <c r="I3" i="1"/>
  <c r="H13" i="1"/>
  <c r="H11" i="1"/>
  <c r="I11" i="1" s="1"/>
  <c r="H9" i="1"/>
  <c r="H7" i="1"/>
  <c r="H5" i="1"/>
  <c r="I5" i="1" s="1"/>
  <c r="AF34" i="1"/>
  <c r="AD34" i="1"/>
  <c r="AB34" i="1"/>
  <c r="Z34" i="1"/>
  <c r="I27" i="1"/>
  <c r="I19" i="1"/>
  <c r="I7" i="1"/>
  <c r="I23" i="1"/>
  <c r="I15" i="1"/>
  <c r="O34" i="1"/>
  <c r="M34" i="1"/>
  <c r="I29" i="1"/>
  <c r="I25" i="1"/>
  <c r="I21" i="1"/>
  <c r="I17" i="1"/>
  <c r="I13" i="1"/>
  <c r="I9" i="1"/>
  <c r="K34" i="1"/>
  <c r="G34" i="1"/>
  <c r="H30" i="1"/>
  <c r="I30" i="1" s="1"/>
  <c r="H26" i="1"/>
  <c r="I26" i="1" s="1"/>
  <c r="H22" i="1"/>
  <c r="I22" i="1" s="1"/>
  <c r="H18" i="1"/>
  <c r="I18" i="1" s="1"/>
  <c r="H14" i="1"/>
  <c r="I14" i="1" s="1"/>
  <c r="H10" i="1"/>
  <c r="I10" i="1" s="1"/>
  <c r="H6" i="1"/>
  <c r="I6" i="1" s="1"/>
  <c r="H28" i="1"/>
  <c r="I28" i="1" s="1"/>
  <c r="H24" i="1"/>
  <c r="I24" i="1" s="1"/>
  <c r="H16" i="1"/>
  <c r="I16" i="1" s="1"/>
  <c r="H12" i="1"/>
  <c r="I12" i="1" s="1"/>
  <c r="H4" i="1"/>
  <c r="I4" i="1" s="1"/>
  <c r="E34" i="1"/>
  <c r="H32" i="1"/>
  <c r="I32" i="1" s="1"/>
  <c r="H20" i="1"/>
  <c r="I20" i="1" s="1"/>
  <c r="H8" i="1"/>
  <c r="I8" i="1" s="1"/>
  <c r="H2" i="1"/>
  <c r="C34" i="1"/>
  <c r="H34" i="1" l="1"/>
  <c r="I2" i="1"/>
  <c r="I34" i="1" s="1"/>
</calcChain>
</file>

<file path=xl/sharedStrings.xml><?xml version="1.0" encoding="utf-8"?>
<sst xmlns="http://schemas.openxmlformats.org/spreadsheetml/2006/main" count="84" uniqueCount="42">
  <si>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</si>
  <si>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</si>
  <si>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</si>
  <si>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</si>
  <si>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</si>
  <si>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SPA Water   (m3) Reading</t>
  </si>
  <si>
    <t>Consumed</t>
  </si>
  <si>
    <t>PRODUCED</t>
  </si>
  <si>
    <t>SOLD</t>
  </si>
  <si>
    <t>LPG % A</t>
  </si>
  <si>
    <t>LPG % B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</si>
  <si>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</si>
  <si>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</si>
  <si>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</si>
  <si>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</si>
  <si>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</si>
  <si>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SPA Electricity (KWh) Reading</t>
  </si>
  <si>
    <t>Boutique Electricity (KWh) Reading</t>
  </si>
  <si>
    <t>Primetel Electricity (KWh) Reading</t>
  </si>
  <si>
    <t>Epic Electricity (KWh) Reading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</si>
  <si>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</si>
  <si>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</si>
  <si>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</si>
  <si>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</si>
  <si>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</si>
  <si>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Consumed excl. --&gt;</t>
  </si>
  <si>
    <t>HOTEL Electricity (KWh) Consumed incl. --&gt;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</si>
  <si>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</si>
  <si>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</si>
  <si>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</si>
  <si>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</si>
  <si>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</si>
  <si>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</si>
  <si>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</si>
  <si>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</si>
  <si>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</si>
  <si>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</si>
  <si>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</si>
  <si>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</si>
  <si>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 </t>
  </si>
  <si>
    <t xml:space="preserve">LPG (Liters) </t>
  </si>
  <si>
    <t>LPG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</si>
</sst>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4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3" fontId="3" fillId="2" borderId="39" xfId="0" applyNumberFormat="1" applyFont="1" applyFill="1" applyBorder="1" applyAlignment="1">
      <alignment horizontal="center"/>
    </xf>
    <xf numFmtId="3" fontId="3" fillId="2" borderId="40" xfId="0" applyNumberFormat="1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3" fontId="3" fillId="2" borderId="42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3" xfId="0" applyFont="1" applyFill="1" applyBorder="1" applyAlignment="1">
      <alignment horizontal="center" vertical="center" wrapText="1"/>
    </xf>
    <xf numFmtId="1" fontId="13" fillId="3" borderId="44" xfId="0" applyNumberFormat="1" applyFont="1" applyFill="1" applyBorder="1" applyAlignment="1">
      <alignment horizontal="center" vertical="center"/>
    </xf>
    <xf numFmtId="1" fontId="13" fillId="3" borderId="45" xfId="0" applyNumberFormat="1" applyFont="1" applyFill="1" applyBorder="1" applyAlignment="1">
      <alignment horizontal="center" vertical="center"/>
    </xf>
    <xf numFmtId="1" fontId="13" fillId="3" borderId="4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3" xfId="0" applyFont="1" applyFill="1" applyBorder="1" applyAlignment="1">
      <alignment horizontal="center" vertical="center" wrapText="1"/>
    </xf>
    <xf numFmtId="1" fontId="13" fillId="5" borderId="44" xfId="0" applyNumberFormat="1" applyFont="1" applyFill="1" applyBorder="1" applyAlignment="1">
      <alignment horizontal="center" vertical="center"/>
    </xf>
    <xf numFmtId="1" fontId="13" fillId="5" borderId="45" xfId="0" applyNumberFormat="1" applyFont="1" applyFill="1" applyBorder="1" applyAlignment="1">
      <alignment horizontal="center" vertical="center"/>
    </xf>
    <xf numFmtId="1" fontId="13" fillId="5" borderId="46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1" fillId="0" borderId="47" xfId="0" applyFont="1" applyBorder="1" applyAlignment="1">
      <alignment horizontal="center" vertical="center"/>
    </xf>
    <xf numFmtId="1" fontId="31" fillId="5" borderId="47" xfId="0" applyNumberFormat="1" applyFont="1" applyFill="1" applyBorder="1" applyAlignment="1">
      <alignment horizontal="center" vertical="center" wrapText="1"/>
    </xf>
    <xf numFmtId="0" fontId="31" fillId="5" borderId="47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7" xfId="0" applyNumberFormat="1" applyFont="1" applyFill="1" applyBorder="1" applyAlignment="1">
      <alignment horizontal="center" vertical="center" wrapText="1"/>
    </xf>
    <xf numFmtId="165" fontId="31" fillId="6" borderId="47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7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7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7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43"/>
  <sheetViews>
    <sheetView tabSelected="1" workbookViewId="0">
      <selection activeCell="B14" sqref="B14"/>
    </sheetView>
  </sheetViews>
  <sheetFormatPr defaultRowHeight="12.3" x14ac:dyDescent="0.4"/>
  <cols>
    <col min="1" max="1" width="23" style="5" customWidth="1"/>
    <col min="2" max="2" width="11.5546875" style="5" customWidth="1"/>
    <col min="3" max="3" width="8.88671875" style="5"/>
    <col min="4" max="4" width="13.44140625" style="5" customWidth="1"/>
    <col min="5" max="5" width="12.5546875" style="131" customWidth="1"/>
    <col min="6" max="6" width="12.5546875" style="133" customWidth="1"/>
    <col min="7" max="7" width="8.88671875" style="136"/>
    <col min="8" max="8" width="8.88671875" style="138"/>
    <col min="9" max="10" width="8.88671875" style="142"/>
    <col min="11" max="12" width="12.33203125" style="146" bestFit="1" customWidth="1"/>
    <col min="13" max="13" width="8.88671875" style="150"/>
    <col min="14" max="14" width="11.5546875" style="150" customWidth="1"/>
    <col min="15" max="16384" width="8.88671875" style="5"/>
  </cols>
  <sheetData>
    <row r="1" spans="1:14" ht="72.3" thickBot="1" x14ac:dyDescent="0.45">
      <c r="A1" s="128" t="s">
        <v>27</v>
      </c>
      <c r="B1" s="128" t="s">
        <v>28</v>
      </c>
      <c r="C1" s="128" t="s">
        <v>29</v>
      </c>
      <c r="D1" s="128" t="s">
        <v>30</v>
      </c>
      <c r="E1" s="129" t="s">
        <v>31</v>
      </c>
      <c r="F1" s="130" t="s">
        <v>32</v>
      </c>
      <c r="G1" s="134" t="s">
        <v>40</v>
      </c>
      <c r="H1" s="135" t="s">
        <v>41</v>
      </c>
      <c r="I1" s="139" t="s">
        <v>33</v>
      </c>
      <c r="J1" s="139" t="s">
        <v>34</v>
      </c>
      <c r="K1" s="143" t="s">
        <v>35</v>
      </c>
      <c r="L1" s="143" t="s">
        <v>36</v>
      </c>
      <c r="M1" s="147" t="s">
        <v>0</v>
      </c>
      <c r="N1" s="147" t="s">
        <v>37</v>
      </c>
    </row>
    <row r="2" spans="1:14" ht="14.7" thickTop="1" x14ac:dyDescent="0.55000000000000004">
      <c r="A2" s="126" t="s">
        <v>38</v>
      </c>
      <c r="B2" s="5">
        <v>1</v>
      </c>
      <c r="C2" s="5">
        <v>8</v>
      </c>
      <c r="D2" s="4">
        <v>2024</v>
      </c>
      <c r="E2" s="131">
        <f>IF(ALMYRA!H2&lt;0,"0",ALMYRA!H2)</f>
        <v>9571</v>
      </c>
      <c r="F2" s="132">
        <f>(ALMYRA!C2*0.24)/E2</f>
        <v>0.17680911085570997</v>
      </c>
      <c r="G2" s="136">
        <f>ALMYRA!Z2</f>
        <v>175</v>
      </c>
      <c r="H2" s="137">
        <v>0.65800000000000003</v>
      </c>
      <c r="I2" s="140">
        <f>IF(ALMYRA!AB2&lt;0,"0",ALMYRA!AB2)</f>
        <v>91</v>
      </c>
      <c r="J2" s="141">
        <v>2.4</v>
      </c>
      <c r="K2" s="144">
        <f>ALMYRA!U2</f>
        <v>101</v>
      </c>
      <c r="L2" s="145">
        <v>0.88</v>
      </c>
      <c r="M2" s="148">
        <f>ALMYRA!AJ2</f>
        <v>152</v>
      </c>
      <c r="N2" s="148">
        <f>ALMYRA!AK2</f>
        <v>332</v>
      </c>
    </row>
    <row r="3" spans="1:14" ht="14.4" x14ac:dyDescent="0.55000000000000004">
      <c r="A3" s="126" t="s">
        <v>38</v>
      </c>
      <c r="B3" s="5">
        <f>B2+1</f>
        <v>2</v>
      </c>
      <c r="C3" s="5">
        <v>8</v>
      </c>
      <c r="D3" s="4">
        <v>2024</v>
      </c>
      <c r="E3" s="131">
        <f>IF(ALMYRA!H3&lt;0,"0",ALMYRA!H3)</f>
        <v>9867</v>
      </c>
      <c r="F3" s="132">
        <f>(ALMYRA!C3*0.24)/E3</f>
        <v>0.17743995135299484</v>
      </c>
      <c r="G3" s="136">
        <f>ALMYRA!Z3</f>
        <v>225</v>
      </c>
      <c r="H3" s="137">
        <v>0.65800000000000003</v>
      </c>
      <c r="I3" s="140">
        <f>IF(ALMYRA!AB3&lt;0,"0",ALMYRA!AB3)</f>
        <v>99</v>
      </c>
      <c r="J3" s="141">
        <v>2.4</v>
      </c>
      <c r="K3" s="144">
        <f>ALMYRA!U3</f>
        <v>53</v>
      </c>
      <c r="L3" s="145">
        <v>0.88</v>
      </c>
      <c r="M3" s="148">
        <f>ALMYRA!AJ3</f>
        <v>165</v>
      </c>
      <c r="N3" s="148">
        <f>ALMYRA!AK3</f>
        <v>343</v>
      </c>
    </row>
    <row r="4" spans="1:14" ht="14.4" x14ac:dyDescent="0.55000000000000004">
      <c r="A4" s="126" t="s">
        <v>38</v>
      </c>
      <c r="B4" s="5">
        <f t="shared" ref="B4:B32" si="0">B3+1</f>
        <v>3</v>
      </c>
      <c r="C4" s="5">
        <v>8</v>
      </c>
      <c r="D4" s="4">
        <v>2024</v>
      </c>
      <c r="E4" s="131">
        <f>IF(ALMYRA!H4&lt;0,"0",ALMYRA!H4)</f>
        <v>9516</v>
      </c>
      <c r="F4" s="132">
        <f>(ALMYRA!C4*0.24)/E4</f>
        <v>0.18055485498108448</v>
      </c>
      <c r="G4" s="136">
        <f>ALMYRA!Z4</f>
        <v>225</v>
      </c>
      <c r="H4" s="137">
        <v>0.65800000000000003</v>
      </c>
      <c r="I4" s="140">
        <f>IF(ALMYRA!AB4&lt;0,"0",ALMYRA!AB4)</f>
        <v>96</v>
      </c>
      <c r="J4" s="141">
        <v>2.4</v>
      </c>
      <c r="K4" s="144">
        <f>ALMYRA!U4</f>
        <v>20</v>
      </c>
      <c r="L4" s="145">
        <v>0.88</v>
      </c>
      <c r="M4" s="148">
        <f>ALMYRA!AJ4</f>
        <v>167</v>
      </c>
      <c r="N4" s="148">
        <f>ALMYRA!AK4</f>
        <v>347</v>
      </c>
    </row>
    <row r="5" spans="1:14" ht="14.4" x14ac:dyDescent="0.55000000000000004">
      <c r="A5" s="126" t="s">
        <v>38</v>
      </c>
      <c r="B5" s="5">
        <f t="shared" si="0"/>
        <v>4</v>
      </c>
      <c r="C5" s="5">
        <v>8</v>
      </c>
      <c r="D5" s="4">
        <v>2024</v>
      </c>
      <c r="E5" s="131">
        <f>IF(ALMYRA!H5&lt;0,"0",ALMYRA!H5)</f>
        <v>9670</v>
      </c>
      <c r="F5" s="132">
        <f>(ALMYRA!C5*0.24)/E5</f>
        <v>0.17839917269906927</v>
      </c>
      <c r="G5" s="136">
        <f>ALMYRA!Z5</f>
        <v>25</v>
      </c>
      <c r="H5" s="137">
        <v>0.65800000000000003</v>
      </c>
      <c r="I5" s="140">
        <f>IF(ALMYRA!AB5&lt;0,"0",ALMYRA!AB5)</f>
        <v>85</v>
      </c>
      <c r="J5" s="141">
        <v>2.4</v>
      </c>
      <c r="K5" s="144">
        <f>ALMYRA!U5</f>
        <v>90</v>
      </c>
      <c r="L5" s="145">
        <v>0.88</v>
      </c>
      <c r="M5" s="148">
        <f>ALMYRA!AJ5</f>
        <v>141</v>
      </c>
      <c r="N5" s="148">
        <f>ALMYRA!AK5</f>
        <v>299</v>
      </c>
    </row>
    <row r="6" spans="1:14" ht="14.4" x14ac:dyDescent="0.55000000000000004">
      <c r="A6" s="126" t="s">
        <v>38</v>
      </c>
      <c r="B6" s="5">
        <f t="shared" si="0"/>
        <v>5</v>
      </c>
      <c r="C6" s="5">
        <v>8</v>
      </c>
      <c r="D6" s="4">
        <v>2024</v>
      </c>
      <c r="E6" s="131">
        <f>IF(ALMYRA!H6&lt;0,"0",ALMYRA!H6)</f>
        <v>9066</v>
      </c>
      <c r="F6" s="132">
        <f>(ALMYRA!C6*0.24)/E6</f>
        <v>0.17183322303110521</v>
      </c>
      <c r="G6" s="136">
        <f>ALMYRA!Z6</f>
        <v>303.15999999999985</v>
      </c>
      <c r="H6" s="137">
        <v>0.65800000000000003</v>
      </c>
      <c r="I6" s="140">
        <f>IF(ALMYRA!AB6&lt;0,"0",ALMYRA!AB6)</f>
        <v>97</v>
      </c>
      <c r="J6" s="141">
        <v>2.4</v>
      </c>
      <c r="K6" s="144">
        <f>ALMYRA!U6</f>
        <v>39</v>
      </c>
      <c r="L6" s="145">
        <v>0.88</v>
      </c>
      <c r="M6" s="148">
        <f>ALMYRA!AJ6</f>
        <v>155</v>
      </c>
      <c r="N6" s="148">
        <f>ALMYRA!AK6</f>
        <v>329</v>
      </c>
    </row>
    <row r="7" spans="1:14" ht="14.4" x14ac:dyDescent="0.55000000000000004">
      <c r="A7" s="126" t="s">
        <v>38</v>
      </c>
      <c r="B7" s="5">
        <f t="shared" si="0"/>
        <v>6</v>
      </c>
      <c r="C7" s="5">
        <v>8</v>
      </c>
      <c r="D7" s="4">
        <v>2024</v>
      </c>
      <c r="E7" s="131">
        <f>IF(ALMYRA!H7&lt;0,"0",ALMYRA!H7)</f>
        <v>9942</v>
      </c>
      <c r="F7" s="132">
        <f>(ALMYRA!C7*0.24)/E7</f>
        <v>0.17914302957151479</v>
      </c>
      <c r="G7" s="136">
        <f>ALMYRA!Z7</f>
        <v>200</v>
      </c>
      <c r="H7" s="137">
        <v>0.65800000000000003</v>
      </c>
      <c r="I7" s="140">
        <f>IF(ALMYRA!AB7&lt;0,"0",ALMYRA!AB7)</f>
        <v>95</v>
      </c>
      <c r="J7" s="141">
        <v>2.4</v>
      </c>
      <c r="K7" s="144">
        <f>ALMYRA!U7</f>
        <v>51</v>
      </c>
      <c r="L7" s="145">
        <v>0.88</v>
      </c>
      <c r="M7" s="148">
        <f>ALMYRA!AJ7</f>
        <v>178</v>
      </c>
      <c r="N7" s="148">
        <f>ALMYRA!AK7</f>
        <v>373</v>
      </c>
    </row>
    <row r="8" spans="1:14" ht="14.4" x14ac:dyDescent="0.55000000000000004">
      <c r="A8" s="126" t="s">
        <v>38</v>
      </c>
      <c r="B8" s="5">
        <f t="shared" si="0"/>
        <v>7</v>
      </c>
      <c r="C8" s="5">
        <v>8</v>
      </c>
      <c r="D8" s="4">
        <v>2024</v>
      </c>
      <c r="E8" s="131">
        <f>IF(ALMYRA!H8&lt;0,"0",ALMYRA!H8)</f>
        <v>9825</v>
      </c>
      <c r="F8" s="132">
        <f>(ALMYRA!C8*0.24)/E8</f>
        <v>0.17973740458015267</v>
      </c>
      <c r="G8" s="136">
        <f>ALMYRA!Z8</f>
        <v>125</v>
      </c>
      <c r="H8" s="137">
        <v>0.65800000000000003</v>
      </c>
      <c r="I8" s="140">
        <f>IF(ALMYRA!AB8&lt;0,"0",ALMYRA!AB8)</f>
        <v>108</v>
      </c>
      <c r="J8" s="141">
        <v>2.4</v>
      </c>
      <c r="K8" s="144">
        <f>ALMYRA!U8</f>
        <v>49</v>
      </c>
      <c r="L8" s="145">
        <v>0.88</v>
      </c>
      <c r="M8" s="148">
        <f>ALMYRA!AJ8</f>
        <v>180</v>
      </c>
      <c r="N8" s="148">
        <f>ALMYRA!AK8</f>
        <v>374</v>
      </c>
    </row>
    <row r="9" spans="1:14" ht="14.4" x14ac:dyDescent="0.55000000000000004">
      <c r="A9" s="126" t="s">
        <v>38</v>
      </c>
      <c r="B9" s="5">
        <f t="shared" si="0"/>
        <v>8</v>
      </c>
      <c r="C9" s="5">
        <v>8</v>
      </c>
      <c r="D9" s="4">
        <v>2024</v>
      </c>
      <c r="E9" s="131">
        <f>IF(ALMYRA!H9&lt;0,"0",ALMYRA!H9)</f>
        <v>9642</v>
      </c>
      <c r="F9" s="132">
        <f>(ALMYRA!C9*0.24)/E9</f>
        <v>0.17787181082762912</v>
      </c>
      <c r="G9" s="136">
        <f>ALMYRA!Z9</f>
        <v>150</v>
      </c>
      <c r="H9" s="137">
        <v>0.65800000000000003</v>
      </c>
      <c r="I9" s="140">
        <f>IF(ALMYRA!AB9&lt;0,"0",ALMYRA!AB9)</f>
        <v>107</v>
      </c>
      <c r="J9" s="141">
        <v>2.4</v>
      </c>
      <c r="K9" s="144">
        <f>ALMYRA!U9</f>
        <v>101</v>
      </c>
      <c r="L9" s="145">
        <v>0.88</v>
      </c>
      <c r="M9" s="148">
        <f>ALMYRA!AJ9</f>
        <v>167</v>
      </c>
      <c r="N9" s="148">
        <f>ALMYRA!AK9</f>
        <v>366</v>
      </c>
    </row>
    <row r="10" spans="1:14" ht="14.4" x14ac:dyDescent="0.55000000000000004">
      <c r="A10" s="126" t="s">
        <v>38</v>
      </c>
      <c r="B10" s="5">
        <f t="shared" si="0"/>
        <v>9</v>
      </c>
      <c r="C10" s="5">
        <v>8</v>
      </c>
      <c r="D10" s="4">
        <v>2024</v>
      </c>
      <c r="E10" s="131">
        <f>IF(ALMYRA!H10&lt;0,"0",ALMYRA!H10)</f>
        <v>10174</v>
      </c>
      <c r="F10" s="132">
        <f>(ALMYRA!C10*0.24)/E10</f>
        <v>0.18137998820522899</v>
      </c>
      <c r="G10" s="136">
        <f>ALMYRA!Z10</f>
        <v>225</v>
      </c>
      <c r="H10" s="137">
        <v>0.65800000000000003</v>
      </c>
      <c r="I10" s="140">
        <f>IF(ALMYRA!AB10&lt;0,"0",ALMYRA!AB10)</f>
        <v>113</v>
      </c>
      <c r="J10" s="141">
        <v>2.4</v>
      </c>
      <c r="K10" s="144">
        <f>ALMYRA!U10</f>
        <v>110</v>
      </c>
      <c r="L10" s="145">
        <v>0.88</v>
      </c>
      <c r="M10" s="148">
        <f>ALMYRA!AJ10</f>
        <v>178</v>
      </c>
      <c r="N10" s="148">
        <f>ALMYRA!AK10</f>
        <v>399</v>
      </c>
    </row>
    <row r="11" spans="1:14" ht="14.4" x14ac:dyDescent="0.55000000000000004">
      <c r="A11" s="126" t="s">
        <v>38</v>
      </c>
      <c r="B11" s="5">
        <f t="shared" si="0"/>
        <v>10</v>
      </c>
      <c r="C11" s="5">
        <v>8</v>
      </c>
      <c r="D11" s="4">
        <v>2024</v>
      </c>
      <c r="E11" s="131">
        <f>IF(ALMYRA!H11&lt;0,"0",ALMYRA!H11)</f>
        <v>9593</v>
      </c>
      <c r="F11" s="132">
        <f>(ALMYRA!C11*0.24)/E11</f>
        <v>0.17925570728656312</v>
      </c>
      <c r="G11" s="136">
        <f>ALMYRA!Z11</f>
        <v>200</v>
      </c>
      <c r="H11" s="137">
        <v>0.65800000000000003</v>
      </c>
      <c r="I11" s="140">
        <f>IF(ALMYRA!AB11&lt;0,"0",ALMYRA!AB11)</f>
        <v>103</v>
      </c>
      <c r="J11" s="141">
        <v>2.4</v>
      </c>
      <c r="K11" s="144">
        <f>ALMYRA!U11</f>
        <v>60</v>
      </c>
      <c r="L11" s="145">
        <v>0.88</v>
      </c>
      <c r="M11" s="148">
        <f>ALMYRA!AJ11</f>
        <v>177</v>
      </c>
      <c r="N11" s="148">
        <f>ALMYRA!AK11</f>
        <v>387</v>
      </c>
    </row>
    <row r="12" spans="1:14" ht="14.4" x14ac:dyDescent="0.55000000000000004">
      <c r="A12" s="126" t="s">
        <v>38</v>
      </c>
      <c r="B12" s="5">
        <f t="shared" si="0"/>
        <v>11</v>
      </c>
      <c r="C12" s="5">
        <v>8</v>
      </c>
      <c r="D12" s="4">
        <v>2024</v>
      </c>
      <c r="E12" s="131">
        <f>IF(ALMYRA!H12&lt;0,"0",ALMYRA!H12)</f>
        <v>9532</v>
      </c>
      <c r="F12" s="132">
        <f>(ALMYRA!C12*0.24)/E12</f>
        <v>0.17934536298783046</v>
      </c>
      <c r="G12" s="136">
        <f>ALMYRA!Z12</f>
        <v>150</v>
      </c>
      <c r="H12" s="137">
        <v>0.65800000000000003</v>
      </c>
      <c r="I12" s="140">
        <f>IF(ALMYRA!AB12&lt;0,"0",ALMYRA!AB12)</f>
        <v>101</v>
      </c>
      <c r="J12" s="141">
        <v>2.4</v>
      </c>
      <c r="K12" s="144">
        <f>ALMYRA!U12</f>
        <v>31</v>
      </c>
      <c r="L12" s="145">
        <v>0.88</v>
      </c>
      <c r="M12" s="148">
        <f>ALMYRA!AJ12</f>
        <v>173</v>
      </c>
      <c r="N12" s="148">
        <f>ALMYRA!AK12</f>
        <v>387</v>
      </c>
    </row>
    <row r="13" spans="1:14" ht="14.4" x14ac:dyDescent="0.55000000000000004">
      <c r="A13" s="126" t="s">
        <v>38</v>
      </c>
      <c r="B13" s="5">
        <f t="shared" si="0"/>
        <v>12</v>
      </c>
      <c r="C13" s="5">
        <v>8</v>
      </c>
      <c r="D13" s="4">
        <v>2024</v>
      </c>
      <c r="E13" s="131" t="str">
        <f>IF(ALMYRA!H13&lt;0,"0",ALMYRA!H13)</f>
        <v>0</v>
      </c>
      <c r="F13" s="132" t="e">
        <f>(ALMYRA!C13*0.24)/E13</f>
        <v>#DIV/0!</v>
      </c>
      <c r="G13" s="136" t="str">
        <f>ALMYRA!Z13</f>
        <v xml:space="preserve"> </v>
      </c>
      <c r="H13" s="137">
        <v>0.65800000000000003</v>
      </c>
      <c r="I13" s="140" t="str">
        <f>IF(ALMYRA!AB13&lt;0,"0",ALMYRA!AB13)</f>
        <v>0</v>
      </c>
      <c r="J13" s="141">
        <v>2.4</v>
      </c>
      <c r="K13" s="144" t="str">
        <f>ALMYRA!U13</f>
        <v xml:space="preserve"> </v>
      </c>
      <c r="L13" s="145">
        <v>0.88</v>
      </c>
      <c r="M13" s="148">
        <f>ALMYRA!AJ13</f>
        <v>0</v>
      </c>
      <c r="N13" s="148">
        <f>ALMYRA!AK13</f>
        <v>0</v>
      </c>
    </row>
    <row r="14" spans="1:14" ht="14.4" x14ac:dyDescent="0.55000000000000004">
      <c r="A14" s="126" t="s">
        <v>38</v>
      </c>
      <c r="B14" s="5">
        <f t="shared" si="0"/>
        <v>13</v>
      </c>
      <c r="C14" s="5">
        <v>8</v>
      </c>
      <c r="D14" s="4">
        <v>2024</v>
      </c>
      <c r="E14" s="131">
        <f>IF(ALMYRA!H14&lt;0,"0",ALMYRA!H14)</f>
        <v>0</v>
      </c>
      <c r="F14" s="132" t="e">
        <f>(ALMYRA!C14*0.24)/E14</f>
        <v>#DIV/0!</v>
      </c>
      <c r="G14" s="136">
        <f>ALMYRA!Z14</f>
        <v>0</v>
      </c>
      <c r="H14" s="137">
        <v>0.65800000000000003</v>
      </c>
      <c r="I14" s="140">
        <f>IF(ALMYRA!AB14&lt;0,"0",ALMYRA!AB14)</f>
        <v>0</v>
      </c>
      <c r="J14" s="141">
        <v>2.4</v>
      </c>
      <c r="K14" s="144">
        <f>ALMYRA!U14</f>
        <v>0</v>
      </c>
      <c r="L14" s="145">
        <v>0.88</v>
      </c>
      <c r="M14" s="148">
        <f>ALMYRA!AJ14</f>
        <v>0</v>
      </c>
      <c r="N14" s="148">
        <f>ALMYRA!AK14</f>
        <v>0</v>
      </c>
    </row>
    <row r="15" spans="1:14" ht="14.4" x14ac:dyDescent="0.55000000000000004">
      <c r="A15" s="126" t="s">
        <v>38</v>
      </c>
      <c r="B15" s="5">
        <f t="shared" si="0"/>
        <v>14</v>
      </c>
      <c r="C15" s="5">
        <v>8</v>
      </c>
      <c r="D15" s="4">
        <v>2024</v>
      </c>
      <c r="E15" s="131">
        <f>IF(ALMYRA!H15&lt;0,"0",ALMYRA!H15)</f>
        <v>0</v>
      </c>
      <c r="F15" s="132" t="e">
        <f>(ALMYRA!C15*0.24)/E15</f>
        <v>#DIV/0!</v>
      </c>
      <c r="G15" s="136">
        <f>ALMYRA!Z15</f>
        <v>0</v>
      </c>
      <c r="H15" s="137">
        <v>0.65800000000000003</v>
      </c>
      <c r="I15" s="140">
        <f>IF(ALMYRA!AB15&lt;0,"0",ALMYRA!AB15)</f>
        <v>0</v>
      </c>
      <c r="J15" s="141">
        <v>2.4</v>
      </c>
      <c r="K15" s="144">
        <f>ALMYRA!U15</f>
        <v>0</v>
      </c>
      <c r="L15" s="145">
        <v>0.88</v>
      </c>
      <c r="M15" s="148">
        <f>ALMYRA!AJ15</f>
        <v>0</v>
      </c>
      <c r="N15" s="148">
        <f>ALMYRA!AK15</f>
        <v>0</v>
      </c>
    </row>
    <row r="16" spans="1:14" ht="14.4" x14ac:dyDescent="0.55000000000000004">
      <c r="A16" s="126" t="s">
        <v>38</v>
      </c>
      <c r="B16" s="5">
        <f t="shared" si="0"/>
        <v>15</v>
      </c>
      <c r="C16" s="5">
        <v>8</v>
      </c>
      <c r="D16" s="4">
        <v>2024</v>
      </c>
      <c r="E16" s="131">
        <f>IF(ALMYRA!H16&lt;0,"0",ALMYRA!H16)</f>
        <v>0</v>
      </c>
      <c r="F16" s="132" t="e">
        <f>(ALMYRA!C16*0.24)/E16</f>
        <v>#DIV/0!</v>
      </c>
      <c r="G16" s="136">
        <f>ALMYRA!Z16</f>
        <v>0</v>
      </c>
      <c r="H16" s="137">
        <v>0.65800000000000003</v>
      </c>
      <c r="I16" s="140">
        <f>IF(ALMYRA!AB16&lt;0,"0",ALMYRA!AB16)</f>
        <v>0</v>
      </c>
      <c r="J16" s="141">
        <v>2.4</v>
      </c>
      <c r="K16" s="144">
        <f>ALMYRA!U16</f>
        <v>0</v>
      </c>
      <c r="L16" s="145">
        <v>0.88</v>
      </c>
      <c r="M16" s="148">
        <f>ALMYRA!AJ16</f>
        <v>0</v>
      </c>
      <c r="N16" s="148">
        <f>ALMYRA!AK16</f>
        <v>0</v>
      </c>
    </row>
    <row r="17" spans="1:14" ht="14.4" x14ac:dyDescent="0.55000000000000004">
      <c r="A17" s="126" t="s">
        <v>38</v>
      </c>
      <c r="B17" s="5">
        <f t="shared" si="0"/>
        <v>16</v>
      </c>
      <c r="C17" s="5">
        <v>8</v>
      </c>
      <c r="D17" s="4">
        <v>2024</v>
      </c>
      <c r="E17" s="131">
        <f>IF(ALMYRA!H17&lt;0,"0",ALMYRA!H17)</f>
        <v>0</v>
      </c>
      <c r="F17" s="132" t="e">
        <f>(ALMYRA!C17*0.24)/E17</f>
        <v>#DIV/0!</v>
      </c>
      <c r="G17" s="136">
        <f>ALMYRA!Z17</f>
        <v>0</v>
      </c>
      <c r="H17" s="137">
        <v>0.65800000000000003</v>
      </c>
      <c r="I17" s="140">
        <f>IF(ALMYRA!AB17&lt;0,"0",ALMYRA!AB17)</f>
        <v>0</v>
      </c>
      <c r="J17" s="141">
        <v>2.4</v>
      </c>
      <c r="K17" s="144">
        <f>ALMYRA!U17</f>
        <v>0</v>
      </c>
      <c r="L17" s="145">
        <v>0.88</v>
      </c>
      <c r="M17" s="148">
        <f>ALMYRA!AJ17</f>
        <v>0</v>
      </c>
      <c r="N17" s="148">
        <f>ALMYRA!AK17</f>
        <v>0</v>
      </c>
    </row>
    <row r="18" spans="1:14" ht="14.4" x14ac:dyDescent="0.55000000000000004">
      <c r="A18" s="126" t="s">
        <v>38</v>
      </c>
      <c r="B18" s="5">
        <f t="shared" si="0"/>
        <v>17</v>
      </c>
      <c r="C18" s="5">
        <v>8</v>
      </c>
      <c r="D18" s="4">
        <v>2024</v>
      </c>
      <c r="E18" s="131">
        <f>IF(ALMYRA!H18&lt;0,"0",ALMYRA!H18)</f>
        <v>0</v>
      </c>
      <c r="F18" s="132" t="e">
        <f>(ALMYRA!C18*0.24)/E18</f>
        <v>#DIV/0!</v>
      </c>
      <c r="G18" s="136">
        <f>ALMYRA!Z18</f>
        <v>0</v>
      </c>
      <c r="H18" s="137">
        <v>0.65800000000000003</v>
      </c>
      <c r="I18" s="140">
        <f>IF(ALMYRA!AB18&lt;0,"0",ALMYRA!AB18)</f>
        <v>0</v>
      </c>
      <c r="J18" s="141">
        <v>2.4</v>
      </c>
      <c r="K18" s="144">
        <f>ALMYRA!U18</f>
        <v>0</v>
      </c>
      <c r="L18" s="145">
        <v>0.88</v>
      </c>
      <c r="M18" s="148">
        <f>ALMYRA!AJ18</f>
        <v>0</v>
      </c>
      <c r="N18" s="148">
        <f>ALMYRA!AK18</f>
        <v>0</v>
      </c>
    </row>
    <row r="19" spans="1:14" ht="14.4" x14ac:dyDescent="0.55000000000000004">
      <c r="A19" s="126" t="s">
        <v>38</v>
      </c>
      <c r="B19" s="5">
        <f t="shared" si="0"/>
        <v>18</v>
      </c>
      <c r="C19" s="5">
        <v>8</v>
      </c>
      <c r="D19" s="4">
        <v>2024</v>
      </c>
      <c r="E19" s="131">
        <f>IF(ALMYRA!H19&lt;0,"0",ALMYRA!H19)</f>
        <v>0</v>
      </c>
      <c r="F19" s="132" t="e">
        <f>(ALMYRA!C19*0.24)/E19</f>
        <v>#DIV/0!</v>
      </c>
      <c r="G19" s="136">
        <f>ALMYRA!Z19</f>
        <v>0</v>
      </c>
      <c r="H19" s="137">
        <v>0.65800000000000003</v>
      </c>
      <c r="I19" s="140">
        <f>IF(ALMYRA!AB19&lt;0,"0",ALMYRA!AB19)</f>
        <v>0</v>
      </c>
      <c r="J19" s="141">
        <v>2.4</v>
      </c>
      <c r="K19" s="144">
        <f>ALMYRA!U19</f>
        <v>0</v>
      </c>
      <c r="L19" s="145">
        <v>0.88</v>
      </c>
      <c r="M19" s="148">
        <f>ALMYRA!AJ19</f>
        <v>0</v>
      </c>
      <c r="N19" s="148">
        <f>ALMYRA!AK19</f>
        <v>0</v>
      </c>
    </row>
    <row r="20" spans="1:14" ht="14.4" x14ac:dyDescent="0.55000000000000004">
      <c r="A20" s="126" t="s">
        <v>38</v>
      </c>
      <c r="B20" s="5">
        <f t="shared" si="0"/>
        <v>19</v>
      </c>
      <c r="C20" s="5">
        <v>8</v>
      </c>
      <c r="D20" s="4">
        <v>2024</v>
      </c>
      <c r="E20" s="131">
        <f>IF(ALMYRA!H20&lt;0,"0",ALMYRA!H20)</f>
        <v>0</v>
      </c>
      <c r="F20" s="132" t="e">
        <f>(ALMYRA!C20*0.24)/E20</f>
        <v>#DIV/0!</v>
      </c>
      <c r="G20" s="136">
        <f>ALMYRA!Z20</f>
        <v>0</v>
      </c>
      <c r="H20" s="137">
        <v>0.65800000000000003</v>
      </c>
      <c r="I20" s="140">
        <f>IF(ALMYRA!AB20&lt;0,"0",ALMYRA!AB20)</f>
        <v>0</v>
      </c>
      <c r="J20" s="141">
        <v>2.4</v>
      </c>
      <c r="K20" s="144">
        <f>ALMYRA!U20</f>
        <v>0</v>
      </c>
      <c r="L20" s="145">
        <v>0.88</v>
      </c>
      <c r="M20" s="148">
        <f>ALMYRA!AJ20</f>
        <v>0</v>
      </c>
      <c r="N20" s="148">
        <f>ALMYRA!AK20</f>
        <v>0</v>
      </c>
    </row>
    <row r="21" spans="1:14" ht="14.4" x14ac:dyDescent="0.55000000000000004">
      <c r="A21" s="126" t="s">
        <v>38</v>
      </c>
      <c r="B21" s="5">
        <f t="shared" si="0"/>
        <v>20</v>
      </c>
      <c r="C21" s="5">
        <v>8</v>
      </c>
      <c r="D21" s="4">
        <v>2024</v>
      </c>
      <c r="E21" s="131">
        <f>IF(ALMYRA!H21&lt;0,"0",ALMYRA!H21)</f>
        <v>0</v>
      </c>
      <c r="F21" s="132" t="e">
        <f>(ALMYRA!C21*0.24)/E21</f>
        <v>#DIV/0!</v>
      </c>
      <c r="G21" s="136">
        <f>ALMYRA!Z21</f>
        <v>0</v>
      </c>
      <c r="H21" s="137">
        <v>0.65800000000000003</v>
      </c>
      <c r="I21" s="140">
        <f>IF(ALMYRA!AB21&lt;0,"0",ALMYRA!AB21)</f>
        <v>0</v>
      </c>
      <c r="J21" s="141">
        <v>2.4</v>
      </c>
      <c r="K21" s="144">
        <f>ALMYRA!U21</f>
        <v>0</v>
      </c>
      <c r="L21" s="145">
        <v>0.88</v>
      </c>
      <c r="M21" s="148">
        <f>ALMYRA!AJ21</f>
        <v>0</v>
      </c>
      <c r="N21" s="148">
        <f>ALMYRA!AK21</f>
        <v>0</v>
      </c>
    </row>
    <row r="22" spans="1:14" ht="14.4" x14ac:dyDescent="0.55000000000000004">
      <c r="A22" s="126" t="s">
        <v>38</v>
      </c>
      <c r="B22" s="5">
        <f t="shared" si="0"/>
        <v>21</v>
      </c>
      <c r="C22" s="5">
        <v>8</v>
      </c>
      <c r="D22" s="4">
        <v>2024</v>
      </c>
      <c r="E22" s="131">
        <f>IF(ALMYRA!H22&lt;0,"0",ALMYRA!H22)</f>
        <v>0</v>
      </c>
      <c r="F22" s="132" t="e">
        <f>(ALMYRA!C22*0.24)/E22</f>
        <v>#DIV/0!</v>
      </c>
      <c r="G22" s="136">
        <f>ALMYRA!Z22</f>
        <v>0</v>
      </c>
      <c r="H22" s="137">
        <v>0.65800000000000003</v>
      </c>
      <c r="I22" s="140">
        <f>IF(ALMYRA!AB22&lt;0,"0",ALMYRA!AB22)</f>
        <v>0</v>
      </c>
      <c r="J22" s="141">
        <v>2.4</v>
      </c>
      <c r="K22" s="144">
        <f>ALMYRA!U22</f>
        <v>0</v>
      </c>
      <c r="L22" s="145">
        <v>0.88</v>
      </c>
      <c r="M22" s="148">
        <f>ALMYRA!AJ22</f>
        <v>0</v>
      </c>
      <c r="N22" s="148">
        <f>ALMYRA!AK22</f>
        <v>0</v>
      </c>
    </row>
    <row r="23" spans="1:14" ht="14.4" x14ac:dyDescent="0.55000000000000004">
      <c r="A23" s="126" t="s">
        <v>38</v>
      </c>
      <c r="B23" s="5">
        <f t="shared" si="0"/>
        <v>22</v>
      </c>
      <c r="C23" s="5">
        <v>8</v>
      </c>
      <c r="D23" s="4">
        <v>2024</v>
      </c>
      <c r="E23" s="131">
        <f>IF(ALMYRA!H23&lt;0,"0",ALMYRA!H23)</f>
        <v>0</v>
      </c>
      <c r="F23" s="132" t="e">
        <f>(ALMYRA!C23*0.24)/E23</f>
        <v>#DIV/0!</v>
      </c>
      <c r="G23" s="136">
        <f>ALMYRA!Z23</f>
        <v>0</v>
      </c>
      <c r="H23" s="137">
        <v>0.65800000000000003</v>
      </c>
      <c r="I23" s="140">
        <f>IF(ALMYRA!AB23&lt;0,"0",ALMYRA!AB23)</f>
        <v>0</v>
      </c>
      <c r="J23" s="141">
        <v>2.4</v>
      </c>
      <c r="K23" s="144">
        <f>ALMYRA!U23</f>
        <v>0</v>
      </c>
      <c r="L23" s="145">
        <v>0.88</v>
      </c>
      <c r="M23" s="148">
        <f>ALMYRA!AJ23</f>
        <v>0</v>
      </c>
      <c r="N23" s="148">
        <f>ALMYRA!AK23</f>
        <v>0</v>
      </c>
    </row>
    <row r="24" spans="1:14" ht="14.4" x14ac:dyDescent="0.55000000000000004">
      <c r="A24" s="126" t="s">
        <v>38</v>
      </c>
      <c r="B24" s="5">
        <f t="shared" si="0"/>
        <v>23</v>
      </c>
      <c r="C24" s="5">
        <v>8</v>
      </c>
      <c r="D24" s="4">
        <v>2024</v>
      </c>
      <c r="E24" s="131">
        <f>IF(ALMYRA!H24&lt;0,"0",ALMYRA!H24)</f>
        <v>0</v>
      </c>
      <c r="F24" s="132" t="e">
        <f>(ALMYRA!C24*0.24)/E24</f>
        <v>#DIV/0!</v>
      </c>
      <c r="G24" s="136">
        <f>ALMYRA!Z24</f>
        <v>0</v>
      </c>
      <c r="H24" s="137">
        <v>0.65800000000000003</v>
      </c>
      <c r="I24" s="140">
        <f>IF(ALMYRA!AB24&lt;0,"0",ALMYRA!AB24)</f>
        <v>0</v>
      </c>
      <c r="J24" s="141">
        <v>2.4</v>
      </c>
      <c r="K24" s="144">
        <f>ALMYRA!U24</f>
        <v>0</v>
      </c>
      <c r="L24" s="145">
        <v>0.88</v>
      </c>
      <c r="M24" s="148">
        <f>ALMYRA!AJ24</f>
        <v>0</v>
      </c>
      <c r="N24" s="148">
        <f>ALMYRA!AK24</f>
        <v>0</v>
      </c>
    </row>
    <row r="25" spans="1:14" ht="14.4" x14ac:dyDescent="0.55000000000000004">
      <c r="A25" s="126" t="s">
        <v>38</v>
      </c>
      <c r="B25" s="5">
        <f t="shared" si="0"/>
        <v>24</v>
      </c>
      <c r="C25" s="5">
        <v>8</v>
      </c>
      <c r="D25" s="4">
        <v>2024</v>
      </c>
      <c r="E25" s="131">
        <f>IF(ALMYRA!H25&lt;0,"0",ALMYRA!H25)</f>
        <v>0</v>
      </c>
      <c r="F25" s="132" t="e">
        <f>(ALMYRA!C25*0.24)/E25</f>
        <v>#DIV/0!</v>
      </c>
      <c r="G25" s="136">
        <f>ALMYRA!Z25</f>
        <v>0</v>
      </c>
      <c r="H25" s="137">
        <v>0.65800000000000003</v>
      </c>
      <c r="I25" s="140">
        <f>IF(ALMYRA!AB25&lt;0,"0",ALMYRA!AB25)</f>
        <v>0</v>
      </c>
      <c r="J25" s="141">
        <v>2.4</v>
      </c>
      <c r="K25" s="144">
        <f>ALMYRA!U25</f>
        <v>0</v>
      </c>
      <c r="L25" s="145">
        <v>0.88</v>
      </c>
      <c r="M25" s="148">
        <f>ALMYRA!AJ25</f>
        <v>0</v>
      </c>
      <c r="N25" s="148">
        <f>ALMYRA!AK25</f>
        <v>0</v>
      </c>
    </row>
    <row r="26" spans="1:14" ht="14.4" x14ac:dyDescent="0.55000000000000004">
      <c r="A26" s="126" t="s">
        <v>38</v>
      </c>
      <c r="B26" s="5">
        <f>B25+1</f>
        <v>25</v>
      </c>
      <c r="C26" s="5">
        <v>8</v>
      </c>
      <c r="D26" s="4">
        <v>2024</v>
      </c>
      <c r="E26" s="131">
        <f>IF(ALMYRA!H26&lt;0,"0",ALMYRA!H26)</f>
        <v>0</v>
      </c>
      <c r="F26" s="132" t="e">
        <f>(ALMYRA!C26*0.24)/E26</f>
        <v>#DIV/0!</v>
      </c>
      <c r="G26" s="136">
        <f>ALMYRA!Z26</f>
        <v>0</v>
      </c>
      <c r="H26" s="137">
        <v>0.65800000000000003</v>
      </c>
      <c r="I26" s="140">
        <f>IF(ALMYRA!AB26&lt;0,"0",ALMYRA!AB26)</f>
        <v>0</v>
      </c>
      <c r="J26" s="141">
        <v>2.4</v>
      </c>
      <c r="K26" s="144">
        <f>ALMYRA!U26</f>
        <v>0</v>
      </c>
      <c r="L26" s="145">
        <v>0.88</v>
      </c>
      <c r="M26" s="148">
        <f>ALMYRA!AJ26</f>
        <v>0</v>
      </c>
      <c r="N26" s="148">
        <f>ALMYRA!AK26</f>
        <v>0</v>
      </c>
    </row>
    <row r="27" spans="1:14" ht="14.4" x14ac:dyDescent="0.55000000000000004">
      <c r="A27" s="126" t="s">
        <v>38</v>
      </c>
      <c r="B27" s="5">
        <f t="shared" si="0"/>
        <v>26</v>
      </c>
      <c r="C27" s="5">
        <v>8</v>
      </c>
      <c r="D27" s="4">
        <v>2024</v>
      </c>
      <c r="E27" s="131">
        <f>IF(ALMYRA!H27&lt;0,"0",ALMYRA!H27)</f>
        <v>0</v>
      </c>
      <c r="F27" s="132" t="e">
        <f>(ALMYRA!C27*0.24)/E27</f>
        <v>#DIV/0!</v>
      </c>
      <c r="G27" s="136">
        <f>ALMYRA!Z27</f>
        <v>0</v>
      </c>
      <c r="H27" s="137">
        <v>0.65800000000000003</v>
      </c>
      <c r="I27" s="140">
        <f>IF(ALMYRA!AB27&lt;0,"0",ALMYRA!AB27)</f>
        <v>0</v>
      </c>
      <c r="J27" s="141">
        <v>2.4</v>
      </c>
      <c r="K27" s="144">
        <f>ALMYRA!U27</f>
        <v>0</v>
      </c>
      <c r="L27" s="145">
        <v>0.88</v>
      </c>
      <c r="M27" s="148">
        <f>ALMYRA!AJ27</f>
        <v>0</v>
      </c>
      <c r="N27" s="148">
        <f>ALMYRA!AK27</f>
        <v>0</v>
      </c>
    </row>
    <row r="28" spans="1:14" ht="14.4" x14ac:dyDescent="0.55000000000000004">
      <c r="A28" s="126" t="s">
        <v>38</v>
      </c>
      <c r="B28" s="5">
        <f t="shared" si="0"/>
        <v>27</v>
      </c>
      <c r="C28" s="5">
        <v>8</v>
      </c>
      <c r="D28" s="4">
        <v>2024</v>
      </c>
      <c r="E28" s="131">
        <f>IF(ALMYRA!H28&lt;0,"0",ALMYRA!H28)</f>
        <v>0</v>
      </c>
      <c r="F28" s="132" t="e">
        <f>(ALMYRA!C28*0.24)/E28</f>
        <v>#DIV/0!</v>
      </c>
      <c r="G28" s="136">
        <f>ALMYRA!Z28</f>
        <v>0</v>
      </c>
      <c r="H28" s="137">
        <v>0.65800000000000003</v>
      </c>
      <c r="I28" s="140">
        <f>IF(ALMYRA!AB28&lt;0,"0",ALMYRA!AB28)</f>
        <v>0</v>
      </c>
      <c r="J28" s="141">
        <v>2.4</v>
      </c>
      <c r="K28" s="144">
        <f>ALMYRA!U28</f>
        <v>0</v>
      </c>
      <c r="L28" s="145">
        <v>0.88</v>
      </c>
      <c r="M28" s="148">
        <f>ALMYRA!AJ28</f>
        <v>0</v>
      </c>
      <c r="N28" s="148">
        <f>ALMYRA!AK28</f>
        <v>0</v>
      </c>
    </row>
    <row r="29" spans="1:14" ht="14.4" x14ac:dyDescent="0.55000000000000004">
      <c r="A29" s="126" t="s">
        <v>38</v>
      </c>
      <c r="B29" s="5">
        <f t="shared" si="0"/>
        <v>28</v>
      </c>
      <c r="C29" s="5">
        <v>8</v>
      </c>
      <c r="D29" s="4">
        <v>2024</v>
      </c>
      <c r="E29" s="131">
        <f>IF(ALMYRA!H29&lt;0,"0",ALMYRA!H29)</f>
        <v>0</v>
      </c>
      <c r="F29" s="132" t="e">
        <f>(ALMYRA!C29*0.24)/E29</f>
        <v>#DIV/0!</v>
      </c>
      <c r="G29" s="136">
        <f>ALMYRA!Z29</f>
        <v>0</v>
      </c>
      <c r="H29" s="137">
        <v>0.65800000000000003</v>
      </c>
      <c r="I29" s="140">
        <f>IF(ALMYRA!AB29&lt;0,"0",ALMYRA!AB29)</f>
        <v>0</v>
      </c>
      <c r="J29" s="141">
        <v>2.4</v>
      </c>
      <c r="K29" s="144">
        <f>ALMYRA!U29</f>
        <v>0</v>
      </c>
      <c r="L29" s="145">
        <v>0.88</v>
      </c>
      <c r="M29" s="148">
        <f>ALMYRA!AJ29</f>
        <v>0</v>
      </c>
      <c r="N29" s="148">
        <f>ALMYRA!AK29</f>
        <v>0</v>
      </c>
    </row>
    <row r="30" spans="1:14" ht="14.4" x14ac:dyDescent="0.55000000000000004">
      <c r="A30" s="126" t="s">
        <v>38</v>
      </c>
      <c r="B30" s="5">
        <f t="shared" si="0"/>
        <v>29</v>
      </c>
      <c r="C30" s="5">
        <v>8</v>
      </c>
      <c r="D30" s="4">
        <v>2024</v>
      </c>
      <c r="E30" s="131">
        <f>IF(ALMYRA!H30&lt;0,"0",ALMYRA!H30)</f>
        <v>0</v>
      </c>
      <c r="F30" s="132" t="e">
        <f>(ALMYRA!C30*0.24)/E30</f>
        <v>#DIV/0!</v>
      </c>
      <c r="G30" s="136">
        <f>ALMYRA!Z30</f>
        <v>0</v>
      </c>
      <c r="H30" s="137">
        <v>0.65800000000000003</v>
      </c>
      <c r="I30" s="140">
        <f>IF(ALMYRA!AB30&lt;0,"0",ALMYRA!AB30)</f>
        <v>0</v>
      </c>
      <c r="J30" s="141">
        <v>2.4</v>
      </c>
      <c r="K30" s="144">
        <f>ALMYRA!U30</f>
        <v>0</v>
      </c>
      <c r="L30" s="145">
        <v>0.88</v>
      </c>
      <c r="M30" s="148">
        <f>ALMYRA!AJ30</f>
        <v>0</v>
      </c>
      <c r="N30" s="148">
        <f>ALMYRA!AK30</f>
        <v>0</v>
      </c>
    </row>
    <row r="31" spans="1:14" ht="14.4" x14ac:dyDescent="0.55000000000000004">
      <c r="A31" s="126" t="s">
        <v>38</v>
      </c>
      <c r="B31" s="5">
        <f t="shared" si="0"/>
        <v>30</v>
      </c>
      <c r="C31" s="5">
        <v>8</v>
      </c>
      <c r="D31" s="4">
        <v>2024</v>
      </c>
      <c r="E31" s="131">
        <f>IF(ALMYRA!H31&lt;0,"0",ALMYRA!H31)</f>
        <v>0</v>
      </c>
      <c r="F31" s="132" t="e">
        <f>(ALMYRA!C31*0.24)/E31</f>
        <v>#DIV/0!</v>
      </c>
      <c r="G31" s="136">
        <f>ALMYRA!Z31</f>
        <v>0</v>
      </c>
      <c r="H31" s="137">
        <v>0.65800000000000003</v>
      </c>
      <c r="I31" s="140">
        <f>IF(ALMYRA!AB31&lt;0,"0",ALMYRA!AB31)</f>
        <v>0</v>
      </c>
      <c r="J31" s="141">
        <v>2.4</v>
      </c>
      <c r="K31" s="144">
        <f>ALMYRA!U31</f>
        <v>0</v>
      </c>
      <c r="L31" s="145">
        <v>0.88</v>
      </c>
      <c r="M31" s="148">
        <f>ALMYRA!AJ31</f>
        <v>0</v>
      </c>
      <c r="N31" s="148">
        <f>ALMYRA!AK31</f>
        <v>0</v>
      </c>
    </row>
    <row r="32" spans="1:14" ht="14.4" x14ac:dyDescent="0.55000000000000004">
      <c r="A32" s="126" t="s">
        <v>38</v>
      </c>
      <c r="B32" s="5">
        <f t="shared" si="0"/>
        <v>31</v>
      </c>
      <c r="C32" s="5">
        <v>8</v>
      </c>
      <c r="D32" s="4">
        <v>2024</v>
      </c>
      <c r="E32" s="131">
        <f>IF(ALMYRA!H32&lt;0,"0",ALMYRA!H32)</f>
        <v>0</v>
      </c>
      <c r="F32" s="132" t="e">
        <f>(ALMYRA!C32*0.24)/E32</f>
        <v>#DIV/0!</v>
      </c>
      <c r="G32" s="136">
        <f>ALMYRA!Z32</f>
        <v>0</v>
      </c>
      <c r="H32" s="137">
        <v>0.65800000000000003</v>
      </c>
      <c r="I32" s="140">
        <f>IF(ALMYRA!AB32&lt;0,"0",ALMYRA!AB32)</f>
        <v>0</v>
      </c>
      <c r="J32" s="141">
        <v>2.4</v>
      </c>
      <c r="K32" s="144">
        <f>ALMYRA!U32</f>
        <v>0</v>
      </c>
      <c r="L32" s="145">
        <v>0.88</v>
      </c>
      <c r="M32" s="148">
        <f>ALMYRA!AJ32</f>
        <v>0</v>
      </c>
      <c r="N32" s="148">
        <f>ALMYRA!AK32</f>
        <v>0</v>
      </c>
    </row>
    <row r="33" spans="4:14" x14ac:dyDescent="0.4">
      <c r="D33" s="127"/>
      <c r="F33" s="132"/>
      <c r="I33" s="141"/>
      <c r="J33" s="141"/>
      <c r="M33" s="149"/>
      <c r="N33" s="149"/>
    </row>
    <row r="34" spans="4:14" x14ac:dyDescent="0.4">
      <c r="D34" s="127"/>
      <c r="F34" s="132"/>
      <c r="I34" s="141"/>
      <c r="J34" s="141"/>
      <c r="M34" s="149"/>
      <c r="N34" s="149"/>
    </row>
    <row r="35" spans="4:14" x14ac:dyDescent="0.4">
      <c r="D35" s="127"/>
      <c r="F35" s="132"/>
      <c r="I35" s="141"/>
      <c r="J35" s="141"/>
      <c r="M35" s="149"/>
      <c r="N35" s="149"/>
    </row>
    <row r="36" spans="4:14" x14ac:dyDescent="0.4">
      <c r="D36" s="127"/>
      <c r="F36" s="132"/>
      <c r="I36" s="141"/>
      <c r="J36" s="141"/>
      <c r="M36" s="149"/>
      <c r="N36" s="149"/>
    </row>
    <row r="37" spans="4:14" x14ac:dyDescent="0.4">
      <c r="D37" s="127"/>
      <c r="F37" s="132"/>
      <c r="I37" s="141"/>
      <c r="J37" s="141"/>
      <c r="M37" s="149"/>
      <c r="N37" s="149"/>
    </row>
    <row r="38" spans="4:14" x14ac:dyDescent="0.4">
      <c r="D38" s="127"/>
      <c r="F38" s="132"/>
      <c r="I38" s="141"/>
      <c r="J38" s="141"/>
      <c r="M38" s="149"/>
      <c r="N38" s="149"/>
    </row>
    <row r="39" spans="4:14" x14ac:dyDescent="0.4">
      <c r="D39" s="127"/>
      <c r="F39" s="132"/>
      <c r="I39" s="141"/>
      <c r="J39" s="141"/>
      <c r="M39" s="149"/>
      <c r="N39" s="149"/>
    </row>
    <row r="40" spans="4:14" x14ac:dyDescent="0.4">
      <c r="F40" s="132"/>
    </row>
    <row r="41" spans="4:14" x14ac:dyDescent="0.4">
      <c r="F41" s="132"/>
    </row>
    <row r="42" spans="4:14" x14ac:dyDescent="0.4">
      <c r="F42" s="132"/>
    </row>
    <row r="43" spans="4:14" x14ac:dyDescent="0.4">
      <c r="F43" s="1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opLeftCell="P1" zoomScale="85" zoomScaleNormal="85" workbookViewId="0">
      <selection activeCell="U17" sqref="U17"/>
    </sheetView>
  </sheetViews>
  <sheetFormatPr defaultColWidth="11.5546875" defaultRowHeight="12.3" x14ac:dyDescent="0.4"/>
  <cols>
    <col min="1" max="1" width="20.83203125" customWidth="1"/>
    <col min="2" max="2" width="10.83203125" customWidth="1"/>
    <col min="3" max="3" width="6.5546875" style="18" customWidth="1"/>
    <col min="4" max="4" width="10" style="5" customWidth="1"/>
    <col min="5" max="5" width="6.5546875" style="18" customWidth="1"/>
    <col min="6" max="6" width="10" style="5" customWidth="1"/>
    <col min="7" max="7" width="6.5546875" style="18" customWidth="1"/>
    <col min="8" max="9" width="9.71875" style="5" customWidth="1"/>
    <col min="10" max="10" width="8.27734375" style="5" customWidth="1"/>
    <col min="11" max="11" width="5.71875" style="18" customWidth="1"/>
    <col min="12" max="12" width="9.5546875" style="5" customWidth="1"/>
    <col min="13" max="13" width="4.83203125" style="18" customWidth="1"/>
    <col min="14" max="14" width="8.27734375" style="5" customWidth="1"/>
    <col min="15" max="15" width="4.83203125" style="18" customWidth="1"/>
    <col min="16" max="16" width="8.27734375" style="5" customWidth="1"/>
    <col min="17" max="17" width="4.83203125" style="18" customWidth="1"/>
    <col min="18" max="18" width="20.83203125" customWidth="1"/>
    <col min="19" max="20" width="6.5546875" style="4" customWidth="1"/>
    <col min="21" max="21" width="4.44140625" style="18" customWidth="1"/>
    <col min="22" max="23" width="4.71875" customWidth="1"/>
    <col min="24" max="24" width="7.83203125" customWidth="1"/>
    <col min="25" max="25" width="7.83203125" style="4" customWidth="1"/>
    <col min="26" max="26" width="5.38671875" style="18" bestFit="1" customWidth="1"/>
    <col min="27" max="27" width="8.44140625" customWidth="1"/>
    <col min="28" max="28" width="8.109375" style="18" bestFit="1" customWidth="1"/>
    <col min="29" max="29" width="7.83203125" style="5" customWidth="1"/>
    <col min="30" max="30" width="4.27734375" style="18" customWidth="1"/>
    <col min="31" max="31" width="8.83203125" customWidth="1"/>
    <col min="32" max="32" width="4.27734375" style="18" customWidth="1"/>
    <col min="33" max="34" width="7.5546875" style="7" customWidth="1"/>
    <col min="35" max="35" width="4.27734375" style="18" customWidth="1"/>
    <col min="36" max="36" width="6.44140625" customWidth="1"/>
    <col min="37" max="37" width="7" customWidth="1"/>
  </cols>
  <sheetData>
    <row r="1" spans="1:37" s="3" customFormat="1" ht="72" customHeight="1" thickTop="1" x14ac:dyDescent="0.4">
      <c r="A1" s="31" t="s">
        <v>1</v>
      </c>
      <c r="B1" s="32" t="s">
        <v>13</v>
      </c>
      <c r="C1" s="28" t="s">
        <v>11</v>
      </c>
      <c r="D1" s="27" t="s">
        <v>14</v>
      </c>
      <c r="E1" s="21" t="s">
        <v>7</v>
      </c>
      <c r="F1" s="27" t="s">
        <v>15</v>
      </c>
      <c r="G1" s="101" t="s">
        <v>8</v>
      </c>
      <c r="H1" s="106" t="s">
        <v>26</v>
      </c>
      <c r="I1" s="112" t="s">
        <v>25</v>
      </c>
      <c r="J1" s="117" t="s">
        <v>16</v>
      </c>
      <c r="K1" s="38" t="s">
        <v>6</v>
      </c>
      <c r="L1" s="118" t="s">
        <v>17</v>
      </c>
      <c r="M1" s="38" t="s">
        <v>6</v>
      </c>
      <c r="N1" s="118" t="s">
        <v>18</v>
      </c>
      <c r="O1" s="38" t="s">
        <v>6</v>
      </c>
      <c r="P1" s="117" t="s">
        <v>19</v>
      </c>
      <c r="Q1" s="64" t="s">
        <v>6</v>
      </c>
      <c r="R1" s="31" t="s">
        <v>1</v>
      </c>
      <c r="S1" s="37" t="s">
        <v>2</v>
      </c>
      <c r="T1" s="116" t="s">
        <v>21</v>
      </c>
      <c r="U1" s="38" t="s">
        <v>6</v>
      </c>
      <c r="V1" s="33" t="s">
        <v>9</v>
      </c>
      <c r="W1" s="45" t="s">
        <v>10</v>
      </c>
      <c r="X1" s="47" t="s">
        <v>22</v>
      </c>
      <c r="Y1" s="46" t="s">
        <v>20</v>
      </c>
      <c r="Z1" s="38" t="s">
        <v>6</v>
      </c>
      <c r="AA1" s="55" t="s">
        <v>4</v>
      </c>
      <c r="AB1" s="38" t="s">
        <v>6</v>
      </c>
      <c r="AC1" s="55" t="s">
        <v>5</v>
      </c>
      <c r="AD1" s="38" t="s">
        <v>6</v>
      </c>
      <c r="AE1" s="58" t="s">
        <v>3</v>
      </c>
      <c r="AF1" s="38" t="s">
        <v>6</v>
      </c>
      <c r="AG1" s="61" t="s">
        <v>23</v>
      </c>
      <c r="AH1" s="72" t="s">
        <v>24</v>
      </c>
      <c r="AI1" s="38" t="s">
        <v>6</v>
      </c>
      <c r="AJ1" s="29" t="s">
        <v>0</v>
      </c>
      <c r="AK1" s="30" t="s">
        <v>12</v>
      </c>
    </row>
    <row r="2" spans="1:37" x14ac:dyDescent="0.4">
      <c r="A2" s="24">
        <v>45505</v>
      </c>
      <c r="B2" s="8">
        <v>31699795</v>
      </c>
      <c r="C2" s="16">
        <f>B3-B2</f>
        <v>7051</v>
      </c>
      <c r="D2" s="9">
        <v>798988</v>
      </c>
      <c r="E2" s="16">
        <f>D3-D2</f>
        <v>2520</v>
      </c>
      <c r="F2" s="34">
        <v>110448</v>
      </c>
      <c r="G2" s="102">
        <f>F3-F2</f>
        <v>0</v>
      </c>
      <c r="H2" s="107">
        <f>C2+E2-G2</f>
        <v>9571</v>
      </c>
      <c r="I2" s="113">
        <f>H2-K2-M2-O2-Q2</f>
        <v>8318.8000000000175</v>
      </c>
      <c r="J2" s="99">
        <v>4614608.4000000004</v>
      </c>
      <c r="K2" s="41">
        <f>J3-J2</f>
        <v>966</v>
      </c>
      <c r="L2" s="14">
        <v>462901</v>
      </c>
      <c r="M2" s="41">
        <f>L3-L2</f>
        <v>71</v>
      </c>
      <c r="N2" s="14">
        <v>119482.1</v>
      </c>
      <c r="O2" s="41">
        <f>N3-N2</f>
        <v>70.899999999994179</v>
      </c>
      <c r="P2" s="99">
        <v>169135.7</v>
      </c>
      <c r="Q2" s="65">
        <f>P3-P2</f>
        <v>144.29999999998836</v>
      </c>
      <c r="R2" s="24">
        <f>A2</f>
        <v>45505</v>
      </c>
      <c r="S2" s="39">
        <v>7174</v>
      </c>
      <c r="T2" s="40">
        <v>0</v>
      </c>
      <c r="U2" s="41">
        <f>S2+T2-S3</f>
        <v>101</v>
      </c>
      <c r="V2" s="19">
        <v>0.75</v>
      </c>
      <c r="W2" s="48">
        <v>0.73</v>
      </c>
      <c r="X2" s="50">
        <f t="shared" ref="X2:X33" si="0">(V2*2500)+(W2*2500)</f>
        <v>3700</v>
      </c>
      <c r="Y2" s="49"/>
      <c r="Z2" s="41">
        <f>X2+Y2-X3</f>
        <v>175</v>
      </c>
      <c r="AA2" s="56">
        <v>99070</v>
      </c>
      <c r="AB2" s="41">
        <f>AA3-AA2</f>
        <v>91</v>
      </c>
      <c r="AC2" s="56">
        <v>9914.7999999999993</v>
      </c>
      <c r="AD2" s="41">
        <f>AC3-AC2</f>
        <v>6.9000000000014552</v>
      </c>
      <c r="AE2" s="59">
        <v>68617</v>
      </c>
      <c r="AF2" s="41">
        <f>AE3-AE2</f>
        <v>21</v>
      </c>
      <c r="AG2" s="62">
        <v>3100</v>
      </c>
      <c r="AH2" s="73">
        <v>0</v>
      </c>
      <c r="AI2" s="41">
        <f>AG3+AH2-AG2</f>
        <v>0</v>
      </c>
      <c r="AJ2" s="12">
        <v>152</v>
      </c>
      <c r="AK2" s="22">
        <v>332</v>
      </c>
    </row>
    <row r="3" spans="1:37" x14ac:dyDescent="0.4">
      <c r="A3" s="25">
        <v>45506</v>
      </c>
      <c r="B3" s="10">
        <v>31706846</v>
      </c>
      <c r="C3" s="67">
        <f>B4-B3</f>
        <v>7295</v>
      </c>
      <c r="D3" s="11">
        <v>801508</v>
      </c>
      <c r="E3" s="17">
        <f>D4-D3</f>
        <v>2572</v>
      </c>
      <c r="F3" s="35">
        <v>110448</v>
      </c>
      <c r="G3" s="103">
        <f>F4-F3</f>
        <v>0</v>
      </c>
      <c r="H3" s="108">
        <f t="shared" ref="H3:H32" si="1">C3+E3-G3</f>
        <v>9867</v>
      </c>
      <c r="I3" s="114">
        <f t="shared" ref="I3:I32" si="2">H3-K3-M3-O3-Q3</f>
        <v>8659.8000000007451</v>
      </c>
      <c r="J3" s="100">
        <v>4615574.4000000004</v>
      </c>
      <c r="K3" s="44">
        <f>J4-J3</f>
        <v>921.19999999925494</v>
      </c>
      <c r="L3" s="15">
        <v>462972</v>
      </c>
      <c r="M3" s="44">
        <f>L4-L3</f>
        <v>71</v>
      </c>
      <c r="N3" s="15">
        <v>119553</v>
      </c>
      <c r="O3" s="44">
        <f>N4-N3</f>
        <v>71</v>
      </c>
      <c r="P3" s="100">
        <v>169280</v>
      </c>
      <c r="Q3" s="66">
        <f>P4-P3</f>
        <v>144</v>
      </c>
      <c r="R3" s="25">
        <f>A3</f>
        <v>45506</v>
      </c>
      <c r="S3" s="42">
        <v>7073</v>
      </c>
      <c r="T3" s="43">
        <v>0</v>
      </c>
      <c r="U3" s="44">
        <f>S3+T3-S4</f>
        <v>53</v>
      </c>
      <c r="V3" s="20">
        <v>0.71</v>
      </c>
      <c r="W3" s="51">
        <v>0.7</v>
      </c>
      <c r="X3" s="52">
        <f t="shared" si="0"/>
        <v>3525</v>
      </c>
      <c r="Y3" s="49"/>
      <c r="Z3" s="53">
        <f t="shared" ref="Z3:Z32" si="3">X3+Y3-X4</f>
        <v>225</v>
      </c>
      <c r="AA3" s="57">
        <v>99161</v>
      </c>
      <c r="AB3" s="44">
        <f>AA4-AA3</f>
        <v>99</v>
      </c>
      <c r="AC3" s="57">
        <v>9921.7000000000007</v>
      </c>
      <c r="AD3" s="44">
        <f>AC4-AC3</f>
        <v>11.699999999998909</v>
      </c>
      <c r="AE3" s="60">
        <v>68638</v>
      </c>
      <c r="AF3" s="44">
        <f>AE4-AE3</f>
        <v>61</v>
      </c>
      <c r="AG3" s="63">
        <v>3100</v>
      </c>
      <c r="AH3" s="74">
        <v>0</v>
      </c>
      <c r="AI3" s="53">
        <f t="shared" ref="AI3:AI32" si="4">AG4+AH3-AG3</f>
        <v>0</v>
      </c>
      <c r="AJ3" s="13">
        <v>165</v>
      </c>
      <c r="AK3" s="23">
        <v>343</v>
      </c>
    </row>
    <row r="4" spans="1:37" x14ac:dyDescent="0.4">
      <c r="A4" s="25">
        <v>45507</v>
      </c>
      <c r="B4" s="10">
        <v>31714141</v>
      </c>
      <c r="C4" s="17">
        <f t="shared" ref="C4:E32" si="5">B5-B4</f>
        <v>7159</v>
      </c>
      <c r="D4" s="11">
        <v>804080</v>
      </c>
      <c r="E4" s="17">
        <f t="shared" si="5"/>
        <v>2357</v>
      </c>
      <c r="F4" s="35">
        <v>110448</v>
      </c>
      <c r="G4" s="103">
        <f t="shared" ref="G4:K4" si="6">F5-F4</f>
        <v>0</v>
      </c>
      <c r="H4" s="108">
        <f t="shared" si="1"/>
        <v>9516</v>
      </c>
      <c r="I4" s="114">
        <f t="shared" si="2"/>
        <v>8243.1999999992549</v>
      </c>
      <c r="J4" s="100">
        <v>4616495.5999999996</v>
      </c>
      <c r="K4" s="44">
        <f t="shared" si="6"/>
        <v>986.80000000074506</v>
      </c>
      <c r="L4" s="15">
        <v>463043</v>
      </c>
      <c r="M4" s="44">
        <f t="shared" ref="M4:O4" si="7">L5-L4</f>
        <v>71</v>
      </c>
      <c r="N4" s="15">
        <v>119624</v>
      </c>
      <c r="O4" s="44">
        <f t="shared" si="7"/>
        <v>71</v>
      </c>
      <c r="P4" s="100">
        <v>169424</v>
      </c>
      <c r="Q4" s="66">
        <f t="shared" ref="Q4" si="8">P5-P4</f>
        <v>144</v>
      </c>
      <c r="R4" s="25">
        <f t="shared" ref="R4:R32" si="9">A4</f>
        <v>45507</v>
      </c>
      <c r="S4" s="42">
        <v>7020</v>
      </c>
      <c r="T4" s="43">
        <v>0</v>
      </c>
      <c r="U4" s="44">
        <f t="shared" ref="U4:U32" si="10">S4+T4-S5</f>
        <v>20</v>
      </c>
      <c r="V4" s="20">
        <v>0.66</v>
      </c>
      <c r="W4" s="51">
        <v>0.66</v>
      </c>
      <c r="X4" s="52">
        <f t="shared" si="0"/>
        <v>3300</v>
      </c>
      <c r="Y4" s="49"/>
      <c r="Z4" s="53">
        <f t="shared" si="3"/>
        <v>225</v>
      </c>
      <c r="AA4" s="57">
        <v>99260</v>
      </c>
      <c r="AB4" s="44">
        <f t="shared" ref="AB4" si="11">AA5-AA4</f>
        <v>96</v>
      </c>
      <c r="AC4" s="57">
        <v>9933.4</v>
      </c>
      <c r="AD4" s="44">
        <f t="shared" ref="AD4:AF4" si="12">AC5-AC4</f>
        <v>14.700000000000728</v>
      </c>
      <c r="AE4" s="60">
        <v>68699</v>
      </c>
      <c r="AF4" s="44">
        <f t="shared" si="12"/>
        <v>49</v>
      </c>
      <c r="AG4" s="63">
        <v>3100</v>
      </c>
      <c r="AH4" s="74">
        <v>0</v>
      </c>
      <c r="AI4" s="53">
        <f t="shared" si="4"/>
        <v>0</v>
      </c>
      <c r="AJ4" s="13">
        <v>167</v>
      </c>
      <c r="AK4" s="23">
        <v>347</v>
      </c>
    </row>
    <row r="5" spans="1:37" x14ac:dyDescent="0.4">
      <c r="A5" s="25">
        <v>45508</v>
      </c>
      <c r="B5" s="10">
        <v>31721300</v>
      </c>
      <c r="C5" s="17">
        <f t="shared" si="5"/>
        <v>7188</v>
      </c>
      <c r="D5" s="11">
        <v>806437</v>
      </c>
      <c r="E5" s="17">
        <f t="shared" si="5"/>
        <v>2482</v>
      </c>
      <c r="F5" s="35">
        <v>110448</v>
      </c>
      <c r="G5" s="103">
        <f t="shared" ref="G5:K5" si="13">F6-F5</f>
        <v>0</v>
      </c>
      <c r="H5" s="108">
        <f t="shared" si="1"/>
        <v>9670</v>
      </c>
      <c r="I5" s="114">
        <f t="shared" si="2"/>
        <v>8360</v>
      </c>
      <c r="J5" s="100">
        <v>4617482.4000000004</v>
      </c>
      <c r="K5" s="44">
        <f t="shared" si="13"/>
        <v>1024</v>
      </c>
      <c r="L5" s="15">
        <v>463114</v>
      </c>
      <c r="M5" s="44">
        <f t="shared" ref="M5:O5" si="14">L6-L5</f>
        <v>71</v>
      </c>
      <c r="N5" s="15">
        <v>119695</v>
      </c>
      <c r="O5" s="44">
        <f t="shared" si="14"/>
        <v>71</v>
      </c>
      <c r="P5" s="100">
        <v>169568</v>
      </c>
      <c r="Q5" s="66">
        <f t="shared" ref="Q5" si="15">P6-P5</f>
        <v>144</v>
      </c>
      <c r="R5" s="25">
        <f t="shared" si="9"/>
        <v>45508</v>
      </c>
      <c r="S5" s="42">
        <v>7000</v>
      </c>
      <c r="T5" s="43">
        <v>0</v>
      </c>
      <c r="U5" s="44">
        <f t="shared" si="10"/>
        <v>90</v>
      </c>
      <c r="V5" s="20">
        <v>0.61</v>
      </c>
      <c r="W5" s="51">
        <v>0.62</v>
      </c>
      <c r="X5" s="52">
        <f t="shared" si="0"/>
        <v>3075</v>
      </c>
      <c r="Y5" s="49"/>
      <c r="Z5" s="53">
        <f t="shared" si="3"/>
        <v>25</v>
      </c>
      <c r="AA5" s="57">
        <v>99356</v>
      </c>
      <c r="AB5" s="44">
        <f t="shared" ref="AB5" si="16">AA6-AA5</f>
        <v>85</v>
      </c>
      <c r="AC5" s="57">
        <v>9948.1</v>
      </c>
      <c r="AD5" s="44">
        <f t="shared" ref="AD5:AF5" si="17">AC6-AC5</f>
        <v>12.100000000000364</v>
      </c>
      <c r="AE5" s="60">
        <v>68748</v>
      </c>
      <c r="AF5" s="44">
        <f t="shared" si="17"/>
        <v>50</v>
      </c>
      <c r="AG5" s="63">
        <v>3100</v>
      </c>
      <c r="AH5" s="74">
        <v>0</v>
      </c>
      <c r="AI5" s="53">
        <f t="shared" si="4"/>
        <v>0</v>
      </c>
      <c r="AJ5" s="13">
        <v>141</v>
      </c>
      <c r="AK5" s="23">
        <v>299</v>
      </c>
    </row>
    <row r="6" spans="1:37" x14ac:dyDescent="0.4">
      <c r="A6" s="25">
        <v>45509</v>
      </c>
      <c r="B6" s="10">
        <v>31728488</v>
      </c>
      <c r="C6" s="17">
        <f t="shared" si="5"/>
        <v>6491</v>
      </c>
      <c r="D6" s="11">
        <v>808919</v>
      </c>
      <c r="E6" s="17">
        <f t="shared" si="5"/>
        <v>2575</v>
      </c>
      <c r="F6" s="35">
        <v>110448</v>
      </c>
      <c r="G6" s="103">
        <f t="shared" ref="G6:K6" si="18">F7-F6</f>
        <v>0</v>
      </c>
      <c r="H6" s="108">
        <f t="shared" si="1"/>
        <v>9066</v>
      </c>
      <c r="I6" s="114">
        <f t="shared" si="2"/>
        <v>7725.2000000001863</v>
      </c>
      <c r="J6" s="100">
        <v>4618506.4000000004</v>
      </c>
      <c r="K6" s="44">
        <f t="shared" si="18"/>
        <v>1054.7999999998137</v>
      </c>
      <c r="L6" s="15">
        <v>463185</v>
      </c>
      <c r="M6" s="44">
        <f t="shared" ref="M6:O6" si="19">L7-L6</f>
        <v>71</v>
      </c>
      <c r="N6" s="15">
        <v>119766</v>
      </c>
      <c r="O6" s="44">
        <f t="shared" si="19"/>
        <v>71</v>
      </c>
      <c r="P6" s="100">
        <v>169712</v>
      </c>
      <c r="Q6" s="66">
        <f t="shared" ref="Q6" si="20">P7-P6</f>
        <v>144</v>
      </c>
      <c r="R6" s="25">
        <f t="shared" si="9"/>
        <v>45509</v>
      </c>
      <c r="S6" s="42">
        <v>6910</v>
      </c>
      <c r="T6" s="43">
        <v>0</v>
      </c>
      <c r="U6" s="44">
        <f t="shared" si="10"/>
        <v>39</v>
      </c>
      <c r="V6" s="20">
        <v>0.6</v>
      </c>
      <c r="W6" s="51">
        <v>0.62</v>
      </c>
      <c r="X6" s="52">
        <f t="shared" si="0"/>
        <v>3050</v>
      </c>
      <c r="Y6" s="49">
        <v>1203.1600000000001</v>
      </c>
      <c r="Z6" s="53">
        <f t="shared" si="3"/>
        <v>303.15999999999985</v>
      </c>
      <c r="AA6" s="57">
        <v>99441</v>
      </c>
      <c r="AB6" s="44">
        <f t="shared" ref="AB6" si="21">AA7-AA6</f>
        <v>97</v>
      </c>
      <c r="AC6" s="57">
        <v>9960.2000000000007</v>
      </c>
      <c r="AD6" s="44">
        <f t="shared" ref="AD6:AF6" si="22">AC7-AC6</f>
        <v>7</v>
      </c>
      <c r="AE6" s="60">
        <v>68798</v>
      </c>
      <c r="AF6" s="44">
        <f t="shared" si="22"/>
        <v>36</v>
      </c>
      <c r="AG6" s="63">
        <v>3100</v>
      </c>
      <c r="AH6" s="74">
        <v>0</v>
      </c>
      <c r="AI6" s="53">
        <f t="shared" si="4"/>
        <v>0</v>
      </c>
      <c r="AJ6" s="13">
        <v>155</v>
      </c>
      <c r="AK6" s="23">
        <v>329</v>
      </c>
    </row>
    <row r="7" spans="1:37" x14ac:dyDescent="0.4">
      <c r="A7" s="25">
        <v>45510</v>
      </c>
      <c r="B7" s="10">
        <v>31734979</v>
      </c>
      <c r="C7" s="17">
        <f t="shared" si="5"/>
        <v>7421</v>
      </c>
      <c r="D7" s="11">
        <v>811494</v>
      </c>
      <c r="E7" s="17">
        <f t="shared" si="5"/>
        <v>2521</v>
      </c>
      <c r="F7" s="35">
        <v>110448</v>
      </c>
      <c r="G7" s="103">
        <f t="shared" ref="G7:K7" si="23">F8-F7</f>
        <v>0</v>
      </c>
      <c r="H7" s="108">
        <f t="shared" si="1"/>
        <v>9942</v>
      </c>
      <c r="I7" s="114">
        <f t="shared" si="2"/>
        <v>8569.6000000005588</v>
      </c>
      <c r="J7" s="100">
        <v>4619561.2</v>
      </c>
      <c r="K7" s="44">
        <f t="shared" si="23"/>
        <v>1086.3999999994412</v>
      </c>
      <c r="L7" s="15">
        <v>463256</v>
      </c>
      <c r="M7" s="44">
        <f t="shared" ref="M7:O7" si="24">L8-L7</f>
        <v>71</v>
      </c>
      <c r="N7" s="15">
        <v>119837</v>
      </c>
      <c r="O7" s="44">
        <f t="shared" si="24"/>
        <v>71</v>
      </c>
      <c r="P7" s="100">
        <v>169856</v>
      </c>
      <c r="Q7" s="66">
        <f t="shared" ref="Q7" si="25">P8-P7</f>
        <v>144</v>
      </c>
      <c r="R7" s="25">
        <f t="shared" si="9"/>
        <v>45510</v>
      </c>
      <c r="S7" s="42">
        <v>6871</v>
      </c>
      <c r="T7" s="43">
        <v>0</v>
      </c>
      <c r="U7" s="44">
        <f t="shared" si="10"/>
        <v>51</v>
      </c>
      <c r="V7" s="20">
        <v>0.8</v>
      </c>
      <c r="W7" s="51">
        <v>0.78</v>
      </c>
      <c r="X7" s="52">
        <f t="shared" si="0"/>
        <v>3950</v>
      </c>
      <c r="Y7" s="49"/>
      <c r="Z7" s="53">
        <f t="shared" si="3"/>
        <v>200</v>
      </c>
      <c r="AA7" s="57">
        <v>99538</v>
      </c>
      <c r="AB7" s="44">
        <f t="shared" ref="AB7" si="26">AA8-AA7</f>
        <v>95</v>
      </c>
      <c r="AC7" s="57">
        <v>9967.2000000000007</v>
      </c>
      <c r="AD7" s="44">
        <f t="shared" ref="AD7:AF7" si="27">AC8-AC7</f>
        <v>15.399999999999636</v>
      </c>
      <c r="AE7" s="60">
        <v>68834</v>
      </c>
      <c r="AF7" s="44">
        <f t="shared" si="27"/>
        <v>69</v>
      </c>
      <c r="AG7" s="63">
        <v>3100</v>
      </c>
      <c r="AH7" s="74">
        <v>0</v>
      </c>
      <c r="AI7" s="53">
        <f t="shared" si="4"/>
        <v>0</v>
      </c>
      <c r="AJ7" s="13">
        <v>178</v>
      </c>
      <c r="AK7" s="23">
        <v>373</v>
      </c>
    </row>
    <row r="8" spans="1:37" x14ac:dyDescent="0.4">
      <c r="A8" s="25">
        <v>45511</v>
      </c>
      <c r="B8" s="10">
        <v>31742400</v>
      </c>
      <c r="C8" s="17">
        <f t="shared" si="5"/>
        <v>7358</v>
      </c>
      <c r="D8" s="11">
        <v>814015</v>
      </c>
      <c r="E8" s="17">
        <f t="shared" si="5"/>
        <v>2467</v>
      </c>
      <c r="F8" s="35">
        <v>110448</v>
      </c>
      <c r="G8" s="103">
        <f t="shared" ref="G8:K8" si="28">F9-F8</f>
        <v>0</v>
      </c>
      <c r="H8" s="108">
        <f t="shared" si="1"/>
        <v>9825</v>
      </c>
      <c r="I8" s="114">
        <f t="shared" si="2"/>
        <v>8415</v>
      </c>
      <c r="J8" s="100">
        <v>4620647.5999999996</v>
      </c>
      <c r="K8" s="44">
        <f t="shared" si="28"/>
        <v>1124</v>
      </c>
      <c r="L8" s="15">
        <v>463327</v>
      </c>
      <c r="M8" s="44">
        <f t="shared" ref="M8:O8" si="29">L9-L8</f>
        <v>71</v>
      </c>
      <c r="N8" s="15">
        <v>119908</v>
      </c>
      <c r="O8" s="44">
        <f t="shared" si="29"/>
        <v>71</v>
      </c>
      <c r="P8" s="100">
        <v>170000</v>
      </c>
      <c r="Q8" s="66">
        <f t="shared" ref="Q8" si="30">P9-P8</f>
        <v>144</v>
      </c>
      <c r="R8" s="25">
        <f t="shared" si="9"/>
        <v>45511</v>
      </c>
      <c r="S8" s="42">
        <v>6820</v>
      </c>
      <c r="T8" s="43">
        <v>0</v>
      </c>
      <c r="U8" s="44">
        <f t="shared" si="10"/>
        <v>49</v>
      </c>
      <c r="V8" s="20">
        <v>0.75</v>
      </c>
      <c r="W8" s="51">
        <v>0.75</v>
      </c>
      <c r="X8" s="52">
        <f t="shared" si="0"/>
        <v>3750</v>
      </c>
      <c r="Y8" s="49"/>
      <c r="Z8" s="53">
        <f t="shared" si="3"/>
        <v>125</v>
      </c>
      <c r="AA8" s="57">
        <v>99633</v>
      </c>
      <c r="AB8" s="44">
        <f t="shared" ref="AB8" si="31">AA9-AA8</f>
        <v>108</v>
      </c>
      <c r="AC8" s="57">
        <v>9982.6</v>
      </c>
      <c r="AD8" s="44">
        <f t="shared" ref="AD8:AF8" si="32">AC9-AC8</f>
        <v>13.5</v>
      </c>
      <c r="AE8" s="60">
        <v>68903</v>
      </c>
      <c r="AF8" s="44">
        <f t="shared" si="32"/>
        <v>40</v>
      </c>
      <c r="AG8" s="63">
        <v>3100</v>
      </c>
      <c r="AH8" s="74">
        <v>0</v>
      </c>
      <c r="AI8" s="53">
        <f t="shared" si="4"/>
        <v>0</v>
      </c>
      <c r="AJ8" s="13">
        <v>180</v>
      </c>
      <c r="AK8" s="23">
        <v>374</v>
      </c>
    </row>
    <row r="9" spans="1:37" x14ac:dyDescent="0.4">
      <c r="A9" s="25">
        <v>45512</v>
      </c>
      <c r="B9" s="10">
        <v>31749758</v>
      </c>
      <c r="C9" s="17">
        <f t="shared" si="5"/>
        <v>7146</v>
      </c>
      <c r="D9" s="11">
        <v>816482</v>
      </c>
      <c r="E9" s="17">
        <f t="shared" si="5"/>
        <v>2496</v>
      </c>
      <c r="F9" s="35">
        <v>110448</v>
      </c>
      <c r="G9" s="103">
        <f t="shared" ref="G9:K9" si="33">F10-F9</f>
        <v>0</v>
      </c>
      <c r="H9" s="108">
        <f t="shared" si="1"/>
        <v>9642</v>
      </c>
      <c r="I9" s="114">
        <f t="shared" si="2"/>
        <v>8284</v>
      </c>
      <c r="J9" s="100">
        <v>4621771.5999999996</v>
      </c>
      <c r="K9" s="44">
        <f t="shared" si="33"/>
        <v>1072</v>
      </c>
      <c r="L9" s="15">
        <v>463398</v>
      </c>
      <c r="M9" s="44">
        <f t="shared" ref="M9:O9" si="34">L10-L9</f>
        <v>71</v>
      </c>
      <c r="N9" s="15">
        <v>119979</v>
      </c>
      <c r="O9" s="44">
        <f t="shared" si="34"/>
        <v>71</v>
      </c>
      <c r="P9" s="100">
        <v>170144</v>
      </c>
      <c r="Q9" s="66">
        <f t="shared" ref="Q9" si="35">P10-P9</f>
        <v>144</v>
      </c>
      <c r="R9" s="25">
        <f t="shared" si="9"/>
        <v>45512</v>
      </c>
      <c r="S9" s="42">
        <v>6771</v>
      </c>
      <c r="T9" s="43">
        <v>0</v>
      </c>
      <c r="U9" s="44">
        <f t="shared" si="10"/>
        <v>101</v>
      </c>
      <c r="V9" s="20">
        <v>0.73</v>
      </c>
      <c r="W9" s="51">
        <v>0.72</v>
      </c>
      <c r="X9" s="52">
        <f t="shared" si="0"/>
        <v>3625</v>
      </c>
      <c r="Y9" s="49"/>
      <c r="Z9" s="53">
        <f t="shared" si="3"/>
        <v>150</v>
      </c>
      <c r="AA9" s="57">
        <v>99741</v>
      </c>
      <c r="AB9" s="44">
        <f t="shared" ref="AB9" si="36">AA10-AA9</f>
        <v>107</v>
      </c>
      <c r="AC9" s="57">
        <v>9996.1</v>
      </c>
      <c r="AD9" s="44">
        <f t="shared" ref="AD9:AF9" si="37">AC10-AC9</f>
        <v>10.899999999999636</v>
      </c>
      <c r="AE9" s="60">
        <v>68943</v>
      </c>
      <c r="AF9" s="44">
        <f t="shared" si="37"/>
        <v>54</v>
      </c>
      <c r="AG9" s="63">
        <v>3100</v>
      </c>
      <c r="AH9" s="74">
        <v>0</v>
      </c>
      <c r="AI9" s="53">
        <f t="shared" si="4"/>
        <v>0</v>
      </c>
      <c r="AJ9" s="13">
        <v>167</v>
      </c>
      <c r="AK9" s="23">
        <v>366</v>
      </c>
    </row>
    <row r="10" spans="1:37" x14ac:dyDescent="0.4">
      <c r="A10" s="25">
        <v>45513</v>
      </c>
      <c r="B10" s="10">
        <v>31756904</v>
      </c>
      <c r="C10" s="17">
        <f t="shared" si="5"/>
        <v>7689</v>
      </c>
      <c r="D10" s="11">
        <v>818978</v>
      </c>
      <c r="E10" s="17">
        <f t="shared" si="5"/>
        <v>2485</v>
      </c>
      <c r="F10" s="35">
        <v>110448</v>
      </c>
      <c r="G10" s="103">
        <f t="shared" ref="G10:K10" si="38">F11-F10</f>
        <v>0</v>
      </c>
      <c r="H10" s="108">
        <f t="shared" si="1"/>
        <v>10174</v>
      </c>
      <c r="I10" s="114">
        <f t="shared" si="2"/>
        <v>8757.1999999992549</v>
      </c>
      <c r="J10" s="100">
        <v>4622843.5999999996</v>
      </c>
      <c r="K10" s="44">
        <f t="shared" si="38"/>
        <v>1130.8000000007451</v>
      </c>
      <c r="L10" s="15">
        <v>463469</v>
      </c>
      <c r="M10" s="44">
        <f t="shared" ref="M10:O10" si="39">L11-L10</f>
        <v>71</v>
      </c>
      <c r="N10" s="15">
        <v>120050</v>
      </c>
      <c r="O10" s="44">
        <f t="shared" si="39"/>
        <v>71</v>
      </c>
      <c r="P10" s="100">
        <v>170288</v>
      </c>
      <c r="Q10" s="66">
        <f t="shared" ref="Q10" si="40">P11-P10</f>
        <v>144</v>
      </c>
      <c r="R10" s="25">
        <f t="shared" si="9"/>
        <v>45513</v>
      </c>
      <c r="S10" s="42">
        <v>6670</v>
      </c>
      <c r="T10" s="43">
        <v>0</v>
      </c>
      <c r="U10" s="44">
        <f t="shared" si="10"/>
        <v>110</v>
      </c>
      <c r="V10" s="20">
        <v>0.7</v>
      </c>
      <c r="W10" s="51">
        <v>0.69</v>
      </c>
      <c r="X10" s="52">
        <f t="shared" si="0"/>
        <v>3475</v>
      </c>
      <c r="Y10" s="49"/>
      <c r="Z10" s="53">
        <f t="shared" si="3"/>
        <v>225</v>
      </c>
      <c r="AA10" s="57">
        <v>99848</v>
      </c>
      <c r="AB10" s="44">
        <f t="shared" ref="AB10" si="41">AA11-AA10</f>
        <v>113</v>
      </c>
      <c r="AC10" s="57">
        <v>10007</v>
      </c>
      <c r="AD10" s="44">
        <f t="shared" ref="AD10:AF10" si="42">AC11-AC10</f>
        <v>12</v>
      </c>
      <c r="AE10" s="60">
        <v>68997</v>
      </c>
      <c r="AF10" s="44">
        <f t="shared" si="42"/>
        <v>50</v>
      </c>
      <c r="AG10" s="63">
        <v>3100</v>
      </c>
      <c r="AH10" s="74">
        <v>0</v>
      </c>
      <c r="AI10" s="53">
        <f t="shared" si="4"/>
        <v>0</v>
      </c>
      <c r="AJ10" s="13">
        <v>178</v>
      </c>
      <c r="AK10" s="23">
        <v>399</v>
      </c>
    </row>
    <row r="11" spans="1:37" x14ac:dyDescent="0.4">
      <c r="A11" s="25">
        <v>45514</v>
      </c>
      <c r="B11" s="10">
        <v>31764593</v>
      </c>
      <c r="C11" s="17">
        <f t="shared" si="5"/>
        <v>7165</v>
      </c>
      <c r="D11" s="11">
        <v>821463</v>
      </c>
      <c r="E11" s="17">
        <f t="shared" si="5"/>
        <v>2428</v>
      </c>
      <c r="F11" s="35">
        <v>110448</v>
      </c>
      <c r="G11" s="103">
        <f t="shared" ref="G11:K11" si="43">F12-F11</f>
        <v>0</v>
      </c>
      <c r="H11" s="108">
        <f t="shared" si="1"/>
        <v>9593</v>
      </c>
      <c r="I11" s="114">
        <f t="shared" si="2"/>
        <v>8117</v>
      </c>
      <c r="J11" s="100">
        <v>4623974.4000000004</v>
      </c>
      <c r="K11" s="44">
        <f t="shared" si="43"/>
        <v>1190</v>
      </c>
      <c r="L11" s="15">
        <v>463540</v>
      </c>
      <c r="M11" s="44">
        <f t="shared" ref="M11:O11" si="44">L12-L11</f>
        <v>71</v>
      </c>
      <c r="N11" s="15">
        <v>120121</v>
      </c>
      <c r="O11" s="44">
        <f t="shared" si="44"/>
        <v>71</v>
      </c>
      <c r="P11" s="100">
        <v>170432</v>
      </c>
      <c r="Q11" s="66">
        <f t="shared" ref="Q11" si="45">P12-P11</f>
        <v>144</v>
      </c>
      <c r="R11" s="25">
        <f t="shared" si="9"/>
        <v>45514</v>
      </c>
      <c r="S11" s="42">
        <v>6560</v>
      </c>
      <c r="T11" s="43">
        <v>0</v>
      </c>
      <c r="U11" s="44">
        <f t="shared" si="10"/>
        <v>60</v>
      </c>
      <c r="V11" s="20">
        <v>0.66</v>
      </c>
      <c r="W11" s="51">
        <v>0.64</v>
      </c>
      <c r="X11" s="52">
        <f t="shared" si="0"/>
        <v>3250</v>
      </c>
      <c r="Y11" s="49"/>
      <c r="Z11" s="53">
        <f t="shared" si="3"/>
        <v>200</v>
      </c>
      <c r="AA11" s="57">
        <v>99961</v>
      </c>
      <c r="AB11" s="44">
        <f t="shared" ref="AB11" si="46">AA12-AA11</f>
        <v>103</v>
      </c>
      <c r="AC11" s="57">
        <v>10019</v>
      </c>
      <c r="AD11" s="44">
        <f t="shared" ref="AD11:AF11" si="47">AC12-AC11</f>
        <v>11.200000000000728</v>
      </c>
      <c r="AE11" s="60">
        <v>69047</v>
      </c>
      <c r="AF11" s="44">
        <f t="shared" si="47"/>
        <v>24</v>
      </c>
      <c r="AG11" s="63">
        <v>3100</v>
      </c>
      <c r="AH11" s="74">
        <v>0</v>
      </c>
      <c r="AI11" s="53">
        <f t="shared" si="4"/>
        <v>0</v>
      </c>
      <c r="AJ11" s="13">
        <v>177</v>
      </c>
      <c r="AK11" s="23">
        <v>387</v>
      </c>
    </row>
    <row r="12" spans="1:37" x14ac:dyDescent="0.4">
      <c r="A12" s="25">
        <v>45515</v>
      </c>
      <c r="B12" s="10">
        <v>31771758</v>
      </c>
      <c r="C12" s="17">
        <f t="shared" si="5"/>
        <v>7123</v>
      </c>
      <c r="D12" s="11">
        <v>823891</v>
      </c>
      <c r="E12" s="17">
        <f t="shared" si="5"/>
        <v>2409</v>
      </c>
      <c r="F12" s="35">
        <v>110448</v>
      </c>
      <c r="G12" s="103">
        <f t="shared" ref="G12:K12" si="48">F13-F12</f>
        <v>0</v>
      </c>
      <c r="H12" s="108">
        <f t="shared" si="1"/>
        <v>9532</v>
      </c>
      <c r="I12" s="114">
        <f t="shared" si="2"/>
        <v>8230</v>
      </c>
      <c r="J12" s="100">
        <v>4625164.4000000004</v>
      </c>
      <c r="K12" s="44">
        <f t="shared" si="48"/>
        <v>1016</v>
      </c>
      <c r="L12" s="15">
        <v>463611</v>
      </c>
      <c r="M12" s="44">
        <f t="shared" ref="M12:O12" si="49">L13-L12</f>
        <v>71</v>
      </c>
      <c r="N12" s="15">
        <v>120192</v>
      </c>
      <c r="O12" s="44">
        <f t="shared" si="49"/>
        <v>71</v>
      </c>
      <c r="P12" s="100">
        <v>170576</v>
      </c>
      <c r="Q12" s="66">
        <f t="shared" ref="Q12" si="50">P13-P12</f>
        <v>144</v>
      </c>
      <c r="R12" s="25">
        <f t="shared" si="9"/>
        <v>45515</v>
      </c>
      <c r="S12" s="42">
        <v>6500</v>
      </c>
      <c r="T12" s="43">
        <v>0</v>
      </c>
      <c r="U12" s="44">
        <f t="shared" si="10"/>
        <v>31</v>
      </c>
      <c r="V12" s="20">
        <v>0.62</v>
      </c>
      <c r="W12" s="51">
        <v>0.6</v>
      </c>
      <c r="X12" s="52">
        <f t="shared" si="0"/>
        <v>3050</v>
      </c>
      <c r="Y12" s="49"/>
      <c r="Z12" s="53">
        <f t="shared" si="3"/>
        <v>150</v>
      </c>
      <c r="AA12" s="57">
        <v>100064</v>
      </c>
      <c r="AB12" s="44">
        <f t="shared" ref="AB12" si="51">AA13-AA12</f>
        <v>101</v>
      </c>
      <c r="AC12" s="57">
        <v>10030.200000000001</v>
      </c>
      <c r="AD12" s="44">
        <f t="shared" ref="AD12:AF12" si="52">AC13-AC12</f>
        <v>8.2999999999992724</v>
      </c>
      <c r="AE12" s="60">
        <v>69071</v>
      </c>
      <c r="AF12" s="44">
        <f t="shared" si="52"/>
        <v>14</v>
      </c>
      <c r="AG12" s="63">
        <v>3100</v>
      </c>
      <c r="AH12" s="74">
        <v>0</v>
      </c>
      <c r="AI12" s="53">
        <f t="shared" si="4"/>
        <v>0</v>
      </c>
      <c r="AJ12" s="13">
        <v>173</v>
      </c>
      <c r="AK12" s="23">
        <v>387</v>
      </c>
    </row>
    <row r="13" spans="1:37" x14ac:dyDescent="0.4">
      <c r="A13" s="25">
        <v>45516</v>
      </c>
      <c r="B13" s="10">
        <v>31778881</v>
      </c>
      <c r="C13" s="17">
        <f t="shared" si="5"/>
        <v>-31778881</v>
      </c>
      <c r="D13" s="11">
        <v>826300</v>
      </c>
      <c r="E13" s="17">
        <f t="shared" si="5"/>
        <v>-826300</v>
      </c>
      <c r="F13" s="35">
        <v>110448</v>
      </c>
      <c r="G13" s="103">
        <f t="shared" ref="G13:K13" si="53">F14-F13</f>
        <v>-110448</v>
      </c>
      <c r="H13" s="108">
        <f t="shared" si="1"/>
        <v>-32494733</v>
      </c>
      <c r="I13" s="114">
        <f t="shared" si="2"/>
        <v>-27113887.600000001</v>
      </c>
      <c r="J13" s="100">
        <v>4626180.4000000004</v>
      </c>
      <c r="K13" s="44">
        <f t="shared" si="53"/>
        <v>-4626180.4000000004</v>
      </c>
      <c r="L13" s="15">
        <v>463682</v>
      </c>
      <c r="M13" s="44">
        <f t="shared" ref="M13:O13" si="54">L14-L13</f>
        <v>-463682</v>
      </c>
      <c r="N13" s="15">
        <v>120263</v>
      </c>
      <c r="O13" s="44">
        <f t="shared" si="54"/>
        <v>-120263</v>
      </c>
      <c r="P13" s="100">
        <v>170720</v>
      </c>
      <c r="Q13" s="66">
        <f t="shared" ref="Q13" si="55">P14-P13</f>
        <v>-170720</v>
      </c>
      <c r="R13" s="25">
        <f t="shared" si="9"/>
        <v>45516</v>
      </c>
      <c r="S13" s="42">
        <v>6469</v>
      </c>
      <c r="T13" s="43">
        <v>0</v>
      </c>
      <c r="U13" s="44" t="s">
        <v>39</v>
      </c>
      <c r="V13" s="20">
        <v>0.57999999999999996</v>
      </c>
      <c r="W13" s="51">
        <v>0.57999999999999996</v>
      </c>
      <c r="X13" s="52">
        <f t="shared" si="0"/>
        <v>2900</v>
      </c>
      <c r="Y13" s="49">
        <v>1206.01</v>
      </c>
      <c r="Z13" s="53" t="s">
        <v>39</v>
      </c>
      <c r="AA13" s="57">
        <v>100165</v>
      </c>
      <c r="AB13" s="44">
        <f t="shared" ref="AB13" si="56">AA14-AA13</f>
        <v>-100165</v>
      </c>
      <c r="AC13" s="57">
        <v>10038.5</v>
      </c>
      <c r="AD13" s="44">
        <f t="shared" ref="AD13:AF13" si="57">AC14-AC13</f>
        <v>-10038.5</v>
      </c>
      <c r="AE13" s="60">
        <v>69085</v>
      </c>
      <c r="AF13" s="44">
        <f t="shared" si="57"/>
        <v>-69085</v>
      </c>
      <c r="AG13" s="63">
        <v>3100</v>
      </c>
      <c r="AH13" s="74">
        <v>0</v>
      </c>
      <c r="AI13" s="53">
        <f t="shared" si="4"/>
        <v>0</v>
      </c>
      <c r="AJ13" s="13"/>
      <c r="AK13" s="23"/>
    </row>
    <row r="14" spans="1:37" x14ac:dyDescent="0.4">
      <c r="A14" s="25">
        <v>45517</v>
      </c>
      <c r="B14" s="10"/>
      <c r="C14" s="17">
        <f t="shared" si="5"/>
        <v>0</v>
      </c>
      <c r="D14" s="11"/>
      <c r="E14" s="17">
        <f t="shared" si="5"/>
        <v>0</v>
      </c>
      <c r="F14" s="35"/>
      <c r="G14" s="103">
        <f t="shared" ref="G14:K14" si="58">F15-F14</f>
        <v>0</v>
      </c>
      <c r="H14" s="108">
        <f t="shared" si="1"/>
        <v>0</v>
      </c>
      <c r="I14" s="114">
        <f t="shared" si="2"/>
        <v>0</v>
      </c>
      <c r="J14" s="100"/>
      <c r="K14" s="44">
        <f t="shared" si="58"/>
        <v>0</v>
      </c>
      <c r="L14" s="15"/>
      <c r="M14" s="44">
        <f t="shared" ref="M14:O14" si="59">L15-L14</f>
        <v>0</v>
      </c>
      <c r="N14" s="15"/>
      <c r="O14" s="44">
        <f t="shared" si="59"/>
        <v>0</v>
      </c>
      <c r="P14" s="100"/>
      <c r="Q14" s="66">
        <f t="shared" ref="Q14" si="60">P15-P14</f>
        <v>0</v>
      </c>
      <c r="R14" s="25">
        <f t="shared" si="9"/>
        <v>45517</v>
      </c>
      <c r="S14" s="42"/>
      <c r="T14" s="43">
        <v>0</v>
      </c>
      <c r="U14" s="44">
        <f t="shared" si="10"/>
        <v>0</v>
      </c>
      <c r="V14" s="20"/>
      <c r="W14" s="51"/>
      <c r="X14" s="52">
        <f t="shared" si="0"/>
        <v>0</v>
      </c>
      <c r="Y14" s="49"/>
      <c r="Z14" s="53">
        <f t="shared" si="3"/>
        <v>0</v>
      </c>
      <c r="AA14" s="57"/>
      <c r="AB14" s="44">
        <f t="shared" ref="AB14" si="61">AA15-AA14</f>
        <v>0</v>
      </c>
      <c r="AC14" s="57"/>
      <c r="AD14" s="44">
        <f t="shared" ref="AD14:AF14" si="62">AC15-AC14</f>
        <v>0</v>
      </c>
      <c r="AE14" s="60"/>
      <c r="AF14" s="44">
        <f t="shared" si="62"/>
        <v>0</v>
      </c>
      <c r="AG14" s="63">
        <v>3100</v>
      </c>
      <c r="AH14" s="74">
        <v>0</v>
      </c>
      <c r="AI14" s="53">
        <f t="shared" si="4"/>
        <v>0</v>
      </c>
      <c r="AJ14" s="13"/>
      <c r="AK14" s="23"/>
    </row>
    <row r="15" spans="1:37" x14ac:dyDescent="0.4">
      <c r="A15" s="25">
        <v>45518</v>
      </c>
      <c r="B15" s="10"/>
      <c r="C15" s="17">
        <f t="shared" si="5"/>
        <v>0</v>
      </c>
      <c r="D15" s="11"/>
      <c r="E15" s="17">
        <f t="shared" si="5"/>
        <v>0</v>
      </c>
      <c r="F15" s="35"/>
      <c r="G15" s="103">
        <f t="shared" ref="G15:K15" si="63">F16-F15</f>
        <v>0</v>
      </c>
      <c r="H15" s="108">
        <f t="shared" si="1"/>
        <v>0</v>
      </c>
      <c r="I15" s="114">
        <f t="shared" si="2"/>
        <v>0</v>
      </c>
      <c r="J15" s="100"/>
      <c r="K15" s="44">
        <f t="shared" si="63"/>
        <v>0</v>
      </c>
      <c r="L15" s="15"/>
      <c r="M15" s="44">
        <f t="shared" ref="M15:O15" si="64">L16-L15</f>
        <v>0</v>
      </c>
      <c r="N15" s="15"/>
      <c r="O15" s="44">
        <f t="shared" si="64"/>
        <v>0</v>
      </c>
      <c r="P15" s="100"/>
      <c r="Q15" s="66">
        <f t="shared" ref="Q15" si="65">P16-P15</f>
        <v>0</v>
      </c>
      <c r="R15" s="25">
        <f t="shared" si="9"/>
        <v>45518</v>
      </c>
      <c r="S15" s="42"/>
      <c r="T15" s="43">
        <v>0</v>
      </c>
      <c r="U15" s="44">
        <f t="shared" si="10"/>
        <v>0</v>
      </c>
      <c r="V15" s="20"/>
      <c r="W15" s="51"/>
      <c r="X15" s="52">
        <f t="shared" si="0"/>
        <v>0</v>
      </c>
      <c r="Y15" s="49"/>
      <c r="Z15" s="53">
        <f t="shared" si="3"/>
        <v>0</v>
      </c>
      <c r="AA15" s="57"/>
      <c r="AB15" s="44">
        <f t="shared" ref="AB15" si="66">AA16-AA15</f>
        <v>0</v>
      </c>
      <c r="AC15" s="57"/>
      <c r="AD15" s="44">
        <f t="shared" ref="AD15:AF15" si="67">AC16-AC15</f>
        <v>0</v>
      </c>
      <c r="AE15" s="60"/>
      <c r="AF15" s="44">
        <f t="shared" si="67"/>
        <v>0</v>
      </c>
      <c r="AG15" s="63">
        <v>3100</v>
      </c>
      <c r="AH15" s="74">
        <v>0</v>
      </c>
      <c r="AI15" s="53">
        <f t="shared" si="4"/>
        <v>0</v>
      </c>
      <c r="AJ15" s="13"/>
      <c r="AK15" s="23"/>
    </row>
    <row r="16" spans="1:37" x14ac:dyDescent="0.4">
      <c r="A16" s="25">
        <v>45519</v>
      </c>
      <c r="B16" s="10"/>
      <c r="C16" s="17">
        <f t="shared" si="5"/>
        <v>0</v>
      </c>
      <c r="D16" s="11"/>
      <c r="E16" s="17">
        <f t="shared" si="5"/>
        <v>0</v>
      </c>
      <c r="F16" s="35"/>
      <c r="G16" s="103">
        <f t="shared" ref="G16:K16" si="68">F17-F16</f>
        <v>0</v>
      </c>
      <c r="H16" s="108">
        <f t="shared" si="1"/>
        <v>0</v>
      </c>
      <c r="I16" s="114">
        <f t="shared" si="2"/>
        <v>0</v>
      </c>
      <c r="J16" s="100"/>
      <c r="K16" s="44">
        <f t="shared" si="68"/>
        <v>0</v>
      </c>
      <c r="L16" s="15"/>
      <c r="M16" s="44">
        <f t="shared" ref="M16:O16" si="69">L17-L16</f>
        <v>0</v>
      </c>
      <c r="N16" s="15"/>
      <c r="O16" s="44">
        <f t="shared" si="69"/>
        <v>0</v>
      </c>
      <c r="P16" s="100"/>
      <c r="Q16" s="66">
        <f t="shared" ref="Q16" si="70">P17-P16</f>
        <v>0</v>
      </c>
      <c r="R16" s="25">
        <f t="shared" si="9"/>
        <v>45519</v>
      </c>
      <c r="S16" s="42"/>
      <c r="T16" s="43">
        <v>0</v>
      </c>
      <c r="U16" s="44">
        <f t="shared" si="10"/>
        <v>0</v>
      </c>
      <c r="V16" s="20"/>
      <c r="W16" s="51"/>
      <c r="X16" s="52">
        <f t="shared" si="0"/>
        <v>0</v>
      </c>
      <c r="Y16" s="49"/>
      <c r="Z16" s="53">
        <f t="shared" si="3"/>
        <v>0</v>
      </c>
      <c r="AA16" s="57"/>
      <c r="AB16" s="44">
        <f t="shared" ref="AB16" si="71">AA17-AA16</f>
        <v>0</v>
      </c>
      <c r="AC16" s="57"/>
      <c r="AD16" s="44">
        <f t="shared" ref="AD16:AF16" si="72">AC17-AC16</f>
        <v>0</v>
      </c>
      <c r="AE16" s="60"/>
      <c r="AF16" s="44">
        <f t="shared" si="72"/>
        <v>0</v>
      </c>
      <c r="AG16" s="63">
        <v>3100</v>
      </c>
      <c r="AH16" s="74">
        <v>0</v>
      </c>
      <c r="AI16" s="53">
        <f t="shared" si="4"/>
        <v>0</v>
      </c>
      <c r="AJ16" s="13"/>
      <c r="AK16" s="23"/>
    </row>
    <row r="17" spans="1:37" x14ac:dyDescent="0.4">
      <c r="A17" s="25">
        <v>45520</v>
      </c>
      <c r="B17" s="10"/>
      <c r="C17" s="17">
        <f t="shared" si="5"/>
        <v>0</v>
      </c>
      <c r="D17" s="11"/>
      <c r="E17" s="17">
        <f t="shared" si="5"/>
        <v>0</v>
      </c>
      <c r="F17" s="35"/>
      <c r="G17" s="103">
        <f t="shared" ref="G17:K17" si="73">F18-F17</f>
        <v>0</v>
      </c>
      <c r="H17" s="108">
        <f t="shared" si="1"/>
        <v>0</v>
      </c>
      <c r="I17" s="114">
        <f t="shared" si="2"/>
        <v>0</v>
      </c>
      <c r="J17" s="100"/>
      <c r="K17" s="44">
        <f t="shared" si="73"/>
        <v>0</v>
      </c>
      <c r="L17" s="15"/>
      <c r="M17" s="44">
        <f t="shared" ref="M17:O17" si="74">L18-L17</f>
        <v>0</v>
      </c>
      <c r="N17" s="15"/>
      <c r="O17" s="44">
        <f t="shared" si="74"/>
        <v>0</v>
      </c>
      <c r="P17" s="100"/>
      <c r="Q17" s="66">
        <f t="shared" ref="Q17" si="75">P18-P17</f>
        <v>0</v>
      </c>
      <c r="R17" s="25">
        <f t="shared" si="9"/>
        <v>45520</v>
      </c>
      <c r="S17" s="42"/>
      <c r="T17" s="43">
        <v>0</v>
      </c>
      <c r="U17" s="44">
        <f t="shared" si="10"/>
        <v>0</v>
      </c>
      <c r="V17" s="20"/>
      <c r="W17" s="51"/>
      <c r="X17" s="52">
        <f t="shared" si="0"/>
        <v>0</v>
      </c>
      <c r="Y17" s="49"/>
      <c r="Z17" s="53">
        <f t="shared" si="3"/>
        <v>0</v>
      </c>
      <c r="AA17" s="57"/>
      <c r="AB17" s="44">
        <f t="shared" ref="AB17" si="76">AA18-AA17</f>
        <v>0</v>
      </c>
      <c r="AC17" s="57"/>
      <c r="AD17" s="44">
        <f t="shared" ref="AD17:AF17" si="77">AC18-AC17</f>
        <v>0</v>
      </c>
      <c r="AE17" s="60"/>
      <c r="AF17" s="44">
        <f t="shared" si="77"/>
        <v>0</v>
      </c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4">
      <c r="A18" s="25">
        <v>45521</v>
      </c>
      <c r="B18" s="10"/>
      <c r="C18" s="17">
        <f t="shared" si="5"/>
        <v>0</v>
      </c>
      <c r="D18" s="11"/>
      <c r="E18" s="17">
        <f t="shared" si="5"/>
        <v>0</v>
      </c>
      <c r="F18" s="35"/>
      <c r="G18" s="103">
        <f t="shared" ref="G18:K18" si="78">F19-F18</f>
        <v>0</v>
      </c>
      <c r="H18" s="108">
        <f t="shared" si="1"/>
        <v>0</v>
      </c>
      <c r="I18" s="114">
        <f t="shared" si="2"/>
        <v>0</v>
      </c>
      <c r="J18" s="100"/>
      <c r="K18" s="44">
        <f t="shared" si="78"/>
        <v>0</v>
      </c>
      <c r="L18" s="15"/>
      <c r="M18" s="44">
        <f t="shared" ref="M18:O18" si="79">L19-L18</f>
        <v>0</v>
      </c>
      <c r="N18" s="15"/>
      <c r="O18" s="44">
        <f t="shared" si="79"/>
        <v>0</v>
      </c>
      <c r="P18" s="100"/>
      <c r="Q18" s="66">
        <f t="shared" ref="Q18" si="80">P19-P18</f>
        <v>0</v>
      </c>
      <c r="R18" s="25">
        <f t="shared" si="9"/>
        <v>45521</v>
      </c>
      <c r="S18" s="42"/>
      <c r="T18" s="43">
        <v>0</v>
      </c>
      <c r="U18" s="44">
        <f t="shared" si="10"/>
        <v>0</v>
      </c>
      <c r="V18" s="20"/>
      <c r="W18" s="51"/>
      <c r="X18" s="52">
        <f t="shared" si="0"/>
        <v>0</v>
      </c>
      <c r="Y18" s="49"/>
      <c r="Z18" s="53">
        <f t="shared" si="3"/>
        <v>0</v>
      </c>
      <c r="AA18" s="57"/>
      <c r="AB18" s="44">
        <f t="shared" ref="AB18" si="81">AA19-AA18</f>
        <v>0</v>
      </c>
      <c r="AC18" s="57"/>
      <c r="AD18" s="44">
        <f t="shared" ref="AD18:AF18" si="82">AC19-AC18</f>
        <v>0</v>
      </c>
      <c r="AE18" s="60"/>
      <c r="AF18" s="44">
        <f t="shared" si="82"/>
        <v>0</v>
      </c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4">
      <c r="A19" s="25">
        <v>45522</v>
      </c>
      <c r="B19" s="10"/>
      <c r="C19" s="17">
        <f t="shared" si="5"/>
        <v>0</v>
      </c>
      <c r="D19" s="11"/>
      <c r="E19" s="17">
        <f t="shared" si="5"/>
        <v>0</v>
      </c>
      <c r="F19" s="35"/>
      <c r="G19" s="103">
        <f t="shared" ref="G19:K19" si="83">F20-F19</f>
        <v>0</v>
      </c>
      <c r="H19" s="108">
        <f t="shared" si="1"/>
        <v>0</v>
      </c>
      <c r="I19" s="114">
        <f t="shared" si="2"/>
        <v>0</v>
      </c>
      <c r="J19" s="100"/>
      <c r="K19" s="44">
        <f t="shared" si="83"/>
        <v>0</v>
      </c>
      <c r="L19" s="15"/>
      <c r="M19" s="44">
        <f t="shared" ref="M19:O19" si="84">L20-L19</f>
        <v>0</v>
      </c>
      <c r="N19" s="15"/>
      <c r="O19" s="44">
        <f t="shared" si="84"/>
        <v>0</v>
      </c>
      <c r="P19" s="100"/>
      <c r="Q19" s="66">
        <f t="shared" ref="Q19" si="85">P20-P19</f>
        <v>0</v>
      </c>
      <c r="R19" s="25">
        <f t="shared" si="9"/>
        <v>45522</v>
      </c>
      <c r="S19" s="42"/>
      <c r="T19" s="43">
        <v>0</v>
      </c>
      <c r="U19" s="44">
        <f t="shared" si="10"/>
        <v>0</v>
      </c>
      <c r="V19" s="20"/>
      <c r="W19" s="51"/>
      <c r="X19" s="52">
        <f t="shared" si="0"/>
        <v>0</v>
      </c>
      <c r="Y19" s="49"/>
      <c r="Z19" s="53">
        <f t="shared" si="3"/>
        <v>0</v>
      </c>
      <c r="AA19" s="57"/>
      <c r="AB19" s="44">
        <f t="shared" ref="AB19" si="86">AA20-AA19</f>
        <v>0</v>
      </c>
      <c r="AC19" s="57"/>
      <c r="AD19" s="44">
        <f t="shared" ref="AD19:AF19" si="87">AC20-AC19</f>
        <v>0</v>
      </c>
      <c r="AE19" s="60"/>
      <c r="AF19" s="44">
        <f t="shared" si="87"/>
        <v>0</v>
      </c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4">
      <c r="A20" s="25">
        <v>45523</v>
      </c>
      <c r="B20" s="10"/>
      <c r="C20" s="17">
        <f t="shared" si="5"/>
        <v>0</v>
      </c>
      <c r="D20" s="11"/>
      <c r="E20" s="17">
        <f t="shared" si="5"/>
        <v>0</v>
      </c>
      <c r="F20" s="35"/>
      <c r="G20" s="103">
        <f t="shared" ref="G20:K20" si="88">F21-F20</f>
        <v>0</v>
      </c>
      <c r="H20" s="108">
        <f t="shared" si="1"/>
        <v>0</v>
      </c>
      <c r="I20" s="114">
        <f t="shared" si="2"/>
        <v>0</v>
      </c>
      <c r="J20" s="100"/>
      <c r="K20" s="44">
        <f t="shared" si="88"/>
        <v>0</v>
      </c>
      <c r="L20" s="15"/>
      <c r="M20" s="44">
        <f t="shared" ref="M20:O20" si="89">L21-L20</f>
        <v>0</v>
      </c>
      <c r="N20" s="15"/>
      <c r="O20" s="44">
        <f t="shared" si="89"/>
        <v>0</v>
      </c>
      <c r="P20" s="100"/>
      <c r="Q20" s="66">
        <f t="shared" ref="Q20" si="90">P21-P20</f>
        <v>0</v>
      </c>
      <c r="R20" s="25">
        <f t="shared" si="9"/>
        <v>45523</v>
      </c>
      <c r="S20" s="42"/>
      <c r="T20" s="43">
        <v>0</v>
      </c>
      <c r="U20" s="44">
        <f t="shared" si="10"/>
        <v>0</v>
      </c>
      <c r="V20" s="20"/>
      <c r="W20" s="51"/>
      <c r="X20" s="52">
        <f t="shared" si="0"/>
        <v>0</v>
      </c>
      <c r="Y20" s="49"/>
      <c r="Z20" s="53">
        <f t="shared" si="3"/>
        <v>0</v>
      </c>
      <c r="AA20" s="57"/>
      <c r="AB20" s="44">
        <f t="shared" ref="AB20" si="91">AA21-AA20</f>
        <v>0</v>
      </c>
      <c r="AC20" s="57"/>
      <c r="AD20" s="44">
        <f t="shared" ref="AD20:AF20" si="92">AC21-AC20</f>
        <v>0</v>
      </c>
      <c r="AE20" s="60"/>
      <c r="AF20" s="44">
        <f t="shared" si="92"/>
        <v>0</v>
      </c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4">
      <c r="A21" s="25">
        <v>45524</v>
      </c>
      <c r="B21" s="10"/>
      <c r="C21" s="17">
        <f t="shared" si="5"/>
        <v>0</v>
      </c>
      <c r="D21" s="11"/>
      <c r="E21" s="17">
        <f t="shared" si="5"/>
        <v>0</v>
      </c>
      <c r="F21" s="35"/>
      <c r="G21" s="103">
        <f t="shared" ref="G21:K21" si="93">F22-F21</f>
        <v>0</v>
      </c>
      <c r="H21" s="108">
        <f t="shared" si="1"/>
        <v>0</v>
      </c>
      <c r="I21" s="114">
        <f t="shared" si="2"/>
        <v>0</v>
      </c>
      <c r="J21" s="100"/>
      <c r="K21" s="44">
        <f t="shared" si="93"/>
        <v>0</v>
      </c>
      <c r="L21" s="15"/>
      <c r="M21" s="44">
        <f t="shared" ref="M21:O21" si="94">L22-L21</f>
        <v>0</v>
      </c>
      <c r="N21" s="15"/>
      <c r="O21" s="44">
        <f t="shared" si="94"/>
        <v>0</v>
      </c>
      <c r="P21" s="100"/>
      <c r="Q21" s="66">
        <f t="shared" ref="Q21" si="95">P22-P21</f>
        <v>0</v>
      </c>
      <c r="R21" s="25">
        <f t="shared" si="9"/>
        <v>45524</v>
      </c>
      <c r="S21" s="42"/>
      <c r="T21" s="43">
        <v>0</v>
      </c>
      <c r="U21" s="44">
        <f t="shared" si="10"/>
        <v>0</v>
      </c>
      <c r="V21" s="20"/>
      <c r="W21" s="51"/>
      <c r="X21" s="52">
        <f t="shared" si="0"/>
        <v>0</v>
      </c>
      <c r="Y21" s="49"/>
      <c r="Z21" s="53">
        <f t="shared" si="3"/>
        <v>0</v>
      </c>
      <c r="AA21" s="57"/>
      <c r="AB21" s="44">
        <f t="shared" ref="AB21" si="96">AA22-AA21</f>
        <v>0</v>
      </c>
      <c r="AC21" s="57"/>
      <c r="AD21" s="44">
        <f t="shared" ref="AD21:AF21" si="97">AC22-AC21</f>
        <v>0</v>
      </c>
      <c r="AE21" s="60"/>
      <c r="AF21" s="44">
        <f t="shared" si="97"/>
        <v>0</v>
      </c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4">
      <c r="A22" s="25">
        <v>45525</v>
      </c>
      <c r="B22" s="10"/>
      <c r="C22" s="17">
        <f t="shared" si="5"/>
        <v>0</v>
      </c>
      <c r="D22" s="11"/>
      <c r="E22" s="17">
        <f t="shared" si="5"/>
        <v>0</v>
      </c>
      <c r="F22" s="35"/>
      <c r="G22" s="103">
        <f t="shared" ref="G22:K22" si="98">F23-F22</f>
        <v>0</v>
      </c>
      <c r="H22" s="108">
        <f t="shared" si="1"/>
        <v>0</v>
      </c>
      <c r="I22" s="114">
        <f t="shared" si="2"/>
        <v>0</v>
      </c>
      <c r="J22" s="100"/>
      <c r="K22" s="44">
        <f t="shared" si="98"/>
        <v>0</v>
      </c>
      <c r="L22" s="15"/>
      <c r="M22" s="44">
        <f t="shared" ref="M22:O22" si="99">L23-L22</f>
        <v>0</v>
      </c>
      <c r="N22" s="15"/>
      <c r="O22" s="44">
        <f t="shared" si="99"/>
        <v>0</v>
      </c>
      <c r="P22" s="100"/>
      <c r="Q22" s="66">
        <f t="shared" ref="Q22" si="100">P23-P22</f>
        <v>0</v>
      </c>
      <c r="R22" s="25">
        <f t="shared" si="9"/>
        <v>45525</v>
      </c>
      <c r="S22" s="42"/>
      <c r="T22" s="43">
        <v>0</v>
      </c>
      <c r="U22" s="44">
        <f t="shared" si="10"/>
        <v>0</v>
      </c>
      <c r="V22" s="20"/>
      <c r="W22" s="51"/>
      <c r="X22" s="52">
        <f t="shared" si="0"/>
        <v>0</v>
      </c>
      <c r="Y22" s="49"/>
      <c r="Z22" s="53">
        <f t="shared" si="3"/>
        <v>0</v>
      </c>
      <c r="AA22" s="57"/>
      <c r="AB22" s="44">
        <f t="shared" ref="AB22" si="101">AA23-AA22</f>
        <v>0</v>
      </c>
      <c r="AC22" s="57"/>
      <c r="AD22" s="44">
        <f t="shared" ref="AD22:AF22" si="102">AC23-AC22</f>
        <v>0</v>
      </c>
      <c r="AE22" s="60"/>
      <c r="AF22" s="44">
        <f t="shared" si="102"/>
        <v>0</v>
      </c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4">
      <c r="A23" s="25">
        <v>45526</v>
      </c>
      <c r="B23" s="10"/>
      <c r="C23" s="17">
        <f t="shared" si="5"/>
        <v>0</v>
      </c>
      <c r="D23" s="11"/>
      <c r="E23" s="17">
        <f t="shared" si="5"/>
        <v>0</v>
      </c>
      <c r="F23" s="35"/>
      <c r="G23" s="103">
        <f t="shared" ref="G23:K23" si="103">F24-F23</f>
        <v>0</v>
      </c>
      <c r="H23" s="108">
        <f t="shared" si="1"/>
        <v>0</v>
      </c>
      <c r="I23" s="114">
        <f t="shared" si="2"/>
        <v>0</v>
      </c>
      <c r="J23" s="100"/>
      <c r="K23" s="44">
        <f t="shared" si="103"/>
        <v>0</v>
      </c>
      <c r="L23" s="15"/>
      <c r="M23" s="44">
        <f t="shared" ref="M23:O23" si="104">L24-L23</f>
        <v>0</v>
      </c>
      <c r="N23" s="15"/>
      <c r="O23" s="44">
        <f t="shared" si="104"/>
        <v>0</v>
      </c>
      <c r="P23" s="100"/>
      <c r="Q23" s="66">
        <f t="shared" ref="Q23" si="105">P24-P23</f>
        <v>0</v>
      </c>
      <c r="R23" s="25">
        <f t="shared" si="9"/>
        <v>45526</v>
      </c>
      <c r="S23" s="42"/>
      <c r="T23" s="43">
        <v>0</v>
      </c>
      <c r="U23" s="44">
        <f t="shared" si="10"/>
        <v>0</v>
      </c>
      <c r="V23" s="20"/>
      <c r="W23" s="51"/>
      <c r="X23" s="52">
        <f t="shared" si="0"/>
        <v>0</v>
      </c>
      <c r="Y23" s="49"/>
      <c r="Z23" s="53">
        <f t="shared" si="3"/>
        <v>0</v>
      </c>
      <c r="AA23" s="57"/>
      <c r="AB23" s="44">
        <f t="shared" ref="AB23" si="106">AA24-AA23</f>
        <v>0</v>
      </c>
      <c r="AC23" s="57"/>
      <c r="AD23" s="44">
        <f t="shared" ref="AD23:AF23" si="107">AC24-AC23</f>
        <v>0</v>
      </c>
      <c r="AE23" s="60"/>
      <c r="AF23" s="44">
        <f t="shared" si="107"/>
        <v>0</v>
      </c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4">
      <c r="A24" s="25">
        <v>45527</v>
      </c>
      <c r="B24" s="10"/>
      <c r="C24" s="17">
        <f t="shared" si="5"/>
        <v>0</v>
      </c>
      <c r="D24" s="11"/>
      <c r="E24" s="17">
        <f t="shared" si="5"/>
        <v>0</v>
      </c>
      <c r="F24" s="35"/>
      <c r="G24" s="103">
        <f t="shared" ref="G24:K24" si="108">F25-F24</f>
        <v>0</v>
      </c>
      <c r="H24" s="108">
        <f t="shared" si="1"/>
        <v>0</v>
      </c>
      <c r="I24" s="114">
        <f t="shared" si="2"/>
        <v>0</v>
      </c>
      <c r="J24" s="100"/>
      <c r="K24" s="44">
        <f t="shared" si="108"/>
        <v>0</v>
      </c>
      <c r="L24" s="15"/>
      <c r="M24" s="44">
        <f t="shared" ref="M24:O24" si="109">L25-L24</f>
        <v>0</v>
      </c>
      <c r="N24" s="15"/>
      <c r="O24" s="44">
        <f t="shared" si="109"/>
        <v>0</v>
      </c>
      <c r="P24" s="100"/>
      <c r="Q24" s="66">
        <f t="shared" ref="Q24" si="110">P25-P24</f>
        <v>0</v>
      </c>
      <c r="R24" s="25">
        <f t="shared" si="9"/>
        <v>45527</v>
      </c>
      <c r="S24" s="42"/>
      <c r="T24" s="43">
        <v>0</v>
      </c>
      <c r="U24" s="44">
        <f t="shared" si="10"/>
        <v>0</v>
      </c>
      <c r="V24" s="20"/>
      <c r="W24" s="51"/>
      <c r="X24" s="52">
        <f t="shared" si="0"/>
        <v>0</v>
      </c>
      <c r="Y24" s="49"/>
      <c r="Z24" s="53">
        <f t="shared" si="3"/>
        <v>0</v>
      </c>
      <c r="AA24" s="57"/>
      <c r="AB24" s="44">
        <f t="shared" ref="AB24" si="111">AA25-AA24</f>
        <v>0</v>
      </c>
      <c r="AC24" s="57"/>
      <c r="AD24" s="44">
        <f t="shared" ref="AD24:AF24" si="112">AC25-AC24</f>
        <v>0</v>
      </c>
      <c r="AE24" s="60"/>
      <c r="AF24" s="44">
        <f t="shared" si="112"/>
        <v>0</v>
      </c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4">
      <c r="A25" s="25">
        <v>45528</v>
      </c>
      <c r="B25" s="10"/>
      <c r="C25" s="17">
        <f t="shared" si="5"/>
        <v>0</v>
      </c>
      <c r="D25" s="11"/>
      <c r="E25" s="17">
        <f t="shared" si="5"/>
        <v>0</v>
      </c>
      <c r="F25" s="35"/>
      <c r="G25" s="103">
        <f t="shared" ref="G25:K25" si="113">F26-F25</f>
        <v>0</v>
      </c>
      <c r="H25" s="108">
        <f t="shared" si="1"/>
        <v>0</v>
      </c>
      <c r="I25" s="114">
        <f t="shared" si="2"/>
        <v>0</v>
      </c>
      <c r="J25" s="100"/>
      <c r="K25" s="44">
        <f t="shared" si="113"/>
        <v>0</v>
      </c>
      <c r="L25" s="15"/>
      <c r="M25" s="44">
        <f t="shared" ref="M25:O25" si="114">L26-L25</f>
        <v>0</v>
      </c>
      <c r="N25" s="15"/>
      <c r="O25" s="44">
        <f t="shared" si="114"/>
        <v>0</v>
      </c>
      <c r="P25" s="100"/>
      <c r="Q25" s="66">
        <f t="shared" ref="Q25" si="115">P26-P25</f>
        <v>0</v>
      </c>
      <c r="R25" s="25">
        <f t="shared" si="9"/>
        <v>45528</v>
      </c>
      <c r="S25" s="42"/>
      <c r="T25" s="43">
        <v>0</v>
      </c>
      <c r="U25" s="44">
        <f t="shared" si="10"/>
        <v>0</v>
      </c>
      <c r="V25" s="20"/>
      <c r="W25" s="51"/>
      <c r="X25" s="52">
        <f t="shared" si="0"/>
        <v>0</v>
      </c>
      <c r="Y25" s="49"/>
      <c r="Z25" s="53">
        <f t="shared" si="3"/>
        <v>0</v>
      </c>
      <c r="AA25" s="57"/>
      <c r="AB25" s="44">
        <f t="shared" ref="AB25" si="116">AA26-AA25</f>
        <v>0</v>
      </c>
      <c r="AC25" s="57"/>
      <c r="AD25" s="44">
        <f t="shared" ref="AD25:AF25" si="117">AC26-AC25</f>
        <v>0</v>
      </c>
      <c r="AE25" s="60"/>
      <c r="AF25" s="44">
        <f t="shared" si="117"/>
        <v>0</v>
      </c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4">
      <c r="A26" s="25">
        <v>45529</v>
      </c>
      <c r="B26" s="10"/>
      <c r="C26" s="17">
        <f t="shared" si="5"/>
        <v>0</v>
      </c>
      <c r="D26" s="11"/>
      <c r="E26" s="17">
        <f t="shared" si="5"/>
        <v>0</v>
      </c>
      <c r="F26" s="35"/>
      <c r="G26" s="103">
        <f t="shared" ref="G26:K26" si="118">F27-F26</f>
        <v>0</v>
      </c>
      <c r="H26" s="108">
        <f t="shared" si="1"/>
        <v>0</v>
      </c>
      <c r="I26" s="114">
        <f t="shared" si="2"/>
        <v>0</v>
      </c>
      <c r="J26" s="100"/>
      <c r="K26" s="44">
        <f t="shared" si="118"/>
        <v>0</v>
      </c>
      <c r="L26" s="15"/>
      <c r="M26" s="44">
        <f t="shared" ref="M26:O26" si="119">L27-L26</f>
        <v>0</v>
      </c>
      <c r="N26" s="15"/>
      <c r="O26" s="44">
        <f t="shared" si="119"/>
        <v>0</v>
      </c>
      <c r="P26" s="100"/>
      <c r="Q26" s="66">
        <f t="shared" ref="Q26" si="120">P27-P26</f>
        <v>0</v>
      </c>
      <c r="R26" s="25">
        <f t="shared" si="9"/>
        <v>45529</v>
      </c>
      <c r="S26" s="42"/>
      <c r="T26" s="43">
        <v>0</v>
      </c>
      <c r="U26" s="44">
        <f t="shared" si="10"/>
        <v>0</v>
      </c>
      <c r="V26" s="20"/>
      <c r="W26" s="51"/>
      <c r="X26" s="52">
        <f t="shared" si="0"/>
        <v>0</v>
      </c>
      <c r="Y26" s="49"/>
      <c r="Z26" s="53">
        <f t="shared" si="3"/>
        <v>0</v>
      </c>
      <c r="AA26" s="57"/>
      <c r="AB26" s="44">
        <f t="shared" ref="AB26" si="121">AA27-AA26</f>
        <v>0</v>
      </c>
      <c r="AC26" s="57"/>
      <c r="AD26" s="44">
        <f t="shared" ref="AD26:AF26" si="122">AC27-AC26</f>
        <v>0</v>
      </c>
      <c r="AE26" s="60"/>
      <c r="AF26" s="44">
        <f t="shared" si="122"/>
        <v>0</v>
      </c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4">
      <c r="A27" s="25">
        <v>45530</v>
      </c>
      <c r="B27" s="10"/>
      <c r="C27" s="17">
        <f t="shared" si="5"/>
        <v>0</v>
      </c>
      <c r="D27" s="11"/>
      <c r="E27" s="17">
        <f t="shared" si="5"/>
        <v>0</v>
      </c>
      <c r="F27" s="35"/>
      <c r="G27" s="103">
        <f t="shared" ref="G27:K27" si="123">F28-F27</f>
        <v>0</v>
      </c>
      <c r="H27" s="108">
        <f t="shared" si="1"/>
        <v>0</v>
      </c>
      <c r="I27" s="114">
        <f t="shared" si="2"/>
        <v>0</v>
      </c>
      <c r="J27" s="100"/>
      <c r="K27" s="44">
        <f t="shared" si="123"/>
        <v>0</v>
      </c>
      <c r="L27" s="15"/>
      <c r="M27" s="44">
        <f t="shared" ref="M27:O27" si="124">L28-L27</f>
        <v>0</v>
      </c>
      <c r="N27" s="15"/>
      <c r="O27" s="44">
        <f t="shared" si="124"/>
        <v>0</v>
      </c>
      <c r="P27" s="100"/>
      <c r="Q27" s="66">
        <f t="shared" ref="Q27" si="125">P28-P27</f>
        <v>0</v>
      </c>
      <c r="R27" s="25">
        <f t="shared" si="9"/>
        <v>45530</v>
      </c>
      <c r="S27" s="42"/>
      <c r="T27" s="43">
        <v>0</v>
      </c>
      <c r="U27" s="44">
        <f t="shared" si="10"/>
        <v>0</v>
      </c>
      <c r="V27" s="20"/>
      <c r="W27" s="51"/>
      <c r="X27" s="52">
        <f t="shared" si="0"/>
        <v>0</v>
      </c>
      <c r="Y27" s="49"/>
      <c r="Z27" s="53">
        <f t="shared" si="3"/>
        <v>0</v>
      </c>
      <c r="AA27" s="57"/>
      <c r="AB27" s="44">
        <f t="shared" ref="AB27" si="126">AA28-AA27</f>
        <v>0</v>
      </c>
      <c r="AC27" s="57"/>
      <c r="AD27" s="44">
        <f t="shared" ref="AD27:AF27" si="127">AC28-AC27</f>
        <v>0</v>
      </c>
      <c r="AE27" s="60"/>
      <c r="AF27" s="44">
        <f t="shared" si="127"/>
        <v>0</v>
      </c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4">
      <c r="A28" s="25">
        <v>45531</v>
      </c>
      <c r="B28" s="10"/>
      <c r="C28" s="17">
        <f t="shared" si="5"/>
        <v>0</v>
      </c>
      <c r="D28" s="11"/>
      <c r="E28" s="17">
        <f t="shared" si="5"/>
        <v>0</v>
      </c>
      <c r="F28" s="35"/>
      <c r="G28" s="103">
        <f t="shared" ref="G28:K28" si="128">F29-F28</f>
        <v>0</v>
      </c>
      <c r="H28" s="108">
        <f t="shared" si="1"/>
        <v>0</v>
      </c>
      <c r="I28" s="114">
        <f t="shared" si="2"/>
        <v>0</v>
      </c>
      <c r="J28" s="100"/>
      <c r="K28" s="44">
        <f t="shared" si="128"/>
        <v>0</v>
      </c>
      <c r="L28" s="15"/>
      <c r="M28" s="44">
        <f t="shared" ref="M28:O28" si="129">L29-L28</f>
        <v>0</v>
      </c>
      <c r="N28" s="15"/>
      <c r="O28" s="44">
        <f t="shared" si="129"/>
        <v>0</v>
      </c>
      <c r="P28" s="100"/>
      <c r="Q28" s="66">
        <f t="shared" ref="Q28" si="130">P29-P28</f>
        <v>0</v>
      </c>
      <c r="R28" s="25">
        <f t="shared" si="9"/>
        <v>45531</v>
      </c>
      <c r="S28" s="42"/>
      <c r="T28" s="43">
        <v>0</v>
      </c>
      <c r="U28" s="44">
        <f t="shared" si="10"/>
        <v>0</v>
      </c>
      <c r="V28" s="20"/>
      <c r="W28" s="51"/>
      <c r="X28" s="52">
        <f t="shared" si="0"/>
        <v>0</v>
      </c>
      <c r="Y28" s="49"/>
      <c r="Z28" s="53">
        <f t="shared" si="3"/>
        <v>0</v>
      </c>
      <c r="AA28" s="57"/>
      <c r="AB28" s="44">
        <f t="shared" ref="AB28" si="131">AA29-AA28</f>
        <v>0</v>
      </c>
      <c r="AC28" s="57"/>
      <c r="AD28" s="44">
        <f t="shared" ref="AD28:AF28" si="132">AC29-AC28</f>
        <v>0</v>
      </c>
      <c r="AE28" s="60"/>
      <c r="AF28" s="44">
        <f t="shared" si="132"/>
        <v>0</v>
      </c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4">
      <c r="A29" s="25">
        <v>45532</v>
      </c>
      <c r="B29" s="10"/>
      <c r="C29" s="17">
        <f t="shared" si="5"/>
        <v>0</v>
      </c>
      <c r="D29" s="11"/>
      <c r="E29" s="17">
        <f t="shared" si="5"/>
        <v>0</v>
      </c>
      <c r="F29" s="35"/>
      <c r="G29" s="103">
        <f t="shared" ref="G29:K29" si="133">F30-F29</f>
        <v>0</v>
      </c>
      <c r="H29" s="108">
        <f t="shared" si="1"/>
        <v>0</v>
      </c>
      <c r="I29" s="114">
        <f t="shared" si="2"/>
        <v>0</v>
      </c>
      <c r="J29" s="100"/>
      <c r="K29" s="44">
        <f t="shared" si="133"/>
        <v>0</v>
      </c>
      <c r="L29" s="15"/>
      <c r="M29" s="44">
        <f t="shared" ref="M29:O29" si="134">L30-L29</f>
        <v>0</v>
      </c>
      <c r="N29" s="15"/>
      <c r="O29" s="44">
        <f t="shared" si="134"/>
        <v>0</v>
      </c>
      <c r="P29" s="100"/>
      <c r="Q29" s="66">
        <f t="shared" ref="Q29" si="135">P30-P29</f>
        <v>0</v>
      </c>
      <c r="R29" s="25">
        <f t="shared" si="9"/>
        <v>45532</v>
      </c>
      <c r="S29" s="42"/>
      <c r="T29" s="43">
        <v>0</v>
      </c>
      <c r="U29" s="44">
        <f t="shared" si="10"/>
        <v>0</v>
      </c>
      <c r="V29" s="20"/>
      <c r="W29" s="51"/>
      <c r="X29" s="52">
        <f t="shared" si="0"/>
        <v>0</v>
      </c>
      <c r="Y29" s="49"/>
      <c r="Z29" s="53">
        <f t="shared" si="3"/>
        <v>0</v>
      </c>
      <c r="AA29" s="57"/>
      <c r="AB29" s="44">
        <f t="shared" ref="AB29" si="136">AA30-AA29</f>
        <v>0</v>
      </c>
      <c r="AC29" s="57"/>
      <c r="AD29" s="44">
        <f t="shared" ref="AD29:AF29" si="137">AC30-AC29</f>
        <v>0</v>
      </c>
      <c r="AE29" s="60"/>
      <c r="AF29" s="44">
        <f t="shared" si="137"/>
        <v>0</v>
      </c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4">
      <c r="A30" s="25">
        <v>45533</v>
      </c>
      <c r="B30" s="10"/>
      <c r="C30" s="17">
        <f t="shared" si="5"/>
        <v>0</v>
      </c>
      <c r="D30" s="11"/>
      <c r="E30" s="17">
        <f t="shared" si="5"/>
        <v>0</v>
      </c>
      <c r="F30" s="35"/>
      <c r="G30" s="103">
        <f t="shared" ref="G30:K30" si="138">F31-F30</f>
        <v>0</v>
      </c>
      <c r="H30" s="108">
        <f t="shared" si="1"/>
        <v>0</v>
      </c>
      <c r="I30" s="114">
        <f t="shared" si="2"/>
        <v>0</v>
      </c>
      <c r="J30" s="100"/>
      <c r="K30" s="44">
        <f t="shared" si="138"/>
        <v>0</v>
      </c>
      <c r="L30" s="15"/>
      <c r="M30" s="44">
        <f t="shared" ref="M30:O30" si="139">L31-L30</f>
        <v>0</v>
      </c>
      <c r="N30" s="15"/>
      <c r="O30" s="44">
        <f t="shared" si="139"/>
        <v>0</v>
      </c>
      <c r="P30" s="100"/>
      <c r="Q30" s="66">
        <f t="shared" ref="Q30" si="140">P31-P30</f>
        <v>0</v>
      </c>
      <c r="R30" s="25">
        <f t="shared" si="9"/>
        <v>45533</v>
      </c>
      <c r="S30" s="42"/>
      <c r="T30" s="43">
        <v>0</v>
      </c>
      <c r="U30" s="44">
        <f t="shared" si="10"/>
        <v>0</v>
      </c>
      <c r="V30" s="20"/>
      <c r="W30" s="51"/>
      <c r="X30" s="52">
        <f t="shared" si="0"/>
        <v>0</v>
      </c>
      <c r="Y30" s="49"/>
      <c r="Z30" s="53">
        <f t="shared" si="3"/>
        <v>0</v>
      </c>
      <c r="AA30" s="57"/>
      <c r="AB30" s="44">
        <f t="shared" ref="AB30" si="141">AA31-AA30</f>
        <v>0</v>
      </c>
      <c r="AC30" s="57"/>
      <c r="AD30" s="44">
        <f t="shared" ref="AD30:AF30" si="142">AC31-AC30</f>
        <v>0</v>
      </c>
      <c r="AE30" s="60"/>
      <c r="AF30" s="44">
        <f t="shared" si="142"/>
        <v>0</v>
      </c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4">
      <c r="A31" s="25">
        <v>45534</v>
      </c>
      <c r="B31" s="10"/>
      <c r="C31" s="17">
        <f t="shared" si="5"/>
        <v>0</v>
      </c>
      <c r="D31" s="11"/>
      <c r="E31" s="17">
        <f t="shared" si="5"/>
        <v>0</v>
      </c>
      <c r="F31" s="36"/>
      <c r="G31" s="103">
        <f t="shared" ref="G31:K31" si="143">F32-F31</f>
        <v>0</v>
      </c>
      <c r="H31" s="108">
        <f t="shared" si="1"/>
        <v>0</v>
      </c>
      <c r="I31" s="114">
        <f t="shared" si="2"/>
        <v>0</v>
      </c>
      <c r="J31" s="105"/>
      <c r="K31" s="44">
        <f t="shared" si="143"/>
        <v>0</v>
      </c>
      <c r="L31" s="15"/>
      <c r="M31" s="44">
        <f t="shared" ref="M31:O32" si="144">L32-L31</f>
        <v>0</v>
      </c>
      <c r="N31" s="15"/>
      <c r="O31" s="44">
        <f t="shared" si="144"/>
        <v>0</v>
      </c>
      <c r="P31" s="100"/>
      <c r="Q31" s="66">
        <f t="shared" ref="Q31:Q32" si="145">P32-P31</f>
        <v>0</v>
      </c>
      <c r="R31" s="25">
        <f t="shared" si="9"/>
        <v>45534</v>
      </c>
      <c r="S31" s="42"/>
      <c r="T31" s="43">
        <v>0</v>
      </c>
      <c r="U31" s="44">
        <f t="shared" si="10"/>
        <v>0</v>
      </c>
      <c r="V31" s="20"/>
      <c r="W31" s="51"/>
      <c r="X31" s="52">
        <f t="shared" si="0"/>
        <v>0</v>
      </c>
      <c r="Y31" s="49"/>
      <c r="Z31" s="53">
        <f t="shared" si="3"/>
        <v>0</v>
      </c>
      <c r="AA31" s="57"/>
      <c r="AB31" s="44">
        <f t="shared" ref="AB31" si="146">AA32-AA31</f>
        <v>0</v>
      </c>
      <c r="AC31" s="68"/>
      <c r="AD31" s="44">
        <f t="shared" ref="AD31:AF31" si="147">AC32-AC31</f>
        <v>0</v>
      </c>
      <c r="AE31" s="60"/>
      <c r="AF31" s="44">
        <f t="shared" si="147"/>
        <v>0</v>
      </c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2.6" thickBot="1" x14ac:dyDescent="0.45">
      <c r="A32" s="25">
        <v>45535</v>
      </c>
      <c r="B32" s="10"/>
      <c r="C32" s="93">
        <f t="shared" si="5"/>
        <v>0</v>
      </c>
      <c r="D32" s="11"/>
      <c r="E32" s="93">
        <f t="shared" si="5"/>
        <v>0</v>
      </c>
      <c r="F32" s="36"/>
      <c r="G32" s="104">
        <f t="shared" ref="G32:K32" si="148">F33-F32</f>
        <v>0</v>
      </c>
      <c r="H32" s="109">
        <f t="shared" si="1"/>
        <v>0</v>
      </c>
      <c r="I32" s="115">
        <f t="shared" si="2"/>
        <v>0</v>
      </c>
      <c r="J32" s="105"/>
      <c r="K32" s="84">
        <f t="shared" si="148"/>
        <v>0</v>
      </c>
      <c r="L32" s="15"/>
      <c r="M32" s="84">
        <f t="shared" si="144"/>
        <v>0</v>
      </c>
      <c r="N32" s="15"/>
      <c r="O32" s="84">
        <f t="shared" si="144"/>
        <v>0</v>
      </c>
      <c r="P32" s="100"/>
      <c r="Q32" s="92">
        <f t="shared" si="145"/>
        <v>0</v>
      </c>
      <c r="R32" s="25">
        <f t="shared" si="9"/>
        <v>45535</v>
      </c>
      <c r="S32" s="42"/>
      <c r="T32" s="43">
        <v>0</v>
      </c>
      <c r="U32" s="84">
        <f t="shared" si="10"/>
        <v>0</v>
      </c>
      <c r="V32" s="20"/>
      <c r="W32" s="51"/>
      <c r="X32" s="52">
        <f t="shared" si="0"/>
        <v>0</v>
      </c>
      <c r="Y32" s="49"/>
      <c r="Z32" s="78">
        <f t="shared" si="3"/>
        <v>0</v>
      </c>
      <c r="AA32" s="57"/>
      <c r="AB32" s="84">
        <f t="shared" ref="AB32" si="149">AA33-AA32</f>
        <v>0</v>
      </c>
      <c r="AC32" s="68"/>
      <c r="AD32" s="84">
        <f t="shared" ref="AD32:AF32" si="150">AC33-AC32</f>
        <v>0</v>
      </c>
      <c r="AE32" s="60"/>
      <c r="AF32" s="84">
        <f t="shared" si="150"/>
        <v>0</v>
      </c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2.9" thickTop="1" thickBot="1" x14ac:dyDescent="0.45">
      <c r="A33" s="26">
        <v>45536</v>
      </c>
      <c r="B33" s="75"/>
      <c r="C33" s="96"/>
      <c r="D33" s="91"/>
      <c r="E33" s="96"/>
      <c r="F33" s="94"/>
      <c r="G33" s="81"/>
      <c r="H33" s="111"/>
      <c r="I33" s="97"/>
      <c r="J33" s="95"/>
      <c r="K33" s="96"/>
      <c r="L33" s="90"/>
      <c r="M33" s="96"/>
      <c r="N33" s="90"/>
      <c r="O33" s="96"/>
      <c r="P33" s="90"/>
      <c r="Q33" s="96"/>
      <c r="R33" s="89">
        <f>A33</f>
        <v>45536</v>
      </c>
      <c r="S33" s="69"/>
      <c r="T33" s="98">
        <v>0</v>
      </c>
      <c r="U33" s="96"/>
      <c r="V33" s="88"/>
      <c r="W33" s="70"/>
      <c r="X33" s="54">
        <f t="shared" si="0"/>
        <v>0</v>
      </c>
      <c r="Y33" s="76"/>
      <c r="Z33" s="96"/>
      <c r="AA33" s="87"/>
      <c r="AB33" s="96"/>
      <c r="AC33" s="86"/>
      <c r="AD33" s="96"/>
      <c r="AE33" s="85"/>
      <c r="AF33" s="96"/>
      <c r="AG33" s="83">
        <v>3100</v>
      </c>
      <c r="AH33" s="77">
        <v>0</v>
      </c>
      <c r="AI33" s="81"/>
      <c r="AJ33" s="82"/>
      <c r="AK33" s="82"/>
    </row>
    <row r="34" spans="1:37" s="125" customFormat="1" ht="9" thickTop="1" x14ac:dyDescent="0.3">
      <c r="A34" s="119"/>
      <c r="B34" s="119"/>
      <c r="C34" s="120">
        <f>SUM(C2:C33)</f>
        <v>-31699795</v>
      </c>
      <c r="D34" s="121"/>
      <c r="E34" s="120">
        <f>SUM(E2:E33)</f>
        <v>-798988</v>
      </c>
      <c r="F34" s="122"/>
      <c r="G34" s="120">
        <f>SUM(G2:G33)</f>
        <v>-110448</v>
      </c>
      <c r="H34" s="121">
        <f>SUM(H2:H33)</f>
        <v>-32388335</v>
      </c>
      <c r="I34" s="120">
        <f>SUM(I2:I32)</f>
        <v>-27022207.800000001</v>
      </c>
      <c r="J34" s="122"/>
      <c r="K34" s="120">
        <f>SUM(K2:K33)</f>
        <v>-4614608.4000000004</v>
      </c>
      <c r="L34" s="122"/>
      <c r="M34" s="120">
        <f>SUM(M2:M33)</f>
        <v>-462901</v>
      </c>
      <c r="N34" s="122"/>
      <c r="O34" s="120">
        <f>SUM(O2:O33)</f>
        <v>-119482.1</v>
      </c>
      <c r="P34" s="122"/>
      <c r="Q34" s="120">
        <f>SUM(Q2:Q33)</f>
        <v>-169135.7</v>
      </c>
      <c r="R34" s="119"/>
      <c r="S34" s="121"/>
      <c r="T34" s="121"/>
      <c r="U34" s="120">
        <f>SUM(U2:U33)</f>
        <v>705</v>
      </c>
      <c r="V34" s="119"/>
      <c r="W34" s="119"/>
      <c r="X34" s="119"/>
      <c r="Y34" s="121">
        <f>SUM(Y2:Y33)</f>
        <v>2409.17</v>
      </c>
      <c r="Z34" s="120">
        <f>SUM(Z2:Z33)</f>
        <v>2003.1599999999999</v>
      </c>
      <c r="AA34" s="119"/>
      <c r="AB34" s="120">
        <f>SUM(AB2:AB33)</f>
        <v>-99070</v>
      </c>
      <c r="AC34" s="122"/>
      <c r="AD34" s="120">
        <f>SUM(AD2:AD33)</f>
        <v>-9914.7999999999993</v>
      </c>
      <c r="AE34" s="119"/>
      <c r="AF34" s="120">
        <f>SUM(AF2:AF33)</f>
        <v>-68617</v>
      </c>
      <c r="AG34" s="119"/>
      <c r="AH34" s="119">
        <f>SUM(AH2:AH33)</f>
        <v>0</v>
      </c>
      <c r="AI34" s="120">
        <f>SUM(AI2:AI33)</f>
        <v>0</v>
      </c>
      <c r="AJ34" s="123">
        <f>SUM(AJ2:AJ33)</f>
        <v>1833</v>
      </c>
      <c r="AK34" s="124">
        <f>SUM(AK2:AK32)</f>
        <v>3936</v>
      </c>
    </row>
    <row r="35" spans="1:37" x14ac:dyDescent="0.4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4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4">
      <c r="A37" s="1"/>
      <c r="B37" s="1"/>
      <c r="D37" s="4"/>
      <c r="H37" s="110"/>
      <c r="I37" s="110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4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4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4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4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4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4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4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4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4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4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4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4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4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4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4">
      <c r="D52" s="4"/>
    </row>
    <row r="53" spans="1:37" x14ac:dyDescent="0.4">
      <c r="D53" s="4"/>
    </row>
    <row r="54" spans="1:37" x14ac:dyDescent="0.4">
      <c r="D54" s="4"/>
    </row>
    <row r="55" spans="1:37" x14ac:dyDescent="0.4">
      <c r="D55" s="4"/>
    </row>
    <row r="56" spans="1:37" x14ac:dyDescent="0.4">
      <c r="D56" s="4"/>
    </row>
    <row r="57" spans="1:37" x14ac:dyDescent="0.4">
      <c r="D57" s="4"/>
    </row>
    <row r="58" spans="1:37" x14ac:dyDescent="0.4">
      <c r="D58" s="4"/>
    </row>
    <row r="59" spans="1:37" x14ac:dyDescent="0.4">
      <c r="D59" s="4"/>
    </row>
    <row r="60" spans="1:37" x14ac:dyDescent="0.4">
      <c r="D60" s="4"/>
    </row>
    <row r="61" spans="1:37" x14ac:dyDescent="0.4">
      <c r="D61" s="4"/>
    </row>
    <row r="62" spans="1:37" x14ac:dyDescent="0.4">
      <c r="D62" s="4"/>
    </row>
    <row r="63" spans="1:37" x14ac:dyDescent="0.4">
      <c r="D63" s="4"/>
    </row>
    <row r="64" spans="1:37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  <row r="76" spans="4:4" x14ac:dyDescent="0.4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2024-08-12T20:51:51Z</dcterms:modified>
  <cp:category/>
  <cp:contentStatus/>
</cp:coreProperties>
</file>