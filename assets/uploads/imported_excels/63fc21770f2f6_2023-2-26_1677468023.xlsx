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455" documentId="8_{9B439D3B-B023-4087-B27B-CB56FE35C246}" xr6:coauthVersionLast="47" xr6:coauthVersionMax="47" xr10:uidLastSave="{4608EA25-9CEF-4883-B6EC-3E6A21EABEB4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N2" i="6"/>
  <c r="AI45" i="3"/>
  <c r="AI43" i="3"/>
  <c r="AG43" i="3"/>
  <c r="AF43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7" i="3"/>
  <c r="AH43" i="3" s="1"/>
  <c r="AD43" i="3"/>
  <c r="AB43" i="3"/>
  <c r="AA43" i="3"/>
  <c r="Z43" i="3"/>
  <c r="Y43" i="3"/>
  <c r="X43" i="3"/>
  <c r="W43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7" i="3"/>
  <c r="AC43" i="3" s="1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7" i="3"/>
  <c r="Q43" i="3" s="1"/>
  <c r="U43" i="3"/>
  <c r="T43" i="3"/>
  <c r="S43" i="3"/>
  <c r="R43" i="3"/>
  <c r="C43" i="3"/>
  <c r="L43" i="3"/>
  <c r="K43" i="3"/>
  <c r="J43" i="3"/>
  <c r="H43" i="3"/>
  <c r="G43" i="3"/>
  <c r="F43" i="3"/>
  <c r="E43" i="3"/>
  <c r="D43" i="3"/>
  <c r="M43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N43" i="3" s="1"/>
  <c r="I8" i="3"/>
  <c r="O8" i="3" s="1"/>
  <c r="I9" i="3"/>
  <c r="O9" i="3" s="1"/>
  <c r="I10" i="3"/>
  <c r="O10" i="3" s="1"/>
  <c r="I11" i="3"/>
  <c r="O11" i="3" s="1"/>
  <c r="I12" i="3"/>
  <c r="O12" i="3" s="1"/>
  <c r="I13" i="3"/>
  <c r="O13" i="3" s="1"/>
  <c r="I14" i="3"/>
  <c r="O14" i="3" s="1"/>
  <c r="I15" i="3"/>
  <c r="O15" i="3" s="1"/>
  <c r="I16" i="3"/>
  <c r="O16" i="3" s="1"/>
  <c r="I17" i="3"/>
  <c r="O17" i="3" s="1"/>
  <c r="I18" i="3"/>
  <c r="O18" i="3" s="1"/>
  <c r="I19" i="3"/>
  <c r="O19" i="3" s="1"/>
  <c r="I20" i="3"/>
  <c r="O20" i="3" s="1"/>
  <c r="I21" i="3"/>
  <c r="O21" i="3" s="1"/>
  <c r="I22" i="3"/>
  <c r="O22" i="3" s="1"/>
  <c r="I23" i="3"/>
  <c r="O23" i="3" s="1"/>
  <c r="I24" i="3"/>
  <c r="O24" i="3" s="1"/>
  <c r="I25" i="3"/>
  <c r="O25" i="3" s="1"/>
  <c r="I26" i="3"/>
  <c r="O26" i="3" s="1"/>
  <c r="I27" i="3"/>
  <c r="O27" i="3" s="1"/>
  <c r="I28" i="3"/>
  <c r="O28" i="3" s="1"/>
  <c r="I29" i="3"/>
  <c r="O29" i="3" s="1"/>
  <c r="I30" i="3"/>
  <c r="O30" i="3" s="1"/>
  <c r="I31" i="3"/>
  <c r="O31" i="3" s="1"/>
  <c r="I32" i="3"/>
  <c r="O32" i="3" s="1"/>
  <c r="I33" i="3"/>
  <c r="O33" i="3" s="1"/>
  <c r="I34" i="3"/>
  <c r="O34" i="3" s="1"/>
  <c r="I35" i="3"/>
  <c r="O35" i="3" s="1"/>
  <c r="I36" i="3"/>
  <c r="O36" i="3" s="1"/>
  <c r="I37" i="3"/>
  <c r="O37" i="3" s="1"/>
  <c r="I7" i="3"/>
  <c r="AE43" i="3"/>
  <c r="AD45" i="3" l="1"/>
  <c r="I43" i="3"/>
  <c r="O7" i="3"/>
  <c r="O43" i="3" s="1"/>
  <c r="P43" i="3"/>
  <c r="V43" i="3"/>
  <c r="V45" i="3" s="1"/>
  <c r="P4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<sst xmlns="http://schemas.openxmlformats.org/spreadsheetml/2006/main" count="91" uniqueCount="52">
  <si>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</si>
  <si>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</si>
  <si>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</si>
  <si>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</si>
  <si>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</si>
  <si>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</si>
  <si>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</si>
  <si>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</si>
  <si>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</si>
  <si>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</si>
  <si>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</si>
  <si>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</si>
  <si>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</si>
  <si>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</si>
  <si>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</si>
  <si>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>Four Seasons Resort Bali at Jimbaran Bay</t>
  </si>
  <si>
    <t>JANUARY 2021</t>
  </si>
  <si>
    <t>Date</t>
  </si>
  <si>
    <t>Room Nights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</si>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</sst>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7" formatCode="_(* #,##0_);_(* \(#,##0\);_(* &quot;-&quot;??_);_(@_)"/>
    <numFmt numFmtId="168" formatCode="_-* #,##0.00_-;\-* #,##0.00_-;_-* &quot;-&quot;??_-;_-@_-"/>
    <numFmt numFmtId="169" formatCode="_-* #,##0.000_-;\-* #,##0.000_-;_-* &quot;-&quot;??_-;_-@_-"/>
    <numFmt numFmtId="170" formatCode="0.0%"/>
  </numFmts>
  <fonts count="24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4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8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8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9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70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7" fontId="0" fillId="0" borderId="11" xfId="2" applyNumberFormat="1" applyFont="1" applyBorder="1"/>
    <xf numFmtId="168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6" fillId="3" borderId="11" xfId="0" applyNumberFormat="1" applyFont="1" applyFill="1" applyBorder="1" applyAlignment="1">
      <alignment horizontal="left"/>
    </xf>
    <xf numFmtId="49" fontId="6" fillId="3" borderId="13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43" fontId="1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7" fontId="23" fillId="0" borderId="11" xfId="2" applyNumberFormat="1" applyFont="1" applyBorder="1" applyAlignment="1"/>
    <xf numFmtId="164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0" fontId="23" fillId="0" borderId="11" xfId="0" applyFont="1" applyBorder="1" applyAlignment="1">
      <alignment horizontal="right"/>
    </xf>
    <xf numFmtId="167" fontId="23" fillId="0" borderId="11" xfId="0" applyNumberFormat="1" applyFont="1" applyBorder="1"/>
    <xf numFmtId="167" fontId="23" fillId="0" borderId="12" xfId="0" applyNumberFormat="1" applyFont="1" applyBorder="1" applyAlignment="1">
      <alignment horizontal="right" vertical="center" wrapText="1"/>
    </xf>
    <xf numFmtId="167" fontId="23" fillId="0" borderId="12" xfId="0" applyNumberFormat="1" applyFont="1" applyBorder="1" applyAlignment="1">
      <alignment vertical="center" wrapText="1"/>
    </xf>
    <xf numFmtId="167" fontId="23" fillId="0" borderId="11" xfId="0" applyNumberFormat="1" applyFont="1" applyBorder="1" applyAlignment="1">
      <alignment horizontal="right"/>
    </xf>
    <xf numFmtId="167" fontId="23" fillId="0" borderId="11" xfId="0" applyNumberFormat="1" applyFont="1" applyBorder="1" applyAlignment="1"/>
    <xf numFmtId="167" fontId="23" fillId="0" borderId="11" xfId="0" applyNumberFormat="1" applyFont="1" applyBorder="1" applyAlignment="1">
      <alignment horizontal="right" vertical="center"/>
    </xf>
    <xf numFmtId="167" fontId="23" fillId="0" borderId="12" xfId="2" applyNumberFormat="1" applyFont="1" applyBorder="1" applyAlignment="1">
      <alignment horizontal="center" vertical="center" wrapText="1"/>
    </xf>
    <xf numFmtId="167" fontId="22" fillId="0" borderId="11" xfId="2" applyNumberFormat="1" applyFont="1" applyBorder="1"/>
    <xf numFmtId="167" fontId="22" fillId="0" borderId="12" xfId="2" applyNumberFormat="1" applyFont="1" applyBorder="1" applyAlignment="1">
      <alignment horizontal="right" vertical="center" wrapText="1"/>
    </xf>
    <xf numFmtId="167" fontId="22" fillId="0" borderId="11" xfId="2" applyNumberFormat="1" applyFont="1" applyBorder="1" applyAlignment="1">
      <alignment horizontal="right"/>
    </xf>
    <xf numFmtId="167" fontId="23" fillId="0" borderId="12" xfId="0" applyNumberFormat="1" applyFont="1" applyBorder="1" applyAlignment="1">
      <alignment horizontal="center" vertical="center" wrapText="1"/>
    </xf>
    <xf numFmtId="167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7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7" fontId="23" fillId="0" borderId="2" xfId="2" applyNumberFormat="1" applyFont="1" applyBorder="1" applyAlignment="1">
      <alignment horizontal="right" vertical="center" wrapText="1"/>
    </xf>
    <xf numFmtId="167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7" fontId="23" fillId="0" borderId="3" xfId="0" applyNumberFormat="1" applyFont="1" applyBorder="1" applyAlignment="1">
      <alignment horizontal="right" vertical="center" wrapText="1"/>
    </xf>
    <xf numFmtId="167" fontId="23" fillId="0" borderId="1" xfId="2" applyNumberFormat="1" applyFont="1" applyBorder="1" applyAlignment="1">
      <alignment horizontal="right"/>
    </xf>
    <xf numFmtId="164" fontId="6" fillId="12" borderId="11" xfId="2" applyNumberFormat="1" applyFont="1" applyFill="1" applyBorder="1"/>
    <xf numFmtId="164" fontId="6" fillId="10" borderId="11" xfId="2" applyNumberFormat="1" applyFont="1" applyFill="1" applyBorder="1"/>
    <xf numFmtId="164" fontId="6" fillId="13" borderId="11" xfId="2" applyNumberFormat="1" applyFont="1" applyFill="1" applyBorder="1"/>
    <xf numFmtId="164" fontId="6" fillId="6" borderId="11" xfId="2" applyNumberFormat="1" applyFont="1" applyFill="1" applyBorder="1"/>
    <xf numFmtId="164" fontId="7" fillId="6" borderId="11" xfId="0" applyNumberFormat="1" applyFont="1" applyFill="1" applyBorder="1"/>
    <xf numFmtId="164" fontId="6" fillId="14" borderId="11" xfId="2" applyNumberFormat="1" applyFont="1" applyFill="1" applyBorder="1"/>
    <xf numFmtId="164" fontId="6" fillId="7" borderId="11" xfId="2" applyNumberFormat="1" applyFont="1" applyFill="1" applyBorder="1"/>
    <xf numFmtId="165" fontId="0" fillId="0" borderId="11" xfId="2" applyNumberFormat="1" applyFont="1" applyBorder="1"/>
    <xf numFmtId="164" fontId="6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4" xfId="0" applyFill="1" applyBorder="1"/>
    <xf numFmtId="164" fontId="0" fillId="2" borderId="15" xfId="2" applyNumberFormat="1" applyFont="1" applyFill="1" applyBorder="1"/>
    <xf numFmtId="164" fontId="0" fillId="2" borderId="16" xfId="2" applyNumberFormat="1" applyFont="1" applyFill="1" applyBorder="1"/>
    <xf numFmtId="0" fontId="0" fillId="2" borderId="16" xfId="0" applyFill="1" applyBorder="1"/>
    <xf numFmtId="43" fontId="4" fillId="2" borderId="16" xfId="2" applyFont="1" applyFill="1" applyBorder="1"/>
    <xf numFmtId="164" fontId="4" fillId="2" borderId="16" xfId="2" applyNumberFormat="1" applyFont="1" applyFill="1" applyBorder="1"/>
    <xf numFmtId="0" fontId="0" fillId="2" borderId="17" xfId="0" applyFill="1" applyBorder="1"/>
    <xf numFmtId="43" fontId="0" fillId="2" borderId="16" xfId="0" applyNumberFormat="1" applyFill="1" applyBorder="1"/>
    <xf numFmtId="164" fontId="0" fillId="2" borderId="16" xfId="0" applyNumberFormat="1" applyFill="1" applyBorder="1"/>
    <xf numFmtId="165" fontId="0" fillId="0" borderId="16" xfId="2" applyNumberFormat="1" applyFont="1" applyBorder="1"/>
    <xf numFmtId="164" fontId="0" fillId="0" borderId="16" xfId="2" applyNumberFormat="1" applyFont="1" applyBorder="1"/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topLeftCell="A6" workbookViewId="0">
      <selection activeCell="D3" sqref="D3:D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45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1</v>
      </c>
      <c r="D2" s="97">
        <v>2017</v>
      </c>
      <c r="E2" s="99">
        <f>'Localize Daily Bali Jimbaran'!P7</f>
        <v>13980.00000001946</v>
      </c>
      <c r="F2" s="100">
        <f>'Localize Daily Bali Jimbaran'!O7</f>
        <v>17629493.490021612</v>
      </c>
      <c r="G2" s="99">
        <f>'Localize Daily Bali Jimbaran'!AC7</f>
        <v>347.43732000000938</v>
      </c>
      <c r="H2" s="100">
        <f>'Localize Daily Bali Jimbaran'!AD7</f>
        <v>4340281.109960095</v>
      </c>
      <c r="I2" s="99">
        <f>'Localize Daily Bali Jimbaran'!AH7</f>
        <v>1573.2000000000698</v>
      </c>
      <c r="J2" s="101">
        <f>'Localize Daily Bali Jimbaran'!AI7</f>
        <v>13686840.000000607</v>
      </c>
      <c r="K2" s="99">
        <f>'Localize Daily Bali Jimbaran'!Q7</f>
        <v>678.30000000000291</v>
      </c>
      <c r="L2" s="100">
        <f>'Localize Daily Bali Jimbaran'!V7</f>
        <v>5825866.2000000132</v>
      </c>
      <c r="M2" s="99">
        <f>'Localize Daily Bali Jimbaran'!C7</f>
        <v>98</v>
      </c>
      <c r="N2" s="99">
        <f>'Localize Daily Bali Jimbaran'!D7</f>
        <v>820</v>
      </c>
    </row>
    <row r="3" spans="1:14" ht="15">
      <c r="A3" s="96" t="s">
        <v>14</v>
      </c>
      <c r="B3" s="97">
        <v>2</v>
      </c>
      <c r="C3" s="98">
        <v>1</v>
      </c>
      <c r="D3" s="97">
        <v>2017</v>
      </c>
      <c r="E3" s="99">
        <f>'Localize Daily Bali Jimbaran'!P8</f>
        <v>24399.999999974625</v>
      </c>
      <c r="F3" s="100">
        <f>'Localize Daily Bali Jimbaran'!O8</f>
        <v>29027216.60997187</v>
      </c>
      <c r="G3" s="99">
        <f>'Localize Daily Bali Jimbaran'!AC8</f>
        <v>511.29020000000583</v>
      </c>
      <c r="H3" s="100">
        <f>'Localize Daily Bali Jimbaran'!AD8</f>
        <v>5615593.400600059</v>
      </c>
      <c r="I3" s="99">
        <f>'Localize Daily Bali Jimbaran'!AH8</f>
        <v>116.70000000000613</v>
      </c>
      <c r="J3" s="101">
        <f>'Localize Daily Bali Jimbaran'!AI8</f>
        <v>1015290.0000000533</v>
      </c>
      <c r="K3" s="99">
        <f>'Localize Daily Bali Jimbaran'!Q8</f>
        <v>438</v>
      </c>
      <c r="L3" s="100">
        <f>'Localize Daily Bali Jimbaran'!V8</f>
        <v>5220118.8</v>
      </c>
      <c r="M3" s="99">
        <f>'Localize Daily Bali Jimbaran'!C8</f>
        <v>85</v>
      </c>
      <c r="N3" s="99">
        <f>'Localize Daily Bali Jimbaran'!D8</f>
        <v>762</v>
      </c>
    </row>
    <row r="4" spans="1:14" ht="15">
      <c r="A4" s="96" t="s">
        <v>14</v>
      </c>
      <c r="B4" s="97">
        <v>3</v>
      </c>
      <c r="C4" s="98">
        <v>1</v>
      </c>
      <c r="D4" s="97">
        <v>2017</v>
      </c>
      <c r="E4" s="99">
        <f>'Localize Daily Bali Jimbaran'!P9</f>
        <v>24940.000000013242</v>
      </c>
      <c r="F4" s="100">
        <f>'Localize Daily Bali Jimbaran'!O9</f>
        <v>29603628.180013388</v>
      </c>
      <c r="G4" s="99">
        <f>'Localize Daily Bali Jimbaran'!AC9</f>
        <v>106.81912000000351</v>
      </c>
      <c r="H4" s="100">
        <f>'Localize Daily Bali Jimbaran'!AD9</f>
        <v>1102198.5253600357</v>
      </c>
      <c r="I4" s="99">
        <f>'Localize Daily Bali Jimbaran'!AH9</f>
        <v>0</v>
      </c>
      <c r="J4" s="101">
        <f>'Localize Daily Bali Jimbaran'!AI9</f>
        <v>0</v>
      </c>
      <c r="K4" s="99">
        <f>'Localize Daily Bali Jimbaran'!Q9</f>
        <v>502</v>
      </c>
      <c r="L4" s="100">
        <f>'Localize Daily Bali Jimbaran'!V9</f>
        <v>5044800.3</v>
      </c>
      <c r="M4" s="99">
        <f>'Localize Daily Bali Jimbaran'!C9</f>
        <v>71</v>
      </c>
      <c r="N4" s="99">
        <f>'Localize Daily Bali Jimbaran'!D9</f>
        <v>645</v>
      </c>
    </row>
    <row r="5" spans="1:14" ht="15">
      <c r="A5" s="96" t="s">
        <v>14</v>
      </c>
      <c r="B5" s="97">
        <v>4</v>
      </c>
      <c r="C5" s="98">
        <v>1</v>
      </c>
      <c r="D5" s="97">
        <v>2017</v>
      </c>
      <c r="E5" s="99">
        <f>'Localize Daily Bali Jimbaran'!P10</f>
        <v>25419.999999997231</v>
      </c>
      <c r="F5" s="100">
        <f>'Localize Daily Bali Jimbaran'!O10</f>
        <v>30103909.919997912</v>
      </c>
      <c r="G5" s="99">
        <f>'Localize Daily Bali Jimbaran'!AC10</f>
        <v>0</v>
      </c>
      <c r="H5" s="100">
        <f>'Localize Daily Bali Jimbaran'!AD10</f>
        <v>0</v>
      </c>
      <c r="I5" s="99">
        <f>'Localize Daily Bali Jimbaran'!AH10</f>
        <v>4.7999999999592546</v>
      </c>
      <c r="J5" s="101">
        <f>'Localize Daily Bali Jimbaran'!AI10</f>
        <v>41759.999999645515</v>
      </c>
      <c r="K5" s="99">
        <f>'Localize Daily Bali Jimbaran'!Q10</f>
        <v>352.40000000000146</v>
      </c>
      <c r="L5" s="100">
        <f>'Localize Daily Bali Jimbaran'!V10</f>
        <v>3850559.9400000069</v>
      </c>
      <c r="M5" s="99">
        <f>'Localize Daily Bali Jimbaran'!C10</f>
        <v>65</v>
      </c>
      <c r="N5" s="99">
        <f>'Localize Daily Bali Jimbaran'!D10</f>
        <v>703</v>
      </c>
    </row>
    <row r="6" spans="1:14" ht="15">
      <c r="A6" s="96" t="s">
        <v>14</v>
      </c>
      <c r="B6" s="97">
        <v>5</v>
      </c>
      <c r="C6" s="98">
        <v>1</v>
      </c>
      <c r="D6" s="97">
        <v>2017</v>
      </c>
      <c r="E6" s="99">
        <f>'Localize Daily Bali Jimbaran'!P11</f>
        <v>24480.000000010932</v>
      </c>
      <c r="F6" s="100">
        <f>'Localize Daily Bali Jimbaran'!O11</f>
        <v>28940211.090011515</v>
      </c>
      <c r="G6" s="99">
        <f>'Localize Daily Bali Jimbaran'!AC11</f>
        <v>150.31119999997654</v>
      </c>
      <c r="H6" s="100">
        <f>'Localize Daily Bali Jimbaran'!AD11</f>
        <v>1596765.6135997619</v>
      </c>
      <c r="I6" s="99">
        <f>'Localize Daily Bali Jimbaran'!AH11</f>
        <v>5.5999999999767169</v>
      </c>
      <c r="J6" s="101">
        <f>'Localize Daily Bali Jimbaran'!AI11</f>
        <v>48719.999999797437</v>
      </c>
      <c r="K6" s="99">
        <f>'Localize Daily Bali Jimbaran'!Q11</f>
        <v>406</v>
      </c>
      <c r="L6" s="100">
        <f>'Localize Daily Bali Jimbaran'!V11</f>
        <v>4564745.16</v>
      </c>
      <c r="M6" s="99">
        <f>'Localize Daily Bali Jimbaran'!C11</f>
        <v>58</v>
      </c>
      <c r="N6" s="99">
        <f>'Localize Daily Bali Jimbaran'!D11</f>
        <v>549</v>
      </c>
    </row>
    <row r="7" spans="1:14" ht="15">
      <c r="A7" s="96" t="s">
        <v>14</v>
      </c>
      <c r="B7" s="97">
        <v>6</v>
      </c>
      <c r="C7" s="98">
        <v>1</v>
      </c>
      <c r="D7" s="97">
        <v>2017</v>
      </c>
      <c r="E7" s="99">
        <f>'Localize Daily Bali Jimbaran'!P12</f>
        <v>23819.999999999709</v>
      </c>
      <c r="F7" s="100">
        <f>'Localize Daily Bali Jimbaran'!O12</f>
        <v>28374675.210000161</v>
      </c>
      <c r="G7" s="99">
        <f>'Localize Daily Bali Jimbaran'!AC12</f>
        <v>60.70195999999882</v>
      </c>
      <c r="H7" s="100">
        <f>'Localize Daily Bali Jimbaran'!AD12</f>
        <v>616306.99987998803</v>
      </c>
      <c r="I7" s="99">
        <f>'Localize Daily Bali Jimbaran'!AH12</f>
        <v>14.100000000034925</v>
      </c>
      <c r="J7" s="101">
        <f>'Localize Daily Bali Jimbaran'!AI12</f>
        <v>122670.00000030384</v>
      </c>
      <c r="K7" s="99">
        <f>'Localize Daily Bali Jimbaran'!Q12</f>
        <v>394.09999999999854</v>
      </c>
      <c r="L7" s="100">
        <f>'Localize Daily Bali Jimbaran'!V12</f>
        <v>4429889.099999994</v>
      </c>
      <c r="M7" s="99">
        <f>'Localize Daily Bali Jimbaran'!C12</f>
        <v>48</v>
      </c>
      <c r="N7" s="99">
        <f>'Localize Daily Bali Jimbaran'!D12</f>
        <v>646</v>
      </c>
    </row>
    <row r="8" spans="1:14" ht="15">
      <c r="A8" s="96" t="s">
        <v>14</v>
      </c>
      <c r="B8" s="97">
        <v>7</v>
      </c>
      <c r="C8" s="98">
        <v>1</v>
      </c>
      <c r="D8" s="97">
        <v>2017</v>
      </c>
      <c r="E8" s="99">
        <f>'Localize Daily Bali Jimbaran'!P13</f>
        <v>21459.999999983553</v>
      </c>
      <c r="F8" s="100">
        <f>'Localize Daily Bali Jimbaran'!O13</f>
        <v>25068465.449982703</v>
      </c>
      <c r="G8" s="99">
        <f>'Localize Daily Bali Jimbaran'!AC13</f>
        <v>300.14860000001761</v>
      </c>
      <c r="H8" s="100">
        <f>'Localize Daily Bali Jimbaran'!AD13</f>
        <v>3301658.7358001787</v>
      </c>
      <c r="I8" s="99">
        <f>'Localize Daily Bali Jimbaran'!AH13</f>
        <v>44.100000000034925</v>
      </c>
      <c r="J8" s="101">
        <f>'Localize Daily Bali Jimbaran'!AI13</f>
        <v>383670.00000030384</v>
      </c>
      <c r="K8" s="99">
        <f>'Localize Daily Bali Jimbaran'!Q13</f>
        <v>356</v>
      </c>
      <c r="L8" s="100">
        <f>'Localize Daily Bali Jimbaran'!V13</f>
        <v>3907219.8</v>
      </c>
      <c r="M8" s="99">
        <f>'Localize Daily Bali Jimbaran'!C13</f>
        <v>45</v>
      </c>
      <c r="N8" s="99">
        <f>'Localize Daily Bali Jimbaran'!D13</f>
        <v>547</v>
      </c>
    </row>
    <row r="9" spans="1:14" ht="15">
      <c r="A9" s="96" t="s">
        <v>14</v>
      </c>
      <c r="B9" s="97">
        <v>8</v>
      </c>
      <c r="C9" s="98">
        <v>1</v>
      </c>
      <c r="D9" s="97">
        <v>2017</v>
      </c>
      <c r="E9" s="99">
        <f>'Localize Daily Bali Jimbaran'!P14</f>
        <v>21700.000000018917</v>
      </c>
      <c r="F9" s="100">
        <f>'Localize Daily Bali Jimbaran'!O14</f>
        <v>25688379.780019417</v>
      </c>
      <c r="G9" s="99">
        <f>'Localize Daily Bali Jimbaran'!AC14</f>
        <v>475.36043999998356</v>
      </c>
      <c r="H9" s="100">
        <f>'Localize Daily Bali Jimbaran'!AD14</f>
        <v>5809298.5473198332</v>
      </c>
      <c r="I9" s="99">
        <f>'Localize Daily Bali Jimbaran'!AH14</f>
        <v>126.69999999998254</v>
      </c>
      <c r="J9" s="101">
        <f>'Localize Daily Bali Jimbaran'!AI14</f>
        <v>1102289.9999998482</v>
      </c>
      <c r="K9" s="99">
        <f>'Localize Daily Bali Jimbaran'!Q14</f>
        <v>393</v>
      </c>
      <c r="L9" s="100">
        <f>'Localize Daily Bali Jimbaran'!V14</f>
        <v>4411460.7</v>
      </c>
      <c r="M9" s="99">
        <f>'Localize Daily Bali Jimbaran'!C14</f>
        <v>35</v>
      </c>
      <c r="N9" s="99">
        <f>'Localize Daily Bali Jimbaran'!D14</f>
        <v>374</v>
      </c>
    </row>
    <row r="10" spans="1:14" ht="15">
      <c r="A10" s="96" t="s">
        <v>14</v>
      </c>
      <c r="B10" s="97">
        <v>9</v>
      </c>
      <c r="C10" s="98">
        <v>1</v>
      </c>
      <c r="D10" s="97">
        <v>2017</v>
      </c>
      <c r="E10" s="99">
        <f>'Localize Daily Bali Jimbaran'!P15</f>
        <v>22279.999999982807</v>
      </c>
      <c r="F10" s="100">
        <f>'Localize Daily Bali Jimbaran'!O15</f>
        <v>26406175.319981981</v>
      </c>
      <c r="G10" s="99">
        <f>'Localize Daily Bali Jimbaran'!AC15</f>
        <v>79.831520000015232</v>
      </c>
      <c r="H10" s="100">
        <f>'Localize Daily Bali Jimbaran'!AD15</f>
        <v>828193.42256015469</v>
      </c>
      <c r="I10" s="99">
        <f>'Localize Daily Bali Jimbaran'!AH15</f>
        <v>12.099999999918509</v>
      </c>
      <c r="J10" s="101">
        <f>'Localize Daily Bali Jimbaran'!AI15</f>
        <v>105269.99999929103</v>
      </c>
      <c r="K10" s="99">
        <f>'Localize Daily Bali Jimbaran'!Q15</f>
        <v>407</v>
      </c>
      <c r="L10" s="100">
        <f>'Localize Daily Bali Jimbaran'!V15</f>
        <v>4743371.0999999996</v>
      </c>
      <c r="M10" s="99">
        <f>'Localize Daily Bali Jimbaran'!C15</f>
        <v>34</v>
      </c>
      <c r="N10" s="99">
        <f>'Localize Daily Bali Jimbaran'!D15</f>
        <v>383</v>
      </c>
    </row>
    <row r="11" spans="1:14" ht="15">
      <c r="A11" s="96" t="s">
        <v>14</v>
      </c>
      <c r="B11" s="97">
        <v>10</v>
      </c>
      <c r="C11" s="98">
        <v>1</v>
      </c>
      <c r="D11" s="97">
        <v>2017</v>
      </c>
      <c r="E11" s="99">
        <f>'Localize Daily Bali Jimbaran'!P16</f>
        <v>21059.999999995398</v>
      </c>
      <c r="F11" s="100">
        <f>'Localize Daily Bali Jimbaran'!O16</f>
        <v>24905330.099993918</v>
      </c>
      <c r="G11" s="99">
        <f>'Localize Daily Bali Jimbaran'!AC16</f>
        <v>76.891080000002333</v>
      </c>
      <c r="H11" s="100">
        <f>'Localize Daily Bali Jimbaran'!AD16</f>
        <v>798339.13524002372</v>
      </c>
      <c r="I11" s="99">
        <f>'Localize Daily Bali Jimbaran'!AH16</f>
        <v>0.90000000011059456</v>
      </c>
      <c r="J11" s="101">
        <f>'Localize Daily Bali Jimbaran'!AI16</f>
        <v>7830.0000009621726</v>
      </c>
      <c r="K11" s="99">
        <f>'Localize Daily Bali Jimbaran'!Q16</f>
        <v>382</v>
      </c>
      <c r="L11" s="100">
        <f>'Localize Daily Bali Jimbaran'!V16</f>
        <v>4334280.54</v>
      </c>
      <c r="M11" s="99">
        <f>'Localize Daily Bali Jimbaran'!C16</f>
        <v>35</v>
      </c>
      <c r="N11" s="99">
        <f>'Localize Daily Bali Jimbaran'!D16</f>
        <v>388</v>
      </c>
    </row>
    <row r="12" spans="1:14" ht="15">
      <c r="A12" s="96" t="s">
        <v>14</v>
      </c>
      <c r="B12" s="97">
        <v>11</v>
      </c>
      <c r="C12" s="98">
        <v>1</v>
      </c>
      <c r="D12" s="97">
        <v>2017</v>
      </c>
      <c r="E12" s="99">
        <f>'Localize Daily Bali Jimbaran'!P17</f>
        <v>21300.000000024625</v>
      </c>
      <c r="F12" s="100">
        <f>'Localize Daily Bali Jimbaran'!O17</f>
        <v>25188098.040028095</v>
      </c>
      <c r="G12" s="99">
        <f>'Localize Daily Bali Jimbaran'!AC17</f>
        <v>69.48299999999999</v>
      </c>
      <c r="H12" s="100">
        <f>'Localize Daily Bali Jimbaran'!AD17</f>
        <v>705460.89899999986</v>
      </c>
      <c r="I12" s="99">
        <f>'Localize Daily Bali Jimbaran'!AH17</f>
        <v>188.99999999994179</v>
      </c>
      <c r="J12" s="101">
        <f>'Localize Daily Bali Jimbaran'!AI17</f>
        <v>1644299.9999994936</v>
      </c>
      <c r="K12" s="99">
        <f>'Localize Daily Bali Jimbaran'!Q17</f>
        <v>498.29999999999563</v>
      </c>
      <c r="L12" s="100">
        <f>'Localize Daily Bali Jimbaran'!V17</f>
        <v>4492326.9599999804</v>
      </c>
      <c r="M12" s="99">
        <f>'Localize Daily Bali Jimbaran'!C17</f>
        <v>32</v>
      </c>
      <c r="N12" s="99">
        <f>'Localize Daily Bali Jimbaran'!D17</f>
        <v>341</v>
      </c>
    </row>
    <row r="13" spans="1:14" ht="15">
      <c r="A13" s="96" t="s">
        <v>14</v>
      </c>
      <c r="B13" s="97">
        <v>12</v>
      </c>
      <c r="C13" s="98">
        <v>1</v>
      </c>
      <c r="D13" s="97">
        <v>2017</v>
      </c>
      <c r="E13" s="99">
        <f>'Localize Daily Bali Jimbaran'!P18</f>
        <v>20659.999999978481</v>
      </c>
      <c r="F13" s="100">
        <f>'Localize Daily Bali Jimbaran'!O18</f>
        <v>24437675.429975055</v>
      </c>
      <c r="G13" s="99">
        <f>'Localize Daily Bali Jimbaran'!AC18</f>
        <v>63.397280000008202</v>
      </c>
      <c r="H13" s="100">
        <f>'Localize Daily Bali Jimbaran'!AD18</f>
        <v>661336.58384008333</v>
      </c>
      <c r="I13" s="99">
        <f>'Localize Daily Bali Jimbaran'!AH18</f>
        <v>251.49999999994179</v>
      </c>
      <c r="J13" s="101">
        <f>'Localize Daily Bali Jimbaran'!AI18</f>
        <v>2188049.9999994934</v>
      </c>
      <c r="K13" s="99">
        <f>'Localize Daily Bali Jimbaran'!Q18</f>
        <v>525</v>
      </c>
      <c r="L13" s="100">
        <f>'Localize Daily Bali Jimbaran'!V18</f>
        <v>4761939.4800000004</v>
      </c>
      <c r="M13" s="99">
        <f>'Localize Daily Bali Jimbaran'!C18</f>
        <v>28</v>
      </c>
      <c r="N13" s="99">
        <f>'Localize Daily Bali Jimbaran'!D18</f>
        <v>307</v>
      </c>
    </row>
    <row r="14" spans="1:14" ht="15">
      <c r="A14" s="96" t="s">
        <v>14</v>
      </c>
      <c r="B14" s="97">
        <v>13</v>
      </c>
      <c r="C14" s="98">
        <v>1</v>
      </c>
      <c r="D14" s="97">
        <v>2017</v>
      </c>
      <c r="E14" s="99">
        <f>'Localize Daily Bali Jimbaran'!P19</f>
        <v>20799.999999997795</v>
      </c>
      <c r="F14" s="100">
        <f>'Localize Daily Bali Jimbaran'!O19</f>
        <v>24731319.059998836</v>
      </c>
      <c r="G14" s="99">
        <f>'Localize Daily Bali Jimbaran'!AC19</f>
        <v>334.17831999998009</v>
      </c>
      <c r="H14" s="100">
        <f>'Localize Daily Bali Jimbaran'!AD19</f>
        <v>3682490.4829597976</v>
      </c>
      <c r="I14" s="99">
        <f>'Localize Daily Bali Jimbaran'!AH19</f>
        <v>71.100000000005821</v>
      </c>
      <c r="J14" s="101">
        <f>'Localize Daily Bali Jimbaran'!AI19</f>
        <v>618570.00000005064</v>
      </c>
      <c r="K14" s="99">
        <f>'Localize Daily Bali Jimbaran'!Q19</f>
        <v>554</v>
      </c>
      <c r="L14" s="100">
        <f>'Localize Daily Bali Jimbaran'!V19</f>
        <v>5109030.96</v>
      </c>
      <c r="M14" s="99">
        <f>'Localize Daily Bali Jimbaran'!C19</f>
        <v>30</v>
      </c>
      <c r="N14" s="99">
        <f>'Localize Daily Bali Jimbaran'!D19</f>
        <v>313</v>
      </c>
    </row>
    <row r="15" spans="1:14" ht="15">
      <c r="A15" s="96" t="s">
        <v>14</v>
      </c>
      <c r="B15" s="97">
        <v>14</v>
      </c>
      <c r="C15" s="98">
        <v>1</v>
      </c>
      <c r="D15" s="97">
        <v>2017</v>
      </c>
      <c r="E15" s="99">
        <f>'Localize Daily Bali Jimbaran'!P20</f>
        <v>22020.000000004529</v>
      </c>
      <c r="F15" s="100">
        <f>'Localize Daily Bali Jimbaran'!O20</f>
        <v>26025526.170003783</v>
      </c>
      <c r="G15" s="99">
        <f>'Localize Daily Bali Jimbaran'!AC20</f>
        <v>461.58812000000353</v>
      </c>
      <c r="H15" s="100">
        <f>'Localize Daily Bali Jimbaran'!AD20</f>
        <v>5651804.1823600354</v>
      </c>
      <c r="I15" s="99">
        <f>'Localize Daily Bali Jimbaran'!AH20</f>
        <v>95.800000000017462</v>
      </c>
      <c r="J15" s="101">
        <f>'Localize Daily Bali Jimbaran'!AI20</f>
        <v>833460.00000015192</v>
      </c>
      <c r="K15" s="99">
        <f>'Localize Daily Bali Jimbaran'!Q20</f>
        <v>525.90000000000146</v>
      </c>
      <c r="L15" s="100">
        <f>'Localize Daily Bali Jimbaran'!V20</f>
        <v>4658959.6200000066</v>
      </c>
      <c r="M15" s="99">
        <f>'Localize Daily Bali Jimbaran'!C20</f>
        <v>49</v>
      </c>
      <c r="N15" s="99">
        <f>'Localize Daily Bali Jimbaran'!D20</f>
        <v>386</v>
      </c>
    </row>
    <row r="16" spans="1:14" ht="15">
      <c r="A16" s="96" t="s">
        <v>14</v>
      </c>
      <c r="B16" s="97">
        <v>15</v>
      </c>
      <c r="C16" s="98">
        <v>1</v>
      </c>
      <c r="D16" s="97">
        <v>2017</v>
      </c>
      <c r="E16" s="99">
        <f>'Localize Daily Bali Jimbaran'!P21</f>
        <v>22540.00000001895</v>
      </c>
      <c r="F16" s="100">
        <f>'Localize Daily Bali Jimbaran'!O21</f>
        <v>26678067.570021298</v>
      </c>
      <c r="G16" s="99">
        <f>'Localize Daily Bali Jimbaran'!AC21</f>
        <v>117.8155600000164</v>
      </c>
      <c r="H16" s="100">
        <f>'Localize Daily Bali Jimbaran'!AD21</f>
        <v>1213845.3806801667</v>
      </c>
      <c r="I16" s="99">
        <f>'Localize Daily Bali Jimbaran'!AH21</f>
        <v>337.10000000006403</v>
      </c>
      <c r="J16" s="101">
        <f>'Localize Daily Bali Jimbaran'!AI21</f>
        <v>2932770.0000005569</v>
      </c>
      <c r="K16" s="99">
        <f>'Localize Daily Bali Jimbaran'!Q21</f>
        <v>555.40000000000146</v>
      </c>
      <c r="L16" s="100">
        <f>'Localize Daily Bali Jimbaran'!V21</f>
        <v>5075282.1000000071</v>
      </c>
      <c r="M16" s="99">
        <f>'Localize Daily Bali Jimbaran'!C21</f>
        <v>49</v>
      </c>
      <c r="N16" s="99">
        <f>'Localize Daily Bali Jimbaran'!D21</f>
        <v>401</v>
      </c>
    </row>
    <row r="17" spans="1:14" ht="15">
      <c r="A17" s="96" t="s">
        <v>14</v>
      </c>
      <c r="B17" s="97">
        <v>16</v>
      </c>
      <c r="C17" s="98">
        <v>1</v>
      </c>
      <c r="D17" s="97">
        <v>2017</v>
      </c>
      <c r="E17" s="99">
        <f>'Localize Daily Bali Jimbaran'!P22</f>
        <v>21859.999999994103</v>
      </c>
      <c r="F17" s="100">
        <f>'Localize Daily Bali Jimbaran'!O22</f>
        <v>25873266.509992857</v>
      </c>
      <c r="G17" s="99">
        <f>'Localize Daily Bali Jimbaran'!AC22</f>
        <v>90.7911199999742</v>
      </c>
      <c r="H17" s="100">
        <f>'Localize Daily Bali Jimbaran'!AD22</f>
        <v>921802.24135973805</v>
      </c>
      <c r="I17" s="99">
        <f>'Localize Daily Bali Jimbaran'!AH22</f>
        <v>250.5000000000291</v>
      </c>
      <c r="J17" s="101">
        <f>'Localize Daily Bali Jimbaran'!AI22</f>
        <v>2179350.0000002533</v>
      </c>
      <c r="K17" s="99">
        <f>'Localize Daily Bali Jimbaran'!Q22</f>
        <v>558.59999999999854</v>
      </c>
      <c r="L17" s="100">
        <f>'Localize Daily Bali Jimbaran'!V22</f>
        <v>5116721.0999999931</v>
      </c>
      <c r="M17" s="99">
        <f>'Localize Daily Bali Jimbaran'!C22</f>
        <v>48</v>
      </c>
      <c r="N17" s="99">
        <f>'Localize Daily Bali Jimbaran'!D22</f>
        <v>313</v>
      </c>
    </row>
    <row r="18" spans="1:14" ht="15">
      <c r="A18" s="96" t="s">
        <v>14</v>
      </c>
      <c r="B18" s="97">
        <v>17</v>
      </c>
      <c r="C18" s="98">
        <v>1</v>
      </c>
      <c r="D18" s="97">
        <v>2017</v>
      </c>
      <c r="E18" s="99">
        <f>'Localize Daily Bali Jimbaran'!P23</f>
        <v>21539.999999999509</v>
      </c>
      <c r="F18" s="100">
        <f>'Localize Daily Bali Jimbaran'!O23</f>
        <v>25459990.289999347</v>
      </c>
      <c r="G18" s="99">
        <f>'Localize Daily Bali Jimbaran'!AC23</f>
        <v>70.852520000015232</v>
      </c>
      <c r="H18" s="100">
        <f>'Localize Daily Bali Jimbaran'!AD23</f>
        <v>719365.63556015468</v>
      </c>
      <c r="I18" s="99">
        <f>'Localize Daily Bali Jimbaran'!AH23</f>
        <v>408.29999999987194</v>
      </c>
      <c r="J18" s="101">
        <f>'Localize Daily Bali Jimbaran'!AI23</f>
        <v>3552209.9999988861</v>
      </c>
      <c r="K18" s="99">
        <f>'Localize Daily Bali Jimbaran'!Q23</f>
        <v>544</v>
      </c>
      <c r="L18" s="100">
        <f>'Localize Daily Bali Jimbaran'!V23</f>
        <v>4849001.28</v>
      </c>
      <c r="M18" s="99">
        <f>'Localize Daily Bali Jimbaran'!C23</f>
        <v>51</v>
      </c>
      <c r="N18" s="99">
        <f>'Localize Daily Bali Jimbaran'!D23</f>
        <v>344</v>
      </c>
    </row>
    <row r="19" spans="1:14" ht="15">
      <c r="A19" s="96" t="s">
        <v>14</v>
      </c>
      <c r="B19" s="97">
        <v>18</v>
      </c>
      <c r="C19" s="98">
        <v>1</v>
      </c>
      <c r="D19" s="97">
        <v>2017</v>
      </c>
      <c r="E19" s="99">
        <f>'Localize Daily Bali Jimbaran'!P24</f>
        <v>22479.999999994448</v>
      </c>
      <c r="F19" s="100">
        <f>'Localize Daily Bali Jimbaran'!O24</f>
        <v>26558434.979995199</v>
      </c>
      <c r="G19" s="99">
        <f>'Localize Daily Bali Jimbaran'!AC24</f>
        <v>80.801679999990611</v>
      </c>
      <c r="H19" s="100">
        <f>'Localize Daily Bali Jimbaran'!AD24</f>
        <v>820379.45703990466</v>
      </c>
      <c r="I19" s="99">
        <f>'Localize Daily Bali Jimbaran'!AH24</f>
        <v>42.400000000052387</v>
      </c>
      <c r="J19" s="101">
        <f>'Localize Daily Bali Jimbaran'!AI24</f>
        <v>368880.00000045577</v>
      </c>
      <c r="K19" s="99">
        <f>'Localize Daily Bali Jimbaran'!Q24</f>
        <v>486.90000000000146</v>
      </c>
      <c r="L19" s="100">
        <f>'Localize Daily Bali Jimbaran'!V24</f>
        <v>4025062.5000000065</v>
      </c>
      <c r="M19" s="99">
        <f>'Localize Daily Bali Jimbaran'!C24</f>
        <v>31</v>
      </c>
      <c r="N19" s="99">
        <f>'Localize Daily Bali Jimbaran'!D24</f>
        <v>344</v>
      </c>
    </row>
    <row r="20" spans="1:14" ht="15">
      <c r="A20" s="96" t="s">
        <v>14</v>
      </c>
      <c r="B20" s="97">
        <v>19</v>
      </c>
      <c r="C20" s="98">
        <v>1</v>
      </c>
      <c r="D20" s="97">
        <v>2017</v>
      </c>
      <c r="E20" s="99">
        <f>'Localize Daily Bali Jimbaran'!P25</f>
        <v>20680.000000001201</v>
      </c>
      <c r="F20" s="100">
        <f>'Localize Daily Bali Jimbaran'!O25</f>
        <v>24492053.880000226</v>
      </c>
      <c r="G20" s="99">
        <f>'Localize Daily Bali Jimbaran'!AC25</f>
        <v>320.49</v>
      </c>
      <c r="H20" s="100">
        <f>'Localize Daily Bali Jimbaran'!AD25</f>
        <v>3508184.9699999997</v>
      </c>
      <c r="I20" s="99">
        <f>'Localize Daily Bali Jimbaran'!AH25</f>
        <v>46.199999999953434</v>
      </c>
      <c r="J20" s="101">
        <f>'Localize Daily Bali Jimbaran'!AI25</f>
        <v>401939.99999959487</v>
      </c>
      <c r="K20" s="99">
        <f>'Localize Daily Bali Jimbaran'!Q25</f>
        <v>353.5</v>
      </c>
      <c r="L20" s="100">
        <f>'Localize Daily Bali Jimbaran'!V25</f>
        <v>3922540.26</v>
      </c>
      <c r="M20" s="99">
        <f>'Localize Daily Bali Jimbaran'!C25</f>
        <v>16</v>
      </c>
      <c r="N20" s="99">
        <f>'Localize Daily Bali Jimbaran'!D25</f>
        <v>176</v>
      </c>
    </row>
    <row r="21" spans="1:14" ht="15">
      <c r="A21" s="96" t="s">
        <v>14</v>
      </c>
      <c r="B21" s="97">
        <v>20</v>
      </c>
      <c r="C21" s="98">
        <v>1</v>
      </c>
      <c r="D21" s="97">
        <v>2017</v>
      </c>
      <c r="E21" s="99">
        <f>'Localize Daily Bali Jimbaran'!P26</f>
        <v>19519.999999990774</v>
      </c>
      <c r="F21" s="100">
        <f>'Localize Daily Bali Jimbaran'!O26</f>
        <v>23012960.039990507</v>
      </c>
      <c r="G21" s="99">
        <f>'Localize Daily Bali Jimbaran'!AC26</f>
        <v>498.51799999999997</v>
      </c>
      <c r="H21" s="100">
        <f>'Localize Daily Bali Jimbaran'!AD26</f>
        <v>6062081.2539999997</v>
      </c>
      <c r="I21" s="99">
        <f>'Localize Daily Bali Jimbaran'!AH26</f>
        <v>118.50000000005821</v>
      </c>
      <c r="J21" s="101">
        <f>'Localize Daily Bali Jimbaran'!AI26</f>
        <v>1030950.0000005064</v>
      </c>
      <c r="K21" s="99">
        <f>'Localize Daily Bali Jimbaran'!Q26</f>
        <v>527</v>
      </c>
      <c r="L21" s="100">
        <f>'Localize Daily Bali Jimbaran'!V26</f>
        <v>4570284.18</v>
      </c>
      <c r="M21" s="99">
        <f>'Localize Daily Bali Jimbaran'!C26</f>
        <v>11</v>
      </c>
      <c r="N21" s="99">
        <f>'Localize Daily Bali Jimbaran'!D26</f>
        <v>161</v>
      </c>
    </row>
    <row r="22" spans="1:14" ht="15">
      <c r="A22" s="96" t="s">
        <v>14</v>
      </c>
      <c r="B22" s="97">
        <v>21</v>
      </c>
      <c r="C22" s="98">
        <v>1</v>
      </c>
      <c r="D22" s="97">
        <v>2017</v>
      </c>
      <c r="E22" s="99">
        <f>'Localize Daily Bali Jimbaran'!P27</f>
        <v>17919.999999997686</v>
      </c>
      <c r="F22" s="100">
        <f>'Localize Daily Bali Jimbaran'!O27</f>
        <v>21142341.359997649</v>
      </c>
      <c r="G22" s="99">
        <f>'Localize Daily Bali Jimbaran'!AC27</f>
        <v>83.577560000016405</v>
      </c>
      <c r="H22" s="100">
        <f>'Localize Daily Bali Jimbaran'!AD27</f>
        <v>866226.96668016654</v>
      </c>
      <c r="I22" s="99">
        <f>'Localize Daily Bali Jimbaran'!AH27</f>
        <v>129.4999999999709</v>
      </c>
      <c r="J22" s="101">
        <f>'Localize Daily Bali Jimbaran'!AI27</f>
        <v>1126649.9999997467</v>
      </c>
      <c r="K22" s="99">
        <f>'Localize Daily Bali Jimbaran'!Q27</f>
        <v>395.5</v>
      </c>
      <c r="L22" s="100">
        <f>'Localize Daily Bali Jimbaran'!V27</f>
        <v>2254063.44</v>
      </c>
      <c r="M22" s="99">
        <f>'Localize Daily Bali Jimbaran'!C27</f>
        <v>12</v>
      </c>
      <c r="N22" s="99">
        <f>'Localize Daily Bali Jimbaran'!D27</f>
        <v>222</v>
      </c>
    </row>
    <row r="23" spans="1:14" ht="15">
      <c r="A23" s="96" t="s">
        <v>14</v>
      </c>
      <c r="B23" s="97">
        <v>22</v>
      </c>
      <c r="C23" s="98">
        <v>1</v>
      </c>
      <c r="D23" s="97">
        <v>2017</v>
      </c>
      <c r="E23" s="99">
        <f>'Localize Daily Bali Jimbaran'!P28</f>
        <v>18939.999999999942</v>
      </c>
      <c r="F23" s="100">
        <f>'Localize Daily Bali Jimbaran'!O28</f>
        <v>22403921.400000956</v>
      </c>
      <c r="G23" s="99">
        <f>'Localize Daily Bali Jimbaran'!AC28</f>
        <v>74.31659999998827</v>
      </c>
      <c r="H23" s="100">
        <f>'Localize Daily Bali Jimbaran'!AD28</f>
        <v>754536.43979988096</v>
      </c>
      <c r="I23" s="99">
        <f>'Localize Daily Bali Jimbaran'!AH28</f>
        <v>108.69999999995343</v>
      </c>
      <c r="J23" s="101">
        <f>'Localize Daily Bali Jimbaran'!AI28</f>
        <v>945689.99999959487</v>
      </c>
      <c r="K23" s="99">
        <f>'Localize Daily Bali Jimbaran'!Q28</f>
        <v>481</v>
      </c>
      <c r="L23" s="100">
        <f>'Localize Daily Bali Jimbaran'!V28</f>
        <v>3743655.9</v>
      </c>
      <c r="M23" s="99">
        <f>'Localize Daily Bali Jimbaran'!C28</f>
        <v>19</v>
      </c>
      <c r="N23" s="99">
        <f>'Localize Daily Bali Jimbaran'!D28</f>
        <v>224</v>
      </c>
    </row>
    <row r="24" spans="1:14" ht="15">
      <c r="A24" s="96" t="s">
        <v>14</v>
      </c>
      <c r="B24" s="97">
        <v>23</v>
      </c>
      <c r="C24" s="98">
        <v>1</v>
      </c>
      <c r="D24" s="97">
        <v>2017</v>
      </c>
      <c r="E24" s="99">
        <f>'Localize Daily Bali Jimbaran'!P29</f>
        <v>17960.000000008109</v>
      </c>
      <c r="F24" s="100">
        <f>'Localize Daily Bali Jimbaran'!O29</f>
        <v>21283725.33000692</v>
      </c>
      <c r="G24" s="99">
        <f>'Localize Daily Bali Jimbaran'!AC29</f>
        <v>98.517999999999986</v>
      </c>
      <c r="H24" s="100">
        <f>'Localize Daily Bali Jimbaran'!AD29</f>
        <v>1035581.2539999998</v>
      </c>
      <c r="I24" s="99">
        <f>'Localize Daily Bali Jimbaran'!AH29</f>
        <v>876.20000000009895</v>
      </c>
      <c r="J24" s="101">
        <f>'Localize Daily Bali Jimbaran'!AI29</f>
        <v>7622940.0000008605</v>
      </c>
      <c r="K24" s="99">
        <f>'Localize Daily Bali Jimbaran'!Q29</f>
        <v>489</v>
      </c>
      <c r="L24" s="100">
        <f>'Localize Daily Bali Jimbaran'!V29</f>
        <v>3927581.2800000003</v>
      </c>
      <c r="M24" s="99">
        <f>'Localize Daily Bali Jimbaran'!C29</f>
        <v>18</v>
      </c>
      <c r="N24" s="99">
        <f>'Localize Daily Bali Jimbaran'!D29</f>
        <v>178</v>
      </c>
    </row>
    <row r="25" spans="1:14" ht="15">
      <c r="A25" s="96" t="s">
        <v>14</v>
      </c>
      <c r="B25" s="97">
        <v>24</v>
      </c>
      <c r="C25" s="98">
        <v>1</v>
      </c>
      <c r="D25" s="97">
        <v>2017</v>
      </c>
      <c r="E25" s="99">
        <f>'Localize Daily Bali Jimbaran'!P30</f>
        <v>18999.99999998579</v>
      </c>
      <c r="F25" s="100">
        <f>'Localize Daily Bali Jimbaran'!O30</f>
        <v>22403921.399984632</v>
      </c>
      <c r="G25" s="99">
        <f>'Localize Daily Bali Jimbaran'!AC30</f>
        <v>61.708959999998818</v>
      </c>
      <c r="H25" s="100">
        <f>'Localize Daily Bali Jimbaran'!AD30</f>
        <v>626531.07087998802</v>
      </c>
      <c r="I25" s="99">
        <f>'Localize Daily Bali Jimbaran'!AH30</f>
        <v>731.09999999999388</v>
      </c>
      <c r="J25" s="101">
        <f>'Localize Daily Bali Jimbaran'!AI30</f>
        <v>6360569.9999999469</v>
      </c>
      <c r="K25" s="99">
        <f>'Localize Daily Bali Jimbaran'!Q30</f>
        <v>358</v>
      </c>
      <c r="L25" s="100">
        <f>'Localize Daily Bali Jimbaran'!V30</f>
        <v>1640427.5999999999</v>
      </c>
      <c r="M25" s="99">
        <f>'Localize Daily Bali Jimbaran'!C30</f>
        <v>19</v>
      </c>
      <c r="N25" s="99">
        <f>'Localize Daily Bali Jimbaran'!D30</f>
        <v>173</v>
      </c>
    </row>
    <row r="26" spans="1:14" ht="15">
      <c r="A26" s="96" t="s">
        <v>14</v>
      </c>
      <c r="B26" s="97">
        <v>25</v>
      </c>
      <c r="C26" s="98">
        <v>1</v>
      </c>
      <c r="D26" s="97">
        <v>2017</v>
      </c>
      <c r="E26" s="99">
        <f>'Localize Daily Bali Jimbaran'!P31</f>
        <v>17980.000000010819</v>
      </c>
      <c r="F26" s="100">
        <f>'Localize Daily Bali Jimbaran'!O31</f>
        <v>21207595.500011932</v>
      </c>
      <c r="G26" s="99">
        <f>'Localize Daily Bali Jimbaran'!AC31</f>
        <v>325.56528000000822</v>
      </c>
      <c r="H26" s="100">
        <f>'Localize Daily Bali Jimbaran'!AD31</f>
        <v>3559714.2878400832</v>
      </c>
      <c r="I26" s="99">
        <f>'Localize Daily Bali Jimbaran'!AH31</f>
        <v>538.09999999997672</v>
      </c>
      <c r="J26" s="101">
        <f>'Localize Daily Bali Jimbaran'!AI31</f>
        <v>4681469.999999797</v>
      </c>
      <c r="K26" s="99">
        <f>'Localize Daily Bali Jimbaran'!Q31</f>
        <v>364</v>
      </c>
      <c r="L26" s="100">
        <f>'Localize Daily Bali Jimbaran'!V31</f>
        <v>1667920.8</v>
      </c>
      <c r="M26" s="99">
        <f>'Localize Daily Bali Jimbaran'!C31</f>
        <v>24</v>
      </c>
      <c r="N26" s="99">
        <f>'Localize Daily Bali Jimbaran'!D31</f>
        <v>186</v>
      </c>
    </row>
    <row r="27" spans="1:14" ht="15">
      <c r="A27" s="96" t="s">
        <v>14</v>
      </c>
      <c r="B27" s="97">
        <v>26</v>
      </c>
      <c r="C27" s="98">
        <v>1</v>
      </c>
      <c r="D27" s="97">
        <v>2017</v>
      </c>
      <c r="E27" s="99">
        <f>'Localize Daily Bali Jimbaran'!P32</f>
        <v>18360.000000004562</v>
      </c>
      <c r="F27" s="100">
        <f>'Localize Daily Bali Jimbaran'!O32</f>
        <v>21762255.690005988</v>
      </c>
      <c r="G27" s="99">
        <f>'Localize Daily Bali Jimbaran'!AC32</f>
        <v>486.03463999998945</v>
      </c>
      <c r="H27" s="100">
        <f>'Localize Daily Bali Jimbaran'!AD32</f>
        <v>5917673.6999198925</v>
      </c>
      <c r="I27" s="99">
        <f>'Localize Daily Bali Jimbaran'!AH32</f>
        <v>554.79999999995925</v>
      </c>
      <c r="J27" s="101">
        <f>'Localize Daily Bali Jimbaran'!AI32</f>
        <v>4826759.9999996452</v>
      </c>
      <c r="K27" s="99">
        <f>'Localize Daily Bali Jimbaran'!Q32</f>
        <v>225.80000000000291</v>
      </c>
      <c r="L27" s="100">
        <f>'Localize Daily Bali Jimbaran'!V32</f>
        <v>1034660.7600000133</v>
      </c>
      <c r="M27" s="99">
        <f>'Localize Daily Bali Jimbaran'!C32</f>
        <v>19</v>
      </c>
      <c r="N27" s="99">
        <f>'Localize Daily Bali Jimbaran'!D32</f>
        <v>299</v>
      </c>
    </row>
    <row r="28" spans="1:14" ht="15">
      <c r="A28" s="96" t="s">
        <v>14</v>
      </c>
      <c r="B28" s="97">
        <v>27</v>
      </c>
      <c r="C28" s="98">
        <v>1</v>
      </c>
      <c r="D28" s="97">
        <v>2017</v>
      </c>
      <c r="E28" s="99">
        <f>'Localize Daily Bali Jimbaran'!P33</f>
        <v>18000.000000004435</v>
      </c>
      <c r="F28" s="100">
        <f>'Localize Daily Bali Jimbaran'!O33</f>
        <v>21196719.810003534</v>
      </c>
      <c r="G28" s="99">
        <f>'Localize Daily Bali Jimbaran'!AC33</f>
        <v>87.642400000011719</v>
      </c>
      <c r="H28" s="100">
        <f>'Localize Daily Bali Jimbaran'!AD33</f>
        <v>925161.287200119</v>
      </c>
      <c r="I28" s="99">
        <f>'Localize Daily Bali Jimbaran'!AH33</f>
        <v>539.70000000001164</v>
      </c>
      <c r="J28" s="101">
        <f>'Localize Daily Bali Jimbaran'!AI33</f>
        <v>4695390.0000001015</v>
      </c>
      <c r="K28" s="99">
        <f>'Localize Daily Bali Jimbaran'!Q33</f>
        <v>223</v>
      </c>
      <c r="L28" s="100">
        <f>'Localize Daily Bali Jimbaran'!V33</f>
        <v>1517185.8599999999</v>
      </c>
      <c r="M28" s="99">
        <f>'Localize Daily Bali Jimbaran'!C33</f>
        <v>13</v>
      </c>
      <c r="N28" s="99">
        <f>'Localize Daily Bali Jimbaran'!D33</f>
        <v>229</v>
      </c>
    </row>
    <row r="29" spans="1:14" ht="15">
      <c r="A29" s="96" t="s">
        <v>14</v>
      </c>
      <c r="B29" s="97">
        <v>28</v>
      </c>
      <c r="C29" s="98">
        <v>1</v>
      </c>
      <c r="D29" s="97">
        <v>2017</v>
      </c>
      <c r="E29" s="99">
        <f>'Localize Daily Bali Jimbaran'!P34</f>
        <v>18879.999999993288</v>
      </c>
      <c r="F29" s="100">
        <f>'Localize Daily Bali Jimbaran'!O34</f>
        <v>22403921.399992727</v>
      </c>
      <c r="G29" s="99">
        <f>'Localize Daily Bali Jimbaran'!AC34</f>
        <v>73.708959999998825</v>
      </c>
      <c r="H29" s="100">
        <f>'Localize Daily Bali Jimbaran'!AD34</f>
        <v>766031.07087998802</v>
      </c>
      <c r="I29" s="99">
        <f>'Localize Daily Bali Jimbaran'!AH34</f>
        <v>458.20000000006985</v>
      </c>
      <c r="J29" s="101">
        <f>'Localize Daily Bali Jimbaran'!AI34</f>
        <v>3986340.0000006077</v>
      </c>
      <c r="K29" s="99">
        <f>'Localize Daily Bali Jimbaran'!Q34</f>
        <v>223</v>
      </c>
      <c r="L29" s="100">
        <f>'Localize Daily Bali Jimbaran'!V34</f>
        <v>1369918.0799999998</v>
      </c>
      <c r="M29" s="99">
        <f>'Localize Daily Bali Jimbaran'!C34</f>
        <v>16</v>
      </c>
      <c r="N29" s="99">
        <f>'Localize Daily Bali Jimbaran'!D34</f>
        <v>301</v>
      </c>
    </row>
    <row r="30" spans="1:14" ht="15">
      <c r="A30" s="96" t="s">
        <v>14</v>
      </c>
      <c r="B30" s="97">
        <v>29</v>
      </c>
      <c r="C30" s="98">
        <v>1</v>
      </c>
      <c r="D30" s="97">
        <v>2017</v>
      </c>
      <c r="E30" s="99">
        <f>'Localize Daily Bali Jimbaran'!P35</f>
        <v>19500.000000011256</v>
      </c>
      <c r="F30" s="100">
        <f>'Localize Daily Bali Jimbaran'!O35</f>
        <v>22991208.660012782</v>
      </c>
      <c r="G30" s="99">
        <f>'Localize Daily Bali Jimbaran'!AC35</f>
        <v>86.96108000000234</v>
      </c>
      <c r="H30" s="100">
        <f>'Localize Daily Bali Jimbaran'!AD35</f>
        <v>900579.8452400238</v>
      </c>
      <c r="I30" s="99">
        <f>'Localize Daily Bali Jimbaran'!AH35</f>
        <v>376.9999999999709</v>
      </c>
      <c r="J30" s="101">
        <f>'Localize Daily Bali Jimbaran'!AI35</f>
        <v>3279899.9999997467</v>
      </c>
      <c r="K30" s="99">
        <f>'Localize Daily Bali Jimbaran'!Q35</f>
        <v>371</v>
      </c>
      <c r="L30" s="100">
        <f>'Localize Daily Bali Jimbaran'!V35</f>
        <v>4203548.46</v>
      </c>
      <c r="M30" s="99">
        <f>'Localize Daily Bali Jimbaran'!C35</f>
        <v>13</v>
      </c>
      <c r="N30" s="99">
        <f>'Localize Daily Bali Jimbaran'!D35</f>
        <v>203</v>
      </c>
    </row>
    <row r="31" spans="1:14" ht="15">
      <c r="A31" s="96" t="s">
        <v>14</v>
      </c>
      <c r="B31" s="97">
        <v>30</v>
      </c>
      <c r="C31" s="98">
        <v>1</v>
      </c>
      <c r="D31" s="97">
        <v>2017</v>
      </c>
      <c r="E31" s="99">
        <f>'Localize Daily Bali Jimbaran'!P36</f>
        <v>19479.999999992629</v>
      </c>
      <c r="F31" s="100">
        <f>'Localize Daily Bali Jimbaran'!O36</f>
        <v>23078214.179992922</v>
      </c>
      <c r="G31" s="99">
        <f>'Localize Daily Bali Jimbaran'!AC36</f>
        <v>105.32187999999648</v>
      </c>
      <c r="H31" s="100">
        <f>'Localize Daily Bali Jimbaran'!AD36</f>
        <v>1680825.0476399641</v>
      </c>
      <c r="I31" s="99">
        <f>'Localize Daily Bali Jimbaran'!AH36</f>
        <v>395.80000000001746</v>
      </c>
      <c r="J31" s="101">
        <f>'Localize Daily Bali Jimbaran'!AI36</f>
        <v>3443460.0000001518</v>
      </c>
      <c r="K31" s="99">
        <f>'Localize Daily Bali Jimbaran'!Q36</f>
        <v>396</v>
      </c>
      <c r="L31" s="100">
        <f>'Localize Daily Bali Jimbaran'!V36</f>
        <v>4585863.0600000005</v>
      </c>
      <c r="M31" s="99">
        <f>'Localize Daily Bali Jimbaran'!C36</f>
        <v>17</v>
      </c>
      <c r="N31" s="99">
        <f>'Localize Daily Bali Jimbaran'!D36</f>
        <v>148</v>
      </c>
    </row>
    <row r="32" spans="1:14" ht="15">
      <c r="A32" s="96" t="s">
        <v>14</v>
      </c>
      <c r="B32" s="97">
        <v>31</v>
      </c>
      <c r="C32" s="98">
        <v>1</v>
      </c>
      <c r="D32" s="97">
        <v>2017</v>
      </c>
      <c r="E32" s="99">
        <f>'Localize Daily Bali Jimbaran'!P37</f>
        <v>28879.999999987831</v>
      </c>
      <c r="F32" s="100">
        <f>'Localize Daily Bali Jimbaran'!O37</f>
        <v>33225232.949985854</v>
      </c>
      <c r="G32" s="99">
        <f>'Localize Daily Bali Jimbaran'!AC37</f>
        <v>727.65983999999526</v>
      </c>
      <c r="H32" s="100">
        <f>'Localize Daily Bali Jimbaran'!AD37</f>
        <v>8048980.3555199523</v>
      </c>
      <c r="I32" s="99">
        <f>'Localize Daily Bali Jimbaran'!AH37</f>
        <v>544.4999999999709</v>
      </c>
      <c r="J32" s="101">
        <f>'Localize Daily Bali Jimbaran'!AI37</f>
        <v>4737149.9999997467</v>
      </c>
      <c r="K32" s="99">
        <f>'Localize Daily Bali Jimbaran'!Q37</f>
        <v>395</v>
      </c>
      <c r="L32" s="100">
        <f>'Localize Daily Bali Jimbaran'!V37</f>
        <v>4447401.0599999996</v>
      </c>
      <c r="M32" s="99">
        <f>'Localize Daily Bali Jimbaran'!C37</f>
        <v>18</v>
      </c>
      <c r="N32" s="99">
        <f>'Localize Daily Bali Jimbaran'!D37</f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S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02" t="s">
        <v>16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4"/>
    </row>
    <row r="4" spans="1:36" s="83" customFormat="1" ht="15.75" customHeight="1">
      <c r="A4" s="16"/>
      <c r="B4" s="104" t="s">
        <v>17</v>
      </c>
      <c r="C4" s="106" t="s">
        <v>18</v>
      </c>
      <c r="D4" s="108" t="s">
        <v>13</v>
      </c>
      <c r="E4" s="110" t="s">
        <v>19</v>
      </c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1" t="s">
        <v>20</v>
      </c>
      <c r="R4" s="111"/>
      <c r="S4" s="111"/>
      <c r="T4" s="111"/>
      <c r="U4" s="111"/>
      <c r="V4" s="111"/>
      <c r="W4" s="112" t="s">
        <v>21</v>
      </c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7"/>
    </row>
    <row r="5" spans="1:36" s="1" customFormat="1" ht="27" customHeight="1">
      <c r="A5" s="83"/>
      <c r="B5" s="105"/>
      <c r="C5" s="107"/>
      <c r="D5" s="109"/>
      <c r="E5" s="113" t="s">
        <v>22</v>
      </c>
      <c r="F5" s="113"/>
      <c r="G5" s="113"/>
      <c r="H5" s="113"/>
      <c r="I5" s="113"/>
      <c r="J5" s="114" t="s">
        <v>23</v>
      </c>
      <c r="K5" s="114"/>
      <c r="L5" s="114"/>
      <c r="M5" s="114"/>
      <c r="N5" s="114"/>
      <c r="O5" s="109" t="s">
        <v>24</v>
      </c>
      <c r="P5" s="115" t="s">
        <v>25</v>
      </c>
      <c r="Q5" s="84"/>
      <c r="R5" s="85" t="s">
        <v>26</v>
      </c>
      <c r="S5" s="84"/>
      <c r="T5" s="85" t="s">
        <v>26</v>
      </c>
      <c r="U5" s="85"/>
      <c r="V5" s="85" t="s">
        <v>27</v>
      </c>
      <c r="W5" s="112" t="s">
        <v>28</v>
      </c>
      <c r="X5" s="112"/>
      <c r="Y5" s="112"/>
      <c r="Z5" s="112"/>
      <c r="AA5" s="112"/>
      <c r="AB5" s="112"/>
      <c r="AC5" s="112"/>
      <c r="AD5" s="112"/>
      <c r="AE5" s="146" t="s">
        <v>29</v>
      </c>
      <c r="AF5" s="146"/>
      <c r="AG5" s="146"/>
      <c r="AH5" s="146"/>
      <c r="AI5" s="146"/>
      <c r="AJ5" s="83"/>
    </row>
    <row r="6" spans="1:36" s="1" customFormat="1" ht="58.5" customHeight="1">
      <c r="A6" s="86"/>
      <c r="B6" s="105"/>
      <c r="C6" s="107"/>
      <c r="D6" s="109"/>
      <c r="E6" s="73" t="s">
        <v>30</v>
      </c>
      <c r="F6" s="73" t="s">
        <v>31</v>
      </c>
      <c r="G6" s="80" t="s">
        <v>32</v>
      </c>
      <c r="H6" s="87" t="s">
        <v>31</v>
      </c>
      <c r="I6" s="73" t="s">
        <v>33</v>
      </c>
      <c r="J6" s="73" t="s">
        <v>30</v>
      </c>
      <c r="K6" s="82" t="s">
        <v>31</v>
      </c>
      <c r="L6" s="80" t="s">
        <v>32</v>
      </c>
      <c r="M6" s="88" t="s">
        <v>31</v>
      </c>
      <c r="N6" s="79" t="s">
        <v>34</v>
      </c>
      <c r="O6" s="109"/>
      <c r="P6" s="115"/>
      <c r="Q6" s="73" t="s">
        <v>35</v>
      </c>
      <c r="R6" s="73" t="s">
        <v>36</v>
      </c>
      <c r="S6" s="73" t="s">
        <v>37</v>
      </c>
      <c r="T6" s="82" t="s">
        <v>38</v>
      </c>
      <c r="U6" s="82" t="s">
        <v>39</v>
      </c>
      <c r="V6" s="82" t="s">
        <v>40</v>
      </c>
      <c r="W6" s="89" t="s">
        <v>41</v>
      </c>
      <c r="X6" s="90" t="s">
        <v>42</v>
      </c>
      <c r="Y6" s="89" t="s">
        <v>43</v>
      </c>
      <c r="Z6" s="143" t="s">
        <v>44</v>
      </c>
      <c r="AA6" s="143" t="s">
        <v>45</v>
      </c>
      <c r="AB6" s="89" t="s">
        <v>46</v>
      </c>
      <c r="AC6" s="89" t="s">
        <v>47</v>
      </c>
      <c r="AD6" s="90" t="s">
        <v>40</v>
      </c>
      <c r="AE6" s="145" t="s">
        <v>48</v>
      </c>
      <c r="AF6" s="145" t="s">
        <v>49</v>
      </c>
      <c r="AG6" s="145" t="s">
        <v>50</v>
      </c>
      <c r="AH6" s="145" t="s">
        <v>51</v>
      </c>
      <c r="AI6" s="89" t="s">
        <v>40</v>
      </c>
      <c r="AJ6" s="86"/>
    </row>
    <row r="7" spans="1:36" ht="15">
      <c r="A7" s="18"/>
      <c r="B7" s="81">
        <v>1</v>
      </c>
      <c r="C7" s="116">
        <v>98</v>
      </c>
      <c r="D7" s="117">
        <v>820</v>
      </c>
      <c r="E7" s="118">
        <v>8520.0000000186265</v>
      </c>
      <c r="F7" s="118">
        <v>9266087.8800202571</v>
      </c>
      <c r="G7" s="133">
        <v>4040.0000000008731</v>
      </c>
      <c r="H7" s="119">
        <v>6590668.1400014246</v>
      </c>
      <c r="I7" s="120">
        <f>F7+H7</f>
        <v>15856756.020021681</v>
      </c>
      <c r="J7" s="132">
        <v>1000</v>
      </c>
      <c r="K7" s="132">
        <v>1087569</v>
      </c>
      <c r="L7" s="137">
        <v>419.99999999995907</v>
      </c>
      <c r="M7" s="139">
        <v>685168.46999993327</v>
      </c>
      <c r="N7" s="122">
        <f>K7+M7</f>
        <v>1772737.4699999331</v>
      </c>
      <c r="O7" s="120">
        <f>I7+N7</f>
        <v>17629493.490021612</v>
      </c>
      <c r="P7" s="122">
        <f>E7+G7+J7+L7</f>
        <v>13980.00000001946</v>
      </c>
      <c r="Q7" s="141">
        <f>R7+T7</f>
        <v>678.30000000000291</v>
      </c>
      <c r="R7" s="132">
        <v>203</v>
      </c>
      <c r="S7" s="132">
        <v>3647946.54</v>
      </c>
      <c r="T7" s="132">
        <v>475.30000000000291</v>
      </c>
      <c r="U7" s="132">
        <v>2177919.6600000132</v>
      </c>
      <c r="V7" s="132">
        <f>S7+U7</f>
        <v>5825866.2000000132</v>
      </c>
      <c r="W7" s="132">
        <v>97.437320000009365</v>
      </c>
      <c r="X7" s="121">
        <v>250</v>
      </c>
      <c r="Y7" s="125">
        <v>0</v>
      </c>
      <c r="Z7" s="123"/>
      <c r="AA7" s="123"/>
      <c r="AB7" s="128">
        <v>0</v>
      </c>
      <c r="AC7" s="141">
        <f>W7+X7+Y7+Z7+AA7+AB7</f>
        <v>347.43732000000938</v>
      </c>
      <c r="AD7" s="118">
        <v>4340281.109960095</v>
      </c>
      <c r="AE7" s="124"/>
      <c r="AF7" s="147">
        <v>60.700000000069849</v>
      </c>
      <c r="AG7" s="149">
        <v>1512.5</v>
      </c>
      <c r="AH7" s="149">
        <f>AF7+AG7</f>
        <v>1573.2000000000698</v>
      </c>
      <c r="AI7" s="151">
        <v>13686840.000000607</v>
      </c>
      <c r="AJ7" s="18"/>
    </row>
    <row r="8" spans="1:36" ht="15">
      <c r="A8" s="19"/>
      <c r="B8" s="64">
        <v>2</v>
      </c>
      <c r="C8" s="65">
        <v>85</v>
      </c>
      <c r="D8" s="65">
        <v>762</v>
      </c>
      <c r="E8" s="125">
        <v>17879.999999975553</v>
      </c>
      <c r="F8" s="125">
        <v>19445733.719973411</v>
      </c>
      <c r="G8" s="126">
        <v>4119.9999999989814</v>
      </c>
      <c r="H8" s="127">
        <v>6721176.4199983394</v>
      </c>
      <c r="I8" s="120">
        <f t="shared" ref="I8:I37" si="0">F8+H8</f>
        <v>26166910.139971752</v>
      </c>
      <c r="J8" s="128">
        <v>1940.0000000000546</v>
      </c>
      <c r="K8" s="128">
        <v>2109883.8600000595</v>
      </c>
      <c r="L8" s="138">
        <v>460.00000000003638</v>
      </c>
      <c r="M8" s="140">
        <v>750422.61000005936</v>
      </c>
      <c r="N8" s="122">
        <f t="shared" ref="N8:N37" si="1">K8+M8</f>
        <v>2860306.4700001189</v>
      </c>
      <c r="O8" s="120">
        <f t="shared" ref="O8:O37" si="2">I8+N8</f>
        <v>29027216.60997187</v>
      </c>
      <c r="P8" s="122">
        <f t="shared" ref="P8:P37" si="3">E8+G8+J8+L8</f>
        <v>24399.999999974625</v>
      </c>
      <c r="Q8" s="141">
        <f t="shared" ref="Q8:Q37" si="4">R8+T8</f>
        <v>438</v>
      </c>
      <c r="R8" s="142">
        <v>240</v>
      </c>
      <c r="S8" s="142">
        <v>4312843.2</v>
      </c>
      <c r="T8" s="134">
        <v>198</v>
      </c>
      <c r="U8" s="134">
        <v>907275.6</v>
      </c>
      <c r="V8" s="132">
        <f t="shared" ref="V8:V37" si="5">S8+U8</f>
        <v>5220118.8</v>
      </c>
      <c r="W8" s="144">
        <v>99.290200000005854</v>
      </c>
      <c r="X8" s="128"/>
      <c r="Y8" s="125">
        <v>400</v>
      </c>
      <c r="Z8" s="128"/>
      <c r="AA8" s="128"/>
      <c r="AB8" s="128">
        <v>12</v>
      </c>
      <c r="AC8" s="141">
        <f t="shared" ref="AC8:AC37" si="6">W8+X8+Y8+Z8+AA8+AB8</f>
        <v>511.29020000000583</v>
      </c>
      <c r="AD8" s="125">
        <v>5615593.400600059</v>
      </c>
      <c r="AE8" s="129"/>
      <c r="AF8" s="148">
        <v>13.600000000005821</v>
      </c>
      <c r="AG8" s="150">
        <v>103.10000000000031</v>
      </c>
      <c r="AH8" s="149">
        <f t="shared" ref="AH8:AH37" si="7">AF8+AG8</f>
        <v>116.70000000000613</v>
      </c>
      <c r="AI8" s="152">
        <v>1015290.0000000533</v>
      </c>
      <c r="AJ8" s="21"/>
    </row>
    <row r="9" spans="1:36" ht="15">
      <c r="A9" s="19"/>
      <c r="B9" s="81">
        <v>3</v>
      </c>
      <c r="C9" s="65">
        <v>71</v>
      </c>
      <c r="D9" s="65">
        <v>645</v>
      </c>
      <c r="E9" s="125">
        <v>18360.000000015134</v>
      </c>
      <c r="F9" s="125">
        <v>19967766.840016462</v>
      </c>
      <c r="G9" s="126">
        <v>4079.9999999981083</v>
      </c>
      <c r="H9" s="127">
        <v>6655922.2799969148</v>
      </c>
      <c r="I9" s="120">
        <f t="shared" si="0"/>
        <v>26623689.120013379</v>
      </c>
      <c r="J9" s="128">
        <v>2019.9999999999818</v>
      </c>
      <c r="K9" s="128">
        <v>2196889.3799999803</v>
      </c>
      <c r="L9" s="138">
        <v>480.00000000001819</v>
      </c>
      <c r="M9" s="140">
        <v>783049.68000002974</v>
      </c>
      <c r="N9" s="122">
        <f t="shared" si="1"/>
        <v>2979939.0600000098</v>
      </c>
      <c r="O9" s="120">
        <f t="shared" si="2"/>
        <v>29603628.180013388</v>
      </c>
      <c r="P9" s="122">
        <f t="shared" si="3"/>
        <v>24940.000000013242</v>
      </c>
      <c r="Q9" s="141">
        <f t="shared" si="4"/>
        <v>502</v>
      </c>
      <c r="R9" s="142">
        <v>205</v>
      </c>
      <c r="S9" s="142">
        <v>3683886.9</v>
      </c>
      <c r="T9" s="134">
        <v>297</v>
      </c>
      <c r="U9" s="134">
        <v>1360913.4</v>
      </c>
      <c r="V9" s="132">
        <f t="shared" si="5"/>
        <v>5044800.3</v>
      </c>
      <c r="W9" s="144">
        <v>94.819120000003508</v>
      </c>
      <c r="X9" s="128"/>
      <c r="Y9" s="125">
        <v>0</v>
      </c>
      <c r="Z9" s="128"/>
      <c r="AA9" s="128"/>
      <c r="AB9" s="128">
        <v>12</v>
      </c>
      <c r="AC9" s="141">
        <f t="shared" si="6"/>
        <v>106.81912000000351</v>
      </c>
      <c r="AD9" s="125">
        <v>1102198.5253600357</v>
      </c>
      <c r="AE9" s="129"/>
      <c r="AF9" s="148">
        <v>0</v>
      </c>
      <c r="AG9" s="150">
        <v>0</v>
      </c>
      <c r="AH9" s="149">
        <f t="shared" si="7"/>
        <v>0</v>
      </c>
      <c r="AI9" s="152">
        <v>0</v>
      </c>
      <c r="AJ9" s="21"/>
    </row>
    <row r="10" spans="1:36" ht="15">
      <c r="A10" s="19"/>
      <c r="B10" s="64">
        <v>4</v>
      </c>
      <c r="C10" s="65">
        <v>65</v>
      </c>
      <c r="D10" s="65">
        <v>703</v>
      </c>
      <c r="E10" s="125">
        <v>19119.999999995343</v>
      </c>
      <c r="F10" s="125">
        <v>20794319.279994939</v>
      </c>
      <c r="G10" s="126">
        <v>4080.0000000017462</v>
      </c>
      <c r="H10" s="127">
        <v>6655922.2800028492</v>
      </c>
      <c r="I10" s="120">
        <f t="shared" si="0"/>
        <v>27450241.55999779</v>
      </c>
      <c r="J10" s="128">
        <v>1780.0000000002001</v>
      </c>
      <c r="K10" s="128">
        <v>1935872.8200002175</v>
      </c>
      <c r="L10" s="138">
        <v>439.99999999994088</v>
      </c>
      <c r="M10" s="140">
        <v>717795.53999990365</v>
      </c>
      <c r="N10" s="122">
        <f t="shared" si="1"/>
        <v>2653668.3600001214</v>
      </c>
      <c r="O10" s="120">
        <f t="shared" si="2"/>
        <v>30103909.919997912</v>
      </c>
      <c r="P10" s="122">
        <f t="shared" si="3"/>
        <v>25419.999999997231</v>
      </c>
      <c r="Q10" s="141">
        <f t="shared" si="4"/>
        <v>352.40000000000146</v>
      </c>
      <c r="R10" s="142">
        <v>167</v>
      </c>
      <c r="S10" s="142">
        <v>3001020.06</v>
      </c>
      <c r="T10" s="134">
        <v>185.40000000000146</v>
      </c>
      <c r="U10" s="134">
        <v>849539.88000000664</v>
      </c>
      <c r="V10" s="132">
        <f t="shared" si="5"/>
        <v>3850559.9400000069</v>
      </c>
      <c r="W10" s="144">
        <v>0</v>
      </c>
      <c r="X10" s="128"/>
      <c r="Y10" s="125">
        <v>0</v>
      </c>
      <c r="Z10" s="128"/>
      <c r="AA10" s="128"/>
      <c r="AB10" s="128">
        <v>0</v>
      </c>
      <c r="AC10" s="141">
        <f t="shared" si="6"/>
        <v>0</v>
      </c>
      <c r="AD10" s="125">
        <v>0</v>
      </c>
      <c r="AE10" s="129"/>
      <c r="AF10" s="148">
        <v>4.7999999999592546</v>
      </c>
      <c r="AG10" s="150">
        <v>0</v>
      </c>
      <c r="AH10" s="149">
        <f t="shared" si="7"/>
        <v>4.7999999999592546</v>
      </c>
      <c r="AI10" s="152">
        <v>41759.999999645515</v>
      </c>
      <c r="AJ10" s="21"/>
    </row>
    <row r="11" spans="1:36" ht="15">
      <c r="A11" s="19"/>
      <c r="B11" s="81">
        <v>5</v>
      </c>
      <c r="C11" s="65">
        <v>58</v>
      </c>
      <c r="D11" s="65">
        <v>549</v>
      </c>
      <c r="E11" s="125">
        <v>18200.000000011642</v>
      </c>
      <c r="F11" s="125">
        <v>19793755.800012663</v>
      </c>
      <c r="G11" s="126">
        <v>3799.9999999992724</v>
      </c>
      <c r="H11" s="127">
        <v>6199143.2999988133</v>
      </c>
      <c r="I11" s="120">
        <f t="shared" si="0"/>
        <v>25992899.100011475</v>
      </c>
      <c r="J11" s="128">
        <v>2019.9999999999818</v>
      </c>
      <c r="K11" s="128">
        <v>2196889.3799999803</v>
      </c>
      <c r="L11" s="138">
        <v>460.00000000003638</v>
      </c>
      <c r="M11" s="140">
        <v>750422.61000005936</v>
      </c>
      <c r="N11" s="122">
        <f t="shared" si="1"/>
        <v>2947311.9900000398</v>
      </c>
      <c r="O11" s="120">
        <f t="shared" si="2"/>
        <v>28940211.090011515</v>
      </c>
      <c r="P11" s="122">
        <f t="shared" si="3"/>
        <v>24480.000000010932</v>
      </c>
      <c r="Q11" s="141">
        <f t="shared" si="4"/>
        <v>406</v>
      </c>
      <c r="R11" s="142">
        <v>202</v>
      </c>
      <c r="S11" s="142">
        <v>3629976.36</v>
      </c>
      <c r="T11" s="134">
        <v>204</v>
      </c>
      <c r="U11" s="134">
        <v>934768.79999999993</v>
      </c>
      <c r="V11" s="132">
        <f t="shared" si="5"/>
        <v>4564745.16</v>
      </c>
      <c r="W11" s="144">
        <v>102.31119999997654</v>
      </c>
      <c r="X11" s="128"/>
      <c r="Y11" s="125">
        <v>0</v>
      </c>
      <c r="Z11" s="128"/>
      <c r="AA11" s="128"/>
      <c r="AB11" s="128">
        <v>48</v>
      </c>
      <c r="AC11" s="141">
        <f t="shared" si="6"/>
        <v>150.31119999997654</v>
      </c>
      <c r="AD11" s="125">
        <v>1596765.6135997619</v>
      </c>
      <c r="AE11" s="129"/>
      <c r="AF11" s="148">
        <v>5.5999999999767169</v>
      </c>
      <c r="AG11" s="150">
        <v>0</v>
      </c>
      <c r="AH11" s="149">
        <f t="shared" si="7"/>
        <v>5.5999999999767169</v>
      </c>
      <c r="AI11" s="152">
        <v>48719.999999797437</v>
      </c>
      <c r="AJ11" s="21"/>
    </row>
    <row r="12" spans="1:36" ht="15">
      <c r="A12" s="19"/>
      <c r="B12" s="64">
        <v>6</v>
      </c>
      <c r="C12" s="65">
        <v>48</v>
      </c>
      <c r="D12" s="65">
        <v>646</v>
      </c>
      <c r="E12" s="125">
        <v>17279.999999998836</v>
      </c>
      <c r="F12" s="125">
        <v>18793192.319998737</v>
      </c>
      <c r="G12" s="126">
        <v>4040.0000000008731</v>
      </c>
      <c r="H12" s="127">
        <v>6590668.1400014246</v>
      </c>
      <c r="I12" s="120">
        <f t="shared" si="0"/>
        <v>25383860.460000161</v>
      </c>
      <c r="J12" s="128">
        <v>2000</v>
      </c>
      <c r="K12" s="128">
        <v>2175138</v>
      </c>
      <c r="L12" s="138">
        <v>500</v>
      </c>
      <c r="M12" s="140">
        <v>815676.75</v>
      </c>
      <c r="N12" s="122">
        <f t="shared" si="1"/>
        <v>2990814.75</v>
      </c>
      <c r="O12" s="120">
        <f t="shared" si="2"/>
        <v>28374675.210000161</v>
      </c>
      <c r="P12" s="122">
        <f t="shared" si="3"/>
        <v>23819.999999999709</v>
      </c>
      <c r="Q12" s="141">
        <f t="shared" si="4"/>
        <v>394.09999999999854</v>
      </c>
      <c r="R12" s="142">
        <v>196</v>
      </c>
      <c r="S12" s="142">
        <v>3522155.2800000003</v>
      </c>
      <c r="T12" s="134">
        <v>198.09999999999854</v>
      </c>
      <c r="U12" s="134">
        <v>907733.81999999331</v>
      </c>
      <c r="V12" s="132">
        <f t="shared" si="5"/>
        <v>4429889.099999994</v>
      </c>
      <c r="W12" s="144">
        <v>60.70195999999882</v>
      </c>
      <c r="X12" s="128"/>
      <c r="Y12" s="125">
        <v>0</v>
      </c>
      <c r="Z12" s="128"/>
      <c r="AA12" s="128"/>
      <c r="AB12" s="128">
        <v>0</v>
      </c>
      <c r="AC12" s="141">
        <f t="shared" si="6"/>
        <v>60.70195999999882</v>
      </c>
      <c r="AD12" s="125">
        <v>616306.99987998803</v>
      </c>
      <c r="AE12" s="129"/>
      <c r="AF12" s="148">
        <v>14.100000000034925</v>
      </c>
      <c r="AG12" s="150">
        <v>0</v>
      </c>
      <c r="AH12" s="149">
        <f t="shared" si="7"/>
        <v>14.100000000034925</v>
      </c>
      <c r="AI12" s="152">
        <v>122670.00000030384</v>
      </c>
      <c r="AJ12" s="21"/>
    </row>
    <row r="13" spans="1:36" ht="15">
      <c r="A13" s="19"/>
      <c r="B13" s="81">
        <v>7</v>
      </c>
      <c r="C13" s="65">
        <v>45</v>
      </c>
      <c r="D13" s="65">
        <v>547</v>
      </c>
      <c r="E13" s="125">
        <v>16199.999999982538</v>
      </c>
      <c r="F13" s="125">
        <v>17618617.799981009</v>
      </c>
      <c r="G13" s="126">
        <v>2720.0000000011642</v>
      </c>
      <c r="H13" s="127">
        <v>4437281.5200018995</v>
      </c>
      <c r="I13" s="120">
        <f t="shared" si="0"/>
        <v>22055899.319982909</v>
      </c>
      <c r="J13" s="128">
        <v>2079.9999999999272</v>
      </c>
      <c r="K13" s="128">
        <v>2262143.5199999209</v>
      </c>
      <c r="L13" s="138">
        <v>459.99999999992269</v>
      </c>
      <c r="M13" s="140">
        <v>750422.60999987391</v>
      </c>
      <c r="N13" s="122">
        <f t="shared" si="1"/>
        <v>3012566.129999795</v>
      </c>
      <c r="O13" s="120">
        <f t="shared" si="2"/>
        <v>25068465.449982703</v>
      </c>
      <c r="P13" s="122">
        <f t="shared" si="3"/>
        <v>21459.999999983553</v>
      </c>
      <c r="Q13" s="141">
        <f t="shared" si="4"/>
        <v>356</v>
      </c>
      <c r="R13" s="142">
        <v>170</v>
      </c>
      <c r="S13" s="142">
        <v>3054930.6</v>
      </c>
      <c r="T13" s="134">
        <v>186</v>
      </c>
      <c r="U13" s="134">
        <v>852289.2</v>
      </c>
      <c r="V13" s="132">
        <f t="shared" si="5"/>
        <v>3907219.8</v>
      </c>
      <c r="W13" s="144">
        <v>50.148600000017581</v>
      </c>
      <c r="X13" s="128">
        <v>250</v>
      </c>
      <c r="Y13" s="125">
        <v>0</v>
      </c>
      <c r="Z13" s="128"/>
      <c r="AA13" s="128"/>
      <c r="AB13" s="128">
        <v>0</v>
      </c>
      <c r="AC13" s="141">
        <f t="shared" si="6"/>
        <v>300.14860000001761</v>
      </c>
      <c r="AD13" s="125">
        <v>3301658.7358001787</v>
      </c>
      <c r="AE13" s="129"/>
      <c r="AF13" s="148">
        <v>44.100000000034925</v>
      </c>
      <c r="AG13" s="150">
        <v>0</v>
      </c>
      <c r="AH13" s="149">
        <f t="shared" si="7"/>
        <v>44.100000000034925</v>
      </c>
      <c r="AI13" s="152">
        <v>383670.00000030384</v>
      </c>
      <c r="AJ13" s="21"/>
    </row>
    <row r="14" spans="1:36" ht="15">
      <c r="A14" s="19"/>
      <c r="B14" s="64">
        <v>8</v>
      </c>
      <c r="C14" s="65">
        <v>35</v>
      </c>
      <c r="D14" s="65">
        <v>374</v>
      </c>
      <c r="E14" s="125">
        <v>15960.000000020955</v>
      </c>
      <c r="F14" s="125">
        <v>17357601.24002279</v>
      </c>
      <c r="G14" s="126">
        <v>3399.9999999978172</v>
      </c>
      <c r="H14" s="127">
        <v>5546601.8999964399</v>
      </c>
      <c r="I14" s="120">
        <f t="shared" si="0"/>
        <v>22904203.140019231</v>
      </c>
      <c r="J14" s="128">
        <v>1900.0000000000909</v>
      </c>
      <c r="K14" s="128">
        <v>2066381.1000000988</v>
      </c>
      <c r="L14" s="138">
        <v>440.00000000005457</v>
      </c>
      <c r="M14" s="140">
        <v>717795.54000008909</v>
      </c>
      <c r="N14" s="122">
        <f t="shared" si="1"/>
        <v>2784176.6400001878</v>
      </c>
      <c r="O14" s="120">
        <f t="shared" si="2"/>
        <v>25688379.780019417</v>
      </c>
      <c r="P14" s="122">
        <f t="shared" si="3"/>
        <v>21700.000000018917</v>
      </c>
      <c r="Q14" s="141">
        <f t="shared" si="4"/>
        <v>393</v>
      </c>
      <c r="R14" s="142">
        <v>195</v>
      </c>
      <c r="S14" s="142">
        <v>3504185.1</v>
      </c>
      <c r="T14" s="134">
        <v>198</v>
      </c>
      <c r="U14" s="134">
        <v>907275.6</v>
      </c>
      <c r="V14" s="132">
        <f t="shared" si="5"/>
        <v>4411460.7</v>
      </c>
      <c r="W14" s="144">
        <v>63.360439999983583</v>
      </c>
      <c r="X14" s="128"/>
      <c r="Y14" s="125">
        <v>400</v>
      </c>
      <c r="Z14" s="128"/>
      <c r="AA14" s="128"/>
      <c r="AB14" s="128">
        <v>12</v>
      </c>
      <c r="AC14" s="141">
        <f t="shared" si="6"/>
        <v>475.36043999998356</v>
      </c>
      <c r="AD14" s="125">
        <v>5809298.5473198332</v>
      </c>
      <c r="AE14" s="129"/>
      <c r="AF14" s="148">
        <v>126.69999999998254</v>
      </c>
      <c r="AG14" s="150">
        <v>0</v>
      </c>
      <c r="AH14" s="149">
        <f t="shared" si="7"/>
        <v>126.69999999998254</v>
      </c>
      <c r="AI14" s="152">
        <v>1102289.9999998482</v>
      </c>
      <c r="AJ14" s="21"/>
    </row>
    <row r="15" spans="1:36" ht="15">
      <c r="A15" s="19"/>
      <c r="B15" s="81">
        <v>9</v>
      </c>
      <c r="C15" s="65">
        <v>34</v>
      </c>
      <c r="D15" s="65">
        <v>383</v>
      </c>
      <c r="E15" s="125">
        <v>16479.999999981374</v>
      </c>
      <c r="F15" s="125">
        <v>17923137.119979743</v>
      </c>
      <c r="G15" s="126">
        <v>3560.0000000013097</v>
      </c>
      <c r="H15" s="127">
        <v>5807618.4600021373</v>
      </c>
      <c r="I15" s="120">
        <f t="shared" si="0"/>
        <v>23730755.579981878</v>
      </c>
      <c r="J15" s="128">
        <v>1800.0000000001819</v>
      </c>
      <c r="K15" s="128">
        <v>1957624.2000001979</v>
      </c>
      <c r="L15" s="138">
        <v>439.99999999994088</v>
      </c>
      <c r="M15" s="140">
        <v>717795.53999990365</v>
      </c>
      <c r="N15" s="122">
        <f t="shared" si="1"/>
        <v>2675419.7400001017</v>
      </c>
      <c r="O15" s="120">
        <f t="shared" si="2"/>
        <v>26406175.319981981</v>
      </c>
      <c r="P15" s="122">
        <f t="shared" si="3"/>
        <v>22279.999999982807</v>
      </c>
      <c r="Q15" s="141">
        <f t="shared" si="4"/>
        <v>407</v>
      </c>
      <c r="R15" s="142">
        <v>215</v>
      </c>
      <c r="S15" s="142">
        <v>3863588.7</v>
      </c>
      <c r="T15" s="134">
        <v>192</v>
      </c>
      <c r="U15" s="134">
        <v>879782.39999999991</v>
      </c>
      <c r="V15" s="132">
        <f t="shared" si="5"/>
        <v>4743371.0999999996</v>
      </c>
      <c r="W15" s="144">
        <v>67.831520000015232</v>
      </c>
      <c r="X15" s="128"/>
      <c r="Y15" s="125"/>
      <c r="Z15" s="128"/>
      <c r="AA15" s="128"/>
      <c r="AB15" s="128">
        <v>12</v>
      </c>
      <c r="AC15" s="141">
        <f t="shared" si="6"/>
        <v>79.831520000015232</v>
      </c>
      <c r="AD15" s="125">
        <v>828193.42256015469</v>
      </c>
      <c r="AE15" s="129"/>
      <c r="AF15" s="148">
        <v>12.099999999918509</v>
      </c>
      <c r="AG15" s="150">
        <v>0</v>
      </c>
      <c r="AH15" s="149">
        <f t="shared" si="7"/>
        <v>12.099999999918509</v>
      </c>
      <c r="AI15" s="152">
        <v>105269.99999929103</v>
      </c>
      <c r="AJ15" s="21"/>
    </row>
    <row r="16" spans="1:36" ht="15">
      <c r="A16" s="19"/>
      <c r="B16" s="64">
        <v>10</v>
      </c>
      <c r="C16" s="65">
        <v>35</v>
      </c>
      <c r="D16" s="65">
        <v>388</v>
      </c>
      <c r="E16" s="125">
        <v>15559.999999997672</v>
      </c>
      <c r="F16" s="125">
        <v>16922573.639997467</v>
      </c>
      <c r="G16" s="126">
        <v>3239.9999999979627</v>
      </c>
      <c r="H16" s="127">
        <v>5285585.3399966769</v>
      </c>
      <c r="I16" s="120">
        <f t="shared" si="0"/>
        <v>22208158.979994144</v>
      </c>
      <c r="J16" s="128">
        <v>1819.999999999709</v>
      </c>
      <c r="K16" s="128">
        <v>1979375.5799996837</v>
      </c>
      <c r="L16" s="138">
        <v>440.00000000005457</v>
      </c>
      <c r="M16" s="140">
        <v>717795.54000008909</v>
      </c>
      <c r="N16" s="122">
        <f t="shared" si="1"/>
        <v>2697171.1199997729</v>
      </c>
      <c r="O16" s="120">
        <f t="shared" si="2"/>
        <v>24905330.099993918</v>
      </c>
      <c r="P16" s="122">
        <f t="shared" si="3"/>
        <v>21059.999999995398</v>
      </c>
      <c r="Q16" s="141">
        <f t="shared" si="4"/>
        <v>382</v>
      </c>
      <c r="R16" s="142">
        <v>193</v>
      </c>
      <c r="S16" s="142">
        <v>3468244.74</v>
      </c>
      <c r="T16" s="134">
        <v>189</v>
      </c>
      <c r="U16" s="134">
        <v>866035.79999999993</v>
      </c>
      <c r="V16" s="132">
        <f t="shared" si="5"/>
        <v>4334280.54</v>
      </c>
      <c r="W16" s="144">
        <v>64.891080000002333</v>
      </c>
      <c r="X16" s="128"/>
      <c r="Y16" s="125">
        <v>0</v>
      </c>
      <c r="Z16" s="128"/>
      <c r="AA16" s="128"/>
      <c r="AB16" s="128">
        <v>12</v>
      </c>
      <c r="AC16" s="141">
        <f t="shared" si="6"/>
        <v>76.891080000002333</v>
      </c>
      <c r="AD16" s="125">
        <v>798339.13524002372</v>
      </c>
      <c r="AE16" s="129"/>
      <c r="AF16" s="148">
        <v>0.90000000011059456</v>
      </c>
      <c r="AG16" s="150">
        <v>0</v>
      </c>
      <c r="AH16" s="149">
        <f t="shared" si="7"/>
        <v>0.90000000011059456</v>
      </c>
      <c r="AI16" s="152">
        <v>7830.0000009621726</v>
      </c>
      <c r="AJ16" s="21"/>
    </row>
    <row r="17" spans="1:36" ht="15">
      <c r="A17" s="19"/>
      <c r="B17" s="81">
        <v>11</v>
      </c>
      <c r="C17" s="65">
        <v>32</v>
      </c>
      <c r="D17" s="65">
        <v>341</v>
      </c>
      <c r="E17" s="125">
        <v>15680.000000022119</v>
      </c>
      <c r="F17" s="125">
        <v>17053081.920024056</v>
      </c>
      <c r="G17" s="126">
        <v>3280.0000000024738</v>
      </c>
      <c r="H17" s="127">
        <v>5350839.4800040368</v>
      </c>
      <c r="I17" s="120">
        <f t="shared" si="0"/>
        <v>22403921.400028095</v>
      </c>
      <c r="J17" s="128">
        <v>1900.0000000000909</v>
      </c>
      <c r="K17" s="128">
        <v>2066381.1000000988</v>
      </c>
      <c r="L17" s="138">
        <v>439.99999999994088</v>
      </c>
      <c r="M17" s="140">
        <v>717795.53999990365</v>
      </c>
      <c r="N17" s="122">
        <f t="shared" si="1"/>
        <v>2784176.6400000025</v>
      </c>
      <c r="O17" s="120">
        <f t="shared" si="2"/>
        <v>25188098.040028095</v>
      </c>
      <c r="P17" s="122">
        <f t="shared" si="3"/>
        <v>21300.000000024625</v>
      </c>
      <c r="Q17" s="141">
        <f t="shared" si="4"/>
        <v>498.29999999999563</v>
      </c>
      <c r="R17" s="142">
        <v>165</v>
      </c>
      <c r="S17" s="142">
        <v>2965079.7</v>
      </c>
      <c r="T17" s="134">
        <v>333.29999999999563</v>
      </c>
      <c r="U17" s="134">
        <v>1527247.25999998</v>
      </c>
      <c r="V17" s="132">
        <f t="shared" si="5"/>
        <v>4492326.9599999804</v>
      </c>
      <c r="W17" s="144">
        <v>69.48299999999999</v>
      </c>
      <c r="X17" s="128"/>
      <c r="Y17" s="125">
        <v>0</v>
      </c>
      <c r="Z17" s="128"/>
      <c r="AA17" s="128"/>
      <c r="AB17" s="128">
        <v>0</v>
      </c>
      <c r="AC17" s="141">
        <f t="shared" si="6"/>
        <v>69.48299999999999</v>
      </c>
      <c r="AD17" s="125">
        <v>705460.89899999986</v>
      </c>
      <c r="AE17" s="129"/>
      <c r="AF17" s="148">
        <v>188.99999999994179</v>
      </c>
      <c r="AG17" s="150">
        <v>0</v>
      </c>
      <c r="AH17" s="149">
        <f t="shared" si="7"/>
        <v>188.99999999994179</v>
      </c>
      <c r="AI17" s="152">
        <v>1644299.9999994936</v>
      </c>
      <c r="AJ17" s="21"/>
    </row>
    <row r="18" spans="1:36" ht="15">
      <c r="A18" s="19"/>
      <c r="B18" s="64">
        <v>12</v>
      </c>
      <c r="C18" s="65">
        <v>28</v>
      </c>
      <c r="D18" s="65">
        <v>307</v>
      </c>
      <c r="E18" s="125">
        <v>15479.999999981374</v>
      </c>
      <c r="F18" s="125">
        <v>16835568.119979743</v>
      </c>
      <c r="G18" s="126">
        <v>3199.9999999970896</v>
      </c>
      <c r="H18" s="127">
        <v>5220331.1999952523</v>
      </c>
      <c r="I18" s="120">
        <f t="shared" si="0"/>
        <v>22055899.319974996</v>
      </c>
      <c r="J18" s="128">
        <v>1559.9999999999454</v>
      </c>
      <c r="K18" s="128">
        <v>1696607.6399999408</v>
      </c>
      <c r="L18" s="138">
        <v>420.00000000007276</v>
      </c>
      <c r="M18" s="140">
        <v>685168.47000011872</v>
      </c>
      <c r="N18" s="122">
        <f t="shared" si="1"/>
        <v>2381776.1100000595</v>
      </c>
      <c r="O18" s="120">
        <f t="shared" si="2"/>
        <v>24437675.429975055</v>
      </c>
      <c r="P18" s="122">
        <f t="shared" si="3"/>
        <v>20659.999999978481</v>
      </c>
      <c r="Q18" s="141">
        <f t="shared" si="4"/>
        <v>525</v>
      </c>
      <c r="R18" s="142">
        <v>176</v>
      </c>
      <c r="S18" s="142">
        <v>3162751.68</v>
      </c>
      <c r="T18" s="134">
        <v>349</v>
      </c>
      <c r="U18" s="134">
        <v>1599187.8</v>
      </c>
      <c r="V18" s="132">
        <f t="shared" si="5"/>
        <v>4761939.4800000004</v>
      </c>
      <c r="W18" s="144">
        <v>51.397280000008202</v>
      </c>
      <c r="X18" s="128"/>
      <c r="Y18" s="125">
        <v>0</v>
      </c>
      <c r="Z18" s="128"/>
      <c r="AA18" s="128"/>
      <c r="AB18" s="128">
        <v>12</v>
      </c>
      <c r="AC18" s="141">
        <f t="shared" si="6"/>
        <v>63.397280000008202</v>
      </c>
      <c r="AD18" s="125">
        <v>661336.58384008333</v>
      </c>
      <c r="AE18" s="129"/>
      <c r="AF18" s="148">
        <v>251.49999999994179</v>
      </c>
      <c r="AG18" s="150">
        <v>0</v>
      </c>
      <c r="AH18" s="149">
        <f t="shared" si="7"/>
        <v>251.49999999994179</v>
      </c>
      <c r="AI18" s="152">
        <v>2188049.9999994934</v>
      </c>
      <c r="AJ18" s="21"/>
    </row>
    <row r="19" spans="1:36" ht="15">
      <c r="A19" s="19"/>
      <c r="B19" s="81">
        <v>13</v>
      </c>
      <c r="C19" s="65">
        <v>30</v>
      </c>
      <c r="D19" s="65">
        <v>313</v>
      </c>
      <c r="E19" s="125">
        <v>15119.999999995343</v>
      </c>
      <c r="F19" s="125">
        <v>16444043.279994937</v>
      </c>
      <c r="G19" s="126">
        <v>3440.0000000023283</v>
      </c>
      <c r="H19" s="127">
        <v>5611856.0400037989</v>
      </c>
      <c r="I19" s="120">
        <f t="shared" si="0"/>
        <v>22055899.319998734</v>
      </c>
      <c r="J19" s="128">
        <v>1800.0000000001819</v>
      </c>
      <c r="K19" s="128">
        <v>1957624.2000001979</v>
      </c>
      <c r="L19" s="138">
        <v>439.99999999994088</v>
      </c>
      <c r="M19" s="140">
        <v>717795.53999990365</v>
      </c>
      <c r="N19" s="122">
        <f t="shared" si="1"/>
        <v>2675419.7400001017</v>
      </c>
      <c r="O19" s="120">
        <f t="shared" si="2"/>
        <v>24731319.059998836</v>
      </c>
      <c r="P19" s="122">
        <f t="shared" si="3"/>
        <v>20799.999999997795</v>
      </c>
      <c r="Q19" s="141">
        <f t="shared" si="4"/>
        <v>554</v>
      </c>
      <c r="R19" s="142">
        <v>192</v>
      </c>
      <c r="S19" s="142">
        <v>3450274.56</v>
      </c>
      <c r="T19" s="134">
        <v>362</v>
      </c>
      <c r="U19" s="134">
        <v>1658756.4</v>
      </c>
      <c r="V19" s="132">
        <f t="shared" si="5"/>
        <v>5109030.96</v>
      </c>
      <c r="W19" s="144">
        <v>60.178319999980062</v>
      </c>
      <c r="X19" s="128">
        <v>250</v>
      </c>
      <c r="Y19" s="125">
        <v>0</v>
      </c>
      <c r="Z19" s="128"/>
      <c r="AA19" s="128"/>
      <c r="AB19" s="128">
        <v>24</v>
      </c>
      <c r="AC19" s="141">
        <f t="shared" si="6"/>
        <v>334.17831999998009</v>
      </c>
      <c r="AD19" s="125">
        <v>3682490.4829597976</v>
      </c>
      <c r="AE19" s="129"/>
      <c r="AF19" s="148">
        <v>71.100000000005821</v>
      </c>
      <c r="AG19" s="150">
        <v>0</v>
      </c>
      <c r="AH19" s="149">
        <f t="shared" si="7"/>
        <v>71.100000000005821</v>
      </c>
      <c r="AI19" s="152">
        <v>618570.00000005064</v>
      </c>
      <c r="AJ19" s="21"/>
    </row>
    <row r="20" spans="1:36" ht="15">
      <c r="A20" s="19"/>
      <c r="B20" s="64">
        <v>14</v>
      </c>
      <c r="C20" s="65">
        <v>49</v>
      </c>
      <c r="D20" s="65">
        <v>386</v>
      </c>
      <c r="E20" s="125">
        <v>16320.000000006985</v>
      </c>
      <c r="F20" s="125">
        <v>17749126.080007598</v>
      </c>
      <c r="G20" s="126">
        <v>3399.9999999978172</v>
      </c>
      <c r="H20" s="127">
        <v>5546601.8999964399</v>
      </c>
      <c r="I20" s="120">
        <f t="shared" si="0"/>
        <v>23295727.980004039</v>
      </c>
      <c r="J20" s="128">
        <v>1879.9999999996544</v>
      </c>
      <c r="K20" s="128">
        <v>2044629.7199996242</v>
      </c>
      <c r="L20" s="138">
        <v>420.00000000007276</v>
      </c>
      <c r="M20" s="140">
        <v>685168.47000011872</v>
      </c>
      <c r="N20" s="122">
        <f t="shared" si="1"/>
        <v>2729798.1899997429</v>
      </c>
      <c r="O20" s="120">
        <f t="shared" si="2"/>
        <v>26025526.170003783</v>
      </c>
      <c r="P20" s="122">
        <f t="shared" si="3"/>
        <v>22020.000000004529</v>
      </c>
      <c r="Q20" s="141">
        <f t="shared" si="4"/>
        <v>525.90000000000146</v>
      </c>
      <c r="R20" s="142">
        <v>168</v>
      </c>
      <c r="S20" s="142">
        <v>3018990.24</v>
      </c>
      <c r="T20" s="134">
        <v>357.90000000000146</v>
      </c>
      <c r="U20" s="134">
        <v>1639969.3800000066</v>
      </c>
      <c r="V20" s="132">
        <f t="shared" si="5"/>
        <v>4658959.6200000066</v>
      </c>
      <c r="W20" s="144">
        <v>61.588120000003514</v>
      </c>
      <c r="X20" s="128"/>
      <c r="Y20" s="125">
        <v>400</v>
      </c>
      <c r="Z20" s="128"/>
      <c r="AA20" s="128"/>
      <c r="AB20" s="128">
        <v>0</v>
      </c>
      <c r="AC20" s="141">
        <f t="shared" si="6"/>
        <v>461.58812000000353</v>
      </c>
      <c r="AD20" s="125">
        <v>5651804.1823600354</v>
      </c>
      <c r="AE20" s="129"/>
      <c r="AF20" s="148">
        <v>95.800000000017462</v>
      </c>
      <c r="AG20" s="150">
        <v>0</v>
      </c>
      <c r="AH20" s="149">
        <f t="shared" si="7"/>
        <v>95.800000000017462</v>
      </c>
      <c r="AI20" s="152">
        <v>833460.00000015192</v>
      </c>
      <c r="AJ20" s="21"/>
    </row>
    <row r="21" spans="1:36" ht="15">
      <c r="A21" s="19"/>
      <c r="B21" s="81">
        <v>15</v>
      </c>
      <c r="C21" s="71">
        <v>49</v>
      </c>
      <c r="D21" s="71">
        <v>401</v>
      </c>
      <c r="E21" s="130">
        <v>16800.000000017462</v>
      </c>
      <c r="F21" s="134">
        <v>18271159.200018991</v>
      </c>
      <c r="G21" s="135">
        <v>3560.0000000013097</v>
      </c>
      <c r="H21" s="135">
        <v>5807618.4600021373</v>
      </c>
      <c r="I21" s="120">
        <f t="shared" si="0"/>
        <v>24078777.660021126</v>
      </c>
      <c r="J21" s="131">
        <v>1760.0000000002183</v>
      </c>
      <c r="K21" s="131">
        <v>1914121.4400002374</v>
      </c>
      <c r="L21" s="131">
        <v>419.99999999995907</v>
      </c>
      <c r="M21" s="134">
        <v>685168.46999993327</v>
      </c>
      <c r="N21" s="122">
        <f t="shared" si="1"/>
        <v>2599289.9100001706</v>
      </c>
      <c r="O21" s="120">
        <f t="shared" si="2"/>
        <v>26678067.570021298</v>
      </c>
      <c r="P21" s="122">
        <f t="shared" si="3"/>
        <v>22540.00000001895</v>
      </c>
      <c r="Q21" s="141">
        <f t="shared" si="4"/>
        <v>555.40000000000146</v>
      </c>
      <c r="R21" s="142">
        <v>189</v>
      </c>
      <c r="S21" s="142">
        <v>3396364.02</v>
      </c>
      <c r="T21" s="134">
        <v>366.40000000000146</v>
      </c>
      <c r="U21" s="134">
        <v>1678918.0800000066</v>
      </c>
      <c r="V21" s="132">
        <f t="shared" si="5"/>
        <v>5075282.1000000071</v>
      </c>
      <c r="W21" s="144">
        <v>105.8155600000164</v>
      </c>
      <c r="X21" s="128"/>
      <c r="Y21" s="125"/>
      <c r="Z21" s="128"/>
      <c r="AA21" s="128"/>
      <c r="AB21" s="128">
        <v>12</v>
      </c>
      <c r="AC21" s="141">
        <f t="shared" si="6"/>
        <v>117.8155600000164</v>
      </c>
      <c r="AD21" s="125">
        <v>1213845.3806801667</v>
      </c>
      <c r="AE21" s="129"/>
      <c r="AF21" s="148">
        <v>337.10000000006403</v>
      </c>
      <c r="AG21" s="150">
        <v>0</v>
      </c>
      <c r="AH21" s="149">
        <f t="shared" si="7"/>
        <v>337.10000000006403</v>
      </c>
      <c r="AI21" s="152">
        <v>2932770.0000005569</v>
      </c>
      <c r="AJ21" s="21"/>
    </row>
    <row r="22" spans="1:36" ht="15">
      <c r="A22" s="19"/>
      <c r="B22" s="64">
        <v>16</v>
      </c>
      <c r="C22" s="71">
        <v>48</v>
      </c>
      <c r="D22" s="71">
        <v>313</v>
      </c>
      <c r="E22" s="130">
        <v>16119.999999995343</v>
      </c>
      <c r="F22" s="134">
        <v>17531612.279994939</v>
      </c>
      <c r="G22" s="135">
        <v>3439.9999999986903</v>
      </c>
      <c r="H22" s="135">
        <v>5611856.0399978645</v>
      </c>
      <c r="I22" s="120">
        <f t="shared" si="0"/>
        <v>23143468.319992803</v>
      </c>
      <c r="J22" s="131">
        <v>1880.0000000001091</v>
      </c>
      <c r="K22" s="131">
        <v>2044629.7200001187</v>
      </c>
      <c r="L22" s="131">
        <v>419.99999999995907</v>
      </c>
      <c r="M22" s="134">
        <v>685168.46999993327</v>
      </c>
      <c r="N22" s="122">
        <f t="shared" si="1"/>
        <v>2729798.1900000521</v>
      </c>
      <c r="O22" s="120">
        <f t="shared" si="2"/>
        <v>25873266.509992857</v>
      </c>
      <c r="P22" s="122">
        <f t="shared" si="3"/>
        <v>21859.999999994103</v>
      </c>
      <c r="Q22" s="141">
        <f t="shared" si="4"/>
        <v>558.59999999999854</v>
      </c>
      <c r="R22" s="142">
        <v>191</v>
      </c>
      <c r="S22" s="142">
        <v>3432304.38</v>
      </c>
      <c r="T22" s="134">
        <v>367.59999999999854</v>
      </c>
      <c r="U22" s="134">
        <v>1684416.7199999932</v>
      </c>
      <c r="V22" s="132">
        <f t="shared" si="5"/>
        <v>5116721.0999999931</v>
      </c>
      <c r="W22" s="144">
        <v>90.7911199999742</v>
      </c>
      <c r="X22" s="128"/>
      <c r="Y22" s="125">
        <v>0</v>
      </c>
      <c r="Z22" s="128"/>
      <c r="AA22" s="128"/>
      <c r="AB22" s="128">
        <v>0</v>
      </c>
      <c r="AC22" s="141">
        <f t="shared" si="6"/>
        <v>90.7911199999742</v>
      </c>
      <c r="AD22" s="125">
        <v>921802.24135973805</v>
      </c>
      <c r="AE22" s="129"/>
      <c r="AF22" s="148">
        <v>250.5000000000291</v>
      </c>
      <c r="AG22" s="150">
        <v>0</v>
      </c>
      <c r="AH22" s="149">
        <f t="shared" si="7"/>
        <v>250.5000000000291</v>
      </c>
      <c r="AI22" s="152">
        <v>2179350.0000002533</v>
      </c>
      <c r="AJ22" s="21"/>
    </row>
    <row r="23" spans="1:36" ht="15">
      <c r="A23" s="19"/>
      <c r="B23" s="81">
        <v>17</v>
      </c>
      <c r="C23" s="71">
        <v>51</v>
      </c>
      <c r="D23" s="71">
        <v>344</v>
      </c>
      <c r="E23" s="130">
        <v>16000</v>
      </c>
      <c r="F23" s="134">
        <v>17401104</v>
      </c>
      <c r="G23" s="135">
        <v>3319.999999999709</v>
      </c>
      <c r="H23" s="135">
        <v>5416093.6199995251</v>
      </c>
      <c r="I23" s="120">
        <f t="shared" si="0"/>
        <v>22817197.619999524</v>
      </c>
      <c r="J23" s="131">
        <v>1799.9999999997272</v>
      </c>
      <c r="K23" s="131">
        <v>1957624.1999997033</v>
      </c>
      <c r="L23" s="131">
        <v>420.00000000007276</v>
      </c>
      <c r="M23" s="134">
        <v>685168.47000011872</v>
      </c>
      <c r="N23" s="122">
        <f t="shared" si="1"/>
        <v>2642792.669999822</v>
      </c>
      <c r="O23" s="120">
        <f t="shared" si="2"/>
        <v>25459990.289999347</v>
      </c>
      <c r="P23" s="122">
        <f t="shared" si="3"/>
        <v>21539.999999999509</v>
      </c>
      <c r="Q23" s="141">
        <f t="shared" si="4"/>
        <v>544</v>
      </c>
      <c r="R23" s="142">
        <v>176</v>
      </c>
      <c r="S23" s="142">
        <v>3162751.68</v>
      </c>
      <c r="T23" s="134">
        <v>368</v>
      </c>
      <c r="U23" s="134">
        <v>1686249.5999999999</v>
      </c>
      <c r="V23" s="132">
        <f t="shared" si="5"/>
        <v>4849001.28</v>
      </c>
      <c r="W23" s="144">
        <v>70.852520000015232</v>
      </c>
      <c r="X23" s="128"/>
      <c r="Y23" s="125">
        <v>0</v>
      </c>
      <c r="Z23" s="128"/>
      <c r="AA23" s="128"/>
      <c r="AB23" s="128">
        <v>0</v>
      </c>
      <c r="AC23" s="141">
        <f t="shared" si="6"/>
        <v>70.852520000015232</v>
      </c>
      <c r="AD23" s="125">
        <v>719365.63556015468</v>
      </c>
      <c r="AE23" s="129"/>
      <c r="AF23" s="148">
        <v>408.29999999987194</v>
      </c>
      <c r="AG23" s="150">
        <v>0</v>
      </c>
      <c r="AH23" s="149">
        <f t="shared" si="7"/>
        <v>408.29999999987194</v>
      </c>
      <c r="AI23" s="152">
        <v>3552209.9999988861</v>
      </c>
      <c r="AJ23" s="21"/>
    </row>
    <row r="24" spans="1:36" ht="15">
      <c r="A24" s="19"/>
      <c r="B24" s="64">
        <v>18</v>
      </c>
      <c r="C24" s="71">
        <v>31</v>
      </c>
      <c r="D24" s="71">
        <v>344</v>
      </c>
      <c r="E24" s="130">
        <v>16959.999999991851</v>
      </c>
      <c r="F24" s="134">
        <v>18445170.23999114</v>
      </c>
      <c r="G24" s="135">
        <v>3440.0000000023283</v>
      </c>
      <c r="H24" s="135">
        <v>5611856.0400037989</v>
      </c>
      <c r="I24" s="120">
        <f t="shared" si="0"/>
        <v>24057026.279994939</v>
      </c>
      <c r="J24" s="131">
        <v>1640.0000000003274</v>
      </c>
      <c r="K24" s="136">
        <v>1783613.1600003561</v>
      </c>
      <c r="L24" s="131">
        <v>439.99999999994088</v>
      </c>
      <c r="M24" s="134">
        <v>717795.53999990365</v>
      </c>
      <c r="N24" s="122">
        <f t="shared" si="1"/>
        <v>2501408.70000026</v>
      </c>
      <c r="O24" s="120">
        <f t="shared" si="2"/>
        <v>26558434.979995199</v>
      </c>
      <c r="P24" s="122">
        <f t="shared" si="3"/>
        <v>22479.999999994448</v>
      </c>
      <c r="Q24" s="141">
        <f t="shared" si="4"/>
        <v>486.90000000000146</v>
      </c>
      <c r="R24" s="142">
        <v>134</v>
      </c>
      <c r="S24" s="142">
        <v>2408004.12</v>
      </c>
      <c r="T24" s="134">
        <v>352.90000000000146</v>
      </c>
      <c r="U24" s="134">
        <v>1617058.3800000066</v>
      </c>
      <c r="V24" s="132">
        <f t="shared" si="5"/>
        <v>4025062.5000000065</v>
      </c>
      <c r="W24" s="144">
        <v>80.801679999990611</v>
      </c>
      <c r="X24" s="128"/>
      <c r="Y24" s="125">
        <v>0</v>
      </c>
      <c r="Z24" s="128"/>
      <c r="AA24" s="128"/>
      <c r="AB24" s="128">
        <v>0</v>
      </c>
      <c r="AC24" s="141">
        <f t="shared" si="6"/>
        <v>80.801679999990611</v>
      </c>
      <c r="AD24" s="125">
        <v>820379.45703990466</v>
      </c>
      <c r="AE24" s="129"/>
      <c r="AF24" s="148">
        <v>42.400000000052387</v>
      </c>
      <c r="AG24" s="150">
        <v>0</v>
      </c>
      <c r="AH24" s="149">
        <f t="shared" si="7"/>
        <v>42.400000000052387</v>
      </c>
      <c r="AI24" s="152">
        <v>368880.00000045577</v>
      </c>
      <c r="AJ24" s="21"/>
    </row>
    <row r="25" spans="1:36" ht="15">
      <c r="A25" s="19"/>
      <c r="B25" s="81">
        <v>19</v>
      </c>
      <c r="C25" s="71">
        <v>16</v>
      </c>
      <c r="D25" s="71">
        <v>176</v>
      </c>
      <c r="E25" s="130">
        <v>15160.000000003492</v>
      </c>
      <c r="F25" s="134">
        <v>16487546.040003797</v>
      </c>
      <c r="G25" s="135">
        <v>3239.9999999979627</v>
      </c>
      <c r="H25" s="135">
        <v>5285585.3399966769</v>
      </c>
      <c r="I25" s="120">
        <f t="shared" si="0"/>
        <v>21773131.380000472</v>
      </c>
      <c r="J25" s="131">
        <v>1839.9999999996908</v>
      </c>
      <c r="K25" s="131">
        <v>2001126.9599996638</v>
      </c>
      <c r="L25" s="131">
        <v>440.00000000005457</v>
      </c>
      <c r="M25" s="134">
        <v>717795.54000008909</v>
      </c>
      <c r="N25" s="122">
        <f t="shared" si="1"/>
        <v>2718922.4999997527</v>
      </c>
      <c r="O25" s="120">
        <f t="shared" si="2"/>
        <v>24492053.880000226</v>
      </c>
      <c r="P25" s="122">
        <f t="shared" si="3"/>
        <v>20680.000000001201</v>
      </c>
      <c r="Q25" s="141">
        <f t="shared" si="4"/>
        <v>353.5</v>
      </c>
      <c r="R25" s="142">
        <v>172</v>
      </c>
      <c r="S25" s="142">
        <v>3090870.96</v>
      </c>
      <c r="T25" s="134">
        <v>181.5</v>
      </c>
      <c r="U25" s="134">
        <v>831669.29999999993</v>
      </c>
      <c r="V25" s="132">
        <f t="shared" si="5"/>
        <v>3922540.26</v>
      </c>
      <c r="W25" s="144">
        <v>70.489999999999995</v>
      </c>
      <c r="X25" s="128">
        <v>250</v>
      </c>
      <c r="Y25" s="125">
        <v>0</v>
      </c>
      <c r="Z25" s="128"/>
      <c r="AA25" s="128"/>
      <c r="AB25" s="128">
        <v>0</v>
      </c>
      <c r="AC25" s="141">
        <f t="shared" si="6"/>
        <v>320.49</v>
      </c>
      <c r="AD25" s="125">
        <v>3508184.9699999997</v>
      </c>
      <c r="AE25" s="129"/>
      <c r="AF25" s="148">
        <v>46.199999999953434</v>
      </c>
      <c r="AG25" s="150">
        <v>0</v>
      </c>
      <c r="AH25" s="149">
        <f t="shared" si="7"/>
        <v>46.199999999953434</v>
      </c>
      <c r="AI25" s="152">
        <v>401939.99999959487</v>
      </c>
      <c r="AJ25" s="21"/>
    </row>
    <row r="26" spans="1:36" ht="15">
      <c r="A26" s="19"/>
      <c r="B26" s="64">
        <v>20</v>
      </c>
      <c r="C26" s="71">
        <v>11</v>
      </c>
      <c r="D26" s="71">
        <v>161</v>
      </c>
      <c r="E26" s="130">
        <v>14519.999999989523</v>
      </c>
      <c r="F26" s="134">
        <v>15791501.879988605</v>
      </c>
      <c r="G26" s="135">
        <v>2880.0000000010186</v>
      </c>
      <c r="H26" s="135">
        <v>4698298.0800016625</v>
      </c>
      <c r="I26" s="120">
        <f t="shared" si="0"/>
        <v>20489799.959990267</v>
      </c>
      <c r="J26" s="131">
        <v>1720.0000000002547</v>
      </c>
      <c r="K26" s="131">
        <v>1870618.680000277</v>
      </c>
      <c r="L26" s="131">
        <v>399.99999999997726</v>
      </c>
      <c r="M26" s="134">
        <v>652541.399999963</v>
      </c>
      <c r="N26" s="122">
        <f t="shared" si="1"/>
        <v>2523160.0800002399</v>
      </c>
      <c r="O26" s="120">
        <f t="shared" si="2"/>
        <v>23012960.039990507</v>
      </c>
      <c r="P26" s="122">
        <f t="shared" si="3"/>
        <v>19519.999999990774</v>
      </c>
      <c r="Q26" s="141">
        <f t="shared" si="4"/>
        <v>527</v>
      </c>
      <c r="R26" s="142">
        <v>161</v>
      </c>
      <c r="S26" s="142">
        <v>2893198.98</v>
      </c>
      <c r="T26" s="134">
        <v>366</v>
      </c>
      <c r="U26" s="134">
        <v>1677085.2</v>
      </c>
      <c r="V26" s="132">
        <f t="shared" si="5"/>
        <v>4570284.18</v>
      </c>
      <c r="W26" s="144">
        <v>74.517999999999986</v>
      </c>
      <c r="X26" s="128"/>
      <c r="Y26" s="125">
        <v>400</v>
      </c>
      <c r="Z26" s="128"/>
      <c r="AA26" s="128"/>
      <c r="AB26" s="128">
        <v>24</v>
      </c>
      <c r="AC26" s="141">
        <f t="shared" si="6"/>
        <v>498.51799999999997</v>
      </c>
      <c r="AD26" s="125">
        <v>6062081.2539999997</v>
      </c>
      <c r="AE26" s="129"/>
      <c r="AF26" s="148">
        <v>118.50000000005821</v>
      </c>
      <c r="AG26" s="150">
        <v>0</v>
      </c>
      <c r="AH26" s="149">
        <f t="shared" si="7"/>
        <v>118.50000000005821</v>
      </c>
      <c r="AI26" s="152">
        <v>1030950.0000005064</v>
      </c>
      <c r="AJ26" s="21"/>
    </row>
    <row r="27" spans="1:36" ht="15">
      <c r="A27" s="19"/>
      <c r="B27" s="81">
        <v>21</v>
      </c>
      <c r="C27" s="65">
        <v>12</v>
      </c>
      <c r="D27" s="65">
        <v>222</v>
      </c>
      <c r="E27" s="125">
        <v>13559.999999997672</v>
      </c>
      <c r="F27" s="125">
        <v>14747435.639997469</v>
      </c>
      <c r="G27" s="126">
        <v>2680.000000000291</v>
      </c>
      <c r="H27" s="127">
        <v>4372027.3800004749</v>
      </c>
      <c r="I27" s="120">
        <f t="shared" si="0"/>
        <v>19119463.019997943</v>
      </c>
      <c r="J27" s="128">
        <v>1319.999999999709</v>
      </c>
      <c r="K27" s="128">
        <v>1435591.0799996837</v>
      </c>
      <c r="L27" s="138">
        <v>360.00000000001364</v>
      </c>
      <c r="M27" s="140">
        <v>587287.26000002236</v>
      </c>
      <c r="N27" s="122">
        <f t="shared" si="1"/>
        <v>2022878.339999706</v>
      </c>
      <c r="O27" s="120">
        <f t="shared" si="2"/>
        <v>21142341.359997649</v>
      </c>
      <c r="P27" s="122">
        <f t="shared" si="3"/>
        <v>17919.999999997686</v>
      </c>
      <c r="Q27" s="141">
        <f t="shared" si="4"/>
        <v>395.5</v>
      </c>
      <c r="R27" s="142">
        <v>33</v>
      </c>
      <c r="S27" s="142">
        <v>593015.94000000006</v>
      </c>
      <c r="T27" s="134">
        <v>362.5</v>
      </c>
      <c r="U27" s="134">
        <v>1661047.5</v>
      </c>
      <c r="V27" s="132">
        <f t="shared" si="5"/>
        <v>2254063.44</v>
      </c>
      <c r="W27" s="144">
        <v>71.577560000016405</v>
      </c>
      <c r="X27" s="128"/>
      <c r="Y27" s="125">
        <v>0</v>
      </c>
      <c r="Z27" s="128"/>
      <c r="AA27" s="128"/>
      <c r="AB27" s="128">
        <v>12</v>
      </c>
      <c r="AC27" s="141">
        <f t="shared" si="6"/>
        <v>83.577560000016405</v>
      </c>
      <c r="AD27" s="125">
        <v>866226.96668016654</v>
      </c>
      <c r="AE27" s="129"/>
      <c r="AF27" s="148">
        <v>129.4999999999709</v>
      </c>
      <c r="AG27" s="150">
        <v>0</v>
      </c>
      <c r="AH27" s="149">
        <f t="shared" si="7"/>
        <v>129.4999999999709</v>
      </c>
      <c r="AI27" s="152">
        <v>1126649.9999997467</v>
      </c>
      <c r="AJ27" s="21"/>
    </row>
    <row r="28" spans="1:36" ht="15">
      <c r="A28" s="19"/>
      <c r="B28" s="64">
        <v>22</v>
      </c>
      <c r="C28" s="65">
        <v>19</v>
      </c>
      <c r="D28" s="65">
        <v>224</v>
      </c>
      <c r="E28" s="125">
        <v>13559.999999997672</v>
      </c>
      <c r="F28" s="125">
        <v>14747435.639997469</v>
      </c>
      <c r="G28" s="126">
        <v>2920.0000000018917</v>
      </c>
      <c r="H28" s="127">
        <v>4763552.2200030871</v>
      </c>
      <c r="I28" s="120">
        <f t="shared" si="0"/>
        <v>19510987.860000558</v>
      </c>
      <c r="J28" s="128">
        <v>2060.0000000004002</v>
      </c>
      <c r="K28" s="128">
        <v>2240392.1400004351</v>
      </c>
      <c r="L28" s="138">
        <v>399.99999999997726</v>
      </c>
      <c r="M28" s="140">
        <v>652541.399999963</v>
      </c>
      <c r="N28" s="122">
        <f t="shared" si="1"/>
        <v>2892933.5400003982</v>
      </c>
      <c r="O28" s="120">
        <f t="shared" si="2"/>
        <v>22403921.400000956</v>
      </c>
      <c r="P28" s="122">
        <f t="shared" si="3"/>
        <v>18939.999999999942</v>
      </c>
      <c r="Q28" s="141">
        <f t="shared" si="4"/>
        <v>481</v>
      </c>
      <c r="R28" s="142">
        <v>115</v>
      </c>
      <c r="S28" s="142">
        <v>2066570.7</v>
      </c>
      <c r="T28" s="134">
        <v>366</v>
      </c>
      <c r="U28" s="134">
        <v>1677085.2</v>
      </c>
      <c r="V28" s="132">
        <f t="shared" si="5"/>
        <v>3743655.9</v>
      </c>
      <c r="W28" s="144">
        <v>74.31659999998827</v>
      </c>
      <c r="X28" s="128"/>
      <c r="Y28" s="125">
        <v>0</v>
      </c>
      <c r="Z28" s="128"/>
      <c r="AA28" s="128"/>
      <c r="AB28" s="128">
        <v>0</v>
      </c>
      <c r="AC28" s="141">
        <f t="shared" si="6"/>
        <v>74.31659999998827</v>
      </c>
      <c r="AD28" s="125">
        <v>754536.43979988096</v>
      </c>
      <c r="AE28" s="129"/>
      <c r="AF28" s="148">
        <v>108.69999999995343</v>
      </c>
      <c r="AG28" s="150">
        <v>0</v>
      </c>
      <c r="AH28" s="149">
        <f t="shared" si="7"/>
        <v>108.69999999995343</v>
      </c>
      <c r="AI28" s="152">
        <v>945689.99999959487</v>
      </c>
      <c r="AJ28" s="21"/>
    </row>
    <row r="29" spans="1:36" ht="15">
      <c r="A29" s="19"/>
      <c r="B29" s="81">
        <v>23</v>
      </c>
      <c r="C29" s="65">
        <v>18</v>
      </c>
      <c r="D29" s="65">
        <v>178</v>
      </c>
      <c r="E29" s="125">
        <v>13200.000000011642</v>
      </c>
      <c r="F29" s="125">
        <v>14355910.800012661</v>
      </c>
      <c r="G29" s="126">
        <v>2839.9999999965075</v>
      </c>
      <c r="H29" s="127">
        <v>4633043.9399943026</v>
      </c>
      <c r="I29" s="120">
        <f t="shared" si="0"/>
        <v>18988954.740006965</v>
      </c>
      <c r="J29" s="128">
        <v>1539.9999999999636</v>
      </c>
      <c r="K29" s="128">
        <v>1674856.2599999604</v>
      </c>
      <c r="L29" s="138">
        <v>379.99999999999545</v>
      </c>
      <c r="M29" s="140">
        <v>619914.32999999262</v>
      </c>
      <c r="N29" s="122">
        <f t="shared" si="1"/>
        <v>2294770.5899999533</v>
      </c>
      <c r="O29" s="120">
        <f t="shared" si="2"/>
        <v>21283725.33000692</v>
      </c>
      <c r="P29" s="122">
        <f t="shared" si="3"/>
        <v>17960.000000008109</v>
      </c>
      <c r="Q29" s="141">
        <f t="shared" si="4"/>
        <v>489</v>
      </c>
      <c r="R29" s="142">
        <v>126</v>
      </c>
      <c r="S29" s="142">
        <v>2264242.6800000002</v>
      </c>
      <c r="T29" s="134">
        <v>363</v>
      </c>
      <c r="U29" s="134">
        <v>1663338.5999999999</v>
      </c>
      <c r="V29" s="132">
        <f t="shared" si="5"/>
        <v>3927581.2800000003</v>
      </c>
      <c r="W29" s="144">
        <v>74.517999999999986</v>
      </c>
      <c r="X29" s="128"/>
      <c r="Y29" s="125">
        <v>0</v>
      </c>
      <c r="Z29" s="128"/>
      <c r="AA29" s="128"/>
      <c r="AB29" s="128">
        <v>24</v>
      </c>
      <c r="AC29" s="141">
        <f t="shared" si="6"/>
        <v>98.517999999999986</v>
      </c>
      <c r="AD29" s="125">
        <v>1035581.2539999998</v>
      </c>
      <c r="AE29" s="129"/>
      <c r="AF29" s="148">
        <v>826.20000000009895</v>
      </c>
      <c r="AG29" s="150">
        <v>50</v>
      </c>
      <c r="AH29" s="149">
        <f t="shared" si="7"/>
        <v>876.20000000009895</v>
      </c>
      <c r="AI29" s="152">
        <v>7622940.0000008605</v>
      </c>
      <c r="AJ29" s="21"/>
    </row>
    <row r="30" spans="1:36" ht="15">
      <c r="A30" s="19"/>
      <c r="B30" s="64">
        <v>24</v>
      </c>
      <c r="C30" s="65">
        <v>19</v>
      </c>
      <c r="D30" s="65">
        <v>173</v>
      </c>
      <c r="E30" s="125">
        <v>14359.99999998603</v>
      </c>
      <c r="F30" s="125">
        <v>15617490.839984806</v>
      </c>
      <c r="G30" s="126">
        <v>2840.0000000001455</v>
      </c>
      <c r="H30" s="127">
        <v>4633043.9400002379</v>
      </c>
      <c r="I30" s="120">
        <f t="shared" si="0"/>
        <v>20250534.779985044</v>
      </c>
      <c r="J30" s="128">
        <v>1439.9999999995998</v>
      </c>
      <c r="K30" s="128">
        <v>1566099.3599995649</v>
      </c>
      <c r="L30" s="138">
        <v>360.00000000001364</v>
      </c>
      <c r="M30" s="140">
        <v>587287.26000002236</v>
      </c>
      <c r="N30" s="122">
        <f t="shared" si="1"/>
        <v>2153386.6199995875</v>
      </c>
      <c r="O30" s="120">
        <f t="shared" si="2"/>
        <v>22403921.399984632</v>
      </c>
      <c r="P30" s="122">
        <f t="shared" si="3"/>
        <v>18999.99999998579</v>
      </c>
      <c r="Q30" s="141">
        <f t="shared" si="4"/>
        <v>358</v>
      </c>
      <c r="R30" s="142">
        <v>0</v>
      </c>
      <c r="S30" s="142">
        <v>0</v>
      </c>
      <c r="T30" s="134">
        <v>358</v>
      </c>
      <c r="U30" s="134">
        <v>1640427.5999999999</v>
      </c>
      <c r="V30" s="132">
        <f t="shared" si="5"/>
        <v>1640427.5999999999</v>
      </c>
      <c r="W30" s="144">
        <v>61.708959999998818</v>
      </c>
      <c r="X30" s="128"/>
      <c r="Y30" s="125">
        <v>0</v>
      </c>
      <c r="Z30" s="128"/>
      <c r="AA30" s="128"/>
      <c r="AB30" s="128">
        <v>0</v>
      </c>
      <c r="AC30" s="141">
        <f t="shared" si="6"/>
        <v>61.708959999998818</v>
      </c>
      <c r="AD30" s="125">
        <v>626531.07087998802</v>
      </c>
      <c r="AE30" s="129"/>
      <c r="AF30" s="148">
        <v>711.39999999999418</v>
      </c>
      <c r="AG30" s="150">
        <v>19.699999999999704</v>
      </c>
      <c r="AH30" s="149">
        <f t="shared" si="7"/>
        <v>731.09999999999388</v>
      </c>
      <c r="AI30" s="152">
        <v>6360569.9999999469</v>
      </c>
      <c r="AJ30" s="21"/>
    </row>
    <row r="31" spans="1:36" ht="15">
      <c r="A31" s="19"/>
      <c r="B31" s="81">
        <v>25</v>
      </c>
      <c r="C31" s="65">
        <v>24</v>
      </c>
      <c r="D31" s="65">
        <v>186</v>
      </c>
      <c r="E31" s="125">
        <v>13480.000000010477</v>
      </c>
      <c r="F31" s="125">
        <v>14660430.120011395</v>
      </c>
      <c r="G31" s="126">
        <v>2680.000000000291</v>
      </c>
      <c r="H31" s="127">
        <v>4372027.3800004749</v>
      </c>
      <c r="I31" s="120">
        <f t="shared" si="0"/>
        <v>19032457.500011869</v>
      </c>
      <c r="J31" s="128">
        <v>1460.0000000000364</v>
      </c>
      <c r="K31" s="128">
        <v>1587850.7400000396</v>
      </c>
      <c r="L31" s="138">
        <v>360.00000000001364</v>
      </c>
      <c r="M31" s="140">
        <v>587287.26000002236</v>
      </c>
      <c r="N31" s="122">
        <f t="shared" si="1"/>
        <v>2175138.0000000619</v>
      </c>
      <c r="O31" s="120">
        <f t="shared" si="2"/>
        <v>21207595.500011932</v>
      </c>
      <c r="P31" s="122">
        <f t="shared" si="3"/>
        <v>17980.000000010819</v>
      </c>
      <c r="Q31" s="141">
        <f t="shared" si="4"/>
        <v>364</v>
      </c>
      <c r="R31" s="142">
        <v>0</v>
      </c>
      <c r="S31" s="142">
        <v>0</v>
      </c>
      <c r="T31" s="134">
        <v>364</v>
      </c>
      <c r="U31" s="134">
        <v>1667920.8</v>
      </c>
      <c r="V31" s="132">
        <f t="shared" si="5"/>
        <v>1667920.8</v>
      </c>
      <c r="W31" s="144">
        <v>75.565280000008201</v>
      </c>
      <c r="X31" s="128">
        <v>250</v>
      </c>
      <c r="Y31" s="125">
        <v>0</v>
      </c>
      <c r="Z31" s="128"/>
      <c r="AA31" s="128"/>
      <c r="AB31" s="128">
        <v>0</v>
      </c>
      <c r="AC31" s="141">
        <f t="shared" si="6"/>
        <v>325.56528000000822</v>
      </c>
      <c r="AD31" s="125">
        <v>3559714.2878400832</v>
      </c>
      <c r="AE31" s="129"/>
      <c r="AF31" s="148">
        <v>538.09999999997672</v>
      </c>
      <c r="AG31" s="150">
        <v>0</v>
      </c>
      <c r="AH31" s="149">
        <f t="shared" si="7"/>
        <v>538.09999999997672</v>
      </c>
      <c r="AI31" s="152">
        <v>4681469.999999797</v>
      </c>
      <c r="AJ31" s="21"/>
    </row>
    <row r="32" spans="1:36" ht="15">
      <c r="A32" s="19"/>
      <c r="B32" s="64">
        <v>26</v>
      </c>
      <c r="C32" s="65">
        <v>19</v>
      </c>
      <c r="D32" s="65">
        <v>299</v>
      </c>
      <c r="E32" s="125">
        <v>13440.000000002328</v>
      </c>
      <c r="F32" s="125">
        <v>14616927.360002533</v>
      </c>
      <c r="G32" s="126">
        <v>2920.0000000018917</v>
      </c>
      <c r="H32" s="127">
        <v>4763552.2200030871</v>
      </c>
      <c r="I32" s="120">
        <f t="shared" si="0"/>
        <v>19380479.58000562</v>
      </c>
      <c r="J32" s="128">
        <v>1620.0000000003456</v>
      </c>
      <c r="K32" s="128">
        <v>1761861.7800003758</v>
      </c>
      <c r="L32" s="138">
        <v>379.99999999999545</v>
      </c>
      <c r="M32" s="140">
        <v>619914.32999999262</v>
      </c>
      <c r="N32" s="122">
        <f t="shared" si="1"/>
        <v>2381776.1100003682</v>
      </c>
      <c r="O32" s="120">
        <f t="shared" si="2"/>
        <v>21762255.690005988</v>
      </c>
      <c r="P32" s="122">
        <f t="shared" si="3"/>
        <v>18360.000000004562</v>
      </c>
      <c r="Q32" s="141">
        <f t="shared" si="4"/>
        <v>225.80000000000291</v>
      </c>
      <c r="R32" s="142">
        <v>0</v>
      </c>
      <c r="S32" s="142">
        <v>0</v>
      </c>
      <c r="T32" s="134">
        <v>225.80000000000291</v>
      </c>
      <c r="U32" s="134">
        <v>1034660.7600000133</v>
      </c>
      <c r="V32" s="132">
        <f t="shared" si="5"/>
        <v>1034660.7600000133</v>
      </c>
      <c r="W32" s="144">
        <v>74.034639999989437</v>
      </c>
      <c r="X32" s="128"/>
      <c r="Y32" s="125">
        <v>400</v>
      </c>
      <c r="Z32" s="128"/>
      <c r="AA32" s="128"/>
      <c r="AB32" s="128">
        <v>12</v>
      </c>
      <c r="AC32" s="141">
        <f t="shared" si="6"/>
        <v>486.03463999998945</v>
      </c>
      <c r="AD32" s="125">
        <v>5917673.6999198925</v>
      </c>
      <c r="AE32" s="129"/>
      <c r="AF32" s="148">
        <v>554.79999999995925</v>
      </c>
      <c r="AG32" s="150">
        <v>0</v>
      </c>
      <c r="AH32" s="149">
        <f t="shared" si="7"/>
        <v>554.79999999995925</v>
      </c>
      <c r="AI32" s="152">
        <v>4826759.9999996452</v>
      </c>
      <c r="AJ32" s="21"/>
    </row>
    <row r="33" spans="1:36" ht="15">
      <c r="A33" s="19"/>
      <c r="B33" s="81">
        <v>27</v>
      </c>
      <c r="C33" s="65">
        <v>13</v>
      </c>
      <c r="D33" s="65">
        <v>229</v>
      </c>
      <c r="E33" s="125">
        <v>13320.000000006985</v>
      </c>
      <c r="F33" s="125">
        <v>14486419.080007596</v>
      </c>
      <c r="G33" s="126">
        <v>2559.9999999976717</v>
      </c>
      <c r="H33" s="127">
        <v>4176264.959996202</v>
      </c>
      <c r="I33" s="120">
        <f t="shared" si="0"/>
        <v>18662684.040003799</v>
      </c>
      <c r="J33" s="128">
        <v>1699.9999999998181</v>
      </c>
      <c r="K33" s="128">
        <v>1848867.2999998024</v>
      </c>
      <c r="L33" s="138">
        <v>419.99999999995907</v>
      </c>
      <c r="M33" s="140">
        <v>685168.46999993327</v>
      </c>
      <c r="N33" s="122">
        <f t="shared" si="1"/>
        <v>2534035.7699997355</v>
      </c>
      <c r="O33" s="120">
        <f t="shared" si="2"/>
        <v>21196719.810003534</v>
      </c>
      <c r="P33" s="122">
        <f t="shared" si="3"/>
        <v>18000.000000004435</v>
      </c>
      <c r="Q33" s="141">
        <f t="shared" si="4"/>
        <v>223</v>
      </c>
      <c r="R33" s="142">
        <v>37</v>
      </c>
      <c r="S33" s="142">
        <v>664896.66</v>
      </c>
      <c r="T33" s="134">
        <v>186</v>
      </c>
      <c r="U33" s="134">
        <v>852289.2</v>
      </c>
      <c r="V33" s="132">
        <f t="shared" si="5"/>
        <v>1517185.8599999999</v>
      </c>
      <c r="W33" s="144">
        <v>63.642400000011719</v>
      </c>
      <c r="X33" s="128"/>
      <c r="Y33" s="125">
        <v>0</v>
      </c>
      <c r="Z33" s="128"/>
      <c r="AA33" s="128"/>
      <c r="AB33" s="128">
        <v>24</v>
      </c>
      <c r="AC33" s="141">
        <f t="shared" si="6"/>
        <v>87.642400000011719</v>
      </c>
      <c r="AD33" s="125">
        <v>925161.287200119</v>
      </c>
      <c r="AE33" s="129"/>
      <c r="AF33" s="148">
        <v>539.70000000001164</v>
      </c>
      <c r="AG33" s="150">
        <v>0</v>
      </c>
      <c r="AH33" s="149">
        <f t="shared" si="7"/>
        <v>539.70000000001164</v>
      </c>
      <c r="AI33" s="152">
        <v>4695390.0000001015</v>
      </c>
      <c r="AJ33" s="21"/>
    </row>
    <row r="34" spans="1:36" ht="15">
      <c r="A34" s="19"/>
      <c r="B34" s="64">
        <v>28</v>
      </c>
      <c r="C34" s="65">
        <v>16</v>
      </c>
      <c r="D34" s="65">
        <v>301</v>
      </c>
      <c r="E34" s="125">
        <v>13679.999999993015</v>
      </c>
      <c r="F34" s="125">
        <v>14877943.919992402</v>
      </c>
      <c r="G34" s="126">
        <v>3000</v>
      </c>
      <c r="H34" s="127">
        <v>4894060.5</v>
      </c>
      <c r="I34" s="120">
        <f t="shared" si="0"/>
        <v>19772004.419992402</v>
      </c>
      <c r="J34" s="128">
        <v>1760.0000000002183</v>
      </c>
      <c r="K34" s="128">
        <v>1914121.4400002374</v>
      </c>
      <c r="L34" s="138">
        <v>440.00000000005457</v>
      </c>
      <c r="M34" s="140">
        <v>717795.54000008909</v>
      </c>
      <c r="N34" s="122">
        <f t="shared" si="1"/>
        <v>2631916.9800003264</v>
      </c>
      <c r="O34" s="120">
        <f t="shared" si="2"/>
        <v>22403921.399992727</v>
      </c>
      <c r="P34" s="122">
        <f t="shared" si="3"/>
        <v>18879.999999993288</v>
      </c>
      <c r="Q34" s="141">
        <f t="shared" si="4"/>
        <v>223</v>
      </c>
      <c r="R34" s="142">
        <v>26</v>
      </c>
      <c r="S34" s="142">
        <v>467224.68</v>
      </c>
      <c r="T34" s="134">
        <v>197</v>
      </c>
      <c r="U34" s="134">
        <v>902693.39999999991</v>
      </c>
      <c r="V34" s="132">
        <f t="shared" si="5"/>
        <v>1369918.0799999998</v>
      </c>
      <c r="W34" s="144">
        <v>61.708959999998818</v>
      </c>
      <c r="X34" s="128"/>
      <c r="Y34" s="125">
        <v>0</v>
      </c>
      <c r="Z34" s="128"/>
      <c r="AA34" s="128"/>
      <c r="AB34" s="128">
        <v>12</v>
      </c>
      <c r="AC34" s="141">
        <f t="shared" si="6"/>
        <v>73.708959999998825</v>
      </c>
      <c r="AD34" s="125">
        <v>766031.07087998802</v>
      </c>
      <c r="AE34" s="129"/>
      <c r="AF34" s="148">
        <v>458.20000000006985</v>
      </c>
      <c r="AG34" s="150">
        <v>0</v>
      </c>
      <c r="AH34" s="149">
        <f t="shared" si="7"/>
        <v>458.20000000006985</v>
      </c>
      <c r="AI34" s="152">
        <v>3986340.0000006077</v>
      </c>
      <c r="AJ34" s="21"/>
    </row>
    <row r="35" spans="1:36" ht="15">
      <c r="A35" s="19"/>
      <c r="B35" s="81">
        <v>29</v>
      </c>
      <c r="C35" s="65">
        <v>13</v>
      </c>
      <c r="D35" s="65">
        <v>203</v>
      </c>
      <c r="E35" s="125">
        <v>14480.000000010477</v>
      </c>
      <c r="F35" s="125">
        <v>15747999.120011395</v>
      </c>
      <c r="G35" s="126">
        <v>2880.0000000010186</v>
      </c>
      <c r="H35" s="127">
        <v>4698298.0800016625</v>
      </c>
      <c r="I35" s="120">
        <f t="shared" si="0"/>
        <v>20446297.200013056</v>
      </c>
      <c r="J35" s="128">
        <v>1739.9999999997817</v>
      </c>
      <c r="K35" s="128">
        <v>1892370.0599997626</v>
      </c>
      <c r="L35" s="138">
        <v>399.99999999997726</v>
      </c>
      <c r="M35" s="140">
        <v>652541.399999963</v>
      </c>
      <c r="N35" s="122">
        <f t="shared" si="1"/>
        <v>2544911.4599997257</v>
      </c>
      <c r="O35" s="120">
        <f t="shared" si="2"/>
        <v>22991208.660012782</v>
      </c>
      <c r="P35" s="122">
        <f t="shared" si="3"/>
        <v>19500.000000011256</v>
      </c>
      <c r="Q35" s="141">
        <f t="shared" si="4"/>
        <v>371</v>
      </c>
      <c r="R35" s="142">
        <v>187</v>
      </c>
      <c r="S35" s="142">
        <v>3360423.66</v>
      </c>
      <c r="T35" s="134">
        <v>184</v>
      </c>
      <c r="U35" s="134">
        <v>843124.79999999993</v>
      </c>
      <c r="V35" s="132">
        <f t="shared" si="5"/>
        <v>4203548.46</v>
      </c>
      <c r="W35" s="144">
        <v>74.96108000000234</v>
      </c>
      <c r="X35" s="128"/>
      <c r="Y35" s="125">
        <v>0</v>
      </c>
      <c r="Z35" s="128"/>
      <c r="AA35" s="128"/>
      <c r="AB35" s="128">
        <v>12</v>
      </c>
      <c r="AC35" s="141">
        <f t="shared" si="6"/>
        <v>86.96108000000234</v>
      </c>
      <c r="AD35" s="125">
        <v>900579.8452400238</v>
      </c>
      <c r="AE35" s="129"/>
      <c r="AF35" s="148">
        <v>376.9999999999709</v>
      </c>
      <c r="AG35" s="150">
        <v>0</v>
      </c>
      <c r="AH35" s="149">
        <f t="shared" si="7"/>
        <v>376.9999999999709</v>
      </c>
      <c r="AI35" s="152">
        <v>3279899.9999997467</v>
      </c>
      <c r="AJ35" s="21"/>
    </row>
    <row r="36" spans="1:36" ht="15">
      <c r="A36" s="19"/>
      <c r="B36" s="64">
        <v>30</v>
      </c>
      <c r="C36" s="65">
        <v>17</v>
      </c>
      <c r="D36" s="65">
        <v>148</v>
      </c>
      <c r="E36" s="125">
        <v>14239.999999990687</v>
      </c>
      <c r="F36" s="125">
        <v>15486982.559989871</v>
      </c>
      <c r="G36" s="126">
        <v>3080.0000000017462</v>
      </c>
      <c r="H36" s="127">
        <v>5024568.7800028492</v>
      </c>
      <c r="I36" s="120">
        <f t="shared" si="0"/>
        <v>20511551.339992721</v>
      </c>
      <c r="J36" s="128">
        <v>1760.0000000002183</v>
      </c>
      <c r="K36" s="128">
        <v>1914121.4400002374</v>
      </c>
      <c r="L36" s="138">
        <v>399.99999999997726</v>
      </c>
      <c r="M36" s="140">
        <v>652541.399999963</v>
      </c>
      <c r="N36" s="122">
        <f t="shared" si="1"/>
        <v>2566662.8400002006</v>
      </c>
      <c r="O36" s="120">
        <f t="shared" si="2"/>
        <v>23078214.179992922</v>
      </c>
      <c r="P36" s="122">
        <f t="shared" si="3"/>
        <v>19479.999999992629</v>
      </c>
      <c r="Q36" s="141">
        <f t="shared" si="4"/>
        <v>396</v>
      </c>
      <c r="R36" s="142">
        <v>207</v>
      </c>
      <c r="S36" s="142">
        <v>3719827.2600000002</v>
      </c>
      <c r="T36" s="134">
        <v>189</v>
      </c>
      <c r="U36" s="134">
        <v>866035.79999999993</v>
      </c>
      <c r="V36" s="132">
        <f t="shared" si="5"/>
        <v>4585863.0600000005</v>
      </c>
      <c r="W36" s="144">
        <v>69.321879999996483</v>
      </c>
      <c r="X36" s="128"/>
      <c r="Y36" s="125">
        <v>0</v>
      </c>
      <c r="Z36" s="128"/>
      <c r="AA36" s="128"/>
      <c r="AB36" s="128">
        <v>36</v>
      </c>
      <c r="AC36" s="141">
        <f t="shared" si="6"/>
        <v>105.32187999999648</v>
      </c>
      <c r="AD36" s="125">
        <v>1680825.0476399641</v>
      </c>
      <c r="AE36" s="129"/>
      <c r="AF36" s="148">
        <v>395.80000000001746</v>
      </c>
      <c r="AG36" s="150">
        <v>0</v>
      </c>
      <c r="AH36" s="149">
        <f t="shared" si="7"/>
        <v>395.80000000001746</v>
      </c>
      <c r="AI36" s="152">
        <v>3443460.0000001518</v>
      </c>
      <c r="AJ36" s="21"/>
    </row>
    <row r="37" spans="1:36" ht="15">
      <c r="A37" s="19"/>
      <c r="B37" s="81">
        <v>31</v>
      </c>
      <c r="C37" s="65">
        <v>18</v>
      </c>
      <c r="D37" s="65">
        <v>180</v>
      </c>
      <c r="E37" s="125">
        <v>22519.999999989523</v>
      </c>
      <c r="F37" s="125">
        <v>24492053.879988603</v>
      </c>
      <c r="G37" s="126">
        <v>2919.9999999982538</v>
      </c>
      <c r="H37" s="127">
        <v>4763552.2199971518</v>
      </c>
      <c r="I37" s="120">
        <f t="shared" si="0"/>
        <v>29255606.099985756</v>
      </c>
      <c r="J37" s="128">
        <v>3019.9999999999818</v>
      </c>
      <c r="K37" s="128">
        <v>3284458.3799999803</v>
      </c>
      <c r="L37" s="138">
        <v>420.00000000007276</v>
      </c>
      <c r="M37" s="140">
        <v>685168.47000011872</v>
      </c>
      <c r="N37" s="122">
        <f t="shared" si="1"/>
        <v>3969626.8500000993</v>
      </c>
      <c r="O37" s="120">
        <f t="shared" si="2"/>
        <v>33225232.949985854</v>
      </c>
      <c r="P37" s="122">
        <f t="shared" si="3"/>
        <v>28879.999999987831</v>
      </c>
      <c r="Q37" s="141">
        <f t="shared" si="4"/>
        <v>395</v>
      </c>
      <c r="R37" s="142">
        <v>197</v>
      </c>
      <c r="S37" s="142">
        <v>3540125.46</v>
      </c>
      <c r="T37" s="134">
        <v>198</v>
      </c>
      <c r="U37" s="134">
        <v>907275.6</v>
      </c>
      <c r="V37" s="132">
        <f t="shared" si="5"/>
        <v>4447401.0599999996</v>
      </c>
      <c r="W37" s="144">
        <v>77.659839999995299</v>
      </c>
      <c r="X37" s="128">
        <v>250</v>
      </c>
      <c r="Y37" s="125">
        <v>400</v>
      </c>
      <c r="Z37" s="128"/>
      <c r="AA37" s="128"/>
      <c r="AB37" s="128">
        <v>0</v>
      </c>
      <c r="AC37" s="141">
        <f t="shared" si="6"/>
        <v>727.65983999999526</v>
      </c>
      <c r="AD37" s="125">
        <v>8048980.3555199523</v>
      </c>
      <c r="AE37" s="129"/>
      <c r="AF37" s="148">
        <v>544.4999999999709</v>
      </c>
      <c r="AG37" s="150">
        <v>0</v>
      </c>
      <c r="AH37" s="149">
        <f t="shared" si="7"/>
        <v>544.4999999999709</v>
      </c>
      <c r="AI37" s="152">
        <v>4737149.9999997467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63"/>
      <c r="D42" s="163"/>
      <c r="E42" s="164"/>
      <c r="F42" s="165"/>
      <c r="G42" s="166"/>
      <c r="H42" s="165"/>
      <c r="I42" s="166"/>
      <c r="J42" s="166"/>
      <c r="K42" s="166"/>
      <c r="L42" s="165"/>
      <c r="M42" s="167"/>
      <c r="N42" s="168"/>
      <c r="O42" s="166"/>
      <c r="P42" s="168"/>
      <c r="Q42" s="169"/>
      <c r="R42" s="170"/>
      <c r="S42" s="166"/>
      <c r="T42" s="166"/>
      <c r="U42" s="166"/>
      <c r="V42" s="166"/>
      <c r="W42" s="171"/>
      <c r="X42" s="165"/>
      <c r="Y42" s="171"/>
      <c r="Z42" s="171"/>
      <c r="AA42" s="171"/>
      <c r="AB42" s="171"/>
      <c r="AC42" s="171"/>
      <c r="AD42" s="165"/>
      <c r="AE42" s="172"/>
      <c r="AF42" s="172"/>
      <c r="AG42" s="172"/>
      <c r="AH42" s="172"/>
      <c r="AI42" s="173"/>
    </row>
    <row r="43" spans="1:36">
      <c r="A43" s="33"/>
      <c r="B43" s="162"/>
      <c r="C43" s="153">
        <f>SUM(C7:C37)</f>
        <v>1107</v>
      </c>
      <c r="D43" s="153">
        <f t="shared" ref="D43:L43" si="8">SUM(D7:D37)</f>
        <v>11246</v>
      </c>
      <c r="E43" s="154">
        <f t="shared" si="8"/>
        <v>481559.99999999767</v>
      </c>
      <c r="F43" s="154">
        <f t="shared" si="8"/>
        <v>523729727.63999754</v>
      </c>
      <c r="G43" s="154">
        <f t="shared" si="8"/>
        <v>101599.99999999854</v>
      </c>
      <c r="H43" s="154">
        <f t="shared" si="8"/>
        <v>165745515.59999764</v>
      </c>
      <c r="I43" s="154">
        <f t="shared" si="8"/>
        <v>689475243.23999524</v>
      </c>
      <c r="J43" s="154">
        <f t="shared" si="8"/>
        <v>55560.000000000393</v>
      </c>
      <c r="K43" s="154">
        <f t="shared" si="8"/>
        <v>60425333.640000425</v>
      </c>
      <c r="L43" s="154">
        <f t="shared" si="8"/>
        <v>13120.000000000015</v>
      </c>
      <c r="M43" s="154">
        <f>SUM(M7:M37)</f>
        <v>21403357.920000002</v>
      </c>
      <c r="N43" s="154">
        <f>SUM(N7:N37)</f>
        <v>81828691.560000435</v>
      </c>
      <c r="O43" s="155">
        <f>SUM(O7:O37)</f>
        <v>771303934.79999554</v>
      </c>
      <c r="P43" s="155">
        <f>SUM(P7:P37)</f>
        <v>651839.99999999662</v>
      </c>
      <c r="Q43" s="156">
        <f t="shared" ref="Q43:AI43" si="9">SUM(Q7:Q37)</f>
        <v>13358.700000000004</v>
      </c>
      <c r="R43" s="154">
        <f t="shared" si="9"/>
        <v>4638</v>
      </c>
      <c r="S43" s="154">
        <f t="shared" si="9"/>
        <v>83345694.840000018</v>
      </c>
      <c r="T43" s="154">
        <f t="shared" si="9"/>
        <v>8720.7000000000044</v>
      </c>
      <c r="U43" s="154">
        <f t="shared" si="9"/>
        <v>39959991.540000021</v>
      </c>
      <c r="V43" s="157">
        <f>SUM(V8:V38)</f>
        <v>117479820.18000001</v>
      </c>
      <c r="W43" s="158">
        <f t="shared" si="9"/>
        <v>2215.7222400000069</v>
      </c>
      <c r="X43" s="154">
        <f t="shared" si="9"/>
        <v>1500</v>
      </c>
      <c r="Y43" s="154">
        <f t="shared" si="9"/>
        <v>2400</v>
      </c>
      <c r="Z43" s="154">
        <f t="shared" si="9"/>
        <v>0</v>
      </c>
      <c r="AA43" s="154">
        <f t="shared" si="9"/>
        <v>0</v>
      </c>
      <c r="AB43" s="154">
        <f t="shared" si="9"/>
        <v>312</v>
      </c>
      <c r="AC43" s="159">
        <f t="shared" si="9"/>
        <v>6427.7222400000082</v>
      </c>
      <c r="AD43" s="159">
        <f t="shared" si="9"/>
        <v>73037227.902720094</v>
      </c>
      <c r="AE43" s="160">
        <f>SUM(AE8:AE39)</f>
        <v>0</v>
      </c>
      <c r="AF43" s="154">
        <f t="shared" si="9"/>
        <v>7276.9000000000233</v>
      </c>
      <c r="AG43" s="154">
        <f t="shared" si="9"/>
        <v>1685.3000000000002</v>
      </c>
      <c r="AH43" s="161">
        <f t="shared" si="9"/>
        <v>8962.2000000000226</v>
      </c>
      <c r="AI43" s="161">
        <f t="shared" si="9"/>
        <v>77971140.000000209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1183.2718685567004</v>
      </c>
      <c r="Q45" s="43"/>
      <c r="R45" s="43"/>
      <c r="S45" s="43"/>
      <c r="T45" s="36"/>
      <c r="U45" s="36"/>
      <c r="V45" s="43">
        <f>V43/Q43</f>
        <v>8794.2554425206017</v>
      </c>
      <c r="W45" s="43"/>
      <c r="X45" s="36"/>
      <c r="Y45" s="43"/>
      <c r="Z45" s="43"/>
      <c r="AA45" s="43"/>
      <c r="AB45" s="43"/>
      <c r="AC45" s="36"/>
      <c r="AD45" s="36">
        <f>AD43/AC43</f>
        <v>11362.847549355212</v>
      </c>
      <c r="AE45" s="40"/>
      <c r="AF45" s="40"/>
      <c r="AG45" s="40"/>
      <c r="AH45" s="40"/>
      <c r="AI45" s="43">
        <f>AI43/AH43</f>
        <v>8700.0000000000018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2023-02-27T03:19:25Z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