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15" documentId="11_00C1ED7558031DD21EA57FA15018ADAF4A1ED64B" xr6:coauthVersionLast="47" xr6:coauthVersionMax="47" xr10:uidLastSave="{288A577B-F845-441D-B360-542C9DD2AE3D}"/>
  <bookViews>
    <workbookView xWindow="0" yWindow="0" windowWidth="28800" windowHeight="12435" firstSheet="1" xr2:uid="{00000000-000D-0000-FFFF-FFFF00000000}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K27" i="3" l="1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<sst xmlns="http://schemas.openxmlformats.org/spreadsheetml/2006/main" count="108" uniqueCount="39">
  <si>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</si>
  <si>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</si>
  <si>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</si>
  <si>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</si>
  <si>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</si>
  <si>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</si>
  <si>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</si>
  <si>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</si>
  <si>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</si>
  <si>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</si>
  <si>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</si>
  <si>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</si>
  <si>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</si>
  <si>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</si>
  <si>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</si>
  <si>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</si>
  <si>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</si>
  <si>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</si>
  <si>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</si>
  <si>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</si>
  <si>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JANUARY'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</si>
  <si>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</si>
  <si>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</si>
  <si>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</si>
  <si>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</si>
  <si>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</si>
  <si>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</si>
  <si>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</si>
  <si>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</si>
  <si>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</si>
  <si>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</si>
  <si>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</si>
  <si>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</si>
  <si>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</si>
  <si>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</si>
  <si>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</si>
  <si>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</si>
  <si>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31/12/22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</si>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</sst>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4" workbookViewId="0">
      <selection activeCell="L28" sqref="L28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1</v>
      </c>
      <c r="D2">
        <v>2022</v>
      </c>
      <c r="E2" s="4">
        <f>'01 - 2023'!B8-'01 - 2023'!B7+'01 - 2023'!C8-'01 - 2023'!C7</f>
        <v>9478</v>
      </c>
      <c r="F2">
        <v>0.11799999999999999</v>
      </c>
      <c r="G2" s="4">
        <f>'01 - 2023'!D8-'01 - 2023'!D7+'01 - 2023'!E8-'01 - 2023'!E7</f>
        <v>25.549999999999272</v>
      </c>
      <c r="H2">
        <v>0.99</v>
      </c>
      <c r="I2" s="4">
        <f>'01 - 2023'!J8-'01 - 2023'!J7</f>
        <v>14240</v>
      </c>
      <c r="J2">
        <v>8.1000000000000003E-2</v>
      </c>
      <c r="K2" s="16">
        <f>'01 - 2023'!H8-'01 - 2023'!H7</f>
        <v>0</v>
      </c>
      <c r="L2" s="4">
        <f>'01 - 2023'!I8-'01 - 2023'!I7</f>
        <v>123</v>
      </c>
      <c r="M2" s="1">
        <v>4.393629424766913</v>
      </c>
      <c r="N2" s="11">
        <v>89</v>
      </c>
    </row>
    <row r="3" spans="1:15">
      <c r="A3" t="s">
        <v>13</v>
      </c>
      <c r="B3">
        <f>B2+1</f>
        <v>2</v>
      </c>
      <c r="C3">
        <v>1</v>
      </c>
      <c r="D3">
        <v>2022</v>
      </c>
      <c r="E3" s="4">
        <f>'01 - 2023'!B9-'01 - 2023'!B8+'01 - 2023'!C9-'01 - 2023'!C8</f>
        <v>9837</v>
      </c>
      <c r="F3">
        <v>0.11799999999999999</v>
      </c>
      <c r="G3" s="4">
        <f>'01 - 2023'!D9-'01 - 2023'!D8+'01 - 2023'!E9-'01 - 2023'!E8</f>
        <v>25.850000000000364</v>
      </c>
      <c r="H3">
        <v>0.99</v>
      </c>
      <c r="I3" s="4">
        <f>'01 - 2023'!J9-'01 - 2023'!J8</f>
        <v>14622</v>
      </c>
      <c r="J3">
        <v>8.1000000000000003E-2</v>
      </c>
      <c r="K3" s="16">
        <f>'01 - 2023'!H9-'01 - 2023'!H8</f>
        <v>0</v>
      </c>
      <c r="L3" s="4">
        <f>'01 - 2023'!I9-'01 - 2023'!I8</f>
        <v>106</v>
      </c>
      <c r="M3" s="1">
        <v>4.393629424766913</v>
      </c>
      <c r="N3" s="30">
        <v>67</v>
      </c>
    </row>
    <row r="4" spans="1:15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'01 - 2023'!B10-'01 - 2023'!B9+'01 - 2023'!C10-'01 - 2023'!C9</f>
        <v>9554</v>
      </c>
      <c r="F4">
        <v>0.11799999999999999</v>
      </c>
      <c r="G4" s="4">
        <f>'01 - 2023'!D10-'01 - 2023'!D9+'01 - 2023'!E10-'01 - 2023'!E9</f>
        <v>25.659999999999854</v>
      </c>
      <c r="H4">
        <v>0.99</v>
      </c>
      <c r="I4" s="4">
        <f>'01 - 2023'!J10-'01 - 2023'!J9</f>
        <v>13330</v>
      </c>
      <c r="J4">
        <v>8.1000000000000003E-2</v>
      </c>
      <c r="K4" s="16">
        <f>'01 - 2023'!H10-'01 - 2023'!H9</f>
        <v>0</v>
      </c>
      <c r="L4" s="4">
        <f>'01 - 2023'!I10-'01 - 2023'!I9</f>
        <v>105</v>
      </c>
      <c r="M4" s="1">
        <v>4.393629424766913</v>
      </c>
      <c r="N4" s="11">
        <v>58</v>
      </c>
    </row>
    <row r="5" spans="1:15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'01 - 2023'!B11-'01 - 2023'!B10+'01 - 2023'!C11-'01 - 2023'!C10</f>
        <v>9251</v>
      </c>
      <c r="F5">
        <v>0.11799999999999999</v>
      </c>
      <c r="G5" s="4">
        <f>'01 - 2023'!D11-'01 - 2023'!D10+'01 - 2023'!E11-'01 - 2023'!E10</f>
        <v>20.679999999999382</v>
      </c>
      <c r="H5">
        <v>0.99</v>
      </c>
      <c r="I5" s="4">
        <f>'01 - 2023'!J11-'01 - 2023'!J10</f>
        <v>12737</v>
      </c>
      <c r="J5">
        <v>8.1000000000000003E-2</v>
      </c>
      <c r="K5" s="16">
        <f>'01 - 2023'!H11-'01 - 2023'!H10</f>
        <v>0</v>
      </c>
      <c r="L5" s="4">
        <f>'01 - 2023'!I11-'01 - 2023'!I10</f>
        <v>96</v>
      </c>
      <c r="M5" s="1">
        <v>4.393629424766913</v>
      </c>
      <c r="N5" s="11">
        <v>57</v>
      </c>
    </row>
    <row r="6" spans="1:15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'01 - 2023'!B12-'01 - 2023'!B11+'01 - 2023'!C12-'01 - 2023'!C11</f>
        <v>9768</v>
      </c>
      <c r="F6">
        <v>0.11799999999999999</v>
      </c>
      <c r="G6" s="4">
        <f>'01 - 2023'!D12-'01 - 2023'!D11+'01 - 2023'!E12-'01 - 2023'!E11</f>
        <v>18.659999999999854</v>
      </c>
      <c r="H6">
        <v>0.99</v>
      </c>
      <c r="I6" s="4">
        <f>'01 - 2023'!J12-'01 - 2023'!J11</f>
        <v>12985</v>
      </c>
      <c r="J6">
        <v>8.1000000000000003E-2</v>
      </c>
      <c r="K6" s="16">
        <f>'01 - 2023'!H12-'01 - 2023'!H11</f>
        <v>0</v>
      </c>
      <c r="L6" s="4">
        <f>'01 - 2023'!I12-'01 - 2023'!I11</f>
        <v>105</v>
      </c>
      <c r="M6" s="1">
        <v>4.393629424766913</v>
      </c>
      <c r="N6" s="11">
        <v>64</v>
      </c>
    </row>
    <row r="7" spans="1:15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'01 - 2023'!B13-'01 - 2023'!B12+'01 - 2023'!C13-'01 - 2023'!C12</f>
        <v>9500.4100000000326</v>
      </c>
      <c r="F7">
        <v>0.11799999999999999</v>
      </c>
      <c r="G7" s="4">
        <f>'01 - 2023'!D13-'01 - 2023'!D12+'01 - 2023'!E13-'01 - 2023'!E12</f>
        <v>21.490000000000691</v>
      </c>
      <c r="H7">
        <v>0.99</v>
      </c>
      <c r="I7" s="4">
        <f>'01 - 2023'!J13-'01 - 2023'!J12</f>
        <v>13512</v>
      </c>
      <c r="J7">
        <v>8.1000000000000003E-2</v>
      </c>
      <c r="K7" s="16">
        <f>'01 - 2023'!H13-'01 - 2023'!H12</f>
        <v>0</v>
      </c>
      <c r="L7" s="4">
        <f>'01 - 2023'!I13-'01 - 2023'!I12</f>
        <v>104</v>
      </c>
      <c r="M7" s="1">
        <v>4.393629424766913</v>
      </c>
      <c r="N7" s="11">
        <v>100</v>
      </c>
    </row>
    <row r="8" spans="1:15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'01 - 2023'!B14-'01 - 2023'!B13+'01 - 2023'!C14-'01 - 2023'!C13</f>
        <v>10150.089999999967</v>
      </c>
      <c r="F8">
        <v>0.11799999999999999</v>
      </c>
      <c r="G8" s="4">
        <f>'01 - 2023'!D14-'01 - 2023'!D13+'01 - 2023'!E14-'01 - 2023'!E13</f>
        <v>29.059999999999491</v>
      </c>
      <c r="H8">
        <v>0.99</v>
      </c>
      <c r="I8" s="4">
        <f>'01 - 2023'!J14-'01 - 2023'!J13</f>
        <v>13643</v>
      </c>
      <c r="J8">
        <v>8.1000000000000003E-2</v>
      </c>
      <c r="K8" s="16">
        <f>'01 - 2023'!H14-'01 - 2023'!H13</f>
        <v>0</v>
      </c>
      <c r="L8" s="4">
        <f>'01 - 2023'!I14-'01 - 2023'!I13</f>
        <v>114</v>
      </c>
      <c r="M8" s="1">
        <v>4.393629424766913</v>
      </c>
      <c r="N8" s="11">
        <v>99</v>
      </c>
      <c r="O8" s="4"/>
    </row>
    <row r="9" spans="1:15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'01 - 2023'!B15-'01 - 2023'!B14+'01 - 2023'!C15-'01 - 2023'!C14</f>
        <v>9523</v>
      </c>
      <c r="F9">
        <v>0.11799999999999999</v>
      </c>
      <c r="G9" s="4">
        <f>'01 - 2023'!D15-'01 - 2023'!D14+'01 - 2023'!E15-'01 - 2023'!E14</f>
        <v>26.920000000000073</v>
      </c>
      <c r="H9">
        <v>0.99</v>
      </c>
      <c r="I9" s="4">
        <f>'01 - 2023'!J15-'01 - 2023'!J14</f>
        <v>11654</v>
      </c>
      <c r="J9">
        <v>8.1000000000000003E-2</v>
      </c>
      <c r="K9" s="16">
        <f>'01 - 2023'!H15-'01 - 2023'!H14</f>
        <v>0</v>
      </c>
      <c r="L9" s="4">
        <f>'01 - 2023'!I15-'01 - 2023'!I14</f>
        <v>112</v>
      </c>
      <c r="M9" s="1">
        <v>4.393629424766913</v>
      </c>
      <c r="N9" s="11">
        <v>88</v>
      </c>
    </row>
    <row r="10" spans="1:15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'01 - 2023'!B16-'01 - 2023'!B15+'01 - 2023'!C16-'01 - 2023'!C15</f>
        <v>9732.3000000000466</v>
      </c>
      <c r="F10">
        <v>0.11799999999999999</v>
      </c>
      <c r="G10" s="4">
        <f>'01 - 2023'!D16-'01 - 2023'!D15+'01 - 2023'!E16-'01 - 2023'!E15</f>
        <v>27</v>
      </c>
      <c r="H10">
        <v>0.99</v>
      </c>
      <c r="I10" s="4">
        <f>'01 - 2023'!J16-'01 - 2023'!J15</f>
        <v>12478</v>
      </c>
      <c r="J10">
        <v>8.1000000000000003E-2</v>
      </c>
      <c r="K10" s="16">
        <f>'01 - 2023'!H16-'01 - 2023'!H15</f>
        <v>0</v>
      </c>
      <c r="L10" s="4">
        <f>'01 - 2023'!I16-'01 - 2023'!I15</f>
        <v>107</v>
      </c>
      <c r="M10" s="1">
        <v>4.393629424766913</v>
      </c>
      <c r="N10" s="11">
        <v>102</v>
      </c>
    </row>
    <row r="11" spans="1:15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'01 - 2023'!B17-'01 - 2023'!B16+'01 - 2023'!C17-'01 - 2023'!C16</f>
        <v>9017.6999999999534</v>
      </c>
      <c r="F11">
        <v>0.11799999999999999</v>
      </c>
      <c r="G11" s="4">
        <f>'01 - 2023'!D17-'01 - 2023'!D16+'01 - 2023'!E17-'01 - 2023'!E16</f>
        <v>21.340000000000146</v>
      </c>
      <c r="H11">
        <v>0.99</v>
      </c>
      <c r="I11" s="4">
        <f>'01 - 2023'!J17-'01 - 2023'!J16</f>
        <v>11892</v>
      </c>
      <c r="J11">
        <v>8.1000000000000003E-2</v>
      </c>
      <c r="K11" s="16">
        <f>'01 - 2023'!H17-'01 - 2023'!H16</f>
        <v>0</v>
      </c>
      <c r="L11" s="4">
        <f>'01 - 2023'!I17-'01 - 2023'!I16</f>
        <v>109</v>
      </c>
      <c r="M11" s="1">
        <v>4.393629424766913</v>
      </c>
      <c r="N11" s="11">
        <v>97</v>
      </c>
    </row>
    <row r="12" spans="1:15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'01 - 2023'!B18-'01 - 2023'!B17+'01 - 2023'!C18-'01 - 2023'!C17</f>
        <v>9218.0999999999767</v>
      </c>
      <c r="F12">
        <v>0.11799999999999999</v>
      </c>
      <c r="G12" s="4">
        <f>'01 - 2023'!D18-'01 - 2023'!D17+'01 - 2023'!E18-'01 - 2023'!E17</f>
        <v>25.520000000000437</v>
      </c>
      <c r="H12">
        <v>0.99</v>
      </c>
      <c r="I12" s="4">
        <f>'01 - 2023'!J18-'01 - 2023'!J17</f>
        <v>12848</v>
      </c>
      <c r="J12">
        <v>8.1000000000000003E-2</v>
      </c>
      <c r="K12" s="16">
        <f>'01 - 2023'!H18-'01 - 2023'!H17</f>
        <v>0</v>
      </c>
      <c r="L12" s="4">
        <f>'01 - 2023'!I18-'01 - 2023'!I17</f>
        <v>113</v>
      </c>
      <c r="M12" s="1">
        <v>4.393629424766913</v>
      </c>
      <c r="N12" s="11">
        <v>88</v>
      </c>
    </row>
    <row r="13" spans="1:15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'01 - 2023'!B19-'01 - 2023'!B18+'01 - 2023'!C19-'01 - 2023'!C18</f>
        <v>9677.5</v>
      </c>
      <c r="F13">
        <v>0.11799999999999999</v>
      </c>
      <c r="G13" s="4">
        <f>'01 - 2023'!D19-'01 - 2023'!D18+'01 - 2023'!E19-'01 - 2023'!E18</f>
        <v>28.419999999999163</v>
      </c>
      <c r="H13">
        <v>0.99</v>
      </c>
      <c r="I13" s="4">
        <f>'01 - 2023'!J19-'01 - 2023'!J18</f>
        <v>12097</v>
      </c>
      <c r="J13">
        <v>8.1000000000000003E-2</v>
      </c>
      <c r="K13" s="16">
        <f>'01 - 2023'!H19-'01 - 2023'!H18</f>
        <v>0</v>
      </c>
      <c r="L13" s="4">
        <f>'01 - 2023'!I19-'01 - 2023'!I18</f>
        <v>108</v>
      </c>
      <c r="M13" s="1">
        <v>4.393629424766913</v>
      </c>
      <c r="N13" s="11">
        <v>87</v>
      </c>
    </row>
    <row r="14" spans="1:15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'01 - 2023'!B20-'01 - 2023'!B19+'01 - 2023'!C20-'01 - 2023'!C19</f>
        <v>9280</v>
      </c>
      <c r="F14">
        <v>0.11799999999999999</v>
      </c>
      <c r="G14" s="4">
        <f>'01 - 2023'!D20-'01 - 2023'!D19+'01 - 2023'!E20-'01 - 2023'!E19</f>
        <v>24.600000000000364</v>
      </c>
      <c r="H14">
        <v>0.99</v>
      </c>
      <c r="I14" s="4">
        <f>'01 - 2023'!J20-'01 - 2023'!J19</f>
        <v>11258</v>
      </c>
      <c r="J14">
        <v>8.1000000000000003E-2</v>
      </c>
      <c r="K14" s="16">
        <f>'01 - 2023'!H20-'01 - 2023'!H19</f>
        <v>0</v>
      </c>
      <c r="L14" s="4">
        <f>'01 - 2023'!I20-'01 - 2023'!I19</f>
        <v>117</v>
      </c>
      <c r="M14" s="1">
        <v>4.393629424766913</v>
      </c>
      <c r="N14" s="11">
        <v>95</v>
      </c>
      <c r="O14" s="4"/>
    </row>
    <row r="15" spans="1:15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'01 - 2023'!B21-'01 - 2023'!B20+'01 - 2023'!C21-'01 - 2023'!C20</f>
        <v>9779.8000000000466</v>
      </c>
      <c r="F15">
        <v>0.11799999999999999</v>
      </c>
      <c r="G15" s="4">
        <f>'01 - 2023'!D21-'01 - 2023'!D20+'01 - 2023'!E21-'01 - 2023'!E20</f>
        <v>28.630000000000109</v>
      </c>
      <c r="H15">
        <v>0.99</v>
      </c>
      <c r="I15" s="4">
        <f>'01 - 2023'!J21-'01 - 2023'!J20</f>
        <v>11322</v>
      </c>
      <c r="J15">
        <v>8.1000000000000003E-2</v>
      </c>
      <c r="K15" s="16">
        <f>'01 - 2023'!H21-'01 - 2023'!H20</f>
        <v>0</v>
      </c>
      <c r="L15" s="4">
        <f>'01 - 2023'!I21-'01 - 2023'!I20</f>
        <v>119</v>
      </c>
      <c r="M15" s="1">
        <v>4.393629424766913</v>
      </c>
      <c r="N15" s="11">
        <v>85</v>
      </c>
    </row>
    <row r="16" spans="1:15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'01 - 2023'!B22-'01 - 2023'!B21+'01 - 2023'!C22-'01 - 2023'!C21</f>
        <v>9417.4000000000233</v>
      </c>
      <c r="F16">
        <v>0.11799999999999999</v>
      </c>
      <c r="G16" s="4">
        <f>'01 - 2023'!D22-'01 - 2023'!D21+'01 - 2023'!E22-'01 - 2023'!E21</f>
        <v>25.419999999999163</v>
      </c>
      <c r="H16">
        <v>0.99</v>
      </c>
      <c r="I16" s="4">
        <f>'01 - 2023'!J22-'01 - 2023'!J21</f>
        <v>11000</v>
      </c>
      <c r="J16">
        <v>8.1000000000000003E-2</v>
      </c>
      <c r="K16" s="16">
        <f>'01 - 2023'!H22-'01 - 2023'!H21</f>
        <v>0</v>
      </c>
      <c r="L16" s="4">
        <f>'01 - 2023'!I22-'01 - 2023'!I21</f>
        <v>107</v>
      </c>
      <c r="M16" s="1">
        <v>4.393629424766913</v>
      </c>
      <c r="N16" s="11">
        <v>65</v>
      </c>
    </row>
    <row r="17" spans="1:16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'01 - 2023'!B23-'01 - 2023'!B22+'01 - 2023'!C23-'01 - 2023'!C22</f>
        <v>9337.6999999999534</v>
      </c>
      <c r="F17">
        <v>0.11799999999999999</v>
      </c>
      <c r="G17" s="4">
        <f>'01 - 2023'!D23-'01 - 2023'!D22+'01 - 2023'!E23-'01 - 2023'!E22</f>
        <v>25.8700000000008</v>
      </c>
      <c r="H17">
        <v>0.99</v>
      </c>
      <c r="I17" s="4">
        <f>'01 - 2023'!J23-'01 - 2023'!J22</f>
        <v>12132</v>
      </c>
      <c r="J17">
        <v>8.1000000000000003E-2</v>
      </c>
      <c r="K17" s="16">
        <f>'01 - 2023'!H23-'01 - 2023'!H22</f>
        <v>0</v>
      </c>
      <c r="L17" s="4">
        <f>'01 - 2023'!I23-'01 - 2023'!I22</f>
        <v>102</v>
      </c>
      <c r="M17" s="1">
        <v>4.393629424766913</v>
      </c>
      <c r="N17" s="11">
        <v>87</v>
      </c>
    </row>
    <row r="18" spans="1:16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'01 - 2023'!B24-'01 - 2023'!B23+'01 - 2023'!C24-'01 - 2023'!C23</f>
        <v>9222.6999999999534</v>
      </c>
      <c r="F18">
        <v>0.11799999999999999</v>
      </c>
      <c r="G18" s="4">
        <f>'01 - 2023'!D24-'01 - 2023'!D23+'01 - 2023'!E24-'01 - 2023'!E23</f>
        <v>22.299999999999272</v>
      </c>
      <c r="H18">
        <v>0.99</v>
      </c>
      <c r="I18" s="4">
        <f>'01 - 2023'!J24-'01 - 2023'!J23</f>
        <v>12092</v>
      </c>
      <c r="J18">
        <v>8.1000000000000003E-2</v>
      </c>
      <c r="K18" s="16">
        <f>'01 - 2023'!H24-'01 - 2023'!H23</f>
        <v>0</v>
      </c>
      <c r="L18" s="4">
        <f>'01 - 2023'!I24-'01 - 2023'!I23</f>
        <v>112</v>
      </c>
      <c r="M18" s="1">
        <v>4.393629424766913</v>
      </c>
      <c r="N18" s="11">
        <v>90</v>
      </c>
    </row>
    <row r="19" spans="1:16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'01 - 2023'!B25-'01 - 2023'!B24+'01 - 2023'!C25-'01 - 2023'!C24</f>
        <v>9097</v>
      </c>
      <c r="F19">
        <v>0.11799999999999999</v>
      </c>
      <c r="G19" s="4">
        <f>'01 - 2023'!D25-'01 - 2023'!D24+'01 - 2023'!E25-'01 - 2023'!E24</f>
        <v>24.9399999999996</v>
      </c>
      <c r="H19">
        <v>0.99</v>
      </c>
      <c r="I19" s="4">
        <f>'01 - 2023'!J25-'01 - 2023'!J24</f>
        <v>12692</v>
      </c>
      <c r="J19">
        <v>8.1000000000000003E-2</v>
      </c>
      <c r="K19" s="16">
        <f>'01 - 2023'!H25-'01 - 2023'!H24</f>
        <v>0</v>
      </c>
      <c r="L19" s="4">
        <f>'01 - 2023'!I25-'01 - 2023'!I24</f>
        <v>102</v>
      </c>
      <c r="M19" s="1">
        <v>4.393629424766913</v>
      </c>
      <c r="N19" s="11">
        <v>94</v>
      </c>
    </row>
    <row r="20" spans="1:16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'01 - 2023'!B26-'01 - 2023'!B25+'01 - 2023'!C26-'01 - 2023'!C25</f>
        <v>9783.5</v>
      </c>
      <c r="F20">
        <v>0.11799999999999999</v>
      </c>
      <c r="G20" s="4">
        <f>'01 - 2023'!D26-'01 - 2023'!D25+'01 - 2023'!E26-'01 - 2023'!E25</f>
        <v>27.940000000000509</v>
      </c>
      <c r="H20">
        <v>0.99</v>
      </c>
      <c r="I20" s="4">
        <f>'01 - 2023'!J26-'01 - 2023'!J25</f>
        <v>13140</v>
      </c>
      <c r="J20">
        <v>8.1000000000000003E-2</v>
      </c>
      <c r="K20" s="16">
        <f>'01 - 2023'!H26-'01 - 2023'!H25</f>
        <v>0</v>
      </c>
      <c r="L20" s="4">
        <f>'01 - 2023'!I26-'01 - 2023'!I25</f>
        <v>114</v>
      </c>
      <c r="M20" s="1">
        <v>4.393629424766913</v>
      </c>
      <c r="N20" s="11">
        <v>101</v>
      </c>
    </row>
    <row r="21" spans="1:16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'01 - 2023'!B27-'01 - 2023'!B26+'01 - 2023'!C27-'01 - 2023'!C26</f>
        <v>10054.800000000047</v>
      </c>
      <c r="F21">
        <v>0.11799999999999999</v>
      </c>
      <c r="G21" s="4">
        <f>'01 - 2023'!D27-'01 - 2023'!D26+'01 - 2023'!E27-'01 - 2023'!E26</f>
        <v>27.710000000000036</v>
      </c>
      <c r="H21">
        <v>0.99</v>
      </c>
      <c r="I21" s="4">
        <f>'01 - 2023'!J27-'01 - 2023'!J26</f>
        <v>12136</v>
      </c>
      <c r="J21">
        <v>8.1000000000000003E-2</v>
      </c>
      <c r="K21" s="16">
        <f>'01 - 2023'!H27-'01 - 2023'!H26</f>
        <v>0</v>
      </c>
      <c r="L21" s="4">
        <f>'01 - 2023'!I27-'01 - 2023'!I26</f>
        <v>112</v>
      </c>
      <c r="M21" s="1">
        <v>4.393629424766913</v>
      </c>
      <c r="N21" s="30">
        <v>100</v>
      </c>
    </row>
    <row r="22" spans="1:16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'01 - 2023'!B28-'01 - 2023'!B27+'01 - 2023'!C28-'01 - 2023'!C27</f>
        <v>10763.800000000047</v>
      </c>
      <c r="F22">
        <v>0.11799999999999999</v>
      </c>
      <c r="G22" s="4">
        <f>'01 - 2023'!D28-'01 - 2023'!D27+'01 - 2023'!E28-'01 - 2023'!E27</f>
        <v>27.220000000000255</v>
      </c>
      <c r="H22">
        <v>0.99</v>
      </c>
      <c r="I22" s="4">
        <f>'01 - 2023'!J28-'01 - 2023'!J27</f>
        <v>11417</v>
      </c>
      <c r="J22">
        <v>8.1000000000000003E-2</v>
      </c>
      <c r="K22" s="16">
        <f>'01 - 2023'!H28-'01 - 2023'!H27</f>
        <v>0</v>
      </c>
      <c r="L22" s="4">
        <f>'01 - 2023'!I28-'01 - 2023'!I27</f>
        <v>112</v>
      </c>
      <c r="M22" s="1">
        <v>4.393629424766913</v>
      </c>
      <c r="N22" s="11">
        <v>87</v>
      </c>
    </row>
    <row r="23" spans="1:16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'01 - 2023'!B29-'01 - 2023'!B28+'01 - 2023'!C29-'01 - 2023'!C28</f>
        <v>9039.1999999999534</v>
      </c>
      <c r="F23">
        <v>0.11799999999999999</v>
      </c>
      <c r="G23" s="4">
        <f>'01 - 2023'!D29-'01 - 2023'!D28+'01 - 2023'!E29-'01 - 2023'!E28</f>
        <v>24.949999999999818</v>
      </c>
      <c r="H23">
        <v>0.99</v>
      </c>
      <c r="I23" s="4">
        <f>'01 - 2023'!J29-'01 - 2023'!J28</f>
        <v>11694</v>
      </c>
      <c r="J23">
        <v>8.1000000000000003E-2</v>
      </c>
      <c r="K23" s="16">
        <f>'01 - 2023'!H29-'01 - 2023'!H28</f>
        <v>0</v>
      </c>
      <c r="L23" s="4">
        <f>'01 - 2023'!I29-'01 - 2023'!I28</f>
        <v>106</v>
      </c>
      <c r="M23" s="1">
        <v>4.393629424766913</v>
      </c>
      <c r="N23" s="11">
        <v>78</v>
      </c>
    </row>
    <row r="24" spans="1:16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'01 - 2023'!B30-'01 - 2023'!B29+'01 - 2023'!C30-'01 - 2023'!C29</f>
        <v>9472.5</v>
      </c>
      <c r="F24">
        <v>0.11799999999999999</v>
      </c>
      <c r="G24" s="4">
        <f>'01 - 2023'!D30-'01 - 2023'!D29+'01 - 2023'!E30-'01 - 2023'!E29</f>
        <v>24.020000000000437</v>
      </c>
      <c r="H24">
        <v>0.99</v>
      </c>
      <c r="I24" s="4">
        <f>'01 - 2023'!J30-'01 - 2023'!J29</f>
        <v>10667</v>
      </c>
      <c r="J24">
        <v>8.1000000000000003E-2</v>
      </c>
      <c r="K24" s="16">
        <f>'01 - 2023'!H30-'01 - 2023'!H29</f>
        <v>0</v>
      </c>
      <c r="L24" s="4">
        <f>'01 - 2023'!I30-'01 - 2023'!I29</f>
        <v>107</v>
      </c>
      <c r="M24" s="1">
        <v>4.393629424766913</v>
      </c>
      <c r="N24" s="11">
        <v>80</v>
      </c>
    </row>
    <row r="25" spans="1:16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'01 - 2023'!B31-'01 - 2023'!B30+'01 - 2023'!C31-'01 - 2023'!C30</f>
        <v>9762.3000000000466</v>
      </c>
      <c r="F25">
        <v>0.11799999999999999</v>
      </c>
      <c r="G25" s="4">
        <f>'01 - 2023'!D31-'01 - 2023'!D30+'01 - 2023'!E31-'01 - 2023'!E30</f>
        <v>26.859999999999673</v>
      </c>
      <c r="H25">
        <v>0.99</v>
      </c>
      <c r="I25" s="4">
        <f>'01 - 2023'!J31-'01 - 2023'!J30</f>
        <v>10074</v>
      </c>
      <c r="J25">
        <v>8.1000000000000003E-2</v>
      </c>
      <c r="K25" s="16">
        <f>'01 - 2023'!H31-'01 - 2023'!H30</f>
        <v>0</v>
      </c>
      <c r="L25" s="4">
        <f>'01 - 2023'!I31-'01 - 2023'!I30</f>
        <v>105</v>
      </c>
      <c r="M25" s="1">
        <v>4.393629424766913</v>
      </c>
      <c r="N25" s="11">
        <v>95</v>
      </c>
      <c r="P25" s="10"/>
    </row>
    <row r="26" spans="1:16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'01 - 2023'!B32-'01 - 2023'!B31+'01 - 2023'!C32-'01 - 2023'!C31</f>
        <v>9828.3999999999069</v>
      </c>
      <c r="F26">
        <v>0.11799999999999999</v>
      </c>
      <c r="G26" s="4">
        <f>'01 - 2023'!D32-'01 - 2023'!D31+'01 - 2023'!E32-'01 - 2023'!E31</f>
        <v>23.989999999999782</v>
      </c>
      <c r="H26">
        <v>0.99</v>
      </c>
      <c r="I26" s="4">
        <f>'01 - 2023'!J32-'01 - 2023'!J31</f>
        <v>10160</v>
      </c>
      <c r="J26">
        <v>8.1000000000000003E-2</v>
      </c>
      <c r="K26" s="16">
        <f>'01 - 2023'!H32-'01 - 2023'!H31</f>
        <v>0</v>
      </c>
      <c r="L26" s="4">
        <f>'01 - 2023'!I32-'01 - 2023'!I31</f>
        <v>111</v>
      </c>
      <c r="M26" s="1">
        <v>4.393629424766913</v>
      </c>
      <c r="N26" s="11">
        <v>91</v>
      </c>
    </row>
    <row r="27" spans="1:16">
      <c r="A27" t="s">
        <v>13</v>
      </c>
      <c r="B27">
        <f t="shared" si="0"/>
        <v>26</v>
      </c>
      <c r="C27">
        <v>1</v>
      </c>
      <c r="D27">
        <v>2022</v>
      </c>
      <c r="E27" s="4">
        <v>0</v>
      </c>
      <c r="F27">
        <v>0.11799999999999999</v>
      </c>
      <c r="G27" s="4">
        <v>0</v>
      </c>
      <c r="H27">
        <v>0.99</v>
      </c>
      <c r="I27" s="4">
        <v>0</v>
      </c>
      <c r="J27">
        <v>8.1000000000000003E-2</v>
      </c>
      <c r="K27" s="16">
        <f>'01 - 2023'!H33-'01 - 2023'!H32</f>
        <v>0</v>
      </c>
      <c r="L27" s="4"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'01 - 2023'!B34-'01 - 2023'!B33+'01 - 2023'!C34-'01 - 2023'!C33</f>
        <v>0</v>
      </c>
      <c r="F28">
        <v>0.11799999999999999</v>
      </c>
      <c r="G28" s="4">
        <f>'01 - 2023'!D34-'01 - 2023'!D33+'01 - 2023'!E34-'01 - 2023'!E33</f>
        <v>0</v>
      </c>
      <c r="H28">
        <v>0.99</v>
      </c>
      <c r="I28" s="4">
        <f>'01 - 2023'!J34-'01 - 2023'!J33</f>
        <v>0</v>
      </c>
      <c r="J28">
        <v>8.1000000000000003E-2</v>
      </c>
      <c r="K28" s="16">
        <f>'01 - 2023'!H34-'01 - 2023'!H33</f>
        <v>0</v>
      </c>
      <c r="L28" s="4">
        <f>'01 - 2023'!I34-'01 - 2023'!I33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'01 - 2023'!B35-'01 - 2023'!B34+'01 - 2023'!C35-'01 - 2023'!C34</f>
        <v>0</v>
      </c>
      <c r="F29">
        <v>0.11799999999999999</v>
      </c>
      <c r="G29" s="4">
        <f>'01 - 2023'!D35-'01 - 2023'!D34+'01 - 2023'!E35-'01 - 2023'!E34</f>
        <v>0</v>
      </c>
      <c r="H29">
        <v>0.99</v>
      </c>
      <c r="I29" s="4">
        <f>'01 - 2023'!J35-'01 - 2023'!J34</f>
        <v>0</v>
      </c>
      <c r="J29">
        <v>8.1000000000000003E-2</v>
      </c>
      <c r="K29" s="16">
        <f>'01 - 2023'!H35-'01 - 2023'!H34</f>
        <v>0</v>
      </c>
      <c r="L29" s="4">
        <f>'01 - 2023'!I35-'01 - 2023'!I34</f>
        <v>0</v>
      </c>
      <c r="M29" s="1">
        <v>4.393629424766913</v>
      </c>
      <c r="N29" s="12"/>
    </row>
    <row r="30" spans="1:16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'01 - 2023'!B36-'01 - 2023'!B35+'01 - 2023'!C36-'01 - 2023'!C35</f>
        <v>0</v>
      </c>
      <c r="F30">
        <v>0.11799999999999999</v>
      </c>
      <c r="G30" s="4">
        <f>'01 - 2023'!D36-'01 - 2023'!D35+'01 - 2023'!E36-'01 - 2023'!E35</f>
        <v>0</v>
      </c>
      <c r="H30">
        <v>0.99</v>
      </c>
      <c r="I30" s="4">
        <f>'01 - 2023'!J36-'01 - 2023'!J35</f>
        <v>0</v>
      </c>
      <c r="J30">
        <v>8.1000000000000003E-2</v>
      </c>
      <c r="K30" s="16">
        <f>'01 - 2023'!H36-'01 - 2023'!H35</f>
        <v>0</v>
      </c>
      <c r="L30" s="4">
        <f>'01 - 2023'!I36-'01 - 2023'!I35</f>
        <v>0</v>
      </c>
      <c r="M30" s="1">
        <v>4.393629424766913</v>
      </c>
    </row>
    <row r="31" spans="1:16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'01 - 2023'!B37-'01 - 2023'!B36+'01 - 2023'!C37-'01 - 2023'!C36</f>
        <v>0</v>
      </c>
      <c r="F31">
        <v>0.11799999999999999</v>
      </c>
      <c r="G31" s="4">
        <f>'01 - 2023'!D37-'01 - 2023'!D36+'01 - 2023'!E37-'01 - 2023'!E36</f>
        <v>0</v>
      </c>
      <c r="H31">
        <v>0.99</v>
      </c>
      <c r="I31" s="4">
        <f>'01 - 2023'!J37-'01 - 2023'!J36</f>
        <v>0</v>
      </c>
      <c r="J31">
        <v>8.1000000000000003E-2</v>
      </c>
      <c r="K31" s="16">
        <f>'01 - 2023'!H37-'01 - 2023'!H36</f>
        <v>0</v>
      </c>
      <c r="L31" s="4">
        <f>'01 - 2023'!I37-'01 - 2023'!I36</f>
        <v>0</v>
      </c>
      <c r="M31" s="1">
        <v>4.393629424766913</v>
      </c>
      <c r="N31" s="4"/>
    </row>
    <row r="32" spans="1:16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'01 - 2023'!B38-'01 - 2023'!B37+'01 - 2023'!C38-'01 - 2023'!C37</f>
        <v>0</v>
      </c>
      <c r="F32">
        <v>0.11799999999999999</v>
      </c>
      <c r="G32" s="4">
        <f>'01 - 2023'!D38-'01 - 2023'!D37+'01 - 2023'!E38-'01 - 2023'!E37</f>
        <v>0</v>
      </c>
      <c r="H32">
        <v>0.99</v>
      </c>
      <c r="I32" s="4">
        <f>'01 - 2023'!J38-'01 - 2023'!J37</f>
        <v>0</v>
      </c>
      <c r="J32">
        <v>8.1000000000000003E-2</v>
      </c>
      <c r="K32" s="16">
        <f>'01 - 2023'!H38-'01 - 2023'!H37</f>
        <v>0</v>
      </c>
      <c r="L32" s="4">
        <f>'01 - 2023'!I38-'01 - 2023'!I37</f>
        <v>0</v>
      </c>
      <c r="M32" s="1">
        <v>4.393629424766913</v>
      </c>
      <c r="N3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4" workbookViewId="0">
      <selection activeCell="D35" sqref="D35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1</v>
      </c>
      <c r="D2">
        <v>2022</v>
      </c>
      <c r="E2" s="4">
        <f>'01 - 2023'!B8-'01 - 2023'!B7</f>
        <v>3899</v>
      </c>
      <c r="F2" s="4">
        <f>'01 - 2023'!C8-'01 - 2023'!C7</f>
        <v>5579</v>
      </c>
      <c r="G2">
        <v>0.11799999999999999</v>
      </c>
      <c r="H2" s="4">
        <f>'01 - 2023'!E8-'01 - 2023'!E7</f>
        <v>25.649999999999636</v>
      </c>
      <c r="I2" s="4">
        <f>'01 - 2023'!F8-'01 - 2023'!F7</f>
        <v>7.2400000000006912</v>
      </c>
      <c r="J2" s="4">
        <f>'01 - 2023'!G8-'01 - 2023'!G7</f>
        <v>41.069999999999709</v>
      </c>
      <c r="K2">
        <v>0.74</v>
      </c>
      <c r="L2" s="11">
        <v>89</v>
      </c>
      <c r="M2" s="9"/>
    </row>
    <row r="3" spans="1:13">
      <c r="A3" t="s">
        <v>13</v>
      </c>
      <c r="B3">
        <f>B2+1</f>
        <v>2</v>
      </c>
      <c r="C3">
        <v>1</v>
      </c>
      <c r="D3">
        <v>2022</v>
      </c>
      <c r="E3" s="4">
        <f>'01 - 2023'!B9-'01 - 2023'!B8</f>
        <v>4131</v>
      </c>
      <c r="F3" s="4">
        <f>'01 - 2023'!C9-'01 - 2023'!C8</f>
        <v>5706</v>
      </c>
      <c r="G3">
        <v>0.11799999999999999</v>
      </c>
      <c r="H3" s="4">
        <f>'01 - 2023'!E9-'01 - 2023'!E8</f>
        <v>25.930000000000291</v>
      </c>
      <c r="I3" s="4">
        <f>'01 - 2023'!F9-'01 - 2023'!F8</f>
        <v>7.5199999999995271</v>
      </c>
      <c r="J3" s="4">
        <f>'01 - 2023'!G9-'01 - 2023'!G8</f>
        <v>40.120000000002619</v>
      </c>
      <c r="K3">
        <v>0.74</v>
      </c>
      <c r="L3" s="30">
        <v>67</v>
      </c>
      <c r="M3" s="9"/>
    </row>
    <row r="4" spans="1:13">
      <c r="A4" t="s">
        <v>13</v>
      </c>
      <c r="B4">
        <f t="shared" ref="B4:B32" si="0">B3+1</f>
        <v>3</v>
      </c>
      <c r="C4">
        <v>1</v>
      </c>
      <c r="D4">
        <v>2022</v>
      </c>
      <c r="E4" s="4">
        <f>'01 - 2023'!B10-'01 - 2023'!B9</f>
        <v>3937</v>
      </c>
      <c r="F4" s="4">
        <f>'01 - 2023'!C10-'01 - 2023'!C9</f>
        <v>5617</v>
      </c>
      <c r="G4">
        <v>0.11799999999999999</v>
      </c>
      <c r="H4" s="4">
        <f>'01 - 2023'!E10-'01 - 2023'!E9</f>
        <v>25.739999999999782</v>
      </c>
      <c r="I4" s="4">
        <f>'01 - 2023'!F10-'01 - 2023'!F9</f>
        <v>6.9899999999997817</v>
      </c>
      <c r="J4" s="4">
        <f>'01 - 2023'!G10-'01 - 2023'!G9</f>
        <v>38.019999999996799</v>
      </c>
      <c r="K4">
        <v>0.74</v>
      </c>
      <c r="L4" s="11">
        <v>58</v>
      </c>
      <c r="M4" s="9"/>
    </row>
    <row r="5" spans="1:13">
      <c r="A5" t="s">
        <v>13</v>
      </c>
      <c r="B5">
        <f t="shared" si="0"/>
        <v>4</v>
      </c>
      <c r="C5">
        <v>1</v>
      </c>
      <c r="D5">
        <v>2022</v>
      </c>
      <c r="E5" s="4">
        <f>'01 - 2023'!B11-'01 - 2023'!B10</f>
        <v>3945</v>
      </c>
      <c r="F5" s="4">
        <f>'01 - 2023'!C11-'01 - 2023'!C10</f>
        <v>5306</v>
      </c>
      <c r="G5">
        <v>0.11799999999999999</v>
      </c>
      <c r="H5" s="4">
        <f>'01 - 2023'!E11-'01 - 2023'!E10</f>
        <v>20.149999999999636</v>
      </c>
      <c r="I5" s="4">
        <f>'01 - 2023'!F11-'01 - 2023'!F10</f>
        <v>7.0600000000004002</v>
      </c>
      <c r="J5" s="4">
        <f>'01 - 2023'!G11-'01 - 2023'!G10</f>
        <v>35.169999999998254</v>
      </c>
      <c r="K5">
        <v>0.74</v>
      </c>
      <c r="L5" s="11">
        <v>57</v>
      </c>
      <c r="M5" s="9"/>
    </row>
    <row r="6" spans="1:13">
      <c r="A6" t="s">
        <v>13</v>
      </c>
      <c r="B6">
        <f t="shared" si="0"/>
        <v>5</v>
      </c>
      <c r="C6">
        <v>1</v>
      </c>
      <c r="D6">
        <v>2022</v>
      </c>
      <c r="E6" s="4">
        <f>'01 - 2023'!B12-'01 - 2023'!B11</f>
        <v>4212</v>
      </c>
      <c r="F6" s="4">
        <f>'01 - 2023'!C12-'01 - 2023'!C11</f>
        <v>5556</v>
      </c>
      <c r="G6">
        <v>0.11799999999999999</v>
      </c>
      <c r="H6" s="4">
        <f>'01 - 2023'!E12-'01 - 2023'!E11</f>
        <v>18.739999999999782</v>
      </c>
      <c r="I6" s="4">
        <f>'01 - 2023'!F12-'01 - 2023'!F11</f>
        <v>7.5199999999995271</v>
      </c>
      <c r="J6" s="4">
        <f>'01 - 2023'!G12-'01 - 2023'!G11</f>
        <v>38.150000000001455</v>
      </c>
      <c r="K6">
        <v>0.74</v>
      </c>
      <c r="L6" s="11">
        <v>64</v>
      </c>
      <c r="M6" s="4"/>
    </row>
    <row r="7" spans="1:13">
      <c r="A7" t="s">
        <v>13</v>
      </c>
      <c r="B7">
        <f t="shared" si="0"/>
        <v>6</v>
      </c>
      <c r="C7">
        <v>1</v>
      </c>
      <c r="D7">
        <v>2022</v>
      </c>
      <c r="E7" s="4">
        <f>'01 - 2023'!B13-'01 - 2023'!B12</f>
        <v>4045.4100000000326</v>
      </c>
      <c r="F7" s="4">
        <f>'01 - 2023'!C13-'01 - 2023'!C12</f>
        <v>5455</v>
      </c>
      <c r="G7">
        <v>0.11799999999999999</v>
      </c>
      <c r="H7" s="4">
        <f>'01 - 2023'!E13-'01 - 2023'!E12</f>
        <v>21.580000000000837</v>
      </c>
      <c r="I7" s="4">
        <f>'01 - 2023'!F13-'01 - 2023'!F12</f>
        <v>6.9800000000004729</v>
      </c>
      <c r="J7" s="4">
        <f>'01 - 2023'!G13-'01 - 2023'!G12</f>
        <v>38.220000000001164</v>
      </c>
      <c r="K7">
        <v>0.74</v>
      </c>
      <c r="L7" s="11">
        <v>100</v>
      </c>
      <c r="M7" s="4"/>
    </row>
    <row r="8" spans="1:13">
      <c r="A8" t="s">
        <v>13</v>
      </c>
      <c r="B8">
        <f t="shared" si="0"/>
        <v>7</v>
      </c>
      <c r="C8">
        <v>1</v>
      </c>
      <c r="D8">
        <v>2022</v>
      </c>
      <c r="E8" s="4">
        <f>'01 - 2023'!B14-'01 - 2023'!B13</f>
        <v>4295.0899999999674</v>
      </c>
      <c r="F8" s="4">
        <f>'01 - 2023'!C14-'01 - 2023'!C13</f>
        <v>5855</v>
      </c>
      <c r="G8">
        <v>0.11799999999999999</v>
      </c>
      <c r="H8" s="4">
        <f>'01 - 2023'!E14-'01 - 2023'!E13</f>
        <v>29.139999999999418</v>
      </c>
      <c r="I8" s="4">
        <f>'01 - 2023'!F14-'01 - 2023'!F13</f>
        <v>7.5799999999999272</v>
      </c>
      <c r="J8" s="4">
        <f>'01 - 2023'!G14-'01 - 2023'!G13</f>
        <v>42.629999999997381</v>
      </c>
      <c r="K8">
        <v>0.74</v>
      </c>
      <c r="L8" s="11">
        <v>99</v>
      </c>
      <c r="M8" s="4"/>
    </row>
    <row r="9" spans="1:13">
      <c r="A9" t="s">
        <v>13</v>
      </c>
      <c r="B9">
        <f t="shared" si="0"/>
        <v>8</v>
      </c>
      <c r="C9">
        <v>1</v>
      </c>
      <c r="D9">
        <v>2022</v>
      </c>
      <c r="E9" s="4">
        <f>'01 - 2023'!B15-'01 - 2023'!B14</f>
        <v>3997</v>
      </c>
      <c r="F9" s="4">
        <f>'01 - 2023'!C15-'01 - 2023'!C14</f>
        <v>5526</v>
      </c>
      <c r="G9">
        <v>0.11799999999999999</v>
      </c>
      <c r="H9" s="4">
        <f>'01 - 2023'!E15-'01 - 2023'!E14</f>
        <v>27</v>
      </c>
      <c r="I9" s="4">
        <f>'01 - 2023'!F15-'01 - 2023'!F14</f>
        <v>6.9200000000000728</v>
      </c>
      <c r="J9" s="4">
        <f>'01 - 2023'!G15-'01 - 2023'!G14</f>
        <v>38.090000000003783</v>
      </c>
      <c r="K9">
        <v>0.74</v>
      </c>
      <c r="L9" s="11">
        <v>88</v>
      </c>
      <c r="M9" s="4"/>
    </row>
    <row r="10" spans="1:13">
      <c r="A10" t="s">
        <v>13</v>
      </c>
      <c r="B10">
        <f t="shared" si="0"/>
        <v>9</v>
      </c>
      <c r="C10">
        <v>1</v>
      </c>
      <c r="D10">
        <v>2022</v>
      </c>
      <c r="E10" s="4">
        <f>'01 - 2023'!B16-'01 - 2023'!B15</f>
        <v>4164.3000000000466</v>
      </c>
      <c r="F10" s="4">
        <f>'01 - 2023'!C16-'01 - 2023'!C15</f>
        <v>5568</v>
      </c>
      <c r="G10">
        <v>0.11799999999999999</v>
      </c>
      <c r="H10" s="4">
        <f>'01 - 2023'!E16-'01 - 2023'!E15</f>
        <v>27.079999999999927</v>
      </c>
      <c r="I10" s="4">
        <f>'01 - 2023'!F16-'01 - 2023'!F15</f>
        <v>7.6999999999998181</v>
      </c>
      <c r="J10" s="4">
        <f>'01 - 2023'!G16-'01 - 2023'!G15</f>
        <v>35.919999999998254</v>
      </c>
      <c r="K10">
        <v>0.74</v>
      </c>
      <c r="L10" s="11">
        <v>102</v>
      </c>
      <c r="M10" s="4"/>
    </row>
    <row r="11" spans="1:13">
      <c r="A11" t="s">
        <v>13</v>
      </c>
      <c r="B11">
        <f t="shared" si="0"/>
        <v>10</v>
      </c>
      <c r="C11">
        <v>1</v>
      </c>
      <c r="D11">
        <v>2022</v>
      </c>
      <c r="E11" s="4">
        <f>'01 - 2023'!B17-'01 - 2023'!B16</f>
        <v>3820.6999999999534</v>
      </c>
      <c r="F11" s="4">
        <f>'01 - 2023'!C17-'01 - 2023'!C16</f>
        <v>5197</v>
      </c>
      <c r="G11">
        <v>0.11799999999999999</v>
      </c>
      <c r="H11" s="4">
        <f>'01 - 2023'!E17-'01 - 2023'!E16</f>
        <v>21.420000000000073</v>
      </c>
      <c r="I11" s="4">
        <f>'01 - 2023'!F17-'01 - 2023'!F16</f>
        <v>7.9899999999997817</v>
      </c>
      <c r="J11" s="4">
        <f>'01 - 2023'!G17-'01 - 2023'!G16</f>
        <v>33.400000000001455</v>
      </c>
      <c r="K11">
        <v>0.74</v>
      </c>
      <c r="L11" s="11">
        <v>97</v>
      </c>
      <c r="M11" s="4"/>
    </row>
    <row r="12" spans="1:13">
      <c r="A12" t="s">
        <v>13</v>
      </c>
      <c r="B12">
        <f t="shared" si="0"/>
        <v>11</v>
      </c>
      <c r="C12">
        <v>1</v>
      </c>
      <c r="D12">
        <v>2022</v>
      </c>
      <c r="E12" s="4">
        <f>'01 - 2023'!B18-'01 - 2023'!B17</f>
        <v>3948.0999999999767</v>
      </c>
      <c r="F12" s="4">
        <f>'01 - 2023'!C18-'01 - 2023'!C17</f>
        <v>5270</v>
      </c>
      <c r="G12">
        <v>0.11799999999999999</v>
      </c>
      <c r="H12" s="4">
        <f>'01 - 2023'!E18-'01 - 2023'!E17</f>
        <v>25.600000000000364</v>
      </c>
      <c r="I12" s="4">
        <f>'01 - 2023'!F18-'01 - 2023'!F17</f>
        <v>7.2000000000007276</v>
      </c>
      <c r="J12" s="4">
        <f>'01 - 2023'!G18-'01 - 2023'!G17</f>
        <v>35.480000000003201</v>
      </c>
      <c r="K12">
        <v>0.74</v>
      </c>
      <c r="L12" s="11">
        <v>88</v>
      </c>
      <c r="M12" s="4"/>
    </row>
    <row r="13" spans="1:13">
      <c r="A13" t="s">
        <v>13</v>
      </c>
      <c r="B13">
        <f t="shared" si="0"/>
        <v>12</v>
      </c>
      <c r="C13">
        <v>1</v>
      </c>
      <c r="D13">
        <v>2022</v>
      </c>
      <c r="E13" s="4">
        <f>'01 - 2023'!B19-'01 - 2023'!B18</f>
        <v>4256.5</v>
      </c>
      <c r="F13" s="4">
        <f>'01 - 2023'!C19-'01 - 2023'!C18</f>
        <v>5421</v>
      </c>
      <c r="G13">
        <v>0.11799999999999999</v>
      </c>
      <c r="H13" s="4">
        <f>'01 - 2023'!E19-'01 - 2023'!E18</f>
        <v>27.9399999999996</v>
      </c>
      <c r="I13" s="4">
        <f>'01 - 2023'!F19-'01 - 2023'!F18</f>
        <v>8.3499999999994543</v>
      </c>
      <c r="J13" s="4">
        <f>'01 - 2023'!G19-'01 - 2023'!G18</f>
        <v>35.069999999999709</v>
      </c>
      <c r="K13">
        <v>0.74</v>
      </c>
      <c r="L13" s="11">
        <v>87</v>
      </c>
      <c r="M13" s="4"/>
    </row>
    <row r="14" spans="1:13">
      <c r="A14" t="s">
        <v>13</v>
      </c>
      <c r="B14">
        <f t="shared" si="0"/>
        <v>13</v>
      </c>
      <c r="C14">
        <v>1</v>
      </c>
      <c r="D14">
        <v>2022</v>
      </c>
      <c r="E14" s="4">
        <f>'01 - 2023'!B20-'01 - 2023'!B19</f>
        <v>4068</v>
      </c>
      <c r="F14" s="4">
        <f>'01 - 2023'!C20-'01 - 2023'!C19</f>
        <v>5212</v>
      </c>
      <c r="G14">
        <v>0.11799999999999999</v>
      </c>
      <c r="H14" s="4">
        <f>'01 - 2023'!E20-'01 - 2023'!E19</f>
        <v>24.680000000000291</v>
      </c>
      <c r="I14" s="4">
        <f>'01 - 2023'!F20-'01 - 2023'!F19</f>
        <v>7.819999999999709</v>
      </c>
      <c r="J14" s="4">
        <f>'01 - 2023'!G20-'01 - 2023'!G19</f>
        <v>33.789999999993597</v>
      </c>
      <c r="K14">
        <v>0.74</v>
      </c>
      <c r="L14" s="11">
        <v>95</v>
      </c>
      <c r="M14" s="4"/>
    </row>
    <row r="15" spans="1:13">
      <c r="A15" t="s">
        <v>13</v>
      </c>
      <c r="B15">
        <f t="shared" si="0"/>
        <v>14</v>
      </c>
      <c r="C15">
        <v>1</v>
      </c>
      <c r="D15">
        <v>2022</v>
      </c>
      <c r="E15" s="4">
        <f>'01 - 2023'!B21-'01 - 2023'!B20</f>
        <v>4375.8000000000466</v>
      </c>
      <c r="F15" s="4">
        <f>'01 - 2023'!C21-'01 - 2023'!C20</f>
        <v>5404</v>
      </c>
      <c r="G15">
        <v>0.11799999999999999</v>
      </c>
      <c r="H15" s="4">
        <f>'01 - 2023'!E21-'01 - 2023'!E20</f>
        <v>28.710000000000036</v>
      </c>
      <c r="I15" s="4">
        <f>'01 - 2023'!F21-'01 - 2023'!F20</f>
        <v>8.3200000000006185</v>
      </c>
      <c r="J15" s="4">
        <f>'01 - 2023'!G21-'01 - 2023'!G20</f>
        <v>37.230000000003201</v>
      </c>
      <c r="K15">
        <v>0.74</v>
      </c>
      <c r="L15" s="11">
        <v>85</v>
      </c>
      <c r="M15" s="4"/>
    </row>
    <row r="16" spans="1:13">
      <c r="A16" t="s">
        <v>13</v>
      </c>
      <c r="B16">
        <f t="shared" si="0"/>
        <v>15</v>
      </c>
      <c r="C16">
        <v>1</v>
      </c>
      <c r="D16">
        <v>2022</v>
      </c>
      <c r="E16" s="4">
        <f>'01 - 2023'!B22-'01 - 2023'!B21</f>
        <v>4167.4000000000233</v>
      </c>
      <c r="F16" s="4">
        <f>'01 - 2023'!C22-'01 - 2023'!C21</f>
        <v>5250</v>
      </c>
      <c r="G16">
        <v>0.11799999999999999</v>
      </c>
      <c r="H16" s="4">
        <f>'01 - 2023'!E22-'01 - 2023'!E21</f>
        <v>25.4399999999996</v>
      </c>
      <c r="I16" s="4">
        <f>'01 - 2023'!F22-'01 - 2023'!F21</f>
        <v>7.5799999999999272</v>
      </c>
      <c r="J16" s="4">
        <f>'01 - 2023'!G22-'01 - 2023'!G21</f>
        <v>34.400000000001455</v>
      </c>
      <c r="K16">
        <v>0.74</v>
      </c>
      <c r="L16" s="11">
        <v>65</v>
      </c>
      <c r="M16" s="4"/>
    </row>
    <row r="17" spans="1:13">
      <c r="A17" t="s">
        <v>13</v>
      </c>
      <c r="B17">
        <f t="shared" si="0"/>
        <v>16</v>
      </c>
      <c r="C17">
        <v>1</v>
      </c>
      <c r="D17">
        <v>2022</v>
      </c>
      <c r="E17" s="4">
        <f>'01 - 2023'!B23-'01 - 2023'!B22</f>
        <v>4044.6999999999534</v>
      </c>
      <c r="F17" s="4">
        <f>'01 - 2023'!C23-'01 - 2023'!C22</f>
        <v>5293</v>
      </c>
      <c r="G17">
        <v>0.11799999999999999</v>
      </c>
      <c r="H17" s="4">
        <f>'01 - 2023'!E23-'01 - 2023'!E22</f>
        <v>26.030000000000655</v>
      </c>
      <c r="I17" s="4">
        <f>'01 - 2023'!F23-'01 - 2023'!F22</f>
        <v>7.2100000000000364</v>
      </c>
      <c r="J17" s="4">
        <f>'01 - 2023'!G23-'01 - 2023'!G22</f>
        <v>34.430000000000291</v>
      </c>
      <c r="K17">
        <v>0.74</v>
      </c>
      <c r="L17" s="11">
        <v>87</v>
      </c>
      <c r="M17" s="4"/>
    </row>
    <row r="18" spans="1:13">
      <c r="A18" t="s">
        <v>13</v>
      </c>
      <c r="B18">
        <f t="shared" si="0"/>
        <v>17</v>
      </c>
      <c r="C18">
        <v>1</v>
      </c>
      <c r="D18">
        <v>2022</v>
      </c>
      <c r="E18" s="4">
        <f>'01 - 2023'!B24-'01 - 2023'!B23</f>
        <v>3907.6999999999534</v>
      </c>
      <c r="F18" s="4">
        <f>'01 - 2023'!C24-'01 - 2023'!C23</f>
        <v>5315</v>
      </c>
      <c r="G18">
        <v>0.11799999999999999</v>
      </c>
      <c r="H18" s="4">
        <f>'01 - 2023'!E24-'01 - 2023'!E23</f>
        <v>22.3799999999992</v>
      </c>
      <c r="I18" s="4">
        <f>'01 - 2023'!F24-'01 - 2023'!F23</f>
        <v>6.6300000000001091</v>
      </c>
      <c r="J18" s="4">
        <f>'01 - 2023'!G24-'01 - 2023'!G23</f>
        <v>32.209999999999127</v>
      </c>
      <c r="K18">
        <v>0.74</v>
      </c>
      <c r="L18" s="11">
        <v>90</v>
      </c>
      <c r="M18" s="4"/>
    </row>
    <row r="19" spans="1:13">
      <c r="A19" t="s">
        <v>13</v>
      </c>
      <c r="B19">
        <f>B18+1</f>
        <v>18</v>
      </c>
      <c r="C19">
        <v>1</v>
      </c>
      <c r="D19">
        <v>2022</v>
      </c>
      <c r="E19" s="4">
        <f>'01 - 2023'!B25-'01 - 2023'!B24</f>
        <v>3896</v>
      </c>
      <c r="F19" s="4">
        <f>'01 - 2023'!C25-'01 - 2023'!C24</f>
        <v>5201</v>
      </c>
      <c r="G19">
        <v>0.11799999999999999</v>
      </c>
      <c r="H19" s="4">
        <f>'01 - 2023'!E25-'01 - 2023'!E24</f>
        <v>25</v>
      </c>
      <c r="I19" s="4">
        <f>'01 - 2023'!F25-'01 - 2023'!F24</f>
        <v>7.1999999999998181</v>
      </c>
      <c r="J19" s="4">
        <f>'01 - 2023'!G25-'01 - 2023'!G24</f>
        <v>35.389999999999418</v>
      </c>
      <c r="K19">
        <v>0.74</v>
      </c>
      <c r="L19" s="11">
        <v>94</v>
      </c>
      <c r="M19" s="4"/>
    </row>
    <row r="20" spans="1:13">
      <c r="A20" t="s">
        <v>13</v>
      </c>
      <c r="B20">
        <f t="shared" si="0"/>
        <v>19</v>
      </c>
      <c r="C20">
        <v>1</v>
      </c>
      <c r="D20">
        <v>2022</v>
      </c>
      <c r="E20" s="4">
        <f>'01 - 2023'!B26-'01 - 2023'!B25</f>
        <v>4281.5</v>
      </c>
      <c r="F20" s="4">
        <f>'01 - 2023'!C26-'01 - 2023'!C25</f>
        <v>5502</v>
      </c>
      <c r="G20">
        <v>0.11799999999999999</v>
      </c>
      <c r="H20" s="4">
        <f>'01 - 2023'!E26-'01 - 2023'!E25</f>
        <v>27.420000000000073</v>
      </c>
      <c r="I20" s="4">
        <f>'01 - 2023'!F26-'01 - 2023'!F25</f>
        <v>7.2699999999995271</v>
      </c>
      <c r="J20" s="4">
        <f>'01 - 2023'!G26-'01 - 2023'!G25</f>
        <v>33.230000000003201</v>
      </c>
      <c r="K20">
        <v>0.74</v>
      </c>
      <c r="L20" s="11">
        <v>101</v>
      </c>
      <c r="M20" s="4"/>
    </row>
    <row r="21" spans="1:13">
      <c r="A21" t="s">
        <v>13</v>
      </c>
      <c r="B21">
        <f t="shared" si="0"/>
        <v>20</v>
      </c>
      <c r="C21">
        <v>1</v>
      </c>
      <c r="D21">
        <v>2022</v>
      </c>
      <c r="E21" s="4">
        <f>'01 - 2023'!B27-'01 - 2023'!B26</f>
        <v>4359.8000000000466</v>
      </c>
      <c r="F21" s="4">
        <f>'01 - 2023'!C27-'01 - 2023'!C26</f>
        <v>5695</v>
      </c>
      <c r="G21">
        <v>0.11799999999999999</v>
      </c>
      <c r="H21" s="4">
        <f>'01 - 2023'!E27-'01 - 2023'!E26</f>
        <v>27.850000000000364</v>
      </c>
      <c r="I21" s="4">
        <f>'01 - 2023'!F27-'01 - 2023'!F26</f>
        <v>8.1400000000003274</v>
      </c>
      <c r="J21" s="4">
        <f>'01 - 2023'!G27-'01 - 2023'!G26</f>
        <v>34.969999999993888</v>
      </c>
      <c r="K21">
        <v>0.74</v>
      </c>
      <c r="L21" s="30">
        <v>100</v>
      </c>
      <c r="M21" s="4"/>
    </row>
    <row r="22" spans="1:13">
      <c r="A22" t="s">
        <v>13</v>
      </c>
      <c r="B22">
        <f t="shared" si="0"/>
        <v>21</v>
      </c>
      <c r="C22">
        <v>1</v>
      </c>
      <c r="D22">
        <v>2022</v>
      </c>
      <c r="E22" s="4">
        <f>'01 - 2023'!B28-'01 - 2023'!B27</f>
        <v>4296.8000000000466</v>
      </c>
      <c r="F22" s="4">
        <f>'01 - 2023'!C28-'01 - 2023'!C27</f>
        <v>6467</v>
      </c>
      <c r="G22">
        <v>0.11799999999999999</v>
      </c>
      <c r="H22" s="4">
        <f>'01 - 2023'!E28-'01 - 2023'!E27</f>
        <v>27.289999999999964</v>
      </c>
      <c r="I22" s="4">
        <f>'01 - 2023'!F28-'01 - 2023'!F27</f>
        <v>8.2700000000004366</v>
      </c>
      <c r="J22" s="4">
        <f>'01 - 2023'!G28-'01 - 2023'!G27</f>
        <v>38.05000000000291</v>
      </c>
      <c r="K22">
        <v>0.74</v>
      </c>
      <c r="L22" s="11">
        <v>87</v>
      </c>
      <c r="M22" s="4"/>
    </row>
    <row r="23" spans="1:13">
      <c r="A23" t="s">
        <v>13</v>
      </c>
      <c r="B23">
        <f t="shared" si="0"/>
        <v>22</v>
      </c>
      <c r="C23">
        <v>1</v>
      </c>
      <c r="D23">
        <v>2022</v>
      </c>
      <c r="E23" s="4">
        <f>'01 - 2023'!B29-'01 - 2023'!B28</f>
        <v>4045.1999999999534</v>
      </c>
      <c r="F23" s="4">
        <f>'01 - 2023'!C29-'01 - 2023'!C28</f>
        <v>4994</v>
      </c>
      <c r="G23">
        <v>0.11799999999999999</v>
      </c>
      <c r="H23" s="4">
        <f>'01 - 2023'!E29-'01 - 2023'!E28</f>
        <v>25.039999999999964</v>
      </c>
      <c r="I23" s="4">
        <f>'01 - 2023'!F29-'01 - 2023'!F28</f>
        <v>6.7899999999999636</v>
      </c>
      <c r="J23" s="4">
        <f>'01 - 2023'!G29-'01 - 2023'!G28</f>
        <v>34.150000000001455</v>
      </c>
      <c r="K23">
        <v>0.74</v>
      </c>
      <c r="L23" s="11">
        <v>78</v>
      </c>
      <c r="M23" s="4"/>
    </row>
    <row r="24" spans="1:13">
      <c r="A24" t="s">
        <v>13</v>
      </c>
      <c r="B24">
        <f t="shared" si="0"/>
        <v>23</v>
      </c>
      <c r="C24">
        <v>1</v>
      </c>
      <c r="D24">
        <v>2022</v>
      </c>
      <c r="E24" s="4">
        <f>'01 - 2023'!B30-'01 - 2023'!B29</f>
        <v>4069.5</v>
      </c>
      <c r="F24" s="4">
        <f>'01 - 2023'!C30-'01 - 2023'!C29</f>
        <v>5403</v>
      </c>
      <c r="G24">
        <v>0.11799999999999999</v>
      </c>
      <c r="H24" s="4">
        <f>'01 - 2023'!E30-'01 - 2023'!E29</f>
        <v>24.100000000000364</v>
      </c>
      <c r="I24" s="4">
        <f>'01 - 2023'!F30-'01 - 2023'!F29</f>
        <v>8.1499999999996362</v>
      </c>
      <c r="J24" s="4">
        <f>'01 - 2023'!G30-'01 - 2023'!G29</f>
        <v>32.080000000001746</v>
      </c>
      <c r="K24">
        <v>0.74</v>
      </c>
      <c r="L24" s="11">
        <v>80</v>
      </c>
      <c r="M24" s="4"/>
    </row>
    <row r="25" spans="1:13">
      <c r="A25" t="s">
        <v>13</v>
      </c>
      <c r="B25">
        <f t="shared" si="0"/>
        <v>24</v>
      </c>
      <c r="C25">
        <v>1</v>
      </c>
      <c r="D25">
        <v>2022</v>
      </c>
      <c r="E25" s="4">
        <f>'01 - 2023'!B31-'01 - 2023'!B30</f>
        <v>4240.3000000000466</v>
      </c>
      <c r="F25" s="4">
        <f>'01 - 2023'!C31-'01 - 2023'!C30</f>
        <v>5522</v>
      </c>
      <c r="G25">
        <v>0.11799999999999999</v>
      </c>
      <c r="H25" s="4">
        <f>'01 - 2023'!E31-'01 - 2023'!E30</f>
        <v>26.920000000000073</v>
      </c>
      <c r="I25" s="4">
        <f>'01 - 2023'!F31-'01 - 2023'!F30</f>
        <v>7.8599999999996726</v>
      </c>
      <c r="J25" s="4">
        <f>'01 - 2023'!G31-'01 - 2023'!G30</f>
        <v>32.819999999999709</v>
      </c>
      <c r="K25">
        <v>0.74</v>
      </c>
      <c r="L25" s="11">
        <v>95</v>
      </c>
      <c r="M25" s="4"/>
    </row>
    <row r="26" spans="1:13">
      <c r="A26" t="s">
        <v>13</v>
      </c>
      <c r="B26">
        <f>B25+1</f>
        <v>25</v>
      </c>
      <c r="C26">
        <v>1</v>
      </c>
      <c r="D26">
        <v>2022</v>
      </c>
      <c r="E26" s="4">
        <f>'01 - 2023'!B32-'01 - 2023'!B31</f>
        <v>4177.3999999999069</v>
      </c>
      <c r="F26" s="4">
        <f>'01 - 2023'!C32-'01 - 2023'!C31</f>
        <v>5651</v>
      </c>
      <c r="G26">
        <v>0.11799999999999999</v>
      </c>
      <c r="H26" s="4">
        <f>'01 - 2023'!E32-'01 - 2023'!E31</f>
        <v>24.069999999999709</v>
      </c>
      <c r="I26" s="4">
        <f>'01 - 2023'!F32-'01 - 2023'!F31</f>
        <v>7.3600000000005821</v>
      </c>
      <c r="J26" s="4">
        <f>'01 - 2023'!G32-'01 - 2023'!G31</f>
        <v>32.539999999993597</v>
      </c>
      <c r="K26">
        <v>0.74</v>
      </c>
      <c r="L26" s="11">
        <v>91</v>
      </c>
      <c r="M26" s="4"/>
    </row>
    <row r="27" spans="1:13">
      <c r="A27" t="s">
        <v>13</v>
      </c>
      <c r="B27">
        <f t="shared" si="0"/>
        <v>26</v>
      </c>
      <c r="C27">
        <v>1</v>
      </c>
      <c r="D27">
        <v>2022</v>
      </c>
      <c r="E27" s="4">
        <v>0</v>
      </c>
      <c r="F27" s="4">
        <v>0</v>
      </c>
      <c r="G27">
        <v>0.11799999999999999</v>
      </c>
      <c r="H27" s="4">
        <v>0</v>
      </c>
      <c r="I27" s="4">
        <v>0</v>
      </c>
      <c r="J27" s="4"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1</v>
      </c>
      <c r="D28">
        <v>2022</v>
      </c>
      <c r="E28" s="4">
        <f>'01 - 2023'!B34-'01 - 2023'!B33</f>
        <v>0</v>
      </c>
      <c r="F28" s="4">
        <f>'01 - 2023'!C34-'01 - 2023'!C33</f>
        <v>0</v>
      </c>
      <c r="G28">
        <v>0.11799999999999999</v>
      </c>
      <c r="H28" s="4">
        <f>'01 - 2023'!E34-'01 - 2023'!E33</f>
        <v>0</v>
      </c>
      <c r="I28" s="4">
        <f>'01 - 2023'!F34-'01 - 2023'!F33</f>
        <v>0</v>
      </c>
      <c r="J28" s="4">
        <f>'01 - 2023'!G34-'01 - 2023'!G33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1</v>
      </c>
      <c r="D29">
        <v>2022</v>
      </c>
      <c r="E29" s="4">
        <f>'01 - 2023'!B35-'01 - 2023'!B34</f>
        <v>0</v>
      </c>
      <c r="F29" s="4">
        <f>'01 - 2023'!C35-'01 - 2023'!C34</f>
        <v>0</v>
      </c>
      <c r="G29">
        <v>0.11799999999999999</v>
      </c>
      <c r="H29" s="4">
        <f>'01 - 2023'!E35-'01 - 2023'!E34</f>
        <v>0</v>
      </c>
      <c r="I29" s="4">
        <f>'01 - 2023'!F35-'01 - 2023'!F34</f>
        <v>0</v>
      </c>
      <c r="J29" s="4">
        <f>'01 - 2023'!G35-'01 - 2023'!G34</f>
        <v>0</v>
      </c>
      <c r="K29">
        <v>0.74</v>
      </c>
      <c r="L29" s="12"/>
      <c r="M29" s="4"/>
    </row>
    <row r="30" spans="1:13">
      <c r="A30" t="s">
        <v>13</v>
      </c>
      <c r="B30">
        <f t="shared" si="0"/>
        <v>29</v>
      </c>
      <c r="C30">
        <v>1</v>
      </c>
      <c r="D30">
        <v>2022</v>
      </c>
      <c r="E30" s="4">
        <f>'01 - 2023'!B36-'01 - 2023'!B35</f>
        <v>0</v>
      </c>
      <c r="F30" s="4">
        <f>'01 - 2023'!C36-'01 - 2023'!C35</f>
        <v>0</v>
      </c>
      <c r="G30">
        <v>0.11799999999999999</v>
      </c>
      <c r="H30" s="4">
        <f>'01 - 2023'!E36-'01 - 2023'!E35</f>
        <v>0</v>
      </c>
      <c r="I30" s="4">
        <f>'01 - 2023'!F36-'01 - 2023'!F35</f>
        <v>0</v>
      </c>
      <c r="J30" s="4">
        <f>'01 - 2023'!G36-'01 - 2023'!G35</f>
        <v>0</v>
      </c>
      <c r="K30">
        <v>0.74</v>
      </c>
      <c r="L30" s="13"/>
    </row>
    <row r="31" spans="1:13">
      <c r="A31" t="s">
        <v>13</v>
      </c>
      <c r="B31">
        <f t="shared" si="0"/>
        <v>30</v>
      </c>
      <c r="C31">
        <v>1</v>
      </c>
      <c r="D31">
        <v>2022</v>
      </c>
      <c r="E31" s="4">
        <f>'01 - 2023'!B37-'01 - 2023'!B36</f>
        <v>0</v>
      </c>
      <c r="F31" s="4">
        <f>'01 - 2023'!C37-'01 - 2023'!C36</f>
        <v>0</v>
      </c>
      <c r="G31">
        <v>0.11799999999999999</v>
      </c>
      <c r="H31" s="4">
        <f>'01 - 2023'!E37-'01 - 2023'!E36</f>
        <v>0</v>
      </c>
      <c r="I31" s="4">
        <f>'01 - 2023'!F37-'01 - 2023'!F36</f>
        <v>0</v>
      </c>
      <c r="J31" s="4">
        <f>'01 - 2023'!G37-'01 - 2023'!G36</f>
        <v>0</v>
      </c>
      <c r="K31">
        <v>0.74</v>
      </c>
      <c r="L31" s="4"/>
    </row>
    <row r="32" spans="1:13">
      <c r="A32" t="s">
        <v>13</v>
      </c>
      <c r="B32">
        <f t="shared" si="0"/>
        <v>31</v>
      </c>
      <c r="C32">
        <v>1</v>
      </c>
      <c r="D32">
        <v>2022</v>
      </c>
      <c r="E32" s="4">
        <f>'01 - 2023'!B38-'01 - 2023'!B37</f>
        <v>0</v>
      </c>
      <c r="F32" s="4">
        <f>'01 - 2023'!C38-'01 - 2023'!C37</f>
        <v>0</v>
      </c>
      <c r="G32">
        <v>0.11799999999999999</v>
      </c>
      <c r="H32" s="4">
        <f>'01 - 2023'!E38-'01 - 2023'!E37</f>
        <v>0</v>
      </c>
      <c r="I32" s="4">
        <f>'01 - 2023'!F38-'01 - 2023'!F37</f>
        <v>0</v>
      </c>
      <c r="J32" s="4">
        <f>'01 - 2023'!G38-'01 - 2023'!G37</f>
        <v>0</v>
      </c>
      <c r="K32">
        <v>0.74</v>
      </c>
      <c r="L32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opLeftCell="A6" zoomScaleNormal="100" workbookViewId="0">
      <selection activeCell="B33" sqref="B33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63"/>
      <c r="I1" s="63"/>
    </row>
    <row r="3" spans="1:14" ht="18.75">
      <c r="A3" s="82" t="s">
        <v>19</v>
      </c>
      <c r="B3" s="82"/>
      <c r="C3" s="82"/>
      <c r="D3" s="82"/>
      <c r="E3" s="82"/>
      <c r="F3" s="82"/>
      <c r="G3" s="82"/>
      <c r="H3" s="82"/>
      <c r="I3" s="82"/>
      <c r="J3" s="82"/>
    </row>
    <row r="4" spans="1:14" ht="16.5" thickBot="1">
      <c r="A4" s="83" t="s">
        <v>20</v>
      </c>
      <c r="B4" s="83"/>
      <c r="C4" s="83"/>
      <c r="D4" s="83"/>
      <c r="E4" s="83"/>
      <c r="F4" s="83"/>
      <c r="G4" s="83"/>
      <c r="H4" s="83"/>
      <c r="I4" s="83"/>
      <c r="J4" s="83"/>
    </row>
    <row r="5" spans="1:14" ht="16.5" thickBot="1">
      <c r="A5" s="38"/>
      <c r="B5" s="84" t="s">
        <v>21</v>
      </c>
      <c r="C5" s="85"/>
      <c r="D5" s="84" t="s">
        <v>22</v>
      </c>
      <c r="E5" s="86"/>
      <c r="F5" s="86"/>
      <c r="G5" s="87"/>
      <c r="H5" s="88" t="s">
        <v>23</v>
      </c>
      <c r="I5" s="89"/>
      <c r="J5" s="19" t="s">
        <v>24</v>
      </c>
      <c r="K5" s="38"/>
    </row>
    <row r="6" spans="1:14" ht="12" customHeight="1" thickBot="1">
      <c r="A6" s="39" t="s">
        <v>25</v>
      </c>
      <c r="B6" s="40" t="s">
        <v>26</v>
      </c>
      <c r="C6" s="41" t="s">
        <v>27</v>
      </c>
      <c r="D6" s="41" t="s">
        <v>28</v>
      </c>
      <c r="E6" s="41" t="s">
        <v>29</v>
      </c>
      <c r="F6" s="41" t="s">
        <v>30</v>
      </c>
      <c r="G6" s="42" t="s">
        <v>31</v>
      </c>
      <c r="H6" s="41" t="s">
        <v>32</v>
      </c>
      <c r="I6" s="41" t="s">
        <v>33</v>
      </c>
      <c r="J6" s="41" t="s">
        <v>34</v>
      </c>
      <c r="K6" s="65" t="s">
        <v>35</v>
      </c>
      <c r="L6" s="66" t="s">
        <v>36</v>
      </c>
    </row>
    <row r="7" spans="1:14" s="21" customFormat="1" ht="12.95" customHeight="1" thickBot="1">
      <c r="A7" s="47" t="s">
        <v>37</v>
      </c>
      <c r="B7" s="48">
        <v>979156</v>
      </c>
      <c r="C7" s="49">
        <v>163249</v>
      </c>
      <c r="D7" s="50">
        <v>0.57999999999999996</v>
      </c>
      <c r="E7" s="51">
        <v>7146.27</v>
      </c>
      <c r="F7" s="52">
        <v>4228.1099999999997</v>
      </c>
      <c r="G7" s="52">
        <v>49060.71</v>
      </c>
      <c r="H7" s="48">
        <v>14528</v>
      </c>
      <c r="I7" s="48">
        <v>182855</v>
      </c>
      <c r="J7" s="48">
        <v>62351078</v>
      </c>
      <c r="K7" s="77"/>
      <c r="L7" s="67"/>
      <c r="M7" s="20"/>
    </row>
    <row r="8" spans="1:14" s="23" customFormat="1" ht="12.95" customHeight="1" thickTop="1">
      <c r="A8" s="53">
        <v>44927</v>
      </c>
      <c r="B8" s="54">
        <v>983055</v>
      </c>
      <c r="C8" s="54">
        <v>168828</v>
      </c>
      <c r="D8" s="55">
        <v>0.48</v>
      </c>
      <c r="E8" s="56">
        <v>7171.92</v>
      </c>
      <c r="F8" s="56">
        <v>4235.3500000000004</v>
      </c>
      <c r="G8" s="54">
        <v>49101.78</v>
      </c>
      <c r="H8" s="54">
        <v>14528</v>
      </c>
      <c r="I8" s="54">
        <v>182978</v>
      </c>
      <c r="J8" s="54">
        <v>62365318</v>
      </c>
      <c r="K8" s="78"/>
      <c r="L8" s="68"/>
      <c r="M8" s="22"/>
    </row>
    <row r="9" spans="1:14" s="23" customFormat="1" ht="12.95" customHeight="1">
      <c r="A9" s="53">
        <v>44928</v>
      </c>
      <c r="B9" s="33">
        <v>987186</v>
      </c>
      <c r="C9" s="31">
        <v>174534</v>
      </c>
      <c r="D9" s="32">
        <v>0.4</v>
      </c>
      <c r="E9" s="31">
        <v>7197.85</v>
      </c>
      <c r="F9" s="31">
        <v>4242.87</v>
      </c>
      <c r="G9" s="31">
        <v>49141.9</v>
      </c>
      <c r="H9" s="33">
        <v>14528</v>
      </c>
      <c r="I9" s="33">
        <v>183084</v>
      </c>
      <c r="J9" s="33">
        <v>62379940</v>
      </c>
      <c r="K9" s="79"/>
      <c r="L9" s="69"/>
      <c r="M9" s="22"/>
    </row>
    <row r="10" spans="1:14" s="23" customFormat="1" ht="12.95" customHeight="1">
      <c r="A10" s="53">
        <v>44929</v>
      </c>
      <c r="B10" s="33">
        <v>991123</v>
      </c>
      <c r="C10" s="33">
        <v>180151</v>
      </c>
      <c r="D10" s="32">
        <v>0.32</v>
      </c>
      <c r="E10" s="31">
        <v>7223.59</v>
      </c>
      <c r="F10" s="31">
        <v>4249.8599999999997</v>
      </c>
      <c r="G10" s="31">
        <v>49179.92</v>
      </c>
      <c r="H10" s="33">
        <v>14528</v>
      </c>
      <c r="I10" s="33">
        <v>183189</v>
      </c>
      <c r="J10" s="31">
        <v>62393270</v>
      </c>
      <c r="K10" s="79"/>
      <c r="L10" s="70"/>
      <c r="M10" s="22"/>
    </row>
    <row r="11" spans="1:14" s="23" customFormat="1" ht="12.95" customHeight="1">
      <c r="A11" s="53">
        <v>44930</v>
      </c>
      <c r="B11" s="33">
        <v>995068</v>
      </c>
      <c r="C11" s="33">
        <v>185457</v>
      </c>
      <c r="D11" s="32">
        <v>0.85</v>
      </c>
      <c r="E11" s="31">
        <v>7243.74</v>
      </c>
      <c r="F11" s="31">
        <v>4256.92</v>
      </c>
      <c r="G11" s="31">
        <v>49215.09</v>
      </c>
      <c r="H11" s="33">
        <v>14528</v>
      </c>
      <c r="I11" s="33">
        <v>183285</v>
      </c>
      <c r="J11" s="33">
        <v>62406007</v>
      </c>
      <c r="K11" s="79">
        <v>4150</v>
      </c>
      <c r="L11" s="70"/>
      <c r="M11" s="22"/>
    </row>
    <row r="12" spans="1:14" s="23" customFormat="1" ht="12.95" customHeight="1">
      <c r="A12" s="53">
        <v>44931</v>
      </c>
      <c r="B12" s="33">
        <v>999280</v>
      </c>
      <c r="C12" s="33">
        <v>191013</v>
      </c>
      <c r="D12" s="32">
        <v>0.77</v>
      </c>
      <c r="E12" s="33">
        <v>7262.48</v>
      </c>
      <c r="F12" s="33">
        <v>4264.4399999999996</v>
      </c>
      <c r="G12" s="33">
        <v>49253.24</v>
      </c>
      <c r="H12" s="33">
        <v>14528</v>
      </c>
      <c r="I12" s="33">
        <v>183390</v>
      </c>
      <c r="J12" s="33">
        <v>62418992</v>
      </c>
      <c r="K12" s="79"/>
      <c r="L12" s="70"/>
      <c r="M12" s="22"/>
      <c r="N12" s="24"/>
    </row>
    <row r="13" spans="1:14" s="23" customFormat="1" ht="12.95" customHeight="1">
      <c r="A13" s="53">
        <v>44932</v>
      </c>
      <c r="B13" s="33">
        <v>1003325.41</v>
      </c>
      <c r="C13" s="31">
        <v>196468</v>
      </c>
      <c r="D13" s="32">
        <v>0.68</v>
      </c>
      <c r="E13" s="31">
        <v>7284.06</v>
      </c>
      <c r="F13" s="31">
        <v>4271.42</v>
      </c>
      <c r="G13" s="31">
        <v>49291.46</v>
      </c>
      <c r="H13" s="33">
        <v>14528</v>
      </c>
      <c r="I13" s="31">
        <v>183494</v>
      </c>
      <c r="J13" s="31">
        <v>62432504</v>
      </c>
      <c r="K13" s="79"/>
      <c r="L13" s="71"/>
      <c r="M13" s="22"/>
    </row>
    <row r="14" spans="1:14" s="23" customFormat="1" ht="12.95" customHeight="1">
      <c r="A14" s="53">
        <v>44933</v>
      </c>
      <c r="B14" s="33">
        <v>1007620.5</v>
      </c>
      <c r="C14" s="33">
        <v>202323</v>
      </c>
      <c r="D14" s="32">
        <v>0.6</v>
      </c>
      <c r="E14" s="31">
        <v>7313.2</v>
      </c>
      <c r="F14" s="31">
        <v>4279</v>
      </c>
      <c r="G14" s="31">
        <v>49334.09</v>
      </c>
      <c r="H14" s="33">
        <v>14528</v>
      </c>
      <c r="I14" s="33">
        <v>183608</v>
      </c>
      <c r="J14" s="33">
        <v>62446147</v>
      </c>
      <c r="K14" s="79"/>
      <c r="L14" s="70"/>
      <c r="M14" s="22"/>
    </row>
    <row r="15" spans="1:14" s="23" customFormat="1" ht="12.95" customHeight="1">
      <c r="A15" s="53">
        <v>44934</v>
      </c>
      <c r="B15" s="33">
        <v>1011617.5</v>
      </c>
      <c r="C15" s="33">
        <v>207849</v>
      </c>
      <c r="D15" s="32">
        <v>0.52</v>
      </c>
      <c r="E15" s="31">
        <v>7340.2</v>
      </c>
      <c r="F15" s="43">
        <v>4285.92</v>
      </c>
      <c r="G15" s="31">
        <v>49372.18</v>
      </c>
      <c r="H15" s="33">
        <v>14528</v>
      </c>
      <c r="I15" s="33">
        <v>183720</v>
      </c>
      <c r="J15" s="33">
        <v>62457801</v>
      </c>
      <c r="K15" s="79"/>
      <c r="L15" s="70"/>
      <c r="M15" s="22"/>
    </row>
    <row r="16" spans="1:14" s="23" customFormat="1" ht="12.95" customHeight="1">
      <c r="A16" s="53">
        <v>44935</v>
      </c>
      <c r="B16" s="33">
        <v>1015781.8</v>
      </c>
      <c r="C16" s="33">
        <v>213417</v>
      </c>
      <c r="D16" s="32">
        <v>0.44</v>
      </c>
      <c r="E16" s="31">
        <v>7367.28</v>
      </c>
      <c r="F16" s="43">
        <v>4293.62</v>
      </c>
      <c r="G16" s="31">
        <v>49408.1</v>
      </c>
      <c r="H16" s="33">
        <v>14528</v>
      </c>
      <c r="I16" s="33">
        <v>183827</v>
      </c>
      <c r="J16" s="33">
        <v>62470279</v>
      </c>
      <c r="K16" s="79"/>
      <c r="L16" s="70"/>
      <c r="M16" s="22"/>
    </row>
    <row r="17" spans="1:19" s="23" customFormat="1" ht="12.95" customHeight="1">
      <c r="A17" s="53">
        <v>44936</v>
      </c>
      <c r="B17" s="31">
        <v>1019602.5</v>
      </c>
      <c r="C17" s="31">
        <v>218614</v>
      </c>
      <c r="D17" s="32">
        <v>0.36</v>
      </c>
      <c r="E17" s="31">
        <v>7388.7</v>
      </c>
      <c r="F17" s="43">
        <v>4301.6099999999997</v>
      </c>
      <c r="G17" s="31">
        <v>49441.5</v>
      </c>
      <c r="H17" s="33">
        <v>14528</v>
      </c>
      <c r="I17" s="31">
        <v>183936</v>
      </c>
      <c r="J17" s="31">
        <v>62482171</v>
      </c>
      <c r="K17" s="79"/>
      <c r="L17" s="70"/>
      <c r="M17" s="22"/>
    </row>
    <row r="18" spans="1:19" s="23" customFormat="1" ht="12.95" customHeight="1">
      <c r="A18" s="53">
        <v>44937</v>
      </c>
      <c r="B18" s="33">
        <v>1023550.6</v>
      </c>
      <c r="C18" s="33">
        <v>223884</v>
      </c>
      <c r="D18" s="32">
        <v>0.28000000000000003</v>
      </c>
      <c r="E18" s="31">
        <v>7414.3</v>
      </c>
      <c r="F18" s="31">
        <v>4308.8100000000004</v>
      </c>
      <c r="G18" s="31">
        <v>49476.98</v>
      </c>
      <c r="H18" s="33">
        <v>14528</v>
      </c>
      <c r="I18" s="33">
        <v>184049</v>
      </c>
      <c r="J18" s="33">
        <v>62495019</v>
      </c>
      <c r="K18" s="79">
        <v>3950</v>
      </c>
      <c r="L18" s="70"/>
      <c r="M18" s="22"/>
      <c r="O18" s="17"/>
    </row>
    <row r="19" spans="1:19" s="23" customFormat="1" ht="12.95" customHeight="1">
      <c r="A19" s="53">
        <v>44938</v>
      </c>
      <c r="B19" s="33">
        <v>1027807.1</v>
      </c>
      <c r="C19" s="33">
        <v>229305</v>
      </c>
      <c r="D19" s="32">
        <v>0.76</v>
      </c>
      <c r="E19" s="31">
        <v>7442.24</v>
      </c>
      <c r="F19" s="31">
        <v>4317.16</v>
      </c>
      <c r="G19" s="31">
        <v>49512.05</v>
      </c>
      <c r="H19" s="33">
        <v>14528</v>
      </c>
      <c r="I19" s="33">
        <v>184157</v>
      </c>
      <c r="J19" s="33">
        <v>62507116</v>
      </c>
      <c r="K19" s="79"/>
      <c r="L19" s="70"/>
      <c r="M19" s="22"/>
      <c r="O19" s="17"/>
    </row>
    <row r="20" spans="1:19" s="23" customFormat="1" ht="12.95" customHeight="1">
      <c r="A20" s="53">
        <v>44939</v>
      </c>
      <c r="B20" s="35">
        <v>1031875.1</v>
      </c>
      <c r="C20" s="35">
        <v>234517</v>
      </c>
      <c r="D20" s="32">
        <v>0.68</v>
      </c>
      <c r="E20" s="33">
        <v>7466.92</v>
      </c>
      <c r="F20" s="33">
        <v>4324.9799999999996</v>
      </c>
      <c r="G20" s="36">
        <v>49545.84</v>
      </c>
      <c r="H20" s="33">
        <v>14528</v>
      </c>
      <c r="I20" s="35">
        <v>184274</v>
      </c>
      <c r="J20" s="35">
        <v>62518374</v>
      </c>
      <c r="K20" s="79"/>
      <c r="L20" s="72"/>
      <c r="M20" s="22"/>
      <c r="N20" s="24"/>
    </row>
    <row r="21" spans="1:19" s="23" customFormat="1" ht="12.95" customHeight="1">
      <c r="A21" s="53">
        <v>44940</v>
      </c>
      <c r="B21" s="35">
        <v>1036250.9</v>
      </c>
      <c r="C21" s="35">
        <v>239921</v>
      </c>
      <c r="D21" s="32">
        <v>0.6</v>
      </c>
      <c r="E21" s="36">
        <v>7495.63</v>
      </c>
      <c r="F21" s="31">
        <v>4333.3</v>
      </c>
      <c r="G21" s="36">
        <v>49583.07</v>
      </c>
      <c r="H21" s="33">
        <v>14528</v>
      </c>
      <c r="I21" s="35">
        <v>184393</v>
      </c>
      <c r="J21" s="35">
        <v>62529696</v>
      </c>
      <c r="K21" s="79"/>
      <c r="L21" s="72"/>
      <c r="M21" s="22"/>
      <c r="N21" s="24"/>
      <c r="O21" s="24"/>
      <c r="P21" s="24"/>
      <c r="Q21" s="24"/>
      <c r="S21" s="24"/>
    </row>
    <row r="22" spans="1:19" s="23" customFormat="1" ht="12.95" customHeight="1">
      <c r="A22" s="53">
        <v>44941</v>
      </c>
      <c r="B22" s="35">
        <v>1040418.3</v>
      </c>
      <c r="C22" s="35">
        <v>245171</v>
      </c>
      <c r="D22" s="32">
        <v>0.57999999999999996</v>
      </c>
      <c r="E22" s="36">
        <v>7521.07</v>
      </c>
      <c r="F22" s="31">
        <v>4340.88</v>
      </c>
      <c r="G22" s="36">
        <v>49617.47</v>
      </c>
      <c r="H22" s="33">
        <v>14528</v>
      </c>
      <c r="I22" s="35">
        <v>184500</v>
      </c>
      <c r="J22" s="35">
        <v>62540696</v>
      </c>
      <c r="K22" s="79"/>
      <c r="L22" s="72"/>
      <c r="M22" s="22"/>
      <c r="N22" s="24"/>
      <c r="O22" s="24"/>
    </row>
    <row r="23" spans="1:19" s="23" customFormat="1" ht="12.95" customHeight="1">
      <c r="A23" s="53">
        <v>44942</v>
      </c>
      <c r="B23" s="35">
        <v>1044463</v>
      </c>
      <c r="C23" s="35">
        <v>250464</v>
      </c>
      <c r="D23" s="32">
        <v>0.42</v>
      </c>
      <c r="E23" s="36">
        <v>7547.1</v>
      </c>
      <c r="F23" s="31">
        <v>4348.09</v>
      </c>
      <c r="G23" s="36">
        <v>49651.9</v>
      </c>
      <c r="H23" s="33">
        <v>14528</v>
      </c>
      <c r="I23" s="35">
        <v>184602</v>
      </c>
      <c r="J23" s="35">
        <v>62552828</v>
      </c>
      <c r="K23" s="79"/>
      <c r="L23" s="72"/>
      <c r="M23" s="22"/>
      <c r="N23" s="24"/>
    </row>
    <row r="24" spans="1:19" s="23" customFormat="1" ht="12.95" customHeight="1">
      <c r="A24" s="53">
        <v>44943</v>
      </c>
      <c r="B24" s="35">
        <v>1048370.7</v>
      </c>
      <c r="C24" s="35">
        <v>255779</v>
      </c>
      <c r="D24" s="32">
        <v>0.34</v>
      </c>
      <c r="E24" s="36">
        <v>7569.48</v>
      </c>
      <c r="F24" s="31">
        <v>4354.72</v>
      </c>
      <c r="G24" s="36">
        <v>49684.11</v>
      </c>
      <c r="H24" s="33">
        <v>14528</v>
      </c>
      <c r="I24" s="35">
        <v>184714</v>
      </c>
      <c r="J24" s="35">
        <v>62564920</v>
      </c>
      <c r="K24" s="79"/>
      <c r="L24" s="73"/>
      <c r="M24" s="22"/>
      <c r="N24" s="24"/>
      <c r="O24" s="24"/>
    </row>
    <row r="25" spans="1:19" s="23" customFormat="1" ht="12.95" customHeight="1">
      <c r="A25" s="53">
        <v>44944</v>
      </c>
      <c r="B25" s="36">
        <v>1052266.7</v>
      </c>
      <c r="C25" s="36">
        <v>260980</v>
      </c>
      <c r="D25" s="32">
        <v>0.28000000000000003</v>
      </c>
      <c r="E25" s="36">
        <v>7594.48</v>
      </c>
      <c r="F25" s="31">
        <v>4361.92</v>
      </c>
      <c r="G25" s="36">
        <v>49719.5</v>
      </c>
      <c r="H25" s="33">
        <v>14528</v>
      </c>
      <c r="I25" s="35">
        <v>184816</v>
      </c>
      <c r="J25" s="35">
        <v>62577612</v>
      </c>
      <c r="K25" s="80">
        <v>3600</v>
      </c>
      <c r="L25" s="73"/>
      <c r="M25" s="22"/>
      <c r="N25" s="24"/>
      <c r="O25" s="24"/>
    </row>
    <row r="26" spans="1:19" s="23" customFormat="1" ht="12.95" customHeight="1">
      <c r="A26" s="53">
        <v>44945</v>
      </c>
      <c r="B26" s="36">
        <v>1056548.2</v>
      </c>
      <c r="C26" s="36">
        <v>266482</v>
      </c>
      <c r="D26" s="34">
        <v>0.8</v>
      </c>
      <c r="E26" s="36">
        <v>7621.9</v>
      </c>
      <c r="F26" s="31">
        <v>4369.1899999999996</v>
      </c>
      <c r="G26" s="36">
        <v>49752.73</v>
      </c>
      <c r="H26" s="33">
        <v>14528</v>
      </c>
      <c r="I26" s="35">
        <v>184930</v>
      </c>
      <c r="J26" s="35">
        <v>62590752</v>
      </c>
      <c r="K26" s="79"/>
      <c r="L26" s="73"/>
      <c r="M26" s="22"/>
      <c r="N26" s="24"/>
      <c r="O26" s="24"/>
    </row>
    <row r="27" spans="1:19" s="23" customFormat="1" ht="12.95" customHeight="1">
      <c r="A27" s="53">
        <v>44946</v>
      </c>
      <c r="B27" s="35">
        <v>1060908</v>
      </c>
      <c r="C27" s="35">
        <v>272177</v>
      </c>
      <c r="D27" s="32">
        <v>0.66</v>
      </c>
      <c r="E27" s="36">
        <v>7649.75</v>
      </c>
      <c r="F27" s="31">
        <v>4377.33</v>
      </c>
      <c r="G27" s="36">
        <v>49787.7</v>
      </c>
      <c r="H27" s="33">
        <v>14528</v>
      </c>
      <c r="I27" s="35">
        <v>185042</v>
      </c>
      <c r="J27" s="35">
        <v>62602888</v>
      </c>
      <c r="K27" s="79"/>
      <c r="L27" s="72"/>
      <c r="M27" s="22"/>
    </row>
    <row r="28" spans="1:19" s="23" customFormat="1" ht="12.95" customHeight="1">
      <c r="A28" s="53">
        <v>44947</v>
      </c>
      <c r="B28" s="35">
        <v>1065204.8</v>
      </c>
      <c r="C28" s="35">
        <v>278644</v>
      </c>
      <c r="D28" s="32">
        <v>0.59</v>
      </c>
      <c r="E28" s="36">
        <v>7677.04</v>
      </c>
      <c r="F28" s="31">
        <v>4385.6000000000004</v>
      </c>
      <c r="G28" s="36">
        <v>49825.75</v>
      </c>
      <c r="H28" s="33">
        <v>14528</v>
      </c>
      <c r="I28" s="35">
        <v>185154</v>
      </c>
      <c r="J28" s="35">
        <v>62614305</v>
      </c>
      <c r="K28" s="79"/>
      <c r="L28" s="72"/>
      <c r="M28" s="22"/>
    </row>
    <row r="29" spans="1:19" s="23" customFormat="1" ht="12.95" customHeight="1">
      <c r="A29" s="53">
        <v>44948</v>
      </c>
      <c r="B29" s="35">
        <v>1069250</v>
      </c>
      <c r="C29" s="35">
        <v>283638</v>
      </c>
      <c r="D29" s="32">
        <v>0.5</v>
      </c>
      <c r="E29" s="36">
        <v>7702.08</v>
      </c>
      <c r="F29" s="31">
        <v>4392.3900000000003</v>
      </c>
      <c r="G29" s="36">
        <v>49859.9</v>
      </c>
      <c r="H29" s="33">
        <v>14528</v>
      </c>
      <c r="I29" s="35">
        <v>185260</v>
      </c>
      <c r="J29" s="35">
        <v>62625999</v>
      </c>
      <c r="K29" s="79"/>
      <c r="L29" s="72"/>
      <c r="M29" s="22"/>
      <c r="N29" s="24"/>
    </row>
    <row r="30" spans="1:19" s="23" customFormat="1" ht="12.95" customHeight="1">
      <c r="A30" s="53">
        <v>44949</v>
      </c>
      <c r="B30" s="35">
        <v>1073319.5</v>
      </c>
      <c r="C30" s="35">
        <v>289041</v>
      </c>
      <c r="D30" s="32">
        <v>0.42</v>
      </c>
      <c r="E30" s="36">
        <v>7726.18</v>
      </c>
      <c r="F30" s="31">
        <v>4400.54</v>
      </c>
      <c r="G30" s="36">
        <v>49891.98</v>
      </c>
      <c r="H30" s="33">
        <v>14528</v>
      </c>
      <c r="I30" s="35">
        <v>185367</v>
      </c>
      <c r="J30" s="35">
        <v>62636666</v>
      </c>
      <c r="K30" s="79"/>
      <c r="L30" s="72"/>
      <c r="M30" s="22"/>
    </row>
    <row r="31" spans="1:19" s="23" customFormat="1" ht="12.95" customHeight="1">
      <c r="A31" s="53">
        <v>44950</v>
      </c>
      <c r="B31" s="35">
        <v>1077559.8</v>
      </c>
      <c r="C31" s="35">
        <v>294563</v>
      </c>
      <c r="D31" s="32">
        <v>0.36</v>
      </c>
      <c r="E31" s="36">
        <v>7753.1</v>
      </c>
      <c r="F31" s="31">
        <v>4408.3999999999996</v>
      </c>
      <c r="G31" s="36">
        <v>49924.800000000003</v>
      </c>
      <c r="H31" s="33">
        <v>14528</v>
      </c>
      <c r="I31" s="35">
        <v>185472</v>
      </c>
      <c r="J31" s="35">
        <v>62646740</v>
      </c>
      <c r="K31" s="79"/>
      <c r="L31" s="72"/>
      <c r="M31" s="22"/>
      <c r="N31" s="24"/>
      <c r="O31" s="24"/>
    </row>
    <row r="32" spans="1:19" s="23" customFormat="1" ht="12.95" customHeight="1">
      <c r="A32" s="53">
        <v>44951</v>
      </c>
      <c r="B32" s="35">
        <v>1081737.2</v>
      </c>
      <c r="C32" s="35">
        <v>300214</v>
      </c>
      <c r="D32" s="32">
        <v>0.28000000000000003</v>
      </c>
      <c r="E32" s="36">
        <v>7777.17</v>
      </c>
      <c r="F32" s="31">
        <v>4415.76</v>
      </c>
      <c r="G32" s="36">
        <v>49957.34</v>
      </c>
      <c r="H32" s="33">
        <v>14528</v>
      </c>
      <c r="I32" s="35">
        <v>185583</v>
      </c>
      <c r="J32" s="35">
        <v>62656900</v>
      </c>
      <c r="K32" s="79"/>
      <c r="L32" s="72"/>
      <c r="M32" s="22"/>
      <c r="N32" s="24"/>
      <c r="O32" s="24"/>
    </row>
    <row r="33" spans="1:16" s="23" customFormat="1" ht="12.95" customHeight="1">
      <c r="A33" s="53">
        <v>44952</v>
      </c>
      <c r="B33" s="35"/>
      <c r="C33" s="35"/>
      <c r="D33" s="32"/>
      <c r="E33" s="36"/>
      <c r="F33" s="31"/>
      <c r="G33" s="36"/>
      <c r="H33" s="33">
        <v>14528</v>
      </c>
      <c r="I33" s="35"/>
      <c r="J33" s="35"/>
      <c r="K33" s="79"/>
      <c r="L33" s="72"/>
      <c r="M33" s="25"/>
      <c r="N33" s="24"/>
      <c r="O33" s="24"/>
    </row>
    <row r="34" spans="1:16" s="23" customFormat="1" ht="12.95" customHeight="1">
      <c r="A34" s="53">
        <v>44953</v>
      </c>
      <c r="B34" s="35"/>
      <c r="C34" s="35"/>
      <c r="D34" s="32"/>
      <c r="E34" s="36"/>
      <c r="F34" s="31"/>
      <c r="G34" s="36"/>
      <c r="H34" s="33">
        <v>14528</v>
      </c>
      <c r="I34" s="36"/>
      <c r="J34" s="36"/>
      <c r="K34" s="79"/>
      <c r="L34" s="74"/>
      <c r="M34" s="25"/>
      <c r="N34" s="24"/>
      <c r="P34" s="24"/>
    </row>
    <row r="35" spans="1:16" s="23" customFormat="1" ht="12.95" customHeight="1">
      <c r="A35" s="53">
        <v>44954</v>
      </c>
      <c r="B35" s="33"/>
      <c r="C35" s="37"/>
      <c r="D35" s="32"/>
      <c r="E35" s="36"/>
      <c r="F35" s="31"/>
      <c r="G35" s="31"/>
      <c r="H35" s="33">
        <v>14528</v>
      </c>
      <c r="I35" s="33"/>
      <c r="J35" s="33"/>
      <c r="K35" s="79"/>
      <c r="L35" s="72"/>
      <c r="M35" s="22"/>
      <c r="N35" s="24"/>
      <c r="O35" s="24"/>
    </row>
    <row r="36" spans="1:16" s="23" customFormat="1" ht="12.95" customHeight="1">
      <c r="A36" s="53">
        <v>44955</v>
      </c>
      <c r="B36" s="33"/>
      <c r="C36" s="37"/>
      <c r="D36" s="32"/>
      <c r="E36" s="57"/>
      <c r="F36" s="31"/>
      <c r="G36" s="31"/>
      <c r="H36" s="33">
        <v>14528</v>
      </c>
      <c r="I36" s="33"/>
      <c r="J36" s="33"/>
      <c r="K36" s="79"/>
      <c r="L36" s="75"/>
      <c r="M36" s="22"/>
      <c r="N36" s="24"/>
      <c r="O36" s="24"/>
    </row>
    <row r="37" spans="1:16" s="23" customFormat="1" ht="12.95" customHeight="1">
      <c r="A37" s="53">
        <v>44956</v>
      </c>
      <c r="B37" s="33"/>
      <c r="C37" s="37"/>
      <c r="D37" s="32"/>
      <c r="E37" s="57"/>
      <c r="F37" s="31"/>
      <c r="G37" s="31"/>
      <c r="H37" s="33">
        <v>14528</v>
      </c>
      <c r="I37" s="33"/>
      <c r="J37" s="33"/>
      <c r="K37" s="79"/>
      <c r="L37" s="72"/>
      <c r="M37" s="22"/>
      <c r="N37" s="24"/>
      <c r="O37" s="24"/>
    </row>
    <row r="38" spans="1:16" s="23" customFormat="1" ht="12.95" customHeight="1" thickBot="1">
      <c r="A38" s="64">
        <v>44957</v>
      </c>
      <c r="B38" s="58"/>
      <c r="C38" s="59"/>
      <c r="D38" s="60"/>
      <c r="E38" s="61"/>
      <c r="F38" s="62"/>
      <c r="G38" s="62"/>
      <c r="H38" s="58">
        <v>14528</v>
      </c>
      <c r="I38" s="58"/>
      <c r="J38" s="58"/>
      <c r="K38" s="81"/>
      <c r="L38" s="76"/>
      <c r="M38" s="18"/>
      <c r="N38" s="24"/>
      <c r="O38" s="24"/>
    </row>
    <row r="39" spans="1:16" s="29" customFormat="1">
      <c r="A39" s="26" t="s">
        <v>38</v>
      </c>
      <c r="B39" s="27"/>
      <c r="C39" s="27"/>
      <c r="D39" s="27"/>
      <c r="E39" s="27"/>
      <c r="F39" s="27"/>
      <c r="G39" s="27"/>
      <c r="H39" s="27">
        <f t="shared" ref="H39" si="0">H38-H7</f>
        <v>0</v>
      </c>
      <c r="I39" s="27"/>
      <c r="J39" s="27"/>
      <c r="K39" s="27">
        <f>SUM(K7:K37)</f>
        <v>11700</v>
      </c>
      <c r="L39" s="18"/>
      <c r="M39" s="18"/>
    </row>
    <row r="40" spans="1:16" s="29" customFormat="1">
      <c r="A40" s="18"/>
      <c r="B40" s="18"/>
      <c r="C40" s="27"/>
      <c r="D40" s="18"/>
      <c r="E40" s="44"/>
      <c r="F40" s="44"/>
      <c r="G40" s="44"/>
      <c r="H40" s="28">
        <f>H39*219.969</f>
        <v>0</v>
      </c>
      <c r="I40" s="27">
        <f>I39*219.969</f>
        <v>0</v>
      </c>
      <c r="J40" s="44"/>
      <c r="K40" s="18"/>
      <c r="L40" s="18"/>
    </row>
    <row r="41" spans="1:16">
      <c r="B41" s="44"/>
      <c r="C41" s="44"/>
      <c r="E41" s="44"/>
      <c r="F41" s="44"/>
      <c r="G41" s="44"/>
      <c r="H41" s="44"/>
      <c r="I41" s="44"/>
      <c r="J41" s="44"/>
    </row>
    <row r="42" spans="1:16">
      <c r="I42" s="28"/>
    </row>
    <row r="43" spans="1:16">
      <c r="C43" s="44"/>
    </row>
    <row r="44" spans="1:16">
      <c r="J44" s="45"/>
    </row>
    <row r="45" spans="1:16">
      <c r="C45" s="46"/>
      <c r="I45" s="4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1" ma:contentTypeDescription="Create a new document." ma:contentTypeScope="" ma:versionID="8291c09723ff20ae5e1c720e26c47ba0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caa3492c76a113754f91c54b17b5579b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BFDC1-0E48-4529-A4CC-9EE8A0C44252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2023-01-25T04:55:05Z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