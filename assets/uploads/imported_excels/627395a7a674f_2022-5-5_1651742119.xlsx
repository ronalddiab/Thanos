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19\2. February 2019\"/>
    </mc:Choice>
  </mc:AlternateContent>
  <bookViews>
    <workbookView xWindow="0" yWindow="0" windowWidth="28800" windowHeight="12435" tabRatio="762"/>
  </bookViews>
  <sheets>
    <sheet name="TOTAL" sheetId="11" r:id="rId1"/>
    <sheet name="FS Jimbaran February 2019" sheetId="14" r:id="rId2"/>
    <sheet name="RNs &amp; Covers February 2019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4" l="1"/>
  <c r="N12" i="14"/>
  <c r="O12" i="14" s="1"/>
  <c r="P12" i="14"/>
  <c r="V12" i="14"/>
  <c r="AA12" i="14"/>
  <c r="AB12" i="14"/>
  <c r="I13" i="14"/>
  <c r="N13" i="14"/>
  <c r="O13" i="14" s="1"/>
  <c r="P13" i="14"/>
  <c r="V13" i="14"/>
  <c r="AA13" i="14"/>
  <c r="AB13" i="14"/>
  <c r="V33" i="14" l="1"/>
  <c r="V34" i="14"/>
  <c r="V35" i="14"/>
  <c r="V36" i="14"/>
  <c r="V37" i="14"/>
  <c r="V38" i="14"/>
  <c r="V39" i="14"/>
  <c r="U33" i="14"/>
  <c r="U34" i="14"/>
  <c r="U35" i="14"/>
  <c r="U36" i="14"/>
  <c r="U37" i="14"/>
  <c r="U38" i="14"/>
  <c r="U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G31" i="14"/>
  <c r="AI31" i="14" s="1"/>
  <c r="AG32" i="14"/>
  <c r="AI32" i="14" s="1"/>
  <c r="AG33" i="14"/>
  <c r="AI33" i="14" s="1"/>
  <c r="AG34" i="14"/>
  <c r="AI34" i="14" s="1"/>
  <c r="AG35" i="14"/>
  <c r="AI35" i="14" s="1"/>
  <c r="AG36" i="14"/>
  <c r="AI36" i="14" s="1"/>
  <c r="AG37" i="14"/>
  <c r="AI37" i="14" s="1"/>
  <c r="AG38" i="14"/>
  <c r="AI38" i="14" s="1"/>
  <c r="AG39" i="14"/>
  <c r="AI39" i="14" s="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I36" i="14"/>
  <c r="I35" i="14"/>
  <c r="I34" i="14"/>
  <c r="I33" i="14"/>
  <c r="I32" i="14"/>
  <c r="I31" i="14"/>
  <c r="O32" i="14" l="1"/>
  <c r="U32" i="14" s="1"/>
  <c r="O37" i="14"/>
  <c r="O35" i="14"/>
  <c r="O39" i="14"/>
  <c r="O33" i="14"/>
  <c r="O34" i="14"/>
  <c r="O36" i="14"/>
  <c r="O38" i="14"/>
  <c r="O31" i="14"/>
  <c r="U31" i="14" s="1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C38" i="10"/>
  <c r="B38" i="10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AG30" i="14"/>
  <c r="N30" i="14"/>
  <c r="I30" i="14"/>
  <c r="AL29" i="14"/>
  <c r="AG29" i="14"/>
  <c r="N29" i="14"/>
  <c r="I29" i="14"/>
  <c r="AL28" i="14"/>
  <c r="AG28" i="14"/>
  <c r="N28" i="14"/>
  <c r="I28" i="14"/>
  <c r="AG27" i="14"/>
  <c r="N27" i="14"/>
  <c r="I27" i="14"/>
  <c r="AL26" i="14"/>
  <c r="AG26" i="14"/>
  <c r="AI26" i="14" s="1"/>
  <c r="I26" i="14"/>
  <c r="AL25" i="14"/>
  <c r="I15" i="11"/>
  <c r="AG25" i="14"/>
  <c r="N25" i="14"/>
  <c r="P25" i="14"/>
  <c r="AL24" i="14"/>
  <c r="AG24" i="14"/>
  <c r="K14" i="11"/>
  <c r="N24" i="14"/>
  <c r="I24" i="14"/>
  <c r="AL23" i="14"/>
  <c r="AG23" i="14"/>
  <c r="P23" i="14"/>
  <c r="N23" i="14"/>
  <c r="AG22" i="14"/>
  <c r="N22" i="14"/>
  <c r="I22" i="14"/>
  <c r="AG21" i="14"/>
  <c r="P21" i="14"/>
  <c r="N21" i="14"/>
  <c r="AL20" i="14"/>
  <c r="AG20" i="14"/>
  <c r="AA20" i="14"/>
  <c r="AB20" i="14" s="1"/>
  <c r="N20" i="14"/>
  <c r="I20" i="14"/>
  <c r="I9" i="11"/>
  <c r="AG19" i="14"/>
  <c r="AA19" i="14"/>
  <c r="AB19" i="14" s="1"/>
  <c r="N19" i="14"/>
  <c r="AL18" i="14"/>
  <c r="AG18" i="14"/>
  <c r="P18" i="14"/>
  <c r="I18" i="14"/>
  <c r="AL17" i="14"/>
  <c r="I7" i="11"/>
  <c r="AG17" i="14"/>
  <c r="P17" i="14"/>
  <c r="N17" i="14"/>
  <c r="AL16" i="14"/>
  <c r="AG16" i="14"/>
  <c r="K6" i="11"/>
  <c r="N16" i="14"/>
  <c r="I16" i="14"/>
  <c r="AL15" i="14"/>
  <c r="AG15" i="14"/>
  <c r="P15" i="14"/>
  <c r="N15" i="14"/>
  <c r="AG14" i="14"/>
  <c r="N14" i="14"/>
  <c r="AL13" i="14"/>
  <c r="AG13" i="14"/>
  <c r="AG12" i="14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U29" i="14" s="1"/>
  <c r="O27" i="14"/>
  <c r="U27" i="14" s="1"/>
  <c r="G20" i="11"/>
  <c r="O20" i="14"/>
  <c r="U20" i="14" s="1"/>
  <c r="O30" i="14"/>
  <c r="U30" i="14" s="1"/>
  <c r="G15" i="11"/>
  <c r="G14" i="11"/>
  <c r="O28" i="14"/>
  <c r="U28" i="14" s="1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AA15" i="14"/>
  <c r="AA17" i="14"/>
  <c r="AA23" i="14"/>
  <c r="O24" i="14"/>
  <c r="U24" i="14" s="1"/>
  <c r="P27" i="14"/>
  <c r="P29" i="14"/>
  <c r="P30" i="14"/>
  <c r="J16" i="11"/>
  <c r="J8" i="11"/>
  <c r="K3" i="11"/>
  <c r="G6" i="11"/>
  <c r="I12" i="11"/>
  <c r="I4" i="11"/>
  <c r="J15" i="11"/>
  <c r="I19" i="14"/>
  <c r="O19" i="14" s="1"/>
  <c r="U19" i="14" s="1"/>
  <c r="G12" i="11"/>
  <c r="G4" i="11"/>
  <c r="I18" i="11"/>
  <c r="K16" i="11"/>
  <c r="K8" i="11"/>
  <c r="L46" i="14"/>
  <c r="P14" i="14"/>
  <c r="P20" i="14"/>
  <c r="P22" i="14"/>
  <c r="AA29" i="14"/>
  <c r="G19" i="11"/>
  <c r="I17" i="11"/>
  <c r="K15" i="11"/>
  <c r="K7" i="11"/>
  <c r="L10" i="11"/>
  <c r="AF46" i="14"/>
  <c r="I10" i="11"/>
  <c r="M46" i="14"/>
  <c r="P16" i="14"/>
  <c r="I17" i="14"/>
  <c r="N18" i="14"/>
  <c r="O18" i="14" s="1"/>
  <c r="I21" i="14"/>
  <c r="O21" i="14" s="1"/>
  <c r="AA27" i="14"/>
  <c r="G18" i="11"/>
  <c r="G10" i="11"/>
  <c r="I16" i="11"/>
  <c r="I8" i="11"/>
  <c r="J19" i="11"/>
  <c r="J3" i="11"/>
  <c r="L9" i="11"/>
  <c r="K46" i="14"/>
  <c r="O22" i="14"/>
  <c r="AA24" i="14"/>
  <c r="P26" i="14"/>
  <c r="E46" i="14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6" i="14"/>
  <c r="V46" i="14"/>
  <c r="W50" i="14" s="1"/>
  <c r="I14" i="14"/>
  <c r="O14" i="14" s="1"/>
  <c r="AA14" i="14"/>
  <c r="P24" i="14"/>
  <c r="I25" i="14"/>
  <c r="O25" i="14" s="1"/>
  <c r="N26" i="14"/>
  <c r="O26" i="14" s="1"/>
  <c r="U26" i="14" s="1"/>
  <c r="I14" i="11"/>
  <c r="I6" i="11"/>
  <c r="K12" i="11"/>
  <c r="K4" i="11"/>
  <c r="L2" i="11"/>
  <c r="H2" i="11"/>
  <c r="AA18" i="14"/>
  <c r="AA26" i="14"/>
  <c r="AA22" i="14"/>
  <c r="AA30" i="14"/>
  <c r="H46" i="14"/>
  <c r="AA28" i="14"/>
  <c r="J2" i="11"/>
  <c r="AC46" i="14"/>
  <c r="F5" i="11" l="1"/>
  <c r="E2" i="11"/>
  <c r="F15" i="11"/>
  <c r="U25" i="14"/>
  <c r="E4" i="11"/>
  <c r="E6" i="11"/>
  <c r="F11" i="11"/>
  <c r="U21" i="14"/>
  <c r="E19" i="11"/>
  <c r="E16" i="11"/>
  <c r="E18" i="11"/>
  <c r="F13" i="11"/>
  <c r="U23" i="14"/>
  <c r="F12" i="11"/>
  <c r="U22" i="14"/>
  <c r="E12" i="11"/>
  <c r="E9" i="11"/>
  <c r="E3" i="11"/>
  <c r="E10" i="11"/>
  <c r="E20" i="11"/>
  <c r="E14" i="11"/>
  <c r="F8" i="11"/>
  <c r="U18" i="14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L3" i="11"/>
  <c r="AK46" i="14"/>
  <c r="AL46" i="14" s="1"/>
  <c r="AL12" i="14"/>
  <c r="AA16" i="14"/>
  <c r="AA46" i="14" s="1"/>
  <c r="AB46" i="14" s="1"/>
  <c r="AH46" i="14"/>
  <c r="AI46" i="14" s="1"/>
  <c r="AI12" i="14"/>
  <c r="N46" i="14"/>
  <c r="P46" i="14"/>
  <c r="Z46" i="14"/>
  <c r="F7" i="11" l="1"/>
  <c r="F2" i="11"/>
  <c r="AB16" i="14"/>
  <c r="L6" i="11"/>
  <c r="O46" i="14"/>
  <c r="U47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</calcChain>
</file>

<file path=xl/sharedStrings.xml><?xml version="1.0" encoding="utf-8"?>
<sst xmlns="http://schemas.openxmlformats.org/spreadsheetml/2006/main" count="97" uniqueCount="54">
  <si>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</si>
  <si>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</si>
  <si>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</si>
  <si>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</si>
  <si>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</si>
  <si>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</si>
  <si>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</si>
  <si>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</si>
  <si>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</si>
  <si>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</si>
  <si>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</si>
  <si>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</si>
  <si>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</si>
  <si>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</si>
  <si>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</si>
  <si>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</si>
  <si>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</si>
  <si>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</si>
  <si>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</si>
  <si>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</si>
  <si>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</si>
  <si>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</si>
  <si>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</si>
  <si>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</si>
  <si>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</si>
  <si>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</si>
  <si>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</si>
  <si>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</si>
  <si>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</si>
  <si>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</si>
  <si>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</si>
  <si>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</si>
  <si>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</si>
  <si>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</si>
  <si>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</si>
  <si>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</si>
  <si>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</si>
  <si>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</si>
  <si>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</si>
  <si>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</si>
  <si>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</si>
  <si>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</si>
  <si>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</si>
  <si>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</si>
  <si>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</si>
  <si>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</si>
  <si>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</si>
  <si>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</si>
  <si>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</si>
  <si>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</si>
  <si>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</si>
  <si>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</si>
  <si>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</si>
  <si>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FEBRUARY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</si>
</sst>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  <numFmt numFmtId="172" formatCode="0.0%"/>
    <numFmt numFmtId="173" formatCode="_-* #,##0.000_-;\-* #,##0.00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</cellStyleXfs>
  <cellXfs count="287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71" fontId="0" fillId="0" borderId="6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168" fontId="4" fillId="3" borderId="0" xfId="0" applyNumberFormat="1" applyFont="1" applyFill="1" applyBorder="1"/>
    <xf numFmtId="168" fontId="4" fillId="0" borderId="0" xfId="0" applyNumberFormat="1" applyFont="1" applyBorder="1"/>
    <xf numFmtId="166" fontId="4" fillId="0" borderId="0" xfId="1" applyNumberFormat="1" applyFont="1" applyBorder="1"/>
    <xf numFmtId="172" fontId="4" fillId="0" borderId="0" xfId="5" applyNumberFormat="1" applyFont="1" applyBorder="1"/>
    <xf numFmtId="170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3" borderId="0" xfId="2" applyNumberFormat="1" applyFont="1" applyFill="1" applyBorder="1"/>
    <xf numFmtId="168" fontId="19" fillId="0" borderId="0" xfId="2" applyNumberFormat="1" applyFont="1" applyBorder="1"/>
    <xf numFmtId="3" fontId="19" fillId="0" borderId="0" xfId="0" applyNumberFormat="1" applyFont="1"/>
    <xf numFmtId="173" fontId="19" fillId="0" borderId="0" xfId="2" applyNumberFormat="1" applyFont="1"/>
    <xf numFmtId="10" fontId="19" fillId="0" borderId="0" xfId="5" applyNumberFormat="1" applyFont="1"/>
    <xf numFmtId="166" fontId="19" fillId="0" borderId="0" xfId="1" applyFont="1" applyBorder="1"/>
    <xf numFmtId="168" fontId="20" fillId="0" borderId="0" xfId="2" applyNumberFormat="1" applyFont="1" applyBorder="1"/>
    <xf numFmtId="171" fontId="19" fillId="0" borderId="0" xfId="2" applyNumberFormat="1" applyFont="1" applyBorder="1"/>
    <xf numFmtId="168" fontId="19" fillId="0" borderId="0" xfId="2" applyNumberFormat="1" applyFont="1" applyBorder="1" applyAlignment="1">
      <alignment horizontal="right"/>
    </xf>
    <xf numFmtId="172" fontId="19" fillId="0" borderId="0" xfId="5" applyNumberFormat="1" applyFont="1" applyBorder="1"/>
    <xf numFmtId="168" fontId="21" fillId="0" borderId="0" xfId="2" applyNumberFormat="1" applyFont="1" applyBorder="1"/>
    <xf numFmtId="0" fontId="19" fillId="0" borderId="0" xfId="0" applyFont="1"/>
    <xf numFmtId="170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70" xfId="2" applyFont="1" applyFill="1" applyBorder="1"/>
    <xf numFmtId="43" fontId="0" fillId="3" borderId="5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168" fontId="0" fillId="0" borderId="0" xfId="0" applyNumberFormat="1" applyFont="1" applyBorder="1"/>
    <xf numFmtId="9" fontId="17" fillId="0" borderId="0" xfId="5" applyFont="1"/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69" fontId="22" fillId="0" borderId="8" xfId="0" applyNumberFormat="1" applyFont="1" applyBorder="1"/>
    <xf numFmtId="37" fontId="22" fillId="0" borderId="8" xfId="0" applyNumberFormat="1" applyFont="1" applyBorder="1"/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190394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0"/>
  <sheetViews>
    <sheetView tabSelected="1" workbookViewId="0">
      <selection activeCell="P11" sqref="P11"/>
    </sheetView>
  </sheetViews>
  <sheetFormatPr defaultColWidth="11.5703125" defaultRowHeight="15" x14ac:dyDescent="0.25"/>
  <cols>
    <col min="1" max="1" width="18.42578125" style="171" customWidth="1"/>
    <col min="2" max="2" width="11.5703125" style="172"/>
    <col min="3" max="3" width="11.5703125" style="173"/>
    <col min="4" max="4" width="13.42578125" style="172" customWidth="1"/>
    <col min="5" max="5" width="12.5703125" style="170" customWidth="1"/>
    <col min="6" max="6" width="12.5703125" style="174" customWidth="1"/>
    <col min="7" max="7" width="11.5703125" style="170"/>
    <col min="8" max="8" width="11.5703125" style="174"/>
    <col min="9" max="9" width="11.5703125" style="175"/>
    <col min="10" max="10" width="11.5703125" style="176"/>
    <col min="11" max="11" width="11.5703125" style="170"/>
    <col min="12" max="12" width="11.5703125" style="176"/>
    <col min="13" max="26" width="11.5703125" style="170"/>
  </cols>
  <sheetData>
    <row r="1" spans="1:15" s="164" customFormat="1" ht="43.15" x14ac:dyDescent="0.3">
      <c r="A1" s="160" t="s">
        <v>37</v>
      </c>
      <c r="B1" s="160" t="s">
        <v>38</v>
      </c>
      <c r="C1" s="161" t="s">
        <v>39</v>
      </c>
      <c r="D1" s="160" t="s">
        <v>40</v>
      </c>
      <c r="E1" s="159" t="s">
        <v>41</v>
      </c>
      <c r="F1" s="162" t="s">
        <v>42</v>
      </c>
      <c r="G1" s="159" t="s">
        <v>47</v>
      </c>
      <c r="H1" s="162" t="s">
        <v>48</v>
      </c>
      <c r="I1" s="178" t="s">
        <v>50</v>
      </c>
      <c r="J1" s="162" t="s">
        <v>51</v>
      </c>
      <c r="K1" s="159" t="s">
        <v>43</v>
      </c>
      <c r="L1" s="163" t="s">
        <v>44</v>
      </c>
      <c r="M1" s="159" t="s">
        <v>45</v>
      </c>
      <c r="N1" s="159" t="s">
        <v>3</v>
      </c>
    </row>
    <row r="2" spans="1:15" x14ac:dyDescent="0.25">
      <c r="A2" s="165" t="s">
        <v>49</v>
      </c>
      <c r="B2" s="166">
        <v>1</v>
      </c>
      <c r="C2" s="167">
        <v>2</v>
      </c>
      <c r="D2" s="166">
        <v>2019</v>
      </c>
      <c r="E2" s="168">
        <f>'FS Jimbaran February 2019'!P12</f>
        <v>24460.000000000036</v>
      </c>
      <c r="F2" s="177">
        <f>'FS Jimbaran February 2019'!O12/'FS Jimbaran February 2019'!P12</f>
        <v>1131.0582093213407</v>
      </c>
      <c r="G2" s="168">
        <f>'FS Jimbaran February 2019'!AG12</f>
        <v>302.1743999999531</v>
      </c>
      <c r="H2" s="177">
        <f>'FS Jimbaran February 2019'!AH12/'FS Jimbaran February 2019'!AG12</f>
        <v>10770.4852826713</v>
      </c>
      <c r="I2" s="168">
        <f>'FS Jimbaran February 2019'!AJ12</f>
        <v>594.41000000000349</v>
      </c>
      <c r="J2" s="169">
        <f>'FS Jimbaran February 2019'!AK12/'FS Jimbaran February 2019'!AJ12</f>
        <v>10000</v>
      </c>
      <c r="K2" s="168">
        <f>'FS Jimbaran February 2019'!V12</f>
        <v>864.18999999999994</v>
      </c>
      <c r="L2" s="177">
        <f>'FS Jimbaran February 2019'!AA12/'FS Jimbaran February 2019'!V12</f>
        <v>7934.4781668383112</v>
      </c>
      <c r="M2" s="168">
        <v>53</v>
      </c>
      <c r="N2" s="168">
        <v>498</v>
      </c>
    </row>
    <row r="3" spans="1:15" x14ac:dyDescent="0.25">
      <c r="A3" s="165" t="s">
        <v>49</v>
      </c>
      <c r="B3" s="166">
        <f>B2+1</f>
        <v>2</v>
      </c>
      <c r="C3" s="167">
        <v>2</v>
      </c>
      <c r="D3" s="166">
        <v>2019</v>
      </c>
      <c r="E3" s="179">
        <f>'FS Jimbaran February 2019'!P13</f>
        <v>25359.999999999785</v>
      </c>
      <c r="F3" s="177">
        <f>'FS Jimbaran February 2019'!O13/'FS Jimbaran February 2019'!P13</f>
        <v>1130.9443296529969</v>
      </c>
      <c r="G3" s="179">
        <f>'FS Jimbaran February 2019'!AG13</f>
        <v>138.0798399999953</v>
      </c>
      <c r="H3" s="177">
        <f>'FS Jimbaran February 2019'!AH13/'FS Jimbaran February 2019'!AG13</f>
        <v>10120</v>
      </c>
      <c r="I3" s="179">
        <f>'FS Jimbaran February 2019'!AJ13</f>
        <v>623.94999999999709</v>
      </c>
      <c r="J3" s="169">
        <f>'FS Jimbaran February 2019'!AK13/'FS Jimbaran February 2019'!AJ13</f>
        <v>10000</v>
      </c>
      <c r="K3" s="179">
        <f>'FS Jimbaran February 2019'!V13</f>
        <v>948.74</v>
      </c>
      <c r="L3" s="177">
        <f>'FS Jimbaran February 2019'!AA13/'FS Jimbaran February 2019'!V13</f>
        <v>7940.4584615384629</v>
      </c>
      <c r="M3" s="179">
        <v>63</v>
      </c>
      <c r="N3" s="179">
        <v>624</v>
      </c>
    </row>
    <row r="4" spans="1:15" x14ac:dyDescent="0.25">
      <c r="A4" s="165" t="s">
        <v>49</v>
      </c>
      <c r="B4" s="166">
        <f t="shared" ref="B4:B29" si="0">B3+1</f>
        <v>3</v>
      </c>
      <c r="C4" s="167">
        <v>2</v>
      </c>
      <c r="D4" s="166">
        <v>2019</v>
      </c>
      <c r="E4" s="179">
        <f>'FS Jimbaran February 2019'!P14</f>
        <v>26420.000000000298</v>
      </c>
      <c r="F4" s="177">
        <f>'FS Jimbaran February 2019'!O14/'FS Jimbaran February 2019'!P14</f>
        <v>1129.4784935654791</v>
      </c>
      <c r="G4" s="179">
        <f>'FS Jimbaran February 2019'!AG14</f>
        <v>165.10084000005392</v>
      </c>
      <c r="H4" s="177">
        <f>'FS Jimbaran February 2019'!AH14/'FS Jimbaran February 2019'!AG14</f>
        <v>10338.775386000389</v>
      </c>
      <c r="I4" s="179">
        <f>'FS Jimbaran February 2019'!AJ14</f>
        <v>552.20000000000437</v>
      </c>
      <c r="J4" s="169">
        <f>'FS Jimbaran February 2019'!AK14/'FS Jimbaran February 2019'!AJ14</f>
        <v>10000</v>
      </c>
      <c r="K4" s="179">
        <f>'FS Jimbaran February 2019'!V14</f>
        <v>937.17000000000007</v>
      </c>
      <c r="L4" s="177">
        <f>'FS Jimbaran February 2019'!AA14/'FS Jimbaran February 2019'!V14</f>
        <v>7790.5618043684717</v>
      </c>
      <c r="M4" s="179">
        <v>71</v>
      </c>
      <c r="N4" s="179">
        <v>773</v>
      </c>
    </row>
    <row r="5" spans="1:15" x14ac:dyDescent="0.25">
      <c r="A5" s="165" t="s">
        <v>49</v>
      </c>
      <c r="B5" s="166">
        <f t="shared" si="0"/>
        <v>4</v>
      </c>
      <c r="C5" s="167">
        <v>2</v>
      </c>
      <c r="D5" s="166">
        <v>2019</v>
      </c>
      <c r="E5" s="179">
        <f>'FS Jimbaran February 2019'!P15</f>
        <v>25819.999999999822</v>
      </c>
      <c r="F5" s="177">
        <f>'FS Jimbaran February 2019'!O15/'FS Jimbaran February 2019'!P15</f>
        <v>1129.2489155693263</v>
      </c>
      <c r="G5" s="179">
        <f>'FS Jimbaran February 2019'!AG15</f>
        <v>153.74875999999296</v>
      </c>
      <c r="H5" s="177">
        <f>'FS Jimbaran February 2019'!AH15/'FS Jimbaran February 2019'!AG15</f>
        <v>10120</v>
      </c>
      <c r="I5" s="179">
        <f>'FS Jimbaran February 2019'!AJ15</f>
        <v>479.48999999999796</v>
      </c>
      <c r="J5" s="169">
        <f>'FS Jimbaran February 2019'!AK15/'FS Jimbaran February 2019'!AJ15</f>
        <v>10000</v>
      </c>
      <c r="K5" s="179">
        <f>'FS Jimbaran February 2019'!V15</f>
        <v>902.46</v>
      </c>
      <c r="L5" s="177">
        <f>'FS Jimbaran February 2019'!AA15/'FS Jimbaran February 2019'!V15</f>
        <v>7629.1346351084821</v>
      </c>
      <c r="M5" s="179">
        <v>80</v>
      </c>
      <c r="N5" s="179">
        <v>735</v>
      </c>
    </row>
    <row r="6" spans="1:15" x14ac:dyDescent="0.25">
      <c r="A6" s="165" t="s">
        <v>49</v>
      </c>
      <c r="B6" s="166">
        <f t="shared" si="0"/>
        <v>5</v>
      </c>
      <c r="C6" s="167">
        <v>2</v>
      </c>
      <c r="D6" s="166">
        <v>2019</v>
      </c>
      <c r="E6" s="179">
        <f>'FS Jimbaran February 2019'!P16</f>
        <v>26460.000000000036</v>
      </c>
      <c r="F6" s="177">
        <f>'FS Jimbaran February 2019'!O16/'FS Jimbaran February 2019'!P16</f>
        <v>1130.5112018140617</v>
      </c>
      <c r="G6" s="179">
        <f>'FS Jimbaran February 2019'!AG16</f>
        <v>140.01327999997889</v>
      </c>
      <c r="H6" s="177">
        <f>'FS Jimbaran February 2019'!AH16/'FS Jimbaran February 2019'!AG16</f>
        <v>10120</v>
      </c>
      <c r="I6" s="179">
        <f>'FS Jimbaran February 2019'!AJ16</f>
        <v>421.01000000000204</v>
      </c>
      <c r="J6" s="169">
        <f>'FS Jimbaran February 2019'!AK16/'FS Jimbaran February 2019'!AJ16</f>
        <v>10000</v>
      </c>
      <c r="K6" s="179">
        <f>'FS Jimbaran February 2019'!V16</f>
        <v>928.2700000000001</v>
      </c>
      <c r="L6" s="177">
        <f>'FS Jimbaran February 2019'!AA16/'FS Jimbaran February 2019'!V16</f>
        <v>7929.8296644295315</v>
      </c>
      <c r="M6" s="179">
        <v>98</v>
      </c>
      <c r="N6" s="179">
        <v>681</v>
      </c>
    </row>
    <row r="7" spans="1:15" x14ac:dyDescent="0.25">
      <c r="A7" s="165" t="s">
        <v>49</v>
      </c>
      <c r="B7" s="166">
        <f t="shared" si="0"/>
        <v>6</v>
      </c>
      <c r="C7" s="167">
        <v>2</v>
      </c>
      <c r="D7" s="166">
        <v>2019</v>
      </c>
      <c r="E7" s="179">
        <f>'FS Jimbaran February 2019'!P17</f>
        <v>27479.999999999905</v>
      </c>
      <c r="F7" s="177">
        <f>'FS Jimbaran February 2019'!O17/'FS Jimbaran February 2019'!P17</f>
        <v>1128.1257423580785</v>
      </c>
      <c r="G7" s="179">
        <f>'FS Jimbaran February 2019'!AG17</f>
        <v>137.47564000001873</v>
      </c>
      <c r="H7" s="177">
        <f>'FS Jimbaran February 2019'!AH17/'FS Jimbaran February 2019'!AG17</f>
        <v>10120</v>
      </c>
      <c r="I7" s="179">
        <f>'FS Jimbaran February 2019'!AJ17</f>
        <v>433.53000000000611</v>
      </c>
      <c r="J7" s="169">
        <f>'FS Jimbaran February 2019'!AK17/'FS Jimbaran February 2019'!AJ17</f>
        <v>10000</v>
      </c>
      <c r="K7" s="179">
        <f>'FS Jimbaran February 2019'!V17</f>
        <v>884.66000000000008</v>
      </c>
      <c r="L7" s="177">
        <f>'FS Jimbaran February 2019'!AA17/'FS Jimbaran February 2019'!V17</f>
        <v>7890.5366197183093</v>
      </c>
      <c r="M7" s="179">
        <v>112</v>
      </c>
      <c r="N7" s="179">
        <v>768</v>
      </c>
    </row>
    <row r="8" spans="1:15" x14ac:dyDescent="0.25">
      <c r="A8" s="165" t="s">
        <v>49</v>
      </c>
      <c r="B8" s="166">
        <f t="shared" si="0"/>
        <v>7</v>
      </c>
      <c r="C8" s="167">
        <v>2</v>
      </c>
      <c r="D8" s="166">
        <v>2019</v>
      </c>
      <c r="E8" s="179">
        <f>'FS Jimbaran February 2019'!P18</f>
        <v>28780.0000000002</v>
      </c>
      <c r="F8" s="177">
        <f>'FS Jimbaran February 2019'!O18/'FS Jimbaran February 2019'!P18</f>
        <v>1126.1138359972194</v>
      </c>
      <c r="G8" s="179">
        <f>'FS Jimbaran February 2019'!AG18</f>
        <v>238.2321199999742</v>
      </c>
      <c r="H8" s="177">
        <f>'FS Jimbaran February 2019'!AH18/'FS Jimbaran February 2019'!AG18</f>
        <v>10650.658922063129</v>
      </c>
      <c r="I8" s="179">
        <f>'FS Jimbaran February 2019'!AJ18</f>
        <v>738.11999999999534</v>
      </c>
      <c r="J8" s="169">
        <f>'FS Jimbaran February 2019'!AK18/'FS Jimbaran February 2019'!AJ18</f>
        <v>10000</v>
      </c>
      <c r="K8" s="179">
        <f>'FS Jimbaran February 2019'!V18</f>
        <v>844.61</v>
      </c>
      <c r="L8" s="177">
        <f>'FS Jimbaran February 2019'!AA18/'FS Jimbaran February 2019'!V18</f>
        <v>7817.5235616438358</v>
      </c>
      <c r="M8" s="179">
        <v>125</v>
      </c>
      <c r="N8" s="179">
        <v>837</v>
      </c>
    </row>
    <row r="9" spans="1:15" x14ac:dyDescent="0.25">
      <c r="A9" s="165" t="s">
        <v>49</v>
      </c>
      <c r="B9" s="166">
        <f t="shared" si="0"/>
        <v>8</v>
      </c>
      <c r="C9" s="167">
        <v>2</v>
      </c>
      <c r="D9" s="166">
        <v>2019</v>
      </c>
      <c r="E9" s="179">
        <f>'FS Jimbaran February 2019'!P19</f>
        <v>25799.999999999956</v>
      </c>
      <c r="F9" s="177">
        <f>'FS Jimbaran February 2019'!O19/'FS Jimbaran February 2019'!P19</f>
        <v>1128.1169767441888</v>
      </c>
      <c r="G9" s="179">
        <f>'FS Jimbaran February 2019'!AG19</f>
        <v>159.58935999998121</v>
      </c>
      <c r="H9" s="177">
        <f>'FS Jimbaran February 2019'!AH19/'FS Jimbaran February 2019'!AG19</f>
        <v>10120</v>
      </c>
      <c r="I9" s="179">
        <f>'FS Jimbaran February 2019'!AJ19</f>
        <v>587.2300000000032</v>
      </c>
      <c r="J9" s="169">
        <f>'FS Jimbaran February 2019'!AK19/'FS Jimbaran February 2019'!AJ19</f>
        <v>10000</v>
      </c>
      <c r="K9" s="179">
        <f>'FS Jimbaran February 2019'!V19</f>
        <v>902.46</v>
      </c>
      <c r="L9" s="177">
        <f>'FS Jimbaran February 2019'!AA19/'FS Jimbaran February 2019'!V19</f>
        <v>7859.2435502958588</v>
      </c>
      <c r="M9" s="179">
        <v>135</v>
      </c>
      <c r="N9" s="179">
        <v>949</v>
      </c>
      <c r="O9" s="170" t="s">
        <v>46</v>
      </c>
    </row>
    <row r="10" spans="1:15" x14ac:dyDescent="0.25">
      <c r="A10" s="165" t="s">
        <v>49</v>
      </c>
      <c r="B10" s="166">
        <f t="shared" si="0"/>
        <v>9</v>
      </c>
      <c r="C10" s="167">
        <v>2</v>
      </c>
      <c r="D10" s="166">
        <v>2019</v>
      </c>
      <c r="E10" s="179">
        <f>'FS Jimbaran February 2019'!P20</f>
        <v>25839.99999999992</v>
      </c>
      <c r="F10" s="177">
        <f>'FS Jimbaran February 2019'!O20/'FS Jimbaran February 2019'!P20</f>
        <v>1128.3748839009222</v>
      </c>
      <c r="G10" s="179">
        <f>'FS Jimbaran February 2019'!AG20</f>
        <v>153.34596000002813</v>
      </c>
      <c r="H10" s="177">
        <f>'FS Jimbaran February 2019'!AH20/'FS Jimbaran February 2019'!AG20</f>
        <v>10120</v>
      </c>
      <c r="I10" s="179">
        <f>'FS Jimbaran February 2019'!AJ20</f>
        <v>591.69999999999709</v>
      </c>
      <c r="J10" s="169">
        <f>'FS Jimbaran February 2019'!AK20/'FS Jimbaran February 2019'!AJ20</f>
        <v>10000</v>
      </c>
      <c r="K10" s="179">
        <f>'FS Jimbaran February 2019'!V20</f>
        <v>873.98</v>
      </c>
      <c r="L10" s="177">
        <f>'FS Jimbaran February 2019'!AA20/'FS Jimbaran February 2019'!V20</f>
        <v>7823.2674949083512</v>
      </c>
      <c r="M10" s="179">
        <v>127</v>
      </c>
      <c r="N10" s="179">
        <v>912</v>
      </c>
    </row>
    <row r="11" spans="1:15" x14ac:dyDescent="0.25">
      <c r="A11" s="165" t="s">
        <v>49</v>
      </c>
      <c r="B11" s="166">
        <f t="shared" si="0"/>
        <v>10</v>
      </c>
      <c r="C11" s="167">
        <v>2</v>
      </c>
      <c r="D11" s="166">
        <v>2019</v>
      </c>
      <c r="E11" s="179">
        <f>'FS Jimbaran February 2019'!P21</f>
        <v>26979.999999999338</v>
      </c>
      <c r="F11" s="177">
        <f>'FS Jimbaran February 2019'!O21/'FS Jimbaran February 2019'!P21</f>
        <v>1127.1497702001502</v>
      </c>
      <c r="G11" s="179">
        <f>'FS Jimbaran February 2019'!AG21</f>
        <v>307.28995999996948</v>
      </c>
      <c r="H11" s="177">
        <f>'FS Jimbaran February 2019'!AH21/'FS Jimbaran February 2019'!AG21</f>
        <v>10759.65643394278</v>
      </c>
      <c r="I11" s="179">
        <f>'FS Jimbaran February 2019'!AJ21</f>
        <v>429.40000000000146</v>
      </c>
      <c r="J11" s="169">
        <f>'FS Jimbaran February 2019'!AK21/'FS Jimbaran February 2019'!AJ21</f>
        <v>10000</v>
      </c>
      <c r="K11" s="179">
        <f>'FS Jimbaran February 2019'!V21</f>
        <v>843.72</v>
      </c>
      <c r="L11" s="177">
        <f>'FS Jimbaran February 2019'!AA21/'FS Jimbaran February 2019'!V21</f>
        <v>7748.9009282700426</v>
      </c>
      <c r="M11" s="179">
        <v>105</v>
      </c>
      <c r="N11" s="179">
        <v>880</v>
      </c>
    </row>
    <row r="12" spans="1:15" x14ac:dyDescent="0.25">
      <c r="A12" s="165" t="s">
        <v>49</v>
      </c>
      <c r="B12" s="166">
        <f t="shared" si="0"/>
        <v>11</v>
      </c>
      <c r="C12" s="167">
        <v>2</v>
      </c>
      <c r="D12" s="166">
        <v>2019</v>
      </c>
      <c r="E12" s="179">
        <f>'FS Jimbaran February 2019'!P22</f>
        <v>26620.000000000346</v>
      </c>
      <c r="F12" s="177">
        <f>'FS Jimbaran February 2019'!O22/'FS Jimbaran February 2019'!P22</f>
        <v>1127.996326070627</v>
      </c>
      <c r="G12" s="179">
        <f>'FS Jimbaran February 2019'!AG22</f>
        <v>142.87316000000467</v>
      </c>
      <c r="H12" s="177">
        <f>'FS Jimbaran February 2019'!AH22/'FS Jimbaran February 2019'!AG22</f>
        <v>10120</v>
      </c>
      <c r="I12" s="179">
        <f>'FS Jimbaran February 2019'!AJ22</f>
        <v>487</v>
      </c>
      <c r="J12" s="169">
        <f>'FS Jimbaran February 2019'!AK22/'FS Jimbaran February 2019'!AJ22</f>
        <v>10000</v>
      </c>
      <c r="K12" s="179">
        <f>'FS Jimbaran February 2019'!V22</f>
        <v>948.74</v>
      </c>
      <c r="L12" s="177">
        <f>'FS Jimbaran February 2019'!AA22/'FS Jimbaran February 2019'!V22</f>
        <v>7579.9434896810508</v>
      </c>
      <c r="M12" s="179">
        <v>86</v>
      </c>
      <c r="N12" s="179">
        <v>645</v>
      </c>
    </row>
    <row r="13" spans="1:15" x14ac:dyDescent="0.25">
      <c r="A13" s="165" t="s">
        <v>49</v>
      </c>
      <c r="B13" s="166">
        <f t="shared" si="0"/>
        <v>12</v>
      </c>
      <c r="C13" s="167">
        <v>2</v>
      </c>
      <c r="D13" s="166">
        <v>2019</v>
      </c>
      <c r="E13" s="179">
        <f>'FS Jimbaran February 2019'!P23</f>
        <v>25500.000000000455</v>
      </c>
      <c r="F13" s="177">
        <f>'FS Jimbaran February 2019'!O23/'FS Jimbaran February 2019'!P23</f>
        <v>1131.640423529406</v>
      </c>
      <c r="G13" s="179">
        <f>'FS Jimbaran February 2019'!AG23</f>
        <v>185.03599999999997</v>
      </c>
      <c r="H13" s="177">
        <f>'FS Jimbaran February 2019'!AH23/'FS Jimbaran February 2019'!AG23</f>
        <v>10412.80788603299</v>
      </c>
      <c r="I13" s="179">
        <f>'FS Jimbaran February 2019'!AJ23</f>
        <v>402.92000000000553</v>
      </c>
      <c r="J13" s="169">
        <f>'FS Jimbaran February 2019'!AK23/'FS Jimbaran February 2019'!AJ23</f>
        <v>10000</v>
      </c>
      <c r="K13" s="179">
        <f>'FS Jimbaran February 2019'!V23</f>
        <v>987.9</v>
      </c>
      <c r="L13" s="177">
        <f>'FS Jimbaran February 2019'!AA23/'FS Jimbaran February 2019'!V23</f>
        <v>7225.1819099099112</v>
      </c>
      <c r="M13" s="179">
        <v>70</v>
      </c>
      <c r="N13" s="179">
        <v>527</v>
      </c>
    </row>
    <row r="14" spans="1:15" x14ac:dyDescent="0.25">
      <c r="A14" s="165" t="s">
        <v>49</v>
      </c>
      <c r="B14" s="166">
        <f t="shared" si="0"/>
        <v>13</v>
      </c>
      <c r="C14" s="167">
        <v>2</v>
      </c>
      <c r="D14" s="166">
        <v>2019</v>
      </c>
      <c r="E14" s="179">
        <f>'FS Jimbaran February 2019'!P24</f>
        <v>25819.999999999709</v>
      </c>
      <c r="F14" s="177">
        <f>'FS Jimbaran February 2019'!O24/'FS Jimbaran February 2019'!P24</f>
        <v>1123.6327575522882</v>
      </c>
      <c r="G14" s="179">
        <f>'FS Jimbaran February 2019'!AG24</f>
        <v>150.36180000002344</v>
      </c>
      <c r="H14" s="177">
        <f>'FS Jimbaran February 2019'!AH24/'FS Jimbaran February 2019'!AG24</f>
        <v>10240.110293970924</v>
      </c>
      <c r="I14" s="179">
        <f>'FS Jimbaran February 2019'!AJ24</f>
        <v>666.12999999999738</v>
      </c>
      <c r="J14" s="169">
        <f>'FS Jimbaran February 2019'!AK24/'FS Jimbaran February 2019'!AJ24</f>
        <v>10000</v>
      </c>
      <c r="K14" s="179">
        <f>'FS Jimbaran February 2019'!V24</f>
        <v>889.11</v>
      </c>
      <c r="L14" s="177">
        <f>'FS Jimbaran February 2019'!AA24/'FS Jimbaran February 2019'!V24</f>
        <v>7638.7275875875875</v>
      </c>
      <c r="M14" s="179">
        <v>69</v>
      </c>
      <c r="N14" s="179">
        <v>564</v>
      </c>
    </row>
    <row r="15" spans="1:15" x14ac:dyDescent="0.25">
      <c r="A15" s="165" t="s">
        <v>49</v>
      </c>
      <c r="B15" s="166">
        <f t="shared" si="0"/>
        <v>14</v>
      </c>
      <c r="C15" s="167">
        <v>2</v>
      </c>
      <c r="D15" s="166">
        <v>2019</v>
      </c>
      <c r="E15" s="179">
        <f>'FS Jimbaran February 2019'!P25</f>
        <v>26000.000000000226</v>
      </c>
      <c r="F15" s="177">
        <f>'FS Jimbaran February 2019'!O25/'FS Jimbaran February 2019'!P25</f>
        <v>1127.0083153846178</v>
      </c>
      <c r="G15" s="179">
        <f>'FS Jimbaran February 2019'!AG25</f>
        <v>436.67003999997189</v>
      </c>
      <c r="H15" s="177">
        <f>'FS Jimbaran February 2019'!AH25/'FS Jimbaran February 2019'!AG25</f>
        <v>10937.550936171445</v>
      </c>
      <c r="I15" s="179">
        <f>'FS Jimbaran February 2019'!AJ25</f>
        <v>753.38999999999214</v>
      </c>
      <c r="J15" s="169">
        <f>'FS Jimbaran February 2019'!AK25/'FS Jimbaran February 2019'!AJ25</f>
        <v>10000</v>
      </c>
      <c r="K15" s="179">
        <f>'FS Jimbaran February 2019'!V25</f>
        <v>945.18</v>
      </c>
      <c r="L15" s="177">
        <f>'FS Jimbaran February 2019'!AA25/'FS Jimbaran February 2019'!V25</f>
        <v>7295.2511111111116</v>
      </c>
      <c r="M15" s="179">
        <v>60</v>
      </c>
      <c r="N15" s="179">
        <v>643</v>
      </c>
    </row>
    <row r="16" spans="1:15" x14ac:dyDescent="0.25">
      <c r="A16" s="165" t="s">
        <v>49</v>
      </c>
      <c r="B16" s="166">
        <f t="shared" si="0"/>
        <v>15</v>
      </c>
      <c r="C16" s="167">
        <v>2</v>
      </c>
      <c r="D16" s="166">
        <v>2019</v>
      </c>
      <c r="E16" s="179">
        <f>'FS Jimbaran February 2019'!P26</f>
        <v>26420.000000000757</v>
      </c>
      <c r="F16" s="177">
        <f>'FS Jimbaran February 2019'!O26/'FS Jimbaran February 2019'!P26</f>
        <v>1128.3023618470834</v>
      </c>
      <c r="G16" s="179">
        <f>'FS Jimbaran February 2019'!AG26</f>
        <v>136.26724000000701</v>
      </c>
      <c r="H16" s="177">
        <f>'FS Jimbaran February 2019'!AH26/'FS Jimbaran February 2019'!AG26</f>
        <v>10120</v>
      </c>
      <c r="I16" s="179">
        <f>'FS Jimbaran February 2019'!AJ26</f>
        <v>564.09999999999854</v>
      </c>
      <c r="J16" s="169">
        <f>'FS Jimbaran February 2019'!AK26/'FS Jimbaran February 2019'!AJ26</f>
        <v>10000</v>
      </c>
      <c r="K16" s="179">
        <f>'FS Jimbaran February 2019'!V26</f>
        <v>823.25</v>
      </c>
      <c r="L16" s="177">
        <f>'FS Jimbaran February 2019'!AA26/'FS Jimbaran February 2019'!V26</f>
        <v>8028.9168648648656</v>
      </c>
      <c r="M16" s="179">
        <v>63</v>
      </c>
      <c r="N16" s="179">
        <v>442</v>
      </c>
    </row>
    <row r="17" spans="1:14" x14ac:dyDescent="0.25">
      <c r="A17" s="165" t="s">
        <v>49</v>
      </c>
      <c r="B17" s="166">
        <f t="shared" si="0"/>
        <v>16</v>
      </c>
      <c r="C17" s="167">
        <v>2</v>
      </c>
      <c r="D17" s="166">
        <v>2019</v>
      </c>
      <c r="E17" s="179">
        <f>'FS Jimbaran February 2019'!P27</f>
        <v>25579.999999999472</v>
      </c>
      <c r="F17" s="177">
        <f>'FS Jimbaran February 2019'!O27/'FS Jimbaran February 2019'!P27</f>
        <v>1130.5307896794357</v>
      </c>
      <c r="G17" s="179">
        <f>'FS Jimbaran February 2019'!AG27</f>
        <v>226.19724000000701</v>
      </c>
      <c r="H17" s="177">
        <f>'FS Jimbaran February 2019'!AH27/'FS Jimbaran February 2019'!AG27</f>
        <v>10646.089531419555</v>
      </c>
      <c r="I17" s="179">
        <f>'FS Jimbaran February 2019'!AJ27</f>
        <v>600.65000000000146</v>
      </c>
      <c r="J17" s="169">
        <f>'FS Jimbaran February 2019'!AK27/'FS Jimbaran February 2019'!AJ27</f>
        <v>10000</v>
      </c>
      <c r="K17" s="179">
        <f>'FS Jimbaran February 2019'!V27</f>
        <v>824.1400000000001</v>
      </c>
      <c r="L17" s="177">
        <f>'FS Jimbaran February 2019'!AA27/'FS Jimbaran February 2019'!V27</f>
        <v>7876.6091576673862</v>
      </c>
      <c r="M17" s="179">
        <v>66</v>
      </c>
      <c r="N17" s="179">
        <v>470</v>
      </c>
    </row>
    <row r="18" spans="1:14" x14ac:dyDescent="0.25">
      <c r="A18" s="165" t="s">
        <v>49</v>
      </c>
      <c r="B18" s="166">
        <f t="shared" si="0"/>
        <v>17</v>
      </c>
      <c r="C18" s="167">
        <v>2</v>
      </c>
      <c r="D18" s="166">
        <v>2019</v>
      </c>
      <c r="E18" s="179">
        <f>'FS Jimbaran February 2019'!P28</f>
        <v>27479.999999999338</v>
      </c>
      <c r="F18" s="177">
        <f>'FS Jimbaran February 2019'!O28/'FS Jimbaran February 2019'!P28</f>
        <v>1128.5026637554577</v>
      </c>
      <c r="G18" s="179">
        <f>'FS Jimbaran February 2019'!AG28</f>
        <v>153.34251999998591</v>
      </c>
      <c r="H18" s="177">
        <f>'FS Jimbaran February 2019'!AH28/'FS Jimbaran February 2019'!AG28</f>
        <v>10237.775552403871</v>
      </c>
      <c r="I18" s="179">
        <f>'FS Jimbaran February 2019'!AJ28</f>
        <v>558.94999999999709</v>
      </c>
      <c r="J18" s="169">
        <f>'FS Jimbaran February 2019'!AK28/'FS Jimbaran February 2019'!AJ28</f>
        <v>10000</v>
      </c>
      <c r="K18" s="179">
        <f>'FS Jimbaran February 2019'!V28</f>
        <v>910.82599999999479</v>
      </c>
      <c r="L18" s="177">
        <f>'FS Jimbaran February 2019'!AA28/'FS Jimbaran February 2019'!V28</f>
        <v>7517.5838303693763</v>
      </c>
      <c r="M18" s="179">
        <v>100</v>
      </c>
      <c r="N18" s="179">
        <v>478</v>
      </c>
    </row>
    <row r="19" spans="1:14" x14ac:dyDescent="0.25">
      <c r="A19" s="165" t="s">
        <v>49</v>
      </c>
      <c r="B19" s="166">
        <f t="shared" si="0"/>
        <v>18</v>
      </c>
      <c r="C19" s="167">
        <v>2</v>
      </c>
      <c r="D19" s="166">
        <v>2019</v>
      </c>
      <c r="E19" s="179">
        <f>'FS Jimbaran February 2019'!P29</f>
        <v>22400.000000000546</v>
      </c>
      <c r="F19" s="177">
        <f>'FS Jimbaran February 2019'!O29/'FS Jimbaran February 2019'!P29</f>
        <v>1044.5656339285738</v>
      </c>
      <c r="G19" s="179">
        <f>'FS Jimbaran February 2019'!AG29</f>
        <v>172.27068000004923</v>
      </c>
      <c r="H19" s="177">
        <f>'FS Jimbaran February 2019'!AH29/'FS Jimbaran February 2019'!AG29</f>
        <v>10329.670037872897</v>
      </c>
      <c r="I19" s="179">
        <f>'FS Jimbaran February 2019'!AJ29</f>
        <v>1350.6899999999951</v>
      </c>
      <c r="J19" s="169">
        <f>'FS Jimbaran February 2019'!AK29/'FS Jimbaran February 2019'!AJ29</f>
        <v>10000</v>
      </c>
      <c r="K19" s="179">
        <f>'FS Jimbaran February 2019'!V29</f>
        <v>757.3900000000001</v>
      </c>
      <c r="L19" s="177">
        <f>'FS Jimbaran February 2019'!AA29/'FS Jimbaran February 2019'!V29</f>
        <v>7793.4413396004693</v>
      </c>
      <c r="M19" s="179">
        <v>99</v>
      </c>
      <c r="N19" s="179">
        <v>534</v>
      </c>
    </row>
    <row r="20" spans="1:14" x14ac:dyDescent="0.25">
      <c r="A20" s="165" t="s">
        <v>49</v>
      </c>
      <c r="B20" s="166">
        <f t="shared" si="0"/>
        <v>19</v>
      </c>
      <c r="C20" s="167">
        <v>2</v>
      </c>
      <c r="D20" s="166">
        <v>2019</v>
      </c>
      <c r="E20" s="179">
        <f>'FS Jimbaran February 2019'!P30</f>
        <v>27059.999999999945</v>
      </c>
      <c r="F20" s="177">
        <f>'FS Jimbaran February 2019'!O30/'FS Jimbaran February 2019'!P30</f>
        <v>1123.8174722838121</v>
      </c>
      <c r="G20" s="179">
        <f>'FS Jimbaran February 2019'!AG30</f>
        <v>170.26355999995778</v>
      </c>
      <c r="H20" s="177">
        <f>'FS Jimbaran February 2019'!AH30/'FS Jimbaran February 2019'!AG30</f>
        <v>10120</v>
      </c>
      <c r="I20" s="179">
        <f>'FS Jimbaran February 2019'!AJ30</f>
        <v>550.31000000001222</v>
      </c>
      <c r="J20" s="169">
        <f>'FS Jimbaran February 2019'!AK30/'FS Jimbaran February 2019'!AJ30</f>
        <v>10000</v>
      </c>
      <c r="K20" s="179">
        <f>'FS Jimbaran February 2019'!V30</f>
        <v>829.12400000000514</v>
      </c>
      <c r="L20" s="177">
        <f>'FS Jimbaran February 2019'!AA30/'FS Jimbaran February 2019'!V30</f>
        <v>8046.3098411335104</v>
      </c>
      <c r="M20" s="179">
        <v>103</v>
      </c>
      <c r="N20" s="179">
        <v>501</v>
      </c>
    </row>
    <row r="21" spans="1:14" x14ac:dyDescent="0.25">
      <c r="A21" s="165" t="s">
        <v>49</v>
      </c>
      <c r="B21" s="166">
        <f t="shared" si="0"/>
        <v>20</v>
      </c>
      <c r="C21" s="167">
        <v>2</v>
      </c>
      <c r="D21" s="166">
        <v>2019</v>
      </c>
      <c r="E21" s="179">
        <f>'FS Jimbaran February 2019'!P31</f>
        <v>25879.999999999884</v>
      </c>
      <c r="F21" s="177">
        <f>'FS Jimbaran February 2019'!O31/'FS Jimbaran February 2019'!P31</f>
        <v>1129.432442040187</v>
      </c>
      <c r="G21" s="179">
        <f>'FS Jimbaran February 2019'!AG31</f>
        <v>176.98</v>
      </c>
      <c r="H21" s="177">
        <f>'FS Jimbaran February 2019'!AH31/'FS Jimbaran February 2019'!AG31</f>
        <v>10426.136286586056</v>
      </c>
      <c r="I21" s="179">
        <f>'FS Jimbaran February 2019'!AJ31</f>
        <v>1077.7799999999843</v>
      </c>
      <c r="J21" s="169">
        <f>'FS Jimbaran February 2019'!AK31/'FS Jimbaran February 2019'!AJ31</f>
        <v>10000</v>
      </c>
      <c r="K21" s="179">
        <f>'FS Jimbaran February 2019'!V31</f>
        <v>916.7</v>
      </c>
      <c r="L21" s="177">
        <f>'FS Jimbaran February 2019'!AA31/'FS Jimbaran February 2019'!V31</f>
        <v>7070.1973203883499</v>
      </c>
      <c r="M21" s="179">
        <v>102</v>
      </c>
      <c r="N21" s="179">
        <v>472</v>
      </c>
    </row>
    <row r="22" spans="1:14" x14ac:dyDescent="0.25">
      <c r="A22" s="165" t="s">
        <v>49</v>
      </c>
      <c r="B22" s="166">
        <f t="shared" si="0"/>
        <v>21</v>
      </c>
      <c r="C22" s="167">
        <v>2</v>
      </c>
      <c r="D22" s="166">
        <v>2019</v>
      </c>
      <c r="E22" s="179">
        <f>'FS Jimbaran February 2019'!P32</f>
        <v>25839.99999999992</v>
      </c>
      <c r="F22" s="177">
        <f>'FS Jimbaran February 2019'!O32/'FS Jimbaran February 2019'!P32</f>
        <v>1127.9740402476809</v>
      </c>
      <c r="G22" s="179">
        <f>'FS Jimbaran February 2019'!AG32</f>
        <v>400.63148000001405</v>
      </c>
      <c r="H22" s="177">
        <f>'FS Jimbaran February 2019'!AH32/'FS Jimbaran February 2019'!AG32</f>
        <v>10971.25612196023</v>
      </c>
      <c r="I22" s="179">
        <f>'FS Jimbaran February 2019'!AJ32</f>
        <v>1099.320000000007</v>
      </c>
      <c r="J22" s="169">
        <f>'FS Jimbaran February 2019'!AK32/'FS Jimbaran February 2019'!AJ32</f>
        <v>10000</v>
      </c>
      <c r="K22" s="179">
        <f>'FS Jimbaran February 2019'!V32</f>
        <v>674.62</v>
      </c>
      <c r="L22" s="177">
        <f>'FS Jimbaran February 2019'!AA32/'FS Jimbaran February 2019'!V32</f>
        <v>8590.9277572559367</v>
      </c>
      <c r="M22" s="179">
        <v>103</v>
      </c>
      <c r="N22" s="179">
        <v>500</v>
      </c>
    </row>
    <row r="23" spans="1:14" x14ac:dyDescent="0.25">
      <c r="A23" s="165" t="s">
        <v>49</v>
      </c>
      <c r="B23" s="166">
        <f t="shared" si="0"/>
        <v>22</v>
      </c>
      <c r="C23" s="167">
        <v>2</v>
      </c>
      <c r="D23" s="166">
        <v>2019</v>
      </c>
      <c r="E23" s="179">
        <f>'FS Jimbaran February 2019'!P33</f>
        <v>26220.000000000255</v>
      </c>
      <c r="F23" s="177">
        <f>'FS Jimbaran February 2019'!O33/'FS Jimbaran February 2019'!P33</f>
        <v>1123.8726544622425</v>
      </c>
      <c r="G23" s="179">
        <f>'FS Jimbaran February 2019'!AG33</f>
        <v>141.33908000000233</v>
      </c>
      <c r="H23" s="177">
        <f>'FS Jimbaran February 2019'!AH33/'FS Jimbaran February 2019'!AG33</f>
        <v>10247.777823373406</v>
      </c>
      <c r="I23" s="179">
        <f>'FS Jimbaran February 2019'!AJ33</f>
        <v>559.48999999999069</v>
      </c>
      <c r="J23" s="169">
        <f>'FS Jimbaran February 2019'!AK33/'FS Jimbaran February 2019'!AJ33</f>
        <v>10000</v>
      </c>
      <c r="K23" s="179">
        <f>'FS Jimbaran February 2019'!V33</f>
        <v>833.04</v>
      </c>
      <c r="L23" s="177">
        <f>'FS Jimbaran February 2019'!AA33/'FS Jimbaran February 2019'!V33</f>
        <v>8145.7517094017094</v>
      </c>
      <c r="M23" s="179">
        <v>54</v>
      </c>
      <c r="N23" s="179">
        <v>538</v>
      </c>
    </row>
    <row r="24" spans="1:14" x14ac:dyDescent="0.25">
      <c r="A24" s="165" t="s">
        <v>49</v>
      </c>
      <c r="B24" s="166">
        <f t="shared" si="0"/>
        <v>23</v>
      </c>
      <c r="C24" s="167">
        <v>2</v>
      </c>
      <c r="D24" s="166">
        <v>2019</v>
      </c>
      <c r="E24" s="179">
        <f>'FS Jimbaran February 2019'!P34</f>
        <v>25259.999999999764</v>
      </c>
      <c r="F24" s="177">
        <f>'FS Jimbaran February 2019'!O34/'FS Jimbaran February 2019'!P34</f>
        <v>1130.0909263657948</v>
      </c>
      <c r="G24" s="179">
        <f>'FS Jimbaran February 2019'!AG34</f>
        <v>436.26380000002342</v>
      </c>
      <c r="H24" s="177">
        <f>'FS Jimbaran February 2019'!AH34/'FS Jimbaran February 2019'!AG34</f>
        <v>10979.709194299367</v>
      </c>
      <c r="I24" s="179">
        <f>'FS Jimbaran February 2019'!AJ34</f>
        <v>608.93000000002212</v>
      </c>
      <c r="J24" s="169">
        <f>'FS Jimbaran February 2019'!AK34/'FS Jimbaran February 2019'!AJ34</f>
        <v>10000</v>
      </c>
      <c r="K24" s="179">
        <f>'FS Jimbaran February 2019'!V34</f>
        <v>812.56999999999994</v>
      </c>
      <c r="L24" s="177">
        <f>'FS Jimbaran February 2019'!AA34/'FS Jimbaran February 2019'!V34</f>
        <v>8063.6151369112831</v>
      </c>
      <c r="M24" s="179">
        <v>41</v>
      </c>
      <c r="N24" s="179">
        <v>400</v>
      </c>
    </row>
    <row r="25" spans="1:14" x14ac:dyDescent="0.25">
      <c r="A25" s="165" t="s">
        <v>49</v>
      </c>
      <c r="B25" s="166">
        <f t="shared" si="0"/>
        <v>24</v>
      </c>
      <c r="C25" s="167">
        <v>2</v>
      </c>
      <c r="D25" s="166">
        <v>2019</v>
      </c>
      <c r="E25" s="179">
        <f>'FS Jimbaran February 2019'!P35</f>
        <v>25880.000000000335</v>
      </c>
      <c r="F25" s="177">
        <f>'FS Jimbaran February 2019'!O35/'FS Jimbaran February 2019'!P35</f>
        <v>1127.4313214837732</v>
      </c>
      <c r="G25" s="179">
        <f>'FS Jimbaran February 2019'!AG35</f>
        <v>124.14295999996951</v>
      </c>
      <c r="H25" s="177">
        <f>'FS Jimbaran February 2019'!AH35/'FS Jimbaran February 2019'!AG35</f>
        <v>10120.000000000002</v>
      </c>
      <c r="I25" s="179">
        <f>'FS Jimbaran February 2019'!AJ35</f>
        <v>521.52999999999884</v>
      </c>
      <c r="J25" s="169">
        <f>'FS Jimbaran February 2019'!AK35/'FS Jimbaran February 2019'!AJ35</f>
        <v>10000</v>
      </c>
      <c r="K25" s="179">
        <f>'FS Jimbaran February 2019'!V35</f>
        <v>779.6400000000001</v>
      </c>
      <c r="L25" s="177">
        <f>'FS Jimbaran February 2019'!AA35/'FS Jimbaran February 2019'!V35</f>
        <v>8115.2188584474889</v>
      </c>
      <c r="M25" s="179">
        <v>35</v>
      </c>
      <c r="N25" s="179">
        <v>416</v>
      </c>
    </row>
    <row r="26" spans="1:14" x14ac:dyDescent="0.25">
      <c r="A26" s="165" t="s">
        <v>49</v>
      </c>
      <c r="B26" s="166">
        <f>B25+1</f>
        <v>25</v>
      </c>
      <c r="C26" s="167">
        <v>2</v>
      </c>
      <c r="D26" s="166">
        <v>2019</v>
      </c>
      <c r="E26" s="179">
        <f>'FS Jimbaran February 2019'!P36</f>
        <v>25779.999999999745</v>
      </c>
      <c r="F26" s="177">
        <f>'FS Jimbaran February 2019'!O36/'FS Jimbaran February 2019'!P36</f>
        <v>1130.1974941815336</v>
      </c>
      <c r="G26" s="179">
        <f>'FS Jimbaran February 2019'!AG36</f>
        <v>120.31636000003985</v>
      </c>
      <c r="H26" s="177">
        <f>'FS Jimbaran February 2019'!AH36/'FS Jimbaran February 2019'!AG36</f>
        <v>10120</v>
      </c>
      <c r="I26" s="179">
        <f>'FS Jimbaran February 2019'!AJ36</f>
        <v>424.47999999999593</v>
      </c>
      <c r="J26" s="169">
        <f>'FS Jimbaran February 2019'!AK36/'FS Jimbaran February 2019'!AJ36</f>
        <v>10000</v>
      </c>
      <c r="K26" s="179">
        <f>'FS Jimbaran February 2019'!V36</f>
        <v>729.8</v>
      </c>
      <c r="L26" s="177">
        <f>'FS Jimbaran February 2019'!AA36/'FS Jimbaran February 2019'!V36</f>
        <v>8396.2523902439025</v>
      </c>
      <c r="M26" s="179">
        <v>33</v>
      </c>
      <c r="N26" s="179">
        <v>258</v>
      </c>
    </row>
    <row r="27" spans="1:14" x14ac:dyDescent="0.25">
      <c r="A27" s="165" t="s">
        <v>49</v>
      </c>
      <c r="B27" s="166">
        <f t="shared" si="0"/>
        <v>26</v>
      </c>
      <c r="C27" s="167">
        <v>2</v>
      </c>
      <c r="D27" s="166">
        <v>2019</v>
      </c>
      <c r="E27" s="179">
        <f>'FS Jimbaran February 2019'!P37</f>
        <v>27079.999999999927</v>
      </c>
      <c r="F27" s="177">
        <f>'FS Jimbaran February 2019'!O37/'FS Jimbaran February 2019'!P37</f>
        <v>1129.107296898082</v>
      </c>
      <c r="G27" s="179">
        <f>'FS Jimbaran February 2019'!AG37</f>
        <v>175.40563999996013</v>
      </c>
      <c r="H27" s="177">
        <f>'FS Jimbaran February 2019'!AH37/'FS Jimbaran February 2019'!AG37</f>
        <v>10531.845365975782</v>
      </c>
      <c r="I27" s="179">
        <f>'FS Jimbaran February 2019'!AJ37</f>
        <v>439.19999999999709</v>
      </c>
      <c r="J27" s="169">
        <f>'FS Jimbaran February 2019'!AK37/'FS Jimbaran February 2019'!AJ37</f>
        <v>10000</v>
      </c>
      <c r="K27" s="179">
        <f>'FS Jimbaran February 2019'!V37</f>
        <v>825.03000000000009</v>
      </c>
      <c r="L27" s="177">
        <f>'FS Jimbaran February 2019'!AA37/'FS Jimbaran February 2019'!V37</f>
        <v>8390.9077238403443</v>
      </c>
      <c r="M27" s="179">
        <v>43</v>
      </c>
      <c r="N27" s="179">
        <v>366</v>
      </c>
    </row>
    <row r="28" spans="1:14" x14ac:dyDescent="0.25">
      <c r="A28" s="165" t="s">
        <v>49</v>
      </c>
      <c r="B28" s="166">
        <f t="shared" si="0"/>
        <v>27</v>
      </c>
      <c r="C28" s="167">
        <v>2</v>
      </c>
      <c r="D28" s="166">
        <v>2019</v>
      </c>
      <c r="E28" s="179">
        <f>'FS Jimbaran February 2019'!P38</f>
        <v>27360.000000000582</v>
      </c>
      <c r="F28" s="177">
        <f>'FS Jimbaran February 2019'!O38/'FS Jimbaran February 2019'!P38</f>
        <v>1128.1521929824562</v>
      </c>
      <c r="G28" s="179">
        <f>'FS Jimbaran February 2019'!AG38</f>
        <v>124.42491999999764</v>
      </c>
      <c r="H28" s="177">
        <f>'FS Jimbaran February 2019'!AH38/'FS Jimbaran February 2019'!AG38</f>
        <v>10120</v>
      </c>
      <c r="I28" s="179">
        <f>'FS Jimbaran February 2019'!AJ38</f>
        <v>579.47000000000116</v>
      </c>
      <c r="J28" s="169">
        <f>'FS Jimbaran February 2019'!AK38/'FS Jimbaran February 2019'!AJ38</f>
        <v>10000</v>
      </c>
      <c r="K28" s="179">
        <f>'FS Jimbaran February 2019'!V38</f>
        <v>769.85</v>
      </c>
      <c r="L28" s="177">
        <f>'FS Jimbaran February 2019'!AA38/'FS Jimbaran February 2019'!V38</f>
        <v>8100.9635375722546</v>
      </c>
      <c r="M28" s="179">
        <v>51</v>
      </c>
      <c r="N28" s="179">
        <v>374</v>
      </c>
    </row>
    <row r="29" spans="1:14" x14ac:dyDescent="0.25">
      <c r="A29" s="165" t="s">
        <v>49</v>
      </c>
      <c r="B29" s="166">
        <f t="shared" si="0"/>
        <v>28</v>
      </c>
      <c r="C29" s="167">
        <v>2</v>
      </c>
      <c r="D29" s="166">
        <v>2019</v>
      </c>
      <c r="E29" s="179">
        <f>'FS Jimbaran February 2019'!P39</f>
        <v>27339.999999999236</v>
      </c>
      <c r="F29" s="177">
        <f>'FS Jimbaran February 2019'!O39/'FS Jimbaran February 2019'!P39</f>
        <v>1122.5369934162409</v>
      </c>
      <c r="G29" s="179">
        <f>'FS Jimbaran February 2019'!AG39</f>
        <v>136.22696000002813</v>
      </c>
      <c r="H29" s="177">
        <f>'FS Jimbaran February 2019'!AH39/'FS Jimbaran February 2019'!AG39</f>
        <v>10120</v>
      </c>
      <c r="I29" s="179">
        <f>'FS Jimbaran February 2019'!AJ39</f>
        <v>652.30000000000291</v>
      </c>
      <c r="J29" s="169">
        <f>'FS Jimbaran February 2019'!AK39/'FS Jimbaran February 2019'!AJ39</f>
        <v>10000</v>
      </c>
      <c r="K29" s="179">
        <f>'FS Jimbaran February 2019'!V39</f>
        <v>698.65000000000009</v>
      </c>
      <c r="L29" s="177">
        <f>'FS Jimbaran February 2019'!AA39/'FS Jimbaran February 2019'!V39</f>
        <v>6500.6784458598731</v>
      </c>
      <c r="M29" s="179">
        <v>43</v>
      </c>
      <c r="N29" s="179">
        <v>579</v>
      </c>
    </row>
    <row r="30" spans="1:14" x14ac:dyDescent="0.25">
      <c r="E30" s="175"/>
      <c r="G30" s="175"/>
      <c r="K30" s="175"/>
      <c r="M30" s="175"/>
      <c r="N30" s="17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2"/>
  <sheetViews>
    <sheetView zoomScale="62" zoomScaleNormal="62" workbookViewId="0">
      <pane xSplit="4" ySplit="10" topLeftCell="S11" activePane="bottomRight" state="frozen"/>
      <selection pane="topRight" activeCell="E1" sqref="E1"/>
      <selection pane="bottomLeft" activeCell="A11" sqref="A11"/>
      <selection pane="bottomRight" activeCell="C12" sqref="C12:D39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11" style="4" customWidth="1"/>
    <col min="4" max="4" width="11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2.85546875" customWidth="1"/>
    <col min="20" max="20" width="21.140625" bestFit="1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ht="15.6" x14ac:dyDescent="0.3">
      <c r="N5" s="180"/>
      <c r="X5" s="181"/>
    </row>
    <row r="6" spans="1:39" s="28" customFormat="1" ht="18.600000000000001" thickBot="1" x14ac:dyDescent="0.4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149999999999999" thickBot="1" x14ac:dyDescent="0.35">
      <c r="A7" s="33"/>
      <c r="B7" s="245" t="s">
        <v>53</v>
      </c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  <c r="AF7" s="246"/>
      <c r="AG7" s="246"/>
      <c r="AH7" s="246"/>
      <c r="AI7" s="246"/>
      <c r="AJ7" s="246"/>
      <c r="AK7" s="246"/>
      <c r="AL7" s="247"/>
      <c r="AM7" s="33"/>
    </row>
    <row r="8" spans="1:39" s="8" customFormat="1" ht="15.75" customHeight="1" thickBot="1" x14ac:dyDescent="0.3">
      <c r="A8" s="29"/>
      <c r="B8" s="248" t="s">
        <v>1</v>
      </c>
      <c r="C8" s="251" t="s">
        <v>2</v>
      </c>
      <c r="D8" s="254" t="s">
        <v>3</v>
      </c>
      <c r="E8" s="257" t="s">
        <v>34</v>
      </c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8"/>
      <c r="V8" s="259" t="s">
        <v>19</v>
      </c>
      <c r="W8" s="260"/>
      <c r="X8" s="260"/>
      <c r="Y8" s="260"/>
      <c r="Z8" s="260"/>
      <c r="AA8" s="260"/>
      <c r="AB8" s="261"/>
      <c r="AC8" s="262" t="s">
        <v>24</v>
      </c>
      <c r="AD8" s="262"/>
      <c r="AE8" s="262"/>
      <c r="AF8" s="262"/>
      <c r="AG8" s="262"/>
      <c r="AH8" s="262"/>
      <c r="AI8" s="262"/>
      <c r="AJ8" s="262"/>
      <c r="AK8" s="262"/>
      <c r="AL8" s="263"/>
      <c r="AM8" s="31"/>
    </row>
    <row r="9" spans="1:39" ht="15" customHeight="1" thickBot="1" x14ac:dyDescent="0.3">
      <c r="A9" s="32"/>
      <c r="B9" s="249"/>
      <c r="C9" s="252"/>
      <c r="D9" s="255"/>
      <c r="E9" s="264" t="s">
        <v>33</v>
      </c>
      <c r="F9" s="265"/>
      <c r="G9" s="265"/>
      <c r="H9" s="265"/>
      <c r="I9" s="266"/>
      <c r="J9" s="267" t="s">
        <v>5</v>
      </c>
      <c r="K9" s="267"/>
      <c r="L9" s="267"/>
      <c r="M9" s="267"/>
      <c r="N9" s="268"/>
      <c r="O9" s="254" t="s">
        <v>12</v>
      </c>
      <c r="P9" s="269" t="s">
        <v>32</v>
      </c>
      <c r="Q9" s="271" t="s">
        <v>52</v>
      </c>
      <c r="R9" s="273" t="s">
        <v>21</v>
      </c>
      <c r="S9" s="275" t="s">
        <v>13</v>
      </c>
      <c r="T9" s="277" t="s">
        <v>18</v>
      </c>
      <c r="U9" s="278"/>
      <c r="V9" s="56"/>
      <c r="W9" s="56" t="s">
        <v>4</v>
      </c>
      <c r="X9" s="56"/>
      <c r="Y9" s="57"/>
      <c r="Z9" s="186"/>
      <c r="AA9" s="279" t="s">
        <v>27</v>
      </c>
      <c r="AB9" s="280"/>
      <c r="AC9" s="262" t="s">
        <v>22</v>
      </c>
      <c r="AD9" s="262"/>
      <c r="AE9" s="262"/>
      <c r="AF9" s="262"/>
      <c r="AG9" s="262"/>
      <c r="AH9" s="262"/>
      <c r="AI9" s="263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50"/>
      <c r="C10" s="253"/>
      <c r="D10" s="256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56"/>
      <c r="P10" s="270"/>
      <c r="Q10" s="272"/>
      <c r="R10" s="274"/>
      <c r="S10" s="276"/>
      <c r="T10" s="187" t="s">
        <v>16</v>
      </c>
      <c r="U10" s="25" t="s">
        <v>17</v>
      </c>
      <c r="V10" s="188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9"/>
      <c r="E11" s="190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1"/>
      <c r="R11" s="116"/>
      <c r="S11" s="192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285">
        <v>53</v>
      </c>
      <c r="D12" s="286">
        <v>498</v>
      </c>
      <c r="E12" s="109">
        <v>17800.000000000182</v>
      </c>
      <c r="F12" s="3">
        <v>18436884.000000186</v>
      </c>
      <c r="G12" s="38">
        <v>3960.0000000000364</v>
      </c>
      <c r="H12" s="3">
        <v>6152533.200000057</v>
      </c>
      <c r="I12" s="106">
        <f>F12+H12</f>
        <v>24589417.200000241</v>
      </c>
      <c r="J12" s="109">
        <v>2159.9999999998545</v>
      </c>
      <c r="K12" s="3">
        <v>2237284.7999998494</v>
      </c>
      <c r="L12" s="193">
        <v>539.99999999996362</v>
      </c>
      <c r="M12" s="194">
        <v>838981.79999994347</v>
      </c>
      <c r="N12" s="97">
        <f>K12+M12</f>
        <v>3076266.5999997929</v>
      </c>
      <c r="O12" s="111">
        <f>N12+I12</f>
        <v>27665683.800000034</v>
      </c>
      <c r="P12" s="114">
        <f>L12+J12+G12+E12</f>
        <v>24460.000000000036</v>
      </c>
      <c r="Q12" s="138"/>
      <c r="R12" s="228"/>
      <c r="S12" s="242"/>
      <c r="T12" s="239"/>
      <c r="U12" s="236">
        <v>0</v>
      </c>
      <c r="V12" s="195">
        <f>Y12+W12</f>
        <v>864.18999999999994</v>
      </c>
      <c r="W12" s="3">
        <v>232.29</v>
      </c>
      <c r="X12" s="3">
        <v>4174367.4449999998</v>
      </c>
      <c r="Y12" s="34">
        <v>631.9</v>
      </c>
      <c r="Z12" s="34">
        <v>2682529.2420000001</v>
      </c>
      <c r="AA12" s="34">
        <f t="shared" ref="AA12:AA39" si="0">Z12+X12</f>
        <v>6856896.6869999999</v>
      </c>
      <c r="AB12" s="131">
        <f t="shared" ref="AB12:AB39" si="1">AA12/$AL$47</f>
        <v>528.42548772396003</v>
      </c>
      <c r="AC12" s="137">
        <v>140.1743999999531</v>
      </c>
      <c r="AD12" s="3">
        <v>0</v>
      </c>
      <c r="AE12" s="3">
        <v>150</v>
      </c>
      <c r="AF12" s="3">
        <v>12</v>
      </c>
      <c r="AG12" s="3">
        <f>SUM(AC12:AF12)</f>
        <v>302.1743999999531</v>
      </c>
      <c r="AH12" s="3">
        <v>3254564.9279995253</v>
      </c>
      <c r="AI12" s="46">
        <f t="shared" ref="AI12:AI39" si="2">AH12/$AL$47</f>
        <v>250.81245028352342</v>
      </c>
      <c r="AJ12" s="146">
        <v>594.41000000000349</v>
      </c>
      <c r="AK12" s="3">
        <v>5944100.0000000354</v>
      </c>
      <c r="AL12" s="42">
        <f t="shared" ref="AL12:AL39" si="3">AK12/$AL$47</f>
        <v>458.08097816831076</v>
      </c>
      <c r="AM12" s="7"/>
    </row>
    <row r="13" spans="1:39" x14ac:dyDescent="0.25">
      <c r="A13" s="36"/>
      <c r="B13" s="61">
        <v>2</v>
      </c>
      <c r="C13" s="285">
        <v>63</v>
      </c>
      <c r="D13" s="286">
        <v>624</v>
      </c>
      <c r="E13" s="109">
        <v>18359.999999999673</v>
      </c>
      <c r="F13" s="3">
        <v>19016920.799999662</v>
      </c>
      <c r="G13" s="38">
        <v>4120.0000000000045</v>
      </c>
      <c r="H13" s="3">
        <v>6401120.4000000078</v>
      </c>
      <c r="I13" s="106">
        <f t="shared" ref="I13:I39" si="4">F13+H13</f>
        <v>25418041.199999668</v>
      </c>
      <c r="J13" s="109">
        <v>2340.0000000001455</v>
      </c>
      <c r="K13" s="3">
        <v>2423725.2000001506</v>
      </c>
      <c r="L13" s="193">
        <v>539.99999999996362</v>
      </c>
      <c r="M13" s="194">
        <v>838981.79999994347</v>
      </c>
      <c r="N13" s="97">
        <f t="shared" ref="N13:N39" si="5">K13+M13</f>
        <v>3262707.0000000941</v>
      </c>
      <c r="O13" s="111">
        <f t="shared" ref="O13:O39" si="6">N13+I13</f>
        <v>28680748.199999761</v>
      </c>
      <c r="P13" s="114">
        <f t="shared" ref="P13:P39" si="7">L13+J13+G13+E13</f>
        <v>25359.999999999785</v>
      </c>
      <c r="Q13" s="204"/>
      <c r="R13" s="229"/>
      <c r="S13" s="205"/>
      <c r="T13" s="240"/>
      <c r="U13" s="236">
        <v>0</v>
      </c>
      <c r="V13" s="195">
        <f t="shared" ref="V13:V39" si="8">Y13+W13</f>
        <v>948.74</v>
      </c>
      <c r="W13" s="3">
        <v>255.43</v>
      </c>
      <c r="X13" s="3">
        <v>4590204.8150000004</v>
      </c>
      <c r="Y13" s="34">
        <v>693.31000000000006</v>
      </c>
      <c r="Z13" s="34">
        <v>2943225.7458000006</v>
      </c>
      <c r="AA13" s="34">
        <f t="shared" si="0"/>
        <v>7533430.560800001</v>
      </c>
      <c r="AB13" s="131">
        <f t="shared" si="1"/>
        <v>580.56244683876275</v>
      </c>
      <c r="AC13" s="137">
        <v>138.0798399999953</v>
      </c>
      <c r="AD13" s="3">
        <v>0</v>
      </c>
      <c r="AE13" s="3">
        <v>0</v>
      </c>
      <c r="AF13" s="3">
        <v>0</v>
      </c>
      <c r="AG13" s="3">
        <f t="shared" ref="AG13:AG39" si="9">SUM(AC13:AF13)</f>
        <v>138.0798399999953</v>
      </c>
      <c r="AH13" s="3">
        <v>1397367.9807999525</v>
      </c>
      <c r="AI13" s="46">
        <f t="shared" si="2"/>
        <v>107.68790759003309</v>
      </c>
      <c r="AJ13" s="146">
        <v>623.94999999999709</v>
      </c>
      <c r="AK13" s="3">
        <v>6239499.9999999711</v>
      </c>
      <c r="AL13" s="42">
        <f t="shared" si="3"/>
        <v>480.84592508220669</v>
      </c>
      <c r="AM13" s="7"/>
    </row>
    <row r="14" spans="1:39" x14ac:dyDescent="0.25">
      <c r="A14" s="36"/>
      <c r="B14" s="61">
        <v>3</v>
      </c>
      <c r="C14" s="285">
        <v>71</v>
      </c>
      <c r="D14" s="286">
        <v>773</v>
      </c>
      <c r="E14" s="109">
        <v>19560.0000000004</v>
      </c>
      <c r="F14" s="3">
        <v>20259856.800000414</v>
      </c>
      <c r="G14" s="38">
        <v>4279.9999999999727</v>
      </c>
      <c r="H14" s="3">
        <v>6649707.5999999577</v>
      </c>
      <c r="I14" s="106">
        <f t="shared" si="4"/>
        <v>26909564.400000371</v>
      </c>
      <c r="J14" s="109">
        <v>2079.9999999999272</v>
      </c>
      <c r="K14" s="3">
        <v>2154422.3999999245</v>
      </c>
      <c r="L14" s="193">
        <v>500</v>
      </c>
      <c r="M14" s="194">
        <v>776835</v>
      </c>
      <c r="N14" s="97">
        <f t="shared" si="5"/>
        <v>2931257.3999999245</v>
      </c>
      <c r="O14" s="111">
        <f t="shared" si="6"/>
        <v>29840821.800000295</v>
      </c>
      <c r="P14" s="114">
        <f t="shared" si="7"/>
        <v>26420.000000000298</v>
      </c>
      <c r="Q14" s="204"/>
      <c r="R14" s="229"/>
      <c r="S14" s="205"/>
      <c r="T14" s="240"/>
      <c r="U14" s="236">
        <v>0</v>
      </c>
      <c r="V14" s="195">
        <f t="shared" si="8"/>
        <v>937.17000000000007</v>
      </c>
      <c r="W14" s="3">
        <v>242.08</v>
      </c>
      <c r="X14" s="3">
        <v>4350298.6400000006</v>
      </c>
      <c r="Y14" s="34">
        <v>695.09</v>
      </c>
      <c r="Z14" s="34">
        <v>2950782.1662000003</v>
      </c>
      <c r="AA14" s="34">
        <f t="shared" si="0"/>
        <v>7301080.8062000014</v>
      </c>
      <c r="AB14" s="131">
        <f t="shared" si="1"/>
        <v>562.65645554246316</v>
      </c>
      <c r="AC14" s="137">
        <v>141.10084000005392</v>
      </c>
      <c r="AD14" s="3">
        <v>0</v>
      </c>
      <c r="AE14" s="3">
        <v>0</v>
      </c>
      <c r="AF14" s="3">
        <v>24</v>
      </c>
      <c r="AG14" s="3">
        <f t="shared" si="9"/>
        <v>165.10084000005392</v>
      </c>
      <c r="AH14" s="3">
        <v>1706940.5008005458</v>
      </c>
      <c r="AI14" s="46">
        <f t="shared" si="2"/>
        <v>131.54505716286999</v>
      </c>
      <c r="AJ14" s="146">
        <v>552.20000000000437</v>
      </c>
      <c r="AK14" s="3">
        <v>5522000.0000000438</v>
      </c>
      <c r="AL14" s="42">
        <f t="shared" si="3"/>
        <v>425.55191895247674</v>
      </c>
      <c r="AM14" s="7"/>
    </row>
    <row r="15" spans="1:39" x14ac:dyDescent="0.25">
      <c r="A15" s="36"/>
      <c r="B15" s="61">
        <v>4</v>
      </c>
      <c r="C15" s="285">
        <v>80</v>
      </c>
      <c r="D15" s="286">
        <v>735</v>
      </c>
      <c r="E15" s="109">
        <v>19439.9999999996</v>
      </c>
      <c r="F15" s="3">
        <v>20135563.199999586</v>
      </c>
      <c r="G15" s="38">
        <v>4199.9999999999318</v>
      </c>
      <c r="H15" s="3">
        <v>6525413.9999998948</v>
      </c>
      <c r="I15" s="106">
        <f t="shared" si="4"/>
        <v>26660977.199999481</v>
      </c>
      <c r="J15" s="109">
        <v>1720.0000000002547</v>
      </c>
      <c r="K15" s="3">
        <v>1781541.6000002637</v>
      </c>
      <c r="L15" s="193">
        <v>460.00000000003638</v>
      </c>
      <c r="M15" s="194">
        <v>714688.20000005653</v>
      </c>
      <c r="N15" s="97">
        <f t="shared" si="5"/>
        <v>2496229.8000003202</v>
      </c>
      <c r="O15" s="111">
        <f t="shared" si="6"/>
        <v>29157206.999999803</v>
      </c>
      <c r="P15" s="114">
        <f t="shared" si="7"/>
        <v>25819.999999999822</v>
      </c>
      <c r="Q15" s="204"/>
      <c r="R15" s="229"/>
      <c r="S15" s="205"/>
      <c r="T15" s="240"/>
      <c r="U15" s="236">
        <v>0</v>
      </c>
      <c r="V15" s="195">
        <f t="shared" si="8"/>
        <v>902.46</v>
      </c>
      <c r="W15" s="3">
        <v>222.5</v>
      </c>
      <c r="X15" s="3">
        <v>3998436.25</v>
      </c>
      <c r="Y15" s="34">
        <v>679.96</v>
      </c>
      <c r="Z15" s="34">
        <v>2886552.5928000002</v>
      </c>
      <c r="AA15" s="34">
        <f t="shared" si="0"/>
        <v>6884988.8428000007</v>
      </c>
      <c r="AB15" s="131">
        <f t="shared" si="1"/>
        <v>530.59040456716934</v>
      </c>
      <c r="AC15" s="137">
        <v>153.74875999999296</v>
      </c>
      <c r="AD15" s="3">
        <v>0</v>
      </c>
      <c r="AE15" s="3">
        <v>0</v>
      </c>
      <c r="AF15" s="3">
        <v>0</v>
      </c>
      <c r="AG15" s="3">
        <f t="shared" si="9"/>
        <v>153.74875999999296</v>
      </c>
      <c r="AH15" s="3">
        <v>1555937.4511999288</v>
      </c>
      <c r="AI15" s="46">
        <f t="shared" si="2"/>
        <v>119.90803479321805</v>
      </c>
      <c r="AJ15" s="146">
        <v>479.48999999999796</v>
      </c>
      <c r="AK15" s="3">
        <v>4794899.9999999795</v>
      </c>
      <c r="AL15" s="42">
        <f t="shared" si="3"/>
        <v>369.5180905804429</v>
      </c>
      <c r="AM15" s="7"/>
    </row>
    <row r="16" spans="1:39" x14ac:dyDescent="0.25">
      <c r="A16" s="36"/>
      <c r="B16" s="61">
        <v>5</v>
      </c>
      <c r="C16" s="285">
        <v>98</v>
      </c>
      <c r="D16" s="286">
        <v>681</v>
      </c>
      <c r="E16" s="109">
        <v>19720.000000000255</v>
      </c>
      <c r="F16" s="3">
        <v>20425581.600000262</v>
      </c>
      <c r="G16" s="38">
        <v>4400.0000000000909</v>
      </c>
      <c r="H16" s="3">
        <v>6836148.0000001416</v>
      </c>
      <c r="I16" s="106">
        <f t="shared" si="4"/>
        <v>27261729.600000404</v>
      </c>
      <c r="J16" s="109">
        <v>1899.9999999996362</v>
      </c>
      <c r="K16" s="3">
        <v>1967981.999999623</v>
      </c>
      <c r="L16" s="193">
        <v>440.00000000005457</v>
      </c>
      <c r="M16" s="194">
        <v>683614.8000000848</v>
      </c>
      <c r="N16" s="97">
        <f t="shared" si="5"/>
        <v>2651596.7999997078</v>
      </c>
      <c r="O16" s="111">
        <f t="shared" si="6"/>
        <v>29913326.40000011</v>
      </c>
      <c r="P16" s="114">
        <f t="shared" si="7"/>
        <v>26460.000000000036</v>
      </c>
      <c r="Q16" s="204"/>
      <c r="R16" s="229"/>
      <c r="S16" s="205"/>
      <c r="T16" s="240"/>
      <c r="U16" s="236">
        <v>0</v>
      </c>
      <c r="V16" s="195">
        <f t="shared" si="8"/>
        <v>928.2700000000001</v>
      </c>
      <c r="W16" s="3">
        <v>249.20000000000002</v>
      </c>
      <c r="X16" s="3">
        <v>4478248.6000000006</v>
      </c>
      <c r="Y16" s="34">
        <v>679.07</v>
      </c>
      <c r="Z16" s="34">
        <v>2882774.3826000006</v>
      </c>
      <c r="AA16" s="34">
        <f t="shared" si="0"/>
        <v>7361022.9826000016</v>
      </c>
      <c r="AB16" s="131">
        <f t="shared" si="1"/>
        <v>567.27588839164969</v>
      </c>
      <c r="AC16" s="137">
        <v>140.01327999997889</v>
      </c>
      <c r="AD16" s="3">
        <v>0</v>
      </c>
      <c r="AE16" s="3">
        <v>0</v>
      </c>
      <c r="AF16" s="3">
        <v>0</v>
      </c>
      <c r="AG16" s="3">
        <f t="shared" si="9"/>
        <v>140.01327999997889</v>
      </c>
      <c r="AH16" s="3">
        <v>1416934.3935997863</v>
      </c>
      <c r="AI16" s="46">
        <f t="shared" si="2"/>
        <v>109.19578960995079</v>
      </c>
      <c r="AJ16" s="146">
        <v>421.01000000000204</v>
      </c>
      <c r="AK16" s="3">
        <v>4210100.0000000205</v>
      </c>
      <c r="AL16" s="42">
        <f t="shared" si="3"/>
        <v>324.45058565407766</v>
      </c>
      <c r="AM16" s="7"/>
    </row>
    <row r="17" spans="1:39" x14ac:dyDescent="0.25">
      <c r="A17" s="36"/>
      <c r="B17" s="61">
        <v>6</v>
      </c>
      <c r="C17" s="285">
        <v>112</v>
      </c>
      <c r="D17" s="286">
        <v>768</v>
      </c>
      <c r="E17" s="109">
        <v>20680.000000000291</v>
      </c>
      <c r="F17" s="3">
        <v>21419930.4000003</v>
      </c>
      <c r="G17" s="38">
        <v>4439.9999999999409</v>
      </c>
      <c r="H17" s="3">
        <v>6898294.7999999085</v>
      </c>
      <c r="I17" s="106">
        <f t="shared" si="4"/>
        <v>28318225.200000208</v>
      </c>
      <c r="J17" s="109">
        <v>1899.9999999996362</v>
      </c>
      <c r="K17" s="3">
        <v>1967981.999999623</v>
      </c>
      <c r="L17" s="193">
        <v>460.00000000003638</v>
      </c>
      <c r="M17" s="194">
        <v>714688.20000005653</v>
      </c>
      <c r="N17" s="97">
        <f t="shared" si="5"/>
        <v>2682670.1999996798</v>
      </c>
      <c r="O17" s="111">
        <f t="shared" si="6"/>
        <v>31000895.399999887</v>
      </c>
      <c r="P17" s="114">
        <f t="shared" si="7"/>
        <v>27479.999999999905</v>
      </c>
      <c r="Q17" s="204"/>
      <c r="R17" s="229"/>
      <c r="S17" s="205"/>
      <c r="T17" s="240"/>
      <c r="U17" s="236">
        <v>0</v>
      </c>
      <c r="V17" s="195">
        <f t="shared" si="8"/>
        <v>884.66000000000008</v>
      </c>
      <c r="W17" s="3">
        <v>234.96</v>
      </c>
      <c r="X17" s="3">
        <v>4222348.68</v>
      </c>
      <c r="Y17" s="34">
        <v>649.70000000000005</v>
      </c>
      <c r="Z17" s="34">
        <v>2758093.4460000005</v>
      </c>
      <c r="AA17" s="34">
        <f t="shared" si="0"/>
        <v>6980442.1260000002</v>
      </c>
      <c r="AB17" s="131">
        <f t="shared" si="1"/>
        <v>537.94649436001134</v>
      </c>
      <c r="AC17" s="137">
        <v>137.47564000001873</v>
      </c>
      <c r="AD17" s="3">
        <v>0</v>
      </c>
      <c r="AE17" s="3">
        <v>0</v>
      </c>
      <c r="AF17" s="3">
        <v>0</v>
      </c>
      <c r="AG17" s="3">
        <f t="shared" si="9"/>
        <v>137.47564000001873</v>
      </c>
      <c r="AH17" s="3">
        <v>1391253.4768001896</v>
      </c>
      <c r="AI17" s="46">
        <f t="shared" si="2"/>
        <v>107.21669445882308</v>
      </c>
      <c r="AJ17" s="146">
        <v>433.53000000000611</v>
      </c>
      <c r="AK17" s="3">
        <v>4335300.0000000615</v>
      </c>
      <c r="AL17" s="42">
        <f t="shared" si="3"/>
        <v>334.09910073065629</v>
      </c>
      <c r="AM17" s="7"/>
    </row>
    <row r="18" spans="1:39" x14ac:dyDescent="0.25">
      <c r="A18" s="36"/>
      <c r="B18" s="61">
        <v>7</v>
      </c>
      <c r="C18" s="285">
        <v>125</v>
      </c>
      <c r="D18" s="286">
        <v>837</v>
      </c>
      <c r="E18" s="109">
        <v>21920.000000000073</v>
      </c>
      <c r="F18" s="3">
        <v>22704297.600000076</v>
      </c>
      <c r="G18" s="38">
        <v>4519.9999999999818</v>
      </c>
      <c r="H18" s="3">
        <v>7022588.3999999724</v>
      </c>
      <c r="I18" s="106">
        <f t="shared" si="4"/>
        <v>29726886.000000048</v>
      </c>
      <c r="J18" s="109">
        <v>1840.0000000001455</v>
      </c>
      <c r="K18" s="3">
        <v>1905835.2000001506</v>
      </c>
      <c r="L18" s="193">
        <v>500</v>
      </c>
      <c r="M18" s="194">
        <v>776835</v>
      </c>
      <c r="N18" s="97">
        <f t="shared" si="5"/>
        <v>2682670.2000001506</v>
      </c>
      <c r="O18" s="111">
        <f t="shared" si="6"/>
        <v>32409556.2000002</v>
      </c>
      <c r="P18" s="114">
        <f t="shared" si="7"/>
        <v>28780.0000000002</v>
      </c>
      <c r="Q18" s="204"/>
      <c r="R18" s="229"/>
      <c r="S18" s="205"/>
      <c r="T18" s="240"/>
      <c r="U18" s="236">
        <f t="shared" ref="U18:U39" si="10">T18/$AL$47</f>
        <v>0</v>
      </c>
      <c r="V18" s="195">
        <f t="shared" si="8"/>
        <v>844.61</v>
      </c>
      <c r="W18" s="3">
        <v>219.83</v>
      </c>
      <c r="X18" s="3">
        <v>3950455.0150000001</v>
      </c>
      <c r="Y18" s="34">
        <v>624.78</v>
      </c>
      <c r="Z18" s="34">
        <v>2652303.5603999998</v>
      </c>
      <c r="AA18" s="34">
        <f t="shared" si="0"/>
        <v>6602758.5754000004</v>
      </c>
      <c r="AB18" s="131">
        <f t="shared" si="1"/>
        <v>508.84038068478259</v>
      </c>
      <c r="AC18" s="137">
        <v>154.2321199999742</v>
      </c>
      <c r="AD18" s="3">
        <v>0</v>
      </c>
      <c r="AE18" s="3">
        <v>0</v>
      </c>
      <c r="AF18" s="3">
        <v>84</v>
      </c>
      <c r="AG18" s="3">
        <f t="shared" si="9"/>
        <v>238.2321199999742</v>
      </c>
      <c r="AH18" s="3">
        <v>2537329.054399739</v>
      </c>
      <c r="AI18" s="46">
        <f t="shared" si="2"/>
        <v>195.53879900646027</v>
      </c>
      <c r="AJ18" s="146">
        <v>738.11999999999534</v>
      </c>
      <c r="AK18" s="3">
        <v>7381199.9999999534</v>
      </c>
      <c r="AL18" s="42">
        <f t="shared" si="3"/>
        <v>568.83082654327711</v>
      </c>
      <c r="AM18" s="7"/>
    </row>
    <row r="19" spans="1:39" x14ac:dyDescent="0.25">
      <c r="A19" s="36"/>
      <c r="B19" s="61">
        <v>8</v>
      </c>
      <c r="C19" s="285">
        <v>135</v>
      </c>
      <c r="D19" s="286">
        <v>949</v>
      </c>
      <c r="E19" s="109">
        <v>19119.999999999891</v>
      </c>
      <c r="F19" s="3">
        <v>19804113.599999886</v>
      </c>
      <c r="G19" s="38">
        <v>4120.0000000001182</v>
      </c>
      <c r="H19" s="3">
        <v>6401120.4000001838</v>
      </c>
      <c r="I19" s="106">
        <f t="shared" si="4"/>
        <v>26205234.000000071</v>
      </c>
      <c r="J19" s="109">
        <v>2079.9999999999272</v>
      </c>
      <c r="K19" s="3">
        <v>2154422.3999999245</v>
      </c>
      <c r="L19" s="193">
        <v>480.00000000001819</v>
      </c>
      <c r="M19" s="194">
        <v>745761.60000002827</v>
      </c>
      <c r="N19" s="97">
        <f t="shared" si="5"/>
        <v>2900183.9999999525</v>
      </c>
      <c r="O19" s="111">
        <f t="shared" si="6"/>
        <v>29105418.000000022</v>
      </c>
      <c r="P19" s="114">
        <f t="shared" si="7"/>
        <v>25799.999999999956</v>
      </c>
      <c r="Q19" s="204"/>
      <c r="R19" s="229"/>
      <c r="S19" s="205"/>
      <c r="T19" s="240"/>
      <c r="U19" s="236">
        <f t="shared" si="10"/>
        <v>0</v>
      </c>
      <c r="V19" s="195">
        <f t="shared" si="8"/>
        <v>902.46</v>
      </c>
      <c r="W19" s="3">
        <v>237.63</v>
      </c>
      <c r="X19" s="3">
        <v>4270329.915</v>
      </c>
      <c r="Y19" s="34">
        <v>664.83</v>
      </c>
      <c r="Z19" s="34">
        <v>2822323.0194000006</v>
      </c>
      <c r="AA19" s="34">
        <f t="shared" si="0"/>
        <v>7092652.9344000006</v>
      </c>
      <c r="AB19" s="131">
        <f t="shared" si="1"/>
        <v>546.59399976418172</v>
      </c>
      <c r="AC19" s="137">
        <v>159.58935999998121</v>
      </c>
      <c r="AD19" s="3">
        <v>0</v>
      </c>
      <c r="AE19" s="3">
        <v>0</v>
      </c>
      <c r="AF19" s="3">
        <v>0</v>
      </c>
      <c r="AG19" s="3">
        <f t="shared" si="9"/>
        <v>159.58935999998121</v>
      </c>
      <c r="AH19" s="3">
        <v>1615044.3231998098</v>
      </c>
      <c r="AI19" s="46">
        <f t="shared" si="2"/>
        <v>124.46309506174893</v>
      </c>
      <c r="AJ19" s="146">
        <v>587.2300000000032</v>
      </c>
      <c r="AK19" s="3">
        <v>5872300.0000000317</v>
      </c>
      <c r="AL19" s="42">
        <f t="shared" si="3"/>
        <v>452.54772431449163</v>
      </c>
      <c r="AM19" s="7"/>
    </row>
    <row r="20" spans="1:39" x14ac:dyDescent="0.25">
      <c r="A20" s="36"/>
      <c r="B20" s="61">
        <v>9</v>
      </c>
      <c r="C20" s="285">
        <v>127</v>
      </c>
      <c r="D20" s="286">
        <v>912</v>
      </c>
      <c r="E20" s="109">
        <v>19239.999999999782</v>
      </c>
      <c r="F20" s="3">
        <v>19928407.199999772</v>
      </c>
      <c r="G20" s="38">
        <v>4159.9999999998545</v>
      </c>
      <c r="H20" s="3">
        <v>6463267.1999997739</v>
      </c>
      <c r="I20" s="106">
        <f t="shared" si="4"/>
        <v>26391674.399999544</v>
      </c>
      <c r="J20" s="109">
        <v>1980.0000000004729</v>
      </c>
      <c r="K20" s="3">
        <v>2050844.4000004898</v>
      </c>
      <c r="L20" s="193">
        <v>459.99999999980901</v>
      </c>
      <c r="M20" s="194">
        <v>714688.19999970333</v>
      </c>
      <c r="N20" s="97">
        <f t="shared" si="5"/>
        <v>2765532.6000001933</v>
      </c>
      <c r="O20" s="111">
        <f t="shared" si="6"/>
        <v>29157206.999999739</v>
      </c>
      <c r="P20" s="114">
        <f t="shared" si="7"/>
        <v>25839.99999999992</v>
      </c>
      <c r="Q20" s="204"/>
      <c r="R20" s="229"/>
      <c r="S20" s="205"/>
      <c r="T20" s="240"/>
      <c r="U20" s="236">
        <f t="shared" si="10"/>
        <v>0</v>
      </c>
      <c r="V20" s="195">
        <f t="shared" si="8"/>
        <v>873.98</v>
      </c>
      <c r="W20" s="3">
        <v>227.84</v>
      </c>
      <c r="X20" s="3">
        <v>4094398.72</v>
      </c>
      <c r="Y20" s="34">
        <v>646.14</v>
      </c>
      <c r="Z20" s="34">
        <v>2742980.6052000001</v>
      </c>
      <c r="AA20" s="34">
        <f t="shared" si="0"/>
        <v>6837379.3252000008</v>
      </c>
      <c r="AB20" s="131">
        <f t="shared" si="1"/>
        <v>526.92138581036363</v>
      </c>
      <c r="AC20" s="137">
        <v>153.34596000002813</v>
      </c>
      <c r="AD20" s="3">
        <v>0</v>
      </c>
      <c r="AE20" s="3">
        <v>0</v>
      </c>
      <c r="AF20" s="3">
        <v>0</v>
      </c>
      <c r="AG20" s="3">
        <f t="shared" si="9"/>
        <v>153.34596000002813</v>
      </c>
      <c r="AH20" s="3">
        <v>1551861.1152002846</v>
      </c>
      <c r="AI20" s="46">
        <f t="shared" si="2"/>
        <v>119.59389270575996</v>
      </c>
      <c r="AJ20" s="146">
        <v>591.69999999999709</v>
      </c>
      <c r="AK20" s="3">
        <v>5916999.9999999711</v>
      </c>
      <c r="AL20" s="42">
        <f t="shared" si="3"/>
        <v>455.99252163016524</v>
      </c>
      <c r="AM20" s="7"/>
    </row>
    <row r="21" spans="1:39" x14ac:dyDescent="0.25">
      <c r="A21" s="36"/>
      <c r="B21" s="61">
        <v>10</v>
      </c>
      <c r="C21" s="285">
        <v>105</v>
      </c>
      <c r="D21" s="286">
        <v>880</v>
      </c>
      <c r="E21" s="109">
        <v>20119.999999999891</v>
      </c>
      <c r="F21" s="3">
        <v>20839893.599999886</v>
      </c>
      <c r="G21" s="38">
        <v>4279.9999999999727</v>
      </c>
      <c r="H21" s="3">
        <v>6649707.5999999577</v>
      </c>
      <c r="I21" s="106">
        <f t="shared" si="4"/>
        <v>27489601.199999843</v>
      </c>
      <c r="J21" s="109">
        <v>2099.9999999994543</v>
      </c>
      <c r="K21" s="3">
        <v>2175137.9999994347</v>
      </c>
      <c r="L21" s="193">
        <v>480.00000000001819</v>
      </c>
      <c r="M21" s="194">
        <v>745761.60000002827</v>
      </c>
      <c r="N21" s="97">
        <f t="shared" si="5"/>
        <v>2920899.5999994632</v>
      </c>
      <c r="O21" s="111">
        <f t="shared" si="6"/>
        <v>30410500.799999304</v>
      </c>
      <c r="P21" s="114">
        <f t="shared" si="7"/>
        <v>26979.999999999338</v>
      </c>
      <c r="Q21" s="204"/>
      <c r="R21" s="229"/>
      <c r="S21" s="205"/>
      <c r="T21" s="240"/>
      <c r="U21" s="236">
        <f t="shared" si="10"/>
        <v>0</v>
      </c>
      <c r="V21" s="195">
        <f t="shared" si="8"/>
        <v>843.72</v>
      </c>
      <c r="W21" s="3">
        <v>215.38</v>
      </c>
      <c r="X21" s="3">
        <v>3870486.29</v>
      </c>
      <c r="Y21" s="34">
        <v>628.34</v>
      </c>
      <c r="Z21" s="34">
        <v>2667416.4012000002</v>
      </c>
      <c r="AA21" s="34">
        <f t="shared" si="0"/>
        <v>6537902.6912000002</v>
      </c>
      <c r="AB21" s="131">
        <f t="shared" si="1"/>
        <v>503.8422738436617</v>
      </c>
      <c r="AC21" s="137">
        <v>145.28995999996951</v>
      </c>
      <c r="AD21" s="3">
        <v>0</v>
      </c>
      <c r="AE21" s="3">
        <v>150</v>
      </c>
      <c r="AF21" s="3">
        <v>12</v>
      </c>
      <c r="AG21" s="3">
        <f t="shared" si="9"/>
        <v>307.28995999996948</v>
      </c>
      <c r="AH21" s="3">
        <v>3306334.3951996914</v>
      </c>
      <c r="AI21" s="46">
        <f t="shared" si="2"/>
        <v>254.80205479460233</v>
      </c>
      <c r="AJ21" s="146">
        <v>429.40000000000146</v>
      </c>
      <c r="AK21" s="3">
        <v>4294000.0000000149</v>
      </c>
      <c r="AL21" s="42">
        <f t="shared" si="3"/>
        <v>330.91632379245328</v>
      </c>
      <c r="AM21" s="7"/>
    </row>
    <row r="22" spans="1:39" x14ac:dyDescent="0.25">
      <c r="A22" s="36"/>
      <c r="B22" s="61">
        <v>11</v>
      </c>
      <c r="C22" s="285">
        <v>86</v>
      </c>
      <c r="D22" s="286">
        <v>645</v>
      </c>
      <c r="E22" s="109">
        <v>19960.000000000036</v>
      </c>
      <c r="F22" s="3">
        <v>20674168.800000038</v>
      </c>
      <c r="G22" s="38">
        <v>4280.0000000002001</v>
      </c>
      <c r="H22" s="3">
        <v>6649707.6000003116</v>
      </c>
      <c r="I22" s="106">
        <f t="shared" si="4"/>
        <v>27323876.400000349</v>
      </c>
      <c r="J22" s="109">
        <v>1920.0000000000728</v>
      </c>
      <c r="K22" s="3">
        <v>1988697.6000000753</v>
      </c>
      <c r="L22" s="193">
        <v>460.00000000003638</v>
      </c>
      <c r="M22" s="194">
        <v>714688.20000005653</v>
      </c>
      <c r="N22" s="97">
        <f t="shared" si="5"/>
        <v>2703385.8000001321</v>
      </c>
      <c r="O22" s="111">
        <f t="shared" si="6"/>
        <v>30027262.20000048</v>
      </c>
      <c r="P22" s="114">
        <f t="shared" si="7"/>
        <v>26620.000000000346</v>
      </c>
      <c r="Q22" s="204"/>
      <c r="R22" s="229"/>
      <c r="S22" s="205"/>
      <c r="T22" s="240"/>
      <c r="U22" s="236">
        <f t="shared" si="10"/>
        <v>0</v>
      </c>
      <c r="V22" s="195">
        <f t="shared" si="8"/>
        <v>948.74</v>
      </c>
      <c r="W22" s="3">
        <v>230.51</v>
      </c>
      <c r="X22" s="3">
        <v>4142379.9549999996</v>
      </c>
      <c r="Y22" s="34">
        <v>718.23</v>
      </c>
      <c r="Z22" s="34">
        <v>3049015.6314000003</v>
      </c>
      <c r="AA22" s="34">
        <f t="shared" si="0"/>
        <v>7191395.5864000004</v>
      </c>
      <c r="AB22" s="131">
        <f t="shared" si="1"/>
        <v>554.20358416133058</v>
      </c>
      <c r="AC22" s="137">
        <v>142.87316000000467</v>
      </c>
      <c r="AD22" s="3">
        <v>0</v>
      </c>
      <c r="AE22" s="3">
        <v>0</v>
      </c>
      <c r="AF22" s="3">
        <v>0</v>
      </c>
      <c r="AG22" s="3">
        <f t="shared" si="9"/>
        <v>142.87316000000467</v>
      </c>
      <c r="AH22" s="3">
        <v>1445876.3792000473</v>
      </c>
      <c r="AI22" s="46">
        <f t="shared" si="2"/>
        <v>111.42619843111811</v>
      </c>
      <c r="AJ22" s="146">
        <v>487</v>
      </c>
      <c r="AK22" s="3">
        <v>4870000</v>
      </c>
      <c r="AL22" s="42">
        <f t="shared" si="3"/>
        <v>375.30565833005164</v>
      </c>
      <c r="AM22" s="7"/>
    </row>
    <row r="23" spans="1:39" x14ac:dyDescent="0.25">
      <c r="A23" s="36"/>
      <c r="B23" s="61">
        <v>12</v>
      </c>
      <c r="C23" s="285">
        <v>70</v>
      </c>
      <c r="D23" s="286">
        <v>527</v>
      </c>
      <c r="E23" s="109">
        <v>18840.000000000146</v>
      </c>
      <c r="F23" s="3">
        <v>19514095.200000152</v>
      </c>
      <c r="G23" s="38">
        <v>4239.9999999997817</v>
      </c>
      <c r="H23" s="3">
        <v>6587560.7999996608</v>
      </c>
      <c r="I23" s="106">
        <f t="shared" si="4"/>
        <v>26101655.999999814</v>
      </c>
      <c r="J23" s="109">
        <v>1940.0000000005093</v>
      </c>
      <c r="K23" s="3">
        <v>2009413.2000005275</v>
      </c>
      <c r="L23" s="193">
        <v>480.00000000001819</v>
      </c>
      <c r="M23" s="194">
        <v>745761.60000002827</v>
      </c>
      <c r="N23" s="97">
        <f t="shared" si="5"/>
        <v>2755174.8000005558</v>
      </c>
      <c r="O23" s="111">
        <f t="shared" si="6"/>
        <v>28856830.80000037</v>
      </c>
      <c r="P23" s="114">
        <f t="shared" si="7"/>
        <v>25500.000000000455</v>
      </c>
      <c r="Q23" s="204"/>
      <c r="R23" s="229"/>
      <c r="S23" s="205"/>
      <c r="T23" s="240"/>
      <c r="U23" s="236">
        <f t="shared" si="10"/>
        <v>0</v>
      </c>
      <c r="V23" s="195">
        <f t="shared" si="8"/>
        <v>987.9</v>
      </c>
      <c r="W23" s="3">
        <v>214.49</v>
      </c>
      <c r="X23" s="3">
        <v>3854492.5450000004</v>
      </c>
      <c r="Y23" s="34">
        <v>773.41</v>
      </c>
      <c r="Z23" s="34">
        <v>3283264.6638000002</v>
      </c>
      <c r="AA23" s="34">
        <f t="shared" si="0"/>
        <v>7137757.2088000011</v>
      </c>
      <c r="AB23" s="131">
        <f t="shared" si="1"/>
        <v>550.06995241247569</v>
      </c>
      <c r="AC23" s="137">
        <v>149.03599999999997</v>
      </c>
      <c r="AD23" s="3">
        <v>0</v>
      </c>
      <c r="AE23" s="3">
        <v>0</v>
      </c>
      <c r="AF23" s="3">
        <v>36</v>
      </c>
      <c r="AG23" s="3">
        <f t="shared" si="9"/>
        <v>185.03599999999997</v>
      </c>
      <c r="AH23" s="3">
        <v>1926744.3199999998</v>
      </c>
      <c r="AI23" s="46">
        <f t="shared" si="2"/>
        <v>148.48419824461757</v>
      </c>
      <c r="AJ23" s="146">
        <v>402.92000000000553</v>
      </c>
      <c r="AK23" s="3">
        <v>4029200.0000000554</v>
      </c>
      <c r="AL23" s="42">
        <f t="shared" si="3"/>
        <v>310.50956027586551</v>
      </c>
      <c r="AM23" s="7"/>
    </row>
    <row r="24" spans="1:39" x14ac:dyDescent="0.25">
      <c r="A24" s="36"/>
      <c r="B24" s="61">
        <v>13</v>
      </c>
      <c r="C24" s="285">
        <v>69</v>
      </c>
      <c r="D24" s="286">
        <v>564</v>
      </c>
      <c r="E24" s="109">
        <v>19439.9999999996</v>
      </c>
      <c r="F24" s="3">
        <v>20135563.199999586</v>
      </c>
      <c r="G24" s="38">
        <v>3920.0000000000728</v>
      </c>
      <c r="H24" s="3">
        <v>6090386.4000001131</v>
      </c>
      <c r="I24" s="106">
        <f t="shared" si="4"/>
        <v>26225949.5999997</v>
      </c>
      <c r="J24" s="109">
        <v>2000</v>
      </c>
      <c r="K24" s="3">
        <v>2071560</v>
      </c>
      <c r="L24" s="193">
        <v>460.00000000003638</v>
      </c>
      <c r="M24" s="194">
        <v>714688.20000005653</v>
      </c>
      <c r="N24" s="97">
        <f t="shared" si="5"/>
        <v>2786248.2000000565</v>
      </c>
      <c r="O24" s="111">
        <f t="shared" si="6"/>
        <v>29012197.799999755</v>
      </c>
      <c r="P24" s="114">
        <f t="shared" si="7"/>
        <v>25819.999999999709</v>
      </c>
      <c r="Q24" s="204"/>
      <c r="R24" s="229"/>
      <c r="S24" s="205"/>
      <c r="T24" s="240"/>
      <c r="U24" s="236">
        <f t="shared" si="10"/>
        <v>0</v>
      </c>
      <c r="V24" s="195">
        <f>Y24+W24</f>
        <v>889.11</v>
      </c>
      <c r="W24" s="3">
        <v>219.83</v>
      </c>
      <c r="X24" s="3">
        <v>3950455.0150000001</v>
      </c>
      <c r="Y24" s="34">
        <v>669.28</v>
      </c>
      <c r="Z24" s="34">
        <v>2841214.0704000001</v>
      </c>
      <c r="AA24" s="34">
        <f t="shared" si="0"/>
        <v>6791669.0854000002</v>
      </c>
      <c r="AB24" s="131">
        <f t="shared" si="1"/>
        <v>523.39873454946758</v>
      </c>
      <c r="AC24" s="137">
        <v>138.36180000002344</v>
      </c>
      <c r="AD24" s="3">
        <v>0</v>
      </c>
      <c r="AE24" s="3">
        <v>0</v>
      </c>
      <c r="AF24" s="3">
        <v>12</v>
      </c>
      <c r="AG24" s="3">
        <f t="shared" si="9"/>
        <v>150.36180000002344</v>
      </c>
      <c r="AH24" s="3">
        <v>1539721.4160002372</v>
      </c>
      <c r="AI24" s="46">
        <f t="shared" si="2"/>
        <v>118.65834900961978</v>
      </c>
      <c r="AJ24" s="146">
        <v>666.12999999999738</v>
      </c>
      <c r="AK24" s="3">
        <v>6661299.9999999739</v>
      </c>
      <c r="AL24" s="42">
        <f t="shared" si="3"/>
        <v>513.35186485296992</v>
      </c>
      <c r="AM24" s="7"/>
    </row>
    <row r="25" spans="1:39" x14ac:dyDescent="0.25">
      <c r="A25" s="36"/>
      <c r="B25" s="61">
        <v>14</v>
      </c>
      <c r="C25" s="285">
        <v>60</v>
      </c>
      <c r="D25" s="286">
        <v>643</v>
      </c>
      <c r="E25" s="109">
        <v>19600.000000000364</v>
      </c>
      <c r="F25" s="3">
        <v>20301288.000000376</v>
      </c>
      <c r="G25" s="38">
        <v>4120.0000000001182</v>
      </c>
      <c r="H25" s="3">
        <v>6401120.4000001838</v>
      </c>
      <c r="I25" s="106">
        <f t="shared" si="4"/>
        <v>26702408.400000561</v>
      </c>
      <c r="J25" s="109">
        <v>1819.999999999709</v>
      </c>
      <c r="K25" s="3">
        <v>1885119.5999996986</v>
      </c>
      <c r="L25" s="193">
        <v>460.00000000003638</v>
      </c>
      <c r="M25" s="194">
        <v>714688.20000005653</v>
      </c>
      <c r="N25" s="97">
        <f t="shared" si="5"/>
        <v>2599807.7999997549</v>
      </c>
      <c r="O25" s="111">
        <f t="shared" si="6"/>
        <v>29302216.200000316</v>
      </c>
      <c r="P25" s="114">
        <f t="shared" si="7"/>
        <v>26000.000000000226</v>
      </c>
      <c r="Q25" s="204"/>
      <c r="R25" s="229"/>
      <c r="S25" s="205"/>
      <c r="T25" s="240"/>
      <c r="U25" s="236">
        <f t="shared" si="10"/>
        <v>0</v>
      </c>
      <c r="V25" s="195">
        <f t="shared" si="8"/>
        <v>945.18</v>
      </c>
      <c r="W25" s="3">
        <v>210.04</v>
      </c>
      <c r="X25" s="3">
        <v>3774523.82</v>
      </c>
      <c r="Y25" s="34">
        <v>735.14</v>
      </c>
      <c r="Z25" s="34">
        <v>3120801.6252000001</v>
      </c>
      <c r="AA25" s="34">
        <f t="shared" si="0"/>
        <v>6895325.4452</v>
      </c>
      <c r="AB25" s="131">
        <f t="shared" si="1"/>
        <v>531.38699293855086</v>
      </c>
      <c r="AC25" s="137">
        <v>136.67003999997186</v>
      </c>
      <c r="AD25" s="3">
        <v>0</v>
      </c>
      <c r="AE25" s="3">
        <v>300</v>
      </c>
      <c r="AF25" s="3">
        <v>0</v>
      </c>
      <c r="AG25" s="3">
        <f t="shared" si="9"/>
        <v>436.67003999997189</v>
      </c>
      <c r="AH25" s="3">
        <v>4776100.8047997151</v>
      </c>
      <c r="AI25" s="46">
        <f t="shared" si="2"/>
        <v>368.06933404436273</v>
      </c>
      <c r="AJ25" s="146">
        <v>753.38999999999214</v>
      </c>
      <c r="AK25" s="3">
        <v>7533899.9999999218</v>
      </c>
      <c r="AL25" s="42">
        <f t="shared" si="3"/>
        <v>580.59862408475294</v>
      </c>
      <c r="AM25" s="7"/>
    </row>
    <row r="26" spans="1:39" x14ac:dyDescent="0.25">
      <c r="A26" s="36"/>
      <c r="B26" s="61">
        <v>15</v>
      </c>
      <c r="C26" s="285">
        <v>63</v>
      </c>
      <c r="D26" s="286">
        <v>442</v>
      </c>
      <c r="E26" s="109">
        <v>19760.000000000218</v>
      </c>
      <c r="F26" s="3">
        <v>20467012.800000224</v>
      </c>
      <c r="G26" s="38">
        <v>4240.0000000000091</v>
      </c>
      <c r="H26" s="3">
        <v>6587560.8000000147</v>
      </c>
      <c r="I26" s="106">
        <f t="shared" si="4"/>
        <v>27054573.60000024</v>
      </c>
      <c r="J26" s="109">
        <v>1940.0000000005093</v>
      </c>
      <c r="K26" s="3">
        <v>2009413.2000005275</v>
      </c>
      <c r="L26" s="193">
        <v>480.00000000001819</v>
      </c>
      <c r="M26" s="194">
        <v>745761.60000002827</v>
      </c>
      <c r="N26" s="97">
        <f t="shared" si="5"/>
        <v>2755174.8000005558</v>
      </c>
      <c r="O26" s="111">
        <f t="shared" si="6"/>
        <v>29809748.400000796</v>
      </c>
      <c r="P26" s="114">
        <f t="shared" si="7"/>
        <v>26420.000000000757</v>
      </c>
      <c r="Q26" s="204"/>
      <c r="R26" s="229"/>
      <c r="S26" s="205"/>
      <c r="T26" s="240"/>
      <c r="U26" s="236">
        <f t="shared" si="10"/>
        <v>0</v>
      </c>
      <c r="V26" s="195">
        <f t="shared" si="8"/>
        <v>823.25</v>
      </c>
      <c r="W26" s="3">
        <v>226.95000000000002</v>
      </c>
      <c r="X26" s="3">
        <v>4078404.9750000001</v>
      </c>
      <c r="Y26" s="34">
        <v>596.29999999999995</v>
      </c>
      <c r="Z26" s="34">
        <v>2531400.8339999998</v>
      </c>
      <c r="AA26" s="34">
        <f t="shared" si="0"/>
        <v>6609805.8090000004</v>
      </c>
      <c r="AB26" s="131">
        <f t="shared" si="1"/>
        <v>509.38347445185724</v>
      </c>
      <c r="AC26" s="137">
        <v>136.26724000000701</v>
      </c>
      <c r="AD26" s="3">
        <v>0</v>
      </c>
      <c r="AE26" s="3">
        <v>0</v>
      </c>
      <c r="AF26" s="3">
        <v>0</v>
      </c>
      <c r="AG26" s="3">
        <f t="shared" si="9"/>
        <v>136.26724000000701</v>
      </c>
      <c r="AH26" s="3">
        <v>1379024.4688000709</v>
      </c>
      <c r="AI26" s="46">
        <f t="shared" si="2"/>
        <v>106.27426819635737</v>
      </c>
      <c r="AJ26" s="146">
        <v>564.09999999999854</v>
      </c>
      <c r="AK26" s="3">
        <v>5640999.9999999851</v>
      </c>
      <c r="AL26" s="42">
        <f t="shared" si="3"/>
        <v>434.72263216423323</v>
      </c>
      <c r="AM26" s="7"/>
    </row>
    <row r="27" spans="1:39" x14ac:dyDescent="0.25">
      <c r="A27" s="36"/>
      <c r="B27" s="61">
        <v>16</v>
      </c>
      <c r="C27" s="285">
        <v>66</v>
      </c>
      <c r="D27" s="286">
        <v>470</v>
      </c>
      <c r="E27" s="109">
        <v>18920.000000000073</v>
      </c>
      <c r="F27" s="3">
        <v>19596957.600000076</v>
      </c>
      <c r="G27" s="38">
        <v>4199.9999999998181</v>
      </c>
      <c r="H27" s="3">
        <v>6525413.9999997178</v>
      </c>
      <c r="I27" s="106">
        <f t="shared" si="4"/>
        <v>26122371.599999793</v>
      </c>
      <c r="J27" s="109">
        <v>1979.9999999995634</v>
      </c>
      <c r="K27" s="3">
        <v>2050844.3999995477</v>
      </c>
      <c r="L27" s="193">
        <v>480.00000000001819</v>
      </c>
      <c r="M27" s="194">
        <v>745761.60000002827</v>
      </c>
      <c r="N27" s="97">
        <f t="shared" si="5"/>
        <v>2796605.9999995762</v>
      </c>
      <c r="O27" s="111">
        <f t="shared" si="6"/>
        <v>28918977.599999368</v>
      </c>
      <c r="P27" s="114">
        <f t="shared" si="7"/>
        <v>25579.999999999472</v>
      </c>
      <c r="Q27" s="204"/>
      <c r="R27" s="229"/>
      <c r="S27" s="205"/>
      <c r="T27" s="240"/>
      <c r="U27" s="236">
        <f t="shared" si="10"/>
        <v>0</v>
      </c>
      <c r="V27" s="195">
        <f t="shared" si="8"/>
        <v>824.1400000000001</v>
      </c>
      <c r="W27" s="3">
        <v>218.05</v>
      </c>
      <c r="X27" s="3">
        <v>3918467.5250000004</v>
      </c>
      <c r="Y27" s="34">
        <v>606.09</v>
      </c>
      <c r="Z27" s="34">
        <v>2572961.1462000003</v>
      </c>
      <c r="AA27" s="34">
        <f t="shared" si="0"/>
        <v>6491428.6712000007</v>
      </c>
      <c r="AB27" s="131">
        <f t="shared" si="1"/>
        <v>500.26076200149663</v>
      </c>
      <c r="AC27" s="137">
        <v>126.19724000000701</v>
      </c>
      <c r="AD27" s="3">
        <v>0</v>
      </c>
      <c r="AE27" s="3">
        <v>100</v>
      </c>
      <c r="AF27" s="3">
        <v>0</v>
      </c>
      <c r="AG27" s="3">
        <f t="shared" si="9"/>
        <v>226.19724000000701</v>
      </c>
      <c r="AH27" s="3">
        <v>2408116.0688000713</v>
      </c>
      <c r="AI27" s="46">
        <f t="shared" si="2"/>
        <v>185.58102392940179</v>
      </c>
      <c r="AJ27" s="146">
        <v>600.65000000000146</v>
      </c>
      <c r="AK27" s="3">
        <v>6006500.0000000149</v>
      </c>
      <c r="AL27" s="42">
        <f t="shared" si="3"/>
        <v>462.8898227432158</v>
      </c>
      <c r="AM27" s="7"/>
    </row>
    <row r="28" spans="1:39" x14ac:dyDescent="0.25">
      <c r="A28" s="36"/>
      <c r="B28" s="61">
        <v>17</v>
      </c>
      <c r="C28" s="285">
        <v>100</v>
      </c>
      <c r="D28" s="286">
        <v>478</v>
      </c>
      <c r="E28" s="109">
        <v>20519.999999999527</v>
      </c>
      <c r="F28" s="3">
        <v>21254205.59999951</v>
      </c>
      <c r="G28" s="38">
        <v>4480.0000000000182</v>
      </c>
      <c r="H28" s="3">
        <v>6960441.6000000285</v>
      </c>
      <c r="I28" s="106">
        <f t="shared" si="4"/>
        <v>28214647.199999537</v>
      </c>
      <c r="J28" s="109">
        <v>2039.9999999999636</v>
      </c>
      <c r="K28" s="3">
        <v>2112991.1999999625</v>
      </c>
      <c r="L28" s="193">
        <v>439.9999999998272</v>
      </c>
      <c r="M28" s="194">
        <v>683614.79999973159</v>
      </c>
      <c r="N28" s="97">
        <f t="shared" si="5"/>
        <v>2796605.9999996941</v>
      </c>
      <c r="O28" s="111">
        <f t="shared" si="6"/>
        <v>31011253.199999232</v>
      </c>
      <c r="P28" s="114">
        <f t="shared" si="7"/>
        <v>27479.999999999338</v>
      </c>
      <c r="Q28" s="204"/>
      <c r="R28" s="229"/>
      <c r="S28" s="205"/>
      <c r="T28" s="240"/>
      <c r="U28" s="236">
        <f t="shared" si="10"/>
        <v>0</v>
      </c>
      <c r="V28" s="195">
        <f t="shared" si="8"/>
        <v>910.82599999999479</v>
      </c>
      <c r="W28" s="3">
        <v>217.16</v>
      </c>
      <c r="X28" s="3">
        <v>3902473.78</v>
      </c>
      <c r="Y28" s="34">
        <v>693.66599999999482</v>
      </c>
      <c r="Z28" s="34">
        <v>2944737.0298799784</v>
      </c>
      <c r="AA28" s="34">
        <f t="shared" si="0"/>
        <v>6847210.8098799782</v>
      </c>
      <c r="AB28" s="131">
        <f t="shared" si="1"/>
        <v>527.67904737713582</v>
      </c>
      <c r="AC28" s="137">
        <v>141.34251999998591</v>
      </c>
      <c r="AD28" s="3">
        <v>0</v>
      </c>
      <c r="AE28" s="3">
        <v>0</v>
      </c>
      <c r="AF28" s="3">
        <v>12</v>
      </c>
      <c r="AG28" s="3">
        <f t="shared" si="9"/>
        <v>153.34251999998591</v>
      </c>
      <c r="AH28" s="3">
        <v>1569886.3023998574</v>
      </c>
      <c r="AI28" s="46">
        <f t="shared" si="2"/>
        <v>120.98300045698338</v>
      </c>
      <c r="AJ28" s="146">
        <v>558.94999999999709</v>
      </c>
      <c r="AK28" s="3">
        <v>5589499.9999999711</v>
      </c>
      <c r="AL28" s="42">
        <f t="shared" si="3"/>
        <v>430.75379409359607</v>
      </c>
      <c r="AM28" s="7"/>
    </row>
    <row r="29" spans="1:39" x14ac:dyDescent="0.25">
      <c r="A29" s="36"/>
      <c r="B29" s="61">
        <v>18</v>
      </c>
      <c r="C29" s="285">
        <v>99</v>
      </c>
      <c r="D29" s="286">
        <v>534</v>
      </c>
      <c r="E29" s="109">
        <v>20000</v>
      </c>
      <c r="F29" s="3">
        <v>20715600</v>
      </c>
      <c r="G29" s="38">
        <v>120.00000000011823</v>
      </c>
      <c r="H29" s="3">
        <v>186440.4000001837</v>
      </c>
      <c r="I29" s="106">
        <f t="shared" si="4"/>
        <v>20902040.400000185</v>
      </c>
      <c r="J29" s="109">
        <v>2020.0000000004366</v>
      </c>
      <c r="K29" s="3">
        <v>2092275.600000452</v>
      </c>
      <c r="L29" s="193">
        <v>259.99999999999091</v>
      </c>
      <c r="M29" s="194">
        <v>403954.19999998587</v>
      </c>
      <c r="N29" s="97">
        <f t="shared" si="5"/>
        <v>2496229.800000438</v>
      </c>
      <c r="O29" s="111">
        <f t="shared" si="6"/>
        <v>23398270.200000621</v>
      </c>
      <c r="P29" s="114">
        <f t="shared" si="7"/>
        <v>22400.000000000546</v>
      </c>
      <c r="Q29" s="204"/>
      <c r="R29" s="229"/>
      <c r="S29" s="205"/>
      <c r="T29" s="240"/>
      <c r="U29" s="236">
        <f t="shared" si="10"/>
        <v>0</v>
      </c>
      <c r="V29" s="195">
        <f t="shared" si="8"/>
        <v>757.3900000000001</v>
      </c>
      <c r="W29" s="3">
        <v>195.8</v>
      </c>
      <c r="X29" s="3">
        <v>3518623.9000000004</v>
      </c>
      <c r="Y29" s="34">
        <v>561.59</v>
      </c>
      <c r="Z29" s="34">
        <v>2384050.6362000001</v>
      </c>
      <c r="AA29" s="34">
        <f t="shared" si="0"/>
        <v>5902674.5362</v>
      </c>
      <c r="AB29" s="131">
        <f t="shared" si="1"/>
        <v>454.88853238533335</v>
      </c>
      <c r="AC29" s="137">
        <v>148.27068000004923</v>
      </c>
      <c r="AD29" s="3">
        <v>0</v>
      </c>
      <c r="AE29" s="3">
        <v>0</v>
      </c>
      <c r="AF29" s="3">
        <v>24</v>
      </c>
      <c r="AG29" s="3">
        <f t="shared" si="9"/>
        <v>172.27068000004923</v>
      </c>
      <c r="AH29" s="3">
        <v>1779499.2816004981</v>
      </c>
      <c r="AI29" s="46">
        <f t="shared" si="2"/>
        <v>137.1367863201086</v>
      </c>
      <c r="AJ29" s="146">
        <v>1350.6899999999951</v>
      </c>
      <c r="AK29" s="3">
        <v>13506899.99999995</v>
      </c>
      <c r="AL29" s="42">
        <f t="shared" si="3"/>
        <v>1040.9067754616337</v>
      </c>
      <c r="AM29" s="7"/>
    </row>
    <row r="30" spans="1:39" x14ac:dyDescent="0.25">
      <c r="A30" s="36"/>
      <c r="B30" s="61">
        <v>19</v>
      </c>
      <c r="C30" s="285">
        <v>103</v>
      </c>
      <c r="D30" s="286">
        <v>501</v>
      </c>
      <c r="E30" s="109">
        <v>20600.000000000364</v>
      </c>
      <c r="F30" s="3">
        <v>21337068.000000376</v>
      </c>
      <c r="G30" s="38">
        <v>4119.9999999998909</v>
      </c>
      <c r="H30" s="3">
        <v>6401120.3999998309</v>
      </c>
      <c r="I30" s="106">
        <f t="shared" si="4"/>
        <v>27738188.400000207</v>
      </c>
      <c r="J30" s="109">
        <v>1859.9999999996726</v>
      </c>
      <c r="K30" s="3">
        <v>1926550.7999996608</v>
      </c>
      <c r="L30" s="193">
        <v>480.00000000001819</v>
      </c>
      <c r="M30" s="194">
        <v>745761.60000002827</v>
      </c>
      <c r="N30" s="97">
        <f t="shared" si="5"/>
        <v>2672312.3999996893</v>
      </c>
      <c r="O30" s="111">
        <f t="shared" si="6"/>
        <v>30410500.799999896</v>
      </c>
      <c r="P30" s="114">
        <f t="shared" si="7"/>
        <v>27059.999999999945</v>
      </c>
      <c r="Q30" s="204"/>
      <c r="R30" s="229"/>
      <c r="S30" s="205"/>
      <c r="T30" s="240"/>
      <c r="U30" s="236">
        <f t="shared" si="10"/>
        <v>0</v>
      </c>
      <c r="V30" s="195">
        <f t="shared" si="8"/>
        <v>829.12400000000514</v>
      </c>
      <c r="W30" s="3">
        <v>229.62</v>
      </c>
      <c r="X30" s="3">
        <v>4126386.21</v>
      </c>
      <c r="Y30" s="34">
        <v>599.50400000000514</v>
      </c>
      <c r="Z30" s="34">
        <v>2545002.3907200219</v>
      </c>
      <c r="AA30" s="34">
        <f t="shared" si="0"/>
        <v>6671388.6007200219</v>
      </c>
      <c r="AB30" s="131">
        <f t="shared" si="1"/>
        <v>514.12934102029362</v>
      </c>
      <c r="AC30" s="137">
        <v>170.26355999995778</v>
      </c>
      <c r="AD30" s="3">
        <v>0</v>
      </c>
      <c r="AE30" s="3">
        <v>0</v>
      </c>
      <c r="AF30" s="3">
        <v>0</v>
      </c>
      <c r="AG30" s="3">
        <f t="shared" si="9"/>
        <v>170.26355999995778</v>
      </c>
      <c r="AH30" s="3">
        <v>1723067.2271995726</v>
      </c>
      <c r="AI30" s="46">
        <f t="shared" si="2"/>
        <v>132.78786038009699</v>
      </c>
      <c r="AJ30" s="146">
        <v>550.31000000001222</v>
      </c>
      <c r="AK30" s="3">
        <v>5503100.000000122</v>
      </c>
      <c r="AL30" s="42">
        <f t="shared" si="3"/>
        <v>424.09539391296778</v>
      </c>
      <c r="AM30" s="7"/>
    </row>
    <row r="31" spans="1:39" x14ac:dyDescent="0.25">
      <c r="A31" s="36"/>
      <c r="B31" s="61">
        <v>20</v>
      </c>
      <c r="C31" s="285">
        <v>102</v>
      </c>
      <c r="D31" s="286">
        <v>472</v>
      </c>
      <c r="E31" s="109">
        <v>19239.999999999782</v>
      </c>
      <c r="F31" s="3">
        <v>19928407.199999772</v>
      </c>
      <c r="G31" s="38">
        <v>4200.0000000000455</v>
      </c>
      <c r="H31" s="3">
        <v>6525414.0000000708</v>
      </c>
      <c r="I31" s="106">
        <f t="shared" si="4"/>
        <v>26453821.199999843</v>
      </c>
      <c r="J31" s="109">
        <v>1960.0000000000364</v>
      </c>
      <c r="K31" s="3">
        <v>2030128.8000000375</v>
      </c>
      <c r="L31" s="193">
        <v>480.00000000001819</v>
      </c>
      <c r="M31" s="194">
        <v>745761.60000002827</v>
      </c>
      <c r="N31" s="97">
        <f t="shared" si="5"/>
        <v>2775890.4000000656</v>
      </c>
      <c r="O31" s="111">
        <f t="shared" si="6"/>
        <v>29229711.599999908</v>
      </c>
      <c r="P31" s="114">
        <f t="shared" si="7"/>
        <v>25879.999999999884</v>
      </c>
      <c r="Q31" s="204"/>
      <c r="R31" s="230"/>
      <c r="S31" s="205"/>
      <c r="T31" s="240"/>
      <c r="U31" s="236">
        <f t="shared" si="10"/>
        <v>0</v>
      </c>
      <c r="V31" s="195">
        <f t="shared" si="8"/>
        <v>916.7</v>
      </c>
      <c r="W31" s="3">
        <v>188.68</v>
      </c>
      <c r="X31" s="3">
        <v>3390673.94</v>
      </c>
      <c r="Y31" s="34">
        <v>728.02</v>
      </c>
      <c r="Z31" s="34">
        <v>3090575.9436000003</v>
      </c>
      <c r="AA31" s="34">
        <f t="shared" si="0"/>
        <v>6481249.8836000003</v>
      </c>
      <c r="AB31" s="131">
        <f t="shared" si="1"/>
        <v>499.4763355987821</v>
      </c>
      <c r="AC31" s="137">
        <v>140.97999999999999</v>
      </c>
      <c r="AD31" s="3">
        <v>0</v>
      </c>
      <c r="AE31" s="3">
        <v>0</v>
      </c>
      <c r="AF31" s="3">
        <v>36</v>
      </c>
      <c r="AG31" s="3">
        <f t="shared" si="9"/>
        <v>176.98</v>
      </c>
      <c r="AH31" s="3">
        <v>1845217.5999999999</v>
      </c>
      <c r="AI31" s="46">
        <f t="shared" si="2"/>
        <v>142.20135649490715</v>
      </c>
      <c r="AJ31" s="146">
        <v>1077.7799999999843</v>
      </c>
      <c r="AK31" s="3">
        <v>10777799.999999844</v>
      </c>
      <c r="AL31" s="42">
        <f t="shared" si="3"/>
        <v>830.58918364467593</v>
      </c>
      <c r="AM31" s="7"/>
    </row>
    <row r="32" spans="1:39" x14ac:dyDescent="0.25">
      <c r="A32" s="36"/>
      <c r="B32" s="61">
        <v>21</v>
      </c>
      <c r="C32" s="285">
        <v>103</v>
      </c>
      <c r="D32" s="286">
        <v>500</v>
      </c>
      <c r="E32" s="109">
        <v>19239.999999999782</v>
      </c>
      <c r="F32" s="3">
        <v>19928407.199999772</v>
      </c>
      <c r="G32" s="38">
        <v>4120.0000000001182</v>
      </c>
      <c r="H32" s="3">
        <v>6401120.4000001838</v>
      </c>
      <c r="I32" s="106">
        <f t="shared" si="4"/>
        <v>26329527.599999957</v>
      </c>
      <c r="J32" s="109">
        <v>2000</v>
      </c>
      <c r="K32" s="3">
        <v>2071560</v>
      </c>
      <c r="L32" s="193">
        <v>480.00000000001819</v>
      </c>
      <c r="M32" s="194">
        <v>745761.60000002827</v>
      </c>
      <c r="N32" s="97">
        <f t="shared" si="5"/>
        <v>2817321.6000000285</v>
      </c>
      <c r="O32" s="111">
        <f t="shared" si="6"/>
        <v>29146849.199999984</v>
      </c>
      <c r="P32" s="114">
        <f t="shared" si="7"/>
        <v>25839.99999999992</v>
      </c>
      <c r="Q32" s="204"/>
      <c r="R32" s="230"/>
      <c r="S32" s="205"/>
      <c r="T32" s="240"/>
      <c r="U32" s="236">
        <f t="shared" si="10"/>
        <v>0</v>
      </c>
      <c r="V32" s="195">
        <f t="shared" si="8"/>
        <v>674.62</v>
      </c>
      <c r="W32" s="3">
        <v>213.6</v>
      </c>
      <c r="X32" s="3">
        <v>3838498.8</v>
      </c>
      <c r="Y32" s="34">
        <v>461.02</v>
      </c>
      <c r="Z32" s="34">
        <v>1957112.8836000001</v>
      </c>
      <c r="AA32" s="34">
        <f t="shared" si="0"/>
        <v>5795611.6836000001</v>
      </c>
      <c r="AB32" s="131">
        <f t="shared" si="1"/>
        <v>446.63775325232791</v>
      </c>
      <c r="AC32" s="137">
        <v>142.63148000001405</v>
      </c>
      <c r="AD32" s="3">
        <v>0</v>
      </c>
      <c r="AE32" s="3">
        <v>150</v>
      </c>
      <c r="AF32" s="3">
        <v>108</v>
      </c>
      <c r="AG32" s="3">
        <f t="shared" si="9"/>
        <v>400.63148000001405</v>
      </c>
      <c r="AH32" s="3">
        <v>4395430.577600142</v>
      </c>
      <c r="AI32" s="46">
        <f t="shared" si="2"/>
        <v>338.73305268383172</v>
      </c>
      <c r="AJ32" s="146">
        <v>1099.320000000007</v>
      </c>
      <c r="AK32" s="3">
        <v>10993200.000000071</v>
      </c>
      <c r="AL32" s="42">
        <f t="shared" si="3"/>
        <v>847.18894520614992</v>
      </c>
      <c r="AM32" s="7"/>
    </row>
    <row r="33" spans="1:39" x14ac:dyDescent="0.25">
      <c r="A33" s="36"/>
      <c r="B33" s="61">
        <v>22</v>
      </c>
      <c r="C33" s="285">
        <v>54</v>
      </c>
      <c r="D33" s="286">
        <v>538</v>
      </c>
      <c r="E33" s="109">
        <v>19720.000000000255</v>
      </c>
      <c r="F33" s="3">
        <v>20425581.600000262</v>
      </c>
      <c r="G33" s="38">
        <v>4000</v>
      </c>
      <c r="H33" s="3">
        <v>6214680</v>
      </c>
      <c r="I33" s="106">
        <f t="shared" si="4"/>
        <v>26640261.600000262</v>
      </c>
      <c r="J33" s="109">
        <v>2039.9999999999636</v>
      </c>
      <c r="K33" s="3">
        <v>2112991.1999999625</v>
      </c>
      <c r="L33" s="193">
        <v>460.00000000003638</v>
      </c>
      <c r="M33" s="194">
        <v>714688.20000005653</v>
      </c>
      <c r="N33" s="97">
        <f t="shared" si="5"/>
        <v>2827679.400000019</v>
      </c>
      <c r="O33" s="111">
        <f t="shared" si="6"/>
        <v>29467941.000000283</v>
      </c>
      <c r="P33" s="114">
        <f t="shared" si="7"/>
        <v>26220.000000000255</v>
      </c>
      <c r="Q33" s="204"/>
      <c r="R33" s="231"/>
      <c r="S33" s="205"/>
      <c r="T33" s="240"/>
      <c r="U33" s="236">
        <f t="shared" si="10"/>
        <v>0</v>
      </c>
      <c r="V33" s="195">
        <f t="shared" si="8"/>
        <v>833.04</v>
      </c>
      <c r="W33" s="3">
        <v>236.74</v>
      </c>
      <c r="X33" s="3">
        <v>4254336.17</v>
      </c>
      <c r="Y33" s="34">
        <v>596.29999999999995</v>
      </c>
      <c r="Z33" s="34">
        <v>2531400.8339999998</v>
      </c>
      <c r="AA33" s="34">
        <f t="shared" si="0"/>
        <v>6785737.0039999997</v>
      </c>
      <c r="AB33" s="131">
        <f t="shared" si="1"/>
        <v>522.94157978250769</v>
      </c>
      <c r="AC33" s="137">
        <v>129.33908000000233</v>
      </c>
      <c r="AD33" s="3">
        <v>0</v>
      </c>
      <c r="AE33" s="3">
        <v>0</v>
      </c>
      <c r="AF33" s="3">
        <v>12</v>
      </c>
      <c r="AG33" s="3">
        <f t="shared" si="9"/>
        <v>141.33908000000233</v>
      </c>
      <c r="AH33" s="3">
        <v>1448411.4896000235</v>
      </c>
      <c r="AI33" s="46">
        <f t="shared" si="2"/>
        <v>111.62156624992764</v>
      </c>
      <c r="AJ33" s="146">
        <v>559.48999999999069</v>
      </c>
      <c r="AK33" s="3">
        <v>5594899.9999999069</v>
      </c>
      <c r="AL33" s="42">
        <f t="shared" si="3"/>
        <v>431.1699441048811</v>
      </c>
      <c r="AM33" s="7"/>
    </row>
    <row r="34" spans="1:39" x14ac:dyDescent="0.25">
      <c r="A34" s="36"/>
      <c r="B34" s="61">
        <v>23</v>
      </c>
      <c r="C34" s="285">
        <v>41</v>
      </c>
      <c r="D34" s="286">
        <v>400</v>
      </c>
      <c r="E34" s="109">
        <v>18479.999999999563</v>
      </c>
      <c r="F34" s="3">
        <v>19141214.399999548</v>
      </c>
      <c r="G34" s="38">
        <v>4119.9999999998909</v>
      </c>
      <c r="H34" s="3">
        <v>6401120.3999998309</v>
      </c>
      <c r="I34" s="106">
        <f t="shared" si="4"/>
        <v>25542334.799999379</v>
      </c>
      <c r="J34" s="109">
        <v>2180.000000000291</v>
      </c>
      <c r="K34" s="3">
        <v>2258000.4000003012</v>
      </c>
      <c r="L34" s="193">
        <v>480.00000000001819</v>
      </c>
      <c r="M34" s="194">
        <v>745761.60000002827</v>
      </c>
      <c r="N34" s="97">
        <f t="shared" si="5"/>
        <v>3003762.0000003297</v>
      </c>
      <c r="O34" s="111">
        <f t="shared" si="6"/>
        <v>28546096.799999706</v>
      </c>
      <c r="P34" s="114">
        <f t="shared" si="7"/>
        <v>25259.999999999764</v>
      </c>
      <c r="Q34" s="207"/>
      <c r="R34" s="232"/>
      <c r="S34" s="205"/>
      <c r="T34" s="240"/>
      <c r="U34" s="236">
        <f t="shared" si="10"/>
        <v>0</v>
      </c>
      <c r="V34" s="195">
        <f t="shared" si="8"/>
        <v>812.56999999999994</v>
      </c>
      <c r="W34" s="3">
        <v>226.06</v>
      </c>
      <c r="X34" s="3">
        <v>4062411.23</v>
      </c>
      <c r="Y34" s="34">
        <v>586.51</v>
      </c>
      <c r="Z34" s="34">
        <v>2489840.5218000002</v>
      </c>
      <c r="AA34" s="34">
        <f t="shared" si="0"/>
        <v>6552251.7518000007</v>
      </c>
      <c r="AB34" s="131">
        <f t="shared" si="1"/>
        <v>504.94808157156746</v>
      </c>
      <c r="AC34" s="137">
        <v>124.26380000002344</v>
      </c>
      <c r="AD34" s="3">
        <v>0</v>
      </c>
      <c r="AE34" s="3">
        <v>300</v>
      </c>
      <c r="AF34" s="3">
        <v>12</v>
      </c>
      <c r="AG34" s="3">
        <f t="shared" si="9"/>
        <v>436.26380000002342</v>
      </c>
      <c r="AH34" s="3">
        <v>4790049.656000237</v>
      </c>
      <c r="AI34" s="46">
        <f t="shared" si="2"/>
        <v>369.14429970817378</v>
      </c>
      <c r="AJ34" s="146">
        <v>608.93000000002212</v>
      </c>
      <c r="AK34" s="3">
        <v>6089300.0000002217</v>
      </c>
      <c r="AL34" s="42">
        <f t="shared" si="3"/>
        <v>469.27078958301166</v>
      </c>
      <c r="AM34" s="7"/>
    </row>
    <row r="35" spans="1:39" x14ac:dyDescent="0.25">
      <c r="A35" s="36"/>
      <c r="B35" s="61">
        <v>24</v>
      </c>
      <c r="C35" s="285">
        <v>35</v>
      </c>
      <c r="D35" s="286">
        <v>416</v>
      </c>
      <c r="E35" s="109">
        <v>19280.000000000655</v>
      </c>
      <c r="F35" s="3">
        <v>19969838.400000677</v>
      </c>
      <c r="G35" s="38">
        <v>4120.0000000001182</v>
      </c>
      <c r="H35" s="3">
        <v>6401120.4000001838</v>
      </c>
      <c r="I35" s="106">
        <f t="shared" si="4"/>
        <v>26370958.800000861</v>
      </c>
      <c r="J35" s="109">
        <v>2019.9999999995271</v>
      </c>
      <c r="K35" s="3">
        <v>2092275.59999951</v>
      </c>
      <c r="L35" s="193">
        <v>460.00000000003638</v>
      </c>
      <c r="M35" s="194">
        <v>714688.20000005653</v>
      </c>
      <c r="N35" s="97">
        <f t="shared" si="5"/>
        <v>2806963.7999995667</v>
      </c>
      <c r="O35" s="111">
        <f t="shared" si="6"/>
        <v>29177922.600000426</v>
      </c>
      <c r="P35" s="114">
        <f t="shared" si="7"/>
        <v>25880.000000000335</v>
      </c>
      <c r="Q35" s="204"/>
      <c r="R35" s="230"/>
      <c r="S35" s="205"/>
      <c r="T35" s="240"/>
      <c r="U35" s="236">
        <f t="shared" si="10"/>
        <v>0</v>
      </c>
      <c r="V35" s="195">
        <f t="shared" si="8"/>
        <v>779.6400000000001</v>
      </c>
      <c r="W35" s="3">
        <v>219.83</v>
      </c>
      <c r="X35" s="3">
        <v>3950455.0150000001</v>
      </c>
      <c r="Y35" s="34">
        <v>559.81000000000006</v>
      </c>
      <c r="Z35" s="34">
        <v>2376494.2158000004</v>
      </c>
      <c r="AA35" s="34">
        <f t="shared" si="0"/>
        <v>6326949.230800001</v>
      </c>
      <c r="AB35" s="131">
        <f t="shared" si="1"/>
        <v>487.58518404234258</v>
      </c>
      <c r="AC35" s="137">
        <v>124.14295999996951</v>
      </c>
      <c r="AD35" s="3">
        <v>0</v>
      </c>
      <c r="AE35" s="3">
        <v>0</v>
      </c>
      <c r="AF35" s="3">
        <v>0</v>
      </c>
      <c r="AG35" s="3">
        <f t="shared" si="9"/>
        <v>124.14295999996951</v>
      </c>
      <c r="AH35" s="3">
        <v>1256326.7551996915</v>
      </c>
      <c r="AI35" s="46">
        <f t="shared" si="2"/>
        <v>96.818591363013937</v>
      </c>
      <c r="AJ35" s="146">
        <v>521.52999999999884</v>
      </c>
      <c r="AK35" s="3">
        <v>5215299.9999999888</v>
      </c>
      <c r="AL35" s="42">
        <f t="shared" si="3"/>
        <v>401.91613960753887</v>
      </c>
      <c r="AM35" s="7"/>
    </row>
    <row r="36" spans="1:39" x14ac:dyDescent="0.25">
      <c r="A36" s="36"/>
      <c r="B36" s="61">
        <v>25</v>
      </c>
      <c r="C36" s="285">
        <v>33</v>
      </c>
      <c r="D36" s="286">
        <v>258</v>
      </c>
      <c r="E36" s="109">
        <v>19319.999999999709</v>
      </c>
      <c r="F36" s="3">
        <v>20011269.5999997</v>
      </c>
      <c r="G36" s="38">
        <v>4239.9999999997817</v>
      </c>
      <c r="H36" s="3">
        <v>6587560.7999996608</v>
      </c>
      <c r="I36" s="106">
        <f t="shared" si="4"/>
        <v>26598830.399999361</v>
      </c>
      <c r="J36" s="109">
        <v>1760.0000000002183</v>
      </c>
      <c r="K36" s="3">
        <v>1822972.8000002261</v>
      </c>
      <c r="L36" s="193">
        <v>460.00000000003638</v>
      </c>
      <c r="M36" s="194">
        <v>714688.20000005653</v>
      </c>
      <c r="N36" s="97">
        <f t="shared" si="5"/>
        <v>2537661.0000002827</v>
      </c>
      <c r="O36" s="111">
        <f t="shared" si="6"/>
        <v>29136491.399999645</v>
      </c>
      <c r="P36" s="114">
        <f t="shared" si="7"/>
        <v>25779.999999999745</v>
      </c>
      <c r="Q36" s="204"/>
      <c r="R36" s="230"/>
      <c r="S36" s="205"/>
      <c r="T36" s="240"/>
      <c r="U36" s="236">
        <f t="shared" si="10"/>
        <v>0</v>
      </c>
      <c r="V36" s="195">
        <f t="shared" si="8"/>
        <v>729.8</v>
      </c>
      <c r="W36" s="3">
        <v>220.72</v>
      </c>
      <c r="X36" s="3">
        <v>3966448.76</v>
      </c>
      <c r="Y36" s="34">
        <v>509.08</v>
      </c>
      <c r="Z36" s="34">
        <v>2161136.2344</v>
      </c>
      <c r="AA36" s="34">
        <f t="shared" si="0"/>
        <v>6127584.9944000002</v>
      </c>
      <c r="AB36" s="131">
        <f t="shared" si="1"/>
        <v>472.22121566666078</v>
      </c>
      <c r="AC36" s="137">
        <v>120.31636000003985</v>
      </c>
      <c r="AD36" s="3">
        <v>0</v>
      </c>
      <c r="AE36" s="3">
        <v>0</v>
      </c>
      <c r="AF36" s="3">
        <v>0</v>
      </c>
      <c r="AG36" s="3">
        <f t="shared" si="9"/>
        <v>120.31636000003985</v>
      </c>
      <c r="AH36" s="3">
        <v>1217601.5632004032</v>
      </c>
      <c r="AI36" s="46">
        <f t="shared" si="2"/>
        <v>93.834241531956337</v>
      </c>
      <c r="AJ36" s="146">
        <v>424.47999999999593</v>
      </c>
      <c r="AK36" s="3">
        <v>4244799.999999959</v>
      </c>
      <c r="AL36" s="42">
        <f t="shared" si="3"/>
        <v>327.12473480069565</v>
      </c>
      <c r="AM36" s="7"/>
    </row>
    <row r="37" spans="1:39" x14ac:dyDescent="0.25">
      <c r="A37" s="36"/>
      <c r="B37" s="61">
        <v>26</v>
      </c>
      <c r="C37" s="285">
        <v>43</v>
      </c>
      <c r="D37" s="286">
        <v>366</v>
      </c>
      <c r="E37" s="109">
        <v>20159.999999999854</v>
      </c>
      <c r="F37" s="3">
        <v>20881324.799999848</v>
      </c>
      <c r="G37" s="38">
        <v>4400.0000000000909</v>
      </c>
      <c r="H37" s="3">
        <v>6836148.0000001416</v>
      </c>
      <c r="I37" s="106">
        <f t="shared" si="4"/>
        <v>27717472.79999999</v>
      </c>
      <c r="J37" s="109">
        <v>2039.9999999999636</v>
      </c>
      <c r="K37" s="3">
        <v>2112991.1999999625</v>
      </c>
      <c r="L37" s="193">
        <v>480.00000000001819</v>
      </c>
      <c r="M37" s="194">
        <v>745761.60000002827</v>
      </c>
      <c r="N37" s="97">
        <f t="shared" si="5"/>
        <v>2858752.7999999905</v>
      </c>
      <c r="O37" s="111">
        <f t="shared" si="6"/>
        <v>30576225.599999979</v>
      </c>
      <c r="P37" s="114">
        <f t="shared" si="7"/>
        <v>27079.999999999927</v>
      </c>
      <c r="Q37" s="204"/>
      <c r="R37" s="230"/>
      <c r="S37" s="205"/>
      <c r="T37" s="240"/>
      <c r="U37" s="236">
        <f t="shared" si="10"/>
        <v>0</v>
      </c>
      <c r="V37" s="195">
        <f t="shared" si="8"/>
        <v>825.03000000000009</v>
      </c>
      <c r="W37" s="3">
        <v>249.20000000000002</v>
      </c>
      <c r="X37" s="3">
        <v>4478248.6000000006</v>
      </c>
      <c r="Y37" s="34">
        <v>575.83000000000004</v>
      </c>
      <c r="Z37" s="34">
        <v>2444501.9994000006</v>
      </c>
      <c r="AA37" s="34">
        <f t="shared" si="0"/>
        <v>6922750.5994000006</v>
      </c>
      <c r="AB37" s="131">
        <f t="shared" si="1"/>
        <v>533.50050742558051</v>
      </c>
      <c r="AC37" s="137">
        <v>127.40563999996013</v>
      </c>
      <c r="AD37" s="3">
        <v>0</v>
      </c>
      <c r="AE37" s="3">
        <v>0</v>
      </c>
      <c r="AF37" s="3">
        <v>48</v>
      </c>
      <c r="AG37" s="3">
        <f t="shared" si="9"/>
        <v>175.40563999996013</v>
      </c>
      <c r="AH37" s="3">
        <v>1847345.0767995964</v>
      </c>
      <c r="AI37" s="46">
        <f t="shared" si="2"/>
        <v>142.36531010493889</v>
      </c>
      <c r="AJ37" s="146">
        <v>439.19999999999709</v>
      </c>
      <c r="AK37" s="3">
        <v>4391999.9999999711</v>
      </c>
      <c r="AL37" s="42">
        <f t="shared" si="3"/>
        <v>338.46867584919426</v>
      </c>
      <c r="AM37" s="7"/>
    </row>
    <row r="38" spans="1:39" x14ac:dyDescent="0.25">
      <c r="A38" s="36"/>
      <c r="B38" s="61">
        <v>27</v>
      </c>
      <c r="C38" s="285">
        <v>51</v>
      </c>
      <c r="D38" s="286">
        <v>374</v>
      </c>
      <c r="E38" s="109">
        <v>20440.000000000509</v>
      </c>
      <c r="F38" s="3">
        <v>21171343.200000528</v>
      </c>
      <c r="G38" s="38">
        <v>4400.0000000000909</v>
      </c>
      <c r="H38" s="3">
        <v>6836148.0000001416</v>
      </c>
      <c r="I38" s="106">
        <f t="shared" si="4"/>
        <v>28007491.20000067</v>
      </c>
      <c r="J38" s="109">
        <v>2039.9999999999636</v>
      </c>
      <c r="K38" s="3">
        <v>2112991.1999999625</v>
      </c>
      <c r="L38" s="193">
        <v>480.00000000001819</v>
      </c>
      <c r="M38" s="194">
        <v>745761.60000002827</v>
      </c>
      <c r="N38" s="97">
        <f t="shared" si="5"/>
        <v>2858752.7999999905</v>
      </c>
      <c r="O38" s="111">
        <f t="shared" si="6"/>
        <v>30866244.000000659</v>
      </c>
      <c r="P38" s="114">
        <f t="shared" si="7"/>
        <v>27360.000000000582</v>
      </c>
      <c r="Q38" s="204"/>
      <c r="R38" s="230"/>
      <c r="S38" s="205"/>
      <c r="T38" s="240"/>
      <c r="U38" s="236">
        <f t="shared" si="10"/>
        <v>0</v>
      </c>
      <c r="V38" s="195">
        <f t="shared" si="8"/>
        <v>769.85</v>
      </c>
      <c r="W38" s="3">
        <v>216.27</v>
      </c>
      <c r="X38" s="3">
        <v>3886480.0350000001</v>
      </c>
      <c r="Y38" s="34">
        <v>553.58000000000004</v>
      </c>
      <c r="Z38" s="34">
        <v>2350046.7444000002</v>
      </c>
      <c r="AA38" s="34">
        <f t="shared" si="0"/>
        <v>6236526.7794000003</v>
      </c>
      <c r="AB38" s="131">
        <f t="shared" si="1"/>
        <v>480.61679438105011</v>
      </c>
      <c r="AC38" s="137">
        <v>124.42491999999764</v>
      </c>
      <c r="AD38" s="3">
        <v>0</v>
      </c>
      <c r="AE38" s="3">
        <v>0</v>
      </c>
      <c r="AF38" s="3">
        <v>0</v>
      </c>
      <c r="AG38" s="3">
        <f t="shared" si="9"/>
        <v>124.42491999999764</v>
      </c>
      <c r="AH38" s="3">
        <v>1259180.1903999762</v>
      </c>
      <c r="AI38" s="46">
        <f t="shared" si="2"/>
        <v>97.03849082427574</v>
      </c>
      <c r="AJ38" s="146">
        <v>579.47000000000116</v>
      </c>
      <c r="AK38" s="3">
        <v>5794700.0000000112</v>
      </c>
      <c r="AL38" s="42">
        <f t="shared" si="3"/>
        <v>446.56749452261897</v>
      </c>
      <c r="AM38" s="7"/>
    </row>
    <row r="39" spans="1:39" x14ac:dyDescent="0.25">
      <c r="A39" s="36"/>
      <c r="B39" s="61">
        <v>28</v>
      </c>
      <c r="C39" s="285">
        <v>43</v>
      </c>
      <c r="D39" s="286">
        <v>579</v>
      </c>
      <c r="E39" s="109">
        <v>20719.999999999345</v>
      </c>
      <c r="F39" s="3">
        <v>21461361.59999932</v>
      </c>
      <c r="G39" s="38">
        <v>4079.9999999999272</v>
      </c>
      <c r="H39" s="3">
        <v>6338973.5999998869</v>
      </c>
      <c r="I39" s="106">
        <f t="shared" si="4"/>
        <v>27800335.199999206</v>
      </c>
      <c r="J39" s="109">
        <v>2039.9999999999636</v>
      </c>
      <c r="K39" s="3">
        <v>2112991.1999999625</v>
      </c>
      <c r="L39" s="193">
        <v>500</v>
      </c>
      <c r="M39" s="194">
        <v>776835</v>
      </c>
      <c r="N39" s="97">
        <f t="shared" si="5"/>
        <v>2889826.1999999625</v>
      </c>
      <c r="O39" s="111">
        <f t="shared" si="6"/>
        <v>30690161.399999168</v>
      </c>
      <c r="P39" s="114">
        <f t="shared" si="7"/>
        <v>27339.999999999236</v>
      </c>
      <c r="Q39" s="204"/>
      <c r="R39" s="233"/>
      <c r="S39" s="205"/>
      <c r="T39" s="240"/>
      <c r="U39" s="236">
        <f t="shared" si="10"/>
        <v>0</v>
      </c>
      <c r="V39" s="195">
        <f t="shared" si="8"/>
        <v>698.65000000000009</v>
      </c>
      <c r="W39" s="3">
        <v>114.81</v>
      </c>
      <c r="X39" s="3">
        <v>2063193.105</v>
      </c>
      <c r="Y39" s="34">
        <v>583.84</v>
      </c>
      <c r="Z39" s="34">
        <v>2478505.8912000004</v>
      </c>
      <c r="AA39" s="34">
        <f t="shared" si="0"/>
        <v>4541698.9962000009</v>
      </c>
      <c r="AB39" s="131">
        <f t="shared" si="1"/>
        <v>350.00520158229489</v>
      </c>
      <c r="AC39" s="137">
        <v>136.22696000002813</v>
      </c>
      <c r="AD39" s="3">
        <v>0</v>
      </c>
      <c r="AE39" s="3">
        <v>0</v>
      </c>
      <c r="AF39" s="3">
        <v>0</v>
      </c>
      <c r="AG39" s="3">
        <f t="shared" si="9"/>
        <v>136.22696000002813</v>
      </c>
      <c r="AH39" s="3">
        <v>1378616.8352002846</v>
      </c>
      <c r="AI39" s="46">
        <f t="shared" si="2"/>
        <v>106.24285398762528</v>
      </c>
      <c r="AJ39" s="146">
        <v>652.30000000000291</v>
      </c>
      <c r="AK39" s="3">
        <v>6523000.0000000289</v>
      </c>
      <c r="AL39" s="42">
        <f t="shared" si="3"/>
        <v>502.69380067493586</v>
      </c>
      <c r="AM39" s="7"/>
    </row>
    <row r="40" spans="1:39" x14ac:dyDescent="0.25">
      <c r="A40" s="36"/>
      <c r="B40" s="61"/>
      <c r="C40" s="154"/>
      <c r="D40" s="156"/>
      <c r="E40" s="109"/>
      <c r="F40" s="3"/>
      <c r="G40" s="38"/>
      <c r="H40" s="3"/>
      <c r="I40" s="106"/>
      <c r="J40" s="109"/>
      <c r="K40" s="3"/>
      <c r="L40" s="193"/>
      <c r="M40" s="194"/>
      <c r="N40" s="97"/>
      <c r="O40" s="111"/>
      <c r="P40" s="114"/>
      <c r="Q40" s="204"/>
      <c r="R40" s="234"/>
      <c r="S40" s="205"/>
      <c r="T40" s="240"/>
      <c r="U40" s="237"/>
      <c r="V40" s="195"/>
      <c r="W40" s="3"/>
      <c r="X40" s="3"/>
      <c r="Y40" s="34"/>
      <c r="Z40" s="34"/>
      <c r="AA40" s="34"/>
      <c r="AB40" s="131"/>
      <c r="AC40" s="137"/>
      <c r="AD40" s="3"/>
      <c r="AE40" s="3"/>
      <c r="AF40" s="3"/>
      <c r="AG40" s="3"/>
      <c r="AH40" s="3"/>
      <c r="AI40" s="46"/>
      <c r="AJ40" s="146"/>
      <c r="AK40" s="3"/>
      <c r="AL40" s="42"/>
      <c r="AM40" s="7"/>
    </row>
    <row r="41" spans="1:39" x14ac:dyDescent="0.25">
      <c r="A41" s="36"/>
      <c r="B41" s="61"/>
      <c r="C41" s="182"/>
      <c r="D41" s="183"/>
      <c r="E41" s="109"/>
      <c r="F41" s="3"/>
      <c r="G41" s="38"/>
      <c r="H41" s="3"/>
      <c r="I41" s="106"/>
      <c r="J41" s="109"/>
      <c r="K41" s="3"/>
      <c r="L41" s="193"/>
      <c r="M41" s="194"/>
      <c r="N41" s="97"/>
      <c r="O41" s="111"/>
      <c r="P41" s="114"/>
      <c r="Q41" s="204"/>
      <c r="R41" s="234"/>
      <c r="S41" s="205"/>
      <c r="T41" s="240"/>
      <c r="U41" s="237"/>
      <c r="V41" s="195"/>
      <c r="W41" s="3"/>
      <c r="X41" s="3"/>
      <c r="Y41" s="34"/>
      <c r="Z41" s="34"/>
      <c r="AA41" s="34"/>
      <c r="AB41" s="131"/>
      <c r="AC41" s="137"/>
      <c r="AD41" s="3"/>
      <c r="AE41" s="3"/>
      <c r="AF41" s="3"/>
      <c r="AG41" s="3"/>
      <c r="AH41" s="3"/>
      <c r="AI41" s="46"/>
      <c r="AJ41" s="146"/>
      <c r="AK41" s="3"/>
      <c r="AL41" s="42"/>
      <c r="AM41" s="7"/>
    </row>
    <row r="42" spans="1:39" ht="16.5" thickBot="1" x14ac:dyDescent="0.3">
      <c r="A42" s="36"/>
      <c r="B42" s="125"/>
      <c r="C42" s="155"/>
      <c r="D42" s="157"/>
      <c r="E42" s="107"/>
      <c r="F42" s="107"/>
      <c r="G42" s="98"/>
      <c r="H42" s="99"/>
      <c r="I42" s="108"/>
      <c r="J42" s="110"/>
      <c r="K42" s="98"/>
      <c r="L42" s="99"/>
      <c r="M42" s="100"/>
      <c r="N42" s="101"/>
      <c r="O42" s="112"/>
      <c r="P42" s="115"/>
      <c r="Q42" s="184"/>
      <c r="R42" s="235"/>
      <c r="S42" s="206"/>
      <c r="T42" s="241"/>
      <c r="U42" s="238"/>
      <c r="V42" s="195"/>
      <c r="W42" s="3"/>
      <c r="X42" s="3"/>
      <c r="Y42" s="34"/>
      <c r="Z42" s="34"/>
      <c r="AA42" s="18"/>
      <c r="AB42" s="132"/>
      <c r="AC42" s="130"/>
      <c r="AD42" s="3"/>
      <c r="AE42" s="2"/>
      <c r="AF42" s="2"/>
      <c r="AG42" s="2"/>
      <c r="AH42" s="3"/>
      <c r="AI42" s="46"/>
      <c r="AJ42" s="146"/>
      <c r="AK42" s="3"/>
      <c r="AL42" s="42"/>
      <c r="AM42" s="7"/>
    </row>
    <row r="43" spans="1:39" s="8" customFormat="1" ht="4.5" customHeight="1" x14ac:dyDescent="0.25">
      <c r="A43" s="15"/>
      <c r="B43" s="120"/>
      <c r="C43" s="121"/>
      <c r="D43" s="121"/>
      <c r="E43" s="119"/>
      <c r="F43" s="7"/>
      <c r="G43" s="15"/>
      <c r="H43" s="7"/>
      <c r="I43" s="15"/>
      <c r="J43" s="15"/>
      <c r="K43" s="15"/>
      <c r="L43" s="7"/>
      <c r="M43" s="65"/>
      <c r="N43" s="69"/>
      <c r="O43" s="15"/>
      <c r="P43" s="69"/>
      <c r="Q43" s="15"/>
      <c r="R43" s="89"/>
      <c r="S43" s="7"/>
      <c r="T43" s="15"/>
      <c r="U43" s="35"/>
      <c r="V43" s="133"/>
      <c r="W43" s="15"/>
      <c r="X43" s="15"/>
      <c r="Y43" s="15"/>
      <c r="Z43" s="15"/>
      <c r="AA43" s="15"/>
      <c r="AB43" s="35"/>
      <c r="AC43" s="15"/>
      <c r="AD43" s="7"/>
      <c r="AE43" s="15"/>
      <c r="AF43" s="15"/>
      <c r="AG43" s="15"/>
      <c r="AH43" s="15"/>
      <c r="AI43" s="15"/>
      <c r="AJ43" s="89"/>
      <c r="AK43" s="15"/>
      <c r="AL43" s="35"/>
      <c r="AM43" s="15"/>
    </row>
    <row r="44" spans="1:39" s="8" customFormat="1" ht="6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16"/>
      <c r="T44" s="16"/>
      <c r="U44" s="35"/>
      <c r="V44" s="133"/>
      <c r="W44" s="15"/>
      <c r="X44" s="15"/>
      <c r="Y44" s="15"/>
      <c r="Z44" s="15"/>
      <c r="AA44" s="15"/>
      <c r="AB44" s="134"/>
      <c r="AC44" s="15"/>
      <c r="AD44" s="7"/>
      <c r="AE44" s="15"/>
      <c r="AF44" s="15"/>
      <c r="AG44" s="15"/>
      <c r="AH44" s="7"/>
      <c r="AI44" s="15"/>
      <c r="AJ44" s="91"/>
      <c r="AK44" s="5"/>
      <c r="AL44" s="43"/>
      <c r="AM44" s="15"/>
    </row>
    <row r="45" spans="1:39" s="8" customFormat="1" ht="16.5" thickBot="1" x14ac:dyDescent="0.3">
      <c r="A45" s="15"/>
      <c r="B45" s="122"/>
      <c r="C45" s="123"/>
      <c r="D45" s="123"/>
      <c r="E45" s="124"/>
      <c r="F45" s="75"/>
      <c r="G45" s="74"/>
      <c r="H45" s="75"/>
      <c r="I45" s="74"/>
      <c r="J45" s="74"/>
      <c r="K45" s="74"/>
      <c r="L45" s="75"/>
      <c r="M45" s="76"/>
      <c r="N45" s="77"/>
      <c r="O45" s="74"/>
      <c r="P45" s="77"/>
      <c r="Q45" s="74"/>
      <c r="R45" s="90"/>
      <c r="S45" s="78"/>
      <c r="T45" s="74"/>
      <c r="U45" s="196"/>
      <c r="V45" s="135"/>
      <c r="W45" s="80"/>
      <c r="X45" s="74"/>
      <c r="Y45" s="74"/>
      <c r="Z45" s="74"/>
      <c r="AA45" s="74"/>
      <c r="AB45" s="79"/>
      <c r="AC45" s="81"/>
      <c r="AD45" s="75"/>
      <c r="AE45" s="81"/>
      <c r="AF45" s="81"/>
      <c r="AG45" s="81"/>
      <c r="AH45" s="75"/>
      <c r="AI45" s="74"/>
      <c r="AJ45" s="147"/>
      <c r="AK45" s="82"/>
      <c r="AL45" s="83"/>
      <c r="AM45" s="15"/>
    </row>
    <row r="46" spans="1:39" ht="17.25" thickTop="1" thickBot="1" x14ac:dyDescent="0.3">
      <c r="A46" s="27"/>
      <c r="B46" s="72"/>
      <c r="C46" s="73">
        <f t="shared" ref="C46:P46" si="11">SUM(C12:C42)</f>
        <v>2190</v>
      </c>
      <c r="D46" s="73">
        <f t="shared" si="11"/>
        <v>16364</v>
      </c>
      <c r="E46" s="73">
        <f t="shared" si="11"/>
        <v>550199.99999999965</v>
      </c>
      <c r="F46" s="73">
        <f t="shared" si="11"/>
        <v>569886155.99999976</v>
      </c>
      <c r="G46" s="73">
        <f t="shared" si="11"/>
        <v>113879.99999999997</v>
      </c>
      <c r="H46" s="73">
        <f t="shared" si="11"/>
        <v>176931939.59999999</v>
      </c>
      <c r="I46" s="73">
        <f t="shared" si="11"/>
        <v>746818095.5999999</v>
      </c>
      <c r="J46" s="73">
        <f t="shared" si="11"/>
        <v>55699.999999999818</v>
      </c>
      <c r="K46" s="73">
        <f t="shared" si="11"/>
        <v>57692945.999999829</v>
      </c>
      <c r="L46" s="73">
        <f t="shared" si="11"/>
        <v>13140.0000000001</v>
      </c>
      <c r="M46" s="73">
        <f t="shared" si="11"/>
        <v>20415223.80000015</v>
      </c>
      <c r="N46" s="73">
        <f t="shared" si="11"/>
        <v>78108169.799999967</v>
      </c>
      <c r="O46" s="73">
        <f t="shared" si="11"/>
        <v>824926265.39999962</v>
      </c>
      <c r="P46" s="85">
        <f t="shared" si="11"/>
        <v>732919.99999999965</v>
      </c>
      <c r="Q46" s="197"/>
      <c r="R46" s="126"/>
      <c r="S46" s="118"/>
      <c r="T46" s="118"/>
      <c r="U46" s="140"/>
      <c r="V46" s="185">
        <f>SUM(V12:V41)</f>
        <v>23885.819999999996</v>
      </c>
      <c r="W46" s="55">
        <f>SUM(W12:W41)</f>
        <v>6185.5000000000018</v>
      </c>
      <c r="X46" s="55">
        <f t="shared" ref="X46:Z46" si="12">SUM(X12:X41)</f>
        <v>111156527.75</v>
      </c>
      <c r="Y46" s="55">
        <f t="shared" si="12"/>
        <v>17700.320000000003</v>
      </c>
      <c r="Z46" s="55">
        <f t="shared" si="12"/>
        <v>75141044.457600027</v>
      </c>
      <c r="AA46" s="139">
        <f>SUM(AA12:AA41)</f>
        <v>186297572.20760003</v>
      </c>
      <c r="AB46" s="127">
        <f>AA46/$AL$47</f>
        <v>14356.988292128062</v>
      </c>
      <c r="AC46" s="47">
        <f>SUM(AC12:AC40)</f>
        <v>3922.0635999999881</v>
      </c>
      <c r="AD46" s="141">
        <f>SUM(AD12:AD40)</f>
        <v>0</v>
      </c>
      <c r="AE46" s="47">
        <f>SUM(AE12:AE41)</f>
        <v>1150</v>
      </c>
      <c r="AF46" s="47">
        <f>SUM(AF12:AF41)</f>
        <v>432</v>
      </c>
      <c r="AG46" s="47">
        <f>SUM(AG12:AG41)</f>
        <v>5504.0635999999868</v>
      </c>
      <c r="AH46" s="151">
        <f>SUM(AH12:AH42)</f>
        <v>57719783.631999888</v>
      </c>
      <c r="AI46" s="152">
        <f>AH46/$AL$47</f>
        <v>4448.1645574283075</v>
      </c>
      <c r="AJ46" s="148">
        <f>SUM(AJ12:AJ42)</f>
        <v>17347.680000000008</v>
      </c>
      <c r="AK46" s="149">
        <f>SUM(AK12:AK42)</f>
        <v>173476800.00000006</v>
      </c>
      <c r="AL46" s="150">
        <f>AK46/AL47</f>
        <v>13368.957829361545</v>
      </c>
      <c r="AM46" s="27"/>
    </row>
    <row r="47" spans="1:39" s="1" customFormat="1" x14ac:dyDescent="0.25">
      <c r="A47" s="27"/>
      <c r="B47" s="27"/>
      <c r="C47" s="5"/>
      <c r="D47" s="11"/>
      <c r="E47" s="5"/>
      <c r="F47" s="5"/>
      <c r="G47" s="11"/>
      <c r="H47" s="5"/>
      <c r="I47" s="9"/>
      <c r="J47" s="9"/>
      <c r="K47" s="9"/>
      <c r="L47" s="17"/>
      <c r="M47" s="66"/>
      <c r="N47" s="70"/>
      <c r="O47" s="10"/>
      <c r="P47" s="70"/>
      <c r="Q47" s="10"/>
      <c r="R47" s="117"/>
      <c r="S47" s="14"/>
      <c r="T47" s="84" t="s">
        <v>29</v>
      </c>
      <c r="U47" s="158" t="e">
        <f>U46/S46</f>
        <v>#DIV/0!</v>
      </c>
      <c r="V47" s="11"/>
      <c r="W47" s="11"/>
      <c r="X47" s="11"/>
      <c r="Y47" s="142"/>
      <c r="Z47" s="11"/>
      <c r="AA47" s="11"/>
      <c r="AB47" s="11"/>
      <c r="AC47" s="16"/>
      <c r="AD47" s="7"/>
      <c r="AE47" s="16"/>
      <c r="AF47" s="16"/>
      <c r="AG47" s="7"/>
      <c r="AH47" s="5"/>
      <c r="AI47" s="11"/>
      <c r="AJ47" s="91"/>
      <c r="AK47" s="11"/>
      <c r="AL47" s="153">
        <v>12976.09</v>
      </c>
      <c r="AM47" s="27"/>
    </row>
    <row r="48" spans="1:39" s="203" customFormat="1" x14ac:dyDescent="0.25">
      <c r="A48" s="198"/>
      <c r="B48" s="198"/>
      <c r="C48" s="17"/>
      <c r="D48" s="199"/>
      <c r="E48" s="17"/>
      <c r="F48" s="17"/>
      <c r="G48" s="199"/>
      <c r="H48" s="17"/>
      <c r="I48" s="9"/>
      <c r="J48" s="9"/>
      <c r="K48" s="9"/>
      <c r="L48" s="17"/>
      <c r="M48" s="70"/>
      <c r="N48" s="70"/>
      <c r="O48" s="10"/>
      <c r="P48" s="70"/>
      <c r="Q48" s="10"/>
      <c r="R48" s="117"/>
      <c r="S48" s="14"/>
      <c r="T48" s="17"/>
      <c r="U48" s="200"/>
      <c r="V48" s="243"/>
      <c r="W48" s="243"/>
      <c r="X48" s="199"/>
      <c r="Y48" s="201"/>
      <c r="Z48" s="17"/>
      <c r="AA48" s="199"/>
      <c r="AB48" s="199"/>
      <c r="AC48" s="199"/>
      <c r="AD48" s="17"/>
      <c r="AE48" s="199"/>
      <c r="AF48" s="199"/>
      <c r="AG48" s="17"/>
      <c r="AH48" s="17"/>
      <c r="AI48" s="199"/>
      <c r="AJ48" s="117"/>
      <c r="AK48" s="199"/>
      <c r="AL48" s="202"/>
      <c r="AM48" s="198"/>
    </row>
    <row r="49" spans="1:39" s="209" customFormat="1" x14ac:dyDescent="0.25">
      <c r="A49" s="208"/>
      <c r="B49" s="208"/>
      <c r="E49" s="210"/>
      <c r="F49" s="211"/>
      <c r="G49" s="210"/>
      <c r="I49" s="210"/>
      <c r="J49" s="210"/>
      <c r="K49" s="210"/>
      <c r="L49" s="210"/>
      <c r="M49" s="210"/>
      <c r="N49" s="212"/>
      <c r="O49" s="213"/>
      <c r="P49" s="214"/>
      <c r="R49" s="215"/>
      <c r="S49" s="216"/>
      <c r="Y49" s="217"/>
      <c r="Z49" s="218"/>
      <c r="AB49" s="219"/>
      <c r="AJ49" s="215"/>
      <c r="AL49" s="220"/>
      <c r="AM49" s="208"/>
    </row>
    <row r="50" spans="1:39" s="223" customFormat="1" x14ac:dyDescent="0.25">
      <c r="A50" s="221"/>
      <c r="B50" s="221"/>
      <c r="C50" s="222"/>
      <c r="E50" s="222"/>
      <c r="F50" s="222"/>
      <c r="H50" s="222"/>
      <c r="L50" s="222"/>
      <c r="M50" s="224"/>
      <c r="N50" s="225"/>
      <c r="P50" s="225"/>
      <c r="R50" s="226"/>
      <c r="W50" s="244">
        <f>W46/V46</f>
        <v>0.2589611744541323</v>
      </c>
      <c r="AD50" s="222"/>
      <c r="AH50" s="222"/>
      <c r="AJ50" s="226"/>
      <c r="AL50" s="227"/>
      <c r="AM50" s="221"/>
    </row>
    <row r="51" spans="1:39" s="223" customFormat="1" x14ac:dyDescent="0.25">
      <c r="A51" s="221"/>
      <c r="B51" s="221"/>
      <c r="C51" s="222"/>
      <c r="E51" s="222"/>
      <c r="F51" s="222"/>
      <c r="H51" s="222"/>
      <c r="L51" s="222"/>
      <c r="M51" s="224"/>
      <c r="N51" s="225"/>
      <c r="P51" s="225"/>
      <c r="R51" s="226"/>
      <c r="AD51" s="222"/>
      <c r="AH51" s="222"/>
      <c r="AJ51" s="226"/>
      <c r="AL51" s="227"/>
      <c r="AM51" s="221"/>
    </row>
    <row r="52" spans="1:39" s="223" customFormat="1" x14ac:dyDescent="0.25">
      <c r="A52" s="221"/>
      <c r="B52" s="221"/>
      <c r="C52" s="222"/>
      <c r="E52" s="222"/>
      <c r="F52" s="222"/>
      <c r="H52" s="222"/>
      <c r="L52" s="222"/>
      <c r="M52" s="224"/>
      <c r="N52" s="225"/>
      <c r="P52" s="225"/>
      <c r="R52" s="226"/>
      <c r="AD52" s="222"/>
      <c r="AH52" s="222"/>
      <c r="AJ52" s="226"/>
      <c r="AL52" s="227"/>
      <c r="AM52" s="221"/>
    </row>
    <row r="53" spans="1:39" s="223" customFormat="1" x14ac:dyDescent="0.25">
      <c r="A53" s="221"/>
      <c r="B53" s="221"/>
      <c r="C53" s="222"/>
      <c r="E53" s="222"/>
      <c r="F53" s="222"/>
      <c r="H53" s="222"/>
      <c r="L53" s="222"/>
      <c r="M53" s="224"/>
      <c r="N53" s="225"/>
      <c r="P53" s="225"/>
      <c r="R53" s="226"/>
      <c r="AD53" s="222"/>
      <c r="AH53" s="222"/>
      <c r="AJ53" s="226"/>
      <c r="AL53" s="227"/>
      <c r="AM53" s="221"/>
    </row>
    <row r="54" spans="1:39" s="223" customFormat="1" x14ac:dyDescent="0.25">
      <c r="A54" s="221"/>
      <c r="B54" s="221"/>
      <c r="C54" s="222"/>
      <c r="E54" s="222"/>
      <c r="F54" s="222"/>
      <c r="H54" s="222"/>
      <c r="L54" s="222"/>
      <c r="M54" s="224"/>
      <c r="N54" s="225"/>
      <c r="P54" s="225"/>
      <c r="R54" s="226"/>
      <c r="AD54" s="222"/>
      <c r="AH54" s="222"/>
      <c r="AJ54" s="226"/>
      <c r="AL54" s="227"/>
      <c r="AM54" s="221"/>
    </row>
    <row r="55" spans="1:39" s="223" customFormat="1" x14ac:dyDescent="0.25">
      <c r="A55" s="221"/>
      <c r="B55" s="221"/>
      <c r="C55" s="222"/>
      <c r="E55" s="222"/>
      <c r="F55" s="222"/>
      <c r="H55" s="222"/>
      <c r="L55" s="222"/>
      <c r="M55" s="224"/>
      <c r="N55" s="225"/>
      <c r="P55" s="225"/>
      <c r="R55" s="226"/>
      <c r="AD55" s="222"/>
      <c r="AH55" s="222"/>
      <c r="AJ55" s="226"/>
      <c r="AL55" s="227"/>
      <c r="AM55" s="221"/>
    </row>
    <row r="56" spans="1:39" s="223" customFormat="1" x14ac:dyDescent="0.25">
      <c r="A56" s="221"/>
      <c r="B56" s="221"/>
      <c r="C56" s="222"/>
      <c r="E56" s="222"/>
      <c r="F56" s="222"/>
      <c r="H56" s="222"/>
      <c r="L56" s="222"/>
      <c r="M56" s="224"/>
      <c r="N56" s="225"/>
      <c r="P56" s="225"/>
      <c r="R56" s="226"/>
      <c r="AD56" s="222"/>
      <c r="AH56" s="222"/>
      <c r="AJ56" s="226"/>
      <c r="AL56" s="227"/>
      <c r="AM56" s="221"/>
    </row>
    <row r="57" spans="1:39" s="223" customFormat="1" x14ac:dyDescent="0.25">
      <c r="A57" s="221"/>
      <c r="B57" s="221"/>
      <c r="C57" s="222"/>
      <c r="E57" s="222"/>
      <c r="F57" s="222"/>
      <c r="H57" s="222"/>
      <c r="L57" s="222"/>
      <c r="M57" s="224"/>
      <c r="N57" s="225"/>
      <c r="P57" s="225"/>
      <c r="R57" s="226"/>
      <c r="AD57" s="222"/>
      <c r="AH57" s="222"/>
      <c r="AJ57" s="226"/>
      <c r="AL57" s="227"/>
      <c r="AM57" s="221"/>
    </row>
    <row r="58" spans="1:39" s="223" customFormat="1" x14ac:dyDescent="0.25">
      <c r="A58" s="221"/>
      <c r="B58" s="221"/>
      <c r="C58" s="222"/>
      <c r="E58" s="222"/>
      <c r="F58" s="222"/>
      <c r="H58" s="222"/>
      <c r="L58" s="222"/>
      <c r="M58" s="224"/>
      <c r="N58" s="225"/>
      <c r="P58" s="225"/>
      <c r="R58" s="226"/>
      <c r="AD58" s="222"/>
      <c r="AH58" s="222"/>
      <c r="AJ58" s="226"/>
      <c r="AL58" s="227"/>
      <c r="AM58" s="221"/>
    </row>
    <row r="59" spans="1:39" s="223" customFormat="1" x14ac:dyDescent="0.25">
      <c r="A59" s="221"/>
      <c r="B59" s="221"/>
      <c r="C59" s="222"/>
      <c r="E59" s="222"/>
      <c r="F59" s="222"/>
      <c r="H59" s="222"/>
      <c r="L59" s="222"/>
      <c r="M59" s="224"/>
      <c r="N59" s="225"/>
      <c r="P59" s="225"/>
      <c r="R59" s="226"/>
      <c r="AD59" s="222"/>
      <c r="AH59" s="222"/>
      <c r="AJ59" s="226"/>
      <c r="AL59" s="227"/>
      <c r="AM59" s="221"/>
    </row>
    <row r="60" spans="1:39" s="223" customFormat="1" x14ac:dyDescent="0.25">
      <c r="A60" s="221"/>
      <c r="B60" s="221"/>
      <c r="C60" s="222"/>
      <c r="E60" s="222"/>
      <c r="F60" s="222"/>
      <c r="H60" s="222"/>
      <c r="L60" s="222"/>
      <c r="M60" s="224"/>
      <c r="N60" s="225"/>
      <c r="P60" s="225"/>
      <c r="R60" s="226"/>
      <c r="AD60" s="222"/>
      <c r="AH60" s="222"/>
      <c r="AJ60" s="226"/>
      <c r="AL60" s="227"/>
      <c r="AM60" s="221"/>
    </row>
    <row r="61" spans="1:39" s="223" customFormat="1" x14ac:dyDescent="0.25">
      <c r="A61" s="221"/>
      <c r="B61" s="221"/>
      <c r="C61" s="222"/>
      <c r="E61" s="222"/>
      <c r="F61" s="222"/>
      <c r="H61" s="222"/>
      <c r="L61" s="222"/>
      <c r="M61" s="224"/>
      <c r="N61" s="225"/>
      <c r="P61" s="225"/>
      <c r="R61" s="226"/>
      <c r="AD61" s="222"/>
      <c r="AH61" s="222"/>
      <c r="AJ61" s="226"/>
      <c r="AL61" s="227"/>
      <c r="AM61" s="221"/>
    </row>
    <row r="62" spans="1:39" s="223" customFormat="1" x14ac:dyDescent="0.25">
      <c r="A62" s="221"/>
      <c r="B62" s="221"/>
      <c r="C62" s="222"/>
      <c r="E62" s="222"/>
      <c r="F62" s="222"/>
      <c r="H62" s="222"/>
      <c r="L62" s="222"/>
      <c r="M62" s="224"/>
      <c r="N62" s="225"/>
      <c r="P62" s="225"/>
      <c r="R62" s="226"/>
      <c r="AD62" s="222"/>
      <c r="AH62" s="222"/>
      <c r="AJ62" s="226"/>
      <c r="AL62" s="227"/>
      <c r="AM62" s="221"/>
    </row>
    <row r="63" spans="1:39" s="223" customFormat="1" x14ac:dyDescent="0.25">
      <c r="A63" s="221"/>
      <c r="B63" s="221"/>
      <c r="C63" s="222"/>
      <c r="E63" s="222"/>
      <c r="F63" s="222"/>
      <c r="H63" s="222"/>
      <c r="L63" s="222"/>
      <c r="M63" s="224"/>
      <c r="N63" s="225"/>
      <c r="P63" s="225"/>
      <c r="R63" s="226"/>
      <c r="AD63" s="222"/>
      <c r="AH63" s="222"/>
      <c r="AJ63" s="226"/>
      <c r="AL63" s="227"/>
      <c r="AM63" s="221"/>
    </row>
    <row r="64" spans="1:39" s="223" customFormat="1" x14ac:dyDescent="0.25">
      <c r="A64" s="221"/>
      <c r="B64" s="221"/>
      <c r="C64" s="222"/>
      <c r="E64" s="222"/>
      <c r="F64" s="222"/>
      <c r="H64" s="222"/>
      <c r="L64" s="222"/>
      <c r="M64" s="224"/>
      <c r="N64" s="225"/>
      <c r="P64" s="225"/>
      <c r="R64" s="226"/>
      <c r="AD64" s="222"/>
      <c r="AH64" s="222"/>
      <c r="AJ64" s="226"/>
      <c r="AL64" s="227"/>
      <c r="AM64" s="221"/>
    </row>
    <row r="65" spans="1:39" s="223" customFormat="1" x14ac:dyDescent="0.25">
      <c r="A65" s="221"/>
      <c r="B65" s="221"/>
      <c r="C65" s="222"/>
      <c r="E65" s="222"/>
      <c r="F65" s="222"/>
      <c r="H65" s="222"/>
      <c r="L65" s="222"/>
      <c r="M65" s="224"/>
      <c r="N65" s="225"/>
      <c r="P65" s="225"/>
      <c r="R65" s="226"/>
      <c r="AD65" s="222"/>
      <c r="AH65" s="222"/>
      <c r="AJ65" s="226"/>
      <c r="AL65" s="227"/>
      <c r="AM65" s="221"/>
    </row>
    <row r="66" spans="1:39" s="223" customFormat="1" x14ac:dyDescent="0.25">
      <c r="A66" s="221"/>
      <c r="B66" s="221"/>
      <c r="C66" s="222"/>
      <c r="E66" s="222"/>
      <c r="F66" s="222"/>
      <c r="H66" s="222"/>
      <c r="L66" s="222"/>
      <c r="M66" s="224"/>
      <c r="N66" s="225"/>
      <c r="P66" s="225"/>
      <c r="R66" s="226"/>
      <c r="AD66" s="222"/>
      <c r="AH66" s="222"/>
      <c r="AJ66" s="226"/>
      <c r="AL66" s="227"/>
      <c r="AM66" s="221"/>
    </row>
    <row r="67" spans="1:39" s="223" customFormat="1" x14ac:dyDescent="0.25">
      <c r="A67" s="221"/>
      <c r="B67" s="221"/>
      <c r="C67" s="222"/>
      <c r="E67" s="222"/>
      <c r="F67" s="222"/>
      <c r="H67" s="222"/>
      <c r="L67" s="222"/>
      <c r="M67" s="224"/>
      <c r="N67" s="225"/>
      <c r="P67" s="225"/>
      <c r="R67" s="226"/>
      <c r="AD67" s="222"/>
      <c r="AH67" s="222"/>
      <c r="AJ67" s="226"/>
      <c r="AL67" s="227"/>
      <c r="AM67" s="221"/>
    </row>
    <row r="68" spans="1:39" s="223" customFormat="1" x14ac:dyDescent="0.25">
      <c r="A68" s="221"/>
      <c r="B68" s="221"/>
      <c r="C68" s="222"/>
      <c r="E68" s="222"/>
      <c r="F68" s="222"/>
      <c r="H68" s="222"/>
      <c r="L68" s="222"/>
      <c r="M68" s="224"/>
      <c r="N68" s="225"/>
      <c r="P68" s="225"/>
      <c r="R68" s="226"/>
      <c r="AD68" s="222"/>
      <c r="AH68" s="222"/>
      <c r="AJ68" s="226"/>
      <c r="AL68" s="227"/>
      <c r="AM68" s="221"/>
    </row>
    <row r="69" spans="1:39" s="223" customFormat="1" x14ac:dyDescent="0.25">
      <c r="A69" s="221"/>
      <c r="B69" s="221"/>
      <c r="C69" s="222"/>
      <c r="E69" s="222"/>
      <c r="F69" s="222"/>
      <c r="H69" s="222"/>
      <c r="L69" s="222"/>
      <c r="M69" s="224"/>
      <c r="N69" s="225"/>
      <c r="P69" s="225"/>
      <c r="R69" s="226"/>
      <c r="AD69" s="222"/>
      <c r="AH69" s="222"/>
      <c r="AJ69" s="226"/>
      <c r="AL69" s="227"/>
      <c r="AM69" s="221"/>
    </row>
    <row r="70" spans="1:39" s="223" customFormat="1" x14ac:dyDescent="0.25">
      <c r="A70" s="221"/>
      <c r="B70" s="221"/>
      <c r="C70" s="222"/>
      <c r="E70" s="222"/>
      <c r="F70" s="222"/>
      <c r="H70" s="222"/>
      <c r="L70" s="222"/>
      <c r="M70" s="224"/>
      <c r="N70" s="225"/>
      <c r="P70" s="225"/>
      <c r="R70" s="226"/>
      <c r="AD70" s="222"/>
      <c r="AH70" s="222"/>
      <c r="AJ70" s="226"/>
      <c r="AL70" s="227"/>
      <c r="AM70" s="221"/>
    </row>
    <row r="71" spans="1:39" s="223" customFormat="1" x14ac:dyDescent="0.25">
      <c r="A71" s="221"/>
      <c r="B71" s="221"/>
      <c r="C71" s="222"/>
      <c r="E71" s="222"/>
      <c r="F71" s="222"/>
      <c r="H71" s="222"/>
      <c r="L71" s="222"/>
      <c r="M71" s="224"/>
      <c r="N71" s="225"/>
      <c r="P71" s="225"/>
      <c r="R71" s="226"/>
      <c r="AD71" s="222"/>
      <c r="AH71" s="222"/>
      <c r="AJ71" s="226"/>
      <c r="AL71" s="227"/>
      <c r="AM71" s="221"/>
    </row>
    <row r="72" spans="1:39" s="223" customFormat="1" x14ac:dyDescent="0.25">
      <c r="A72" s="221"/>
      <c r="B72" s="221"/>
      <c r="C72" s="222"/>
      <c r="E72" s="222"/>
      <c r="F72" s="222"/>
      <c r="H72" s="222"/>
      <c r="L72" s="222"/>
      <c r="M72" s="224"/>
      <c r="N72" s="225"/>
      <c r="P72" s="225"/>
      <c r="R72" s="226"/>
      <c r="AD72" s="222"/>
      <c r="AH72" s="222"/>
      <c r="AJ72" s="226"/>
      <c r="AL72" s="227"/>
      <c r="AM72" s="221"/>
    </row>
    <row r="73" spans="1:39" s="223" customFormat="1" x14ac:dyDescent="0.25">
      <c r="A73" s="221"/>
      <c r="B73" s="221"/>
      <c r="C73" s="222"/>
      <c r="E73" s="222"/>
      <c r="F73" s="222"/>
      <c r="H73" s="222"/>
      <c r="L73" s="222"/>
      <c r="M73" s="224"/>
      <c r="N73" s="225"/>
      <c r="P73" s="225"/>
      <c r="R73" s="226"/>
      <c r="AD73" s="222"/>
      <c r="AH73" s="222"/>
      <c r="AJ73" s="226"/>
      <c r="AL73" s="227"/>
      <c r="AM73" s="221"/>
    </row>
    <row r="74" spans="1:39" s="223" customFormat="1" x14ac:dyDescent="0.25">
      <c r="A74" s="221"/>
      <c r="B74" s="221"/>
      <c r="C74" s="222"/>
      <c r="E74" s="222"/>
      <c r="F74" s="222"/>
      <c r="H74" s="222"/>
      <c r="L74" s="222"/>
      <c r="M74" s="224"/>
      <c r="N74" s="225"/>
      <c r="P74" s="225"/>
      <c r="R74" s="226"/>
      <c r="AD74" s="222"/>
      <c r="AH74" s="222"/>
      <c r="AJ74" s="226"/>
      <c r="AL74" s="227"/>
      <c r="AM74" s="221"/>
    </row>
    <row r="75" spans="1:39" s="223" customFormat="1" x14ac:dyDescent="0.25">
      <c r="A75" s="221"/>
      <c r="B75" s="221"/>
      <c r="C75" s="222"/>
      <c r="E75" s="222"/>
      <c r="F75" s="222"/>
      <c r="H75" s="222"/>
      <c r="L75" s="222"/>
      <c r="M75" s="224"/>
      <c r="N75" s="225"/>
      <c r="P75" s="225"/>
      <c r="R75" s="226"/>
      <c r="AD75" s="222"/>
      <c r="AH75" s="222"/>
      <c r="AJ75" s="226"/>
      <c r="AL75" s="227"/>
      <c r="AM75" s="221"/>
    </row>
    <row r="76" spans="1:39" s="223" customFormat="1" x14ac:dyDescent="0.25">
      <c r="A76" s="221"/>
      <c r="B76" s="221"/>
      <c r="C76" s="222"/>
      <c r="E76" s="222"/>
      <c r="F76" s="222"/>
      <c r="H76" s="222"/>
      <c r="L76" s="222"/>
      <c r="M76" s="224"/>
      <c r="N76" s="225"/>
      <c r="P76" s="225"/>
      <c r="R76" s="226"/>
      <c r="AD76" s="222"/>
      <c r="AH76" s="222"/>
      <c r="AJ76" s="226"/>
      <c r="AL76" s="227"/>
      <c r="AM76" s="221"/>
    </row>
    <row r="77" spans="1:39" s="223" customFormat="1" x14ac:dyDescent="0.25">
      <c r="A77" s="221"/>
      <c r="B77" s="221"/>
      <c r="C77" s="222"/>
      <c r="E77" s="222"/>
      <c r="F77" s="222"/>
      <c r="H77" s="222"/>
      <c r="L77" s="222"/>
      <c r="M77" s="224"/>
      <c r="N77" s="225"/>
      <c r="P77" s="225"/>
      <c r="R77" s="226"/>
      <c r="AD77" s="222"/>
      <c r="AH77" s="222"/>
      <c r="AJ77" s="226"/>
      <c r="AL77" s="227"/>
      <c r="AM77" s="221"/>
    </row>
    <row r="78" spans="1:39" s="223" customFormat="1" x14ac:dyDescent="0.25">
      <c r="A78" s="221"/>
      <c r="B78" s="221"/>
      <c r="C78" s="222"/>
      <c r="E78" s="222"/>
      <c r="F78" s="222"/>
      <c r="H78" s="222"/>
      <c r="L78" s="222"/>
      <c r="M78" s="224"/>
      <c r="N78" s="225"/>
      <c r="P78" s="225"/>
      <c r="R78" s="226"/>
      <c r="AD78" s="222"/>
      <c r="AH78" s="222"/>
      <c r="AJ78" s="226"/>
      <c r="AL78" s="227"/>
      <c r="AM78" s="221"/>
    </row>
    <row r="79" spans="1:39" s="223" customFormat="1" x14ac:dyDescent="0.25">
      <c r="A79" s="221"/>
      <c r="B79" s="221"/>
      <c r="C79" s="222"/>
      <c r="E79" s="222"/>
      <c r="F79" s="222"/>
      <c r="H79" s="222"/>
      <c r="L79" s="222"/>
      <c r="M79" s="224"/>
      <c r="N79" s="225"/>
      <c r="P79" s="225"/>
      <c r="R79" s="226"/>
      <c r="AD79" s="222"/>
      <c r="AH79" s="222"/>
      <c r="AJ79" s="226"/>
      <c r="AL79" s="227"/>
      <c r="AM79" s="221"/>
    </row>
    <row r="80" spans="1:39" s="223" customFormat="1" x14ac:dyDescent="0.25">
      <c r="A80" s="221"/>
      <c r="B80" s="221"/>
      <c r="C80" s="222"/>
      <c r="E80" s="222"/>
      <c r="F80" s="222"/>
      <c r="H80" s="222"/>
      <c r="L80" s="222"/>
      <c r="M80" s="224"/>
      <c r="N80" s="225"/>
      <c r="P80" s="225"/>
      <c r="R80" s="226"/>
      <c r="AD80" s="222"/>
      <c r="AH80" s="222"/>
      <c r="AJ80" s="226"/>
      <c r="AL80" s="227"/>
      <c r="AM80" s="221"/>
    </row>
    <row r="81" spans="1:39" s="223" customFormat="1" x14ac:dyDescent="0.25">
      <c r="A81" s="221"/>
      <c r="B81" s="221"/>
      <c r="C81" s="222"/>
      <c r="E81" s="222"/>
      <c r="F81" s="222"/>
      <c r="H81" s="222"/>
      <c r="L81" s="222"/>
      <c r="M81" s="224"/>
      <c r="N81" s="225"/>
      <c r="P81" s="225"/>
      <c r="R81" s="226"/>
      <c r="AD81" s="222"/>
      <c r="AH81" s="222"/>
      <c r="AJ81" s="226"/>
      <c r="AL81" s="227"/>
      <c r="AM81" s="221"/>
    </row>
    <row r="82" spans="1:39" s="223" customFormat="1" x14ac:dyDescent="0.25">
      <c r="A82" s="221"/>
      <c r="B82" s="221"/>
      <c r="C82" s="222"/>
      <c r="E82" s="222"/>
      <c r="F82" s="222"/>
      <c r="H82" s="222"/>
      <c r="L82" s="222"/>
      <c r="M82" s="224"/>
      <c r="N82" s="225"/>
      <c r="P82" s="225"/>
      <c r="R82" s="226"/>
      <c r="AD82" s="222"/>
      <c r="AH82" s="222"/>
      <c r="AJ82" s="226"/>
      <c r="AL82" s="227"/>
      <c r="AM82" s="221"/>
    </row>
    <row r="83" spans="1:39" s="223" customFormat="1" x14ac:dyDescent="0.25">
      <c r="A83" s="221"/>
      <c r="B83" s="221"/>
      <c r="C83" s="222"/>
      <c r="E83" s="222"/>
      <c r="F83" s="222"/>
      <c r="H83" s="222"/>
      <c r="L83" s="222"/>
      <c r="M83" s="224"/>
      <c r="N83" s="225"/>
      <c r="P83" s="225"/>
      <c r="R83" s="226"/>
      <c r="AD83" s="222"/>
      <c r="AH83" s="222"/>
      <c r="AJ83" s="226"/>
      <c r="AL83" s="227"/>
      <c r="AM83" s="221"/>
    </row>
    <row r="84" spans="1:39" s="223" customFormat="1" x14ac:dyDescent="0.25">
      <c r="A84" s="221"/>
      <c r="B84" s="221"/>
      <c r="C84" s="222"/>
      <c r="E84" s="222"/>
      <c r="F84" s="222"/>
      <c r="H84" s="222"/>
      <c r="L84" s="222"/>
      <c r="M84" s="224"/>
      <c r="N84" s="225"/>
      <c r="P84" s="225"/>
      <c r="R84" s="226"/>
      <c r="AD84" s="222"/>
      <c r="AH84" s="222"/>
      <c r="AJ84" s="226"/>
      <c r="AL84" s="227"/>
      <c r="AM84" s="221"/>
    </row>
    <row r="85" spans="1:39" s="223" customFormat="1" x14ac:dyDescent="0.25">
      <c r="A85" s="221"/>
      <c r="B85" s="221"/>
      <c r="C85" s="222"/>
      <c r="E85" s="222"/>
      <c r="F85" s="222"/>
      <c r="H85" s="222"/>
      <c r="L85" s="222"/>
      <c r="M85" s="224"/>
      <c r="N85" s="225"/>
      <c r="P85" s="225"/>
      <c r="R85" s="226"/>
      <c r="AD85" s="222"/>
      <c r="AH85" s="222"/>
      <c r="AJ85" s="226"/>
      <c r="AL85" s="227"/>
      <c r="AM85" s="221"/>
    </row>
    <row r="86" spans="1:39" s="223" customFormat="1" x14ac:dyDescent="0.25">
      <c r="A86" s="221"/>
      <c r="B86" s="221"/>
      <c r="C86" s="222"/>
      <c r="E86" s="222"/>
      <c r="F86" s="222"/>
      <c r="H86" s="222"/>
      <c r="L86" s="222"/>
      <c r="M86" s="224"/>
      <c r="N86" s="225"/>
      <c r="P86" s="225"/>
      <c r="R86" s="226"/>
      <c r="AD86" s="222"/>
      <c r="AH86" s="222"/>
      <c r="AJ86" s="226"/>
      <c r="AL86" s="227"/>
      <c r="AM86" s="221"/>
    </row>
    <row r="87" spans="1:39" s="223" customFormat="1" x14ac:dyDescent="0.25">
      <c r="A87" s="221"/>
      <c r="B87" s="221"/>
      <c r="C87" s="222"/>
      <c r="E87" s="222"/>
      <c r="F87" s="222"/>
      <c r="H87" s="222"/>
      <c r="L87" s="222"/>
      <c r="M87" s="224"/>
      <c r="N87" s="225"/>
      <c r="P87" s="225"/>
      <c r="R87" s="226"/>
      <c r="AD87" s="222"/>
      <c r="AH87" s="222"/>
      <c r="AJ87" s="226"/>
      <c r="AL87" s="227"/>
      <c r="AM87" s="221"/>
    </row>
    <row r="88" spans="1:39" s="223" customFormat="1" x14ac:dyDescent="0.25">
      <c r="A88" s="221"/>
      <c r="B88" s="221"/>
      <c r="C88" s="222"/>
      <c r="E88" s="222"/>
      <c r="F88" s="222"/>
      <c r="H88" s="222"/>
      <c r="L88" s="222"/>
      <c r="M88" s="224"/>
      <c r="N88" s="225"/>
      <c r="P88" s="225"/>
      <c r="R88" s="226"/>
      <c r="AD88" s="222"/>
      <c r="AH88" s="222"/>
      <c r="AJ88" s="226"/>
      <c r="AL88" s="227"/>
      <c r="AM88" s="221"/>
    </row>
    <row r="89" spans="1:39" s="223" customFormat="1" x14ac:dyDescent="0.25">
      <c r="A89" s="221"/>
      <c r="B89" s="221"/>
      <c r="C89" s="222"/>
      <c r="E89" s="222"/>
      <c r="F89" s="222"/>
      <c r="H89" s="222"/>
      <c r="L89" s="222"/>
      <c r="M89" s="224"/>
      <c r="N89" s="225"/>
      <c r="P89" s="225"/>
      <c r="R89" s="226"/>
      <c r="AD89" s="222"/>
      <c r="AH89" s="222"/>
      <c r="AJ89" s="226"/>
      <c r="AL89" s="227"/>
      <c r="AM89" s="221"/>
    </row>
    <row r="90" spans="1:39" s="223" customFormat="1" x14ac:dyDescent="0.25">
      <c r="A90" s="221"/>
      <c r="B90" s="221"/>
      <c r="C90" s="222"/>
      <c r="E90" s="222"/>
      <c r="F90" s="222"/>
      <c r="H90" s="222"/>
      <c r="L90" s="222"/>
      <c r="M90" s="224"/>
      <c r="N90" s="225"/>
      <c r="P90" s="225"/>
      <c r="R90" s="226"/>
      <c r="AD90" s="222"/>
      <c r="AH90" s="222"/>
      <c r="AJ90" s="226"/>
      <c r="AL90" s="227"/>
      <c r="AM90" s="221"/>
    </row>
    <row r="91" spans="1:39" s="223" customFormat="1" x14ac:dyDescent="0.25">
      <c r="A91" s="221"/>
      <c r="B91" s="221"/>
      <c r="C91" s="222"/>
      <c r="E91" s="222"/>
      <c r="F91" s="222"/>
      <c r="H91" s="222"/>
      <c r="L91" s="222"/>
      <c r="M91" s="224"/>
      <c r="N91" s="225"/>
      <c r="P91" s="225"/>
      <c r="R91" s="226"/>
      <c r="AD91" s="222"/>
      <c r="AH91" s="222"/>
      <c r="AJ91" s="226"/>
      <c r="AL91" s="227"/>
      <c r="AM91" s="221"/>
    </row>
    <row r="92" spans="1:39" s="223" customFormat="1" x14ac:dyDescent="0.25">
      <c r="A92" s="221"/>
      <c r="B92" s="221"/>
      <c r="C92" s="222"/>
      <c r="E92" s="222"/>
      <c r="F92" s="222"/>
      <c r="H92" s="222"/>
      <c r="L92" s="222"/>
      <c r="M92" s="224"/>
      <c r="N92" s="225"/>
      <c r="P92" s="225"/>
      <c r="R92" s="226"/>
      <c r="AD92" s="222"/>
      <c r="AH92" s="222"/>
      <c r="AJ92" s="226"/>
      <c r="AL92" s="227"/>
      <c r="AM92" s="221"/>
    </row>
    <row r="93" spans="1:39" s="223" customFormat="1" x14ac:dyDescent="0.25">
      <c r="A93" s="221"/>
      <c r="B93" s="221"/>
      <c r="C93" s="222"/>
      <c r="E93" s="222"/>
      <c r="F93" s="222"/>
      <c r="H93" s="222"/>
      <c r="L93" s="222"/>
      <c r="M93" s="224"/>
      <c r="N93" s="225"/>
      <c r="P93" s="225"/>
      <c r="R93" s="226"/>
      <c r="AD93" s="222"/>
      <c r="AH93" s="222"/>
      <c r="AJ93" s="226"/>
      <c r="AL93" s="227"/>
      <c r="AM93" s="221"/>
    </row>
    <row r="94" spans="1:39" s="223" customFormat="1" x14ac:dyDescent="0.25">
      <c r="A94" s="221"/>
      <c r="B94" s="221"/>
      <c r="C94" s="222"/>
      <c r="E94" s="222"/>
      <c r="F94" s="222"/>
      <c r="H94" s="222"/>
      <c r="L94" s="222"/>
      <c r="M94" s="224"/>
      <c r="N94" s="225"/>
      <c r="P94" s="225"/>
      <c r="R94" s="226"/>
      <c r="AD94" s="222"/>
      <c r="AH94" s="222"/>
      <c r="AJ94" s="226"/>
      <c r="AL94" s="227"/>
      <c r="AM94" s="221"/>
    </row>
    <row r="95" spans="1:39" s="223" customFormat="1" x14ac:dyDescent="0.25">
      <c r="A95" s="221"/>
      <c r="B95" s="221"/>
      <c r="C95" s="222"/>
      <c r="E95" s="222"/>
      <c r="F95" s="222"/>
      <c r="H95" s="222"/>
      <c r="L95" s="222"/>
      <c r="M95" s="224"/>
      <c r="N95" s="225"/>
      <c r="P95" s="225"/>
      <c r="R95" s="226"/>
      <c r="AD95" s="222"/>
      <c r="AH95" s="222"/>
      <c r="AJ95" s="226"/>
      <c r="AL95" s="227"/>
      <c r="AM95" s="221"/>
    </row>
    <row r="96" spans="1:39" s="223" customFormat="1" x14ac:dyDescent="0.25">
      <c r="A96" s="221"/>
      <c r="B96" s="221"/>
      <c r="C96" s="222"/>
      <c r="E96" s="222"/>
      <c r="F96" s="222"/>
      <c r="H96" s="222"/>
      <c r="L96" s="222"/>
      <c r="M96" s="224"/>
      <c r="N96" s="225"/>
      <c r="P96" s="225"/>
      <c r="R96" s="226"/>
      <c r="AD96" s="222"/>
      <c r="AH96" s="222"/>
      <c r="AJ96" s="226"/>
      <c r="AL96" s="227"/>
      <c r="AM96" s="221"/>
    </row>
    <row r="97" spans="1:39" s="223" customFormat="1" x14ac:dyDescent="0.25">
      <c r="A97" s="221"/>
      <c r="B97" s="221"/>
      <c r="C97" s="222"/>
      <c r="E97" s="222"/>
      <c r="F97" s="222"/>
      <c r="H97" s="222"/>
      <c r="L97" s="222"/>
      <c r="M97" s="224"/>
      <c r="N97" s="225"/>
      <c r="P97" s="225"/>
      <c r="R97" s="226"/>
      <c r="AD97" s="222"/>
      <c r="AH97" s="222"/>
      <c r="AJ97" s="226"/>
      <c r="AL97" s="227"/>
      <c r="AM97" s="221"/>
    </row>
    <row r="98" spans="1:39" s="223" customFormat="1" x14ac:dyDescent="0.25">
      <c r="A98" s="221"/>
      <c r="B98" s="221"/>
      <c r="C98" s="222"/>
      <c r="E98" s="222"/>
      <c r="F98" s="222"/>
      <c r="H98" s="222"/>
      <c r="L98" s="222"/>
      <c r="M98" s="224"/>
      <c r="N98" s="225"/>
      <c r="P98" s="225"/>
      <c r="R98" s="226"/>
      <c r="AD98" s="222"/>
      <c r="AH98" s="222"/>
      <c r="AJ98" s="226"/>
      <c r="AL98" s="227"/>
      <c r="AM98" s="221"/>
    </row>
    <row r="99" spans="1:39" s="223" customFormat="1" x14ac:dyDescent="0.25">
      <c r="A99" s="221"/>
      <c r="B99" s="221"/>
      <c r="C99" s="222"/>
      <c r="E99" s="222"/>
      <c r="F99" s="222"/>
      <c r="H99" s="222"/>
      <c r="L99" s="222"/>
      <c r="M99" s="224"/>
      <c r="N99" s="225"/>
      <c r="P99" s="225"/>
      <c r="R99" s="226"/>
      <c r="AD99" s="222"/>
      <c r="AH99" s="222"/>
      <c r="AJ99" s="226"/>
      <c r="AL99" s="227"/>
      <c r="AM99" s="221"/>
    </row>
    <row r="100" spans="1:39" s="223" customFormat="1" x14ac:dyDescent="0.25">
      <c r="A100" s="221"/>
      <c r="B100" s="221"/>
      <c r="C100" s="222"/>
      <c r="E100" s="222"/>
      <c r="F100" s="222"/>
      <c r="H100" s="222"/>
      <c r="L100" s="222"/>
      <c r="M100" s="224"/>
      <c r="N100" s="225"/>
      <c r="P100" s="225"/>
      <c r="R100" s="226"/>
      <c r="AD100" s="222"/>
      <c r="AH100" s="222"/>
      <c r="AJ100" s="226"/>
      <c r="AL100" s="227"/>
      <c r="AM100" s="221"/>
    </row>
    <row r="101" spans="1:39" s="223" customFormat="1" x14ac:dyDescent="0.25">
      <c r="A101" s="221"/>
      <c r="B101" s="221"/>
      <c r="C101" s="222"/>
      <c r="E101" s="222"/>
      <c r="F101" s="222"/>
      <c r="H101" s="222"/>
      <c r="L101" s="222"/>
      <c r="M101" s="224"/>
      <c r="N101" s="225"/>
      <c r="P101" s="225"/>
      <c r="R101" s="226"/>
      <c r="AD101" s="222"/>
      <c r="AH101" s="222"/>
      <c r="AJ101" s="226"/>
      <c r="AL101" s="227"/>
      <c r="AM101" s="221"/>
    </row>
    <row r="102" spans="1:39" s="223" customFormat="1" x14ac:dyDescent="0.25">
      <c r="A102" s="221"/>
      <c r="B102" s="221"/>
      <c r="C102" s="222"/>
      <c r="E102" s="222"/>
      <c r="F102" s="222"/>
      <c r="H102" s="222"/>
      <c r="L102" s="222"/>
      <c r="M102" s="224"/>
      <c r="N102" s="225"/>
      <c r="P102" s="225"/>
      <c r="R102" s="226"/>
      <c r="AD102" s="222"/>
      <c r="AH102" s="222"/>
      <c r="AJ102" s="226"/>
      <c r="AL102" s="227"/>
      <c r="AM102" s="221"/>
    </row>
    <row r="103" spans="1:39" s="223" customFormat="1" x14ac:dyDescent="0.25">
      <c r="A103" s="221"/>
      <c r="B103" s="221"/>
      <c r="C103" s="222"/>
      <c r="E103" s="222"/>
      <c r="F103" s="222"/>
      <c r="H103" s="222"/>
      <c r="L103" s="222"/>
      <c r="M103" s="224"/>
      <c r="N103" s="225"/>
      <c r="P103" s="225"/>
      <c r="R103" s="226"/>
      <c r="AD103" s="222"/>
      <c r="AH103" s="222"/>
      <c r="AJ103" s="226"/>
      <c r="AL103" s="227"/>
      <c r="AM103" s="221"/>
    </row>
    <row r="104" spans="1:39" s="223" customFormat="1" x14ac:dyDescent="0.25">
      <c r="A104" s="221"/>
      <c r="B104" s="221"/>
      <c r="C104" s="222"/>
      <c r="E104" s="222"/>
      <c r="F104" s="222"/>
      <c r="H104" s="222"/>
      <c r="L104" s="222"/>
      <c r="M104" s="224"/>
      <c r="N104" s="225"/>
      <c r="P104" s="225"/>
      <c r="R104" s="226"/>
      <c r="AD104" s="222"/>
      <c r="AH104" s="222"/>
      <c r="AJ104" s="226"/>
      <c r="AL104" s="227"/>
      <c r="AM104" s="221"/>
    </row>
    <row r="105" spans="1:39" s="223" customFormat="1" x14ac:dyDescent="0.25">
      <c r="A105" s="221"/>
      <c r="B105" s="221"/>
      <c r="C105" s="222"/>
      <c r="E105" s="222"/>
      <c r="F105" s="222"/>
      <c r="H105" s="222"/>
      <c r="L105" s="222"/>
      <c r="M105" s="224"/>
      <c r="N105" s="225"/>
      <c r="P105" s="225"/>
      <c r="R105" s="226"/>
      <c r="AD105" s="222"/>
      <c r="AH105" s="222"/>
      <c r="AJ105" s="226"/>
      <c r="AL105" s="227"/>
      <c r="AM105" s="221"/>
    </row>
    <row r="106" spans="1:39" s="223" customFormat="1" x14ac:dyDescent="0.25">
      <c r="A106" s="221"/>
      <c r="B106" s="221"/>
      <c r="C106" s="222"/>
      <c r="E106" s="222"/>
      <c r="F106" s="222"/>
      <c r="H106" s="222"/>
      <c r="L106" s="222"/>
      <c r="M106" s="224"/>
      <c r="N106" s="225"/>
      <c r="P106" s="225"/>
      <c r="R106" s="226"/>
      <c r="AD106" s="222"/>
      <c r="AH106" s="222"/>
      <c r="AJ106" s="226"/>
      <c r="AL106" s="227"/>
      <c r="AM106" s="221"/>
    </row>
    <row r="107" spans="1:39" s="223" customFormat="1" x14ac:dyDescent="0.25">
      <c r="A107" s="221"/>
      <c r="B107" s="221"/>
      <c r="C107" s="222"/>
      <c r="E107" s="222"/>
      <c r="F107" s="222"/>
      <c r="H107" s="222"/>
      <c r="L107" s="222"/>
      <c r="M107" s="224"/>
      <c r="N107" s="225"/>
      <c r="P107" s="225"/>
      <c r="R107" s="226"/>
      <c r="AD107" s="222"/>
      <c r="AH107" s="222"/>
      <c r="AJ107" s="226"/>
      <c r="AL107" s="227"/>
      <c r="AM107" s="221"/>
    </row>
    <row r="108" spans="1:39" s="223" customFormat="1" x14ac:dyDescent="0.25">
      <c r="A108" s="221"/>
      <c r="B108" s="221"/>
      <c r="C108" s="222"/>
      <c r="E108" s="222"/>
      <c r="F108" s="222"/>
      <c r="H108" s="222"/>
      <c r="L108" s="222"/>
      <c r="M108" s="224"/>
      <c r="N108" s="225"/>
      <c r="P108" s="225"/>
      <c r="R108" s="226"/>
      <c r="AD108" s="222"/>
      <c r="AH108" s="222"/>
      <c r="AJ108" s="226"/>
      <c r="AL108" s="227"/>
      <c r="AM108" s="221"/>
    </row>
    <row r="109" spans="1:39" s="223" customFormat="1" x14ac:dyDescent="0.25">
      <c r="A109" s="221"/>
      <c r="B109" s="221"/>
      <c r="C109" s="222"/>
      <c r="E109" s="222"/>
      <c r="F109" s="222"/>
      <c r="H109" s="222"/>
      <c r="L109" s="222"/>
      <c r="M109" s="224"/>
      <c r="N109" s="225"/>
      <c r="P109" s="225"/>
      <c r="R109" s="226"/>
      <c r="AD109" s="222"/>
      <c r="AH109" s="222"/>
      <c r="AJ109" s="226"/>
      <c r="AL109" s="227"/>
      <c r="AM109" s="221"/>
    </row>
    <row r="110" spans="1:39" s="223" customFormat="1" x14ac:dyDescent="0.25">
      <c r="A110" s="221"/>
      <c r="B110" s="221"/>
      <c r="C110" s="222"/>
      <c r="E110" s="222"/>
      <c r="F110" s="222"/>
      <c r="H110" s="222"/>
      <c r="L110" s="222"/>
      <c r="M110" s="224"/>
      <c r="N110" s="225"/>
      <c r="P110" s="225"/>
      <c r="R110" s="226"/>
      <c r="AD110" s="222"/>
      <c r="AH110" s="222"/>
      <c r="AJ110" s="226"/>
      <c r="AL110" s="227"/>
      <c r="AM110" s="221"/>
    </row>
    <row r="111" spans="1:39" s="223" customFormat="1" x14ac:dyDescent="0.25">
      <c r="A111" s="221"/>
      <c r="B111" s="221"/>
      <c r="C111" s="222"/>
      <c r="E111" s="222"/>
      <c r="F111" s="222"/>
      <c r="H111" s="222"/>
      <c r="L111" s="222"/>
      <c r="M111" s="224"/>
      <c r="N111" s="225"/>
      <c r="P111" s="225"/>
      <c r="R111" s="226"/>
      <c r="AD111" s="222"/>
      <c r="AH111" s="222"/>
      <c r="AJ111" s="226"/>
      <c r="AL111" s="227"/>
      <c r="AM111" s="221"/>
    </row>
    <row r="112" spans="1:39" s="223" customFormat="1" x14ac:dyDescent="0.25">
      <c r="A112" s="221"/>
      <c r="B112" s="221"/>
      <c r="C112" s="222"/>
      <c r="E112" s="222"/>
      <c r="F112" s="222"/>
      <c r="H112" s="222"/>
      <c r="L112" s="222"/>
      <c r="M112" s="224"/>
      <c r="N112" s="225"/>
      <c r="P112" s="225"/>
      <c r="R112" s="226"/>
      <c r="AD112" s="222"/>
      <c r="AH112" s="222"/>
      <c r="AJ112" s="226"/>
      <c r="AL112" s="227"/>
      <c r="AM112" s="221"/>
    </row>
  </sheetData>
  <mergeCells count="17"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  <mergeCell ref="T9:U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3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8" t="s">
        <v>28</v>
      </c>
    </row>
    <row r="2" spans="1:3" ht="18" x14ac:dyDescent="0.35">
      <c r="A2" s="281">
        <v>43497</v>
      </c>
      <c r="B2" s="282"/>
      <c r="C2" s="282"/>
    </row>
    <row r="3" spans="1:3" x14ac:dyDescent="0.25">
      <c r="A3" s="284" t="s">
        <v>1</v>
      </c>
      <c r="B3" s="283" t="s">
        <v>2</v>
      </c>
      <c r="C3" s="283" t="s">
        <v>3</v>
      </c>
    </row>
    <row r="4" spans="1:3" x14ac:dyDescent="0.25">
      <c r="A4" s="284"/>
      <c r="B4" s="283"/>
      <c r="C4" s="283"/>
    </row>
    <row r="5" spans="1:3" x14ac:dyDescent="0.25">
      <c r="A5" s="284"/>
      <c r="B5" s="283"/>
      <c r="C5" s="283"/>
    </row>
    <row r="6" spans="1:3" x14ac:dyDescent="0.25">
      <c r="A6" s="2">
        <v>1</v>
      </c>
      <c r="B6" s="285">
        <v>53</v>
      </c>
      <c r="C6" s="286">
        <v>498</v>
      </c>
    </row>
    <row r="7" spans="1:3" x14ac:dyDescent="0.25">
      <c r="A7" s="2">
        <v>2</v>
      </c>
      <c r="B7" s="285">
        <v>63</v>
      </c>
      <c r="C7" s="286">
        <v>624</v>
      </c>
    </row>
    <row r="8" spans="1:3" x14ac:dyDescent="0.25">
      <c r="A8" s="2">
        <f>A7+1</f>
        <v>3</v>
      </c>
      <c r="B8" s="285">
        <v>71</v>
      </c>
      <c r="C8" s="286">
        <v>773</v>
      </c>
    </row>
    <row r="9" spans="1:3" x14ac:dyDescent="0.25">
      <c r="A9" s="2">
        <f>A8+1</f>
        <v>4</v>
      </c>
      <c r="B9" s="285">
        <v>80</v>
      </c>
      <c r="C9" s="286">
        <v>735</v>
      </c>
    </row>
    <row r="10" spans="1:3" x14ac:dyDescent="0.25">
      <c r="A10" s="2">
        <f t="shared" ref="A10:A33" si="0">A9+1</f>
        <v>5</v>
      </c>
      <c r="B10" s="285">
        <v>98</v>
      </c>
      <c r="C10" s="286">
        <v>681</v>
      </c>
    </row>
    <row r="11" spans="1:3" x14ac:dyDescent="0.25">
      <c r="A11" s="2">
        <f t="shared" si="0"/>
        <v>6</v>
      </c>
      <c r="B11" s="285">
        <v>112</v>
      </c>
      <c r="C11" s="286">
        <v>768</v>
      </c>
    </row>
    <row r="12" spans="1:3" x14ac:dyDescent="0.25">
      <c r="A12" s="2">
        <f t="shared" si="0"/>
        <v>7</v>
      </c>
      <c r="B12" s="285">
        <v>125</v>
      </c>
      <c r="C12" s="286">
        <v>837</v>
      </c>
    </row>
    <row r="13" spans="1:3" x14ac:dyDescent="0.25">
      <c r="A13" s="2">
        <f t="shared" si="0"/>
        <v>8</v>
      </c>
      <c r="B13" s="285">
        <v>135</v>
      </c>
      <c r="C13" s="286">
        <v>949</v>
      </c>
    </row>
    <row r="14" spans="1:3" x14ac:dyDescent="0.25">
      <c r="A14" s="2">
        <f t="shared" si="0"/>
        <v>9</v>
      </c>
      <c r="B14" s="285">
        <v>127</v>
      </c>
      <c r="C14" s="286">
        <v>912</v>
      </c>
    </row>
    <row r="15" spans="1:3" x14ac:dyDescent="0.25">
      <c r="A15" s="2">
        <f t="shared" si="0"/>
        <v>10</v>
      </c>
      <c r="B15" s="285">
        <v>105</v>
      </c>
      <c r="C15" s="286">
        <v>880</v>
      </c>
    </row>
    <row r="16" spans="1:3" x14ac:dyDescent="0.25">
      <c r="A16" s="2">
        <f t="shared" si="0"/>
        <v>11</v>
      </c>
      <c r="B16" s="285">
        <v>86</v>
      </c>
      <c r="C16" s="286">
        <v>645</v>
      </c>
    </row>
    <row r="17" spans="1:3" x14ac:dyDescent="0.25">
      <c r="A17" s="2">
        <f t="shared" si="0"/>
        <v>12</v>
      </c>
      <c r="B17" s="285">
        <v>70</v>
      </c>
      <c r="C17" s="286">
        <v>527</v>
      </c>
    </row>
    <row r="18" spans="1:3" x14ac:dyDescent="0.25">
      <c r="A18" s="2">
        <f t="shared" si="0"/>
        <v>13</v>
      </c>
      <c r="B18" s="285">
        <v>69</v>
      </c>
      <c r="C18" s="286">
        <v>564</v>
      </c>
    </row>
    <row r="19" spans="1:3" x14ac:dyDescent="0.25">
      <c r="A19" s="2">
        <f t="shared" si="0"/>
        <v>14</v>
      </c>
      <c r="B19" s="285">
        <v>60</v>
      </c>
      <c r="C19" s="286">
        <v>643</v>
      </c>
    </row>
    <row r="20" spans="1:3" x14ac:dyDescent="0.25">
      <c r="A20" s="2">
        <f t="shared" si="0"/>
        <v>15</v>
      </c>
      <c r="B20" s="285">
        <v>63</v>
      </c>
      <c r="C20" s="286">
        <v>442</v>
      </c>
    </row>
    <row r="21" spans="1:3" x14ac:dyDescent="0.25">
      <c r="A21" s="2">
        <f t="shared" si="0"/>
        <v>16</v>
      </c>
      <c r="B21" s="285">
        <v>66</v>
      </c>
      <c r="C21" s="286">
        <v>470</v>
      </c>
    </row>
    <row r="22" spans="1:3" x14ac:dyDescent="0.25">
      <c r="A22" s="2">
        <f t="shared" si="0"/>
        <v>17</v>
      </c>
      <c r="B22" s="285">
        <v>100</v>
      </c>
      <c r="C22" s="286">
        <v>478</v>
      </c>
    </row>
    <row r="23" spans="1:3" x14ac:dyDescent="0.25">
      <c r="A23" s="2">
        <f t="shared" si="0"/>
        <v>18</v>
      </c>
      <c r="B23" s="285">
        <v>99</v>
      </c>
      <c r="C23" s="286">
        <v>534</v>
      </c>
    </row>
    <row r="24" spans="1:3" x14ac:dyDescent="0.25">
      <c r="A24" s="2">
        <f t="shared" si="0"/>
        <v>19</v>
      </c>
      <c r="B24" s="285">
        <v>103</v>
      </c>
      <c r="C24" s="286">
        <v>501</v>
      </c>
    </row>
    <row r="25" spans="1:3" x14ac:dyDescent="0.25">
      <c r="A25" s="2">
        <f t="shared" si="0"/>
        <v>20</v>
      </c>
      <c r="B25" s="285">
        <v>102</v>
      </c>
      <c r="C25" s="286">
        <v>472</v>
      </c>
    </row>
    <row r="26" spans="1:3" x14ac:dyDescent="0.25">
      <c r="A26" s="2">
        <f t="shared" si="0"/>
        <v>21</v>
      </c>
      <c r="B26" s="285">
        <v>103</v>
      </c>
      <c r="C26" s="286">
        <v>500</v>
      </c>
    </row>
    <row r="27" spans="1:3" x14ac:dyDescent="0.25">
      <c r="A27" s="2">
        <f t="shared" si="0"/>
        <v>22</v>
      </c>
      <c r="B27" s="285">
        <v>54</v>
      </c>
      <c r="C27" s="286">
        <v>538</v>
      </c>
    </row>
    <row r="28" spans="1:3" x14ac:dyDescent="0.25">
      <c r="A28" s="2">
        <f t="shared" si="0"/>
        <v>23</v>
      </c>
      <c r="B28" s="285">
        <v>41</v>
      </c>
      <c r="C28" s="286">
        <v>400</v>
      </c>
    </row>
    <row r="29" spans="1:3" x14ac:dyDescent="0.25">
      <c r="A29" s="2">
        <f t="shared" si="0"/>
        <v>24</v>
      </c>
      <c r="B29" s="285">
        <v>35</v>
      </c>
      <c r="C29" s="286">
        <v>416</v>
      </c>
    </row>
    <row r="30" spans="1:3" x14ac:dyDescent="0.25">
      <c r="A30" s="2">
        <f t="shared" si="0"/>
        <v>25</v>
      </c>
      <c r="B30" s="285">
        <v>33</v>
      </c>
      <c r="C30" s="286">
        <v>258</v>
      </c>
    </row>
    <row r="31" spans="1:3" x14ac:dyDescent="0.25">
      <c r="A31" s="2">
        <f t="shared" si="0"/>
        <v>26</v>
      </c>
      <c r="B31" s="285">
        <v>43</v>
      </c>
      <c r="C31" s="286">
        <v>366</v>
      </c>
    </row>
    <row r="32" spans="1:3" x14ac:dyDescent="0.25">
      <c r="A32" s="2">
        <f t="shared" si="0"/>
        <v>27</v>
      </c>
      <c r="B32" s="285">
        <v>51</v>
      </c>
      <c r="C32" s="286">
        <v>374</v>
      </c>
    </row>
    <row r="33" spans="1:3" x14ac:dyDescent="0.25">
      <c r="A33" s="2">
        <f t="shared" si="0"/>
        <v>28</v>
      </c>
      <c r="B33" s="285">
        <v>43</v>
      </c>
      <c r="C33" s="286">
        <v>579</v>
      </c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8" spans="1:3" x14ac:dyDescent="0.25">
      <c r="B38" s="6">
        <f>SUM(B6:B36)</f>
        <v>2190</v>
      </c>
      <c r="C38" s="6">
        <f>SUM(C6:C36)</f>
        <v>16364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February 2019</vt:lpstr>
      <vt:lpstr>RNs &amp; Covers February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2022-05-05T09:05:49Z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