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ngineering\Omar Saber\"/>
    </mc:Choice>
  </mc:AlternateContent>
  <bookViews>
    <workbookView xWindow="0" yWindow="0" windowWidth="28800" windowHeight="14100" tabRatio="59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2" i="1" l="1"/>
  <c r="T23" i="1"/>
  <c r="T24" i="1"/>
  <c r="B23" i="2" l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19" i="2" l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D23" i="2" l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T23" i="2" l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14" i="2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3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<sst xmlns="http://schemas.openxmlformats.org/spreadsheetml/2006/main" count="445" uniqueCount="150">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</sst>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I31" sqref="I3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69003.639668000003</v>
      </c>
      <c r="F18" s="146">
        <v>1.27</v>
      </c>
      <c r="G18" s="42">
        <f>Gas!C19*0.9147</f>
        <v>2285.8352999999997</v>
      </c>
      <c r="H18" s="147">
        <v>3.65</v>
      </c>
      <c r="I18" s="149">
        <f>Submetering!H18+Submetering!AD18+Submetering!AE18</f>
        <v>886.00000000000011</v>
      </c>
      <c r="J18" s="149">
        <v>10.029999999999999</v>
      </c>
      <c r="K18" s="42">
        <f>ELECT.!B19</f>
        <v>263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57497.495688000003</v>
      </c>
      <c r="F19" s="146">
        <v>1.27</v>
      </c>
      <c r="G19" s="42">
        <f>Gas!C20*0.9147</f>
        <v>2233.6974</v>
      </c>
      <c r="H19" s="147">
        <v>3.65</v>
      </c>
      <c r="I19" s="149">
        <f>Submetering!H19+Submetering!AD19+Submetering!AE19</f>
        <v>746</v>
      </c>
      <c r="J19" s="149">
        <v>10.029999999999999</v>
      </c>
      <c r="K19" s="42">
        <f>ELECT.!B20</f>
        <v>229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79205.779816000009</v>
      </c>
      <c r="F20" s="146">
        <v>1.27</v>
      </c>
      <c r="G20" s="42">
        <f>Gas!C21*0.9147</f>
        <v>1683.048</v>
      </c>
      <c r="H20" s="147">
        <v>3.65</v>
      </c>
      <c r="I20" s="149">
        <f>Submetering!H20+Submetering!AD20+Submetering!AE20</f>
        <v>616</v>
      </c>
      <c r="J20" s="149">
        <v>10.029999999999999</v>
      </c>
      <c r="K20" s="42">
        <f>ELECT.!B21</f>
        <v>227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49486.100464000003</v>
      </c>
      <c r="F21" s="146">
        <v>1.27</v>
      </c>
      <c r="G21" s="42">
        <f>Gas!C22*0.9147</f>
        <v>2037.0368999999998</v>
      </c>
      <c r="H21" s="147">
        <v>3.65</v>
      </c>
      <c r="I21" s="149">
        <f>Submetering!H21+Submetering!AD21+Submetering!AE21</f>
        <v>826.00000000000011</v>
      </c>
      <c r="J21" s="149">
        <v>10.029999999999999</v>
      </c>
      <c r="K21" s="42">
        <f>ELECT.!B22</f>
        <v>247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1" sqref="E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526.5</v>
      </c>
      <c r="H18" s="42">
        <f>Water!I19</f>
        <v>4.0229999999999997</v>
      </c>
      <c r="I18" s="42">
        <f>ELECT.!F19</f>
        <v>13308</v>
      </c>
      <c r="J18" s="42">
        <f>ELECT.!H19</f>
        <v>58621</v>
      </c>
      <c r="K18" s="42">
        <f>ELECT.!K19</f>
        <v>5805</v>
      </c>
      <c r="L18" s="42">
        <f>ELECT.!M19</f>
        <v>4687</v>
      </c>
      <c r="M18" s="42">
        <f>ELECT.!O19</f>
        <v>8426</v>
      </c>
      <c r="N18" s="42">
        <f>ELECT.!Q19</f>
        <v>14936</v>
      </c>
      <c r="O18" s="42">
        <f>ELECT.!S19</f>
        <v>10985</v>
      </c>
      <c r="P18" s="42">
        <f>ELECT.!W19*2</f>
        <v>25142</v>
      </c>
      <c r="Q18" s="42">
        <f>ELECT.!D19</f>
        <v>800</v>
      </c>
      <c r="R18" s="43">
        <f>BTU!C19</f>
        <v>10.610000000000582</v>
      </c>
      <c r="S18" s="43">
        <f>BTU!F19</f>
        <v>1.7280000000000655</v>
      </c>
      <c r="T18" s="43">
        <f>BTU!I19</f>
        <v>7</v>
      </c>
      <c r="U18" s="43">
        <f>BTU!O19</f>
        <v>1.5349999999998545</v>
      </c>
      <c r="V18" s="43">
        <f>BTU!L19</f>
        <v>1.4699999999993452</v>
      </c>
      <c r="W18" s="43">
        <f>BTU!R19</f>
        <v>3.680000000000291</v>
      </c>
      <c r="X18" s="40">
        <f>ELECT.!B19</f>
        <v>263</v>
      </c>
      <c r="Y18" s="40">
        <f t="shared" si="0"/>
        <v>1948</v>
      </c>
      <c r="Z18">
        <f>'Mall, Citadel, Rotana'!C19+'Mall, Citadel, Rotana'!E19+'Mall, Citadel, Rotana'!G19+'Mall, Citadel, Rotana'!I19</f>
        <v>1398</v>
      </c>
      <c r="AA18">
        <f>'Mall, Citadel, Rotana'!K19+'Mall, Citadel, Rotana'!M19</f>
        <v>480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116.24456860000001</v>
      </c>
      <c r="AE18" s="40">
        <f t="shared" si="2"/>
        <v>765.73243140000011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940</v>
      </c>
      <c r="F19" s="42">
        <f>Water!E20</f>
        <v>0</v>
      </c>
      <c r="G19" s="42">
        <f>Water!G20</f>
        <v>480.6</v>
      </c>
      <c r="H19" s="42">
        <f>Water!I20</f>
        <v>4.8869999999999996</v>
      </c>
      <c r="I19" s="42">
        <f>ELECT.!F20</f>
        <v>7975</v>
      </c>
      <c r="J19" s="42">
        <f>ELECT.!H20</f>
        <v>51912</v>
      </c>
      <c r="K19" s="42">
        <f>ELECT.!K20</f>
        <v>4937</v>
      </c>
      <c r="L19" s="42">
        <f>ELECT.!M20</f>
        <v>4158</v>
      </c>
      <c r="M19" s="42">
        <f>ELECT.!O20</f>
        <v>3710</v>
      </c>
      <c r="N19" s="42">
        <f>ELECT.!Q20</f>
        <v>16997</v>
      </c>
      <c r="O19" s="42">
        <f>ELECT.!S20</f>
        <v>8836</v>
      </c>
      <c r="P19" s="42">
        <f>ELECT.!W20*2</f>
        <v>19946</v>
      </c>
      <c r="Q19" s="42">
        <f>ELECT.!D20</f>
        <v>960</v>
      </c>
      <c r="R19" s="43">
        <f>BTU!C20</f>
        <v>11.56000000000131</v>
      </c>
      <c r="S19" s="43">
        <f>BTU!F20</f>
        <v>1.8809999999998581</v>
      </c>
      <c r="T19" s="43">
        <f>BTU!I20</f>
        <v>7</v>
      </c>
      <c r="U19" s="43">
        <f>BTU!O20</f>
        <v>1.6199999999998909</v>
      </c>
      <c r="V19" s="43">
        <f>BTU!L20</f>
        <v>1.4700000000011642</v>
      </c>
      <c r="W19" s="43">
        <f>BTU!R20</f>
        <v>3.2700000000004366</v>
      </c>
      <c r="X19" s="40">
        <f>ELECT.!B20</f>
        <v>229</v>
      </c>
      <c r="Y19" s="40">
        <f t="shared" si="0"/>
        <v>1303</v>
      </c>
      <c r="Z19">
        <f>'Mall, Citadel, Rotana'!C20+'Mall, Citadel, Rotana'!E20+'Mall, Citadel, Rotana'!G20+'Mall, Citadel, Rotana'!I20</f>
        <v>1222</v>
      </c>
      <c r="AA19">
        <f>'Mall, Citadel, Rotana'!K20+'Mall, Citadel, Rotana'!M20</f>
        <v>320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97.678693400000014</v>
      </c>
      <c r="AE19" s="40">
        <f t="shared" si="2"/>
        <v>643.43430660000001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810</v>
      </c>
      <c r="F20" s="42">
        <f>Water!E21</f>
        <v>0</v>
      </c>
      <c r="G20" s="42">
        <f>Water!G21</f>
        <v>491.4</v>
      </c>
      <c r="H20" s="42">
        <f>Water!I21</f>
        <v>5.9669999999999996</v>
      </c>
      <c r="I20" s="42">
        <f>ELECT.!F21</f>
        <v>10900</v>
      </c>
      <c r="J20" s="42">
        <f>ELECT.!H21</f>
        <v>71517</v>
      </c>
      <c r="K20" s="42">
        <f>ELECT.!K21</f>
        <v>6542</v>
      </c>
      <c r="L20" s="42">
        <f>ELECT.!M21</f>
        <v>5656</v>
      </c>
      <c r="M20" s="42">
        <f>ELECT.!O21</f>
        <v>5068</v>
      </c>
      <c r="N20" s="42">
        <f>ELECT.!Q21</f>
        <v>23599</v>
      </c>
      <c r="O20" s="42">
        <f>ELECT.!S21</f>
        <v>12118</v>
      </c>
      <c r="P20" s="42">
        <f>ELECT.!W21*2</f>
        <v>27356</v>
      </c>
      <c r="Q20" s="42">
        <f>ELECT.!D21</f>
        <v>1280</v>
      </c>
      <c r="R20" s="43">
        <f>BTU!C21</f>
        <v>9.5649999999986903</v>
      </c>
      <c r="S20" s="43">
        <f>BTU!F21</f>
        <v>1.956000000000131</v>
      </c>
      <c r="T20" s="43">
        <f>BTU!I21</f>
        <v>6</v>
      </c>
      <c r="U20" s="43">
        <f>BTU!O21</f>
        <v>1.3440000000000509</v>
      </c>
      <c r="V20" s="43">
        <f>BTU!L21</f>
        <v>0.13999999999941792</v>
      </c>
      <c r="W20" s="43">
        <f>BTU!R21</f>
        <v>3.3299999999999272</v>
      </c>
      <c r="X20" s="40">
        <f>ELECT.!B21</f>
        <v>227</v>
      </c>
      <c r="Y20" s="40">
        <f t="shared" si="0"/>
        <v>2078</v>
      </c>
      <c r="Z20">
        <f>'Mall, Citadel, Rotana'!C21+'Mall, Citadel, Rotana'!E21+'Mall, Citadel, Rotana'!G21+'Mall, Citadel, Rotana'!I21</f>
        <v>1386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80.402349400000006</v>
      </c>
      <c r="AE20" s="40">
        <f t="shared" si="2"/>
        <v>529.63065059999997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1020</v>
      </c>
      <c r="F21" s="42">
        <f>Water!E22</f>
        <v>0</v>
      </c>
      <c r="G21" s="42">
        <f>Water!G22</f>
        <v>623.70000000000005</v>
      </c>
      <c r="H21" s="42">
        <f>Water!I22</f>
        <v>5.319</v>
      </c>
      <c r="I21" s="42">
        <f>ELECT.!F22</f>
        <v>8891</v>
      </c>
      <c r="J21" s="42">
        <f>ELECT.!H22</f>
        <v>43590</v>
      </c>
      <c r="K21" s="42">
        <f>ELECT.!K22</f>
        <v>4423</v>
      </c>
      <c r="L21" s="42">
        <f>ELECT.!M22</f>
        <v>3566</v>
      </c>
      <c r="M21" s="42">
        <f>ELECT.!O22</f>
        <v>5224</v>
      </c>
      <c r="N21" s="42">
        <f>ELECT.!Q22</f>
        <v>13211</v>
      </c>
      <c r="O21" s="42">
        <f>ELECT.!S22</f>
        <v>7700</v>
      </c>
      <c r="P21" s="42">
        <f>ELECT.!W22*2</f>
        <v>17296</v>
      </c>
      <c r="Q21" s="42">
        <f>ELECT.!D22</f>
        <v>640</v>
      </c>
      <c r="R21" s="43">
        <f>BTU!C22</f>
        <v>12.006000000001222</v>
      </c>
      <c r="S21" s="43">
        <f>BTU!F22</f>
        <v>2.9669999999996435</v>
      </c>
      <c r="T21" s="43">
        <f>BTU!I22</f>
        <v>8</v>
      </c>
      <c r="U21" s="43">
        <f>BTU!O22</f>
        <v>1.5979999999999563</v>
      </c>
      <c r="V21" s="43">
        <f>BTU!L22</f>
        <v>2.2700000000004366</v>
      </c>
      <c r="W21" s="43">
        <f>BTU!R22</f>
        <v>1.4899999999997817</v>
      </c>
      <c r="X21" s="40">
        <f>ELECT.!B22</f>
        <v>247</v>
      </c>
      <c r="Y21" s="40">
        <f t="shared" si="0"/>
        <v>1061</v>
      </c>
      <c r="Z21">
        <f>'Mall, Citadel, Rotana'!C22+'Mall, Citadel, Rotana'!E22+'Mall, Citadel, Rotana'!G22+'Mall, Citadel, Rotana'!I22</f>
        <v>1576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0</v>
      </c>
      <c r="AD21" s="40">
        <f t="shared" si="1"/>
        <v>108.1657558</v>
      </c>
      <c r="AE21" s="40">
        <f t="shared" si="2"/>
        <v>712.5152442000001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 t="str">
        <f>ELECT.!F23</f>
        <v>0</v>
      </c>
      <c r="J22" s="42" t="str">
        <f>ELECT.!H23</f>
        <v>0</v>
      </c>
      <c r="K22" s="42" t="str">
        <f>ELECT.!K23</f>
        <v>0</v>
      </c>
      <c r="L22" s="42" t="str">
        <f>ELECT.!M23</f>
        <v>0</v>
      </c>
      <c r="M22" s="42">
        <f>ELECT.!O23</f>
        <v>0</v>
      </c>
      <c r="N22" s="42" t="str">
        <f>ELECT.!Q23</f>
        <v>0</v>
      </c>
      <c r="O22" s="42" t="str">
        <f>ELECT.!S23</f>
        <v>0</v>
      </c>
      <c r="P22" s="42">
        <f>ELECT.!W23*2</f>
        <v>0</v>
      </c>
      <c r="Q22" s="42">
        <f>ELECT.!D23</f>
        <v>0</v>
      </c>
      <c r="R22" s="43" t="str">
        <f>BTU!C23</f>
        <v>0</v>
      </c>
      <c r="S22" s="43" t="str">
        <f>BTU!F23</f>
        <v>0</v>
      </c>
      <c r="T22" s="43" t="str">
        <f>BTU!I23</f>
        <v>0</v>
      </c>
      <c r="U22" s="43" t="str">
        <f>BTU!O23</f>
        <v>0</v>
      </c>
      <c r="V22" s="43" t="str">
        <f>BTU!L23</f>
        <v>0</v>
      </c>
      <c r="W22" s="43" t="str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U22" sqref="U2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v>45918</v>
      </c>
      <c r="C19" s="16">
        <f t="shared" si="0"/>
        <v>800</v>
      </c>
      <c r="D19" s="37">
        <v>39855</v>
      </c>
      <c r="E19" s="16">
        <f t="shared" si="1"/>
        <v>480</v>
      </c>
      <c r="F19" s="37">
        <v>20795</v>
      </c>
      <c r="G19" s="16">
        <f t="shared" si="2"/>
        <v>60</v>
      </c>
      <c r="H19" s="37">
        <v>248388</v>
      </c>
      <c r="I19" s="16">
        <f t="shared" si="3"/>
        <v>58</v>
      </c>
      <c r="J19" s="37">
        <v>303517</v>
      </c>
      <c r="K19" s="16">
        <f t="shared" si="4"/>
        <v>0</v>
      </c>
      <c r="L19" s="37">
        <v>25384</v>
      </c>
      <c r="M19" s="16">
        <f t="shared" si="5"/>
        <v>480</v>
      </c>
      <c r="N19" s="37">
        <v>215891</v>
      </c>
      <c r="O19" s="16">
        <f t="shared" si="6"/>
        <v>4</v>
      </c>
      <c r="P19" s="37">
        <f t="shared" ref="P19:P33" si="12">P18</f>
        <v>122812</v>
      </c>
      <c r="Q19" s="16">
        <f t="shared" si="7"/>
        <v>0</v>
      </c>
      <c r="R19" s="1">
        <v>55047</v>
      </c>
      <c r="S19" s="16">
        <f t="shared" si="8"/>
        <v>0</v>
      </c>
      <c r="T19" s="37">
        <v>3774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44457</v>
      </c>
      <c r="B20" s="37">
        <v>45923</v>
      </c>
      <c r="C20" s="16">
        <f t="shared" si="0"/>
        <v>800</v>
      </c>
      <c r="D20" s="37">
        <v>39857</v>
      </c>
      <c r="E20" s="16">
        <f t="shared" si="1"/>
        <v>320</v>
      </c>
      <c r="F20" s="37">
        <v>20799</v>
      </c>
      <c r="G20" s="16">
        <f t="shared" si="2"/>
        <v>80</v>
      </c>
      <c r="H20" s="37">
        <v>248410</v>
      </c>
      <c r="I20" s="16">
        <f t="shared" si="3"/>
        <v>22</v>
      </c>
      <c r="J20" s="37">
        <v>303517</v>
      </c>
      <c r="K20" s="16">
        <v>0</v>
      </c>
      <c r="L20" s="37">
        <v>25386</v>
      </c>
      <c r="M20" s="16">
        <f t="shared" si="5"/>
        <v>320</v>
      </c>
      <c r="N20" s="37">
        <v>215894</v>
      </c>
      <c r="O20" s="16">
        <f t="shared" si="6"/>
        <v>3</v>
      </c>
      <c r="P20" s="37">
        <f t="shared" si="12"/>
        <v>122812</v>
      </c>
      <c r="Q20" s="16">
        <f>P20-P19</f>
        <v>0</v>
      </c>
      <c r="R20" s="1">
        <v>55047</v>
      </c>
      <c r="S20" s="16">
        <f t="shared" si="8"/>
        <v>0</v>
      </c>
      <c r="T20" s="37">
        <v>3775</v>
      </c>
      <c r="U20" s="16">
        <f t="shared" si="9"/>
        <v>160</v>
      </c>
    </row>
    <row r="21" spans="1:23" ht="13.5" thickBot="1" x14ac:dyDescent="0.25">
      <c r="A21" s="10">
        <v>44458</v>
      </c>
      <c r="B21" s="37">
        <v>45928</v>
      </c>
      <c r="C21" s="16">
        <f t="shared" si="0"/>
        <v>800</v>
      </c>
      <c r="D21" s="37">
        <v>39860</v>
      </c>
      <c r="E21" s="16">
        <f t="shared" si="1"/>
        <v>480</v>
      </c>
      <c r="F21" s="37">
        <v>20802</v>
      </c>
      <c r="G21" s="16">
        <f t="shared" si="2"/>
        <v>60</v>
      </c>
      <c r="H21" s="37">
        <v>248456</v>
      </c>
      <c r="I21" s="16">
        <f t="shared" si="3"/>
        <v>46</v>
      </c>
      <c r="J21" s="37">
        <v>303517</v>
      </c>
      <c r="K21" s="16">
        <f t="shared" si="4"/>
        <v>0</v>
      </c>
      <c r="L21" s="37">
        <v>25390</v>
      </c>
      <c r="M21" s="16">
        <f t="shared" si="5"/>
        <v>640</v>
      </c>
      <c r="N21" s="37">
        <v>215897</v>
      </c>
      <c r="O21" s="16">
        <f t="shared" si="6"/>
        <v>3</v>
      </c>
      <c r="P21" s="37">
        <f t="shared" si="12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v>3776</v>
      </c>
      <c r="U21" s="16">
        <f t="shared" si="9"/>
        <v>160</v>
      </c>
    </row>
    <row r="22" spans="1:23" ht="13.5" thickBot="1" x14ac:dyDescent="0.25">
      <c r="A22" s="10">
        <v>44459</v>
      </c>
      <c r="B22" s="37">
        <v>45934</v>
      </c>
      <c r="C22" s="16">
        <f t="shared" si="0"/>
        <v>960</v>
      </c>
      <c r="D22" s="37">
        <v>39863</v>
      </c>
      <c r="E22" s="16">
        <f t="shared" si="1"/>
        <v>480</v>
      </c>
      <c r="F22" s="37">
        <v>20806</v>
      </c>
      <c r="G22" s="16">
        <f t="shared" si="2"/>
        <v>80</v>
      </c>
      <c r="H22" s="37">
        <v>248512</v>
      </c>
      <c r="I22" s="16">
        <f t="shared" si="3"/>
        <v>56</v>
      </c>
      <c r="J22" s="37">
        <f t="shared" si="11"/>
        <v>303517</v>
      </c>
      <c r="K22" s="16">
        <f t="shared" si="4"/>
        <v>0</v>
      </c>
      <c r="L22" s="37">
        <v>25394</v>
      </c>
      <c r="M22" s="16">
        <f t="shared" si="5"/>
        <v>640</v>
      </c>
      <c r="N22" s="37">
        <v>215901</v>
      </c>
      <c r="O22" s="16">
        <f t="shared" si="6"/>
        <v>4</v>
      </c>
      <c r="P22" s="37">
        <f t="shared" si="12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v>3777</v>
      </c>
      <c r="U22" s="16">
        <f t="shared" si="9"/>
        <v>160</v>
      </c>
    </row>
    <row r="23" spans="1:23" ht="13.5" thickBot="1" x14ac:dyDescent="0.25">
      <c r="A23" s="10">
        <v>44460</v>
      </c>
      <c r="B23" s="37">
        <f t="shared" ref="B22:B33" si="13">B22</f>
        <v>45934</v>
      </c>
      <c r="C23" s="16">
        <f t="shared" si="0"/>
        <v>0</v>
      </c>
      <c r="D23" s="37">
        <f t="shared" ref="D22:D33" si="14">D22</f>
        <v>39863</v>
      </c>
      <c r="E23" s="16">
        <f t="shared" si="1"/>
        <v>0</v>
      </c>
      <c r="F23" s="37">
        <f t="shared" ref="F22:F33" si="15">F22</f>
        <v>20806</v>
      </c>
      <c r="G23" s="16">
        <f t="shared" si="2"/>
        <v>0</v>
      </c>
      <c r="H23" s="37">
        <f t="shared" ref="H22:H33" si="16">H22</f>
        <v>248512</v>
      </c>
      <c r="I23" s="16">
        <f t="shared" si="3"/>
        <v>0</v>
      </c>
      <c r="J23" s="37">
        <f t="shared" si="11"/>
        <v>303517</v>
      </c>
      <c r="K23" s="16">
        <f t="shared" si="4"/>
        <v>0</v>
      </c>
      <c r="L23" s="37">
        <f t="shared" ref="L22:L33" si="17">L22</f>
        <v>25394</v>
      </c>
      <c r="M23" s="16">
        <f t="shared" si="5"/>
        <v>0</v>
      </c>
      <c r="N23" s="37">
        <f t="shared" ref="N22:N33" si="18">N22</f>
        <v>215901</v>
      </c>
      <c r="O23" s="16">
        <f t="shared" si="6"/>
        <v>0</v>
      </c>
      <c r="P23" s="37">
        <f t="shared" si="12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f t="shared" ref="T22:T33" si="19">T22</f>
        <v>3777</v>
      </c>
      <c r="U23" s="16">
        <f t="shared" si="9"/>
        <v>0</v>
      </c>
    </row>
    <row r="24" spans="1:23" s="138" customFormat="1" ht="13.5" thickBot="1" x14ac:dyDescent="0.25">
      <c r="A24" s="10">
        <v>44461</v>
      </c>
      <c r="B24" s="37">
        <f t="shared" si="13"/>
        <v>45934</v>
      </c>
      <c r="C24" s="16">
        <f t="shared" si="0"/>
        <v>0</v>
      </c>
      <c r="D24" s="37">
        <f t="shared" si="14"/>
        <v>39863</v>
      </c>
      <c r="E24" s="16">
        <f t="shared" si="1"/>
        <v>0</v>
      </c>
      <c r="F24" s="37">
        <f t="shared" si="15"/>
        <v>20806</v>
      </c>
      <c r="G24" s="16">
        <f t="shared" si="2"/>
        <v>0</v>
      </c>
      <c r="H24" s="37">
        <f t="shared" si="16"/>
        <v>248512</v>
      </c>
      <c r="I24" s="16">
        <f t="shared" si="3"/>
        <v>0</v>
      </c>
      <c r="J24" s="37">
        <f t="shared" si="11"/>
        <v>303517</v>
      </c>
      <c r="K24" s="16">
        <f t="shared" si="4"/>
        <v>0</v>
      </c>
      <c r="L24" s="37">
        <f t="shared" si="17"/>
        <v>25394</v>
      </c>
      <c r="M24" s="16">
        <f t="shared" si="5"/>
        <v>0</v>
      </c>
      <c r="N24" s="37">
        <f t="shared" si="18"/>
        <v>215901</v>
      </c>
      <c r="O24" s="16">
        <f t="shared" si="6"/>
        <v>0</v>
      </c>
      <c r="P24" s="37">
        <f t="shared" si="12"/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si="19"/>
        <v>3777</v>
      </c>
      <c r="U24" s="16">
        <f t="shared" si="9"/>
        <v>0</v>
      </c>
    </row>
    <row r="25" spans="1:23" ht="13.5" thickBot="1" x14ac:dyDescent="0.25">
      <c r="A25" s="10">
        <v>44462</v>
      </c>
      <c r="B25" s="37">
        <f t="shared" si="13"/>
        <v>45934</v>
      </c>
      <c r="C25" s="16">
        <f t="shared" si="0"/>
        <v>0</v>
      </c>
      <c r="D25" s="37">
        <f t="shared" si="14"/>
        <v>39863</v>
      </c>
      <c r="E25" s="16">
        <f t="shared" si="1"/>
        <v>0</v>
      </c>
      <c r="F25" s="37">
        <f t="shared" si="15"/>
        <v>20806</v>
      </c>
      <c r="G25" s="16">
        <f t="shared" si="2"/>
        <v>0</v>
      </c>
      <c r="H25" s="37">
        <f t="shared" si="16"/>
        <v>248512</v>
      </c>
      <c r="I25" s="16">
        <f t="shared" si="3"/>
        <v>0</v>
      </c>
      <c r="J25" s="37">
        <f t="shared" si="11"/>
        <v>303517</v>
      </c>
      <c r="K25" s="16">
        <f t="shared" si="4"/>
        <v>0</v>
      </c>
      <c r="L25" s="37">
        <f t="shared" si="17"/>
        <v>25394</v>
      </c>
      <c r="M25" s="16">
        <f t="shared" si="5"/>
        <v>0</v>
      </c>
      <c r="N25" s="37">
        <f t="shared" si="18"/>
        <v>215901</v>
      </c>
      <c r="O25" s="16">
        <f t="shared" si="6"/>
        <v>0</v>
      </c>
      <c r="P25" s="37">
        <f t="shared" si="12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9"/>
        <v>3777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f t="shared" si="13"/>
        <v>45934</v>
      </c>
      <c r="C26" s="16">
        <f t="shared" si="0"/>
        <v>0</v>
      </c>
      <c r="D26" s="37">
        <f t="shared" si="14"/>
        <v>39863</v>
      </c>
      <c r="E26" s="16">
        <f t="shared" si="1"/>
        <v>0</v>
      </c>
      <c r="F26" s="37">
        <f t="shared" si="15"/>
        <v>20806</v>
      </c>
      <c r="G26" s="16">
        <f t="shared" si="2"/>
        <v>0</v>
      </c>
      <c r="H26" s="37">
        <f t="shared" si="16"/>
        <v>248512</v>
      </c>
      <c r="I26" s="16">
        <f t="shared" si="3"/>
        <v>0</v>
      </c>
      <c r="J26" s="37">
        <f t="shared" si="11"/>
        <v>303517</v>
      </c>
      <c r="K26" s="16">
        <f t="shared" si="4"/>
        <v>0</v>
      </c>
      <c r="L26" s="37">
        <f t="shared" si="17"/>
        <v>25394</v>
      </c>
      <c r="M26" s="16">
        <f t="shared" si="5"/>
        <v>0</v>
      </c>
      <c r="N26" s="37">
        <f t="shared" si="18"/>
        <v>215901</v>
      </c>
      <c r="O26" s="16">
        <f t="shared" si="6"/>
        <v>0</v>
      </c>
      <c r="P26" s="37">
        <f t="shared" si="12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9"/>
        <v>3777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f t="shared" si="13"/>
        <v>45934</v>
      </c>
      <c r="C27" s="16">
        <f t="shared" si="0"/>
        <v>0</v>
      </c>
      <c r="D27" s="37">
        <f t="shared" si="14"/>
        <v>39863</v>
      </c>
      <c r="E27" s="16">
        <f t="shared" si="1"/>
        <v>0</v>
      </c>
      <c r="F27" s="37">
        <f t="shared" si="15"/>
        <v>20806</v>
      </c>
      <c r="G27" s="16">
        <f t="shared" si="2"/>
        <v>0</v>
      </c>
      <c r="H27" s="37">
        <f t="shared" si="16"/>
        <v>248512</v>
      </c>
      <c r="I27" s="16">
        <f t="shared" si="3"/>
        <v>0</v>
      </c>
      <c r="J27" s="37">
        <f t="shared" si="11"/>
        <v>303517</v>
      </c>
      <c r="K27" s="16">
        <f t="shared" si="4"/>
        <v>0</v>
      </c>
      <c r="L27" s="37">
        <f t="shared" si="17"/>
        <v>25394</v>
      </c>
      <c r="M27" s="16">
        <f t="shared" si="5"/>
        <v>0</v>
      </c>
      <c r="N27" s="37">
        <f t="shared" si="18"/>
        <v>215901</v>
      </c>
      <c r="O27" s="16">
        <f t="shared" si="6"/>
        <v>0</v>
      </c>
      <c r="P27" s="37">
        <f t="shared" si="12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9"/>
        <v>3777</v>
      </c>
      <c r="U27" s="16">
        <f t="shared" si="9"/>
        <v>0</v>
      </c>
    </row>
    <row r="28" spans="1:23" ht="13.5" thickBot="1" x14ac:dyDescent="0.25">
      <c r="A28" s="10">
        <v>44465</v>
      </c>
      <c r="B28" s="37">
        <f t="shared" si="13"/>
        <v>45934</v>
      </c>
      <c r="C28" s="16">
        <f t="shared" si="0"/>
        <v>0</v>
      </c>
      <c r="D28" s="37">
        <f t="shared" si="14"/>
        <v>39863</v>
      </c>
      <c r="E28" s="16">
        <f t="shared" si="1"/>
        <v>0</v>
      </c>
      <c r="F28" s="37">
        <f t="shared" si="15"/>
        <v>20806</v>
      </c>
      <c r="G28" s="16">
        <f t="shared" si="2"/>
        <v>0</v>
      </c>
      <c r="H28" s="37">
        <f t="shared" si="16"/>
        <v>248512</v>
      </c>
      <c r="I28" s="16">
        <f t="shared" si="3"/>
        <v>0</v>
      </c>
      <c r="J28" s="37">
        <f t="shared" si="11"/>
        <v>303517</v>
      </c>
      <c r="K28" s="16">
        <f t="shared" si="4"/>
        <v>0</v>
      </c>
      <c r="L28" s="37">
        <f t="shared" si="17"/>
        <v>25394</v>
      </c>
      <c r="M28" s="16">
        <f t="shared" si="5"/>
        <v>0</v>
      </c>
      <c r="N28" s="37">
        <f t="shared" si="18"/>
        <v>215901</v>
      </c>
      <c r="O28" s="16">
        <f t="shared" si="6"/>
        <v>0</v>
      </c>
      <c r="P28" s="37">
        <f t="shared" si="12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9"/>
        <v>3777</v>
      </c>
      <c r="U28" s="16">
        <f t="shared" si="9"/>
        <v>0</v>
      </c>
    </row>
    <row r="29" spans="1:23" ht="13.5" thickBot="1" x14ac:dyDescent="0.25">
      <c r="A29" s="10">
        <v>44466</v>
      </c>
      <c r="B29" s="37">
        <f t="shared" si="13"/>
        <v>45934</v>
      </c>
      <c r="C29" s="16">
        <f t="shared" si="0"/>
        <v>0</v>
      </c>
      <c r="D29" s="37">
        <f t="shared" si="14"/>
        <v>39863</v>
      </c>
      <c r="E29" s="16">
        <f t="shared" si="1"/>
        <v>0</v>
      </c>
      <c r="F29" s="37">
        <f t="shared" si="15"/>
        <v>20806</v>
      </c>
      <c r="G29" s="16">
        <f t="shared" si="2"/>
        <v>0</v>
      </c>
      <c r="H29" s="37">
        <f t="shared" si="16"/>
        <v>248512</v>
      </c>
      <c r="I29" s="16">
        <f t="shared" si="3"/>
        <v>0</v>
      </c>
      <c r="J29" s="37">
        <f t="shared" si="11"/>
        <v>303517</v>
      </c>
      <c r="K29" s="16">
        <f t="shared" si="4"/>
        <v>0</v>
      </c>
      <c r="L29" s="37">
        <f t="shared" si="17"/>
        <v>25394</v>
      </c>
      <c r="M29" s="16">
        <f t="shared" si="5"/>
        <v>0</v>
      </c>
      <c r="N29" s="37">
        <f t="shared" si="18"/>
        <v>215901</v>
      </c>
      <c r="O29" s="16">
        <f t="shared" si="6"/>
        <v>0</v>
      </c>
      <c r="P29" s="37">
        <f t="shared" si="12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9"/>
        <v>3777</v>
      </c>
      <c r="U29" s="16">
        <f t="shared" si="9"/>
        <v>0</v>
      </c>
    </row>
    <row r="30" spans="1:23" ht="13.5" thickBot="1" x14ac:dyDescent="0.25">
      <c r="A30" s="10">
        <v>44467</v>
      </c>
      <c r="B30" s="37">
        <f t="shared" si="13"/>
        <v>45934</v>
      </c>
      <c r="C30" s="16">
        <f t="shared" si="0"/>
        <v>0</v>
      </c>
      <c r="D30" s="37">
        <f t="shared" si="14"/>
        <v>39863</v>
      </c>
      <c r="E30" s="16">
        <f t="shared" si="1"/>
        <v>0</v>
      </c>
      <c r="F30" s="37">
        <f t="shared" si="15"/>
        <v>20806</v>
      </c>
      <c r="G30" s="16">
        <f t="shared" si="2"/>
        <v>0</v>
      </c>
      <c r="H30" s="37">
        <f t="shared" si="16"/>
        <v>248512</v>
      </c>
      <c r="I30" s="16">
        <f t="shared" si="3"/>
        <v>0</v>
      </c>
      <c r="J30" s="37">
        <f t="shared" si="11"/>
        <v>303517</v>
      </c>
      <c r="K30" s="16">
        <f t="shared" si="4"/>
        <v>0</v>
      </c>
      <c r="L30" s="37">
        <f t="shared" si="17"/>
        <v>25394</v>
      </c>
      <c r="M30" s="16">
        <f t="shared" si="5"/>
        <v>0</v>
      </c>
      <c r="N30" s="37">
        <f t="shared" si="18"/>
        <v>215901</v>
      </c>
      <c r="O30" s="16">
        <f t="shared" si="6"/>
        <v>0</v>
      </c>
      <c r="P30" s="37">
        <f t="shared" si="12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9"/>
        <v>3777</v>
      </c>
      <c r="U30" s="16">
        <f t="shared" si="9"/>
        <v>0</v>
      </c>
    </row>
    <row r="31" spans="1:23" ht="13.5" thickBot="1" x14ac:dyDescent="0.25">
      <c r="A31" s="10">
        <v>44468</v>
      </c>
      <c r="B31" s="37">
        <f t="shared" si="13"/>
        <v>45934</v>
      </c>
      <c r="C31" s="16">
        <f t="shared" si="0"/>
        <v>0</v>
      </c>
      <c r="D31" s="37">
        <f t="shared" si="14"/>
        <v>39863</v>
      </c>
      <c r="E31" s="16">
        <f t="shared" si="1"/>
        <v>0</v>
      </c>
      <c r="F31" s="37">
        <f t="shared" si="15"/>
        <v>20806</v>
      </c>
      <c r="G31" s="16">
        <f t="shared" si="2"/>
        <v>0</v>
      </c>
      <c r="H31" s="37">
        <f t="shared" si="16"/>
        <v>248512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si="17"/>
        <v>25394</v>
      </c>
      <c r="M31" s="16">
        <f t="shared" si="5"/>
        <v>0</v>
      </c>
      <c r="N31" s="37">
        <f t="shared" si="18"/>
        <v>215901</v>
      </c>
      <c r="O31" s="16">
        <f t="shared" si="6"/>
        <v>0</v>
      </c>
      <c r="P31" s="37">
        <f t="shared" si="12"/>
        <v>122812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9"/>
        <v>3777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3"/>
        <v>45934</v>
      </c>
      <c r="C32" s="16">
        <f t="shared" si="0"/>
        <v>0</v>
      </c>
      <c r="D32" s="37">
        <f t="shared" si="14"/>
        <v>39863</v>
      </c>
      <c r="E32" s="16">
        <f t="shared" si="1"/>
        <v>0</v>
      </c>
      <c r="F32" s="37">
        <f t="shared" si="15"/>
        <v>20806</v>
      </c>
      <c r="G32" s="16">
        <f t="shared" si="2"/>
        <v>0</v>
      </c>
      <c r="H32" s="37">
        <f t="shared" si="16"/>
        <v>248512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7"/>
        <v>25394</v>
      </c>
      <c r="M32" s="16">
        <f t="shared" si="5"/>
        <v>0</v>
      </c>
      <c r="N32" s="37">
        <f t="shared" si="18"/>
        <v>215901</v>
      </c>
      <c r="O32" s="16">
        <f t="shared" si="6"/>
        <v>0</v>
      </c>
      <c r="P32" s="37">
        <f t="shared" si="12"/>
        <v>122812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3777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3"/>
        <v>45934</v>
      </c>
      <c r="C33" s="16">
        <f t="shared" si="0"/>
        <v>0</v>
      </c>
      <c r="D33" s="37">
        <f t="shared" si="14"/>
        <v>39863</v>
      </c>
      <c r="E33" s="16">
        <f t="shared" si="1"/>
        <v>0</v>
      </c>
      <c r="F33" s="37">
        <f t="shared" si="15"/>
        <v>20806</v>
      </c>
      <c r="G33" s="16">
        <f t="shared" si="2"/>
        <v>0</v>
      </c>
      <c r="H33" s="37">
        <f t="shared" si="16"/>
        <v>248512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7"/>
        <v>25394</v>
      </c>
      <c r="M33" s="16">
        <f t="shared" si="5"/>
        <v>0</v>
      </c>
      <c r="N33" s="37">
        <f t="shared" si="18"/>
        <v>215901</v>
      </c>
      <c r="O33" s="16">
        <f t="shared" si="6"/>
        <v>0</v>
      </c>
      <c r="P33" s="37">
        <f t="shared" si="12"/>
        <v>122812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9"/>
        <v>3777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17120</v>
      </c>
      <c r="D34" s="13"/>
      <c r="E34" s="11">
        <f>SUM(E3:E33)</f>
        <v>9280</v>
      </c>
      <c r="F34" s="13"/>
      <c r="G34" s="11">
        <f>SUM(G3:G33)</f>
        <v>1420</v>
      </c>
      <c r="H34" s="13"/>
      <c r="I34" s="11">
        <f>SUM(I3:I33)</f>
        <v>782</v>
      </c>
      <c r="J34" s="13"/>
      <c r="K34" s="11">
        <f>SUM(K3:K33)</f>
        <v>0</v>
      </c>
      <c r="L34" s="13"/>
      <c r="M34" s="11">
        <f>SUM(M3:M33)</f>
        <v>11680</v>
      </c>
      <c r="N34" s="38"/>
      <c r="O34" s="11">
        <f>SUM(O3:O33)</f>
        <v>65</v>
      </c>
      <c r="P34" s="13"/>
      <c r="Q34" s="11">
        <f>SUM(Q3:Q33)</f>
        <v>2319</v>
      </c>
      <c r="R34" s="1"/>
      <c r="S34" s="11">
        <f>SUM(S3:S33)</f>
        <v>0</v>
      </c>
      <c r="T34" s="1"/>
      <c r="U34" s="11">
        <f>SUM(U3:U33)</f>
        <v>3360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opLeftCell="K1" zoomScaleNormal="100" zoomScaleSheetLayoutView="110" workbookViewId="0">
      <pane ySplit="1" topLeftCell="A2" activePane="bottomLeft" state="frozen"/>
      <selection pane="bottomLeft" activeCell="AC22" sqref="AC2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>
        <v>263</v>
      </c>
      <c r="C19" s="152">
        <v>18851</v>
      </c>
      <c r="D19" s="44">
        <f t="shared" si="0"/>
        <v>800</v>
      </c>
      <c r="E19" s="153">
        <v>27986003</v>
      </c>
      <c r="F19" s="44">
        <f t="shared" si="1"/>
        <v>13308</v>
      </c>
      <c r="G19" s="154">
        <v>88544363</v>
      </c>
      <c r="H19" s="44">
        <f t="shared" si="2"/>
        <v>58621</v>
      </c>
      <c r="I19" s="159">
        <f t="shared" si="3"/>
        <v>71929</v>
      </c>
      <c r="J19" s="153">
        <v>8705881</v>
      </c>
      <c r="K19" s="44">
        <f t="shared" si="4"/>
        <v>5805</v>
      </c>
      <c r="L19" s="156">
        <v>8663296</v>
      </c>
      <c r="M19" s="135">
        <f t="shared" si="5"/>
        <v>4687</v>
      </c>
      <c r="N19" s="153">
        <v>5825673</v>
      </c>
      <c r="O19" s="135">
        <f t="shared" si="12"/>
        <v>8426</v>
      </c>
      <c r="P19" s="156">
        <v>4909866</v>
      </c>
      <c r="Q19" s="135">
        <f t="shared" si="6"/>
        <v>14936</v>
      </c>
      <c r="R19" s="153">
        <v>18693144</v>
      </c>
      <c r="S19" s="135">
        <f t="shared" si="7"/>
        <v>10985</v>
      </c>
      <c r="T19" s="160">
        <v>0</v>
      </c>
      <c r="U19" s="157"/>
      <c r="V19" s="153">
        <v>6483936</v>
      </c>
      <c r="W19" s="135">
        <f t="shared" si="8"/>
        <v>12571</v>
      </c>
      <c r="X19" s="22">
        <f t="shared" si="9"/>
        <v>57410</v>
      </c>
      <c r="Y19" s="161">
        <f t="shared" si="10"/>
        <v>14519</v>
      </c>
      <c r="Z19" s="162">
        <f t="shared" si="11"/>
        <v>9099.4692671999983</v>
      </c>
      <c r="AA19" s="162">
        <f t="shared" si="13"/>
        <v>35550.460961599994</v>
      </c>
    </row>
    <row r="20" spans="1:27" s="136" customFormat="1" ht="16.5" thickBot="1" x14ac:dyDescent="0.3">
      <c r="A20" s="10">
        <v>44457</v>
      </c>
      <c r="B20" s="135">
        <v>229</v>
      </c>
      <c r="C20" s="152">
        <v>18857</v>
      </c>
      <c r="D20" s="44">
        <f t="shared" si="0"/>
        <v>960</v>
      </c>
      <c r="E20" s="153">
        <v>27993978</v>
      </c>
      <c r="F20" s="44">
        <f t="shared" si="1"/>
        <v>7975</v>
      </c>
      <c r="G20" s="154">
        <v>88596275</v>
      </c>
      <c r="H20" s="44">
        <f t="shared" si="2"/>
        <v>51912</v>
      </c>
      <c r="I20" s="159">
        <f t="shared" si="3"/>
        <v>59887</v>
      </c>
      <c r="J20" s="153">
        <v>8710818</v>
      </c>
      <c r="K20" s="44">
        <f t="shared" si="4"/>
        <v>4937</v>
      </c>
      <c r="L20" s="156">
        <v>8667454</v>
      </c>
      <c r="M20" s="135">
        <f t="shared" si="5"/>
        <v>4158</v>
      </c>
      <c r="N20" s="153">
        <v>5827528</v>
      </c>
      <c r="O20" s="135">
        <f t="shared" si="12"/>
        <v>3710</v>
      </c>
      <c r="P20" s="156">
        <v>4926863</v>
      </c>
      <c r="Q20" s="135">
        <f t="shared" si="6"/>
        <v>16997</v>
      </c>
      <c r="R20" s="153">
        <v>18701980</v>
      </c>
      <c r="S20" s="135">
        <f t="shared" si="7"/>
        <v>8836</v>
      </c>
      <c r="T20" s="160">
        <v>0</v>
      </c>
      <c r="U20" s="157"/>
      <c r="V20" s="153">
        <v>6493909</v>
      </c>
      <c r="W20" s="135">
        <f t="shared" si="8"/>
        <v>9973</v>
      </c>
      <c r="X20" s="22">
        <f t="shared" si="9"/>
        <v>48611</v>
      </c>
      <c r="Y20" s="161">
        <f t="shared" si="10"/>
        <v>11276</v>
      </c>
      <c r="Z20" s="162">
        <f t="shared" si="11"/>
        <v>7562.9411727999995</v>
      </c>
      <c r="AA20" s="162">
        <f t="shared" si="13"/>
        <v>35709.505020799996</v>
      </c>
    </row>
    <row r="21" spans="1:27" s="136" customFormat="1" ht="16.5" thickBot="1" x14ac:dyDescent="0.3">
      <c r="A21" s="10">
        <v>44458</v>
      </c>
      <c r="B21" s="135">
        <v>227</v>
      </c>
      <c r="C21" s="152">
        <v>18865</v>
      </c>
      <c r="D21" s="44">
        <f t="shared" si="0"/>
        <v>1280</v>
      </c>
      <c r="E21" s="153">
        <v>28004878</v>
      </c>
      <c r="F21" s="44">
        <f t="shared" si="1"/>
        <v>10900</v>
      </c>
      <c r="G21" s="154">
        <v>88667792</v>
      </c>
      <c r="H21" s="44">
        <f t="shared" si="2"/>
        <v>71517</v>
      </c>
      <c r="I21" s="159">
        <f t="shared" si="3"/>
        <v>82417</v>
      </c>
      <c r="J21" s="153">
        <v>8717360</v>
      </c>
      <c r="K21" s="44">
        <f t="shared" si="4"/>
        <v>6542</v>
      </c>
      <c r="L21" s="156">
        <v>8673110</v>
      </c>
      <c r="M21" s="135">
        <f t="shared" si="5"/>
        <v>5656</v>
      </c>
      <c r="N21" s="153">
        <v>5830062</v>
      </c>
      <c r="O21" s="135">
        <f t="shared" si="12"/>
        <v>5068</v>
      </c>
      <c r="P21" s="156">
        <v>4950462</v>
      </c>
      <c r="Q21" s="135">
        <f t="shared" si="6"/>
        <v>23599</v>
      </c>
      <c r="R21" s="153">
        <v>18714098</v>
      </c>
      <c r="S21" s="135">
        <f t="shared" si="7"/>
        <v>12118</v>
      </c>
      <c r="T21" s="160">
        <v>0</v>
      </c>
      <c r="U21" s="157"/>
      <c r="V21" s="153">
        <v>6507587</v>
      </c>
      <c r="W21" s="135">
        <f t="shared" si="8"/>
        <v>13678</v>
      </c>
      <c r="X21" s="22">
        <f t="shared" si="9"/>
        <v>66661</v>
      </c>
      <c r="Y21" s="161">
        <f t="shared" si="10"/>
        <v>15756</v>
      </c>
      <c r="Z21" s="162">
        <f t="shared" si="11"/>
        <v>10411.145555200001</v>
      </c>
      <c r="AA21" s="162">
        <f t="shared" si="13"/>
        <v>38218.809012800004</v>
      </c>
    </row>
    <row r="22" spans="1:27" ht="16.5" thickBot="1" x14ac:dyDescent="0.3">
      <c r="A22" s="10">
        <v>44459</v>
      </c>
      <c r="B22" s="44">
        <v>247</v>
      </c>
      <c r="C22" s="152">
        <v>18869</v>
      </c>
      <c r="D22" s="44">
        <f t="shared" si="0"/>
        <v>640</v>
      </c>
      <c r="E22" s="153">
        <v>28013769</v>
      </c>
      <c r="F22" s="44">
        <f t="shared" si="1"/>
        <v>8891</v>
      </c>
      <c r="G22" s="154">
        <v>88711382</v>
      </c>
      <c r="H22" s="44">
        <f t="shared" si="2"/>
        <v>43590</v>
      </c>
      <c r="I22" s="155">
        <f t="shared" si="3"/>
        <v>52481</v>
      </c>
      <c r="J22" s="153">
        <v>8721783</v>
      </c>
      <c r="K22" s="44">
        <f t="shared" si="4"/>
        <v>4423</v>
      </c>
      <c r="L22" s="156">
        <v>8676676</v>
      </c>
      <c r="M22" s="44">
        <f t="shared" si="5"/>
        <v>3566</v>
      </c>
      <c r="N22" s="153">
        <v>5832674</v>
      </c>
      <c r="O22" s="44">
        <f t="shared" si="12"/>
        <v>5224</v>
      </c>
      <c r="P22" s="156">
        <v>4963673</v>
      </c>
      <c r="Q22" s="44">
        <f t="shared" si="6"/>
        <v>13211</v>
      </c>
      <c r="R22" s="153">
        <v>18721798</v>
      </c>
      <c r="S22" s="44">
        <f t="shared" si="7"/>
        <v>7700</v>
      </c>
      <c r="T22" s="153">
        <v>0</v>
      </c>
      <c r="U22" s="157"/>
      <c r="V22" s="153">
        <v>6516235</v>
      </c>
      <c r="W22" s="44">
        <f t="shared" si="8"/>
        <v>8648</v>
      </c>
      <c r="X22" s="22">
        <f t="shared" si="9"/>
        <v>42772</v>
      </c>
      <c r="Y22" s="158">
        <f t="shared" si="10"/>
        <v>9709</v>
      </c>
      <c r="Z22" s="3">
        <f t="shared" si="11"/>
        <v>6636.7061696000001</v>
      </c>
      <c r="AA22" s="3">
        <f t="shared" si="13"/>
        <v>33710.262164799999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 t="str">
        <f t="shared" si="1"/>
        <v>0</v>
      </c>
      <c r="G23" s="154"/>
      <c r="H23" s="44" t="str">
        <f t="shared" si="2"/>
        <v>0</v>
      </c>
      <c r="I23" s="155">
        <f t="shared" si="3"/>
        <v>0</v>
      </c>
      <c r="J23" s="153"/>
      <c r="K23" s="44" t="str">
        <f t="shared" si="4"/>
        <v>0</v>
      </c>
      <c r="L23" s="156"/>
      <c r="M23" s="44" t="str">
        <f t="shared" si="5"/>
        <v>0</v>
      </c>
      <c r="N23" s="153"/>
      <c r="O23" s="44">
        <f t="shared" si="12"/>
        <v>0</v>
      </c>
      <c r="P23" s="156"/>
      <c r="Q23" s="44" t="str">
        <f t="shared" si="6"/>
        <v>0</v>
      </c>
      <c r="R23" s="153"/>
      <c r="S23" s="44" t="str">
        <f t="shared" si="7"/>
        <v>0</v>
      </c>
      <c r="T23" s="153">
        <v>0</v>
      </c>
      <c r="U23" s="157"/>
      <c r="V23" s="153"/>
      <c r="W23" s="44" t="str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24610.792897600004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17047.851724799999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6636.7061696000001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3745</v>
      </c>
      <c r="C34" s="144"/>
      <c r="D34" s="144">
        <f>SUM(D2:D33)</f>
        <v>19680</v>
      </c>
      <c r="E34" s="61">
        <v>0</v>
      </c>
      <c r="F34" s="61">
        <f>SUM(F2:F33)</f>
        <v>308081</v>
      </c>
      <c r="G34" s="61">
        <v>0</v>
      </c>
      <c r="H34" s="61">
        <f>SUM(H2:H33)</f>
        <v>1112540</v>
      </c>
      <c r="I34" s="61">
        <f>SUM(I5:I33)</f>
        <v>1256382</v>
      </c>
      <c r="J34" s="61">
        <v>0</v>
      </c>
      <c r="K34" s="61">
        <f>SUM(K2:K33)</f>
        <v>113664</v>
      </c>
      <c r="L34" s="61">
        <v>0</v>
      </c>
      <c r="M34" s="61">
        <f>SUM(M2:M33)</f>
        <v>106924</v>
      </c>
      <c r="N34" s="61">
        <v>0</v>
      </c>
      <c r="O34" s="61">
        <f>SUM(O2:O33)</f>
        <v>197662</v>
      </c>
      <c r="P34" s="61">
        <v>0</v>
      </c>
      <c r="Q34" s="61">
        <f>SUM(Q2:Q33)</f>
        <v>277082</v>
      </c>
      <c r="R34" s="61">
        <v>0</v>
      </c>
      <c r="S34" s="61">
        <f>SUM(S2:S33)</f>
        <v>213594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238547</v>
      </c>
      <c r="X34" s="61">
        <f>SUM(X5:X33)</f>
        <v>1012806</v>
      </c>
      <c r="Y34" s="61">
        <f>SUM(Y2:Y33)</f>
        <v>273148</v>
      </c>
      <c r="Z34" s="61">
        <f>SUM(Z2:Z33)</f>
        <v>178469.23263519999</v>
      </c>
      <c r="AA34" s="61">
        <f>SUM(AA2:AA33)</f>
        <v>703962.21561119996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2" sqref="J2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>
        <v>425170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5520000</v>
      </c>
      <c r="G19" s="44">
        <f t="shared" si="4"/>
        <v>526.5</v>
      </c>
      <c r="H19" s="3">
        <v>747667</v>
      </c>
      <c r="I19" s="49">
        <f t="shared" si="5"/>
        <v>4.0229999999999997</v>
      </c>
      <c r="J19" s="22">
        <f t="shared" si="2"/>
        <v>1610.5229999999999</v>
      </c>
      <c r="K19" s="23">
        <f t="shared" si="3"/>
        <v>9437.6647799999992</v>
      </c>
      <c r="Q19" t="s">
        <v>12</v>
      </c>
    </row>
    <row r="20" spans="1:25" ht="16.5" thickBot="1" x14ac:dyDescent="0.3">
      <c r="A20" s="10">
        <v>44457</v>
      </c>
      <c r="B20" s="3">
        <v>425264</v>
      </c>
      <c r="C20" s="44">
        <f t="shared" si="6"/>
        <v>940</v>
      </c>
      <c r="D20" s="3">
        <v>4377000</v>
      </c>
      <c r="E20" s="44">
        <f t="shared" si="1"/>
        <v>0</v>
      </c>
      <c r="F20" s="3">
        <v>5537800</v>
      </c>
      <c r="G20" s="44">
        <f t="shared" si="4"/>
        <v>480.6</v>
      </c>
      <c r="H20" s="3">
        <v>747848</v>
      </c>
      <c r="I20" s="49">
        <f t="shared" si="5"/>
        <v>4.8869999999999996</v>
      </c>
      <c r="J20" s="22">
        <f t="shared" si="2"/>
        <v>1425.4869999999999</v>
      </c>
      <c r="K20" s="23">
        <f t="shared" si="3"/>
        <v>8353.3538200000003</v>
      </c>
    </row>
    <row r="21" spans="1:25" ht="16.5" thickBot="1" x14ac:dyDescent="0.3">
      <c r="A21" s="10">
        <v>44458</v>
      </c>
      <c r="B21" s="3">
        <v>425345</v>
      </c>
      <c r="C21" s="44">
        <f t="shared" si="6"/>
        <v>810</v>
      </c>
      <c r="D21" s="3">
        <v>4377000</v>
      </c>
      <c r="E21" s="44">
        <f t="shared" si="1"/>
        <v>0</v>
      </c>
      <c r="F21" s="3">
        <v>5556000</v>
      </c>
      <c r="G21" s="44">
        <f t="shared" si="4"/>
        <v>491.4</v>
      </c>
      <c r="H21" s="3">
        <v>748069</v>
      </c>
      <c r="I21" s="49">
        <f t="shared" si="5"/>
        <v>5.9669999999999996</v>
      </c>
      <c r="J21" s="22">
        <f t="shared" si="2"/>
        <v>1307.3670000000002</v>
      </c>
      <c r="K21" s="23">
        <f t="shared" si="3"/>
        <v>7661.1706200000017</v>
      </c>
    </row>
    <row r="22" spans="1:25" ht="16.5" thickBot="1" x14ac:dyDescent="0.3">
      <c r="A22" s="10">
        <v>44459</v>
      </c>
      <c r="B22" s="3">
        <v>425447</v>
      </c>
      <c r="C22" s="44">
        <f t="shared" si="6"/>
        <v>1020</v>
      </c>
      <c r="D22" s="3">
        <v>4377000</v>
      </c>
      <c r="E22" s="44">
        <f t="shared" si="1"/>
        <v>0</v>
      </c>
      <c r="F22" s="3">
        <v>5579100</v>
      </c>
      <c r="G22" s="44">
        <f t="shared" si="4"/>
        <v>623.70000000000005</v>
      </c>
      <c r="H22" s="3">
        <v>748266</v>
      </c>
      <c r="I22" s="49">
        <f t="shared" si="5"/>
        <v>5.319</v>
      </c>
      <c r="J22" s="22">
        <f t="shared" si="2"/>
        <v>1649.019</v>
      </c>
      <c r="K22" s="23">
        <f t="shared" si="3"/>
        <v>9663.2513400000007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>
        <v>4377000</v>
      </c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>
        <v>4377000</v>
      </c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>
        <v>4377000</v>
      </c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>
        <v>4377000</v>
      </c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>
        <v>4377000</v>
      </c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>
        <v>4377000</v>
      </c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>
        <v>4377000</v>
      </c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>
        <v>4377000</v>
      </c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>
        <v>4377000</v>
      </c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>
        <v>4377000</v>
      </c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20470</v>
      </c>
      <c r="D34" s="3"/>
      <c r="E34" s="61">
        <f>SUM(E3:E33)</f>
        <v>0</v>
      </c>
      <c r="F34" s="3"/>
      <c r="G34" s="61">
        <f>SUM(G3:G33)</f>
        <v>10019.200000000001</v>
      </c>
      <c r="H34" s="3"/>
      <c r="I34" s="61">
        <f>SUM(I3:I33)</f>
        <v>91.61099999999999</v>
      </c>
      <c r="J34" s="61">
        <f>SUM(J3:J33)</f>
        <v>30580.811000000002</v>
      </c>
      <c r="K34" s="61">
        <f>SUM(K3:K33)</f>
        <v>179203.55245999995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2" sqref="B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>
        <v>17608833</v>
      </c>
      <c r="C19" s="50">
        <f t="shared" si="0"/>
        <v>2499</v>
      </c>
    </row>
    <row r="20" spans="1:9" ht="24" thickBot="1" x14ac:dyDescent="0.4">
      <c r="A20" s="10">
        <v>44457</v>
      </c>
      <c r="B20" s="139">
        <v>17611275</v>
      </c>
      <c r="C20" s="50">
        <f t="shared" si="0"/>
        <v>2442</v>
      </c>
    </row>
    <row r="21" spans="1:9" ht="24" thickBot="1" x14ac:dyDescent="0.4">
      <c r="A21" s="10">
        <v>44458</v>
      </c>
      <c r="B21" s="139">
        <v>17613115</v>
      </c>
      <c r="C21" s="50">
        <f t="shared" si="0"/>
        <v>1840</v>
      </c>
    </row>
    <row r="22" spans="1:9" ht="24" thickBot="1" x14ac:dyDescent="0.4">
      <c r="A22" s="10">
        <v>44459</v>
      </c>
      <c r="B22" s="139">
        <v>17615342</v>
      </c>
      <c r="C22" s="50">
        <f t="shared" si="0"/>
        <v>2227</v>
      </c>
    </row>
    <row r="23" spans="1:9" ht="24" thickBot="1" x14ac:dyDescent="0.4">
      <c r="A23" s="10">
        <v>44460</v>
      </c>
      <c r="B23" s="139"/>
      <c r="C23" s="50" t="str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44553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B1" zoomScale="87" zoomScaleNormal="87" workbookViewId="0">
      <pane ySplit="1" topLeftCell="A2" activePane="bottomLeft" state="frozen"/>
      <selection pane="bottomLeft" activeCell="T27" sqref="T27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>
        <v>22207.853999999999</v>
      </c>
      <c r="C19" s="49">
        <f t="shared" si="11"/>
        <v>10.610000000000582</v>
      </c>
      <c r="D19" s="33">
        <f t="shared" si="0"/>
        <v>20159.000000001102</v>
      </c>
      <c r="E19" s="1">
        <v>3917.6640000000002</v>
      </c>
      <c r="F19" s="49">
        <f t="shared" si="1"/>
        <v>1.7280000000000655</v>
      </c>
      <c r="G19" s="33">
        <f t="shared" si="2"/>
        <v>3283.2000000001244</v>
      </c>
      <c r="H19" s="1">
        <v>4041</v>
      </c>
      <c r="I19" s="49">
        <f t="shared" si="3"/>
        <v>7</v>
      </c>
      <c r="J19" s="33">
        <f t="shared" si="4"/>
        <v>13299.999999999998</v>
      </c>
      <c r="K19" s="7">
        <v>13706.63</v>
      </c>
      <c r="L19" s="49">
        <f t="shared" si="5"/>
        <v>1.4699999999993452</v>
      </c>
      <c r="M19" s="33">
        <f t="shared" si="6"/>
        <v>2792.9999999987558</v>
      </c>
      <c r="N19" s="7">
        <v>3222.085</v>
      </c>
      <c r="O19" s="49">
        <f t="shared" si="7"/>
        <v>1.5349999999998545</v>
      </c>
      <c r="P19" s="33">
        <f t="shared" si="8"/>
        <v>2916.4999999997235</v>
      </c>
      <c r="Q19" s="7">
        <v>5142</v>
      </c>
      <c r="R19" s="49">
        <f t="shared" si="9"/>
        <v>3.680000000000291</v>
      </c>
      <c r="S19" s="33">
        <f t="shared" si="10"/>
        <v>6992.0000000005521</v>
      </c>
      <c r="T19" s="8">
        <f t="shared" si="15"/>
        <v>26.023000000000138</v>
      </c>
      <c r="U19" s="35">
        <f t="shared" si="12"/>
        <v>49443.700000000259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>
        <v>22219.414000000001</v>
      </c>
      <c r="C20" s="49">
        <f t="shared" si="11"/>
        <v>11.56000000000131</v>
      </c>
      <c r="D20" s="33">
        <f t="shared" si="0"/>
        <v>21964.000000002488</v>
      </c>
      <c r="E20" s="1">
        <v>3919.5450000000001</v>
      </c>
      <c r="F20" s="49">
        <f t="shared" si="1"/>
        <v>1.8809999999998581</v>
      </c>
      <c r="G20" s="33">
        <f t="shared" si="2"/>
        <v>3573.89999999973</v>
      </c>
      <c r="H20" s="1">
        <v>4048</v>
      </c>
      <c r="I20" s="49">
        <f t="shared" si="3"/>
        <v>7</v>
      </c>
      <c r="J20" s="33">
        <f t="shared" si="4"/>
        <v>13299.999999999998</v>
      </c>
      <c r="K20" s="7">
        <v>13708.1</v>
      </c>
      <c r="L20" s="49">
        <f t="shared" si="5"/>
        <v>1.4700000000011642</v>
      </c>
      <c r="M20" s="33">
        <f t="shared" si="6"/>
        <v>2793.0000000022119</v>
      </c>
      <c r="N20" s="7">
        <v>3223.7049999999999</v>
      </c>
      <c r="O20" s="49">
        <f t="shared" si="7"/>
        <v>1.6199999999998909</v>
      </c>
      <c r="P20" s="33">
        <f t="shared" si="8"/>
        <v>3077.9999999997926</v>
      </c>
      <c r="Q20" s="7">
        <v>5145.2700000000004</v>
      </c>
      <c r="R20" s="49">
        <f t="shared" si="9"/>
        <v>3.2700000000004366</v>
      </c>
      <c r="S20" s="33">
        <f t="shared" si="10"/>
        <v>6213.0000000008285</v>
      </c>
      <c r="T20" s="8">
        <f t="shared" si="15"/>
        <v>26.801000000002659</v>
      </c>
      <c r="U20" s="35">
        <f t="shared" si="12"/>
        <v>50921.900000005051</v>
      </c>
      <c r="W20" s="166">
        <v>44457</v>
      </c>
      <c r="X20" s="167">
        <v>145389</v>
      </c>
      <c r="Y20" s="167">
        <f t="shared" si="13"/>
        <v>145389</v>
      </c>
      <c r="Z20" s="167">
        <v>7307</v>
      </c>
      <c r="AA20" s="167">
        <f t="shared" si="14"/>
        <v>7307</v>
      </c>
    </row>
    <row r="21" spans="1:27" ht="16.5" thickBot="1" x14ac:dyDescent="0.25">
      <c r="A21" s="10">
        <v>44458</v>
      </c>
      <c r="B21" s="170">
        <v>22228.978999999999</v>
      </c>
      <c r="C21" s="49">
        <f t="shared" si="11"/>
        <v>9.5649999999986903</v>
      </c>
      <c r="D21" s="33">
        <f t="shared" si="0"/>
        <v>18173.499999997512</v>
      </c>
      <c r="E21" s="1">
        <v>3921.5010000000002</v>
      </c>
      <c r="F21" s="49">
        <f t="shared" si="1"/>
        <v>1.956000000000131</v>
      </c>
      <c r="G21" s="33">
        <f t="shared" si="2"/>
        <v>3716.4000000002488</v>
      </c>
      <c r="H21" s="1">
        <v>4054</v>
      </c>
      <c r="I21" s="49">
        <f t="shared" si="3"/>
        <v>6</v>
      </c>
      <c r="J21" s="33">
        <f t="shared" si="4"/>
        <v>11399.999999999998</v>
      </c>
      <c r="K21" s="7">
        <v>13708.24</v>
      </c>
      <c r="L21" s="49">
        <f t="shared" si="5"/>
        <v>0.13999999999941792</v>
      </c>
      <c r="M21" s="33">
        <f t="shared" si="6"/>
        <v>265.99999999889405</v>
      </c>
      <c r="N21" s="7">
        <v>3225.049</v>
      </c>
      <c r="O21" s="49">
        <f t="shared" si="7"/>
        <v>1.3440000000000509</v>
      </c>
      <c r="P21" s="33">
        <f t="shared" si="8"/>
        <v>2553.6000000000968</v>
      </c>
      <c r="Q21" s="7">
        <v>5148.6000000000004</v>
      </c>
      <c r="R21" s="49">
        <f t="shared" si="9"/>
        <v>3.3299999999999272</v>
      </c>
      <c r="S21" s="33">
        <f t="shared" si="10"/>
        <v>6326.9999999998618</v>
      </c>
      <c r="T21" s="8">
        <f t="shared" si="15"/>
        <v>22.334999999998217</v>
      </c>
      <c r="U21" s="35">
        <f t="shared" si="12"/>
        <v>42436.499999996609</v>
      </c>
      <c r="W21" s="166">
        <v>44458</v>
      </c>
      <c r="X21" s="167">
        <v>145421</v>
      </c>
      <c r="Y21" s="167">
        <f t="shared" si="13"/>
        <v>32</v>
      </c>
      <c r="Z21" s="167">
        <v>7312</v>
      </c>
      <c r="AA21" s="167">
        <f t="shared" si="14"/>
        <v>5</v>
      </c>
    </row>
    <row r="22" spans="1:27" ht="16.5" thickBot="1" x14ac:dyDescent="0.25">
      <c r="A22" s="10">
        <v>44459</v>
      </c>
      <c r="B22" s="170">
        <v>22240.985000000001</v>
      </c>
      <c r="C22" s="49">
        <f t="shared" si="11"/>
        <v>12.006000000001222</v>
      </c>
      <c r="D22" s="33">
        <f t="shared" si="0"/>
        <v>22811.400000002322</v>
      </c>
      <c r="E22" s="1">
        <v>3924.4679999999998</v>
      </c>
      <c r="F22" s="49">
        <f t="shared" si="1"/>
        <v>2.9669999999996435</v>
      </c>
      <c r="G22" s="33">
        <f t="shared" si="2"/>
        <v>5637.2999999993217</v>
      </c>
      <c r="H22" s="1">
        <v>4062</v>
      </c>
      <c r="I22" s="49">
        <f t="shared" si="3"/>
        <v>8</v>
      </c>
      <c r="J22" s="33">
        <f t="shared" si="4"/>
        <v>15200</v>
      </c>
      <c r="K22" s="7">
        <v>13710.51</v>
      </c>
      <c r="L22" s="49">
        <f t="shared" si="5"/>
        <v>2.2700000000004366</v>
      </c>
      <c r="M22" s="33">
        <f t="shared" si="6"/>
        <v>4313.0000000008295</v>
      </c>
      <c r="N22" s="7">
        <v>3226.6469999999999</v>
      </c>
      <c r="O22" s="49">
        <f t="shared" si="7"/>
        <v>1.5979999999999563</v>
      </c>
      <c r="P22" s="33">
        <f t="shared" si="8"/>
        <v>3036.1999999999171</v>
      </c>
      <c r="Q22" s="7">
        <v>5150.09</v>
      </c>
      <c r="R22" s="49">
        <f t="shared" si="9"/>
        <v>1.4899999999997817</v>
      </c>
      <c r="S22" s="33">
        <f t="shared" si="10"/>
        <v>2830.9999999995853</v>
      </c>
      <c r="T22" s="8">
        <f t="shared" si="15"/>
        <v>28.33100000000104</v>
      </c>
      <c r="U22" s="35">
        <f t="shared" si="12"/>
        <v>53828.900000001973</v>
      </c>
      <c r="W22" s="166">
        <v>44459</v>
      </c>
      <c r="X22" s="167"/>
      <c r="Y22" s="167">
        <f t="shared" si="13"/>
        <v>-145421</v>
      </c>
      <c r="Z22" s="167"/>
      <c r="AA22" s="167">
        <f t="shared" si="14"/>
        <v>-7312</v>
      </c>
    </row>
    <row r="23" spans="1:27" ht="16.5" thickBot="1" x14ac:dyDescent="0.25">
      <c r="A23" s="10">
        <v>44460</v>
      </c>
      <c r="B23" s="170"/>
      <c r="C23" s="49" t="str">
        <f t="shared" si="11"/>
        <v>0</v>
      </c>
      <c r="D23" s="33">
        <f t="shared" si="0"/>
        <v>0</v>
      </c>
      <c r="E23" s="1"/>
      <c r="F23" s="49" t="str">
        <f t="shared" si="1"/>
        <v>0</v>
      </c>
      <c r="G23" s="33">
        <f t="shared" si="2"/>
        <v>0</v>
      </c>
      <c r="H23" s="1"/>
      <c r="I23" s="49" t="str">
        <f t="shared" si="3"/>
        <v>0</v>
      </c>
      <c r="J23" s="33">
        <f t="shared" si="4"/>
        <v>0</v>
      </c>
      <c r="K23" s="7"/>
      <c r="L23" s="49" t="str">
        <f t="shared" si="5"/>
        <v>0</v>
      </c>
      <c r="M23" s="33">
        <f t="shared" si="6"/>
        <v>0</v>
      </c>
      <c r="N23" s="7"/>
      <c r="O23" s="49" t="str">
        <f t="shared" si="7"/>
        <v>0</v>
      </c>
      <c r="P23" s="33">
        <f t="shared" si="8"/>
        <v>0</v>
      </c>
      <c r="Q23" s="7"/>
      <c r="R23" s="49" t="str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249.88300000000163</v>
      </c>
      <c r="D34" s="144">
        <f>SUM(D2:D33)</f>
        <v>474777.7000000031</v>
      </c>
      <c r="E34" s="144">
        <v>0</v>
      </c>
      <c r="F34" s="144">
        <f>SUM(F2:F33)</f>
        <v>53.203999999999724</v>
      </c>
      <c r="G34" s="144">
        <f>SUM(G2:G33)</f>
        <v>101087.59999999948</v>
      </c>
      <c r="H34" s="144"/>
      <c r="I34" s="144">
        <f>SUM(I2:I33)</f>
        <v>158</v>
      </c>
      <c r="J34" s="144">
        <f>SUM(J2:J33)</f>
        <v>300200</v>
      </c>
      <c r="K34" s="144"/>
      <c r="L34" s="144">
        <f>SUM(L2:L33)</f>
        <v>35.889999999999418</v>
      </c>
      <c r="M34" s="144">
        <f>SUM(M2:M33)</f>
        <v>68190.999999998894</v>
      </c>
      <c r="N34" s="144"/>
      <c r="O34" s="144">
        <f>SUM(O2:O33)</f>
        <v>32.188999999999851</v>
      </c>
      <c r="P34" s="144">
        <f>SUM(P2:P33)</f>
        <v>61159.099999999708</v>
      </c>
      <c r="Q34" s="144"/>
      <c r="R34" s="144">
        <f>SUM(R2:R33)</f>
        <v>54.970000000000255</v>
      </c>
      <c r="S34" s="144">
        <f>SUM(S2:S33)</f>
        <v>104443.00000000047</v>
      </c>
      <c r="T34" s="144">
        <f>SUM(T2:T33)</f>
        <v>584.13600000000088</v>
      </c>
      <c r="U34" s="144">
        <f>SUM(U2:U33)</f>
        <v>1109858.4000000015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-14220249</v>
      </c>
      <c r="D7" s="110">
        <f t="shared" si="0"/>
        <v>-18059716.23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24322</v>
      </c>
      <c r="D8" s="110">
        <f t="shared" si="0"/>
        <v>30888.94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3425</v>
      </c>
      <c r="D9" s="110">
        <f t="shared" si="0"/>
        <v>4349.75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11680</v>
      </c>
      <c r="D10" s="110">
        <f t="shared" si="0"/>
        <v>14833.6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2319</v>
      </c>
      <c r="D11" s="110">
        <f t="shared" si="0"/>
        <v>2945.13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3777</v>
      </c>
      <c r="K16" s="99">
        <f>(J16-I16)*160</f>
        <v>3360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25394</v>
      </c>
      <c r="K18" s="99">
        <f>(J18-I18)*160</f>
        <v>11680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122812</v>
      </c>
      <c r="K19" s="99">
        <f>J19-I19</f>
        <v>2319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45934</v>
      </c>
      <c r="K21" s="99">
        <f>(J21-I21)*120</f>
        <v>12840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39863</v>
      </c>
      <c r="K22" s="99">
        <f>(J22-I22)*160</f>
        <v>9280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20806</v>
      </c>
      <c r="K23" s="99">
        <f>(J23-I23)*20</f>
        <v>1420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248512</v>
      </c>
      <c r="K24" s="99">
        <f>J24-I24</f>
        <v>782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215901</v>
      </c>
      <c r="K25" s="99">
        <f>J25-I25</f>
        <v>65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2021-09-21T02:57:26Z</dcterms:modified>
</cp:coreProperties>
</file>