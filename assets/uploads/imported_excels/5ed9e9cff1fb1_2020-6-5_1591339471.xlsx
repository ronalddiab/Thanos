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E3" i="3" l="1"/>
  <c r="E4" i="3"/>
  <c r="E7" i="3"/>
  <c r="E8" i="3"/>
  <c r="E9" i="3"/>
  <c r="E10" i="3"/>
  <c r="E11" i="3"/>
  <c r="E12" i="3"/>
  <c r="E13" i="3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AV12" i="6"/>
  <c r="AV11" i="6"/>
  <c r="AV10" i="6"/>
  <c r="AV9" i="6"/>
  <c r="AV8" i="6"/>
  <c r="AV7" i="6"/>
  <c r="AV6" i="6"/>
  <c r="E6" i="3" s="1"/>
  <c r="AV5" i="6"/>
  <c r="E5" i="3" s="1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CX44" i="7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<sst xmlns="http://schemas.openxmlformats.org/spreadsheetml/2006/main" count="296" uniqueCount="138">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</sst>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3660.0000000001937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3439.999999999568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3660.0000000002738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3589.9999999999218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 t="e">
        <f>Submetering!E6+Submetering!F6+Submetering!G6+Submetering!H6-Submetering!AV6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C32" sqref="C32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6.0000000000002274E-2</v>
      </c>
      <c r="W2" s="36">
        <f>'FS Desroches Daily'!AN4</f>
        <v>4.9999999999982947E-2</v>
      </c>
      <c r="X2" s="36">
        <f>'FS Desroches Daily'!AP4</f>
        <v>3.0000000000001137E-2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3.9999999999992042E-2</v>
      </c>
      <c r="W3" s="36">
        <f>'FS Desroches Daily'!AN5</f>
        <v>4.0000000000020464E-2</v>
      </c>
      <c r="X3" s="36">
        <f>'FS Desroches Daily'!AP5</f>
        <v>3.0000000000001137E-2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4.0000000000020464E-2</v>
      </c>
      <c r="W4" s="36">
        <f>'FS Desroches Daily'!AN6</f>
        <v>3.9999999999992042E-2</v>
      </c>
      <c r="X4" s="36">
        <f>'FS Desroches Daily'!AP6</f>
        <v>3.0000000000001137E-2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 t="str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 t="str">
        <f>'FS Desroches Daily'!P7</f>
        <v/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 t="str">
        <f>'FS Desroches Daily'!X8</f>
        <v/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3.9999999999992042E-2</v>
      </c>
      <c r="W5" s="36">
        <f>'FS Desroches Daily'!AN7</f>
        <v>3.0000000000001137E-2</v>
      </c>
      <c r="X5" s="36">
        <f>'FS Desroches Daily'!AP7</f>
        <v>3.0000000000001137E-2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 t="str">
        <f>'FS Desroches Daily'!BF7</f>
        <v/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 t="str">
        <f>IF(LPG!F12-LPG!F11&lt;0,"0",(LPG!F12-LPG!F11)*1.8315)</f>
        <v>0</v>
      </c>
      <c r="AY5" s="32" t="str">
        <f>IF(LPG!H12-LPG!H11&lt;0,"0",(LPG!H12-LPG!H11)*1.8315)</f>
        <v>0</v>
      </c>
      <c r="AZ5" s="32">
        <f>IF(LPG!J12-LPG!J13&lt;0,"0",(LPG!J12-LPG!J13)*1.8315)</f>
        <v>0</v>
      </c>
      <c r="BA5" s="32" t="str">
        <f>IF(LPG!M12-LPG!M11&lt;0,"0",(LPG!M12-LPG!M11)*1.8315)</f>
        <v>0</v>
      </c>
      <c r="BB5" s="32" t="str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 t="str">
        <f>'FS Desroches Daily'!D8</f>
        <v>0</v>
      </c>
      <c r="F6" s="33" t="str">
        <f>'FS Desroches Daily'!F8</f>
        <v>0</v>
      </c>
      <c r="G6" s="32" t="str">
        <f>'FS Desroches Daily'!H8</f>
        <v>0</v>
      </c>
      <c r="H6" s="33" t="str">
        <f>'FS Desroches Daily'!J8</f>
        <v>0</v>
      </c>
      <c r="I6" s="32" t="str">
        <f>'FS Desroches Daily'!L8</f>
        <v>0</v>
      </c>
      <c r="J6" s="33" t="str">
        <f>'FS Desroches Daily'!N8</f>
        <v/>
      </c>
      <c r="K6" s="13">
        <f>'FS Desroches Daily'!P8</f>
        <v>0</v>
      </c>
      <c r="L6" s="32" t="str">
        <f>'FS Desroches Daily'!R8</f>
        <v/>
      </c>
      <c r="M6" s="32" t="str">
        <f>'FS Desroches Daily'!T8</f>
        <v/>
      </c>
      <c r="N6" s="32" t="str">
        <f>'FS Desroches Daily'!V8</f>
        <v/>
      </c>
      <c r="O6" s="32" t="str">
        <f>'FS Desroches Daily'!X8</f>
        <v/>
      </c>
      <c r="P6" s="32" t="str">
        <f>'FS Desroches Daily'!Z8</f>
        <v/>
      </c>
      <c r="Q6" s="32" t="str">
        <f>'FS Desroches Daily'!AB8</f>
        <v/>
      </c>
      <c r="R6" s="32" t="str">
        <f>'FS Desroches Daily'!AD8</f>
        <v/>
      </c>
      <c r="S6" s="32" t="str">
        <f>'FS Desroches Daily'!AF8</f>
        <v/>
      </c>
      <c r="T6" s="32" t="str">
        <f>'FS Desroches Daily'!AH8</f>
        <v/>
      </c>
      <c r="U6" s="36" t="str">
        <f>'FS Desroches Daily'!AJ8</f>
        <v/>
      </c>
      <c r="V6" s="36" t="str">
        <f>'FS Desroches Daily'!AL8</f>
        <v/>
      </c>
      <c r="W6" s="36" t="str">
        <f>'FS Desroches Daily'!AN8</f>
        <v/>
      </c>
      <c r="X6" s="36" t="str">
        <f>'FS Desroches Daily'!AP8</f>
        <v/>
      </c>
      <c r="Y6" s="36" t="str">
        <f>'FS Desroches Daily'!AR8</f>
        <v/>
      </c>
      <c r="Z6" s="36" t="str">
        <f>'FS Desroches Daily'!AT8</f>
        <v/>
      </c>
      <c r="AA6" s="36" t="str">
        <f>'FS Desroches Daily'!AT8</f>
        <v/>
      </c>
      <c r="AB6" s="36" t="str">
        <f>'FS Desroches Daily'!AV8</f>
        <v/>
      </c>
      <c r="AC6" s="36" t="str">
        <f>'FS Desroches Daily'!AZ8</f>
        <v/>
      </c>
      <c r="AD6" s="36" t="str">
        <f>'FS Desroches Daily'!BB8</f>
        <v/>
      </c>
      <c r="AE6" s="36" t="str">
        <f>'FS Desroches Daily'!BD8</f>
        <v/>
      </c>
      <c r="AF6" s="32">
        <f>'FS Desroches Daily'!BF8</f>
        <v>0</v>
      </c>
      <c r="AG6" s="33" t="str">
        <f>'FS Desroches Daily'!BH8</f>
        <v/>
      </c>
      <c r="AH6" s="33" t="str">
        <f>'FS Desroches Daily'!BJ8</f>
        <v/>
      </c>
      <c r="AI6" s="33" t="str">
        <f>'FS Desroches Daily'!BL8</f>
        <v/>
      </c>
      <c r="AJ6" s="33" t="str">
        <f>'FS Desroches Daily'!BN8</f>
        <v/>
      </c>
      <c r="AK6" s="33" t="str">
        <f>'FS Desroches Daily'!BP8</f>
        <v/>
      </c>
      <c r="AL6" s="33" t="str">
        <f>'FS Desroches Daily'!BR8</f>
        <v/>
      </c>
      <c r="AM6" s="33" t="str">
        <f>'FS Desroches Daily'!BT8</f>
        <v/>
      </c>
      <c r="AN6" s="33" t="str">
        <f>'FS Desroches Daily'!BV8</f>
        <v/>
      </c>
      <c r="AO6" s="33" t="str">
        <f>'FS Desroches Daily'!BX8</f>
        <v/>
      </c>
      <c r="AP6" s="33" t="str">
        <f>'FS Desroches Daily'!BZ8</f>
        <v/>
      </c>
      <c r="AQ6" s="32" t="str">
        <f>'FS Desroches Daily'!CB8</f>
        <v/>
      </c>
      <c r="AR6" s="32" t="str">
        <f>'FS Desroches Daily'!CD8</f>
        <v/>
      </c>
      <c r="AS6" s="32" t="str">
        <f>'FS Desroches Daily'!CF8</f>
        <v/>
      </c>
      <c r="AT6" s="32" t="str">
        <f>'FS Desroches Daily'!CH8</f>
        <v/>
      </c>
      <c r="AU6" s="32" t="str">
        <f>'FS Desroches Daily'!CJ8</f>
        <v/>
      </c>
      <c r="AV6" s="32" t="str">
        <f>'FS Desroches Daily'!CL8</f>
        <v/>
      </c>
      <c r="AW6" s="32">
        <f>'FS Desroches Daily'!CM8</f>
        <v>0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0</v>
      </c>
      <c r="F7" s="33">
        <f>'FS Desroches Daily'!F9</f>
        <v>0</v>
      </c>
      <c r="G7" s="32">
        <f>'FS Desroches Daily'!H9</f>
        <v>0</v>
      </c>
      <c r="H7" s="33">
        <f>'FS Desroches Daily'!J9</f>
        <v>0</v>
      </c>
      <c r="I7" s="32">
        <f>'FS Desroches Daily'!L9</f>
        <v>0</v>
      </c>
      <c r="J7" s="33">
        <f>'FS Desroches Daily'!N9</f>
        <v>0</v>
      </c>
      <c r="K7" s="13">
        <f>'FS Desroches Daily'!P9</f>
        <v>0</v>
      </c>
      <c r="L7" s="32">
        <f>'FS Desroches Daily'!R9</f>
        <v>0</v>
      </c>
      <c r="M7" s="32">
        <f>'FS Desroches Daily'!T9</f>
        <v>0</v>
      </c>
      <c r="N7" s="32">
        <f>'FS Desroches Daily'!V9</f>
        <v>0</v>
      </c>
      <c r="O7" s="32">
        <f>'FS Desroches Daily'!X9</f>
        <v>0</v>
      </c>
      <c r="P7" s="32">
        <f>'FS Desroches Daily'!Z9</f>
        <v>0</v>
      </c>
      <c r="Q7" s="32">
        <f>'FS Desroches Daily'!AB9</f>
        <v>0</v>
      </c>
      <c r="R7" s="32">
        <f>'FS Desroches Daily'!AD9</f>
        <v>0</v>
      </c>
      <c r="S7" s="32">
        <f>'FS Desroches Daily'!AF9</f>
        <v>0</v>
      </c>
      <c r="T7" s="32">
        <f>'FS Desroches Daily'!AH9</f>
        <v>0</v>
      </c>
      <c r="U7" s="36">
        <f>'FS Desroches Daily'!AJ9</f>
        <v>0</v>
      </c>
      <c r="V7" s="36">
        <f>'FS Desroches Daily'!AL9</f>
        <v>0</v>
      </c>
      <c r="W7" s="36">
        <f>'FS Desroches Daily'!AN9</f>
        <v>0</v>
      </c>
      <c r="X7" s="36">
        <f>'FS Desroches Daily'!AP9</f>
        <v>0</v>
      </c>
      <c r="Y7" s="36">
        <f>'FS Desroches Daily'!AR9</f>
        <v>0</v>
      </c>
      <c r="Z7" s="36">
        <f>'FS Desroches Daily'!AT9</f>
        <v>0</v>
      </c>
      <c r="AA7" s="36">
        <f>'FS Desroches Daily'!AT9</f>
        <v>0</v>
      </c>
      <c r="AB7" s="36">
        <f>'FS Desroches Daily'!AV9</f>
        <v>0</v>
      </c>
      <c r="AC7" s="36">
        <f>'FS Desroches Daily'!AZ9</f>
        <v>0</v>
      </c>
      <c r="AD7" s="36">
        <f>'FS Desroches Daily'!BB9</f>
        <v>0</v>
      </c>
      <c r="AE7" s="36">
        <f>'FS Desroches Daily'!BD9</f>
        <v>0</v>
      </c>
      <c r="AF7" s="32">
        <f>'FS Desroches Daily'!BF9</f>
        <v>0</v>
      </c>
      <c r="AG7" s="33">
        <f>'FS Desroches Daily'!BH9</f>
        <v>0</v>
      </c>
      <c r="AH7" s="33">
        <f>'FS Desroches Daily'!BJ9</f>
        <v>0</v>
      </c>
      <c r="AI7" s="33">
        <f>'FS Desroches Daily'!BL9</f>
        <v>0</v>
      </c>
      <c r="AJ7" s="33">
        <f>'FS Desroches Daily'!BN9</f>
        <v>0</v>
      </c>
      <c r="AK7" s="33">
        <f>'FS Desroches Daily'!BP9</f>
        <v>0</v>
      </c>
      <c r="AL7" s="33">
        <f>'FS Desroches Daily'!BR9</f>
        <v>0</v>
      </c>
      <c r="AM7" s="33">
        <f>'FS Desroches Daily'!BT9</f>
        <v>0</v>
      </c>
      <c r="AN7" s="33">
        <f>'FS Desroches Daily'!BV9</f>
        <v>0</v>
      </c>
      <c r="AO7" s="33">
        <f>'FS Desroches Daily'!BX9</f>
        <v>0</v>
      </c>
      <c r="AP7" s="33">
        <f>'FS Desroches Daily'!BZ9</f>
        <v>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0</v>
      </c>
      <c r="AU7" s="32">
        <f>'FS Desroches Daily'!CJ9</f>
        <v>0</v>
      </c>
      <c r="AV7" s="32">
        <f>'FS Desroches Daily'!CL9</f>
        <v>0</v>
      </c>
      <c r="AW7" s="32">
        <f>'FS Desroches Daily'!CM9</f>
        <v>0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0</v>
      </c>
      <c r="F8" s="33">
        <f>'FS Desroches Daily'!F10</f>
        <v>0</v>
      </c>
      <c r="G8" s="32">
        <f>'FS Desroches Daily'!H10</f>
        <v>0</v>
      </c>
      <c r="H8" s="33">
        <f>'FS Desroches Daily'!J10</f>
        <v>0</v>
      </c>
      <c r="I8" s="32">
        <f>'FS Desroches Daily'!L10</f>
        <v>0</v>
      </c>
      <c r="J8" s="33">
        <f>'FS Desroches Daily'!N10</f>
        <v>0</v>
      </c>
      <c r="K8" s="13">
        <f>'FS Desroches Daily'!P10</f>
        <v>0</v>
      </c>
      <c r="L8" s="32">
        <f>'FS Desroches Daily'!R10</f>
        <v>0</v>
      </c>
      <c r="M8" s="32">
        <f>'FS Desroches Daily'!T10</f>
        <v>0</v>
      </c>
      <c r="N8" s="32">
        <f>'FS Desroches Daily'!V10</f>
        <v>0</v>
      </c>
      <c r="O8" s="32">
        <f>'FS Desroches Daily'!X10</f>
        <v>0</v>
      </c>
      <c r="P8" s="32">
        <f>'FS Desroches Daily'!Z10</f>
        <v>0</v>
      </c>
      <c r="Q8" s="32">
        <f>'FS Desroches Daily'!AB10</f>
        <v>0</v>
      </c>
      <c r="R8" s="32">
        <f>'FS Desroches Daily'!AD10</f>
        <v>0</v>
      </c>
      <c r="S8" s="32">
        <f>'FS Desroches Daily'!AF10</f>
        <v>0</v>
      </c>
      <c r="T8" s="32">
        <f>'FS Desroches Daily'!AH10</f>
        <v>0</v>
      </c>
      <c r="U8" s="36">
        <f>'FS Desroches Daily'!AJ10</f>
        <v>0</v>
      </c>
      <c r="V8" s="36">
        <f>'FS Desroches Daily'!AL10</f>
        <v>0</v>
      </c>
      <c r="W8" s="36">
        <f>'FS Desroches Daily'!AN10</f>
        <v>0</v>
      </c>
      <c r="X8" s="36">
        <f>'FS Desroches Daily'!AP10</f>
        <v>0</v>
      </c>
      <c r="Y8" s="36">
        <f>'FS Desroches Daily'!AR10</f>
        <v>0</v>
      </c>
      <c r="Z8" s="36">
        <f>'FS Desroches Daily'!AT10</f>
        <v>0</v>
      </c>
      <c r="AA8" s="36">
        <f>'FS Desroches Daily'!AT10</f>
        <v>0</v>
      </c>
      <c r="AB8" s="36">
        <f>'FS Desroches Daily'!AV10</f>
        <v>0</v>
      </c>
      <c r="AC8" s="36">
        <f>'FS Desroches Daily'!AZ10</f>
        <v>0</v>
      </c>
      <c r="AD8" s="36">
        <f>'FS Desroches Daily'!BB10</f>
        <v>0</v>
      </c>
      <c r="AE8" s="36">
        <f>'FS Desroches Daily'!BD10</f>
        <v>0</v>
      </c>
      <c r="AF8" s="32">
        <f>'FS Desroches Daily'!BF10</f>
        <v>0</v>
      </c>
      <c r="AG8" s="33">
        <f>'FS Desroches Daily'!BH10</f>
        <v>0</v>
      </c>
      <c r="AH8" s="33">
        <f>'FS Desroches Daily'!BJ10</f>
        <v>0</v>
      </c>
      <c r="AI8" s="33">
        <f>'FS Desroches Daily'!BL10</f>
        <v>0</v>
      </c>
      <c r="AJ8" s="33">
        <f>'FS Desroches Daily'!BN10</f>
        <v>0</v>
      </c>
      <c r="AK8" s="33">
        <f>'FS Desroches Daily'!BP10</f>
        <v>0</v>
      </c>
      <c r="AL8" s="33">
        <f>'FS Desroches Daily'!BR10</f>
        <v>0</v>
      </c>
      <c r="AM8" s="33">
        <f>'FS Desroches Daily'!BT10</f>
        <v>0</v>
      </c>
      <c r="AN8" s="33">
        <f>'FS Desroches Daily'!BV10</f>
        <v>0</v>
      </c>
      <c r="AO8" s="33">
        <f>'FS Desroches Daily'!BX10</f>
        <v>0</v>
      </c>
      <c r="AP8" s="33">
        <f>'FS Desroches Daily'!BZ10</f>
        <v>0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0</v>
      </c>
      <c r="AU8" s="32">
        <f>'FS Desroches Daily'!CJ10</f>
        <v>0</v>
      </c>
      <c r="AV8" s="32">
        <f>'FS Desroches Daily'!CL10</f>
        <v>0</v>
      </c>
      <c r="AW8" s="32">
        <f>'FS Desroches Daily'!CM10</f>
        <v>0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0</v>
      </c>
      <c r="F9" s="33">
        <f>'FS Desroches Daily'!F11</f>
        <v>0</v>
      </c>
      <c r="G9" s="32">
        <f>'FS Desroches Daily'!H11</f>
        <v>0</v>
      </c>
      <c r="H9" s="33">
        <f>'FS Desroches Daily'!J11</f>
        <v>0</v>
      </c>
      <c r="I9" s="32">
        <f>'FS Desroches Daily'!L11</f>
        <v>0</v>
      </c>
      <c r="J9" s="33">
        <f>'FS Desroches Daily'!N11</f>
        <v>0</v>
      </c>
      <c r="K9" s="13">
        <f>'FS Desroches Daily'!P11</f>
        <v>0</v>
      </c>
      <c r="L9" s="32">
        <f>'FS Desroches Daily'!R11</f>
        <v>0</v>
      </c>
      <c r="M9" s="32">
        <f>'FS Desroches Daily'!T11</f>
        <v>0</v>
      </c>
      <c r="N9" s="32">
        <f>'FS Desroches Daily'!V11</f>
        <v>0</v>
      </c>
      <c r="O9" s="32">
        <f>'FS Desroches Daily'!X11</f>
        <v>0</v>
      </c>
      <c r="P9" s="32">
        <f>'FS Desroches Daily'!Z11</f>
        <v>0</v>
      </c>
      <c r="Q9" s="32">
        <f>'FS Desroches Daily'!AB11</f>
        <v>0</v>
      </c>
      <c r="R9" s="32">
        <f>'FS Desroches Daily'!AD11</f>
        <v>0</v>
      </c>
      <c r="S9" s="32">
        <f>'FS Desroches Daily'!AF11</f>
        <v>0</v>
      </c>
      <c r="T9" s="32">
        <f>'FS Desroches Daily'!AH11</f>
        <v>0</v>
      </c>
      <c r="U9" s="36">
        <f>'FS Desroches Daily'!AJ11</f>
        <v>0</v>
      </c>
      <c r="V9" s="36">
        <f>'FS Desroches Daily'!AL11</f>
        <v>0</v>
      </c>
      <c r="W9" s="36">
        <f>'FS Desroches Daily'!AN11</f>
        <v>0</v>
      </c>
      <c r="X9" s="36">
        <f>'FS Desroches Daily'!AP11</f>
        <v>0</v>
      </c>
      <c r="Y9" s="36">
        <f>'FS Desroches Daily'!AR11</f>
        <v>0</v>
      </c>
      <c r="Z9" s="36">
        <f>'FS Desroches Daily'!AT11</f>
        <v>0</v>
      </c>
      <c r="AA9" s="36">
        <f>'FS Desroches Daily'!AT11</f>
        <v>0</v>
      </c>
      <c r="AB9" s="36">
        <f>'FS Desroches Daily'!AV11</f>
        <v>0</v>
      </c>
      <c r="AC9" s="36">
        <f>'FS Desroches Daily'!AZ11</f>
        <v>0</v>
      </c>
      <c r="AD9" s="36">
        <f>'FS Desroches Daily'!BB11</f>
        <v>0</v>
      </c>
      <c r="AE9" s="36">
        <f>'FS Desroches Daily'!BD11</f>
        <v>0</v>
      </c>
      <c r="AF9" s="32">
        <f>'FS Desroches Daily'!BF11</f>
        <v>0</v>
      </c>
      <c r="AG9" s="33">
        <f>'FS Desroches Daily'!BH11</f>
        <v>0</v>
      </c>
      <c r="AH9" s="33">
        <f>'FS Desroches Daily'!BJ11</f>
        <v>0</v>
      </c>
      <c r="AI9" s="33">
        <f>'FS Desroches Daily'!BL11</f>
        <v>0</v>
      </c>
      <c r="AJ9" s="33">
        <f>'FS Desroches Daily'!BN11</f>
        <v>0</v>
      </c>
      <c r="AK9" s="33">
        <f>'FS Desroches Daily'!BP11</f>
        <v>0</v>
      </c>
      <c r="AL9" s="33">
        <f>'FS Desroches Daily'!BR11</f>
        <v>0</v>
      </c>
      <c r="AM9" s="33">
        <f>'FS Desroches Daily'!BT11</f>
        <v>0</v>
      </c>
      <c r="AN9" s="33">
        <f>'FS Desroches Daily'!BV11</f>
        <v>0</v>
      </c>
      <c r="AO9" s="33">
        <f>'FS Desroches Daily'!BX11</f>
        <v>0</v>
      </c>
      <c r="AP9" s="33">
        <f>'FS Desroches Daily'!BZ11</f>
        <v>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0</v>
      </c>
      <c r="AU9" s="32">
        <f>'FS Desroches Daily'!CJ11</f>
        <v>0</v>
      </c>
      <c r="AV9" s="32">
        <f>'FS Desroches Daily'!CL11</f>
        <v>0</v>
      </c>
      <c r="AW9" s="32">
        <f>'FS Desroches Daily'!CM11</f>
        <v>0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0</v>
      </c>
      <c r="F10" s="33">
        <f>'FS Desroches Daily'!F12</f>
        <v>0</v>
      </c>
      <c r="G10" s="32">
        <f>'FS Desroches Daily'!H12</f>
        <v>0</v>
      </c>
      <c r="H10" s="33">
        <f>'FS Desroches Daily'!J12</f>
        <v>0</v>
      </c>
      <c r="I10" s="32">
        <f>'FS Desroches Daily'!L12</f>
        <v>0</v>
      </c>
      <c r="J10" s="33">
        <f>'FS Desroches Daily'!N12</f>
        <v>0</v>
      </c>
      <c r="K10" s="13">
        <f>'FS Desroches Daily'!P12</f>
        <v>0</v>
      </c>
      <c r="L10" s="32">
        <f>'FS Desroches Daily'!R12</f>
        <v>0</v>
      </c>
      <c r="M10" s="32">
        <f>'FS Desroches Daily'!T12</f>
        <v>0</v>
      </c>
      <c r="N10" s="32">
        <f>'FS Desroches Daily'!V12</f>
        <v>0</v>
      </c>
      <c r="O10" s="32">
        <f>'FS Desroches Daily'!X12</f>
        <v>0</v>
      </c>
      <c r="P10" s="32">
        <f>'FS Desroches Daily'!Z12</f>
        <v>0</v>
      </c>
      <c r="Q10" s="32">
        <f>'FS Desroches Daily'!AB12</f>
        <v>0</v>
      </c>
      <c r="R10" s="32">
        <f>'FS Desroches Daily'!AD12</f>
        <v>0</v>
      </c>
      <c r="S10" s="32">
        <f>'FS Desroches Daily'!AF12</f>
        <v>0</v>
      </c>
      <c r="T10" s="32">
        <f>'FS Desroches Daily'!AH12</f>
        <v>0</v>
      </c>
      <c r="U10" s="36">
        <f>'FS Desroches Daily'!AJ12</f>
        <v>0</v>
      </c>
      <c r="V10" s="36">
        <f>'FS Desroches Daily'!AL12</f>
        <v>0</v>
      </c>
      <c r="W10" s="36">
        <f>'FS Desroches Daily'!AN12</f>
        <v>0</v>
      </c>
      <c r="X10" s="36">
        <f>'FS Desroches Daily'!AP12</f>
        <v>0</v>
      </c>
      <c r="Y10" s="36">
        <f>'FS Desroches Daily'!AR12</f>
        <v>0</v>
      </c>
      <c r="Z10" s="36">
        <f>'FS Desroches Daily'!AT12</f>
        <v>0</v>
      </c>
      <c r="AA10" s="36">
        <f>'FS Desroches Daily'!AT12</f>
        <v>0</v>
      </c>
      <c r="AB10" s="36">
        <f>'FS Desroches Daily'!AV12</f>
        <v>0</v>
      </c>
      <c r="AC10" s="36">
        <f>'FS Desroches Daily'!AZ12</f>
        <v>0</v>
      </c>
      <c r="AD10" s="36">
        <f>'FS Desroches Daily'!BB12</f>
        <v>0</v>
      </c>
      <c r="AE10" s="36">
        <f>'FS Desroches Daily'!BD12</f>
        <v>0</v>
      </c>
      <c r="AF10" s="32">
        <f>'FS Desroches Daily'!BF12</f>
        <v>0</v>
      </c>
      <c r="AG10" s="33">
        <f>'FS Desroches Daily'!BH12</f>
        <v>0</v>
      </c>
      <c r="AH10" s="33">
        <f>'FS Desroches Daily'!BJ12</f>
        <v>0</v>
      </c>
      <c r="AI10" s="33">
        <f>'FS Desroches Daily'!BL12</f>
        <v>0</v>
      </c>
      <c r="AJ10" s="33">
        <f>'FS Desroches Daily'!BN12</f>
        <v>0</v>
      </c>
      <c r="AK10" s="33">
        <f>'FS Desroches Daily'!BP12</f>
        <v>0</v>
      </c>
      <c r="AL10" s="33">
        <f>'FS Desroches Daily'!BR12</f>
        <v>0</v>
      </c>
      <c r="AM10" s="33">
        <f>'FS Desroches Daily'!BT12</f>
        <v>0</v>
      </c>
      <c r="AN10" s="33">
        <f>'FS Desroches Daily'!BV12</f>
        <v>0</v>
      </c>
      <c r="AO10" s="33">
        <f>'FS Desroches Daily'!BX12</f>
        <v>0</v>
      </c>
      <c r="AP10" s="33">
        <f>'FS Desroches Daily'!BZ12</f>
        <v>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0</v>
      </c>
      <c r="AU10" s="32">
        <f>'FS Desroches Daily'!CJ12</f>
        <v>0</v>
      </c>
      <c r="AV10" s="32">
        <f>'FS Desroches Daily'!CL12</f>
        <v>0</v>
      </c>
      <c r="AW10" s="32">
        <f>'FS Desroches Daily'!CM12</f>
        <v>0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0</v>
      </c>
      <c r="F11" s="33">
        <f>'FS Desroches Daily'!F13</f>
        <v>0</v>
      </c>
      <c r="G11" s="32">
        <f>'FS Desroches Daily'!H13</f>
        <v>0</v>
      </c>
      <c r="H11" s="33">
        <f>'FS Desroches Daily'!J13</f>
        <v>0</v>
      </c>
      <c r="I11" s="32">
        <f>'FS Desroches Daily'!L13</f>
        <v>0</v>
      </c>
      <c r="J11" s="33">
        <f>'FS Desroches Daily'!N13</f>
        <v>0</v>
      </c>
      <c r="K11" s="13">
        <f>'FS Desroches Daily'!P13</f>
        <v>0</v>
      </c>
      <c r="L11" s="32">
        <f>'FS Desroches Daily'!R13</f>
        <v>0</v>
      </c>
      <c r="M11" s="32">
        <f>'FS Desroches Daily'!T13</f>
        <v>0</v>
      </c>
      <c r="N11" s="32">
        <f>'FS Desroches Daily'!V13</f>
        <v>0</v>
      </c>
      <c r="O11" s="32">
        <f>'FS Desroches Daily'!X13</f>
        <v>0</v>
      </c>
      <c r="P11" s="32">
        <f>'FS Desroches Daily'!Z13</f>
        <v>0</v>
      </c>
      <c r="Q11" s="32">
        <f>'FS Desroches Daily'!AB13</f>
        <v>0</v>
      </c>
      <c r="R11" s="32">
        <f>'FS Desroches Daily'!AD13</f>
        <v>0</v>
      </c>
      <c r="S11" s="32">
        <f>'FS Desroches Daily'!AF13</f>
        <v>0</v>
      </c>
      <c r="T11" s="32">
        <f>'FS Desroches Daily'!AH13</f>
        <v>0</v>
      </c>
      <c r="U11" s="36">
        <f>'FS Desroches Daily'!AJ13</f>
        <v>0</v>
      </c>
      <c r="V11" s="36">
        <f>'FS Desroches Daily'!AL13</f>
        <v>0</v>
      </c>
      <c r="W11" s="36">
        <f>'FS Desroches Daily'!AN13</f>
        <v>0</v>
      </c>
      <c r="X11" s="36">
        <f>'FS Desroches Daily'!AP13</f>
        <v>0</v>
      </c>
      <c r="Y11" s="36">
        <f>'FS Desroches Daily'!AR13</f>
        <v>0</v>
      </c>
      <c r="Z11" s="36">
        <f>'FS Desroches Daily'!AT13</f>
        <v>0</v>
      </c>
      <c r="AA11" s="36">
        <f>'FS Desroches Daily'!AT13</f>
        <v>0</v>
      </c>
      <c r="AB11" s="36">
        <f>'FS Desroches Daily'!AV13</f>
        <v>0</v>
      </c>
      <c r="AC11" s="36">
        <f>'FS Desroches Daily'!AZ13</f>
        <v>0</v>
      </c>
      <c r="AD11" s="36">
        <f>'FS Desroches Daily'!BB13</f>
        <v>0</v>
      </c>
      <c r="AE11" s="36">
        <f>'FS Desroches Daily'!BD13</f>
        <v>0</v>
      </c>
      <c r="AF11" s="32">
        <f>'FS Desroches Daily'!BF13</f>
        <v>0</v>
      </c>
      <c r="AG11" s="33">
        <f>'FS Desroches Daily'!BH13</f>
        <v>0</v>
      </c>
      <c r="AH11" s="33">
        <f>'FS Desroches Daily'!BJ13</f>
        <v>0</v>
      </c>
      <c r="AI11" s="33">
        <f>'FS Desroches Daily'!BL13</f>
        <v>0</v>
      </c>
      <c r="AJ11" s="33">
        <f>'FS Desroches Daily'!BN13</f>
        <v>0</v>
      </c>
      <c r="AK11" s="33">
        <f>'FS Desroches Daily'!BP13</f>
        <v>0</v>
      </c>
      <c r="AL11" s="33">
        <f>'FS Desroches Daily'!BR13</f>
        <v>0</v>
      </c>
      <c r="AM11" s="33">
        <f>'FS Desroches Daily'!BT13</f>
        <v>0</v>
      </c>
      <c r="AN11" s="33">
        <f>'FS Desroches Daily'!BV13</f>
        <v>0</v>
      </c>
      <c r="AO11" s="33">
        <f>'FS Desroches Daily'!BX13</f>
        <v>0</v>
      </c>
      <c r="AP11" s="33">
        <f>'FS Desroches Daily'!BZ13</f>
        <v>0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0</v>
      </c>
      <c r="AU11" s="32">
        <f>'FS Desroches Daily'!CJ13</f>
        <v>0</v>
      </c>
      <c r="AV11" s="32">
        <f>'FS Desroches Daily'!CL13</f>
        <v>0</v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2699.9999999999245</v>
      </c>
      <c r="F33" s="17">
        <f t="shared" ref="F33:BC33" si="1">SUM(F2:F32)</f>
        <v>2499.9999999999468</v>
      </c>
      <c r="G33" s="17">
        <f t="shared" si="1"/>
        <v>6800.0000000001392</v>
      </c>
      <c r="H33" s="17">
        <f t="shared" si="1"/>
        <v>3900.0000000000146</v>
      </c>
      <c r="I33" s="17">
        <f t="shared" si="1"/>
        <v>7700.00000000004</v>
      </c>
      <c r="J33" s="17">
        <f t="shared" si="1"/>
        <v>1900.000000000013</v>
      </c>
      <c r="K33" s="17">
        <f t="shared" si="1"/>
        <v>3</v>
      </c>
      <c r="L33" s="17">
        <f t="shared" si="1"/>
        <v>17</v>
      </c>
      <c r="M33" s="17">
        <f t="shared" si="1"/>
        <v>887</v>
      </c>
      <c r="N33" s="17">
        <f t="shared" si="1"/>
        <v>454</v>
      </c>
      <c r="O33" s="17">
        <f t="shared" si="1"/>
        <v>230.00000000001819</v>
      </c>
      <c r="P33" s="17">
        <f t="shared" si="1"/>
        <v>1799.9999999998017</v>
      </c>
      <c r="Q33" s="17">
        <f t="shared" si="1"/>
        <v>329.99999999998408</v>
      </c>
      <c r="R33" s="17">
        <f t="shared" si="1"/>
        <v>490.00000000000909</v>
      </c>
      <c r="S33" s="17">
        <f t="shared" si="1"/>
        <v>640.0000000000432</v>
      </c>
      <c r="T33" s="17">
        <f t="shared" si="1"/>
        <v>4.5</v>
      </c>
      <c r="U33" s="36">
        <f t="shared" si="1"/>
        <v>699.99999999998863</v>
      </c>
      <c r="V33" s="36">
        <f t="shared" si="1"/>
        <v>0.18000000000000682</v>
      </c>
      <c r="W33" s="36">
        <f t="shared" si="1"/>
        <v>0.15999999999999659</v>
      </c>
      <c r="X33" s="36">
        <f t="shared" si="1"/>
        <v>0.12000000000000455</v>
      </c>
      <c r="Y33" s="36">
        <f t="shared" si="1"/>
        <v>170.00000000001592</v>
      </c>
      <c r="Z33" s="36">
        <f t="shared" si="1"/>
        <v>159.99999999996817</v>
      </c>
      <c r="AA33" s="36">
        <f t="shared" si="1"/>
        <v>159.99999999996817</v>
      </c>
      <c r="AB33" s="36">
        <f t="shared" si="1"/>
        <v>79.999999999984084</v>
      </c>
      <c r="AC33" s="36">
        <f t="shared" si="1"/>
        <v>110.00000000001364</v>
      </c>
      <c r="AD33" s="36">
        <f t="shared" si="1"/>
        <v>80.000000000040927</v>
      </c>
      <c r="AE33" s="36">
        <f t="shared" si="1"/>
        <v>39.999999999992042</v>
      </c>
      <c r="AF33" s="17">
        <f t="shared" si="1"/>
        <v>85</v>
      </c>
      <c r="AG33" s="33">
        <f t="shared" si="1"/>
        <v>69.999999999993179</v>
      </c>
      <c r="AH33" s="33">
        <f t="shared" si="1"/>
        <v>120.00000000000455</v>
      </c>
      <c r="AI33" s="33">
        <f t="shared" si="1"/>
        <v>110.00000000001364</v>
      </c>
      <c r="AJ33" s="33">
        <f t="shared" si="1"/>
        <v>120.00000000000455</v>
      </c>
      <c r="AK33" s="33">
        <f t="shared" si="1"/>
        <v>170.00000000001592</v>
      </c>
      <c r="AL33" s="33">
        <f t="shared" si="1"/>
        <v>39</v>
      </c>
      <c r="AM33" s="33">
        <f t="shared" si="1"/>
        <v>30.000000000001137</v>
      </c>
      <c r="AN33" s="33">
        <f t="shared" si="1"/>
        <v>80</v>
      </c>
      <c r="AO33" s="33">
        <f t="shared" si="1"/>
        <v>99.999999999994316</v>
      </c>
      <c r="AP33" s="33">
        <f t="shared" si="1"/>
        <v>97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204.79999999999563</v>
      </c>
      <c r="AU33" s="17">
        <f t="shared" si="1"/>
        <v>797</v>
      </c>
      <c r="AV33" s="17">
        <f t="shared" si="1"/>
        <v>1550.0000000000682</v>
      </c>
      <c r="AW33" s="17">
        <f t="shared" si="1"/>
        <v>125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20.1465</v>
      </c>
      <c r="BC33" s="17">
        <f t="shared" si="1"/>
        <v>0</v>
      </c>
    </row>
    <row r="35" spans="5:55" x14ac:dyDescent="0.25">
      <c r="E35" s="39">
        <f>E33/E37</f>
        <v>0.30208100246139097</v>
      </c>
      <c r="G35" s="30">
        <f>G33-M36</f>
        <v>5459.0000000001392</v>
      </c>
      <c r="AE35" s="36">
        <f>SUM(U33:AE33)</f>
        <v>1500.4599999999716</v>
      </c>
      <c r="AG35" s="33">
        <f>SUM(AG33:AP33)</f>
        <v>936.00000000002728</v>
      </c>
    </row>
    <row r="36" spans="5:55" x14ac:dyDescent="0.25">
      <c r="G36" s="30">
        <f>G35-633*14</f>
        <v>-3402.9999999998608</v>
      </c>
      <c r="M36" s="30">
        <f>M33+N33</f>
        <v>1341</v>
      </c>
    </row>
    <row r="37" spans="5:55" x14ac:dyDescent="0.25">
      <c r="E37" s="17">
        <f>E33+F33+G33+H33+J33-633*14</f>
        <v>8938.00000000004</v>
      </c>
      <c r="G37" s="38">
        <f>M36/E37</f>
        <v>0.15003356455582836</v>
      </c>
      <c r="M37" s="36">
        <f>AE35</f>
        <v>1500.4599999999716</v>
      </c>
    </row>
    <row r="38" spans="5:55" x14ac:dyDescent="0.25">
      <c r="L38" s="28">
        <f>M38/E37</f>
        <v>0.10472141418662151</v>
      </c>
      <c r="M38" s="30">
        <f>AG35</f>
        <v>936.00000000002728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44"/>
  <sheetViews>
    <sheetView tabSelected="1" topLeftCell="BO1" zoomScale="60" zoomScaleNormal="60" workbookViewId="0">
      <pane ySplit="1" topLeftCell="A2" activePane="bottomLeft" state="frozen"/>
      <selection pane="bottomLeft" activeCell="CL15" sqref="CL15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136</v>
      </c>
      <c r="J1" s="76"/>
      <c r="K1" s="75" t="s">
        <v>17</v>
      </c>
      <c r="L1" s="76"/>
      <c r="M1" s="75" t="s">
        <v>137</v>
      </c>
      <c r="N1" s="76"/>
      <c r="O1" s="75" t="s">
        <v>18</v>
      </c>
      <c r="P1" s="76"/>
      <c r="Q1" s="75" t="s">
        <v>19</v>
      </c>
      <c r="R1" s="76"/>
      <c r="S1" s="75" t="s">
        <v>117</v>
      </c>
      <c r="T1" s="76"/>
      <c r="U1" s="75" t="s">
        <v>118</v>
      </c>
      <c r="V1" s="76"/>
      <c r="W1" s="77" t="s">
        <v>119</v>
      </c>
      <c r="X1" s="78"/>
      <c r="Y1" s="75" t="s">
        <v>120</v>
      </c>
      <c r="Z1" s="76"/>
      <c r="AA1" s="75" t="s">
        <v>121</v>
      </c>
      <c r="AB1" s="76"/>
      <c r="AC1" s="75" t="s">
        <v>122</v>
      </c>
      <c r="AD1" s="76"/>
      <c r="AE1" s="75" t="s">
        <v>123</v>
      </c>
      <c r="AF1" s="76"/>
      <c r="AG1" s="75" t="s">
        <v>20</v>
      </c>
      <c r="AH1" s="76"/>
      <c r="AI1" s="75" t="s">
        <v>124</v>
      </c>
      <c r="AJ1" s="76"/>
      <c r="AK1" s="75" t="s">
        <v>125</v>
      </c>
      <c r="AL1" s="76"/>
      <c r="AM1" s="75" t="s">
        <v>126</v>
      </c>
      <c r="AN1" s="76"/>
      <c r="AO1" s="75" t="s">
        <v>127</v>
      </c>
      <c r="AP1" s="76"/>
      <c r="AQ1" s="75" t="s">
        <v>128</v>
      </c>
      <c r="AR1" s="76"/>
      <c r="AS1" s="75" t="s">
        <v>129</v>
      </c>
      <c r="AT1" s="76"/>
      <c r="AU1" s="75" t="s">
        <v>135</v>
      </c>
      <c r="AV1" s="76"/>
      <c r="AW1" s="75" t="s">
        <v>134</v>
      </c>
      <c r="AX1" s="76"/>
      <c r="AY1" s="75" t="s">
        <v>133</v>
      </c>
      <c r="AZ1" s="76"/>
      <c r="BA1" s="75" t="s">
        <v>132</v>
      </c>
      <c r="BB1" s="76"/>
      <c r="BC1" s="75" t="s">
        <v>21</v>
      </c>
      <c r="BD1" s="76"/>
      <c r="BE1" s="75" t="s">
        <v>130</v>
      </c>
      <c r="BF1" s="76"/>
      <c r="BG1" s="75" t="s">
        <v>22</v>
      </c>
      <c r="BH1" s="76"/>
      <c r="BI1" s="75" t="s">
        <v>23</v>
      </c>
      <c r="BJ1" s="76"/>
      <c r="BK1" s="75" t="s">
        <v>24</v>
      </c>
      <c r="BL1" s="76"/>
      <c r="BM1" s="75" t="s">
        <v>25</v>
      </c>
      <c r="BN1" s="76"/>
      <c r="BO1" s="75" t="s">
        <v>26</v>
      </c>
      <c r="BP1" s="76"/>
      <c r="BQ1" s="75" t="s">
        <v>27</v>
      </c>
      <c r="BR1" s="76"/>
      <c r="BS1" s="75" t="s">
        <v>28</v>
      </c>
      <c r="BT1" s="76"/>
      <c r="BU1" s="75" t="s">
        <v>29</v>
      </c>
      <c r="BV1" s="76"/>
      <c r="BW1" s="75" t="s">
        <v>30</v>
      </c>
      <c r="BX1" s="76"/>
      <c r="BY1" s="75" t="s">
        <v>31</v>
      </c>
      <c r="BZ1" s="76"/>
      <c r="CA1" s="75" t="s">
        <v>131</v>
      </c>
      <c r="CB1" s="76"/>
      <c r="CC1" s="75" t="s">
        <v>32</v>
      </c>
      <c r="CD1" s="76"/>
      <c r="CE1" s="75" t="s">
        <v>33</v>
      </c>
      <c r="CF1" s="76"/>
      <c r="CG1" s="75" t="s">
        <v>34</v>
      </c>
      <c r="CH1" s="76"/>
      <c r="CI1" s="75" t="s">
        <v>48</v>
      </c>
      <c r="CJ1" s="76"/>
      <c r="CK1" s="75" t="s">
        <v>36</v>
      </c>
      <c r="CL1" s="76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203.53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J34" si="15">IF((AI4-AI3&lt;0), "",(AI4-AI3)*1000)</f>
        <v>169.99999999995907</v>
      </c>
      <c r="AK4" s="60">
        <v>150.28</v>
      </c>
      <c r="AL4" s="67">
        <f t="shared" ref="AL4:AL34" si="16">IF((AK4-AK3&lt;0), "",AK4-AK3)</f>
        <v>6.0000000000002274E-2</v>
      </c>
      <c r="AM4" s="60">
        <v>149.91999999999999</v>
      </c>
      <c r="AN4" s="67">
        <f t="shared" ref="AN4:AN34" si="17">IF((AM4-AM3&lt;0), "",AM4-AM3)</f>
        <v>4.9999999999982947E-2</v>
      </c>
      <c r="AO4" s="60">
        <v>146.53</v>
      </c>
      <c r="AP4" s="67">
        <f t="shared" ref="AP4:AP34" si="18">IF((AO4-AO3&lt;0), "",AO4-AO3)</f>
        <v>3.0000000000001137E-2</v>
      </c>
      <c r="AQ4" s="60">
        <v>217.58</v>
      </c>
      <c r="AR4" s="67">
        <f t="shared" ref="AR4:AR34" si="19">IF((AQ4-AQ3&lt;0), "",(AQ4-AQ3)*1000)</f>
        <v>40.000000000020464</v>
      </c>
      <c r="AS4" s="60">
        <v>343.98</v>
      </c>
      <c r="AT4" s="67">
        <f t="shared" ref="AT4:AT34" si="20">IF((AS4-AS3&lt;0), "",(AS4-AS3)*1000)</f>
        <v>50.000000000011369</v>
      </c>
      <c r="AU4" s="60">
        <v>265.45999999999998</v>
      </c>
      <c r="AV4" s="67">
        <f t="shared" ref="AV4:AV34" si="21">IF((AU4-AU3&lt;0), "",(AU4-AU3)*1000)</f>
        <v>29.999999999972715</v>
      </c>
      <c r="AW4" s="60">
        <v>293.01</v>
      </c>
      <c r="AX4" s="67">
        <f t="shared" ref="AX4:AX34" si="22">IF((AW4-AW3&lt;0), "",(AW4-AW3)*1000)</f>
        <v>29.999999999972715</v>
      </c>
      <c r="AY4" s="60">
        <v>344.12</v>
      </c>
      <c r="AZ4" s="67">
        <f t="shared" ref="AZ4:AZ34" si="23">IF((AY4-AY3&lt;0), "",(AY4-AY3)*1000)</f>
        <v>30.000000000029559</v>
      </c>
      <c r="BA4" s="60">
        <v>364.11</v>
      </c>
      <c r="BB4" s="67">
        <f t="shared" ref="BB4:BB34" si="24">IF((BA4-BA3&lt;0), "",(BA4-BA3)*1000)</f>
        <v>20.000000000038654</v>
      </c>
      <c r="BC4" s="60">
        <v>203.54</v>
      </c>
      <c r="BD4" s="67">
        <f t="shared" ref="BD4:BD34" si="25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6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7">IF((BK4-BK3&lt;0), "",(BK4-BK3)*1000)</f>
        <v>30.000000000001137</v>
      </c>
      <c r="BM4" s="62">
        <v>213.18</v>
      </c>
      <c r="BN4" s="67">
        <f t="shared" ref="BN4:BN33" si="28">IF((BM4-BM3&lt;0), "",(BM4-BM3)*1000)</f>
        <v>30.000000000001137</v>
      </c>
      <c r="BO4" s="62">
        <v>277.7</v>
      </c>
      <c r="BP4" s="67">
        <f t="shared" ref="BP4:BP34" si="29">IF((BO4-BO3&lt;0), "",(BO4-BO3)*1000)</f>
        <v>50.000000000011369</v>
      </c>
      <c r="BQ4" s="62">
        <v>38690</v>
      </c>
      <c r="BR4" s="67">
        <f t="shared" ref="BR4:BR34" si="30">IF((BQ4-BQ3&lt;0), "",BQ4-BQ3)</f>
        <v>14</v>
      </c>
      <c r="BS4" s="62">
        <v>193.17</v>
      </c>
      <c r="BT4" s="67">
        <f t="shared" ref="BT4" si="31">IF((BS4-BS3&lt;0), "",(BS4-BS3)*1000)</f>
        <v>9.9999999999909051</v>
      </c>
      <c r="BU4" s="62">
        <v>29745</v>
      </c>
      <c r="BV4" s="67">
        <f t="shared" ref="BV4:BV35" si="32">IF((BU4-BU3&lt;0), "",BU4-BU3)</f>
        <v>24</v>
      </c>
      <c r="BW4" s="62">
        <v>223.37</v>
      </c>
      <c r="BX4" s="67">
        <f t="shared" ref="BX4:BX34" si="33">IF((BW4-BW3&lt;0), "",(BW4-BW3)*1000)</f>
        <v>30.000000000001137</v>
      </c>
      <c r="BY4" s="62">
        <v>48493</v>
      </c>
      <c r="BZ4" s="69">
        <f t="shared" ref="BZ4:BZ34" si="34">IF((BY4-BY3&lt;0), "",BY4-BY3)</f>
        <v>28</v>
      </c>
      <c r="CA4" s="62">
        <v>27508.2</v>
      </c>
      <c r="CB4" s="69">
        <f t="shared" ref="CB4:CB33" si="35">IF((CA4-CA3&lt;0), "",CA4-CA3)</f>
        <v>0</v>
      </c>
      <c r="CC4" s="62">
        <v>11251.3</v>
      </c>
      <c r="CD4" s="69">
        <f t="shared" ref="CD4:CD34" si="36">IF((CC4-CC3&lt;0), "",CC4-CC3)</f>
        <v>0</v>
      </c>
      <c r="CE4" s="62">
        <v>5488.9</v>
      </c>
      <c r="CF4" s="69">
        <f t="shared" ref="CF4:CF33" si="37">IF((CE4-CE3&lt;0), "",CE4-CE3)</f>
        <v>0</v>
      </c>
      <c r="CG4" s="62">
        <v>45477.3</v>
      </c>
      <c r="CH4" s="69">
        <f t="shared" ref="CH4:CH34" si="38">IF((CG4-CG3&lt;0), "",CG4-CG3)</f>
        <v>63.400000000001455</v>
      </c>
      <c r="CI4" s="62">
        <v>856597</v>
      </c>
      <c r="CJ4" s="69">
        <f t="shared" ref="CJ4:CJ34" si="39">IF((CI4-CI3&lt;0), "",CI4-CI3)</f>
        <v>202</v>
      </c>
      <c r="CK4" s="62">
        <v>567.37</v>
      </c>
      <c r="CL4" s="66">
        <f t="shared" ref="CL4:CL34" si="40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>
        <f t="shared" ref="P5:P34" si="41">IF((O5-O4&lt;0), "",O5-O4)</f>
        <v>0</v>
      </c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6"/>
        <v>3.9999999999992042E-2</v>
      </c>
      <c r="AM5" s="60">
        <v>149.96</v>
      </c>
      <c r="AN5" s="67">
        <f t="shared" si="17"/>
        <v>4.0000000000020464E-2</v>
      </c>
      <c r="AO5" s="60">
        <v>146.56</v>
      </c>
      <c r="AP5" s="67">
        <f t="shared" si="18"/>
        <v>3.0000000000001137E-2</v>
      </c>
      <c r="AQ5" s="60">
        <v>217.62</v>
      </c>
      <c r="AR5" s="67">
        <f t="shared" si="19"/>
        <v>39.999999999992042</v>
      </c>
      <c r="AS5" s="60">
        <v>344.01</v>
      </c>
      <c r="AT5" s="67">
        <f t="shared" si="20"/>
        <v>29.999999999972715</v>
      </c>
      <c r="AU5" s="60">
        <v>265.48</v>
      </c>
      <c r="AV5" s="67">
        <f t="shared" si="21"/>
        <v>20.000000000038654</v>
      </c>
      <c r="AW5" s="60">
        <v>293.02999999999997</v>
      </c>
      <c r="AX5" s="67">
        <f t="shared" si="22"/>
        <v>19.99999999998181</v>
      </c>
      <c r="AY5" s="60">
        <v>344.15</v>
      </c>
      <c r="AZ5" s="67">
        <f t="shared" si="23"/>
        <v>29.999999999972715</v>
      </c>
      <c r="BA5" s="60">
        <v>364.14</v>
      </c>
      <c r="BB5" s="67">
        <f t="shared" si="24"/>
        <v>29.999999999972715</v>
      </c>
      <c r="BC5" s="60">
        <v>203.55</v>
      </c>
      <c r="BD5" s="67">
        <f t="shared" si="25"/>
        <v>10.000000000019327</v>
      </c>
      <c r="BE5" s="61">
        <v>28912</v>
      </c>
      <c r="BF5" s="69">
        <f t="shared" ref="BF5:BF34" si="42">IF((BE5-BE4&lt;0), "",BE5-BE4)</f>
        <v>24</v>
      </c>
      <c r="BG5" s="62">
        <v>224.56</v>
      </c>
      <c r="BH5" s="67">
        <f t="shared" si="26"/>
        <v>20.000000000010232</v>
      </c>
      <c r="BI5" s="62">
        <v>282.11</v>
      </c>
      <c r="BJ5" s="67">
        <f t="shared" ref="BJ5:BJ34" si="43">IF((BI5-BI4&lt;0), "",(BI5-BI4)*1000)</f>
        <v>30.000000000029559</v>
      </c>
      <c r="BK5" s="62">
        <v>230.1</v>
      </c>
      <c r="BL5" s="67">
        <f t="shared" si="27"/>
        <v>30.000000000001137</v>
      </c>
      <c r="BM5" s="62">
        <v>213.21</v>
      </c>
      <c r="BN5" s="67">
        <f t="shared" si="28"/>
        <v>30.000000000001137</v>
      </c>
      <c r="BO5" s="62">
        <v>277.74</v>
      </c>
      <c r="BP5" s="67">
        <f t="shared" si="29"/>
        <v>40.000000000020464</v>
      </c>
      <c r="BQ5" s="62">
        <v>38698</v>
      </c>
      <c r="BR5" s="67">
        <f t="shared" si="30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32"/>
        <v>16</v>
      </c>
      <c r="BW5" s="62">
        <v>223.39</v>
      </c>
      <c r="BX5" s="67">
        <f t="shared" si="33"/>
        <v>19.99999999998181</v>
      </c>
      <c r="BY5" s="62">
        <v>48516</v>
      </c>
      <c r="BZ5" s="69">
        <f t="shared" si="34"/>
        <v>23</v>
      </c>
      <c r="CA5" s="62">
        <v>27508.2</v>
      </c>
      <c r="CB5" s="69">
        <f t="shared" si="35"/>
        <v>0</v>
      </c>
      <c r="CC5" s="62">
        <v>11251.3</v>
      </c>
      <c r="CD5" s="69">
        <f t="shared" si="36"/>
        <v>0</v>
      </c>
      <c r="CE5" s="62">
        <v>5488.9</v>
      </c>
      <c r="CF5" s="69">
        <f t="shared" si="37"/>
        <v>0</v>
      </c>
      <c r="CG5" s="62">
        <v>45515.5</v>
      </c>
      <c r="CH5" s="69">
        <f t="shared" si="38"/>
        <v>38.19999999999709</v>
      </c>
      <c r="CI5" s="62">
        <v>856795</v>
      </c>
      <c r="CJ5" s="69">
        <f t="shared" si="39"/>
        <v>198</v>
      </c>
      <c r="CK5" s="62">
        <v>567.73</v>
      </c>
      <c r="CL5" s="66">
        <f t="shared" si="40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si="41"/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6"/>
        <v>4.0000000000020464E-2</v>
      </c>
      <c r="AM6" s="60">
        <v>150</v>
      </c>
      <c r="AN6" s="67">
        <f t="shared" si="17"/>
        <v>3.9999999999992042E-2</v>
      </c>
      <c r="AO6" s="60">
        <v>146.59</v>
      </c>
      <c r="AP6" s="67">
        <f t="shared" si="18"/>
        <v>3.0000000000001137E-2</v>
      </c>
      <c r="AQ6" s="60">
        <v>217.66</v>
      </c>
      <c r="AR6" s="67">
        <f t="shared" si="19"/>
        <v>39.999999999992042</v>
      </c>
      <c r="AS6" s="60">
        <v>344.05</v>
      </c>
      <c r="AT6" s="67">
        <f t="shared" si="20"/>
        <v>40.000000000020464</v>
      </c>
      <c r="AU6" s="60">
        <v>265.49</v>
      </c>
      <c r="AV6" s="67">
        <f t="shared" si="21"/>
        <v>9.9999999999909051</v>
      </c>
      <c r="AW6" s="60">
        <v>293.05</v>
      </c>
      <c r="AX6" s="67">
        <f t="shared" si="22"/>
        <v>20.000000000038654</v>
      </c>
      <c r="AY6" s="60">
        <v>344.17</v>
      </c>
      <c r="AZ6" s="67">
        <f t="shared" si="23"/>
        <v>20.000000000038654</v>
      </c>
      <c r="BA6" s="60">
        <v>364.15</v>
      </c>
      <c r="BB6" s="67">
        <f t="shared" si="24"/>
        <v>9.9999999999909051</v>
      </c>
      <c r="BC6" s="60">
        <v>203.56</v>
      </c>
      <c r="BD6" s="67">
        <f t="shared" si="25"/>
        <v>9.9999999999909051</v>
      </c>
      <c r="BE6" s="61">
        <v>28942</v>
      </c>
      <c r="BF6" s="69">
        <f t="shared" si="42"/>
        <v>30</v>
      </c>
      <c r="BG6" s="62">
        <v>224.57</v>
      </c>
      <c r="BH6" s="67">
        <f t="shared" si="26"/>
        <v>9.9999999999909051</v>
      </c>
      <c r="BI6" s="62">
        <v>282.14</v>
      </c>
      <c r="BJ6" s="67">
        <f t="shared" si="43"/>
        <v>29.999999999972715</v>
      </c>
      <c r="BK6" s="62">
        <v>230.13</v>
      </c>
      <c r="BL6" s="67">
        <f t="shared" si="27"/>
        <v>30.000000000001137</v>
      </c>
      <c r="BM6" s="62">
        <v>213.24</v>
      </c>
      <c r="BN6" s="67">
        <f t="shared" si="28"/>
        <v>30.000000000001137</v>
      </c>
      <c r="BO6" s="62">
        <v>277.77999999999997</v>
      </c>
      <c r="BP6" s="67">
        <f t="shared" si="29"/>
        <v>39.99999999996362</v>
      </c>
      <c r="BQ6" s="62">
        <v>38707</v>
      </c>
      <c r="BR6" s="67">
        <f t="shared" si="30"/>
        <v>9</v>
      </c>
      <c r="BS6" s="62">
        <v>193.18</v>
      </c>
      <c r="BT6" s="67">
        <f t="shared" ref="BT6:BT35" si="44">IF((BS6-BS5&lt;0), "",(BS6-BS5)*1000)</f>
        <v>10.000000000019327</v>
      </c>
      <c r="BU6" s="62">
        <v>29782</v>
      </c>
      <c r="BV6" s="67">
        <f t="shared" si="32"/>
        <v>21</v>
      </c>
      <c r="BW6" s="62">
        <v>223.42</v>
      </c>
      <c r="BX6" s="67">
        <f t="shared" si="33"/>
        <v>30.000000000001137</v>
      </c>
      <c r="BY6" s="62">
        <v>48540</v>
      </c>
      <c r="BZ6" s="69">
        <f t="shared" si="34"/>
        <v>24</v>
      </c>
      <c r="CA6" s="62">
        <v>27508.2</v>
      </c>
      <c r="CB6" s="69">
        <f t="shared" si="35"/>
        <v>0</v>
      </c>
      <c r="CC6" s="62">
        <v>11251.3</v>
      </c>
      <c r="CD6" s="69">
        <f t="shared" si="36"/>
        <v>0</v>
      </c>
      <c r="CE6" s="62">
        <v>5488.9</v>
      </c>
      <c r="CF6" s="69">
        <f t="shared" si="37"/>
        <v>0</v>
      </c>
      <c r="CG6" s="62">
        <v>45574.1</v>
      </c>
      <c r="CH6" s="69">
        <f t="shared" si="38"/>
        <v>58.599999999998545</v>
      </c>
      <c r="CI6" s="62">
        <v>856988</v>
      </c>
      <c r="CJ6" s="69">
        <f t="shared" si="39"/>
        <v>193</v>
      </c>
      <c r="CK6" s="62">
        <v>568.16999999999996</v>
      </c>
      <c r="CL6" s="66">
        <f t="shared" si="40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/>
      <c r="P7" s="69" t="str">
        <f t="shared" si="41"/>
        <v/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6"/>
        <v>3.9999999999992042E-2</v>
      </c>
      <c r="AM7" s="60">
        <v>150.03</v>
      </c>
      <c r="AN7" s="67">
        <f t="shared" si="17"/>
        <v>3.0000000000001137E-2</v>
      </c>
      <c r="AO7" s="60">
        <v>146.62</v>
      </c>
      <c r="AP7" s="67">
        <f t="shared" si="18"/>
        <v>3.0000000000001137E-2</v>
      </c>
      <c r="AQ7" s="60">
        <v>217.71</v>
      </c>
      <c r="AR7" s="67">
        <f t="shared" si="19"/>
        <v>50.000000000011369</v>
      </c>
      <c r="AS7" s="60">
        <v>344.09</v>
      </c>
      <c r="AT7" s="67">
        <f t="shared" si="20"/>
        <v>39.99999999996362</v>
      </c>
      <c r="AU7" s="60">
        <v>265.51</v>
      </c>
      <c r="AV7" s="67">
        <f t="shared" si="21"/>
        <v>19.99999999998181</v>
      </c>
      <c r="AW7" s="60">
        <v>293.07</v>
      </c>
      <c r="AX7" s="67">
        <f t="shared" si="22"/>
        <v>19.99999999998181</v>
      </c>
      <c r="AY7" s="60">
        <v>344.2</v>
      </c>
      <c r="AZ7" s="67">
        <f t="shared" si="23"/>
        <v>29.999999999972715</v>
      </c>
      <c r="BA7" s="60">
        <v>364.17</v>
      </c>
      <c r="BB7" s="67">
        <f t="shared" si="24"/>
        <v>20.000000000038654</v>
      </c>
      <c r="BC7" s="60">
        <v>203.57</v>
      </c>
      <c r="BD7" s="67">
        <f t="shared" si="25"/>
        <v>9.9999999999909051</v>
      </c>
      <c r="BE7" s="61"/>
      <c r="BF7" s="69" t="str">
        <f t="shared" si="42"/>
        <v/>
      </c>
      <c r="BG7" s="62">
        <v>224.59</v>
      </c>
      <c r="BH7" s="67">
        <f t="shared" si="26"/>
        <v>20.000000000010232</v>
      </c>
      <c r="BI7" s="62">
        <v>282.17</v>
      </c>
      <c r="BJ7" s="67">
        <f t="shared" si="43"/>
        <v>30.000000000029559</v>
      </c>
      <c r="BK7" s="62">
        <v>230.15</v>
      </c>
      <c r="BL7" s="67">
        <f t="shared" si="27"/>
        <v>20.000000000010232</v>
      </c>
      <c r="BM7" s="62">
        <v>213.27</v>
      </c>
      <c r="BN7" s="67">
        <f t="shared" si="28"/>
        <v>30.000000000001137</v>
      </c>
      <c r="BO7" s="62">
        <v>277.82</v>
      </c>
      <c r="BP7" s="67">
        <f t="shared" si="29"/>
        <v>40.000000000020464</v>
      </c>
      <c r="BQ7" s="62">
        <v>38715</v>
      </c>
      <c r="BR7" s="67">
        <f t="shared" si="30"/>
        <v>8</v>
      </c>
      <c r="BS7" s="62">
        <v>193.19</v>
      </c>
      <c r="BT7" s="67">
        <f t="shared" si="44"/>
        <v>9.9999999999909051</v>
      </c>
      <c r="BU7" s="62">
        <v>29801</v>
      </c>
      <c r="BV7" s="67">
        <f t="shared" si="32"/>
        <v>19</v>
      </c>
      <c r="BW7" s="62">
        <v>223.44</v>
      </c>
      <c r="BX7" s="67">
        <f t="shared" si="33"/>
        <v>20.000000000010232</v>
      </c>
      <c r="BY7" s="62">
        <v>48562</v>
      </c>
      <c r="BZ7" s="69">
        <f t="shared" si="34"/>
        <v>22</v>
      </c>
      <c r="CA7" s="62">
        <v>27508.2</v>
      </c>
      <c r="CB7" s="69">
        <f t="shared" si="35"/>
        <v>0</v>
      </c>
      <c r="CC7" s="62">
        <v>11251.3</v>
      </c>
      <c r="CD7" s="69">
        <f t="shared" si="36"/>
        <v>0</v>
      </c>
      <c r="CE7" s="62">
        <v>5488.9</v>
      </c>
      <c r="CF7" s="69">
        <f t="shared" si="37"/>
        <v>0</v>
      </c>
      <c r="CG7" s="62">
        <v>45618.7</v>
      </c>
      <c r="CH7" s="69">
        <f t="shared" si="38"/>
        <v>44.599999999998545</v>
      </c>
      <c r="CI7" s="62">
        <v>857192</v>
      </c>
      <c r="CJ7" s="69">
        <f t="shared" si="39"/>
        <v>204</v>
      </c>
      <c r="CK7" s="62">
        <v>568.58000000000004</v>
      </c>
      <c r="CL7" s="66">
        <f t="shared" si="40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/>
      <c r="D8" s="66" t="str">
        <f t="shared" si="0"/>
        <v>0</v>
      </c>
      <c r="E8" s="60"/>
      <c r="F8" s="66" t="str">
        <f t="shared" si="1"/>
        <v>0</v>
      </c>
      <c r="G8" s="60"/>
      <c r="H8" s="66" t="str">
        <f t="shared" si="2"/>
        <v>0</v>
      </c>
      <c r="I8" s="60"/>
      <c r="J8" s="66" t="str">
        <f t="shared" si="3"/>
        <v>0</v>
      </c>
      <c r="K8" s="60"/>
      <c r="L8" s="66" t="str">
        <f t="shared" si="4"/>
        <v>0</v>
      </c>
      <c r="M8" s="60"/>
      <c r="N8" s="66" t="str">
        <f t="shared" si="5"/>
        <v/>
      </c>
      <c r="O8" s="60"/>
      <c r="P8" s="69">
        <f t="shared" si="41"/>
        <v>0</v>
      </c>
      <c r="Q8" s="60"/>
      <c r="R8" s="69" t="str">
        <f t="shared" si="6"/>
        <v/>
      </c>
      <c r="S8" s="60"/>
      <c r="T8" s="69" t="str">
        <f t="shared" si="7"/>
        <v/>
      </c>
      <c r="U8" s="60"/>
      <c r="V8" s="69" t="str">
        <f t="shared" si="8"/>
        <v/>
      </c>
      <c r="W8" s="60"/>
      <c r="X8" s="67" t="str">
        <f t="shared" si="9"/>
        <v/>
      </c>
      <c r="Y8" s="60"/>
      <c r="Z8" s="67" t="str">
        <f t="shared" si="10"/>
        <v/>
      </c>
      <c r="AA8" s="60"/>
      <c r="AB8" s="67" t="str">
        <f t="shared" si="11"/>
        <v/>
      </c>
      <c r="AC8" s="60"/>
      <c r="AD8" s="67" t="str">
        <f t="shared" si="12"/>
        <v/>
      </c>
      <c r="AE8" s="60"/>
      <c r="AF8" s="67" t="str">
        <f t="shared" si="13"/>
        <v/>
      </c>
      <c r="AG8" s="60"/>
      <c r="AH8" s="69" t="str">
        <f t="shared" si="14"/>
        <v/>
      </c>
      <c r="AI8" s="60"/>
      <c r="AJ8" s="67" t="str">
        <f t="shared" si="15"/>
        <v/>
      </c>
      <c r="AK8" s="60"/>
      <c r="AL8" s="67" t="str">
        <f t="shared" si="16"/>
        <v/>
      </c>
      <c r="AM8" s="60"/>
      <c r="AN8" s="67" t="str">
        <f t="shared" si="17"/>
        <v/>
      </c>
      <c r="AO8" s="60"/>
      <c r="AP8" s="67" t="str">
        <f t="shared" si="18"/>
        <v/>
      </c>
      <c r="AQ8" s="60"/>
      <c r="AR8" s="67" t="str">
        <f t="shared" si="19"/>
        <v/>
      </c>
      <c r="AS8" s="60"/>
      <c r="AT8" s="67" t="str">
        <f t="shared" si="20"/>
        <v/>
      </c>
      <c r="AU8" s="60"/>
      <c r="AV8" s="67" t="str">
        <f t="shared" si="21"/>
        <v/>
      </c>
      <c r="AW8" s="60"/>
      <c r="AX8" s="67" t="str">
        <f t="shared" si="22"/>
        <v/>
      </c>
      <c r="AY8" s="60"/>
      <c r="AZ8" s="67" t="str">
        <f t="shared" si="23"/>
        <v/>
      </c>
      <c r="BA8" s="60"/>
      <c r="BB8" s="67" t="str">
        <f t="shared" si="24"/>
        <v/>
      </c>
      <c r="BC8" s="60"/>
      <c r="BD8" s="67" t="str">
        <f t="shared" si="25"/>
        <v/>
      </c>
      <c r="BE8" s="61"/>
      <c r="BF8" s="69">
        <f t="shared" si="42"/>
        <v>0</v>
      </c>
      <c r="BG8" s="62"/>
      <c r="BH8" s="67" t="str">
        <f t="shared" si="26"/>
        <v/>
      </c>
      <c r="BI8" s="62"/>
      <c r="BJ8" s="67" t="str">
        <f t="shared" si="43"/>
        <v/>
      </c>
      <c r="BK8" s="62"/>
      <c r="BL8" s="67" t="str">
        <f t="shared" si="27"/>
        <v/>
      </c>
      <c r="BM8" s="62"/>
      <c r="BN8" s="67" t="str">
        <f t="shared" si="28"/>
        <v/>
      </c>
      <c r="BO8" s="62"/>
      <c r="BP8" s="67" t="str">
        <f t="shared" si="29"/>
        <v/>
      </c>
      <c r="BQ8" s="62"/>
      <c r="BR8" s="67" t="str">
        <f t="shared" si="30"/>
        <v/>
      </c>
      <c r="BS8" s="62"/>
      <c r="BT8" s="67" t="str">
        <f t="shared" si="44"/>
        <v/>
      </c>
      <c r="BU8" s="62"/>
      <c r="BV8" s="67" t="str">
        <f t="shared" si="32"/>
        <v/>
      </c>
      <c r="BW8" s="62"/>
      <c r="BX8" s="67" t="str">
        <f t="shared" si="33"/>
        <v/>
      </c>
      <c r="BY8" s="62"/>
      <c r="BZ8" s="69" t="str">
        <f t="shared" si="34"/>
        <v/>
      </c>
      <c r="CA8" s="62"/>
      <c r="CB8" s="69" t="str">
        <f t="shared" si="35"/>
        <v/>
      </c>
      <c r="CC8" s="62"/>
      <c r="CD8" s="69" t="str">
        <f t="shared" si="36"/>
        <v/>
      </c>
      <c r="CE8" s="62"/>
      <c r="CF8" s="69" t="str">
        <f t="shared" si="37"/>
        <v/>
      </c>
      <c r="CG8" s="62"/>
      <c r="CH8" s="69" t="str">
        <f t="shared" si="38"/>
        <v/>
      </c>
      <c r="CI8" s="62"/>
      <c r="CJ8" s="69" t="str">
        <f t="shared" si="39"/>
        <v/>
      </c>
      <c r="CK8" s="62"/>
      <c r="CL8" s="66" t="str">
        <f t="shared" si="40"/>
        <v/>
      </c>
      <c r="CM8" s="67"/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/>
      <c r="D9" s="66">
        <f t="shared" si="0"/>
        <v>0</v>
      </c>
      <c r="E9" s="60"/>
      <c r="F9" s="66">
        <f t="shared" si="1"/>
        <v>0</v>
      </c>
      <c r="G9" s="60"/>
      <c r="H9" s="66">
        <f t="shared" si="2"/>
        <v>0</v>
      </c>
      <c r="I9" s="60"/>
      <c r="J9" s="66">
        <f t="shared" si="3"/>
        <v>0</v>
      </c>
      <c r="K9" s="60"/>
      <c r="L9" s="66">
        <f t="shared" si="4"/>
        <v>0</v>
      </c>
      <c r="M9" s="60"/>
      <c r="N9" s="66">
        <f t="shared" si="5"/>
        <v>0</v>
      </c>
      <c r="O9" s="60"/>
      <c r="P9" s="69">
        <f t="shared" si="41"/>
        <v>0</v>
      </c>
      <c r="Q9" s="60"/>
      <c r="R9" s="69">
        <f t="shared" si="6"/>
        <v>0</v>
      </c>
      <c r="S9" s="60"/>
      <c r="T9" s="69">
        <f t="shared" si="7"/>
        <v>0</v>
      </c>
      <c r="U9" s="60"/>
      <c r="V9" s="69">
        <f t="shared" si="8"/>
        <v>0</v>
      </c>
      <c r="W9" s="60"/>
      <c r="X9" s="67">
        <f t="shared" si="9"/>
        <v>0</v>
      </c>
      <c r="Y9" s="60"/>
      <c r="Z9" s="67">
        <f t="shared" si="10"/>
        <v>0</v>
      </c>
      <c r="AA9" s="60"/>
      <c r="AB9" s="67">
        <f t="shared" si="11"/>
        <v>0</v>
      </c>
      <c r="AC9" s="60"/>
      <c r="AD9" s="67">
        <f t="shared" si="12"/>
        <v>0</v>
      </c>
      <c r="AE9" s="60"/>
      <c r="AF9" s="67">
        <f t="shared" si="13"/>
        <v>0</v>
      </c>
      <c r="AG9" s="60"/>
      <c r="AH9" s="69">
        <f t="shared" si="14"/>
        <v>0</v>
      </c>
      <c r="AI9" s="60"/>
      <c r="AJ9" s="67">
        <f t="shared" si="15"/>
        <v>0</v>
      </c>
      <c r="AK9" s="60"/>
      <c r="AL9" s="67">
        <f t="shared" si="16"/>
        <v>0</v>
      </c>
      <c r="AM9" s="60"/>
      <c r="AN9" s="67">
        <f t="shared" si="17"/>
        <v>0</v>
      </c>
      <c r="AO9" s="60"/>
      <c r="AP9" s="67">
        <f t="shared" si="18"/>
        <v>0</v>
      </c>
      <c r="AQ9" s="60"/>
      <c r="AR9" s="67">
        <f t="shared" si="19"/>
        <v>0</v>
      </c>
      <c r="AS9" s="60"/>
      <c r="AT9" s="67">
        <f t="shared" si="20"/>
        <v>0</v>
      </c>
      <c r="AU9" s="60"/>
      <c r="AV9" s="67">
        <f t="shared" si="21"/>
        <v>0</v>
      </c>
      <c r="AW9" s="60"/>
      <c r="AX9" s="67">
        <f t="shared" si="22"/>
        <v>0</v>
      </c>
      <c r="AY9" s="60"/>
      <c r="AZ9" s="67">
        <f t="shared" si="23"/>
        <v>0</v>
      </c>
      <c r="BA9" s="60"/>
      <c r="BB9" s="67">
        <f t="shared" si="24"/>
        <v>0</v>
      </c>
      <c r="BC9" s="60"/>
      <c r="BD9" s="67">
        <f t="shared" si="25"/>
        <v>0</v>
      </c>
      <c r="BE9" s="61"/>
      <c r="BF9" s="69">
        <f t="shared" si="42"/>
        <v>0</v>
      </c>
      <c r="BG9" s="62"/>
      <c r="BH9" s="67">
        <f t="shared" si="26"/>
        <v>0</v>
      </c>
      <c r="BI9" s="62"/>
      <c r="BJ9" s="67">
        <f t="shared" si="43"/>
        <v>0</v>
      </c>
      <c r="BK9" s="62"/>
      <c r="BL9" s="67">
        <f t="shared" si="27"/>
        <v>0</v>
      </c>
      <c r="BM9" s="62"/>
      <c r="BN9" s="67">
        <f t="shared" si="28"/>
        <v>0</v>
      </c>
      <c r="BO9" s="62"/>
      <c r="BP9" s="67">
        <f t="shared" si="29"/>
        <v>0</v>
      </c>
      <c r="BQ9" s="62"/>
      <c r="BR9" s="67">
        <f t="shared" si="30"/>
        <v>0</v>
      </c>
      <c r="BS9" s="62"/>
      <c r="BT9" s="67">
        <f t="shared" si="44"/>
        <v>0</v>
      </c>
      <c r="BU9" s="62"/>
      <c r="BV9" s="67">
        <f t="shared" si="32"/>
        <v>0</v>
      </c>
      <c r="BW9" s="62"/>
      <c r="BX9" s="67">
        <f t="shared" si="33"/>
        <v>0</v>
      </c>
      <c r="BY9" s="62"/>
      <c r="BZ9" s="69">
        <f t="shared" si="34"/>
        <v>0</v>
      </c>
      <c r="CA9" s="62"/>
      <c r="CB9" s="69">
        <f t="shared" si="35"/>
        <v>0</v>
      </c>
      <c r="CC9" s="62"/>
      <c r="CD9" s="69">
        <f t="shared" si="36"/>
        <v>0</v>
      </c>
      <c r="CE9" s="62"/>
      <c r="CF9" s="69">
        <f t="shared" si="37"/>
        <v>0</v>
      </c>
      <c r="CG9" s="62"/>
      <c r="CH9" s="69">
        <f t="shared" si="38"/>
        <v>0</v>
      </c>
      <c r="CI9" s="62"/>
      <c r="CJ9" s="69">
        <f t="shared" si="39"/>
        <v>0</v>
      </c>
      <c r="CK9" s="62"/>
      <c r="CL9" s="66">
        <f t="shared" si="40"/>
        <v>0</v>
      </c>
      <c r="CM9" s="67"/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/>
      <c r="D10" s="66">
        <f t="shared" si="0"/>
        <v>0</v>
      </c>
      <c r="E10" s="60"/>
      <c r="F10" s="66">
        <f t="shared" si="1"/>
        <v>0</v>
      </c>
      <c r="G10" s="60"/>
      <c r="H10" s="66">
        <f t="shared" si="2"/>
        <v>0</v>
      </c>
      <c r="I10" s="60"/>
      <c r="J10" s="66">
        <f t="shared" si="3"/>
        <v>0</v>
      </c>
      <c r="K10" s="60"/>
      <c r="L10" s="66">
        <f t="shared" si="4"/>
        <v>0</v>
      </c>
      <c r="M10" s="60"/>
      <c r="N10" s="66">
        <f t="shared" si="5"/>
        <v>0</v>
      </c>
      <c r="O10" s="60"/>
      <c r="P10" s="69">
        <f t="shared" si="41"/>
        <v>0</v>
      </c>
      <c r="Q10" s="60"/>
      <c r="R10" s="69">
        <f t="shared" si="6"/>
        <v>0</v>
      </c>
      <c r="S10" s="60"/>
      <c r="T10" s="69">
        <f t="shared" si="7"/>
        <v>0</v>
      </c>
      <c r="U10" s="60"/>
      <c r="V10" s="69">
        <f t="shared" si="8"/>
        <v>0</v>
      </c>
      <c r="W10" s="60"/>
      <c r="X10" s="67">
        <f t="shared" si="9"/>
        <v>0</v>
      </c>
      <c r="Y10" s="60"/>
      <c r="Z10" s="67">
        <f t="shared" si="10"/>
        <v>0</v>
      </c>
      <c r="AA10" s="60"/>
      <c r="AB10" s="67">
        <f t="shared" si="11"/>
        <v>0</v>
      </c>
      <c r="AC10" s="60"/>
      <c r="AD10" s="67">
        <f t="shared" si="12"/>
        <v>0</v>
      </c>
      <c r="AE10" s="60"/>
      <c r="AF10" s="67">
        <f t="shared" si="13"/>
        <v>0</v>
      </c>
      <c r="AG10" s="60"/>
      <c r="AH10" s="69">
        <f t="shared" si="14"/>
        <v>0</v>
      </c>
      <c r="AI10" s="60"/>
      <c r="AJ10" s="67">
        <f t="shared" si="15"/>
        <v>0</v>
      </c>
      <c r="AK10" s="60"/>
      <c r="AL10" s="67">
        <f t="shared" si="16"/>
        <v>0</v>
      </c>
      <c r="AM10" s="60"/>
      <c r="AN10" s="67">
        <f t="shared" si="17"/>
        <v>0</v>
      </c>
      <c r="AO10" s="60"/>
      <c r="AP10" s="67">
        <f t="shared" si="18"/>
        <v>0</v>
      </c>
      <c r="AQ10" s="60"/>
      <c r="AR10" s="67">
        <f t="shared" si="19"/>
        <v>0</v>
      </c>
      <c r="AS10" s="60"/>
      <c r="AT10" s="67">
        <f t="shared" si="20"/>
        <v>0</v>
      </c>
      <c r="AU10" s="60"/>
      <c r="AV10" s="67">
        <f t="shared" si="21"/>
        <v>0</v>
      </c>
      <c r="AW10" s="60"/>
      <c r="AX10" s="67">
        <f t="shared" si="22"/>
        <v>0</v>
      </c>
      <c r="AY10" s="60"/>
      <c r="AZ10" s="67">
        <f t="shared" si="23"/>
        <v>0</v>
      </c>
      <c r="BA10" s="60"/>
      <c r="BB10" s="67">
        <f t="shared" si="24"/>
        <v>0</v>
      </c>
      <c r="BC10" s="60"/>
      <c r="BD10" s="67">
        <f t="shared" si="25"/>
        <v>0</v>
      </c>
      <c r="BE10" s="61"/>
      <c r="BF10" s="69">
        <f t="shared" si="42"/>
        <v>0</v>
      </c>
      <c r="BG10" s="62"/>
      <c r="BH10" s="67">
        <f t="shared" si="26"/>
        <v>0</v>
      </c>
      <c r="BI10" s="62"/>
      <c r="BJ10" s="67">
        <f t="shared" si="43"/>
        <v>0</v>
      </c>
      <c r="BK10" s="62"/>
      <c r="BL10" s="67">
        <f t="shared" si="27"/>
        <v>0</v>
      </c>
      <c r="BM10" s="62"/>
      <c r="BN10" s="67">
        <f t="shared" si="28"/>
        <v>0</v>
      </c>
      <c r="BO10" s="62"/>
      <c r="BP10" s="67">
        <f t="shared" si="29"/>
        <v>0</v>
      </c>
      <c r="BQ10" s="62"/>
      <c r="BR10" s="67">
        <f t="shared" si="30"/>
        <v>0</v>
      </c>
      <c r="BS10" s="62"/>
      <c r="BT10" s="67">
        <f t="shared" si="44"/>
        <v>0</v>
      </c>
      <c r="BU10" s="62"/>
      <c r="BV10" s="67">
        <f t="shared" si="32"/>
        <v>0</v>
      </c>
      <c r="BW10" s="62"/>
      <c r="BX10" s="67">
        <f t="shared" si="33"/>
        <v>0</v>
      </c>
      <c r="BY10" s="62"/>
      <c r="BZ10" s="69">
        <f t="shared" si="34"/>
        <v>0</v>
      </c>
      <c r="CA10" s="62"/>
      <c r="CB10" s="69">
        <f t="shared" si="35"/>
        <v>0</v>
      </c>
      <c r="CC10" s="62"/>
      <c r="CD10" s="69">
        <f t="shared" si="36"/>
        <v>0</v>
      </c>
      <c r="CE10" s="62"/>
      <c r="CF10" s="69">
        <f t="shared" si="37"/>
        <v>0</v>
      </c>
      <c r="CG10" s="62"/>
      <c r="CH10" s="69">
        <f t="shared" si="38"/>
        <v>0</v>
      </c>
      <c r="CI10" s="62"/>
      <c r="CJ10" s="69">
        <f t="shared" si="39"/>
        <v>0</v>
      </c>
      <c r="CK10" s="62"/>
      <c r="CL10" s="66">
        <f t="shared" si="40"/>
        <v>0</v>
      </c>
      <c r="CM10" s="67"/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/>
      <c r="D11" s="66">
        <f t="shared" si="0"/>
        <v>0</v>
      </c>
      <c r="E11" s="60"/>
      <c r="F11" s="66">
        <f t="shared" si="1"/>
        <v>0</v>
      </c>
      <c r="G11" s="60"/>
      <c r="H11" s="66">
        <f t="shared" si="2"/>
        <v>0</v>
      </c>
      <c r="I11" s="60"/>
      <c r="J11" s="66">
        <f t="shared" si="3"/>
        <v>0</v>
      </c>
      <c r="K11" s="60"/>
      <c r="L11" s="66">
        <f t="shared" si="4"/>
        <v>0</v>
      </c>
      <c r="M11" s="60"/>
      <c r="N11" s="66">
        <f t="shared" si="5"/>
        <v>0</v>
      </c>
      <c r="O11" s="60"/>
      <c r="P11" s="69">
        <f t="shared" si="41"/>
        <v>0</v>
      </c>
      <c r="Q11" s="60"/>
      <c r="R11" s="69">
        <f t="shared" si="6"/>
        <v>0</v>
      </c>
      <c r="S11" s="60"/>
      <c r="T11" s="69">
        <f t="shared" si="7"/>
        <v>0</v>
      </c>
      <c r="U11" s="60"/>
      <c r="V11" s="69">
        <f t="shared" si="8"/>
        <v>0</v>
      </c>
      <c r="W11" s="60"/>
      <c r="X11" s="67">
        <f t="shared" si="9"/>
        <v>0</v>
      </c>
      <c r="Y11" s="60"/>
      <c r="Z11" s="67">
        <f t="shared" si="10"/>
        <v>0</v>
      </c>
      <c r="AA11" s="60"/>
      <c r="AB11" s="67">
        <f t="shared" si="11"/>
        <v>0</v>
      </c>
      <c r="AC11" s="60"/>
      <c r="AD11" s="67">
        <f t="shared" si="12"/>
        <v>0</v>
      </c>
      <c r="AE11" s="60"/>
      <c r="AF11" s="67">
        <f t="shared" si="13"/>
        <v>0</v>
      </c>
      <c r="AG11" s="60"/>
      <c r="AH11" s="69">
        <f t="shared" si="14"/>
        <v>0</v>
      </c>
      <c r="AI11" s="60"/>
      <c r="AJ11" s="67">
        <f t="shared" si="15"/>
        <v>0</v>
      </c>
      <c r="AK11" s="60"/>
      <c r="AL11" s="67">
        <f t="shared" si="16"/>
        <v>0</v>
      </c>
      <c r="AM11" s="60"/>
      <c r="AN11" s="67">
        <f t="shared" si="17"/>
        <v>0</v>
      </c>
      <c r="AO11" s="60"/>
      <c r="AP11" s="67">
        <f t="shared" si="18"/>
        <v>0</v>
      </c>
      <c r="AQ11" s="60"/>
      <c r="AR11" s="67">
        <f t="shared" si="19"/>
        <v>0</v>
      </c>
      <c r="AS11" s="60"/>
      <c r="AT11" s="67">
        <f t="shared" si="20"/>
        <v>0</v>
      </c>
      <c r="AU11" s="60"/>
      <c r="AV11" s="67">
        <f t="shared" si="21"/>
        <v>0</v>
      </c>
      <c r="AW11" s="60"/>
      <c r="AX11" s="67">
        <f t="shared" si="22"/>
        <v>0</v>
      </c>
      <c r="AY11" s="60"/>
      <c r="AZ11" s="67">
        <f t="shared" si="23"/>
        <v>0</v>
      </c>
      <c r="BA11" s="60"/>
      <c r="BB11" s="67">
        <f t="shared" si="24"/>
        <v>0</v>
      </c>
      <c r="BC11" s="60"/>
      <c r="BD11" s="67">
        <f t="shared" si="25"/>
        <v>0</v>
      </c>
      <c r="BE11" s="61"/>
      <c r="BF11" s="69">
        <f t="shared" si="42"/>
        <v>0</v>
      </c>
      <c r="BG11" s="62"/>
      <c r="BH11" s="67">
        <f t="shared" si="26"/>
        <v>0</v>
      </c>
      <c r="BI11" s="62"/>
      <c r="BJ11" s="67">
        <f t="shared" si="43"/>
        <v>0</v>
      </c>
      <c r="BK11" s="62"/>
      <c r="BL11" s="67">
        <f t="shared" si="27"/>
        <v>0</v>
      </c>
      <c r="BM11" s="62"/>
      <c r="BN11" s="67">
        <f t="shared" si="28"/>
        <v>0</v>
      </c>
      <c r="BO11" s="62"/>
      <c r="BP11" s="67">
        <f t="shared" si="29"/>
        <v>0</v>
      </c>
      <c r="BQ11" s="62"/>
      <c r="BR11" s="67">
        <f t="shared" si="30"/>
        <v>0</v>
      </c>
      <c r="BS11" s="62"/>
      <c r="BT11" s="67">
        <f t="shared" si="44"/>
        <v>0</v>
      </c>
      <c r="BU11" s="62"/>
      <c r="BV11" s="67">
        <f t="shared" si="32"/>
        <v>0</v>
      </c>
      <c r="BW11" s="62"/>
      <c r="BX11" s="67">
        <f t="shared" si="33"/>
        <v>0</v>
      </c>
      <c r="BY11" s="62"/>
      <c r="BZ11" s="69">
        <f t="shared" si="34"/>
        <v>0</v>
      </c>
      <c r="CA11" s="62"/>
      <c r="CB11" s="69">
        <f t="shared" si="35"/>
        <v>0</v>
      </c>
      <c r="CC11" s="62"/>
      <c r="CD11" s="69">
        <f t="shared" si="36"/>
        <v>0</v>
      </c>
      <c r="CE11" s="62"/>
      <c r="CF11" s="69">
        <f t="shared" si="37"/>
        <v>0</v>
      </c>
      <c r="CG11" s="62"/>
      <c r="CH11" s="69">
        <f t="shared" si="38"/>
        <v>0</v>
      </c>
      <c r="CI11" s="62"/>
      <c r="CJ11" s="69">
        <f t="shared" si="39"/>
        <v>0</v>
      </c>
      <c r="CK11" s="62"/>
      <c r="CL11" s="66">
        <f t="shared" si="40"/>
        <v>0</v>
      </c>
      <c r="CM11" s="67"/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/>
      <c r="D12" s="66">
        <f t="shared" si="0"/>
        <v>0</v>
      </c>
      <c r="E12" s="60"/>
      <c r="F12" s="66">
        <f t="shared" si="1"/>
        <v>0</v>
      </c>
      <c r="G12" s="60"/>
      <c r="H12" s="66">
        <f t="shared" si="2"/>
        <v>0</v>
      </c>
      <c r="I12" s="60"/>
      <c r="J12" s="66">
        <f t="shared" si="3"/>
        <v>0</v>
      </c>
      <c r="K12" s="60"/>
      <c r="L12" s="66">
        <f t="shared" si="4"/>
        <v>0</v>
      </c>
      <c r="M12" s="60"/>
      <c r="N12" s="66">
        <f t="shared" si="5"/>
        <v>0</v>
      </c>
      <c r="O12" s="60"/>
      <c r="P12" s="69">
        <f t="shared" si="41"/>
        <v>0</v>
      </c>
      <c r="Q12" s="60"/>
      <c r="R12" s="69">
        <f t="shared" si="6"/>
        <v>0</v>
      </c>
      <c r="S12" s="60"/>
      <c r="T12" s="69">
        <f t="shared" si="7"/>
        <v>0</v>
      </c>
      <c r="U12" s="60"/>
      <c r="V12" s="69">
        <f t="shared" si="8"/>
        <v>0</v>
      </c>
      <c r="W12" s="60"/>
      <c r="X12" s="67">
        <f t="shared" si="9"/>
        <v>0</v>
      </c>
      <c r="Y12" s="60"/>
      <c r="Z12" s="67">
        <f t="shared" si="10"/>
        <v>0</v>
      </c>
      <c r="AA12" s="60"/>
      <c r="AB12" s="67">
        <f t="shared" si="11"/>
        <v>0</v>
      </c>
      <c r="AC12" s="60"/>
      <c r="AD12" s="67">
        <f t="shared" si="12"/>
        <v>0</v>
      </c>
      <c r="AE12" s="60"/>
      <c r="AF12" s="67">
        <f t="shared" si="13"/>
        <v>0</v>
      </c>
      <c r="AG12" s="60"/>
      <c r="AH12" s="69">
        <f t="shared" si="14"/>
        <v>0</v>
      </c>
      <c r="AI12" s="60"/>
      <c r="AJ12" s="67">
        <f t="shared" si="15"/>
        <v>0</v>
      </c>
      <c r="AK12" s="60"/>
      <c r="AL12" s="67">
        <f t="shared" si="16"/>
        <v>0</v>
      </c>
      <c r="AM12" s="60"/>
      <c r="AN12" s="67">
        <f t="shared" si="17"/>
        <v>0</v>
      </c>
      <c r="AO12" s="60"/>
      <c r="AP12" s="67">
        <f t="shared" si="18"/>
        <v>0</v>
      </c>
      <c r="AQ12" s="60"/>
      <c r="AR12" s="67">
        <f t="shared" si="19"/>
        <v>0</v>
      </c>
      <c r="AS12" s="60"/>
      <c r="AT12" s="67">
        <f t="shared" si="20"/>
        <v>0</v>
      </c>
      <c r="AU12" s="60"/>
      <c r="AV12" s="67">
        <f t="shared" si="21"/>
        <v>0</v>
      </c>
      <c r="AW12" s="60"/>
      <c r="AX12" s="67">
        <f t="shared" si="22"/>
        <v>0</v>
      </c>
      <c r="AY12" s="60"/>
      <c r="AZ12" s="67">
        <f t="shared" si="23"/>
        <v>0</v>
      </c>
      <c r="BA12" s="60"/>
      <c r="BB12" s="67">
        <f t="shared" si="24"/>
        <v>0</v>
      </c>
      <c r="BC12" s="60"/>
      <c r="BD12" s="67">
        <f t="shared" si="25"/>
        <v>0</v>
      </c>
      <c r="BE12" s="61"/>
      <c r="BF12" s="69">
        <f t="shared" si="42"/>
        <v>0</v>
      </c>
      <c r="BG12" s="62"/>
      <c r="BH12" s="67">
        <f t="shared" si="26"/>
        <v>0</v>
      </c>
      <c r="BI12" s="62"/>
      <c r="BJ12" s="67">
        <f t="shared" si="43"/>
        <v>0</v>
      </c>
      <c r="BK12" s="62"/>
      <c r="BL12" s="67">
        <f t="shared" si="27"/>
        <v>0</v>
      </c>
      <c r="BM12" s="62"/>
      <c r="BN12" s="67">
        <f t="shared" si="28"/>
        <v>0</v>
      </c>
      <c r="BO12" s="62"/>
      <c r="BP12" s="67">
        <f t="shared" si="29"/>
        <v>0</v>
      </c>
      <c r="BQ12" s="62"/>
      <c r="BR12" s="67">
        <f t="shared" si="30"/>
        <v>0</v>
      </c>
      <c r="BS12" s="62"/>
      <c r="BT12" s="67">
        <f t="shared" si="44"/>
        <v>0</v>
      </c>
      <c r="BU12" s="62"/>
      <c r="BV12" s="67">
        <f t="shared" si="32"/>
        <v>0</v>
      </c>
      <c r="BW12" s="62"/>
      <c r="BX12" s="67">
        <f t="shared" si="33"/>
        <v>0</v>
      </c>
      <c r="BY12" s="62"/>
      <c r="BZ12" s="69">
        <f t="shared" si="34"/>
        <v>0</v>
      </c>
      <c r="CA12" s="62"/>
      <c r="CB12" s="69">
        <f t="shared" si="35"/>
        <v>0</v>
      </c>
      <c r="CC12" s="62"/>
      <c r="CD12" s="69">
        <f t="shared" si="36"/>
        <v>0</v>
      </c>
      <c r="CE12" s="62"/>
      <c r="CF12" s="69">
        <f t="shared" si="37"/>
        <v>0</v>
      </c>
      <c r="CG12" s="62"/>
      <c r="CH12" s="69">
        <f t="shared" si="38"/>
        <v>0</v>
      </c>
      <c r="CI12" s="62"/>
      <c r="CJ12" s="69">
        <f t="shared" si="39"/>
        <v>0</v>
      </c>
      <c r="CK12" s="62"/>
      <c r="CL12" s="66">
        <f t="shared" si="40"/>
        <v>0</v>
      </c>
      <c r="CM12" s="67"/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/>
      <c r="D13" s="66">
        <f t="shared" si="0"/>
        <v>0</v>
      </c>
      <c r="E13" s="60"/>
      <c r="F13" s="66">
        <f t="shared" si="1"/>
        <v>0</v>
      </c>
      <c r="G13" s="60"/>
      <c r="H13" s="66">
        <f t="shared" si="2"/>
        <v>0</v>
      </c>
      <c r="I13" s="60"/>
      <c r="J13" s="66">
        <f t="shared" si="3"/>
        <v>0</v>
      </c>
      <c r="K13" s="60"/>
      <c r="L13" s="66">
        <f t="shared" si="4"/>
        <v>0</v>
      </c>
      <c r="M13" s="60"/>
      <c r="N13" s="66">
        <f t="shared" si="5"/>
        <v>0</v>
      </c>
      <c r="O13" s="60"/>
      <c r="P13" s="69">
        <f t="shared" si="41"/>
        <v>0</v>
      </c>
      <c r="Q13" s="60"/>
      <c r="R13" s="69">
        <f t="shared" si="6"/>
        <v>0</v>
      </c>
      <c r="S13" s="60"/>
      <c r="T13" s="69">
        <f t="shared" si="7"/>
        <v>0</v>
      </c>
      <c r="U13" s="60"/>
      <c r="V13" s="69">
        <f t="shared" si="8"/>
        <v>0</v>
      </c>
      <c r="W13" s="60"/>
      <c r="X13" s="67">
        <f t="shared" si="9"/>
        <v>0</v>
      </c>
      <c r="Y13" s="60"/>
      <c r="Z13" s="67">
        <f t="shared" si="10"/>
        <v>0</v>
      </c>
      <c r="AA13" s="60"/>
      <c r="AB13" s="67">
        <f t="shared" si="11"/>
        <v>0</v>
      </c>
      <c r="AC13" s="60"/>
      <c r="AD13" s="67">
        <f t="shared" si="12"/>
        <v>0</v>
      </c>
      <c r="AE13" s="60"/>
      <c r="AF13" s="67">
        <f t="shared" si="13"/>
        <v>0</v>
      </c>
      <c r="AG13" s="60"/>
      <c r="AH13" s="69">
        <f t="shared" si="14"/>
        <v>0</v>
      </c>
      <c r="AI13" s="60"/>
      <c r="AJ13" s="67">
        <f t="shared" si="15"/>
        <v>0</v>
      </c>
      <c r="AK13" s="60"/>
      <c r="AL13" s="67">
        <f t="shared" si="16"/>
        <v>0</v>
      </c>
      <c r="AM13" s="60"/>
      <c r="AN13" s="67">
        <f t="shared" si="17"/>
        <v>0</v>
      </c>
      <c r="AO13" s="60"/>
      <c r="AP13" s="67">
        <f t="shared" si="18"/>
        <v>0</v>
      </c>
      <c r="AQ13" s="60"/>
      <c r="AR13" s="67">
        <f t="shared" si="19"/>
        <v>0</v>
      </c>
      <c r="AS13" s="60"/>
      <c r="AT13" s="67">
        <f t="shared" si="20"/>
        <v>0</v>
      </c>
      <c r="AU13" s="60"/>
      <c r="AV13" s="67">
        <f t="shared" si="21"/>
        <v>0</v>
      </c>
      <c r="AW13" s="60"/>
      <c r="AX13" s="67">
        <f t="shared" si="22"/>
        <v>0</v>
      </c>
      <c r="AY13" s="60"/>
      <c r="AZ13" s="67">
        <f t="shared" si="23"/>
        <v>0</v>
      </c>
      <c r="BA13" s="60"/>
      <c r="BB13" s="67">
        <f t="shared" si="24"/>
        <v>0</v>
      </c>
      <c r="BC13" s="60"/>
      <c r="BD13" s="67">
        <f t="shared" si="25"/>
        <v>0</v>
      </c>
      <c r="BE13" s="61"/>
      <c r="BF13" s="69">
        <f t="shared" si="42"/>
        <v>0</v>
      </c>
      <c r="BG13" s="62"/>
      <c r="BH13" s="67">
        <f t="shared" si="26"/>
        <v>0</v>
      </c>
      <c r="BI13" s="62"/>
      <c r="BJ13" s="67">
        <f t="shared" si="43"/>
        <v>0</v>
      </c>
      <c r="BK13" s="62"/>
      <c r="BL13" s="67">
        <f t="shared" si="27"/>
        <v>0</v>
      </c>
      <c r="BM13" s="62"/>
      <c r="BN13" s="67">
        <f t="shared" si="28"/>
        <v>0</v>
      </c>
      <c r="BO13" s="62"/>
      <c r="BP13" s="67">
        <f t="shared" si="29"/>
        <v>0</v>
      </c>
      <c r="BQ13" s="62"/>
      <c r="BR13" s="67">
        <f t="shared" si="30"/>
        <v>0</v>
      </c>
      <c r="BS13" s="62"/>
      <c r="BT13" s="67">
        <f t="shared" si="44"/>
        <v>0</v>
      </c>
      <c r="BU13" s="62"/>
      <c r="BV13" s="67">
        <f t="shared" si="32"/>
        <v>0</v>
      </c>
      <c r="BW13" s="62"/>
      <c r="BX13" s="67">
        <f t="shared" si="33"/>
        <v>0</v>
      </c>
      <c r="BY13" s="62"/>
      <c r="BZ13" s="69">
        <f t="shared" si="34"/>
        <v>0</v>
      </c>
      <c r="CA13" s="62"/>
      <c r="CB13" s="69">
        <f t="shared" si="35"/>
        <v>0</v>
      </c>
      <c r="CC13" s="62"/>
      <c r="CD13" s="69">
        <f t="shared" si="36"/>
        <v>0</v>
      </c>
      <c r="CE13" s="62"/>
      <c r="CF13" s="69">
        <f t="shared" si="37"/>
        <v>0</v>
      </c>
      <c r="CG13" s="62"/>
      <c r="CH13" s="69">
        <f t="shared" si="38"/>
        <v>0</v>
      </c>
      <c r="CI13" s="62"/>
      <c r="CJ13" s="69">
        <f t="shared" si="39"/>
        <v>0</v>
      </c>
      <c r="CK13" s="62"/>
      <c r="CL13" s="66">
        <f t="shared" si="40"/>
        <v>0</v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/>
      <c r="D14" s="66">
        <f t="shared" si="0"/>
        <v>0</v>
      </c>
      <c r="E14" s="60"/>
      <c r="F14" s="66">
        <f t="shared" si="1"/>
        <v>0</v>
      </c>
      <c r="G14" s="60"/>
      <c r="H14" s="66">
        <f t="shared" si="2"/>
        <v>0</v>
      </c>
      <c r="I14" s="60"/>
      <c r="J14" s="66">
        <f t="shared" si="3"/>
        <v>0</v>
      </c>
      <c r="K14" s="60"/>
      <c r="L14" s="66">
        <f t="shared" si="4"/>
        <v>0</v>
      </c>
      <c r="M14" s="60"/>
      <c r="N14" s="66">
        <f t="shared" si="5"/>
        <v>0</v>
      </c>
      <c r="O14" s="60"/>
      <c r="P14" s="69">
        <f t="shared" si="41"/>
        <v>0</v>
      </c>
      <c r="Q14" s="60"/>
      <c r="R14" s="69">
        <f t="shared" si="6"/>
        <v>0</v>
      </c>
      <c r="S14" s="60"/>
      <c r="T14" s="69">
        <f t="shared" si="7"/>
        <v>0</v>
      </c>
      <c r="U14" s="60"/>
      <c r="V14" s="69">
        <f t="shared" si="8"/>
        <v>0</v>
      </c>
      <c r="W14" s="60"/>
      <c r="X14" s="67">
        <f t="shared" si="9"/>
        <v>0</v>
      </c>
      <c r="Y14" s="60"/>
      <c r="Z14" s="67">
        <f t="shared" si="10"/>
        <v>0</v>
      </c>
      <c r="AA14" s="60"/>
      <c r="AB14" s="67">
        <f t="shared" si="11"/>
        <v>0</v>
      </c>
      <c r="AC14" s="60"/>
      <c r="AD14" s="67">
        <f t="shared" si="12"/>
        <v>0</v>
      </c>
      <c r="AE14" s="60"/>
      <c r="AF14" s="67">
        <f t="shared" si="13"/>
        <v>0</v>
      </c>
      <c r="AG14" s="60"/>
      <c r="AH14" s="69">
        <f t="shared" si="14"/>
        <v>0</v>
      </c>
      <c r="AI14" s="60"/>
      <c r="AJ14" s="67">
        <f t="shared" si="15"/>
        <v>0</v>
      </c>
      <c r="AK14" s="60"/>
      <c r="AL14" s="67">
        <f t="shared" si="16"/>
        <v>0</v>
      </c>
      <c r="AM14" s="60"/>
      <c r="AN14" s="67">
        <f t="shared" si="17"/>
        <v>0</v>
      </c>
      <c r="AO14" s="60"/>
      <c r="AP14" s="67">
        <f t="shared" si="18"/>
        <v>0</v>
      </c>
      <c r="AQ14" s="60"/>
      <c r="AR14" s="67">
        <f t="shared" si="19"/>
        <v>0</v>
      </c>
      <c r="AS14" s="60"/>
      <c r="AT14" s="67">
        <f t="shared" si="20"/>
        <v>0</v>
      </c>
      <c r="AU14" s="60"/>
      <c r="AV14" s="67">
        <f t="shared" si="21"/>
        <v>0</v>
      </c>
      <c r="AW14" s="60"/>
      <c r="AX14" s="67">
        <f t="shared" si="22"/>
        <v>0</v>
      </c>
      <c r="AY14" s="60"/>
      <c r="AZ14" s="67">
        <f t="shared" si="23"/>
        <v>0</v>
      </c>
      <c r="BA14" s="60"/>
      <c r="BB14" s="67">
        <f t="shared" si="24"/>
        <v>0</v>
      </c>
      <c r="BC14" s="60"/>
      <c r="BD14" s="67">
        <f t="shared" si="25"/>
        <v>0</v>
      </c>
      <c r="BE14" s="61"/>
      <c r="BF14" s="69">
        <f t="shared" si="42"/>
        <v>0</v>
      </c>
      <c r="BG14" s="62"/>
      <c r="BH14" s="67">
        <f t="shared" si="26"/>
        <v>0</v>
      </c>
      <c r="BI14" s="62"/>
      <c r="BJ14" s="67">
        <f t="shared" si="43"/>
        <v>0</v>
      </c>
      <c r="BK14" s="62"/>
      <c r="BL14" s="67">
        <f t="shared" si="27"/>
        <v>0</v>
      </c>
      <c r="BM14" s="62"/>
      <c r="BN14" s="67">
        <f t="shared" si="28"/>
        <v>0</v>
      </c>
      <c r="BO14" s="62"/>
      <c r="BP14" s="67">
        <f t="shared" si="29"/>
        <v>0</v>
      </c>
      <c r="BQ14" s="62"/>
      <c r="BR14" s="67">
        <f t="shared" si="30"/>
        <v>0</v>
      </c>
      <c r="BS14" s="62"/>
      <c r="BT14" s="67">
        <f t="shared" si="44"/>
        <v>0</v>
      </c>
      <c r="BU14" s="62"/>
      <c r="BV14" s="67">
        <f t="shared" si="32"/>
        <v>0</v>
      </c>
      <c r="BW14" s="62"/>
      <c r="BX14" s="67">
        <f t="shared" si="33"/>
        <v>0</v>
      </c>
      <c r="BY14" s="62"/>
      <c r="BZ14" s="69">
        <f t="shared" si="34"/>
        <v>0</v>
      </c>
      <c r="CA14" s="62"/>
      <c r="CB14" s="69">
        <f t="shared" si="35"/>
        <v>0</v>
      </c>
      <c r="CC14" s="62"/>
      <c r="CD14" s="69">
        <f t="shared" si="36"/>
        <v>0</v>
      </c>
      <c r="CE14" s="62"/>
      <c r="CF14" s="69">
        <f t="shared" si="37"/>
        <v>0</v>
      </c>
      <c r="CG14" s="62"/>
      <c r="CH14" s="69">
        <f t="shared" si="38"/>
        <v>0</v>
      </c>
      <c r="CI14" s="62"/>
      <c r="CJ14" s="69">
        <f t="shared" si="39"/>
        <v>0</v>
      </c>
      <c r="CK14" s="62"/>
      <c r="CL14" s="66">
        <f t="shared" si="40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/>
      <c r="D15" s="66">
        <f t="shared" si="0"/>
        <v>0</v>
      </c>
      <c r="E15" s="60"/>
      <c r="F15" s="66">
        <f t="shared" si="1"/>
        <v>0</v>
      </c>
      <c r="G15" s="60"/>
      <c r="H15" s="66">
        <f t="shared" si="2"/>
        <v>0</v>
      </c>
      <c r="I15" s="60"/>
      <c r="J15" s="66">
        <f t="shared" si="3"/>
        <v>0</v>
      </c>
      <c r="K15" s="60"/>
      <c r="L15" s="66">
        <f t="shared" si="4"/>
        <v>0</v>
      </c>
      <c r="M15" s="60"/>
      <c r="N15" s="66">
        <f t="shared" si="5"/>
        <v>0</v>
      </c>
      <c r="O15" s="60"/>
      <c r="P15" s="69">
        <f t="shared" si="41"/>
        <v>0</v>
      </c>
      <c r="Q15" s="60"/>
      <c r="R15" s="69">
        <f t="shared" si="6"/>
        <v>0</v>
      </c>
      <c r="S15" s="60"/>
      <c r="T15" s="69">
        <f t="shared" si="7"/>
        <v>0</v>
      </c>
      <c r="U15" s="60"/>
      <c r="V15" s="69">
        <f t="shared" si="8"/>
        <v>0</v>
      </c>
      <c r="W15" s="60"/>
      <c r="X15" s="67">
        <f t="shared" si="9"/>
        <v>0</v>
      </c>
      <c r="Y15" s="60"/>
      <c r="Z15" s="67">
        <f t="shared" si="10"/>
        <v>0</v>
      </c>
      <c r="AA15" s="60"/>
      <c r="AB15" s="67">
        <f t="shared" si="11"/>
        <v>0</v>
      </c>
      <c r="AC15" s="60"/>
      <c r="AD15" s="67">
        <f t="shared" si="12"/>
        <v>0</v>
      </c>
      <c r="AE15" s="60"/>
      <c r="AF15" s="67">
        <f t="shared" si="13"/>
        <v>0</v>
      </c>
      <c r="AG15" s="60"/>
      <c r="AH15" s="69">
        <f t="shared" si="14"/>
        <v>0</v>
      </c>
      <c r="AI15" s="60"/>
      <c r="AJ15" s="67">
        <f t="shared" si="15"/>
        <v>0</v>
      </c>
      <c r="AK15" s="60"/>
      <c r="AL15" s="67">
        <f t="shared" si="16"/>
        <v>0</v>
      </c>
      <c r="AM15" s="60"/>
      <c r="AN15" s="67">
        <f t="shared" si="17"/>
        <v>0</v>
      </c>
      <c r="AO15" s="60"/>
      <c r="AP15" s="67">
        <f t="shared" si="18"/>
        <v>0</v>
      </c>
      <c r="AQ15" s="60"/>
      <c r="AR15" s="67">
        <f t="shared" si="19"/>
        <v>0</v>
      </c>
      <c r="AS15" s="60"/>
      <c r="AT15" s="67">
        <f t="shared" si="20"/>
        <v>0</v>
      </c>
      <c r="AU15" s="60"/>
      <c r="AV15" s="67">
        <f t="shared" si="21"/>
        <v>0</v>
      </c>
      <c r="AW15" s="60"/>
      <c r="AX15" s="67">
        <f t="shared" si="22"/>
        <v>0</v>
      </c>
      <c r="AY15" s="60"/>
      <c r="AZ15" s="67">
        <f t="shared" si="23"/>
        <v>0</v>
      </c>
      <c r="BA15" s="60"/>
      <c r="BB15" s="67">
        <f t="shared" si="24"/>
        <v>0</v>
      </c>
      <c r="BC15" s="60"/>
      <c r="BD15" s="67">
        <f t="shared" si="25"/>
        <v>0</v>
      </c>
      <c r="BE15" s="61"/>
      <c r="BF15" s="69">
        <f t="shared" si="42"/>
        <v>0</v>
      </c>
      <c r="BG15" s="62"/>
      <c r="BH15" s="67">
        <f t="shared" si="26"/>
        <v>0</v>
      </c>
      <c r="BI15" s="62"/>
      <c r="BJ15" s="67">
        <f t="shared" si="43"/>
        <v>0</v>
      </c>
      <c r="BK15" s="62"/>
      <c r="BL15" s="67">
        <f t="shared" si="27"/>
        <v>0</v>
      </c>
      <c r="BM15" s="62"/>
      <c r="BN15" s="67">
        <f t="shared" si="28"/>
        <v>0</v>
      </c>
      <c r="BO15" s="62"/>
      <c r="BP15" s="67">
        <f t="shared" si="29"/>
        <v>0</v>
      </c>
      <c r="BQ15" s="62"/>
      <c r="BR15" s="67">
        <f t="shared" si="30"/>
        <v>0</v>
      </c>
      <c r="BS15" s="62"/>
      <c r="BT15" s="67">
        <f t="shared" si="44"/>
        <v>0</v>
      </c>
      <c r="BU15" s="62"/>
      <c r="BV15" s="67">
        <f t="shared" si="32"/>
        <v>0</v>
      </c>
      <c r="BW15" s="62"/>
      <c r="BX15" s="67">
        <f t="shared" si="33"/>
        <v>0</v>
      </c>
      <c r="BY15" s="62"/>
      <c r="BZ15" s="69">
        <f t="shared" si="34"/>
        <v>0</v>
      </c>
      <c r="CA15" s="62"/>
      <c r="CB15" s="69">
        <f t="shared" si="35"/>
        <v>0</v>
      </c>
      <c r="CC15" s="62"/>
      <c r="CD15" s="69">
        <f t="shared" si="36"/>
        <v>0</v>
      </c>
      <c r="CE15" s="62"/>
      <c r="CF15" s="69">
        <f t="shared" si="37"/>
        <v>0</v>
      </c>
      <c r="CG15" s="62"/>
      <c r="CH15" s="69">
        <f t="shared" si="38"/>
        <v>0</v>
      </c>
      <c r="CI15" s="62"/>
      <c r="CJ15" s="69">
        <f t="shared" si="39"/>
        <v>0</v>
      </c>
      <c r="CK15" s="62"/>
      <c r="CL15" s="66">
        <f t="shared" si="40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/>
      <c r="D16" s="66">
        <f t="shared" si="0"/>
        <v>0</v>
      </c>
      <c r="E16" s="60"/>
      <c r="F16" s="66">
        <f t="shared" si="1"/>
        <v>0</v>
      </c>
      <c r="G16" s="60"/>
      <c r="H16" s="66">
        <f t="shared" si="2"/>
        <v>0</v>
      </c>
      <c r="I16" s="60"/>
      <c r="J16" s="66">
        <f t="shared" si="3"/>
        <v>0</v>
      </c>
      <c r="K16" s="60"/>
      <c r="L16" s="66">
        <f t="shared" si="4"/>
        <v>0</v>
      </c>
      <c r="M16" s="60"/>
      <c r="N16" s="66">
        <f t="shared" si="5"/>
        <v>0</v>
      </c>
      <c r="O16" s="60"/>
      <c r="P16" s="69">
        <f t="shared" si="41"/>
        <v>0</v>
      </c>
      <c r="Q16" s="60"/>
      <c r="R16" s="69">
        <f t="shared" si="6"/>
        <v>0</v>
      </c>
      <c r="S16" s="60"/>
      <c r="T16" s="69">
        <f t="shared" si="7"/>
        <v>0</v>
      </c>
      <c r="U16" s="60"/>
      <c r="V16" s="69">
        <f t="shared" si="8"/>
        <v>0</v>
      </c>
      <c r="W16" s="60"/>
      <c r="X16" s="67">
        <f t="shared" si="9"/>
        <v>0</v>
      </c>
      <c r="Y16" s="60"/>
      <c r="Z16" s="67">
        <f t="shared" si="10"/>
        <v>0</v>
      </c>
      <c r="AA16" s="60"/>
      <c r="AB16" s="67">
        <f t="shared" si="11"/>
        <v>0</v>
      </c>
      <c r="AC16" s="60"/>
      <c r="AD16" s="67">
        <f t="shared" si="12"/>
        <v>0</v>
      </c>
      <c r="AE16" s="60"/>
      <c r="AF16" s="67">
        <f t="shared" si="13"/>
        <v>0</v>
      </c>
      <c r="AG16" s="60"/>
      <c r="AH16" s="69">
        <f t="shared" si="14"/>
        <v>0</v>
      </c>
      <c r="AI16" s="60"/>
      <c r="AJ16" s="67">
        <f t="shared" si="15"/>
        <v>0</v>
      </c>
      <c r="AK16" s="60"/>
      <c r="AL16" s="67">
        <f t="shared" si="16"/>
        <v>0</v>
      </c>
      <c r="AM16" s="60"/>
      <c r="AN16" s="67">
        <f t="shared" si="17"/>
        <v>0</v>
      </c>
      <c r="AO16" s="60"/>
      <c r="AP16" s="67">
        <f t="shared" si="18"/>
        <v>0</v>
      </c>
      <c r="AQ16" s="60"/>
      <c r="AR16" s="67">
        <f t="shared" si="19"/>
        <v>0</v>
      </c>
      <c r="AS16" s="60"/>
      <c r="AT16" s="67">
        <f t="shared" si="20"/>
        <v>0</v>
      </c>
      <c r="AU16" s="60"/>
      <c r="AV16" s="67">
        <f t="shared" si="21"/>
        <v>0</v>
      </c>
      <c r="AW16" s="60"/>
      <c r="AX16" s="67">
        <f t="shared" si="22"/>
        <v>0</v>
      </c>
      <c r="AY16" s="60"/>
      <c r="AZ16" s="67">
        <f t="shared" si="23"/>
        <v>0</v>
      </c>
      <c r="BA16" s="60"/>
      <c r="BB16" s="67">
        <f t="shared" si="24"/>
        <v>0</v>
      </c>
      <c r="BC16" s="60"/>
      <c r="BD16" s="67">
        <f t="shared" si="25"/>
        <v>0</v>
      </c>
      <c r="BE16" s="61"/>
      <c r="BF16" s="69">
        <f t="shared" si="42"/>
        <v>0</v>
      </c>
      <c r="BG16" s="62"/>
      <c r="BH16" s="67">
        <f t="shared" si="26"/>
        <v>0</v>
      </c>
      <c r="BI16" s="62"/>
      <c r="BJ16" s="67">
        <f t="shared" si="43"/>
        <v>0</v>
      </c>
      <c r="BK16" s="62"/>
      <c r="BL16" s="67">
        <f t="shared" si="27"/>
        <v>0</v>
      </c>
      <c r="BM16" s="62"/>
      <c r="BN16" s="67">
        <f t="shared" si="28"/>
        <v>0</v>
      </c>
      <c r="BO16" s="62"/>
      <c r="BP16" s="67">
        <f t="shared" si="29"/>
        <v>0</v>
      </c>
      <c r="BQ16" s="62"/>
      <c r="BR16" s="67">
        <f t="shared" si="30"/>
        <v>0</v>
      </c>
      <c r="BS16" s="62"/>
      <c r="BT16" s="67">
        <f t="shared" si="44"/>
        <v>0</v>
      </c>
      <c r="BU16" s="62"/>
      <c r="BV16" s="67">
        <f t="shared" si="32"/>
        <v>0</v>
      </c>
      <c r="BW16" s="62"/>
      <c r="BX16" s="67">
        <f t="shared" si="33"/>
        <v>0</v>
      </c>
      <c r="BY16" s="62"/>
      <c r="BZ16" s="69">
        <f t="shared" si="34"/>
        <v>0</v>
      </c>
      <c r="CA16" s="62"/>
      <c r="CB16" s="69">
        <f t="shared" si="35"/>
        <v>0</v>
      </c>
      <c r="CC16" s="62"/>
      <c r="CD16" s="69">
        <f t="shared" si="36"/>
        <v>0</v>
      </c>
      <c r="CE16" s="62"/>
      <c r="CF16" s="69">
        <f t="shared" si="37"/>
        <v>0</v>
      </c>
      <c r="CG16" s="62"/>
      <c r="CH16" s="69">
        <f t="shared" si="38"/>
        <v>0</v>
      </c>
      <c r="CI16" s="62"/>
      <c r="CJ16" s="69">
        <f t="shared" si="39"/>
        <v>0</v>
      </c>
      <c r="CK16" s="62"/>
      <c r="CL16" s="66">
        <f t="shared" si="40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/>
      <c r="D17" s="66">
        <f t="shared" si="0"/>
        <v>0</v>
      </c>
      <c r="E17" s="60"/>
      <c r="F17" s="66">
        <f t="shared" si="1"/>
        <v>0</v>
      </c>
      <c r="G17" s="60"/>
      <c r="H17" s="66">
        <f t="shared" si="2"/>
        <v>0</v>
      </c>
      <c r="I17" s="60"/>
      <c r="J17" s="66">
        <f t="shared" si="3"/>
        <v>0</v>
      </c>
      <c r="K17" s="60"/>
      <c r="L17" s="66">
        <f t="shared" si="4"/>
        <v>0</v>
      </c>
      <c r="M17" s="60"/>
      <c r="N17" s="66">
        <f t="shared" si="5"/>
        <v>0</v>
      </c>
      <c r="O17" s="60"/>
      <c r="P17" s="69">
        <f t="shared" si="41"/>
        <v>0</v>
      </c>
      <c r="Q17" s="60"/>
      <c r="R17" s="69">
        <f t="shared" si="6"/>
        <v>0</v>
      </c>
      <c r="S17" s="60"/>
      <c r="T17" s="69">
        <f t="shared" si="7"/>
        <v>0</v>
      </c>
      <c r="U17" s="60"/>
      <c r="V17" s="69">
        <f t="shared" si="8"/>
        <v>0</v>
      </c>
      <c r="W17" s="60"/>
      <c r="X17" s="67">
        <f t="shared" si="9"/>
        <v>0</v>
      </c>
      <c r="Y17" s="60"/>
      <c r="Z17" s="67">
        <f t="shared" si="10"/>
        <v>0</v>
      </c>
      <c r="AA17" s="60"/>
      <c r="AB17" s="67">
        <f t="shared" si="11"/>
        <v>0</v>
      </c>
      <c r="AC17" s="60"/>
      <c r="AD17" s="67">
        <f t="shared" si="12"/>
        <v>0</v>
      </c>
      <c r="AE17" s="60"/>
      <c r="AF17" s="67">
        <f t="shared" si="13"/>
        <v>0</v>
      </c>
      <c r="AG17" s="60"/>
      <c r="AH17" s="69">
        <f t="shared" si="14"/>
        <v>0</v>
      </c>
      <c r="AI17" s="60"/>
      <c r="AJ17" s="67">
        <f t="shared" si="15"/>
        <v>0</v>
      </c>
      <c r="AK17" s="60"/>
      <c r="AL17" s="67">
        <f t="shared" si="16"/>
        <v>0</v>
      </c>
      <c r="AM17" s="60"/>
      <c r="AN17" s="67">
        <f t="shared" si="17"/>
        <v>0</v>
      </c>
      <c r="AO17" s="60"/>
      <c r="AP17" s="67">
        <f t="shared" si="18"/>
        <v>0</v>
      </c>
      <c r="AQ17" s="60"/>
      <c r="AR17" s="67">
        <f t="shared" si="19"/>
        <v>0</v>
      </c>
      <c r="AS17" s="60"/>
      <c r="AT17" s="67">
        <f t="shared" si="20"/>
        <v>0</v>
      </c>
      <c r="AU17" s="60"/>
      <c r="AV17" s="67">
        <f t="shared" si="21"/>
        <v>0</v>
      </c>
      <c r="AW17" s="60"/>
      <c r="AX17" s="67">
        <f t="shared" si="22"/>
        <v>0</v>
      </c>
      <c r="AY17" s="60"/>
      <c r="AZ17" s="67">
        <f t="shared" si="23"/>
        <v>0</v>
      </c>
      <c r="BA17" s="60"/>
      <c r="BB17" s="67">
        <f t="shared" si="24"/>
        <v>0</v>
      </c>
      <c r="BC17" s="60"/>
      <c r="BD17" s="67">
        <f t="shared" si="25"/>
        <v>0</v>
      </c>
      <c r="BE17" s="61"/>
      <c r="BF17" s="69">
        <f t="shared" si="42"/>
        <v>0</v>
      </c>
      <c r="BG17" s="62"/>
      <c r="BH17" s="67">
        <f t="shared" si="26"/>
        <v>0</v>
      </c>
      <c r="BI17" s="62"/>
      <c r="BJ17" s="67">
        <f t="shared" si="43"/>
        <v>0</v>
      </c>
      <c r="BK17" s="62"/>
      <c r="BL17" s="67">
        <f t="shared" si="27"/>
        <v>0</v>
      </c>
      <c r="BM17" s="62"/>
      <c r="BN17" s="67">
        <f t="shared" si="28"/>
        <v>0</v>
      </c>
      <c r="BO17" s="62"/>
      <c r="BP17" s="67">
        <f t="shared" si="29"/>
        <v>0</v>
      </c>
      <c r="BQ17" s="62"/>
      <c r="BR17" s="67">
        <f t="shared" si="30"/>
        <v>0</v>
      </c>
      <c r="BS17" s="62"/>
      <c r="BT17" s="67">
        <f t="shared" si="44"/>
        <v>0</v>
      </c>
      <c r="BU17" s="62"/>
      <c r="BV17" s="67">
        <f t="shared" si="32"/>
        <v>0</v>
      </c>
      <c r="BW17" s="62"/>
      <c r="BX17" s="67">
        <f t="shared" si="33"/>
        <v>0</v>
      </c>
      <c r="BY17" s="62"/>
      <c r="BZ17" s="69">
        <f t="shared" si="34"/>
        <v>0</v>
      </c>
      <c r="CA17" s="62"/>
      <c r="CB17" s="69">
        <f t="shared" si="35"/>
        <v>0</v>
      </c>
      <c r="CC17" s="62"/>
      <c r="CD17" s="69">
        <f t="shared" si="36"/>
        <v>0</v>
      </c>
      <c r="CE17" s="62"/>
      <c r="CF17" s="69">
        <f t="shared" si="37"/>
        <v>0</v>
      </c>
      <c r="CG17" s="62"/>
      <c r="CH17" s="69">
        <f t="shared" si="38"/>
        <v>0</v>
      </c>
      <c r="CI17" s="62"/>
      <c r="CJ17" s="69">
        <f t="shared" si="39"/>
        <v>0</v>
      </c>
      <c r="CK17" s="62"/>
      <c r="CL17" s="66">
        <f t="shared" si="40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1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16"/>
        <v>0</v>
      </c>
      <c r="AM18" s="60"/>
      <c r="AN18" s="67">
        <f t="shared" si="17"/>
        <v>0</v>
      </c>
      <c r="AO18" s="60"/>
      <c r="AP18" s="67">
        <f t="shared" si="18"/>
        <v>0</v>
      </c>
      <c r="AQ18" s="60"/>
      <c r="AR18" s="67">
        <f t="shared" si="19"/>
        <v>0</v>
      </c>
      <c r="AS18" s="60"/>
      <c r="AT18" s="67">
        <f t="shared" si="20"/>
        <v>0</v>
      </c>
      <c r="AU18" s="60"/>
      <c r="AV18" s="67">
        <f t="shared" si="21"/>
        <v>0</v>
      </c>
      <c r="AW18" s="60"/>
      <c r="AX18" s="67">
        <f t="shared" si="22"/>
        <v>0</v>
      </c>
      <c r="AY18" s="60"/>
      <c r="AZ18" s="67">
        <f t="shared" si="23"/>
        <v>0</v>
      </c>
      <c r="BA18" s="60"/>
      <c r="BB18" s="67">
        <f t="shared" si="24"/>
        <v>0</v>
      </c>
      <c r="BC18" s="60"/>
      <c r="BD18" s="67">
        <f t="shared" si="25"/>
        <v>0</v>
      </c>
      <c r="BE18" s="61"/>
      <c r="BF18" s="69">
        <f t="shared" si="42"/>
        <v>0</v>
      </c>
      <c r="BG18" s="62"/>
      <c r="BH18" s="67">
        <f t="shared" si="26"/>
        <v>0</v>
      </c>
      <c r="BI18" s="62"/>
      <c r="BJ18" s="67">
        <f t="shared" si="43"/>
        <v>0</v>
      </c>
      <c r="BK18" s="62"/>
      <c r="BL18" s="67">
        <f t="shared" si="27"/>
        <v>0</v>
      </c>
      <c r="BM18" s="62"/>
      <c r="BN18" s="67">
        <f t="shared" si="28"/>
        <v>0</v>
      </c>
      <c r="BO18" s="62"/>
      <c r="BP18" s="67">
        <f t="shared" si="29"/>
        <v>0</v>
      </c>
      <c r="BQ18" s="62"/>
      <c r="BR18" s="67">
        <f t="shared" si="30"/>
        <v>0</v>
      </c>
      <c r="BS18" s="62"/>
      <c r="BT18" s="67">
        <f t="shared" si="44"/>
        <v>0</v>
      </c>
      <c r="BU18" s="62"/>
      <c r="BV18" s="67">
        <f t="shared" si="32"/>
        <v>0</v>
      </c>
      <c r="BW18" s="62"/>
      <c r="BX18" s="67">
        <f t="shared" si="33"/>
        <v>0</v>
      </c>
      <c r="BY18" s="62"/>
      <c r="BZ18" s="69">
        <f t="shared" si="34"/>
        <v>0</v>
      </c>
      <c r="CA18" s="62"/>
      <c r="CB18" s="69">
        <f t="shared" si="35"/>
        <v>0</v>
      </c>
      <c r="CC18" s="62"/>
      <c r="CD18" s="69">
        <f t="shared" si="36"/>
        <v>0</v>
      </c>
      <c r="CE18" s="62"/>
      <c r="CF18" s="69">
        <f t="shared" si="37"/>
        <v>0</v>
      </c>
      <c r="CG18" s="62"/>
      <c r="CH18" s="69">
        <f t="shared" si="38"/>
        <v>0</v>
      </c>
      <c r="CI18" s="62"/>
      <c r="CJ18" s="69">
        <f t="shared" si="39"/>
        <v>0</v>
      </c>
      <c r="CK18" s="62"/>
      <c r="CL18" s="66">
        <f t="shared" si="40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1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16"/>
        <v>0</v>
      </c>
      <c r="AM19" s="60"/>
      <c r="AN19" s="67">
        <f t="shared" si="17"/>
        <v>0</v>
      </c>
      <c r="AO19" s="60"/>
      <c r="AP19" s="67">
        <f t="shared" si="18"/>
        <v>0</v>
      </c>
      <c r="AQ19" s="60"/>
      <c r="AR19" s="67">
        <f t="shared" si="19"/>
        <v>0</v>
      </c>
      <c r="AS19" s="60"/>
      <c r="AT19" s="67">
        <f t="shared" si="20"/>
        <v>0</v>
      </c>
      <c r="AU19" s="60"/>
      <c r="AV19" s="67">
        <f t="shared" si="21"/>
        <v>0</v>
      </c>
      <c r="AW19" s="60"/>
      <c r="AX19" s="67">
        <f t="shared" si="22"/>
        <v>0</v>
      </c>
      <c r="AY19" s="60"/>
      <c r="AZ19" s="67">
        <f t="shared" si="23"/>
        <v>0</v>
      </c>
      <c r="BA19" s="60"/>
      <c r="BB19" s="67">
        <f t="shared" si="24"/>
        <v>0</v>
      </c>
      <c r="BC19" s="60"/>
      <c r="BD19" s="67">
        <f t="shared" si="25"/>
        <v>0</v>
      </c>
      <c r="BE19" s="61"/>
      <c r="BF19" s="69">
        <f t="shared" si="42"/>
        <v>0</v>
      </c>
      <c r="BG19" s="62"/>
      <c r="BH19" s="67">
        <f t="shared" si="26"/>
        <v>0</v>
      </c>
      <c r="BI19" s="62"/>
      <c r="BJ19" s="67">
        <f t="shared" si="43"/>
        <v>0</v>
      </c>
      <c r="BK19" s="62"/>
      <c r="BL19" s="67">
        <f t="shared" si="27"/>
        <v>0</v>
      </c>
      <c r="BM19" s="62"/>
      <c r="BN19" s="67">
        <f t="shared" si="28"/>
        <v>0</v>
      </c>
      <c r="BO19" s="62"/>
      <c r="BP19" s="67">
        <f t="shared" si="29"/>
        <v>0</v>
      </c>
      <c r="BQ19" s="62"/>
      <c r="BR19" s="67">
        <f t="shared" si="30"/>
        <v>0</v>
      </c>
      <c r="BS19" s="62"/>
      <c r="BT19" s="67">
        <f t="shared" si="44"/>
        <v>0</v>
      </c>
      <c r="BU19" s="62"/>
      <c r="BV19" s="67">
        <f t="shared" si="32"/>
        <v>0</v>
      </c>
      <c r="BW19" s="62"/>
      <c r="BX19" s="67">
        <f t="shared" si="33"/>
        <v>0</v>
      </c>
      <c r="BY19" s="62"/>
      <c r="BZ19" s="69">
        <f t="shared" si="34"/>
        <v>0</v>
      </c>
      <c r="CA19" s="62"/>
      <c r="CB19" s="69">
        <f t="shared" si="35"/>
        <v>0</v>
      </c>
      <c r="CC19" s="62"/>
      <c r="CD19" s="69">
        <f t="shared" si="36"/>
        <v>0</v>
      </c>
      <c r="CE19" s="62"/>
      <c r="CF19" s="69">
        <f t="shared" si="37"/>
        <v>0</v>
      </c>
      <c r="CG19" s="62"/>
      <c r="CH19" s="69">
        <f t="shared" si="38"/>
        <v>0</v>
      </c>
      <c r="CI19" s="62"/>
      <c r="CJ19" s="69">
        <f t="shared" si="39"/>
        <v>0</v>
      </c>
      <c r="CK19" s="62"/>
      <c r="CL19" s="66">
        <f t="shared" si="40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1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16"/>
        <v>0</v>
      </c>
      <c r="AM20" s="60"/>
      <c r="AN20" s="67">
        <f t="shared" si="17"/>
        <v>0</v>
      </c>
      <c r="AO20" s="60"/>
      <c r="AP20" s="67">
        <f t="shared" si="18"/>
        <v>0</v>
      </c>
      <c r="AQ20" s="60"/>
      <c r="AR20" s="67">
        <f t="shared" si="19"/>
        <v>0</v>
      </c>
      <c r="AS20" s="60"/>
      <c r="AT20" s="67">
        <f t="shared" si="20"/>
        <v>0</v>
      </c>
      <c r="AU20" s="60"/>
      <c r="AV20" s="67">
        <f t="shared" si="21"/>
        <v>0</v>
      </c>
      <c r="AW20" s="60"/>
      <c r="AX20" s="67">
        <f t="shared" si="22"/>
        <v>0</v>
      </c>
      <c r="AY20" s="60"/>
      <c r="AZ20" s="67">
        <f t="shared" si="23"/>
        <v>0</v>
      </c>
      <c r="BA20" s="60"/>
      <c r="BB20" s="67">
        <f t="shared" si="24"/>
        <v>0</v>
      </c>
      <c r="BC20" s="60"/>
      <c r="BD20" s="67">
        <f t="shared" si="25"/>
        <v>0</v>
      </c>
      <c r="BE20" s="61"/>
      <c r="BF20" s="69">
        <f t="shared" si="42"/>
        <v>0</v>
      </c>
      <c r="BG20" s="62"/>
      <c r="BH20" s="67">
        <f t="shared" si="26"/>
        <v>0</v>
      </c>
      <c r="BI20" s="62"/>
      <c r="BJ20" s="67">
        <f t="shared" si="43"/>
        <v>0</v>
      </c>
      <c r="BK20" s="62"/>
      <c r="BL20" s="67">
        <f t="shared" si="27"/>
        <v>0</v>
      </c>
      <c r="BM20" s="62"/>
      <c r="BN20" s="67">
        <f t="shared" si="28"/>
        <v>0</v>
      </c>
      <c r="BO20" s="62"/>
      <c r="BP20" s="67">
        <f t="shared" si="29"/>
        <v>0</v>
      </c>
      <c r="BQ20" s="62"/>
      <c r="BR20" s="67">
        <f t="shared" si="30"/>
        <v>0</v>
      </c>
      <c r="BS20" s="62"/>
      <c r="BT20" s="67">
        <f t="shared" si="44"/>
        <v>0</v>
      </c>
      <c r="BU20" s="62"/>
      <c r="BV20" s="67">
        <f t="shared" si="32"/>
        <v>0</v>
      </c>
      <c r="BW20" s="62"/>
      <c r="BX20" s="67">
        <f t="shared" si="33"/>
        <v>0</v>
      </c>
      <c r="BY20" s="62"/>
      <c r="BZ20" s="69">
        <f t="shared" si="34"/>
        <v>0</v>
      </c>
      <c r="CA20" s="62"/>
      <c r="CB20" s="69">
        <f t="shared" si="35"/>
        <v>0</v>
      </c>
      <c r="CC20" s="62"/>
      <c r="CD20" s="69">
        <f t="shared" si="36"/>
        <v>0</v>
      </c>
      <c r="CE20" s="62"/>
      <c r="CF20" s="69">
        <f t="shared" si="37"/>
        <v>0</v>
      </c>
      <c r="CG20" s="62"/>
      <c r="CH20" s="69">
        <f t="shared" si="38"/>
        <v>0</v>
      </c>
      <c r="CI20" s="62"/>
      <c r="CJ20" s="69">
        <f t="shared" si="39"/>
        <v>0</v>
      </c>
      <c r="CK20" s="62"/>
      <c r="CL20" s="66">
        <f t="shared" si="40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1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16"/>
        <v>0</v>
      </c>
      <c r="AM21" s="60"/>
      <c r="AN21" s="67">
        <f t="shared" si="17"/>
        <v>0</v>
      </c>
      <c r="AO21" s="60"/>
      <c r="AP21" s="67">
        <f t="shared" si="18"/>
        <v>0</v>
      </c>
      <c r="AQ21" s="60"/>
      <c r="AR21" s="67">
        <f t="shared" si="19"/>
        <v>0</v>
      </c>
      <c r="AS21" s="60"/>
      <c r="AT21" s="67">
        <f t="shared" si="20"/>
        <v>0</v>
      </c>
      <c r="AU21" s="60"/>
      <c r="AV21" s="67">
        <f t="shared" si="21"/>
        <v>0</v>
      </c>
      <c r="AW21" s="60"/>
      <c r="AX21" s="67">
        <f t="shared" si="22"/>
        <v>0</v>
      </c>
      <c r="AY21" s="60"/>
      <c r="AZ21" s="67">
        <f t="shared" si="23"/>
        <v>0</v>
      </c>
      <c r="BA21" s="60"/>
      <c r="BB21" s="67">
        <f t="shared" si="24"/>
        <v>0</v>
      </c>
      <c r="BC21" s="60"/>
      <c r="BD21" s="67">
        <f t="shared" si="25"/>
        <v>0</v>
      </c>
      <c r="BE21" s="61"/>
      <c r="BF21" s="69">
        <f t="shared" si="42"/>
        <v>0</v>
      </c>
      <c r="BG21" s="62"/>
      <c r="BH21" s="67">
        <f t="shared" si="26"/>
        <v>0</v>
      </c>
      <c r="BI21" s="62"/>
      <c r="BJ21" s="67">
        <f t="shared" si="43"/>
        <v>0</v>
      </c>
      <c r="BK21" s="62"/>
      <c r="BL21" s="67">
        <f t="shared" si="27"/>
        <v>0</v>
      </c>
      <c r="BM21" s="62"/>
      <c r="BN21" s="67">
        <f t="shared" si="28"/>
        <v>0</v>
      </c>
      <c r="BO21" s="62"/>
      <c r="BP21" s="67">
        <f t="shared" si="29"/>
        <v>0</v>
      </c>
      <c r="BQ21" s="62"/>
      <c r="BR21" s="67">
        <f t="shared" si="30"/>
        <v>0</v>
      </c>
      <c r="BS21" s="62"/>
      <c r="BT21" s="67">
        <f t="shared" si="44"/>
        <v>0</v>
      </c>
      <c r="BU21" s="62"/>
      <c r="BV21" s="67">
        <f t="shared" si="32"/>
        <v>0</v>
      </c>
      <c r="BW21" s="62"/>
      <c r="BX21" s="67">
        <f t="shared" si="33"/>
        <v>0</v>
      </c>
      <c r="BY21" s="62"/>
      <c r="BZ21" s="69">
        <f t="shared" si="34"/>
        <v>0</v>
      </c>
      <c r="CA21" s="62"/>
      <c r="CB21" s="69">
        <f t="shared" si="35"/>
        <v>0</v>
      </c>
      <c r="CC21" s="62"/>
      <c r="CD21" s="69">
        <f t="shared" si="36"/>
        <v>0</v>
      </c>
      <c r="CE21" s="62"/>
      <c r="CF21" s="69">
        <f t="shared" si="37"/>
        <v>0</v>
      </c>
      <c r="CG21" s="62"/>
      <c r="CH21" s="69">
        <f t="shared" si="38"/>
        <v>0</v>
      </c>
      <c r="CI21" s="62"/>
      <c r="CJ21" s="69">
        <f t="shared" si="39"/>
        <v>0</v>
      </c>
      <c r="CK21" s="62"/>
      <c r="CL21" s="66">
        <f t="shared" si="40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1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16"/>
        <v>0</v>
      </c>
      <c r="AM22" s="60"/>
      <c r="AN22" s="67">
        <f t="shared" si="17"/>
        <v>0</v>
      </c>
      <c r="AO22" s="60"/>
      <c r="AP22" s="67">
        <f t="shared" si="18"/>
        <v>0</v>
      </c>
      <c r="AQ22" s="60"/>
      <c r="AR22" s="67">
        <f t="shared" si="19"/>
        <v>0</v>
      </c>
      <c r="AS22" s="60"/>
      <c r="AT22" s="67">
        <f t="shared" si="20"/>
        <v>0</v>
      </c>
      <c r="AU22" s="60"/>
      <c r="AV22" s="67">
        <f t="shared" si="21"/>
        <v>0</v>
      </c>
      <c r="AW22" s="60"/>
      <c r="AX22" s="67">
        <f t="shared" si="22"/>
        <v>0</v>
      </c>
      <c r="AY22" s="60"/>
      <c r="AZ22" s="67">
        <f t="shared" si="23"/>
        <v>0</v>
      </c>
      <c r="BA22" s="60"/>
      <c r="BB22" s="67">
        <f t="shared" si="24"/>
        <v>0</v>
      </c>
      <c r="BC22" s="60"/>
      <c r="BD22" s="67">
        <f t="shared" si="25"/>
        <v>0</v>
      </c>
      <c r="BE22" s="61"/>
      <c r="BF22" s="69">
        <f t="shared" si="42"/>
        <v>0</v>
      </c>
      <c r="BG22" s="62"/>
      <c r="BH22" s="67">
        <f t="shared" si="26"/>
        <v>0</v>
      </c>
      <c r="BI22" s="62"/>
      <c r="BJ22" s="67">
        <f t="shared" si="43"/>
        <v>0</v>
      </c>
      <c r="BK22" s="62"/>
      <c r="BL22" s="67">
        <f t="shared" si="27"/>
        <v>0</v>
      </c>
      <c r="BM22" s="62"/>
      <c r="BN22" s="67">
        <f t="shared" si="28"/>
        <v>0</v>
      </c>
      <c r="BO22" s="62"/>
      <c r="BP22" s="67">
        <f t="shared" si="29"/>
        <v>0</v>
      </c>
      <c r="BQ22" s="62"/>
      <c r="BR22" s="67">
        <f t="shared" si="30"/>
        <v>0</v>
      </c>
      <c r="BS22" s="62"/>
      <c r="BT22" s="67">
        <f t="shared" si="44"/>
        <v>0</v>
      </c>
      <c r="BU22" s="62"/>
      <c r="BV22" s="67">
        <f t="shared" si="32"/>
        <v>0</v>
      </c>
      <c r="BW22" s="62"/>
      <c r="BX22" s="67">
        <f t="shared" si="33"/>
        <v>0</v>
      </c>
      <c r="BY22" s="62"/>
      <c r="BZ22" s="69">
        <f t="shared" si="34"/>
        <v>0</v>
      </c>
      <c r="CA22" s="62"/>
      <c r="CB22" s="69">
        <f t="shared" si="35"/>
        <v>0</v>
      </c>
      <c r="CC22" s="62"/>
      <c r="CD22" s="69">
        <f t="shared" si="36"/>
        <v>0</v>
      </c>
      <c r="CE22" s="62"/>
      <c r="CF22" s="69">
        <f t="shared" si="37"/>
        <v>0</v>
      </c>
      <c r="CG22" s="62"/>
      <c r="CH22" s="69">
        <f t="shared" si="38"/>
        <v>0</v>
      </c>
      <c r="CI22" s="62"/>
      <c r="CJ22" s="69">
        <f t="shared" si="39"/>
        <v>0</v>
      </c>
      <c r="CK22" s="62"/>
      <c r="CL22" s="66">
        <f t="shared" si="40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1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16"/>
        <v>0</v>
      </c>
      <c r="AM23" s="60"/>
      <c r="AN23" s="67">
        <f t="shared" si="17"/>
        <v>0</v>
      </c>
      <c r="AO23" s="60"/>
      <c r="AP23" s="67">
        <f t="shared" si="18"/>
        <v>0</v>
      </c>
      <c r="AQ23" s="60"/>
      <c r="AR23" s="67">
        <f t="shared" si="19"/>
        <v>0</v>
      </c>
      <c r="AS23" s="60"/>
      <c r="AT23" s="67">
        <f t="shared" si="20"/>
        <v>0</v>
      </c>
      <c r="AU23" s="60"/>
      <c r="AV23" s="67">
        <f t="shared" si="21"/>
        <v>0</v>
      </c>
      <c r="AW23" s="60"/>
      <c r="AX23" s="67">
        <f t="shared" si="22"/>
        <v>0</v>
      </c>
      <c r="AY23" s="60"/>
      <c r="AZ23" s="67">
        <f t="shared" si="23"/>
        <v>0</v>
      </c>
      <c r="BA23" s="60"/>
      <c r="BB23" s="67">
        <f t="shared" si="24"/>
        <v>0</v>
      </c>
      <c r="BC23" s="60"/>
      <c r="BD23" s="67">
        <f t="shared" si="25"/>
        <v>0</v>
      </c>
      <c r="BE23" s="61"/>
      <c r="BF23" s="69">
        <f t="shared" si="42"/>
        <v>0</v>
      </c>
      <c r="BG23" s="62"/>
      <c r="BH23" s="67">
        <f t="shared" si="26"/>
        <v>0</v>
      </c>
      <c r="BI23" s="62"/>
      <c r="BJ23" s="67">
        <f t="shared" si="43"/>
        <v>0</v>
      </c>
      <c r="BK23" s="62"/>
      <c r="BL23" s="67">
        <f t="shared" si="27"/>
        <v>0</v>
      </c>
      <c r="BM23" s="62"/>
      <c r="BN23" s="67">
        <f t="shared" si="28"/>
        <v>0</v>
      </c>
      <c r="BO23" s="62"/>
      <c r="BP23" s="67">
        <f t="shared" si="29"/>
        <v>0</v>
      </c>
      <c r="BQ23" s="62"/>
      <c r="BR23" s="67">
        <f t="shared" si="30"/>
        <v>0</v>
      </c>
      <c r="BS23" s="62"/>
      <c r="BT23" s="67">
        <f t="shared" si="44"/>
        <v>0</v>
      </c>
      <c r="BU23" s="62"/>
      <c r="BV23" s="67">
        <f t="shared" si="32"/>
        <v>0</v>
      </c>
      <c r="BW23" s="62"/>
      <c r="BX23" s="67">
        <f t="shared" si="33"/>
        <v>0</v>
      </c>
      <c r="BY23" s="62"/>
      <c r="BZ23" s="69">
        <f t="shared" si="34"/>
        <v>0</v>
      </c>
      <c r="CA23" s="62"/>
      <c r="CB23" s="69">
        <f t="shared" si="35"/>
        <v>0</v>
      </c>
      <c r="CC23" s="62"/>
      <c r="CD23" s="69">
        <f t="shared" si="36"/>
        <v>0</v>
      </c>
      <c r="CE23" s="62"/>
      <c r="CF23" s="69">
        <f t="shared" si="37"/>
        <v>0</v>
      </c>
      <c r="CG23" s="62"/>
      <c r="CH23" s="69">
        <f t="shared" si="38"/>
        <v>0</v>
      </c>
      <c r="CI23" s="62"/>
      <c r="CJ23" s="69">
        <f t="shared" si="39"/>
        <v>0</v>
      </c>
      <c r="CK23" s="62"/>
      <c r="CL23" s="66">
        <f t="shared" si="40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1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16"/>
        <v>0</v>
      </c>
      <c r="AM24" s="60"/>
      <c r="AN24" s="67">
        <f t="shared" si="17"/>
        <v>0</v>
      </c>
      <c r="AO24" s="60"/>
      <c r="AP24" s="67">
        <f t="shared" si="18"/>
        <v>0</v>
      </c>
      <c r="AQ24" s="60"/>
      <c r="AR24" s="67">
        <f t="shared" si="19"/>
        <v>0</v>
      </c>
      <c r="AS24" s="60"/>
      <c r="AT24" s="67">
        <f t="shared" si="20"/>
        <v>0</v>
      </c>
      <c r="AU24" s="60"/>
      <c r="AV24" s="67">
        <f t="shared" si="21"/>
        <v>0</v>
      </c>
      <c r="AW24" s="60"/>
      <c r="AX24" s="67">
        <f t="shared" si="22"/>
        <v>0</v>
      </c>
      <c r="AY24" s="60"/>
      <c r="AZ24" s="67">
        <f t="shared" si="23"/>
        <v>0</v>
      </c>
      <c r="BA24" s="60"/>
      <c r="BB24" s="67">
        <f t="shared" si="24"/>
        <v>0</v>
      </c>
      <c r="BC24" s="60"/>
      <c r="BD24" s="67">
        <f t="shared" si="25"/>
        <v>0</v>
      </c>
      <c r="BE24" s="61"/>
      <c r="BF24" s="69">
        <f t="shared" si="42"/>
        <v>0</v>
      </c>
      <c r="BG24" s="62"/>
      <c r="BH24" s="67">
        <f t="shared" si="26"/>
        <v>0</v>
      </c>
      <c r="BI24" s="62"/>
      <c r="BJ24" s="67">
        <f t="shared" si="43"/>
        <v>0</v>
      </c>
      <c r="BK24" s="62"/>
      <c r="BL24" s="67">
        <f t="shared" si="27"/>
        <v>0</v>
      </c>
      <c r="BM24" s="62"/>
      <c r="BN24" s="67">
        <f t="shared" si="28"/>
        <v>0</v>
      </c>
      <c r="BO24" s="62"/>
      <c r="BP24" s="67">
        <f t="shared" si="29"/>
        <v>0</v>
      </c>
      <c r="BQ24" s="62"/>
      <c r="BR24" s="67">
        <f t="shared" si="30"/>
        <v>0</v>
      </c>
      <c r="BS24" s="62"/>
      <c r="BT24" s="67">
        <f t="shared" si="44"/>
        <v>0</v>
      </c>
      <c r="BU24" s="62"/>
      <c r="BV24" s="67">
        <f t="shared" si="32"/>
        <v>0</v>
      </c>
      <c r="BW24" s="62"/>
      <c r="BX24" s="67">
        <f t="shared" si="33"/>
        <v>0</v>
      </c>
      <c r="BY24" s="62"/>
      <c r="BZ24" s="69">
        <f t="shared" si="34"/>
        <v>0</v>
      </c>
      <c r="CA24" s="62"/>
      <c r="CB24" s="69">
        <f t="shared" si="35"/>
        <v>0</v>
      </c>
      <c r="CC24" s="62"/>
      <c r="CD24" s="69">
        <f t="shared" si="36"/>
        <v>0</v>
      </c>
      <c r="CE24" s="62"/>
      <c r="CF24" s="69">
        <f t="shared" si="37"/>
        <v>0</v>
      </c>
      <c r="CG24" s="62"/>
      <c r="CH24" s="69">
        <f t="shared" si="38"/>
        <v>0</v>
      </c>
      <c r="CI24" s="62"/>
      <c r="CJ24" s="69">
        <f t="shared" si="39"/>
        <v>0</v>
      </c>
      <c r="CK24" s="62"/>
      <c r="CL24" s="66">
        <f t="shared" si="40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1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16"/>
        <v>0</v>
      </c>
      <c r="AM25" s="60"/>
      <c r="AN25" s="67">
        <f t="shared" si="17"/>
        <v>0</v>
      </c>
      <c r="AO25" s="60"/>
      <c r="AP25" s="67">
        <f t="shared" si="18"/>
        <v>0</v>
      </c>
      <c r="AQ25" s="60"/>
      <c r="AR25" s="67">
        <f t="shared" si="19"/>
        <v>0</v>
      </c>
      <c r="AS25" s="60"/>
      <c r="AT25" s="67">
        <f t="shared" si="20"/>
        <v>0</v>
      </c>
      <c r="AU25" s="60"/>
      <c r="AV25" s="67">
        <f t="shared" si="21"/>
        <v>0</v>
      </c>
      <c r="AW25" s="60"/>
      <c r="AX25" s="67">
        <f t="shared" si="22"/>
        <v>0</v>
      </c>
      <c r="AY25" s="60"/>
      <c r="AZ25" s="67">
        <f t="shared" si="23"/>
        <v>0</v>
      </c>
      <c r="BA25" s="60"/>
      <c r="BB25" s="67">
        <f t="shared" si="24"/>
        <v>0</v>
      </c>
      <c r="BC25" s="60"/>
      <c r="BD25" s="67">
        <f t="shared" si="25"/>
        <v>0</v>
      </c>
      <c r="BE25" s="61"/>
      <c r="BF25" s="69">
        <f t="shared" si="42"/>
        <v>0</v>
      </c>
      <c r="BG25" s="62"/>
      <c r="BH25" s="67">
        <f t="shared" si="26"/>
        <v>0</v>
      </c>
      <c r="BI25" s="62"/>
      <c r="BJ25" s="67">
        <f t="shared" si="43"/>
        <v>0</v>
      </c>
      <c r="BK25" s="62"/>
      <c r="BL25" s="67">
        <f t="shared" si="27"/>
        <v>0</v>
      </c>
      <c r="BM25" s="62"/>
      <c r="BN25" s="67">
        <f t="shared" si="28"/>
        <v>0</v>
      </c>
      <c r="BO25" s="62"/>
      <c r="BP25" s="67">
        <f t="shared" si="29"/>
        <v>0</v>
      </c>
      <c r="BQ25" s="62"/>
      <c r="BR25" s="67">
        <f t="shared" si="30"/>
        <v>0</v>
      </c>
      <c r="BS25" s="62"/>
      <c r="BT25" s="67">
        <f t="shared" si="44"/>
        <v>0</v>
      </c>
      <c r="BU25" s="62"/>
      <c r="BV25" s="67">
        <f t="shared" si="32"/>
        <v>0</v>
      </c>
      <c r="BW25" s="62"/>
      <c r="BX25" s="67">
        <f t="shared" si="33"/>
        <v>0</v>
      </c>
      <c r="BY25" s="62"/>
      <c r="BZ25" s="69">
        <f t="shared" si="34"/>
        <v>0</v>
      </c>
      <c r="CA25" s="62"/>
      <c r="CB25" s="69">
        <f t="shared" si="35"/>
        <v>0</v>
      </c>
      <c r="CC25" s="62"/>
      <c r="CD25" s="69">
        <f t="shared" si="36"/>
        <v>0</v>
      </c>
      <c r="CE25" s="62"/>
      <c r="CF25" s="69">
        <f t="shared" si="37"/>
        <v>0</v>
      </c>
      <c r="CG25" s="62"/>
      <c r="CH25" s="69">
        <f t="shared" si="38"/>
        <v>0</v>
      </c>
      <c r="CI25" s="62"/>
      <c r="CJ25" s="69">
        <f t="shared" si="39"/>
        <v>0</v>
      </c>
      <c r="CK25" s="62"/>
      <c r="CL25" s="66">
        <f t="shared" si="40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1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16"/>
        <v>0</v>
      </c>
      <c r="AM26" s="60"/>
      <c r="AN26" s="67">
        <f t="shared" si="17"/>
        <v>0</v>
      </c>
      <c r="AO26" s="60"/>
      <c r="AP26" s="67">
        <f t="shared" si="18"/>
        <v>0</v>
      </c>
      <c r="AQ26" s="60"/>
      <c r="AR26" s="67">
        <f t="shared" si="19"/>
        <v>0</v>
      </c>
      <c r="AS26" s="60"/>
      <c r="AT26" s="67">
        <f t="shared" si="20"/>
        <v>0</v>
      </c>
      <c r="AU26" s="60"/>
      <c r="AV26" s="67">
        <f t="shared" si="21"/>
        <v>0</v>
      </c>
      <c r="AW26" s="60"/>
      <c r="AX26" s="67">
        <f t="shared" si="22"/>
        <v>0</v>
      </c>
      <c r="AY26" s="60"/>
      <c r="AZ26" s="67">
        <f t="shared" si="23"/>
        <v>0</v>
      </c>
      <c r="BA26" s="60"/>
      <c r="BB26" s="67">
        <f t="shared" si="24"/>
        <v>0</v>
      </c>
      <c r="BC26" s="60"/>
      <c r="BD26" s="67">
        <f t="shared" si="25"/>
        <v>0</v>
      </c>
      <c r="BE26" s="61"/>
      <c r="BF26" s="69">
        <f t="shared" si="42"/>
        <v>0</v>
      </c>
      <c r="BG26" s="62"/>
      <c r="BH26" s="67">
        <f t="shared" si="26"/>
        <v>0</v>
      </c>
      <c r="BI26" s="62"/>
      <c r="BJ26" s="67">
        <f t="shared" si="43"/>
        <v>0</v>
      </c>
      <c r="BK26" s="62"/>
      <c r="BL26" s="67">
        <f t="shared" si="27"/>
        <v>0</v>
      </c>
      <c r="BM26" s="62"/>
      <c r="BN26" s="67">
        <f t="shared" si="28"/>
        <v>0</v>
      </c>
      <c r="BO26" s="62"/>
      <c r="BP26" s="67">
        <f t="shared" si="29"/>
        <v>0</v>
      </c>
      <c r="BQ26" s="62"/>
      <c r="BR26" s="67">
        <f t="shared" si="30"/>
        <v>0</v>
      </c>
      <c r="BS26" s="62"/>
      <c r="BT26" s="67">
        <f t="shared" si="44"/>
        <v>0</v>
      </c>
      <c r="BU26" s="62"/>
      <c r="BV26" s="67">
        <f t="shared" si="32"/>
        <v>0</v>
      </c>
      <c r="BW26" s="62"/>
      <c r="BX26" s="67">
        <f t="shared" si="33"/>
        <v>0</v>
      </c>
      <c r="BY26" s="62"/>
      <c r="BZ26" s="69">
        <f t="shared" si="34"/>
        <v>0</v>
      </c>
      <c r="CA26" s="62"/>
      <c r="CB26" s="69">
        <f t="shared" si="35"/>
        <v>0</v>
      </c>
      <c r="CC26" s="62"/>
      <c r="CD26" s="69">
        <f t="shared" si="36"/>
        <v>0</v>
      </c>
      <c r="CE26" s="62"/>
      <c r="CF26" s="69">
        <f t="shared" si="37"/>
        <v>0</v>
      </c>
      <c r="CG26" s="62"/>
      <c r="CH26" s="69">
        <f t="shared" si="38"/>
        <v>0</v>
      </c>
      <c r="CI26" s="62"/>
      <c r="CJ26" s="69">
        <f t="shared" si="39"/>
        <v>0</v>
      </c>
      <c r="CK26" s="62"/>
      <c r="CL26" s="66">
        <f t="shared" si="40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1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16"/>
        <v>0</v>
      </c>
      <c r="AM27" s="60"/>
      <c r="AN27" s="67">
        <f t="shared" si="17"/>
        <v>0</v>
      </c>
      <c r="AO27" s="60"/>
      <c r="AP27" s="67">
        <f t="shared" si="18"/>
        <v>0</v>
      </c>
      <c r="AQ27" s="60"/>
      <c r="AR27" s="67">
        <f t="shared" si="19"/>
        <v>0</v>
      </c>
      <c r="AS27" s="60"/>
      <c r="AT27" s="67">
        <f t="shared" si="20"/>
        <v>0</v>
      </c>
      <c r="AU27" s="60"/>
      <c r="AV27" s="67">
        <f t="shared" si="21"/>
        <v>0</v>
      </c>
      <c r="AW27" s="60"/>
      <c r="AX27" s="67">
        <f t="shared" si="22"/>
        <v>0</v>
      </c>
      <c r="AY27" s="60"/>
      <c r="AZ27" s="67">
        <f t="shared" si="23"/>
        <v>0</v>
      </c>
      <c r="BA27" s="60"/>
      <c r="BB27" s="67">
        <f t="shared" si="24"/>
        <v>0</v>
      </c>
      <c r="BC27" s="60"/>
      <c r="BD27" s="67">
        <f t="shared" si="25"/>
        <v>0</v>
      </c>
      <c r="BE27" s="61"/>
      <c r="BF27" s="69">
        <f t="shared" si="42"/>
        <v>0</v>
      </c>
      <c r="BG27" s="62"/>
      <c r="BH27" s="67">
        <f t="shared" si="26"/>
        <v>0</v>
      </c>
      <c r="BI27" s="62"/>
      <c r="BJ27" s="67">
        <f t="shared" si="43"/>
        <v>0</v>
      </c>
      <c r="BK27" s="62"/>
      <c r="BL27" s="67">
        <f t="shared" si="27"/>
        <v>0</v>
      </c>
      <c r="BM27" s="62"/>
      <c r="BN27" s="67">
        <f t="shared" si="28"/>
        <v>0</v>
      </c>
      <c r="BO27" s="62"/>
      <c r="BP27" s="67">
        <f t="shared" si="29"/>
        <v>0</v>
      </c>
      <c r="BQ27" s="62"/>
      <c r="BR27" s="67">
        <f t="shared" si="30"/>
        <v>0</v>
      </c>
      <c r="BS27" s="62"/>
      <c r="BT27" s="67">
        <f t="shared" si="44"/>
        <v>0</v>
      </c>
      <c r="BU27" s="62"/>
      <c r="BV27" s="67">
        <f t="shared" si="32"/>
        <v>0</v>
      </c>
      <c r="BW27" s="62"/>
      <c r="BX27" s="67">
        <f t="shared" si="33"/>
        <v>0</v>
      </c>
      <c r="BY27" s="62"/>
      <c r="BZ27" s="69">
        <f t="shared" si="34"/>
        <v>0</v>
      </c>
      <c r="CA27" s="62"/>
      <c r="CB27" s="69">
        <f t="shared" si="35"/>
        <v>0</v>
      </c>
      <c r="CC27" s="62"/>
      <c r="CD27" s="69">
        <f t="shared" si="36"/>
        <v>0</v>
      </c>
      <c r="CE27" s="62"/>
      <c r="CF27" s="69">
        <f t="shared" si="37"/>
        <v>0</v>
      </c>
      <c r="CG27" s="62"/>
      <c r="CH27" s="69">
        <f t="shared" si="38"/>
        <v>0</v>
      </c>
      <c r="CI27" s="62"/>
      <c r="CJ27" s="69">
        <f t="shared" si="39"/>
        <v>0</v>
      </c>
      <c r="CK27" s="62"/>
      <c r="CL27" s="66">
        <f t="shared" si="40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1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16"/>
        <v>0</v>
      </c>
      <c r="AM28" s="60"/>
      <c r="AN28" s="67">
        <f t="shared" si="17"/>
        <v>0</v>
      </c>
      <c r="AO28" s="60"/>
      <c r="AP28" s="67">
        <f t="shared" si="18"/>
        <v>0</v>
      </c>
      <c r="AQ28" s="60"/>
      <c r="AR28" s="67">
        <f t="shared" si="19"/>
        <v>0</v>
      </c>
      <c r="AS28" s="60"/>
      <c r="AT28" s="67">
        <f t="shared" si="20"/>
        <v>0</v>
      </c>
      <c r="AU28" s="60"/>
      <c r="AV28" s="67">
        <f t="shared" si="21"/>
        <v>0</v>
      </c>
      <c r="AW28" s="60"/>
      <c r="AX28" s="67">
        <f t="shared" si="22"/>
        <v>0</v>
      </c>
      <c r="AY28" s="60"/>
      <c r="AZ28" s="67">
        <f t="shared" si="23"/>
        <v>0</v>
      </c>
      <c r="BA28" s="60"/>
      <c r="BB28" s="67">
        <f t="shared" si="24"/>
        <v>0</v>
      </c>
      <c r="BC28" s="60"/>
      <c r="BD28" s="67">
        <f t="shared" si="25"/>
        <v>0</v>
      </c>
      <c r="BE28" s="61"/>
      <c r="BF28" s="69">
        <f t="shared" si="42"/>
        <v>0</v>
      </c>
      <c r="BG28" s="62"/>
      <c r="BH28" s="67">
        <f t="shared" si="26"/>
        <v>0</v>
      </c>
      <c r="BI28" s="62"/>
      <c r="BJ28" s="67">
        <f t="shared" si="43"/>
        <v>0</v>
      </c>
      <c r="BK28" s="62"/>
      <c r="BL28" s="67">
        <f t="shared" si="27"/>
        <v>0</v>
      </c>
      <c r="BM28" s="62"/>
      <c r="BN28" s="67">
        <f t="shared" si="28"/>
        <v>0</v>
      </c>
      <c r="BO28" s="62"/>
      <c r="BP28" s="67">
        <f t="shared" si="29"/>
        <v>0</v>
      </c>
      <c r="BQ28" s="62"/>
      <c r="BR28" s="67">
        <f t="shared" si="30"/>
        <v>0</v>
      </c>
      <c r="BS28" s="62"/>
      <c r="BT28" s="67">
        <f t="shared" si="44"/>
        <v>0</v>
      </c>
      <c r="BU28" s="62"/>
      <c r="BV28" s="67">
        <f t="shared" si="32"/>
        <v>0</v>
      </c>
      <c r="BW28" s="62"/>
      <c r="BX28" s="67">
        <f t="shared" si="33"/>
        <v>0</v>
      </c>
      <c r="BY28" s="62"/>
      <c r="BZ28" s="69">
        <f t="shared" si="34"/>
        <v>0</v>
      </c>
      <c r="CA28" s="62"/>
      <c r="CB28" s="69">
        <f t="shared" si="35"/>
        <v>0</v>
      </c>
      <c r="CC28" s="62"/>
      <c r="CD28" s="69">
        <f t="shared" si="36"/>
        <v>0</v>
      </c>
      <c r="CE28" s="62"/>
      <c r="CF28" s="69">
        <f t="shared" si="37"/>
        <v>0</v>
      </c>
      <c r="CG28" s="62"/>
      <c r="CH28" s="69">
        <f t="shared" si="38"/>
        <v>0</v>
      </c>
      <c r="CI28" s="62"/>
      <c r="CJ28" s="69">
        <f t="shared" si="39"/>
        <v>0</v>
      </c>
      <c r="CK28" s="62"/>
      <c r="CL28" s="66">
        <f t="shared" si="40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1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16"/>
        <v>0</v>
      </c>
      <c r="AM29" s="60"/>
      <c r="AN29" s="67">
        <f t="shared" si="17"/>
        <v>0</v>
      </c>
      <c r="AO29" s="60"/>
      <c r="AP29" s="67">
        <f t="shared" si="18"/>
        <v>0</v>
      </c>
      <c r="AQ29" s="60"/>
      <c r="AR29" s="67">
        <f t="shared" si="19"/>
        <v>0</v>
      </c>
      <c r="AS29" s="60"/>
      <c r="AT29" s="67">
        <f t="shared" si="20"/>
        <v>0</v>
      </c>
      <c r="AU29" s="60"/>
      <c r="AV29" s="67">
        <f t="shared" si="21"/>
        <v>0</v>
      </c>
      <c r="AW29" s="60"/>
      <c r="AX29" s="67">
        <f t="shared" si="22"/>
        <v>0</v>
      </c>
      <c r="AY29" s="60"/>
      <c r="AZ29" s="67">
        <f t="shared" si="23"/>
        <v>0</v>
      </c>
      <c r="BA29" s="60"/>
      <c r="BB29" s="67">
        <f t="shared" si="24"/>
        <v>0</v>
      </c>
      <c r="BC29" s="60"/>
      <c r="BD29" s="67">
        <f t="shared" si="25"/>
        <v>0</v>
      </c>
      <c r="BE29" s="61"/>
      <c r="BF29" s="69">
        <f t="shared" si="42"/>
        <v>0</v>
      </c>
      <c r="BG29" s="62"/>
      <c r="BH29" s="67">
        <f t="shared" si="26"/>
        <v>0</v>
      </c>
      <c r="BI29" s="62"/>
      <c r="BJ29" s="67">
        <f t="shared" si="43"/>
        <v>0</v>
      </c>
      <c r="BK29" s="62"/>
      <c r="BL29" s="67">
        <f t="shared" si="27"/>
        <v>0</v>
      </c>
      <c r="BM29" s="62"/>
      <c r="BN29" s="67">
        <f t="shared" si="28"/>
        <v>0</v>
      </c>
      <c r="BO29" s="62"/>
      <c r="BP29" s="67">
        <f t="shared" si="29"/>
        <v>0</v>
      </c>
      <c r="BQ29" s="62"/>
      <c r="BR29" s="67">
        <f t="shared" si="30"/>
        <v>0</v>
      </c>
      <c r="BS29" s="62"/>
      <c r="BT29" s="67">
        <f t="shared" si="44"/>
        <v>0</v>
      </c>
      <c r="BU29" s="62"/>
      <c r="BV29" s="67">
        <f t="shared" si="32"/>
        <v>0</v>
      </c>
      <c r="BW29" s="62"/>
      <c r="BX29" s="67">
        <f t="shared" si="33"/>
        <v>0</v>
      </c>
      <c r="BY29" s="62"/>
      <c r="BZ29" s="69">
        <f t="shared" si="34"/>
        <v>0</v>
      </c>
      <c r="CA29" s="62"/>
      <c r="CB29" s="69">
        <f t="shared" si="35"/>
        <v>0</v>
      </c>
      <c r="CC29" s="62"/>
      <c r="CD29" s="69">
        <f t="shared" si="36"/>
        <v>0</v>
      </c>
      <c r="CE29" s="62"/>
      <c r="CF29" s="69">
        <f t="shared" si="37"/>
        <v>0</v>
      </c>
      <c r="CG29" s="62"/>
      <c r="CH29" s="69">
        <f t="shared" si="38"/>
        <v>0</v>
      </c>
      <c r="CI29" s="62"/>
      <c r="CJ29" s="69">
        <f t="shared" si="39"/>
        <v>0</v>
      </c>
      <c r="CK29" s="62"/>
      <c r="CL29" s="66">
        <f t="shared" si="40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1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16"/>
        <v>0</v>
      </c>
      <c r="AM30" s="60"/>
      <c r="AN30" s="67">
        <f t="shared" si="17"/>
        <v>0</v>
      </c>
      <c r="AO30" s="60"/>
      <c r="AP30" s="67">
        <f t="shared" si="18"/>
        <v>0</v>
      </c>
      <c r="AQ30" s="60"/>
      <c r="AR30" s="67">
        <f t="shared" si="19"/>
        <v>0</v>
      </c>
      <c r="AS30" s="60"/>
      <c r="AT30" s="67">
        <f t="shared" si="20"/>
        <v>0</v>
      </c>
      <c r="AU30" s="60"/>
      <c r="AV30" s="67">
        <f t="shared" si="21"/>
        <v>0</v>
      </c>
      <c r="AW30" s="60"/>
      <c r="AX30" s="67">
        <f t="shared" si="22"/>
        <v>0</v>
      </c>
      <c r="AY30" s="60"/>
      <c r="AZ30" s="67">
        <f t="shared" si="23"/>
        <v>0</v>
      </c>
      <c r="BA30" s="60"/>
      <c r="BB30" s="67">
        <f t="shared" si="24"/>
        <v>0</v>
      </c>
      <c r="BC30" s="60"/>
      <c r="BD30" s="67">
        <f t="shared" si="25"/>
        <v>0</v>
      </c>
      <c r="BE30" s="61"/>
      <c r="BF30" s="69">
        <f t="shared" si="42"/>
        <v>0</v>
      </c>
      <c r="BG30" s="62"/>
      <c r="BH30" s="67">
        <f t="shared" si="26"/>
        <v>0</v>
      </c>
      <c r="BI30" s="62"/>
      <c r="BJ30" s="67">
        <f t="shared" si="43"/>
        <v>0</v>
      </c>
      <c r="BK30" s="62"/>
      <c r="BL30" s="67">
        <f t="shared" si="27"/>
        <v>0</v>
      </c>
      <c r="BM30" s="62"/>
      <c r="BN30" s="67">
        <f t="shared" si="28"/>
        <v>0</v>
      </c>
      <c r="BO30" s="62"/>
      <c r="BP30" s="67">
        <f t="shared" si="29"/>
        <v>0</v>
      </c>
      <c r="BQ30" s="62"/>
      <c r="BR30" s="67">
        <f t="shared" si="30"/>
        <v>0</v>
      </c>
      <c r="BS30" s="62"/>
      <c r="BT30" s="67">
        <f t="shared" si="44"/>
        <v>0</v>
      </c>
      <c r="BU30" s="62"/>
      <c r="BV30" s="67">
        <f t="shared" si="32"/>
        <v>0</v>
      </c>
      <c r="BW30" s="62"/>
      <c r="BX30" s="67">
        <f t="shared" si="33"/>
        <v>0</v>
      </c>
      <c r="BY30" s="62"/>
      <c r="BZ30" s="69">
        <f t="shared" si="34"/>
        <v>0</v>
      </c>
      <c r="CA30" s="62"/>
      <c r="CB30" s="69">
        <f t="shared" si="35"/>
        <v>0</v>
      </c>
      <c r="CC30" s="62"/>
      <c r="CD30" s="69">
        <f t="shared" si="36"/>
        <v>0</v>
      </c>
      <c r="CE30" s="62"/>
      <c r="CF30" s="69">
        <f t="shared" si="37"/>
        <v>0</v>
      </c>
      <c r="CG30" s="62"/>
      <c r="CH30" s="69">
        <f t="shared" si="38"/>
        <v>0</v>
      </c>
      <c r="CI30" s="62"/>
      <c r="CJ30" s="69">
        <f t="shared" si="39"/>
        <v>0</v>
      </c>
      <c r="CK30" s="62"/>
      <c r="CL30" s="66">
        <f t="shared" si="40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1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16"/>
        <v>0</v>
      </c>
      <c r="AM31" s="60"/>
      <c r="AN31" s="67">
        <f t="shared" si="17"/>
        <v>0</v>
      </c>
      <c r="AO31" s="60"/>
      <c r="AP31" s="67">
        <f t="shared" si="18"/>
        <v>0</v>
      </c>
      <c r="AQ31" s="60"/>
      <c r="AR31" s="67">
        <f t="shared" si="19"/>
        <v>0</v>
      </c>
      <c r="AS31" s="60"/>
      <c r="AT31" s="67">
        <f t="shared" si="20"/>
        <v>0</v>
      </c>
      <c r="AU31" s="60"/>
      <c r="AV31" s="67">
        <f t="shared" si="21"/>
        <v>0</v>
      </c>
      <c r="AW31" s="60"/>
      <c r="AX31" s="67">
        <f t="shared" si="22"/>
        <v>0</v>
      </c>
      <c r="AY31" s="60"/>
      <c r="AZ31" s="67">
        <f t="shared" si="23"/>
        <v>0</v>
      </c>
      <c r="BA31" s="60"/>
      <c r="BB31" s="67">
        <f t="shared" si="24"/>
        <v>0</v>
      </c>
      <c r="BC31" s="60"/>
      <c r="BD31" s="67">
        <f t="shared" si="25"/>
        <v>0</v>
      </c>
      <c r="BE31" s="61"/>
      <c r="BF31" s="69">
        <f t="shared" si="42"/>
        <v>0</v>
      </c>
      <c r="BG31" s="62"/>
      <c r="BH31" s="67">
        <f t="shared" si="26"/>
        <v>0</v>
      </c>
      <c r="BI31" s="62"/>
      <c r="BJ31" s="67">
        <f t="shared" si="43"/>
        <v>0</v>
      </c>
      <c r="BK31" s="62"/>
      <c r="BL31" s="67">
        <f t="shared" si="27"/>
        <v>0</v>
      </c>
      <c r="BM31" s="62"/>
      <c r="BN31" s="67">
        <f t="shared" si="28"/>
        <v>0</v>
      </c>
      <c r="BO31" s="62"/>
      <c r="BP31" s="67">
        <f t="shared" si="29"/>
        <v>0</v>
      </c>
      <c r="BQ31" s="62"/>
      <c r="BR31" s="67">
        <f t="shared" si="30"/>
        <v>0</v>
      </c>
      <c r="BS31" s="62"/>
      <c r="BT31" s="67">
        <f t="shared" si="44"/>
        <v>0</v>
      </c>
      <c r="BU31" s="62"/>
      <c r="BV31" s="67">
        <f t="shared" si="32"/>
        <v>0</v>
      </c>
      <c r="BW31" s="62"/>
      <c r="BX31" s="67">
        <f t="shared" si="33"/>
        <v>0</v>
      </c>
      <c r="BY31" s="62"/>
      <c r="BZ31" s="69">
        <f t="shared" si="34"/>
        <v>0</v>
      </c>
      <c r="CA31" s="62"/>
      <c r="CB31" s="69">
        <f t="shared" si="35"/>
        <v>0</v>
      </c>
      <c r="CC31" s="62"/>
      <c r="CD31" s="69">
        <f t="shared" si="36"/>
        <v>0</v>
      </c>
      <c r="CE31" s="62"/>
      <c r="CF31" s="69">
        <f t="shared" si="37"/>
        <v>0</v>
      </c>
      <c r="CG31" s="62"/>
      <c r="CH31" s="69">
        <f t="shared" si="38"/>
        <v>0</v>
      </c>
      <c r="CI31" s="62"/>
      <c r="CJ31" s="69">
        <f t="shared" si="39"/>
        <v>0</v>
      </c>
      <c r="CK31" s="62"/>
      <c r="CL31" s="66">
        <f t="shared" si="40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1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16"/>
        <v>0</v>
      </c>
      <c r="AM32" s="60"/>
      <c r="AN32" s="67">
        <f t="shared" si="17"/>
        <v>0</v>
      </c>
      <c r="AO32" s="60"/>
      <c r="AP32" s="67">
        <f t="shared" si="18"/>
        <v>0</v>
      </c>
      <c r="AQ32" s="60"/>
      <c r="AR32" s="67">
        <f t="shared" si="19"/>
        <v>0</v>
      </c>
      <c r="AS32" s="60"/>
      <c r="AT32" s="67">
        <f t="shared" si="20"/>
        <v>0</v>
      </c>
      <c r="AU32" s="60"/>
      <c r="AV32" s="67">
        <f t="shared" si="21"/>
        <v>0</v>
      </c>
      <c r="AW32" s="60"/>
      <c r="AX32" s="67">
        <f t="shared" si="22"/>
        <v>0</v>
      </c>
      <c r="AY32" s="60"/>
      <c r="AZ32" s="67">
        <f t="shared" si="23"/>
        <v>0</v>
      </c>
      <c r="BA32" s="60"/>
      <c r="BB32" s="67">
        <f t="shared" si="24"/>
        <v>0</v>
      </c>
      <c r="BC32" s="60"/>
      <c r="BD32" s="67">
        <f t="shared" si="25"/>
        <v>0</v>
      </c>
      <c r="BE32" s="61"/>
      <c r="BF32" s="69">
        <f t="shared" si="42"/>
        <v>0</v>
      </c>
      <c r="BG32" s="62"/>
      <c r="BH32" s="67">
        <f t="shared" si="26"/>
        <v>0</v>
      </c>
      <c r="BI32" s="62"/>
      <c r="BJ32" s="67">
        <f t="shared" si="43"/>
        <v>0</v>
      </c>
      <c r="BK32" s="62"/>
      <c r="BL32" s="67">
        <f t="shared" si="27"/>
        <v>0</v>
      </c>
      <c r="BM32" s="62"/>
      <c r="BN32" s="67">
        <f t="shared" si="28"/>
        <v>0</v>
      </c>
      <c r="BO32" s="62"/>
      <c r="BP32" s="67">
        <f t="shared" si="29"/>
        <v>0</v>
      </c>
      <c r="BQ32" s="62"/>
      <c r="BR32" s="67">
        <f t="shared" si="30"/>
        <v>0</v>
      </c>
      <c r="BS32" s="62"/>
      <c r="BT32" s="67">
        <f t="shared" si="44"/>
        <v>0</v>
      </c>
      <c r="BU32" s="62"/>
      <c r="BV32" s="67">
        <f t="shared" si="32"/>
        <v>0</v>
      </c>
      <c r="BW32" s="62"/>
      <c r="BX32" s="67">
        <f t="shared" si="33"/>
        <v>0</v>
      </c>
      <c r="BY32" s="62"/>
      <c r="BZ32" s="69">
        <f t="shared" si="34"/>
        <v>0</v>
      </c>
      <c r="CA32" s="62"/>
      <c r="CB32" s="69">
        <f t="shared" si="35"/>
        <v>0</v>
      </c>
      <c r="CC32" s="62"/>
      <c r="CD32" s="69">
        <f t="shared" si="36"/>
        <v>0</v>
      </c>
      <c r="CE32" s="62"/>
      <c r="CF32" s="69">
        <f t="shared" si="37"/>
        <v>0</v>
      </c>
      <c r="CG32" s="62"/>
      <c r="CH32" s="69">
        <f t="shared" si="38"/>
        <v>0</v>
      </c>
      <c r="CI32" s="62"/>
      <c r="CJ32" s="69">
        <f t="shared" si="39"/>
        <v>0</v>
      </c>
      <c r="CK32" s="62"/>
      <c r="CL32" s="66">
        <f t="shared" si="40"/>
        <v>0</v>
      </c>
      <c r="CM32" s="67"/>
      <c r="CN32" s="64">
        <v>0</v>
      </c>
      <c r="CO32" s="64">
        <v>0</v>
      </c>
    </row>
    <row r="33" spans="1:102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1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16"/>
        <v>0</v>
      </c>
      <c r="AM33" s="60"/>
      <c r="AN33" s="67">
        <f t="shared" si="17"/>
        <v>0</v>
      </c>
      <c r="AO33" s="60"/>
      <c r="AP33" s="67">
        <f t="shared" si="18"/>
        <v>0</v>
      </c>
      <c r="AQ33" s="60"/>
      <c r="AR33" s="67">
        <f t="shared" si="19"/>
        <v>0</v>
      </c>
      <c r="AS33" s="60"/>
      <c r="AT33" s="67">
        <f t="shared" si="20"/>
        <v>0</v>
      </c>
      <c r="AU33" s="60"/>
      <c r="AV33" s="67">
        <f t="shared" si="21"/>
        <v>0</v>
      </c>
      <c r="AW33" s="60"/>
      <c r="AX33" s="67">
        <f t="shared" si="22"/>
        <v>0</v>
      </c>
      <c r="AY33" s="60"/>
      <c r="AZ33" s="67">
        <f t="shared" si="23"/>
        <v>0</v>
      </c>
      <c r="BA33" s="60"/>
      <c r="BB33" s="67">
        <f t="shared" si="24"/>
        <v>0</v>
      </c>
      <c r="BC33" s="60"/>
      <c r="BD33" s="67">
        <f t="shared" si="25"/>
        <v>0</v>
      </c>
      <c r="BE33" s="61"/>
      <c r="BF33" s="69">
        <f t="shared" si="42"/>
        <v>0</v>
      </c>
      <c r="BG33" s="62"/>
      <c r="BH33" s="67">
        <f t="shared" si="26"/>
        <v>0</v>
      </c>
      <c r="BI33" s="62"/>
      <c r="BJ33" s="67">
        <f t="shared" si="43"/>
        <v>0</v>
      </c>
      <c r="BK33" s="62"/>
      <c r="BL33" s="67">
        <f t="shared" si="27"/>
        <v>0</v>
      </c>
      <c r="BM33" s="62"/>
      <c r="BN33" s="67">
        <f t="shared" si="28"/>
        <v>0</v>
      </c>
      <c r="BO33" s="62"/>
      <c r="BP33" s="67">
        <f t="shared" si="29"/>
        <v>0</v>
      </c>
      <c r="BQ33" s="62"/>
      <c r="BR33" s="67">
        <f t="shared" si="30"/>
        <v>0</v>
      </c>
      <c r="BS33" s="62"/>
      <c r="BT33" s="67">
        <f t="shared" si="44"/>
        <v>0</v>
      </c>
      <c r="BU33" s="62"/>
      <c r="BV33" s="67">
        <f t="shared" si="32"/>
        <v>0</v>
      </c>
      <c r="BW33" s="62"/>
      <c r="BX33" s="67">
        <f t="shared" si="33"/>
        <v>0</v>
      </c>
      <c r="BY33" s="62"/>
      <c r="BZ33" s="69">
        <f t="shared" si="34"/>
        <v>0</v>
      </c>
      <c r="CA33" s="62"/>
      <c r="CB33" s="69">
        <f t="shared" si="35"/>
        <v>0</v>
      </c>
      <c r="CC33" s="62"/>
      <c r="CD33" s="69">
        <f t="shared" si="36"/>
        <v>0</v>
      </c>
      <c r="CE33" s="62"/>
      <c r="CF33" s="69">
        <f t="shared" si="37"/>
        <v>0</v>
      </c>
      <c r="CG33" s="62"/>
      <c r="CH33" s="69">
        <f t="shared" si="38"/>
        <v>0</v>
      </c>
      <c r="CI33" s="62"/>
      <c r="CJ33" s="69">
        <f t="shared" si="39"/>
        <v>0</v>
      </c>
      <c r="CK33" s="62"/>
      <c r="CL33" s="66">
        <f t="shared" si="40"/>
        <v>0</v>
      </c>
      <c r="CM33" s="67"/>
      <c r="CN33" s="64">
        <v>0</v>
      </c>
      <c r="CO33" s="64">
        <v>0</v>
      </c>
    </row>
    <row r="34" spans="1:102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1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16"/>
        <v>0</v>
      </c>
      <c r="AM34" s="60"/>
      <c r="AN34" s="67">
        <f t="shared" si="17"/>
        <v>0</v>
      </c>
      <c r="AO34" s="60"/>
      <c r="AP34" s="67">
        <f t="shared" si="18"/>
        <v>0</v>
      </c>
      <c r="AQ34" s="60"/>
      <c r="AR34" s="67">
        <f t="shared" si="19"/>
        <v>0</v>
      </c>
      <c r="AS34" s="60"/>
      <c r="AT34" s="67">
        <f t="shared" si="20"/>
        <v>0</v>
      </c>
      <c r="AU34" s="60"/>
      <c r="AV34" s="67">
        <f t="shared" si="21"/>
        <v>0</v>
      </c>
      <c r="AW34" s="60"/>
      <c r="AX34" s="67">
        <f t="shared" si="22"/>
        <v>0</v>
      </c>
      <c r="AY34" s="60"/>
      <c r="AZ34" s="67">
        <f t="shared" si="23"/>
        <v>0</v>
      </c>
      <c r="BA34" s="60"/>
      <c r="BB34" s="67">
        <f t="shared" si="24"/>
        <v>0</v>
      </c>
      <c r="BC34" s="60"/>
      <c r="BD34" s="67">
        <f t="shared" si="25"/>
        <v>0</v>
      </c>
      <c r="BE34" s="61"/>
      <c r="BF34" s="69">
        <f t="shared" si="42"/>
        <v>0</v>
      </c>
      <c r="BG34" s="62"/>
      <c r="BH34" s="67">
        <f t="shared" si="26"/>
        <v>0</v>
      </c>
      <c r="BI34" s="62"/>
      <c r="BJ34" s="67">
        <f t="shared" si="43"/>
        <v>0</v>
      </c>
      <c r="BK34" s="62"/>
      <c r="BL34" s="67">
        <f t="shared" si="27"/>
        <v>0</v>
      </c>
      <c r="BM34" s="62"/>
      <c r="BN34" s="67">
        <f>IF((BM34-BM33&lt;0), "",(BM34-BM33)*1000)</f>
        <v>0</v>
      </c>
      <c r="BO34" s="62"/>
      <c r="BP34" s="67">
        <f t="shared" si="29"/>
        <v>0</v>
      </c>
      <c r="BQ34" s="62"/>
      <c r="BR34" s="67">
        <f t="shared" si="30"/>
        <v>0</v>
      </c>
      <c r="BS34" s="62"/>
      <c r="BT34" s="67">
        <f t="shared" si="44"/>
        <v>0</v>
      </c>
      <c r="BU34" s="62"/>
      <c r="BV34" s="67">
        <f t="shared" si="32"/>
        <v>0</v>
      </c>
      <c r="BW34" s="62"/>
      <c r="BX34" s="67">
        <f t="shared" si="33"/>
        <v>0</v>
      </c>
      <c r="BY34" s="62"/>
      <c r="BZ34" s="69">
        <f t="shared" si="34"/>
        <v>0</v>
      </c>
      <c r="CA34" s="62"/>
      <c r="CB34" s="69">
        <f t="shared" ref="CB34" si="45">IF((CA34-CA33&lt;0), "",CA34-CA33)</f>
        <v>0</v>
      </c>
      <c r="CC34" s="62"/>
      <c r="CD34" s="69">
        <f t="shared" si="36"/>
        <v>0</v>
      </c>
      <c r="CE34" s="62"/>
      <c r="CF34" s="69">
        <f t="shared" ref="CF34" si="46">IF((CE34-CE33&lt;0), "",CE34-CE33)</f>
        <v>0</v>
      </c>
      <c r="CG34" s="62"/>
      <c r="CH34" s="69">
        <f t="shared" si="38"/>
        <v>0</v>
      </c>
      <c r="CI34" s="62"/>
      <c r="CJ34" s="69">
        <f t="shared" si="39"/>
        <v>0</v>
      </c>
      <c r="CK34" s="62"/>
      <c r="CL34" s="66">
        <f t="shared" si="40"/>
        <v>0</v>
      </c>
      <c r="CM34" s="67"/>
      <c r="CN34" s="64">
        <v>0</v>
      </c>
      <c r="CO34" s="64">
        <v>0</v>
      </c>
    </row>
    <row r="35" spans="1:102" ht="21.75" x14ac:dyDescent="0.4">
      <c r="P35" s="71"/>
      <c r="R35" s="71"/>
      <c r="AX35" s="67"/>
      <c r="BF35" s="71"/>
      <c r="BJ35" s="67">
        <f t="shared" ref="BJ35" si="47">IF((BI35-BI34&lt;0), "",(BI35-BI34)*1000)</f>
        <v>0</v>
      </c>
      <c r="BL35" s="67">
        <f>IF((BK35-BK34&lt;0), "",(BK35-BK34)*1000)</f>
        <v>0</v>
      </c>
      <c r="BT35" s="67">
        <f t="shared" si="44"/>
        <v>0</v>
      </c>
      <c r="BV35" s="67">
        <f t="shared" si="32"/>
        <v>0</v>
      </c>
    </row>
    <row r="36" spans="1:102" ht="21.75" x14ac:dyDescent="0.4">
      <c r="AX36" s="67"/>
    </row>
    <row r="37" spans="1:102" ht="22.5" thickBot="1" x14ac:dyDescent="0.45">
      <c r="AX37" s="67"/>
    </row>
    <row r="38" spans="1:102" ht="19.5" thickBot="1" x14ac:dyDescent="0.35">
      <c r="Q38" s="60"/>
      <c r="T38" s="60"/>
    </row>
    <row r="44" spans="1:102" x14ac:dyDescent="0.3">
      <c r="CX44" s="59">
        <f ca="1">+CX44:CZ45</f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P14" sqref="P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80" t="s">
        <v>55</v>
      </c>
      <c r="F4" s="100"/>
      <c r="G4" s="100"/>
      <c r="H4" s="100"/>
      <c r="I4" s="100"/>
      <c r="J4" s="81"/>
      <c r="K4" s="88" t="s">
        <v>56</v>
      </c>
      <c r="L4" s="89"/>
      <c r="M4" s="90"/>
      <c r="N4" s="79" t="s">
        <v>35</v>
      </c>
      <c r="O4" s="79"/>
      <c r="P4" s="79"/>
      <c r="Q4" s="79"/>
    </row>
    <row r="5" spans="1:17" ht="33.75" customHeight="1" x14ac:dyDescent="0.25">
      <c r="A5" s="92"/>
      <c r="B5" s="95"/>
      <c r="C5" s="95"/>
      <c r="D5" s="98"/>
      <c r="E5" s="80" t="s">
        <v>57</v>
      </c>
      <c r="F5" s="81"/>
      <c r="G5" s="80" t="s">
        <v>58</v>
      </c>
      <c r="H5" s="81"/>
      <c r="I5" s="80" t="s">
        <v>59</v>
      </c>
      <c r="J5" s="81"/>
      <c r="K5" s="82" t="s">
        <v>60</v>
      </c>
      <c r="L5" s="83"/>
      <c r="M5" s="84"/>
      <c r="N5" s="85" t="s">
        <v>61</v>
      </c>
      <c r="O5" s="86"/>
      <c r="P5" s="86"/>
      <c r="Q5" s="87"/>
    </row>
    <row r="6" spans="1:17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27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2517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3</v>
      </c>
      <c r="P8" s="40">
        <v>85</v>
      </c>
      <c r="Q8" s="40">
        <v>2521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2525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2529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2532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/>
      <c r="F12" s="42"/>
      <c r="G12" s="42"/>
      <c r="H12" s="42"/>
      <c r="I12" s="42"/>
      <c r="J12" s="42"/>
      <c r="K12" s="43"/>
      <c r="L12" s="43"/>
      <c r="M12" s="43"/>
      <c r="N12" s="40"/>
      <c r="O12" s="40"/>
      <c r="P12" s="40"/>
      <c r="Q12" s="40"/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/>
      <c r="F13" s="42"/>
      <c r="G13" s="42"/>
      <c r="H13" s="42"/>
      <c r="I13" s="42"/>
      <c r="J13" s="42"/>
      <c r="K13" s="43"/>
      <c r="L13" s="43"/>
      <c r="M13" s="43"/>
      <c r="N13" s="40"/>
      <c r="O13" s="40"/>
      <c r="P13" s="40"/>
      <c r="Q13" s="40"/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/>
      <c r="F14" s="42"/>
      <c r="G14" s="42"/>
      <c r="H14" s="42"/>
      <c r="I14" s="42"/>
      <c r="J14" s="42"/>
      <c r="K14" s="43"/>
      <c r="L14" s="43"/>
      <c r="M14" s="43"/>
      <c r="N14" s="40"/>
      <c r="O14" s="40"/>
      <c r="P14" s="40"/>
      <c r="Q14" s="40"/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/>
      <c r="F15" s="42"/>
      <c r="G15" s="42"/>
      <c r="H15" s="42"/>
      <c r="I15" s="42"/>
      <c r="J15" s="42"/>
      <c r="K15" s="43"/>
      <c r="L15" s="43"/>
      <c r="M15" s="43"/>
      <c r="N15" s="40"/>
      <c r="O15" s="40"/>
      <c r="P15" s="40"/>
      <c r="Q15" s="40"/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/>
      <c r="F16" s="42"/>
      <c r="G16" s="42"/>
      <c r="H16" s="42"/>
      <c r="I16" s="42"/>
      <c r="J16" s="42"/>
      <c r="K16" s="43"/>
      <c r="L16" s="43"/>
      <c r="M16" s="43"/>
      <c r="N16" s="40"/>
      <c r="O16" s="40"/>
      <c r="P16" s="40"/>
      <c r="Q16" s="40"/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/>
      <c r="F17" s="42"/>
      <c r="G17" s="42"/>
      <c r="H17" s="42"/>
      <c r="I17" s="42"/>
      <c r="J17" s="42"/>
      <c r="K17" s="43"/>
      <c r="L17" s="43"/>
      <c r="M17" s="43"/>
      <c r="N17" s="40"/>
      <c r="O17" s="40"/>
      <c r="P17" s="40"/>
      <c r="Q17" s="40"/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Saibabu Kinjarapu</cp:lastModifiedBy>
  <dcterms:created xsi:type="dcterms:W3CDTF">2019-08-14T08:16:24Z</dcterms:created>
  <dcterms:modified xsi:type="dcterms:W3CDTF">2020-06-05T06:41:47Z</dcterms:modified>
</cp:coreProperties>
</file>