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bookViews>
    <workbookView xWindow="0" yWindow="0" windowWidth="28800" windowHeight="12435" activeTab="1"/>
  </bookViews>
  <sheets>
    <sheet name="TOTAL" sheetId="11" r:id="rId1"/>
    <sheet name="FS Jimbaran November 2019" sheetId="8" r:id="rId2"/>
    <sheet name="RNs &amp; Covers November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6" i="8" l="1"/>
  <c r="Q46" i="8"/>
  <c r="I12" i="8" l="1"/>
  <c r="N12" i="8"/>
  <c r="O12" i="8" s="1"/>
  <c r="P12" i="8"/>
  <c r="V12" i="8"/>
  <c r="AA12" i="8"/>
  <c r="AB12" i="8"/>
  <c r="I13" i="8"/>
  <c r="N13" i="8"/>
  <c r="P13" i="8"/>
  <c r="V13" i="8"/>
  <c r="AA13" i="8"/>
  <c r="AB13" i="8" s="1"/>
  <c r="O13" i="8" l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" i="11"/>
  <c r="AD55" i="8" l="1"/>
  <c r="AG41" i="8" l="1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I36" i="8" l="1"/>
  <c r="H26" i="11"/>
  <c r="G26" i="11"/>
  <c r="AI41" i="8"/>
  <c r="G31" i="11"/>
  <c r="H31" i="11"/>
  <c r="AI35" i="8"/>
  <c r="H25" i="11"/>
  <c r="G25" i="11"/>
  <c r="AI30" i="8"/>
  <c r="H20" i="11"/>
  <c r="G20" i="11"/>
  <c r="AI38" i="8"/>
  <c r="G28" i="11"/>
  <c r="H28" i="11"/>
  <c r="AI34" i="8"/>
  <c r="G24" i="11"/>
  <c r="H24" i="11"/>
  <c r="AI28" i="8"/>
  <c r="H18" i="11"/>
  <c r="G18" i="11"/>
  <c r="AI29" i="8"/>
  <c r="H19" i="11"/>
  <c r="G19" i="11"/>
  <c r="AI31" i="8"/>
  <c r="G21" i="11"/>
  <c r="H21" i="11"/>
  <c r="AI39" i="8"/>
  <c r="G29" i="11"/>
  <c r="H29" i="11"/>
  <c r="AI33" i="8"/>
  <c r="G23" i="11"/>
  <c r="H23" i="11"/>
  <c r="AI27" i="8"/>
  <c r="H17" i="11"/>
  <c r="G17" i="11"/>
  <c r="AI37" i="8"/>
  <c r="H27" i="11"/>
  <c r="G27" i="11"/>
  <c r="AI32" i="8"/>
  <c r="G22" i="11"/>
  <c r="H22" i="11"/>
  <c r="AI40" i="8"/>
  <c r="G30" i="11"/>
  <c r="H30" i="11"/>
  <c r="X46" i="8"/>
  <c r="C37" i="10" l="1"/>
  <c r="B37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V41" i="8"/>
  <c r="K31" i="11" s="1"/>
  <c r="V40" i="8"/>
  <c r="K30" i="11" s="1"/>
  <c r="V39" i="8"/>
  <c r="K29" i="11" s="1"/>
  <c r="V38" i="8"/>
  <c r="K28" i="11" s="1"/>
  <c r="V37" i="8"/>
  <c r="K27" i="11" s="1"/>
  <c r="V36" i="8"/>
  <c r="K26" i="11" s="1"/>
  <c r="V35" i="8"/>
  <c r="K25" i="11" s="1"/>
  <c r="V34" i="8"/>
  <c r="K24" i="11" s="1"/>
  <c r="V33" i="8"/>
  <c r="K23" i="11" s="1"/>
  <c r="V32" i="8"/>
  <c r="K22" i="11" s="1"/>
  <c r="V31" i="8"/>
  <c r="K21" i="11" s="1"/>
  <c r="V30" i="8"/>
  <c r="K20" i="11" s="1"/>
  <c r="V29" i="8"/>
  <c r="K19" i="11" s="1"/>
  <c r="V28" i="8"/>
  <c r="K18" i="11" s="1"/>
  <c r="V27" i="8"/>
  <c r="K17" i="11" s="1"/>
  <c r="AB30" i="8" l="1"/>
  <c r="L20" i="11"/>
  <c r="AB40" i="8"/>
  <c r="L30" i="11"/>
  <c r="AB37" i="8"/>
  <c r="L27" i="11"/>
  <c r="AB38" i="8"/>
  <c r="L28" i="11"/>
  <c r="AB33" i="8"/>
  <c r="L23" i="11"/>
  <c r="AB41" i="8"/>
  <c r="L31" i="11"/>
  <c r="AB31" i="8"/>
  <c r="L21" i="11"/>
  <c r="AB34" i="8"/>
  <c r="L24" i="11"/>
  <c r="AB29" i="8"/>
  <c r="L19" i="11"/>
  <c r="AB39" i="8"/>
  <c r="L29" i="11"/>
  <c r="AB32" i="8"/>
  <c r="L22" i="11"/>
  <c r="AB27" i="8"/>
  <c r="L17" i="11"/>
  <c r="AB35" i="8"/>
  <c r="L25" i="11"/>
  <c r="AB28" i="8"/>
  <c r="L18" i="11"/>
  <c r="AB36" i="8"/>
  <c r="L26" i="11"/>
  <c r="G46" i="8"/>
  <c r="L46" i="8"/>
  <c r="J46" i="8"/>
  <c r="D46" i="8"/>
  <c r="C46" i="8"/>
  <c r="P41" i="8"/>
  <c r="E31" i="11" s="1"/>
  <c r="P40" i="8"/>
  <c r="E30" i="11" s="1"/>
  <c r="P39" i="8"/>
  <c r="E29" i="11" s="1"/>
  <c r="P38" i="8"/>
  <c r="E28" i="11" s="1"/>
  <c r="P37" i="8"/>
  <c r="E27" i="11" s="1"/>
  <c r="P35" i="8"/>
  <c r="E25" i="11" s="1"/>
  <c r="P34" i="8"/>
  <c r="E24" i="11" s="1"/>
  <c r="P33" i="8"/>
  <c r="E23" i="11" s="1"/>
  <c r="P32" i="8"/>
  <c r="E22" i="11" s="1"/>
  <c r="P31" i="8"/>
  <c r="E21" i="11" s="1"/>
  <c r="P30" i="8"/>
  <c r="E20" i="11" s="1"/>
  <c r="P27" i="8"/>
  <c r="E17" i="11" s="1"/>
  <c r="P26" i="8"/>
  <c r="E16" i="11" s="1"/>
  <c r="P25" i="8"/>
  <c r="E15" i="11" s="1"/>
  <c r="P24" i="8"/>
  <c r="E14" i="11" s="1"/>
  <c r="P23" i="8"/>
  <c r="E13" i="11" s="1"/>
  <c r="P22" i="8"/>
  <c r="E12" i="11" s="1"/>
  <c r="P21" i="8"/>
  <c r="E11" i="11" s="1"/>
  <c r="P20" i="8"/>
  <c r="E10" i="11" s="1"/>
  <c r="P19" i="8"/>
  <c r="E9" i="11" s="1"/>
  <c r="P18" i="8"/>
  <c r="E8" i="11" s="1"/>
  <c r="P17" i="8"/>
  <c r="E7" i="11" s="1"/>
  <c r="P16" i="8"/>
  <c r="E6" i="11" s="1"/>
  <c r="P15" i="8"/>
  <c r="E5" i="11" s="1"/>
  <c r="P14" i="8"/>
  <c r="E4" i="11" s="1"/>
  <c r="E3" i="11"/>
  <c r="E2" i="11"/>
  <c r="K46" i="8" l="1"/>
  <c r="H46" i="8"/>
  <c r="N14" i="8"/>
  <c r="N38" i="8"/>
  <c r="N22" i="8"/>
  <c r="N30" i="8"/>
  <c r="M46" i="8"/>
  <c r="N18" i="8"/>
  <c r="N26" i="8"/>
  <c r="N34" i="8"/>
  <c r="N23" i="8"/>
  <c r="N24" i="8"/>
  <c r="N32" i="8"/>
  <c r="N17" i="8"/>
  <c r="N25" i="8"/>
  <c r="N33" i="8"/>
  <c r="N41" i="8"/>
  <c r="N31" i="8"/>
  <c r="N16" i="8"/>
  <c r="N15" i="8"/>
  <c r="N40" i="8"/>
  <c r="N39" i="8"/>
  <c r="N19" i="8"/>
  <c r="N27" i="8"/>
  <c r="N35" i="8"/>
  <c r="N20" i="8"/>
  <c r="N28" i="8"/>
  <c r="N36" i="8"/>
  <c r="N21" i="8"/>
  <c r="N29" i="8"/>
  <c r="N37" i="8"/>
  <c r="N46" i="8" l="1"/>
  <c r="I26" i="8" l="1"/>
  <c r="O26" i="8" s="1"/>
  <c r="F16" i="11" s="1"/>
  <c r="I24" i="8"/>
  <c r="O24" i="8" s="1"/>
  <c r="F14" i="11" s="1"/>
  <c r="I18" i="8"/>
  <c r="O18" i="8" s="1"/>
  <c r="F8" i="11" s="1"/>
  <c r="I16" i="8"/>
  <c r="O16" i="8" s="1"/>
  <c r="F6" i="11" s="1"/>
  <c r="E46" i="8" l="1"/>
  <c r="P28" i="8"/>
  <c r="E18" i="11" s="1"/>
  <c r="I29" i="8"/>
  <c r="O29" i="8" s="1"/>
  <c r="P29" i="8"/>
  <c r="E19" i="11" s="1"/>
  <c r="I36" i="8"/>
  <c r="O36" i="8" s="1"/>
  <c r="P36" i="8"/>
  <c r="E26" i="11" s="1"/>
  <c r="I20" i="8"/>
  <c r="O20" i="8" s="1"/>
  <c r="F10" i="11" s="1"/>
  <c r="I21" i="8"/>
  <c r="O21" i="8" s="1"/>
  <c r="F11" i="11" s="1"/>
  <c r="F3" i="11"/>
  <c r="I25" i="8"/>
  <c r="O25" i="8" s="1"/>
  <c r="F15" i="11" s="1"/>
  <c r="I17" i="8"/>
  <c r="O17" i="8" s="1"/>
  <c r="F7" i="11" s="1"/>
  <c r="I40" i="8"/>
  <c r="O40" i="8" s="1"/>
  <c r="F30" i="11" s="1"/>
  <c r="I28" i="8"/>
  <c r="O28" i="8" s="1"/>
  <c r="F18" i="11" s="1"/>
  <c r="I37" i="8"/>
  <c r="O37" i="8" s="1"/>
  <c r="F27" i="11" s="1"/>
  <c r="I30" i="8"/>
  <c r="O30" i="8" s="1"/>
  <c r="F20" i="11" s="1"/>
  <c r="I39" i="8"/>
  <c r="O39" i="8" s="1"/>
  <c r="F29" i="11" s="1"/>
  <c r="I19" i="8"/>
  <c r="O19" i="8" s="1"/>
  <c r="F9" i="11" s="1"/>
  <c r="I38" i="8"/>
  <c r="O38" i="8" s="1"/>
  <c r="F28" i="11" s="1"/>
  <c r="I31" i="8"/>
  <c r="O31" i="8" s="1"/>
  <c r="F21" i="11" s="1"/>
  <c r="I22" i="8"/>
  <c r="O22" i="8" s="1"/>
  <c r="F12" i="11" s="1"/>
  <c r="I15" i="8"/>
  <c r="O15" i="8" s="1"/>
  <c r="F5" i="11" s="1"/>
  <c r="I23" i="8"/>
  <c r="O23" i="8" s="1"/>
  <c r="F13" i="11" s="1"/>
  <c r="I33" i="8"/>
  <c r="O33" i="8" s="1"/>
  <c r="F23" i="11" s="1"/>
  <c r="I41" i="8"/>
  <c r="O41" i="8" s="1"/>
  <c r="F31" i="11" s="1"/>
  <c r="I14" i="8"/>
  <c r="O14" i="8" s="1"/>
  <c r="F4" i="11" s="1"/>
  <c r="I34" i="8"/>
  <c r="O34" i="8" s="1"/>
  <c r="F24" i="11" s="1"/>
  <c r="I32" i="8"/>
  <c r="O32" i="8" s="1"/>
  <c r="F22" i="11" s="1"/>
  <c r="I27" i="8"/>
  <c r="O27" i="8" s="1"/>
  <c r="F17" i="11" s="1"/>
  <c r="I35" i="8"/>
  <c r="O35" i="8" s="1"/>
  <c r="F25" i="11" s="1"/>
  <c r="F26" i="11" l="1"/>
  <c r="F19" i="11"/>
  <c r="F46" i="8"/>
  <c r="I46" i="8"/>
  <c r="K3" i="11" l="1"/>
  <c r="V14" i="8"/>
  <c r="K4" i="11" s="1"/>
  <c r="V15" i="8"/>
  <c r="K5" i="11" s="1"/>
  <c r="V16" i="8"/>
  <c r="K6" i="11" s="1"/>
  <c r="V17" i="8"/>
  <c r="K7" i="11" s="1"/>
  <c r="V18" i="8"/>
  <c r="K8" i="11" s="1"/>
  <c r="V19" i="8"/>
  <c r="K9" i="11" s="1"/>
  <c r="V20" i="8"/>
  <c r="K10" i="11" s="1"/>
  <c r="V21" i="8"/>
  <c r="K11" i="11" s="1"/>
  <c r="V22" i="8"/>
  <c r="K12" i="11" s="1"/>
  <c r="V23" i="8"/>
  <c r="K13" i="11" s="1"/>
  <c r="V24" i="8"/>
  <c r="K14" i="11" s="1"/>
  <c r="V25" i="8"/>
  <c r="K15" i="11" s="1"/>
  <c r="V26" i="8"/>
  <c r="K16" i="11" s="1"/>
  <c r="K2" i="11"/>
  <c r="AF46" i="8"/>
  <c r="AE46" i="8"/>
  <c r="AD46" i="8"/>
  <c r="AC46" i="8"/>
  <c r="W46" i="8"/>
  <c r="S43" i="8"/>
  <c r="AL26" i="8"/>
  <c r="AG26" i="8"/>
  <c r="AG25" i="8"/>
  <c r="AG24" i="8"/>
  <c r="AL23" i="8"/>
  <c r="AG23" i="8"/>
  <c r="AG22" i="8"/>
  <c r="AL21" i="8"/>
  <c r="AG21" i="8"/>
  <c r="AL20" i="8"/>
  <c r="AG20" i="8"/>
  <c r="AL19" i="8"/>
  <c r="AG19" i="8"/>
  <c r="AG18" i="8"/>
  <c r="AL17" i="8"/>
  <c r="AG17" i="8"/>
  <c r="AL16" i="8"/>
  <c r="AG16" i="8"/>
  <c r="AL15" i="8"/>
  <c r="AG15" i="8"/>
  <c r="AL14" i="8"/>
  <c r="AG14" i="8"/>
  <c r="AL13" i="8"/>
  <c r="AG13" i="8"/>
  <c r="AL12" i="8"/>
  <c r="AG12" i="8"/>
  <c r="AI26" i="8" l="1"/>
  <c r="G16" i="11"/>
  <c r="H16" i="11"/>
  <c r="AI15" i="8"/>
  <c r="G5" i="11"/>
  <c r="H5" i="11"/>
  <c r="AI25" i="8"/>
  <c r="G15" i="11"/>
  <c r="H15" i="11"/>
  <c r="AI22" i="8"/>
  <c r="H12" i="11"/>
  <c r="G12" i="11"/>
  <c r="AI20" i="8"/>
  <c r="G10" i="11"/>
  <c r="H10" i="11"/>
  <c r="AI21" i="8"/>
  <c r="H11" i="11"/>
  <c r="G11" i="11"/>
  <c r="AI17" i="8"/>
  <c r="G7" i="11"/>
  <c r="H7" i="11"/>
  <c r="AI14" i="8"/>
  <c r="G4" i="11"/>
  <c r="H4" i="11"/>
  <c r="AI18" i="8"/>
  <c r="G8" i="11"/>
  <c r="H8" i="11"/>
  <c r="AI23" i="8"/>
  <c r="G13" i="11"/>
  <c r="H13" i="11"/>
  <c r="AI12" i="8"/>
  <c r="G2" i="11"/>
  <c r="H2" i="11"/>
  <c r="AI16" i="8"/>
  <c r="G6" i="11"/>
  <c r="H6" i="11"/>
  <c r="AI13" i="8"/>
  <c r="H3" i="11"/>
  <c r="G3" i="11"/>
  <c r="AI19" i="8"/>
  <c r="G9" i="11"/>
  <c r="H9" i="11"/>
  <c r="AI24" i="8"/>
  <c r="G14" i="11"/>
  <c r="H14" i="11"/>
  <c r="O46" i="8"/>
  <c r="F2" i="11"/>
  <c r="AJ46" i="8"/>
  <c r="AL22" i="8"/>
  <c r="AL24" i="8"/>
  <c r="AL25" i="8"/>
  <c r="Y46" i="8"/>
  <c r="V46" i="8"/>
  <c r="AA14" i="8"/>
  <c r="AA22" i="8"/>
  <c r="AA18" i="8"/>
  <c r="AA23" i="8"/>
  <c r="AA19" i="8"/>
  <c r="AA20" i="8"/>
  <c r="AA24" i="8"/>
  <c r="AA26" i="8"/>
  <c r="AA17" i="8"/>
  <c r="AA16" i="8"/>
  <c r="AA21" i="8"/>
  <c r="AA15" i="8"/>
  <c r="AA25" i="8"/>
  <c r="L2" i="11"/>
  <c r="Z46" i="8"/>
  <c r="AL18" i="8"/>
  <c r="AG46" i="8"/>
  <c r="AH46" i="8" s="1"/>
  <c r="AB22" i="8" l="1"/>
  <c r="L12" i="11"/>
  <c r="AB24" i="8"/>
  <c r="L14" i="11"/>
  <c r="AB14" i="8"/>
  <c r="L4" i="11"/>
  <c r="AB17" i="8"/>
  <c r="L7" i="11"/>
  <c r="AB26" i="8"/>
  <c r="L16" i="11"/>
  <c r="AB20" i="8"/>
  <c r="L10" i="11"/>
  <c r="AB25" i="8"/>
  <c r="L15" i="11"/>
  <c r="AB19" i="8"/>
  <c r="L9" i="11"/>
  <c r="AB15" i="8"/>
  <c r="L5" i="11"/>
  <c r="AB23" i="8"/>
  <c r="L13" i="11"/>
  <c r="AB21" i="8"/>
  <c r="L11" i="11"/>
  <c r="L3" i="11"/>
  <c r="AB16" i="8"/>
  <c r="L6" i="11"/>
  <c r="AB18" i="8"/>
  <c r="L8" i="11"/>
  <c r="AK46" i="8"/>
  <c r="AL46" i="8" s="1"/>
  <c r="AI46" i="8"/>
  <c r="AA46" i="8"/>
  <c r="AB46" i="8" s="1"/>
  <c r="S46" i="8" l="1"/>
  <c r="R46" i="8"/>
  <c r="T46" i="8" s="1"/>
  <c r="U46" i="8" s="1"/>
  <c r="U47" i="8" l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<sst xmlns="http://schemas.openxmlformats.org/spreadsheetml/2006/main" count="100" uniqueCount="55">
  <si>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</si>
  <si>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</si>
  <si>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</si>
  <si>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</si>
  <si>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</si>
  <si>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</si>
  <si>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</si>
  <si>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</si>
  <si>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</si>
  <si>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</si>
  <si>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</si>
  <si>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</si>
  <si>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</si>
  <si>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</si>
  <si>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Residences- Electricity KWh (daily reading N/A), monthly report</t>
  </si>
  <si>
    <t>Resort Cost  (IDR)</t>
  </si>
  <si>
    <t>Sundara Cost  (IDR)</t>
  </si>
  <si>
    <t>IDR</t>
  </si>
  <si>
    <t>USD</t>
  </si>
  <si>
    <t>TOTAL  Electricity cost</t>
  </si>
  <si>
    <t>WATER</t>
  </si>
  <si>
    <t>`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</si>
  <si>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</si>
  <si>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</si>
  <si>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</si>
  <si>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</si>
  <si>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</si>
  <si>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</si>
  <si>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</si>
  <si>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</si>
  <si>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</si>
  <si>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</si>
  <si>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</si>
  <si>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</si>
  <si>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</si>
  <si>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</si>
  <si>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</si>
  <si>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</si>
  <si>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</si>
  <si>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</si>
  <si>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</si>
  <si>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</si>
  <si>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</si>
  <si>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</si>
  <si>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</si>
  <si>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</si>
  <si>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</si>
  <si>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</si>
  <si>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</si>
  <si>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</si>
  <si>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</si>
  <si>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</si>
  <si>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</si>
  <si>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</si>
  <si>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NOVEMBER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</si>
</sst>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(* #,##0_);_(* \(#,##0\);_(* &quot;-&quot;??_);_(@_)"/>
    <numFmt numFmtId="169" formatCode="&quot;$&quot;#,##0"/>
    <numFmt numFmtId="170" formatCode="_-* #,##0.0_-;\-* #,##0.0_-;_-* &quot;-&quot;??_-;_-@_-"/>
    <numFmt numFmtId="171" formatCode="_-* #,##0.000_-;\-* #,##0.000_-;_-* &quot;-&quot;??_-;_-@_-"/>
    <numFmt numFmtId="172" formatCode="_-* #,##0.00000_-;\-* #,##0.00000_-;_-* &quot;-&quot;??_-;_-@_-"/>
    <numFmt numFmtId="173" formatCode="_-* #,##0.000000_-;\-* #,##0.0000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277">
    <xf numFmtId="0" fontId="0" fillId="0" borderId="0" xfId="0"/>
    <xf numFmtId="0" fontId="0" fillId="0" borderId="0" xfId="0" applyBorder="1"/>
    <xf numFmtId="0" fontId="0" fillId="0" borderId="8" xfId="0" applyBorder="1"/>
    <xf numFmtId="167" fontId="0" fillId="0" borderId="8" xfId="2" applyNumberFormat="1" applyFont="1" applyBorder="1"/>
    <xf numFmtId="167" fontId="0" fillId="0" borderId="0" xfId="2" applyNumberFormat="1" applyFont="1"/>
    <xf numFmtId="167" fontId="0" fillId="0" borderId="0" xfId="2" applyNumberFormat="1" applyFont="1" applyBorder="1"/>
    <xf numFmtId="167" fontId="1" fillId="0" borderId="0" xfId="2" applyNumberFormat="1" applyFont="1"/>
    <xf numFmtId="167" fontId="0" fillId="3" borderId="0" xfId="2" applyNumberFormat="1" applyFont="1" applyFill="1" applyBorder="1"/>
    <xf numFmtId="167" fontId="2" fillId="0" borderId="0" xfId="2" applyNumberFormat="1" applyFont="1" applyBorder="1"/>
    <xf numFmtId="43" fontId="0" fillId="0" borderId="0" xfId="2" applyFont="1" applyBorder="1"/>
    <xf numFmtId="0" fontId="0" fillId="3" borderId="0" xfId="0" applyFill="1"/>
    <xf numFmtId="167" fontId="3" fillId="0" borderId="0" xfId="2" applyNumberFormat="1" applyFont="1" applyBorder="1"/>
    <xf numFmtId="43" fontId="5" fillId="0" borderId="0" xfId="2" applyFont="1" applyBorder="1"/>
    <xf numFmtId="43" fontId="5" fillId="0" borderId="0" xfId="0" applyNumberFormat="1" applyFont="1" applyBorder="1"/>
    <xf numFmtId="167" fontId="0" fillId="0" borderId="0" xfId="0" applyNumberFormat="1" applyBorder="1"/>
    <xf numFmtId="43" fontId="0" fillId="3" borderId="12" xfId="2" applyFont="1" applyFill="1" applyBorder="1"/>
    <xf numFmtId="43" fontId="0" fillId="3" borderId="15" xfId="2" applyFont="1" applyFill="1" applyBorder="1"/>
    <xf numFmtId="43" fontId="0" fillId="3" borderId="24" xfId="2" applyFont="1" applyFill="1" applyBorder="1"/>
    <xf numFmtId="43" fontId="0" fillId="3" borderId="11" xfId="2" applyFont="1" applyFill="1" applyBorder="1"/>
    <xf numFmtId="0" fontId="9" fillId="0" borderId="0" xfId="0" applyFont="1"/>
    <xf numFmtId="0" fontId="0" fillId="0" borderId="22" xfId="0" applyBorder="1"/>
    <xf numFmtId="0" fontId="0" fillId="0" borderId="34" xfId="0" applyBorder="1" applyAlignment="1">
      <alignment horizontal="center" vertical="center" wrapText="1"/>
    </xf>
    <xf numFmtId="43" fontId="0" fillId="0" borderId="0" xfId="2" applyFont="1"/>
    <xf numFmtId="165" fontId="5" fillId="0" borderId="0" xfId="1" applyNumberFormat="1" applyFont="1" applyBorder="1"/>
    <xf numFmtId="0" fontId="5" fillId="0" borderId="0" xfId="0" applyFont="1" applyBorder="1" applyAlignment="1">
      <alignment horizontal="right"/>
    </xf>
    <xf numFmtId="166" fontId="0" fillId="0" borderId="0" xfId="0" applyNumberFormat="1"/>
    <xf numFmtId="167" fontId="0" fillId="0" borderId="0" xfId="0" applyNumberFormat="1"/>
    <xf numFmtId="0" fontId="0" fillId="3" borderId="0" xfId="0" applyFill="1" applyBorder="1"/>
    <xf numFmtId="43" fontId="0" fillId="3" borderId="0" xfId="0" applyNumberFormat="1" applyFill="1" applyBorder="1"/>
    <xf numFmtId="167" fontId="5" fillId="0" borderId="0" xfId="2" applyNumberFormat="1" applyFont="1" applyBorder="1"/>
    <xf numFmtId="167" fontId="5" fillId="0" borderId="0" xfId="2" applyNumberFormat="1" applyFont="1" applyBorder="1" applyAlignment="1">
      <alignment horizontal="right"/>
    </xf>
    <xf numFmtId="167" fontId="1" fillId="0" borderId="23" xfId="0" applyNumberFormat="1" applyFont="1" applyBorder="1"/>
    <xf numFmtId="0" fontId="0" fillId="0" borderId="9" xfId="0" applyBorder="1"/>
    <xf numFmtId="167" fontId="0" fillId="0" borderId="12" xfId="2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7" fontId="0" fillId="0" borderId="36" xfId="2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3" fontId="0" fillId="3" borderId="42" xfId="2" applyFont="1" applyFill="1" applyBorder="1"/>
    <xf numFmtId="43" fontId="0" fillId="3" borderId="5" xfId="2" applyFont="1" applyFill="1" applyBorder="1"/>
    <xf numFmtId="167" fontId="3" fillId="3" borderId="0" xfId="2" applyNumberFormat="1" applyFont="1" applyFill="1" applyBorder="1"/>
    <xf numFmtId="167" fontId="0" fillId="3" borderId="0" xfId="0" applyNumberFormat="1" applyFill="1" applyBorder="1"/>
    <xf numFmtId="0" fontId="7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10" fillId="3" borderId="0" xfId="0" applyFont="1" applyFill="1" applyBorder="1" applyAlignment="1"/>
    <xf numFmtId="167" fontId="0" fillId="0" borderId="9" xfId="0" applyNumberFormat="1" applyBorder="1"/>
    <xf numFmtId="0" fontId="0" fillId="3" borderId="5" xfId="0" applyFill="1" applyBorder="1"/>
    <xf numFmtId="167" fontId="0" fillId="3" borderId="0" xfId="2" applyNumberFormat="1" applyFont="1" applyFill="1" applyBorder="1" applyAlignment="1">
      <alignment horizontal="right"/>
    </xf>
    <xf numFmtId="167" fontId="7" fillId="3" borderId="0" xfId="2" applyNumberFormat="1" applyFont="1" applyFill="1" applyBorder="1" applyAlignment="1"/>
    <xf numFmtId="168" fontId="0" fillId="0" borderId="8" xfId="2" applyNumberFormat="1" applyFont="1" applyBorder="1"/>
    <xf numFmtId="165" fontId="5" fillId="0" borderId="0" xfId="1" applyFont="1" applyBorder="1"/>
    <xf numFmtId="0" fontId="1" fillId="4" borderId="40" xfId="0" applyFont="1" applyFill="1" applyBorder="1" applyAlignment="1">
      <alignment horizontal="center" vertical="center"/>
    </xf>
    <xf numFmtId="169" fontId="0" fillId="0" borderId="0" xfId="0" applyNumberFormat="1" applyBorder="1"/>
    <xf numFmtId="169" fontId="3" fillId="0" borderId="0" xfId="2" applyNumberFormat="1" applyFont="1" applyBorder="1"/>
    <xf numFmtId="169" fontId="7" fillId="3" borderId="0" xfId="0" applyNumberFormat="1" applyFont="1" applyFill="1" applyBorder="1" applyAlignment="1"/>
    <xf numFmtId="169" fontId="1" fillId="4" borderId="4" xfId="0" applyNumberFormat="1" applyFont="1" applyFill="1" applyBorder="1" applyAlignment="1">
      <alignment horizontal="center" vertical="center"/>
    </xf>
    <xf numFmtId="169" fontId="0" fillId="0" borderId="21" xfId="2" applyNumberFormat="1" applyFont="1" applyBorder="1"/>
    <xf numFmtId="169" fontId="0" fillId="3" borderId="5" xfId="0" applyNumberFormat="1" applyFill="1" applyBorder="1"/>
    <xf numFmtId="169" fontId="0" fillId="0" borderId="0" xfId="0" applyNumberFormat="1"/>
    <xf numFmtId="166" fontId="0" fillId="0" borderId="0" xfId="2" applyNumberFormat="1" applyFont="1"/>
    <xf numFmtId="0" fontId="0" fillId="0" borderId="13" xfId="0" applyBorder="1" applyAlignment="1">
      <alignment horizontal="center" vertical="center" wrapText="1"/>
    </xf>
    <xf numFmtId="169" fontId="0" fillId="0" borderId="9" xfId="2" applyNumberFormat="1" applyFont="1" applyBorder="1"/>
    <xf numFmtId="43" fontId="0" fillId="3" borderId="23" xfId="0" applyNumberFormat="1" applyFill="1" applyBorder="1"/>
    <xf numFmtId="167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7" fontId="0" fillId="0" borderId="47" xfId="2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9" fontId="0" fillId="0" borderId="27" xfId="0" applyNumberFormat="1" applyBorder="1" applyAlignment="1">
      <alignment horizontal="center" vertical="center" wrapText="1"/>
    </xf>
    <xf numFmtId="169" fontId="0" fillId="0" borderId="48" xfId="0" applyNumberFormat="1" applyBorder="1" applyAlignment="1">
      <alignment horizontal="center" vertical="center" wrapText="1"/>
    </xf>
    <xf numFmtId="167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6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3" fillId="11" borderId="49" xfId="0" applyFont="1" applyFill="1" applyBorder="1" applyAlignment="1">
      <alignment horizontal="center" vertical="center" shrinkToFit="1"/>
    </xf>
    <xf numFmtId="0" fontId="13" fillId="11" borderId="50" xfId="0" applyFont="1" applyFill="1" applyBorder="1" applyAlignment="1">
      <alignment horizontal="center" vertical="center" shrinkToFit="1"/>
    </xf>
    <xf numFmtId="43" fontId="10" fillId="3" borderId="0" xfId="2" applyFont="1" applyFill="1" applyBorder="1" applyAlignment="1"/>
    <xf numFmtId="43" fontId="9" fillId="0" borderId="16" xfId="2" applyFont="1" applyBorder="1" applyAlignment="1">
      <alignment horizontal="center" vertical="center" wrapText="1"/>
    </xf>
    <xf numFmtId="43" fontId="9" fillId="0" borderId="29" xfId="2" applyFont="1" applyBorder="1" applyAlignment="1">
      <alignment horizontal="center" vertical="center" wrapText="1"/>
    </xf>
    <xf numFmtId="43" fontId="9" fillId="0" borderId="8" xfId="2" applyFont="1" applyBorder="1"/>
    <xf numFmtId="43" fontId="9" fillId="3" borderId="0" xfId="2" applyFont="1" applyFill="1" applyBorder="1"/>
    <xf numFmtId="43" fontId="14" fillId="0" borderId="0" xfId="2" applyFont="1" applyBorder="1"/>
    <xf numFmtId="43" fontId="9" fillId="0" borderId="0" xfId="2" applyFont="1"/>
    <xf numFmtId="167" fontId="10" fillId="3" borderId="0" xfId="2" applyNumberFormat="1" applyFont="1" applyFill="1" applyBorder="1" applyAlignment="1"/>
    <xf numFmtId="167" fontId="9" fillId="3" borderId="0" xfId="2" applyNumberFormat="1" applyFont="1" applyFill="1" applyBorder="1"/>
    <xf numFmtId="167" fontId="14" fillId="0" borderId="0" xfId="2" applyNumberFormat="1" applyFont="1" applyBorder="1"/>
    <xf numFmtId="167" fontId="9" fillId="0" borderId="0" xfId="2" applyNumberFormat="1" applyFont="1"/>
    <xf numFmtId="167" fontId="0" fillId="3" borderId="44" xfId="0" applyNumberFormat="1" applyFill="1" applyBorder="1"/>
    <xf numFmtId="167" fontId="1" fillId="0" borderId="44" xfId="0" applyNumberFormat="1" applyFont="1" applyBorder="1"/>
    <xf numFmtId="0" fontId="0" fillId="3" borderId="51" xfId="0" applyFill="1" applyBorder="1"/>
    <xf numFmtId="167" fontId="0" fillId="3" borderId="51" xfId="2" applyNumberFormat="1" applyFont="1" applyFill="1" applyBorder="1"/>
    <xf numFmtId="43" fontId="9" fillId="3" borderId="51" xfId="2" applyFont="1" applyFill="1" applyBorder="1"/>
    <xf numFmtId="167" fontId="9" fillId="3" borderId="51" xfId="2" applyNumberFormat="1" applyFont="1" applyFill="1" applyBorder="1"/>
    <xf numFmtId="43" fontId="0" fillId="3" borderId="51" xfId="0" applyNumberFormat="1" applyFill="1" applyBorder="1"/>
    <xf numFmtId="0" fontId="0" fillId="3" borderId="53" xfId="0" applyFill="1" applyBorder="1"/>
    <xf numFmtId="166" fontId="0" fillId="3" borderId="51" xfId="0" applyNumberFormat="1" applyFill="1" applyBorder="1"/>
    <xf numFmtId="167" fontId="0" fillId="3" borderId="51" xfId="0" applyNumberFormat="1" applyFill="1" applyBorder="1"/>
    <xf numFmtId="167" fontId="0" fillId="0" borderId="51" xfId="2" applyNumberFormat="1" applyFont="1" applyBorder="1"/>
    <xf numFmtId="169" fontId="0" fillId="3" borderId="53" xfId="0" applyNumberFormat="1" applyFill="1" applyBorder="1"/>
    <xf numFmtId="167" fontId="0" fillId="0" borderId="0" xfId="2" applyNumberFormat="1" applyFont="1" applyBorder="1" applyAlignment="1">
      <alignment horizontal="right"/>
    </xf>
    <xf numFmtId="167" fontId="10" fillId="6" borderId="23" xfId="2" applyNumberFormat="1" applyFont="1" applyFill="1" applyBorder="1"/>
    <xf numFmtId="167" fontId="1" fillId="6" borderId="23" xfId="0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3" fontId="0" fillId="0" borderId="0" xfId="0" applyNumberFormat="1"/>
    <xf numFmtId="3" fontId="15" fillId="0" borderId="0" xfId="0" applyNumberFormat="1" applyFont="1"/>
    <xf numFmtId="4" fontId="0" fillId="0" borderId="0" xfId="0" applyNumberFormat="1"/>
    <xf numFmtId="170" fontId="7" fillId="3" borderId="0" xfId="2" applyNumberFormat="1" applyFont="1" applyFill="1" applyBorder="1" applyAlignment="1"/>
    <xf numFmtId="170" fontId="0" fillId="3" borderId="0" xfId="2" applyNumberFormat="1" applyFont="1" applyFill="1" applyBorder="1"/>
    <xf numFmtId="170" fontId="0" fillId="3" borderId="51" xfId="2" applyNumberFormat="1" applyFont="1" applyFill="1" applyBorder="1"/>
    <xf numFmtId="170" fontId="0" fillId="0" borderId="0" xfId="2" applyNumberFormat="1" applyFont="1" applyBorder="1"/>
    <xf numFmtId="170" fontId="3" fillId="0" borderId="0" xfId="2" applyNumberFormat="1" applyFont="1" applyBorder="1"/>
    <xf numFmtId="170" fontId="0" fillId="0" borderId="0" xfId="2" applyNumberFormat="1" applyFont="1"/>
    <xf numFmtId="167" fontId="15" fillId="0" borderId="0" xfId="2" applyNumberFormat="1" applyFont="1"/>
    <xf numFmtId="167" fontId="0" fillId="0" borderId="19" xfId="2" applyNumberFormat="1" applyFont="1" applyBorder="1" applyAlignment="1">
      <alignment horizontal="center" vertical="center" wrapText="1"/>
    </xf>
    <xf numFmtId="167" fontId="6" fillId="0" borderId="0" xfId="2" applyNumberFormat="1" applyFont="1"/>
    <xf numFmtId="0" fontId="0" fillId="0" borderId="56" xfId="0" applyBorder="1" applyAlignment="1">
      <alignment horizontal="center" vertical="center" wrapText="1"/>
    </xf>
    <xf numFmtId="167" fontId="10" fillId="0" borderId="58" xfId="2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7" fontId="9" fillId="0" borderId="60" xfId="2" applyNumberFormat="1" applyFont="1" applyBorder="1" applyAlignment="1">
      <alignment horizontal="center" vertical="center" wrapText="1"/>
    </xf>
    <xf numFmtId="167" fontId="9" fillId="0" borderId="21" xfId="2" applyNumberFormat="1" applyFont="1" applyBorder="1"/>
    <xf numFmtId="0" fontId="0" fillId="0" borderId="31" xfId="0" applyBorder="1"/>
    <xf numFmtId="167" fontId="0" fillId="0" borderId="31" xfId="2" applyNumberFormat="1" applyFont="1" applyBorder="1"/>
    <xf numFmtId="43" fontId="9" fillId="0" borderId="31" xfId="2" applyFont="1" applyBorder="1"/>
    <xf numFmtId="167" fontId="9" fillId="0" borderId="34" xfId="2" applyNumberFormat="1" applyFont="1" applyBorder="1"/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167" fontId="0" fillId="0" borderId="18" xfId="2" applyNumberFormat="1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43" fontId="0" fillId="0" borderId="21" xfId="0" applyNumberFormat="1" applyBorder="1"/>
    <xf numFmtId="167" fontId="0" fillId="0" borderId="62" xfId="2" applyNumberFormat="1" applyFont="1" applyBorder="1"/>
    <xf numFmtId="0" fontId="0" fillId="0" borderId="34" xfId="0" applyBorder="1"/>
    <xf numFmtId="167" fontId="0" fillId="0" borderId="10" xfId="2" applyNumberFormat="1" applyFont="1" applyBorder="1"/>
    <xf numFmtId="167" fontId="0" fillId="3" borderId="10" xfId="2" applyNumberFormat="1" applyFont="1" applyFill="1" applyBorder="1"/>
    <xf numFmtId="0" fontId="0" fillId="0" borderId="63" xfId="0" applyBorder="1"/>
    <xf numFmtId="172" fontId="9" fillId="0" borderId="0" xfId="2" applyNumberFormat="1" applyFont="1"/>
    <xf numFmtId="172" fontId="0" fillId="0" borderId="0" xfId="2" applyNumberFormat="1" applyFont="1" applyBorder="1"/>
    <xf numFmtId="171" fontId="15" fillId="0" borderId="0" xfId="2" applyNumberFormat="1" applyFont="1"/>
    <xf numFmtId="173" fontId="0" fillId="0" borderId="0" xfId="2" applyNumberFormat="1" applyFont="1"/>
    <xf numFmtId="43" fontId="0" fillId="0" borderId="50" xfId="2" applyFont="1" applyBorder="1"/>
    <xf numFmtId="43" fontId="0" fillId="0" borderId="64" xfId="2" applyFont="1" applyBorder="1"/>
    <xf numFmtId="0" fontId="0" fillId="0" borderId="40" xfId="0" applyBorder="1" applyAlignment="1">
      <alignment horizontal="center" vertical="center" wrapText="1"/>
    </xf>
    <xf numFmtId="167" fontId="9" fillId="0" borderId="49" xfId="2" applyNumberFormat="1" applyFont="1" applyBorder="1" applyAlignment="1">
      <alignment horizontal="center" vertical="center" wrapText="1"/>
    </xf>
    <xf numFmtId="167" fontId="9" fillId="0" borderId="50" xfId="2" applyNumberFormat="1" applyFont="1" applyBorder="1"/>
    <xf numFmtId="167" fontId="9" fillId="0" borderId="64" xfId="2" applyNumberFormat="1" applyFont="1" applyBorder="1"/>
    <xf numFmtId="167" fontId="11" fillId="0" borderId="23" xfId="0" applyNumberFormat="1" applyFont="1" applyBorder="1"/>
    <xf numFmtId="170" fontId="0" fillId="0" borderId="37" xfId="2" applyNumberFormat="1" applyFont="1" applyBorder="1" applyAlignment="1">
      <alignment horizontal="center" vertical="center" wrapText="1"/>
    </xf>
    <xf numFmtId="170" fontId="5" fillId="0" borderId="0" xfId="2" applyNumberFormat="1" applyFont="1" applyBorder="1"/>
    <xf numFmtId="167" fontId="10" fillId="6" borderId="23" xfId="0" applyNumberFormat="1" applyFont="1" applyFill="1" applyBorder="1"/>
    <xf numFmtId="167" fontId="0" fillId="3" borderId="14" xfId="2" applyNumberFormat="1" applyFont="1" applyFill="1" applyBorder="1"/>
    <xf numFmtId="0" fontId="0" fillId="3" borderId="66" xfId="0" applyFill="1" applyBorder="1"/>
    <xf numFmtId="0" fontId="0" fillId="3" borderId="15" xfId="0" applyFill="1" applyBorder="1"/>
    <xf numFmtId="0" fontId="0" fillId="3" borderId="67" xfId="0" applyFill="1" applyBorder="1"/>
    <xf numFmtId="0" fontId="0" fillId="3" borderId="68" xfId="0" applyFill="1" applyBorder="1"/>
    <xf numFmtId="167" fontId="0" fillId="3" borderId="52" xfId="2" applyNumberFormat="1" applyFont="1" applyFill="1" applyBorder="1"/>
    <xf numFmtId="0" fontId="13" fillId="11" borderId="64" xfId="0" applyFont="1" applyFill="1" applyBorder="1" applyAlignment="1">
      <alignment horizontal="center" vertical="center" shrinkToFit="1"/>
    </xf>
    <xf numFmtId="167" fontId="1" fillId="0" borderId="23" xfId="2" applyNumberFormat="1" applyFont="1" applyBorder="1"/>
    <xf numFmtId="169" fontId="1" fillId="3" borderId="7" xfId="0" applyNumberFormat="1" applyFont="1" applyFill="1" applyBorder="1"/>
    <xf numFmtId="0" fontId="0" fillId="0" borderId="6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/>
    <xf numFmtId="167" fontId="0" fillId="0" borderId="21" xfId="0" applyNumberFormat="1" applyBorder="1"/>
    <xf numFmtId="0" fontId="0" fillId="0" borderId="21" xfId="0" applyBorder="1"/>
    <xf numFmtId="0" fontId="0" fillId="3" borderId="54" xfId="0" applyFill="1" applyBorder="1"/>
    <xf numFmtId="166" fontId="0" fillId="3" borderId="5" xfId="0" applyNumberFormat="1" applyFill="1" applyBorder="1"/>
    <xf numFmtId="0" fontId="0" fillId="3" borderId="70" xfId="0" applyFill="1" applyBorder="1"/>
    <xf numFmtId="167" fontId="1" fillId="0" borderId="12" xfId="2" applyNumberFormat="1" applyFont="1" applyBorder="1" applyAlignment="1">
      <alignment horizontal="center" vertical="center" wrapText="1"/>
    </xf>
    <xf numFmtId="170" fontId="0" fillId="0" borderId="24" xfId="2" applyNumberFormat="1" applyFont="1" applyBorder="1"/>
    <xf numFmtId="167" fontId="1" fillId="0" borderId="22" xfId="2" applyNumberFormat="1" applyFont="1" applyBorder="1"/>
    <xf numFmtId="167" fontId="16" fillId="3" borderId="8" xfId="2" applyNumberFormat="1" applyFont="1" applyFill="1" applyBorder="1" applyProtection="1">
      <protection locked="0"/>
    </xf>
    <xf numFmtId="170" fontId="0" fillId="3" borderId="11" xfId="2" applyNumberFormat="1" applyFont="1" applyFill="1" applyBorder="1"/>
    <xf numFmtId="170" fontId="8" fillId="3" borderId="11" xfId="2" applyNumberFormat="1" applyFont="1" applyFill="1" applyBorder="1" applyAlignment="1">
      <alignment vertical="top" wrapText="1"/>
    </xf>
    <xf numFmtId="170" fontId="8" fillId="3" borderId="0" xfId="2" applyNumberFormat="1" applyFont="1" applyFill="1" applyBorder="1" applyAlignment="1">
      <alignment vertical="top" wrapText="1"/>
    </xf>
    <xf numFmtId="0" fontId="8" fillId="3" borderId="66" xfId="4" applyFill="1" applyBorder="1" applyAlignment="1">
      <alignment vertical="top" wrapText="1"/>
    </xf>
    <xf numFmtId="0" fontId="0" fillId="3" borderId="66" xfId="0" applyFill="1" applyBorder="1" applyAlignment="1"/>
    <xf numFmtId="0" fontId="0" fillId="3" borderId="57" xfId="0" applyFill="1" applyBorder="1" applyAlignment="1">
      <alignment wrapText="1"/>
    </xf>
    <xf numFmtId="0" fontId="0" fillId="3" borderId="66" xfId="0" applyFill="1" applyBorder="1" applyAlignment="1">
      <alignment wrapText="1"/>
    </xf>
    <xf numFmtId="0" fontId="8" fillId="3" borderId="54" xfId="4" applyFill="1" applyBorder="1" applyAlignment="1">
      <alignment vertical="top" wrapText="1"/>
    </xf>
    <xf numFmtId="0" fontId="8" fillId="3" borderId="15" xfId="4" applyFill="1" applyBorder="1" applyAlignment="1">
      <alignment vertical="top" wrapText="1"/>
    </xf>
    <xf numFmtId="167" fontId="1" fillId="12" borderId="6" xfId="0" applyNumberFormat="1" applyFont="1" applyFill="1" applyBorder="1"/>
    <xf numFmtId="43" fontId="5" fillId="0" borderId="0" xfId="2" applyNumberFormat="1" applyFont="1" applyBorder="1"/>
    <xf numFmtId="165" fontId="10" fillId="12" borderId="7" xfId="1" applyFont="1" applyFill="1" applyBorder="1"/>
    <xf numFmtId="167" fontId="0" fillId="3" borderId="23" xfId="2" applyNumberFormat="1" applyFont="1" applyFill="1" applyBorder="1"/>
    <xf numFmtId="166" fontId="0" fillId="0" borderId="0" xfId="0" applyNumberFormat="1" applyBorder="1"/>
    <xf numFmtId="170" fontId="1" fillId="4" borderId="3" xfId="2" applyNumberFormat="1" applyFont="1" applyFill="1" applyBorder="1" applyAlignment="1">
      <alignment horizontal="center" vertical="center"/>
    </xf>
    <xf numFmtId="170" fontId="0" fillId="0" borderId="46" xfId="2" applyNumberFormat="1" applyFont="1" applyBorder="1" applyAlignment="1">
      <alignment horizontal="center" vertical="center" wrapText="1"/>
    </xf>
    <xf numFmtId="170" fontId="0" fillId="0" borderId="26" xfId="2" applyNumberFormat="1" applyFont="1" applyBorder="1" applyAlignment="1">
      <alignment horizontal="center" vertical="center" wrapText="1"/>
    </xf>
    <xf numFmtId="170" fontId="0" fillId="0" borderId="22" xfId="2" applyNumberFormat="1" applyFont="1" applyBorder="1"/>
    <xf numFmtId="170" fontId="0" fillId="0" borderId="51" xfId="2" applyNumberFormat="1" applyFont="1" applyBorder="1"/>
    <xf numFmtId="170" fontId="0" fillId="0" borderId="6" xfId="2" applyNumberFormat="1" applyFont="1" applyBorder="1"/>
    <xf numFmtId="167" fontId="1" fillId="12" borderId="6" xfId="2" applyNumberFormat="1" applyFont="1" applyFill="1" applyBorder="1"/>
    <xf numFmtId="169" fontId="1" fillId="12" borderId="7" xfId="0" applyNumberFormat="1" applyFont="1" applyFill="1" applyBorder="1"/>
    <xf numFmtId="167" fontId="1" fillId="12" borderId="33" xfId="2" applyNumberFormat="1" applyFont="1" applyFill="1" applyBorder="1"/>
    <xf numFmtId="169" fontId="1" fillId="12" borderId="35" xfId="2" applyNumberFormat="1" applyFont="1" applyFill="1" applyBorder="1"/>
    <xf numFmtId="43" fontId="6" fillId="0" borderId="0" xfId="2" applyFont="1" applyBorder="1"/>
    <xf numFmtId="43" fontId="0" fillId="3" borderId="33" xfId="2" applyFont="1" applyFill="1" applyBorder="1"/>
    <xf numFmtId="43" fontId="0" fillId="3" borderId="55" xfId="2" applyFont="1" applyFill="1" applyBorder="1"/>
    <xf numFmtId="43" fontId="0" fillId="3" borderId="7" xfId="2" applyFont="1" applyFill="1" applyBorder="1"/>
    <xf numFmtId="0" fontId="8" fillId="0" borderId="6" xfId="4" quotePrefix="1" applyBorder="1"/>
    <xf numFmtId="0" fontId="8" fillId="0" borderId="23" xfId="4" quotePrefix="1" applyBorder="1"/>
    <xf numFmtId="167" fontId="2" fillId="0" borderId="10" xfId="2" applyNumberFormat="1" applyFont="1" applyBorder="1"/>
    <xf numFmtId="168" fontId="0" fillId="0" borderId="61" xfId="2" applyNumberFormat="1" applyFont="1" applyBorder="1"/>
    <xf numFmtId="167" fontId="0" fillId="0" borderId="64" xfId="2" applyNumberFormat="1" applyFont="1" applyBorder="1"/>
    <xf numFmtId="164" fontId="5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168" fontId="18" fillId="0" borderId="8" xfId="0" applyNumberFormat="1" applyFont="1" applyBorder="1"/>
    <xf numFmtId="37" fontId="18" fillId="0" borderId="8" xfId="0" applyNumberFormat="1" applyFont="1" applyBorder="1"/>
    <xf numFmtId="0" fontId="1" fillId="8" borderId="40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left"/>
    </xf>
    <xf numFmtId="49" fontId="10" fillId="2" borderId="45" xfId="0" applyNumberFormat="1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/>
    </xf>
    <xf numFmtId="167" fontId="10" fillId="0" borderId="28" xfId="2" applyNumberFormat="1" applyFont="1" applyBorder="1" applyAlignment="1">
      <alignment horizontal="center" vertical="center" wrapText="1"/>
    </xf>
    <xf numFmtId="167" fontId="10" fillId="0" borderId="44" xfId="2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170" fontId="1" fillId="0" borderId="12" xfId="2" applyNumberFormat="1" applyFont="1" applyBorder="1" applyAlignment="1">
      <alignment horizontal="center" vertical="center" wrapText="1"/>
    </xf>
    <xf numFmtId="170" fontId="1" fillId="0" borderId="33" xfId="2" applyNumberFormat="1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12" fillId="10" borderId="44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4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" fontId="7" fillId="3" borderId="65" xfId="0" applyNumberFormat="1" applyFont="1" applyFill="1" applyBorder="1" applyAlignment="1">
      <alignment horizontal="center"/>
    </xf>
    <xf numFmtId="0" fontId="7" fillId="3" borderId="65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</cellXfs>
  <cellStyles count="7">
    <cellStyle name="Comma" xfId="2" builtinId="3"/>
    <cellStyle name="Comma 10" xfId="3"/>
    <cellStyle name="Comma 2" xfId="5"/>
    <cellStyle name="Currency" xfId="1" builtinId="4"/>
    <cellStyle name="Hyperlink" xfId="4" builtinId="8"/>
    <cellStyle name="Hyperlink 2" xfId="6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113579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24" y="76814"/>
          <a:ext cx="1311886" cy="86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D3" sqref="D3:D31"/>
    </sheetView>
  </sheetViews>
  <sheetFormatPr defaultColWidth="11.5703125" defaultRowHeight="15" x14ac:dyDescent="0.25"/>
  <cols>
    <col min="1" max="1" width="18.42578125" style="228" customWidth="1"/>
    <col min="2" max="2" width="11.5703125" style="229"/>
    <col min="3" max="3" width="11.5703125" style="230"/>
    <col min="4" max="4" width="13.42578125" style="229" customWidth="1"/>
    <col min="5" max="5" width="12.5703125" style="227" customWidth="1"/>
    <col min="6" max="6" width="12.5703125" style="231" customWidth="1"/>
    <col min="7" max="7" width="11.5703125" style="227"/>
    <col min="8" max="8" width="11.5703125" style="231"/>
    <col min="9" max="9" width="11.5703125" style="232"/>
    <col min="10" max="10" width="11.5703125" style="233"/>
    <col min="11" max="11" width="11.5703125" style="227"/>
    <col min="12" max="12" width="11.5703125" style="233"/>
    <col min="13" max="26" width="11.5703125" style="227"/>
  </cols>
  <sheetData>
    <row r="1" spans="1:15" s="221" customFormat="1" ht="60" x14ac:dyDescent="0.25">
      <c r="A1" s="217" t="s">
        <v>39</v>
      </c>
      <c r="B1" s="217" t="s">
        <v>40</v>
      </c>
      <c r="C1" s="218" t="s">
        <v>41</v>
      </c>
      <c r="D1" s="217" t="s">
        <v>42</v>
      </c>
      <c r="E1" s="216" t="s">
        <v>43</v>
      </c>
      <c r="F1" s="219" t="s">
        <v>44</v>
      </c>
      <c r="G1" s="216" t="s">
        <v>49</v>
      </c>
      <c r="H1" s="219" t="s">
        <v>50</v>
      </c>
      <c r="I1" s="235" t="s">
        <v>52</v>
      </c>
      <c r="J1" s="219" t="s">
        <v>53</v>
      </c>
      <c r="K1" s="216" t="s">
        <v>45</v>
      </c>
      <c r="L1" s="220" t="s">
        <v>46</v>
      </c>
      <c r="M1" s="216" t="s">
        <v>47</v>
      </c>
      <c r="N1" s="216" t="s">
        <v>3</v>
      </c>
    </row>
    <row r="2" spans="1:15" x14ac:dyDescent="0.25">
      <c r="A2" s="222" t="s">
        <v>51</v>
      </c>
      <c r="B2" s="223">
        <v>1</v>
      </c>
      <c r="C2" s="224">
        <v>11</v>
      </c>
      <c r="D2" s="223">
        <v>2019</v>
      </c>
      <c r="E2" s="225">
        <f>'FS Jimbaran November 2019'!P12</f>
        <v>26260.000000000444</v>
      </c>
      <c r="F2" s="234">
        <f>'FS Jimbaran November 2019'!O12/'FS Jimbaran November 2019'!P12</f>
        <v>1126.1050647372444</v>
      </c>
      <c r="G2" s="225">
        <f>'FS Jimbaran November 2019'!AG12</f>
        <v>141.9432800000375</v>
      </c>
      <c r="H2" s="234">
        <f>'FS Jimbaran November 2019'!AH12/'FS Jimbaran November 2019'!AG12</f>
        <v>9401.3496297957336</v>
      </c>
      <c r="I2" s="225">
        <f>'FS Jimbaran November 2019'!AJ12</f>
        <v>483.20000000000005</v>
      </c>
      <c r="J2" s="226">
        <f>'FS Jimbaran November 2019'!AK12/'FS Jimbaran November 2019'!AJ12</f>
        <v>10300.000000000002</v>
      </c>
      <c r="K2" s="225">
        <f>'FS Jimbaran November 2019'!V12</f>
        <v>925.59999999999991</v>
      </c>
      <c r="L2" s="234">
        <f>'FS Jimbaran November 2019'!AA12/'FS Jimbaran November 2019'!V12</f>
        <v>1973.0174230769233</v>
      </c>
      <c r="M2" s="225">
        <f>'FS Jimbaran November 2019'!C12</f>
        <v>55</v>
      </c>
      <c r="N2" s="225">
        <f>'FS Jimbaran November 2019'!D12</f>
        <v>497</v>
      </c>
    </row>
    <row r="3" spans="1:15" x14ac:dyDescent="0.25">
      <c r="A3" s="222" t="s">
        <v>51</v>
      </c>
      <c r="B3" s="223">
        <f>B2+1</f>
        <v>2</v>
      </c>
      <c r="C3" s="224">
        <v>11</v>
      </c>
      <c r="D3" s="223">
        <v>2019</v>
      </c>
      <c r="E3" s="225">
        <f>'FS Jimbaran November 2019'!P13</f>
        <v>25240.000000000466</v>
      </c>
      <c r="F3" s="234">
        <f>'FS Jimbaran November 2019'!O13/'FS Jimbaran November 2019'!P13</f>
        <v>1120.7270919175917</v>
      </c>
      <c r="G3" s="236">
        <f>'FS Jimbaran November 2019'!AG13</f>
        <v>130.62459999998828</v>
      </c>
      <c r="H3" s="234">
        <f>'FS Jimbaran November 2019'!AH13/'FS Jimbaran November 2019'!AG13</f>
        <v>9419.1432670416034</v>
      </c>
      <c r="I3" s="236">
        <f>'FS Jimbaran November 2019'!AJ13</f>
        <v>436.20000000000005</v>
      </c>
      <c r="J3" s="226">
        <f>'FS Jimbaran November 2019'!AK13/'FS Jimbaran November 2019'!AJ13</f>
        <v>10300.000000000002</v>
      </c>
      <c r="K3" s="225">
        <f>'FS Jimbaran November 2019'!V13</f>
        <v>907.8</v>
      </c>
      <c r="L3" s="234">
        <f>'FS Jimbaran November 2019'!AA13/'FS Jimbaran November 2019'!V13</f>
        <v>2693.8080980392156</v>
      </c>
      <c r="M3" s="225">
        <f>'FS Jimbaran November 2019'!C13</f>
        <v>51</v>
      </c>
      <c r="N3" s="225">
        <f>'FS Jimbaran November 2019'!D13</f>
        <v>419</v>
      </c>
    </row>
    <row r="4" spans="1:15" x14ac:dyDescent="0.25">
      <c r="A4" s="222" t="s">
        <v>51</v>
      </c>
      <c r="B4" s="223">
        <f t="shared" ref="B4:B31" si="0">B3+1</f>
        <v>3</v>
      </c>
      <c r="C4" s="224">
        <v>11</v>
      </c>
      <c r="D4" s="223">
        <v>2019</v>
      </c>
      <c r="E4" s="225">
        <f>'FS Jimbaran November 2019'!P14</f>
        <v>22179.999999999156</v>
      </c>
      <c r="F4" s="234">
        <f>'FS Jimbaran November 2019'!O14/'FS Jimbaran November 2019'!P14</f>
        <v>1127.3097024346255</v>
      </c>
      <c r="G4" s="236">
        <f>'FS Jimbaran November 2019'!AG14</f>
        <v>284.77343999998357</v>
      </c>
      <c r="H4" s="234">
        <f>'FS Jimbaran November 2019'!AH14/'FS Jimbaran November 2019'!AG14</f>
        <v>9979.9495143929616</v>
      </c>
      <c r="I4" s="236">
        <f>'FS Jimbaran November 2019'!AJ14</f>
        <v>371.99999999999977</v>
      </c>
      <c r="J4" s="226">
        <f>'FS Jimbaran November 2019'!AK14/'FS Jimbaran November 2019'!AJ14</f>
        <v>10300</v>
      </c>
      <c r="K4" s="225">
        <f>'FS Jimbaran November 2019'!V14</f>
        <v>831.26</v>
      </c>
      <c r="L4" s="234">
        <f>'FS Jimbaran November 2019'!AA14/'FS Jimbaran November 2019'!V14</f>
        <v>3256.2156316916494</v>
      </c>
      <c r="M4" s="225">
        <f>'FS Jimbaran November 2019'!C14</f>
        <v>47</v>
      </c>
      <c r="N4" s="225">
        <f>'FS Jimbaran November 2019'!D14</f>
        <v>390</v>
      </c>
    </row>
    <row r="5" spans="1:15" x14ac:dyDescent="0.25">
      <c r="A5" s="222" t="s">
        <v>51</v>
      </c>
      <c r="B5" s="223">
        <f t="shared" si="0"/>
        <v>4</v>
      </c>
      <c r="C5" s="224">
        <v>11</v>
      </c>
      <c r="D5" s="223">
        <v>2019</v>
      </c>
      <c r="E5" s="225">
        <f>'FS Jimbaran November 2019'!P15</f>
        <v>23219.999999999345</v>
      </c>
      <c r="F5" s="234">
        <f>'FS Jimbaran November 2019'!O15/'FS Jimbaran November 2019'!P15</f>
        <v>1126.7787596899234</v>
      </c>
      <c r="G5" s="236">
        <f>'FS Jimbaran November 2019'!AG15</f>
        <v>12</v>
      </c>
      <c r="H5" s="234">
        <f>'FS Jimbaran November 2019'!AH15/'FS Jimbaran November 2019'!AG15</f>
        <v>11625</v>
      </c>
      <c r="I5" s="236">
        <f>'FS Jimbaran November 2019'!AJ15</f>
        <v>360</v>
      </c>
      <c r="J5" s="226">
        <f>'FS Jimbaran November 2019'!AK15/'FS Jimbaran November 2019'!AJ15</f>
        <v>10300</v>
      </c>
      <c r="K5" s="225">
        <f>'FS Jimbaran November 2019'!V15</f>
        <v>923.82</v>
      </c>
      <c r="L5" s="234">
        <f>'FS Jimbaran November 2019'!AA15/'FS Jimbaran November 2019'!V15</f>
        <v>2342.0155298651248</v>
      </c>
      <c r="M5" s="225">
        <f>'FS Jimbaran November 2019'!C15</f>
        <v>62</v>
      </c>
      <c r="N5" s="225">
        <f>'FS Jimbaran November 2019'!D15</f>
        <v>439</v>
      </c>
    </row>
    <row r="6" spans="1:15" x14ac:dyDescent="0.25">
      <c r="A6" s="222" t="s">
        <v>51</v>
      </c>
      <c r="B6" s="223">
        <f t="shared" si="0"/>
        <v>5</v>
      </c>
      <c r="C6" s="224">
        <v>11</v>
      </c>
      <c r="D6" s="223">
        <v>2019</v>
      </c>
      <c r="E6" s="225">
        <f>'FS Jimbaran November 2019'!P16</f>
        <v>24059.999999999945</v>
      </c>
      <c r="F6" s="234">
        <f>'FS Jimbaran November 2019'!O16/'FS Jimbaran November 2019'!P16</f>
        <v>1129.6287281795542</v>
      </c>
      <c r="G6" s="236">
        <f>'FS Jimbaran November 2019'!AG16</f>
        <v>326.1743999999531</v>
      </c>
      <c r="H6" s="234">
        <f>'FS Jimbaran November 2019'!AH16/'FS Jimbaran November 2019'!AG16</f>
        <v>10059.170132297448</v>
      </c>
      <c r="I6" s="236">
        <f>'FS Jimbaran November 2019'!AJ16</f>
        <v>318.70000000000027</v>
      </c>
      <c r="J6" s="226">
        <f>'FS Jimbaran November 2019'!AK16/'FS Jimbaran November 2019'!AJ16</f>
        <v>10300</v>
      </c>
      <c r="K6" s="225">
        <f>'FS Jimbaran November 2019'!V16</f>
        <v>958.53</v>
      </c>
      <c r="L6" s="234">
        <f>'FS Jimbaran November 2019'!AA16/'FS Jimbaran November 2019'!V16</f>
        <v>2455.8631569173631</v>
      </c>
      <c r="M6" s="225">
        <f>'FS Jimbaran November 2019'!C16</f>
        <v>89</v>
      </c>
      <c r="N6" s="225">
        <f>'FS Jimbaran November 2019'!D16</f>
        <v>464</v>
      </c>
    </row>
    <row r="7" spans="1:15" x14ac:dyDescent="0.25">
      <c r="A7" s="222" t="s">
        <v>51</v>
      </c>
      <c r="B7" s="223">
        <f t="shared" si="0"/>
        <v>6</v>
      </c>
      <c r="C7" s="224">
        <v>11</v>
      </c>
      <c r="D7" s="223">
        <v>2019</v>
      </c>
      <c r="E7" s="225">
        <f>'FS Jimbaran November 2019'!P17</f>
        <v>24240.000000001375</v>
      </c>
      <c r="F7" s="234">
        <f>'FS Jimbaran November 2019'!O17/'FS Jimbaran November 2019'!P17</f>
        <v>1126.7953217821728</v>
      </c>
      <c r="G7" s="236">
        <f>'FS Jimbaran November 2019'!AG17</f>
        <v>144.1218399999953</v>
      </c>
      <c r="H7" s="234">
        <f>'FS Jimbaran November 2019'!AH17/'FS Jimbaran November 2019'!AG17</f>
        <v>9196</v>
      </c>
      <c r="I7" s="236">
        <f>'FS Jimbaran November 2019'!AJ17</f>
        <v>439.04999999999973</v>
      </c>
      <c r="J7" s="226">
        <f>'FS Jimbaran November 2019'!AK17/'FS Jimbaran November 2019'!AJ17</f>
        <v>10300</v>
      </c>
      <c r="K7" s="225">
        <f>'FS Jimbaran November 2019'!V17</f>
        <v>903.35</v>
      </c>
      <c r="L7" s="234">
        <f>'FS Jimbaran November 2019'!AA17/'FS Jimbaran November 2019'!V17</f>
        <v>2362.8832709359604</v>
      </c>
      <c r="M7" s="225">
        <f>'FS Jimbaran November 2019'!C17</f>
        <v>96</v>
      </c>
      <c r="N7" s="225">
        <f>'FS Jimbaran November 2019'!D17</f>
        <v>473</v>
      </c>
    </row>
    <row r="8" spans="1:15" x14ac:dyDescent="0.25">
      <c r="A8" s="222" t="s">
        <v>51</v>
      </c>
      <c r="B8" s="223">
        <f t="shared" si="0"/>
        <v>7</v>
      </c>
      <c r="C8" s="224">
        <v>11</v>
      </c>
      <c r="D8" s="223">
        <v>2019</v>
      </c>
      <c r="E8" s="225">
        <f>'FS Jimbaran November 2019'!P18</f>
        <v>24499.999999999316</v>
      </c>
      <c r="F8" s="234">
        <f>'FS Jimbaran November 2019'!O18/'FS Jimbaran November 2019'!P18</f>
        <v>1125.4066775510232</v>
      </c>
      <c r="G8" s="236">
        <f>'FS Jimbaran November 2019'!AG18</f>
        <v>171.58591999999763</v>
      </c>
      <c r="H8" s="234">
        <f>'FS Jimbaran November 2019'!AH18/'FS Jimbaran November 2019'!AG18</f>
        <v>9535.7481564920981</v>
      </c>
      <c r="I8" s="236">
        <f>'FS Jimbaran November 2019'!AJ18</f>
        <v>582.75</v>
      </c>
      <c r="J8" s="226">
        <f>'FS Jimbaran November 2019'!AK18/'FS Jimbaran November 2019'!AJ18</f>
        <v>10300</v>
      </c>
      <c r="K8" s="225">
        <f>'FS Jimbaran November 2019'!V18</f>
        <v>924.71</v>
      </c>
      <c r="L8" s="234">
        <f>'FS Jimbaran November 2019'!AA18/'FS Jimbaran November 2019'!V18</f>
        <v>1737.5361116458132</v>
      </c>
      <c r="M8" s="225">
        <f>'FS Jimbaran November 2019'!C18</f>
        <v>98</v>
      </c>
      <c r="N8" s="225">
        <f>'FS Jimbaran November 2019'!D18</f>
        <v>520</v>
      </c>
    </row>
    <row r="9" spans="1:15" x14ac:dyDescent="0.25">
      <c r="A9" s="222" t="s">
        <v>51</v>
      </c>
      <c r="B9" s="223">
        <f t="shared" si="0"/>
        <v>8</v>
      </c>
      <c r="C9" s="224">
        <v>11</v>
      </c>
      <c r="D9" s="223">
        <v>2019</v>
      </c>
      <c r="E9" s="225">
        <f>'FS Jimbaran November 2019'!P19</f>
        <v>24939.999999999145</v>
      </c>
      <c r="F9" s="234">
        <f>'FS Jimbaran November 2019'!O19/'FS Jimbaran November 2019'!P19</f>
        <v>1125.4866880513296</v>
      </c>
      <c r="G9" s="236">
        <f>'FS Jimbaran November 2019'!AG19</f>
        <v>181.85388000002578</v>
      </c>
      <c r="H9" s="234">
        <f>'FS Jimbaran November 2019'!AH19/'FS Jimbaran November 2019'!AG19</f>
        <v>9676.8475903840354</v>
      </c>
      <c r="I9" s="236">
        <f>'FS Jimbaran November 2019'!AJ19</f>
        <v>443.90000000000055</v>
      </c>
      <c r="J9" s="226">
        <f>'FS Jimbaran November 2019'!AK19/'FS Jimbaran November 2019'!AJ19</f>
        <v>10300</v>
      </c>
      <c r="K9" s="225">
        <f>'FS Jimbaran November 2019'!V19</f>
        <v>898.01</v>
      </c>
      <c r="L9" s="234">
        <f>'FS Jimbaran November 2019'!AA19/'FS Jimbaran November 2019'!V19</f>
        <v>2769.0422001982161</v>
      </c>
      <c r="M9" s="225">
        <f>'FS Jimbaran November 2019'!C19</f>
        <v>72</v>
      </c>
      <c r="N9" s="225">
        <f>'FS Jimbaran November 2019'!D19</f>
        <v>465</v>
      </c>
      <c r="O9" s="227" t="s">
        <v>48</v>
      </c>
    </row>
    <row r="10" spans="1:15" x14ac:dyDescent="0.25">
      <c r="A10" s="222" t="s">
        <v>51</v>
      </c>
      <c r="B10" s="223">
        <f t="shared" si="0"/>
        <v>9</v>
      </c>
      <c r="C10" s="224">
        <v>11</v>
      </c>
      <c r="D10" s="223">
        <v>2019</v>
      </c>
      <c r="E10" s="225">
        <f>'FS Jimbaran November 2019'!P20</f>
        <v>24960.00000000163</v>
      </c>
      <c r="F10" s="234">
        <f>'FS Jimbaran November 2019'!O20/'FS Jimbaran November 2019'!P20</f>
        <v>1126.6597355769145</v>
      </c>
      <c r="G10" s="236">
        <f>'FS Jimbaran November 2019'!AG20</f>
        <v>186.52291999999764</v>
      </c>
      <c r="H10" s="234">
        <f>'FS Jimbaran November 2019'!AH20/'FS Jimbaran November 2019'!AG20</f>
        <v>9821.0813572937932</v>
      </c>
      <c r="I10" s="236">
        <f>'FS Jimbaran November 2019'!AJ20</f>
        <v>430.97999999999956</v>
      </c>
      <c r="J10" s="226">
        <f>'FS Jimbaran November 2019'!AK20/'FS Jimbaran November 2019'!AJ20</f>
        <v>10300</v>
      </c>
      <c r="K10" s="225">
        <f>'FS Jimbaran November 2019'!V20</f>
        <v>894.45</v>
      </c>
      <c r="L10" s="234">
        <f>'FS Jimbaran November 2019'!AA20/'FS Jimbaran November 2019'!V20</f>
        <v>2010.8915621890549</v>
      </c>
      <c r="M10" s="225">
        <f>'FS Jimbaran November 2019'!C20</f>
        <v>68</v>
      </c>
      <c r="N10" s="225">
        <f>'FS Jimbaran November 2019'!D20</f>
        <v>479</v>
      </c>
    </row>
    <row r="11" spans="1:15" x14ac:dyDescent="0.25">
      <c r="A11" s="222" t="s">
        <v>51</v>
      </c>
      <c r="B11" s="223">
        <f t="shared" si="0"/>
        <v>10</v>
      </c>
      <c r="C11" s="224">
        <v>11</v>
      </c>
      <c r="D11" s="223">
        <v>2019</v>
      </c>
      <c r="E11" s="225">
        <f>'FS Jimbaran November 2019'!P21</f>
        <v>24439.999999999825</v>
      </c>
      <c r="F11" s="234">
        <f>'FS Jimbaran November 2019'!O21/'FS Jimbaran November 2019'!P21</f>
        <v>1128.1695417348594</v>
      </c>
      <c r="G11" s="236">
        <f>'FS Jimbaran November 2019'!AG21</f>
        <v>362.26035999998123</v>
      </c>
      <c r="H11" s="234">
        <f>'FS Jimbaran November 2019'!AH21/'FS Jimbaran November 2019'!AG21</f>
        <v>10089.004136582917</v>
      </c>
      <c r="I11" s="236">
        <f>'FS Jimbaran November 2019'!AJ21</f>
        <v>338</v>
      </c>
      <c r="J11" s="226">
        <f>'FS Jimbaran November 2019'!AK21/'FS Jimbaran November 2019'!AJ21</f>
        <v>10300</v>
      </c>
      <c r="K11" s="225">
        <f>'FS Jimbaran November 2019'!V21</f>
        <v>810.79000000000008</v>
      </c>
      <c r="L11" s="234">
        <f>'FS Jimbaran November 2019'!AA21/'FS Jimbaran November 2019'!V21</f>
        <v>1933.2104500548849</v>
      </c>
      <c r="M11" s="225">
        <f>'FS Jimbaran November 2019'!C21</f>
        <v>51</v>
      </c>
      <c r="N11" s="225">
        <f>'FS Jimbaran November 2019'!D21</f>
        <v>427</v>
      </c>
    </row>
    <row r="12" spans="1:15" x14ac:dyDescent="0.25">
      <c r="A12" s="222" t="s">
        <v>51</v>
      </c>
      <c r="B12" s="223">
        <f t="shared" si="0"/>
        <v>11</v>
      </c>
      <c r="C12" s="224">
        <v>11</v>
      </c>
      <c r="D12" s="223">
        <v>2019</v>
      </c>
      <c r="E12" s="225">
        <f>'FS Jimbaran November 2019'!P22</f>
        <v>24099.99999999968</v>
      </c>
      <c r="F12" s="234">
        <f>'FS Jimbaran November 2019'!O22/'FS Jimbaran November 2019'!P22</f>
        <v>1124.3155518672238</v>
      </c>
      <c r="G12" s="236">
        <f>'FS Jimbaran November 2019'!AG22</f>
        <v>133.9275600000164</v>
      </c>
      <c r="H12" s="234">
        <f>'FS Jimbaran November 2019'!AH22/'FS Jimbaran November 2019'!AG22</f>
        <v>9413.6400436175827</v>
      </c>
      <c r="I12" s="236">
        <f>'FS Jimbaran November 2019'!AJ22</f>
        <v>111.05000000000018</v>
      </c>
      <c r="J12" s="226">
        <f>'FS Jimbaran November 2019'!AK22/'FS Jimbaran November 2019'!AJ22</f>
        <v>10300</v>
      </c>
      <c r="K12" s="225">
        <f>'FS Jimbaran November 2019'!V22</f>
        <v>712.89</v>
      </c>
      <c r="L12" s="234">
        <f>'FS Jimbaran November 2019'!AA22/'FS Jimbaran November 2019'!V22</f>
        <v>1928.3741323345821</v>
      </c>
      <c r="M12" s="225">
        <f>'FS Jimbaran November 2019'!C22</f>
        <v>43</v>
      </c>
      <c r="N12" s="225">
        <f>'FS Jimbaran November 2019'!D22</f>
        <v>268</v>
      </c>
    </row>
    <row r="13" spans="1:15" x14ac:dyDescent="0.25">
      <c r="A13" s="222" t="s">
        <v>51</v>
      </c>
      <c r="B13" s="223">
        <f t="shared" si="0"/>
        <v>12</v>
      </c>
      <c r="C13" s="224">
        <v>11</v>
      </c>
      <c r="D13" s="223">
        <v>2019</v>
      </c>
      <c r="E13" s="225">
        <f>'FS Jimbaran November 2019'!P23</f>
        <v>23980.000000000018</v>
      </c>
      <c r="F13" s="234">
        <f>'FS Jimbaran November 2019'!O23/'FS Jimbaran November 2019'!P23</f>
        <v>1128.6460133444477</v>
      </c>
      <c r="G13" s="236">
        <f>'FS Jimbaran November 2019'!AG23</f>
        <v>283.96783999999531</v>
      </c>
      <c r="H13" s="234">
        <f>'FS Jimbaran November 2019'!AH23/'FS Jimbaran November 2019'!AG23</f>
        <v>9982.1735328902159</v>
      </c>
      <c r="I13" s="236">
        <f>'FS Jimbaran November 2019'!AJ23</f>
        <v>447.69999999998254</v>
      </c>
      <c r="J13" s="226">
        <f>'FS Jimbaran November 2019'!AK23/'FS Jimbaran November 2019'!AJ23</f>
        <v>10300</v>
      </c>
      <c r="K13" s="225">
        <f>'FS Jimbaran November 2019'!V23</f>
        <v>836.60000000000014</v>
      </c>
      <c r="L13" s="234">
        <f>'FS Jimbaran November 2019'!AA23/'FS Jimbaran November 2019'!V23</f>
        <v>3162.2599361702123</v>
      </c>
      <c r="M13" s="225">
        <f>'FS Jimbaran November 2019'!C23</f>
        <v>49</v>
      </c>
      <c r="N13" s="225">
        <f>'FS Jimbaran November 2019'!D23</f>
        <v>266</v>
      </c>
    </row>
    <row r="14" spans="1:15" x14ac:dyDescent="0.25">
      <c r="A14" s="222" t="s">
        <v>51</v>
      </c>
      <c r="B14" s="223">
        <f t="shared" si="0"/>
        <v>13</v>
      </c>
      <c r="C14" s="224">
        <v>11</v>
      </c>
      <c r="D14" s="223">
        <v>2019</v>
      </c>
      <c r="E14" s="225">
        <f>'FS Jimbaran November 2019'!P24</f>
        <v>24759.999999998854</v>
      </c>
      <c r="F14" s="234">
        <f>'FS Jimbaran November 2019'!O24/'FS Jimbaran November 2019'!P24</f>
        <v>1124.4655250403969</v>
      </c>
      <c r="G14" s="236">
        <f>'FS Jimbaran November 2019'!AG24</f>
        <v>146.21296000002812</v>
      </c>
      <c r="H14" s="234">
        <f>'FS Jimbaran November 2019'!AH24/'FS Jimbaran November 2019'!AG24</f>
        <v>9395.3530532450368</v>
      </c>
      <c r="I14" s="236">
        <f>'FS Jimbaran November 2019'!AJ24</f>
        <v>299.56999999999971</v>
      </c>
      <c r="J14" s="226">
        <f>'FS Jimbaran November 2019'!AK24/'FS Jimbaran November 2019'!AJ24</f>
        <v>10300</v>
      </c>
      <c r="K14" s="225">
        <f>'FS Jimbaran November 2019'!V24</f>
        <v>898.0100000000001</v>
      </c>
      <c r="L14" s="234">
        <f>'FS Jimbaran November 2019'!AA24/'FS Jimbaran November 2019'!V24</f>
        <v>1632.2621605550048</v>
      </c>
      <c r="M14" s="225">
        <f>'FS Jimbaran November 2019'!C24</f>
        <v>41</v>
      </c>
      <c r="N14" s="225">
        <f>'FS Jimbaran November 2019'!D24</f>
        <v>281</v>
      </c>
    </row>
    <row r="15" spans="1:15" x14ac:dyDescent="0.25">
      <c r="A15" s="222" t="s">
        <v>51</v>
      </c>
      <c r="B15" s="223">
        <f t="shared" si="0"/>
        <v>14</v>
      </c>
      <c r="C15" s="224">
        <v>11</v>
      </c>
      <c r="D15" s="223">
        <v>2019</v>
      </c>
      <c r="E15" s="225">
        <f>'FS Jimbaran November 2019'!P25</f>
        <v>24900.000000001</v>
      </c>
      <c r="F15" s="234">
        <f>'FS Jimbaran November 2019'!O25/'FS Jimbaran November 2019'!P25</f>
        <v>1122.7189638554146</v>
      </c>
      <c r="G15" s="236">
        <f>'FS Jimbaran November 2019'!AG25</f>
        <v>112.34091999999764</v>
      </c>
      <c r="H15" s="234">
        <f>'FS Jimbaran November 2019'!AH25/'FS Jimbaran November 2019'!AG25</f>
        <v>9196</v>
      </c>
      <c r="I15" s="236">
        <f>'FS Jimbaran November 2019'!AJ25</f>
        <v>480</v>
      </c>
      <c r="J15" s="226">
        <f>'FS Jimbaran November 2019'!AK25/'FS Jimbaran November 2019'!AJ25</f>
        <v>10300</v>
      </c>
      <c r="K15" s="225">
        <f>'FS Jimbaran November 2019'!V25</f>
        <v>834.82</v>
      </c>
      <c r="L15" s="234">
        <f>'FS Jimbaran November 2019'!AA25/'FS Jimbaran November 2019'!V25</f>
        <v>1541.7655437100216</v>
      </c>
      <c r="M15" s="225">
        <f>'FS Jimbaran November 2019'!C25</f>
        <v>40</v>
      </c>
      <c r="N15" s="225">
        <f>'FS Jimbaran November 2019'!D25</f>
        <v>309</v>
      </c>
    </row>
    <row r="16" spans="1:15" x14ac:dyDescent="0.25">
      <c r="A16" s="222" t="s">
        <v>51</v>
      </c>
      <c r="B16" s="223">
        <f t="shared" si="0"/>
        <v>15</v>
      </c>
      <c r="C16" s="224">
        <v>11</v>
      </c>
      <c r="D16" s="223">
        <v>2019</v>
      </c>
      <c r="E16" s="225">
        <f>'FS Jimbaran November 2019'!P26</f>
        <v>23619.999999999436</v>
      </c>
      <c r="F16" s="234">
        <f>'FS Jimbaran November 2019'!O26/'FS Jimbaran November 2019'!P26</f>
        <v>1130.4999322608016</v>
      </c>
      <c r="G16" s="236">
        <f>'FS Jimbaran November 2019'!AG26</f>
        <v>135.13595999996949</v>
      </c>
      <c r="H16" s="234">
        <f>'FS Jimbaran November 2019'!AH26/'FS Jimbaran November 2019'!AG26</f>
        <v>9411.693883404585</v>
      </c>
      <c r="I16" s="236">
        <f>'FS Jimbaran November 2019'!AJ26</f>
        <v>458.70000000000073</v>
      </c>
      <c r="J16" s="226">
        <f>'FS Jimbaran November 2019'!AK26/'FS Jimbaran November 2019'!AJ26</f>
        <v>10300</v>
      </c>
      <c r="K16" s="225">
        <f>'FS Jimbaran November 2019'!V26</f>
        <v>912.25</v>
      </c>
      <c r="L16" s="234">
        <f>'FS Jimbaran November 2019'!AA26/'FS Jimbaran November 2019'!V26</f>
        <v>1793.5864780487809</v>
      </c>
      <c r="M16" s="225">
        <f>'FS Jimbaran November 2019'!C26</f>
        <v>42</v>
      </c>
      <c r="N16" s="225">
        <f>'FS Jimbaran November 2019'!D26</f>
        <v>330</v>
      </c>
    </row>
    <row r="17" spans="1:14" x14ac:dyDescent="0.25">
      <c r="A17" s="222" t="s">
        <v>51</v>
      </c>
      <c r="B17" s="223">
        <f t="shared" si="0"/>
        <v>16</v>
      </c>
      <c r="C17" s="224">
        <v>11</v>
      </c>
      <c r="D17" s="223">
        <v>2019</v>
      </c>
      <c r="E17" s="225">
        <f>'FS Jimbaran November 2019'!P27</f>
        <v>24940.000000000735</v>
      </c>
      <c r="F17" s="234">
        <f>'FS Jimbaran November 2019'!O27/'FS Jimbaran November 2019'!P27</f>
        <v>1123.8254530874074</v>
      </c>
      <c r="G17" s="236">
        <f>'FS Jimbaran November 2019'!AG27</f>
        <v>171.41791999999765</v>
      </c>
      <c r="H17" s="234">
        <f>'FS Jimbaran November 2019'!AH27/'FS Jimbaran November 2019'!AG27</f>
        <v>9876.1622607484769</v>
      </c>
      <c r="I17" s="236">
        <f>'FS Jimbaran November 2019'!AJ27</f>
        <v>398.64999999999964</v>
      </c>
      <c r="J17" s="226">
        <f>'FS Jimbaran November 2019'!AK27/'FS Jimbaran November 2019'!AJ27</f>
        <v>10300</v>
      </c>
      <c r="K17" s="225">
        <f>'FS Jimbaran November 2019'!V27</f>
        <v>869.53</v>
      </c>
      <c r="L17" s="234">
        <f>'FS Jimbaran November 2019'!AA27/'FS Jimbaran November 2019'!V27</f>
        <v>1849.1052814738998</v>
      </c>
      <c r="M17" s="225">
        <f>'FS Jimbaran November 2019'!C27</f>
        <v>52</v>
      </c>
      <c r="N17" s="225">
        <f>'FS Jimbaran November 2019'!D27</f>
        <v>412</v>
      </c>
    </row>
    <row r="18" spans="1:14" x14ac:dyDescent="0.25">
      <c r="A18" s="222" t="s">
        <v>51</v>
      </c>
      <c r="B18" s="223">
        <f t="shared" si="0"/>
        <v>17</v>
      </c>
      <c r="C18" s="224">
        <v>11</v>
      </c>
      <c r="D18" s="223">
        <v>2019</v>
      </c>
      <c r="E18" s="225">
        <f>'FS Jimbaran November 2019'!P28</f>
        <v>23679.999999999382</v>
      </c>
      <c r="F18" s="234">
        <f>'FS Jimbaran November 2019'!O28/'FS Jimbaran November 2019'!P28</f>
        <v>1126.760675675675</v>
      </c>
      <c r="G18" s="236">
        <f>'FS Jimbaran November 2019'!AG28</f>
        <v>222.08524000000702</v>
      </c>
      <c r="H18" s="234">
        <f>'FS Jimbaran November 2019'!AH28/'FS Jimbaran November 2019'!AG28</f>
        <v>9909.9060659771676</v>
      </c>
      <c r="I18" s="236">
        <f>'FS Jimbaran November 2019'!AJ28</f>
        <v>348.5</v>
      </c>
      <c r="J18" s="226">
        <f>'FS Jimbaran November 2019'!AK28/'FS Jimbaran November 2019'!AJ28</f>
        <v>10300</v>
      </c>
      <c r="K18" s="225">
        <f>'FS Jimbaran November 2019'!V28</f>
        <v>845.50000000000011</v>
      </c>
      <c r="L18" s="234">
        <f>'FS Jimbaran November 2019'!AA28/'FS Jimbaran November 2019'!V28</f>
        <v>1996.6800210526314</v>
      </c>
      <c r="M18" s="225">
        <f>'FS Jimbaran November 2019'!C28</f>
        <v>49</v>
      </c>
      <c r="N18" s="225">
        <f>'FS Jimbaran November 2019'!D28</f>
        <v>454</v>
      </c>
    </row>
    <row r="19" spans="1:14" x14ac:dyDescent="0.25">
      <c r="A19" s="222" t="s">
        <v>51</v>
      </c>
      <c r="B19" s="223">
        <f t="shared" si="0"/>
        <v>18</v>
      </c>
      <c r="C19" s="224">
        <v>11</v>
      </c>
      <c r="D19" s="223">
        <v>2019</v>
      </c>
      <c r="E19" s="225">
        <f>'FS Jimbaran November 2019'!P29</f>
        <v>23780.00000000111</v>
      </c>
      <c r="F19" s="234">
        <f>'FS Jimbaran November 2019'!O29/'FS Jimbaran November 2019'!P29</f>
        <v>1128.9914886459208</v>
      </c>
      <c r="G19" s="236">
        <f>'FS Jimbaran November 2019'!AG29</f>
        <v>142.42320000003514</v>
      </c>
      <c r="H19" s="234">
        <f>'FS Jimbaran November 2019'!AH29/'FS Jimbaran November 2019'!AG29</f>
        <v>9605.3153362653393</v>
      </c>
      <c r="I19" s="236">
        <f>'FS Jimbaran November 2019'!AJ29</f>
        <v>397</v>
      </c>
      <c r="J19" s="226">
        <f>'FS Jimbaran November 2019'!AK29/'FS Jimbaran November 2019'!AJ29</f>
        <v>10300</v>
      </c>
      <c r="K19" s="225">
        <f>'FS Jimbaran November 2019'!V29</f>
        <v>850.84</v>
      </c>
      <c r="L19" s="234">
        <f>'FS Jimbaran November 2019'!AA29/'FS Jimbaran November 2019'!V29</f>
        <v>1604.6298744769872</v>
      </c>
      <c r="M19" s="225">
        <f>'FS Jimbaran November 2019'!C29</f>
        <v>43</v>
      </c>
      <c r="N19" s="225">
        <f>'FS Jimbaran November 2019'!D29</f>
        <v>357</v>
      </c>
    </row>
    <row r="20" spans="1:14" x14ac:dyDescent="0.25">
      <c r="A20" s="222" t="s">
        <v>51</v>
      </c>
      <c r="B20" s="223">
        <f t="shared" si="0"/>
        <v>19</v>
      </c>
      <c r="C20" s="224">
        <v>11</v>
      </c>
      <c r="D20" s="223">
        <v>2019</v>
      </c>
      <c r="E20" s="225">
        <f>'FS Jimbaran November 2019'!P30</f>
        <v>24259.999999999764</v>
      </c>
      <c r="F20" s="234">
        <f>'FS Jimbaran November 2019'!O30/'FS Jimbaran November 2019'!P30</f>
        <v>1127.5741879637214</v>
      </c>
      <c r="G20" s="236">
        <f>'FS Jimbaran November 2019'!AG30</f>
        <v>134.53519999997653</v>
      </c>
      <c r="H20" s="234">
        <f>'FS Jimbaran November 2019'!AH30/'FS Jimbaran November 2019'!AG30</f>
        <v>9196</v>
      </c>
      <c r="I20" s="236">
        <f>'FS Jimbaran November 2019'!AJ30</f>
        <v>298.89999999999964</v>
      </c>
      <c r="J20" s="226">
        <f>'FS Jimbaran November 2019'!AK30/'FS Jimbaran November 2019'!AJ30</f>
        <v>10300</v>
      </c>
      <c r="K20" s="225">
        <f>'FS Jimbaran November 2019'!V30</f>
        <v>938.94999999999993</v>
      </c>
      <c r="L20" s="234">
        <f>'FS Jimbaran November 2019'!AA30/'FS Jimbaran November 2019'!V30</f>
        <v>2239.4774597156397</v>
      </c>
      <c r="M20" s="225">
        <f>'FS Jimbaran November 2019'!C30</f>
        <v>61</v>
      </c>
      <c r="N20" s="225">
        <f>'FS Jimbaran November 2019'!D30</f>
        <v>354</v>
      </c>
    </row>
    <row r="21" spans="1:14" x14ac:dyDescent="0.25">
      <c r="A21" s="222" t="s">
        <v>51</v>
      </c>
      <c r="B21" s="223">
        <f t="shared" si="0"/>
        <v>20</v>
      </c>
      <c r="C21" s="224">
        <v>11</v>
      </c>
      <c r="D21" s="223">
        <v>2019</v>
      </c>
      <c r="E21" s="225">
        <f>'FS Jimbaran November 2019'!P31</f>
        <v>24219.9999999998</v>
      </c>
      <c r="F21" s="234">
        <f>'FS Jimbaran November 2019'!O31/'FS Jimbaran November 2019'!P31</f>
        <v>1124.7322047894377</v>
      </c>
      <c r="G21" s="236">
        <f>'FS Jimbaran November 2019'!AG31</f>
        <v>341.01683999999528</v>
      </c>
      <c r="H21" s="234">
        <f>'FS Jimbaran November 2019'!AH31/'FS Jimbaran November 2019'!AG31</f>
        <v>10040.3805883604</v>
      </c>
      <c r="I21" s="236">
        <f>'FS Jimbaran November 2019'!AJ31</f>
        <v>397.35000000000036</v>
      </c>
      <c r="J21" s="226">
        <f>'FS Jimbaran November 2019'!AK31/'FS Jimbaran November 2019'!AJ31</f>
        <v>10300</v>
      </c>
      <c r="K21" s="225">
        <f>'FS Jimbaran November 2019'!V31</f>
        <v>878.43</v>
      </c>
      <c r="L21" s="234">
        <f>'FS Jimbaran November 2019'!AA31/'FS Jimbaran November 2019'!V31</f>
        <v>2748.3065653495441</v>
      </c>
      <c r="M21" s="225">
        <f>'FS Jimbaran November 2019'!C31</f>
        <v>67</v>
      </c>
      <c r="N21" s="225">
        <f>'FS Jimbaran November 2019'!D31</f>
        <v>335</v>
      </c>
    </row>
    <row r="22" spans="1:14" x14ac:dyDescent="0.25">
      <c r="A22" s="222" t="s">
        <v>51</v>
      </c>
      <c r="B22" s="223">
        <f t="shared" si="0"/>
        <v>21</v>
      </c>
      <c r="C22" s="224">
        <v>11</v>
      </c>
      <c r="D22" s="223">
        <v>2019</v>
      </c>
      <c r="E22" s="225">
        <f>'FS Jimbaran November 2019'!P32</f>
        <v>24399.999999999181</v>
      </c>
      <c r="F22" s="234">
        <f>'FS Jimbaran November 2019'!O32/'FS Jimbaran November 2019'!P32</f>
        <v>1130.0190000000043</v>
      </c>
      <c r="G22" s="236">
        <f>'FS Jimbaran November 2019'!AG32</f>
        <v>150.24096000002811</v>
      </c>
      <c r="H22" s="234">
        <f>'FS Jimbaran November 2019'!AH32/'FS Jimbaran November 2019'!AG32</f>
        <v>9390.0083449945651</v>
      </c>
      <c r="I22" s="236">
        <f>'FS Jimbaran November 2019'!AJ32</f>
        <v>565.14999999999418</v>
      </c>
      <c r="J22" s="226">
        <f>'FS Jimbaran November 2019'!AK32/'FS Jimbaran November 2019'!AJ32</f>
        <v>10300</v>
      </c>
      <c r="K22" s="225">
        <f>'FS Jimbaran November 2019'!V32</f>
        <v>921.15000000000009</v>
      </c>
      <c r="L22" s="234">
        <f>'FS Jimbaran November 2019'!AA32/'FS Jimbaran November 2019'!V32</f>
        <v>1925.7840193236714</v>
      </c>
      <c r="M22" s="225">
        <f>'FS Jimbaran November 2019'!C32</f>
        <v>55</v>
      </c>
      <c r="N22" s="225">
        <f>'FS Jimbaran November 2019'!D32</f>
        <v>425</v>
      </c>
    </row>
    <row r="23" spans="1:14" x14ac:dyDescent="0.25">
      <c r="A23" s="222" t="s">
        <v>51</v>
      </c>
      <c r="B23" s="223">
        <f t="shared" si="0"/>
        <v>22</v>
      </c>
      <c r="C23" s="224">
        <v>11</v>
      </c>
      <c r="D23" s="223">
        <v>2019</v>
      </c>
      <c r="E23" s="225">
        <f>'FS Jimbaran November 2019'!P33</f>
        <v>24500</v>
      </c>
      <c r="F23" s="234">
        <f>'FS Jimbaran November 2019'!O33/'FS Jimbaran November 2019'!P33</f>
        <v>1126.2522122448927</v>
      </c>
      <c r="G23" s="236">
        <f>'FS Jimbaran November 2019'!AG33</f>
        <v>124.38463999996013</v>
      </c>
      <c r="H23" s="234">
        <f>'FS Jimbaran November 2019'!AH33/'FS Jimbaran November 2019'!AG33</f>
        <v>9196</v>
      </c>
      <c r="I23" s="236">
        <f>'FS Jimbaran November 2019'!AJ33</f>
        <v>421.79999999999927</v>
      </c>
      <c r="J23" s="226">
        <f>'FS Jimbaran November 2019'!AK33/'FS Jimbaran November 2019'!AJ33</f>
        <v>10300</v>
      </c>
      <c r="K23" s="225">
        <f>'FS Jimbaran November 2019'!V33</f>
        <v>918.48</v>
      </c>
      <c r="L23" s="234">
        <f>'FS Jimbaran November 2019'!AA33/'FS Jimbaran November 2019'!V33</f>
        <v>1541.0221705426356</v>
      </c>
      <c r="M23" s="225">
        <f>'FS Jimbaran November 2019'!C33</f>
        <v>49</v>
      </c>
      <c r="N23" s="225">
        <f>'FS Jimbaran November 2019'!D33</f>
        <v>475</v>
      </c>
    </row>
    <row r="24" spans="1:14" x14ac:dyDescent="0.25">
      <c r="A24" s="222" t="s">
        <v>51</v>
      </c>
      <c r="B24" s="223">
        <f t="shared" si="0"/>
        <v>23</v>
      </c>
      <c r="C24" s="224">
        <v>11</v>
      </c>
      <c r="D24" s="223">
        <v>2019</v>
      </c>
      <c r="E24" s="225">
        <f>'FS Jimbaran November 2019'!P34</f>
        <v>24639.999999999873</v>
      </c>
      <c r="F24" s="234">
        <f>'FS Jimbaran November 2019'!O34/'FS Jimbaran November 2019'!P34</f>
        <v>1127.4196266233798</v>
      </c>
      <c r="G24" s="236">
        <f>'FS Jimbaran November 2019'!AG34</f>
        <v>121.72616000000468</v>
      </c>
      <c r="H24" s="234">
        <f>'FS Jimbaran November 2019'!AH34/'FS Jimbaran November 2019'!AG34</f>
        <v>9196</v>
      </c>
      <c r="I24" s="236">
        <f>'FS Jimbaran November 2019'!AJ34</f>
        <v>314.20000000001164</v>
      </c>
      <c r="J24" s="226">
        <f>'FS Jimbaran November 2019'!AK34/'FS Jimbaran November 2019'!AJ34</f>
        <v>10300</v>
      </c>
      <c r="K24" s="225">
        <f>'FS Jimbaran November 2019'!V34</f>
        <v>923.82</v>
      </c>
      <c r="L24" s="234">
        <f>'FS Jimbaran November 2019'!AA34/'FS Jimbaran November 2019'!V34</f>
        <v>1462.8640462427745</v>
      </c>
      <c r="M24" s="225">
        <f>'FS Jimbaran November 2019'!C34</f>
        <v>59</v>
      </c>
      <c r="N24" s="225">
        <f>'FS Jimbaran November 2019'!D34</f>
        <v>437</v>
      </c>
    </row>
    <row r="25" spans="1:14" x14ac:dyDescent="0.25">
      <c r="A25" s="222" t="s">
        <v>51</v>
      </c>
      <c r="B25" s="223">
        <f t="shared" si="0"/>
        <v>24</v>
      </c>
      <c r="C25" s="224">
        <v>11</v>
      </c>
      <c r="D25" s="223">
        <v>2019</v>
      </c>
      <c r="E25" s="225">
        <f>'FS Jimbaran November 2019'!P35</f>
        <v>24200.000000000728</v>
      </c>
      <c r="F25" s="234">
        <f>'FS Jimbaran November 2019'!O35/'FS Jimbaran November 2019'!P35</f>
        <v>1127.8017768595053</v>
      </c>
      <c r="G25" s="236">
        <f>'FS Jimbaran November 2019'!AG35</f>
        <v>333.94156000001641</v>
      </c>
      <c r="H25" s="234">
        <f>'FS Jimbaran November 2019'!AH35/'FS Jimbaran November 2019'!AG35</f>
        <v>10213.663090511955</v>
      </c>
      <c r="I25" s="236">
        <f>'FS Jimbaran November 2019'!AJ35</f>
        <v>346.60000000000036</v>
      </c>
      <c r="J25" s="226">
        <f>'FS Jimbaran November 2019'!AK35/'FS Jimbaran November 2019'!AJ35</f>
        <v>10300</v>
      </c>
      <c r="K25" s="225">
        <f>'FS Jimbaran November 2019'!V35</f>
        <v>973.66</v>
      </c>
      <c r="L25" s="234">
        <f>'FS Jimbaran November 2019'!AA35/'FS Jimbaran November 2019'!V35</f>
        <v>2133.6456124314445</v>
      </c>
      <c r="M25" s="225">
        <f>'FS Jimbaran November 2019'!C35</f>
        <v>62</v>
      </c>
      <c r="N25" s="225">
        <f>'FS Jimbaran November 2019'!D35</f>
        <v>448</v>
      </c>
    </row>
    <row r="26" spans="1:14" x14ac:dyDescent="0.25">
      <c r="A26" s="222" t="s">
        <v>51</v>
      </c>
      <c r="B26" s="223">
        <f>B25+1</f>
        <v>25</v>
      </c>
      <c r="C26" s="224">
        <v>11</v>
      </c>
      <c r="D26" s="223">
        <v>2019</v>
      </c>
      <c r="E26" s="225">
        <f>'FS Jimbaran November 2019'!P36</f>
        <v>24059.999999999036</v>
      </c>
      <c r="F26" s="234">
        <f>'FS Jimbaran November 2019'!O36/'FS Jimbaran November 2019'!P36</f>
        <v>1127.4762344139638</v>
      </c>
      <c r="G26" s="236">
        <f>'FS Jimbaran November 2019'!AG36</f>
        <v>210.8505600000164</v>
      </c>
      <c r="H26" s="234">
        <f>'FS Jimbaran November 2019'!AH36/'FS Jimbaran November 2019'!AG36</f>
        <v>9809.7047964206977</v>
      </c>
      <c r="I26" s="236">
        <f>'FS Jimbaran November 2019'!AJ36</f>
        <v>445</v>
      </c>
      <c r="J26" s="226">
        <f>'FS Jimbaran November 2019'!AK36/'FS Jimbaran November 2019'!AJ36</f>
        <v>10300</v>
      </c>
      <c r="K26" s="225">
        <f>'FS Jimbaran November 2019'!V36</f>
        <v>846.39</v>
      </c>
      <c r="L26" s="234">
        <f>'FS Jimbaran November 2019'!AA36/'FS Jimbaran November 2019'!V36</f>
        <v>1956.3243953732911</v>
      </c>
      <c r="M26" s="225">
        <f>'FS Jimbaran November 2019'!C36</f>
        <v>56</v>
      </c>
      <c r="N26" s="225">
        <f>'FS Jimbaran November 2019'!D36</f>
        <v>429</v>
      </c>
    </row>
    <row r="27" spans="1:14" x14ac:dyDescent="0.25">
      <c r="A27" s="222" t="s">
        <v>51</v>
      </c>
      <c r="B27" s="223">
        <f t="shared" si="0"/>
        <v>26</v>
      </c>
      <c r="C27" s="224">
        <v>11</v>
      </c>
      <c r="D27" s="223">
        <v>2019</v>
      </c>
      <c r="E27" s="225">
        <f>'FS Jimbaran November 2019'!P37</f>
        <v>24060.000000001764</v>
      </c>
      <c r="F27" s="234">
        <f>'FS Jimbaran November 2019'!O37/'FS Jimbaran November 2019'!P37</f>
        <v>1129.6287281795469</v>
      </c>
      <c r="G27" s="236">
        <f>'FS Jimbaran November 2019'!AG37</f>
        <v>130.78571999996245</v>
      </c>
      <c r="H27" s="234">
        <f>'FS Jimbaran November 2019'!AH37/'FS Jimbaran November 2019'!AG37</f>
        <v>9418.8683681980601</v>
      </c>
      <c r="I27" s="236">
        <f>'FS Jimbaran November 2019'!AJ37</f>
        <v>319.82999999999993</v>
      </c>
      <c r="J27" s="226">
        <f>'FS Jimbaran November 2019'!AK37/'FS Jimbaran November 2019'!AJ37</f>
        <v>10300</v>
      </c>
      <c r="K27" s="225">
        <f>'FS Jimbaran November 2019'!V37</f>
        <v>925.6</v>
      </c>
      <c r="L27" s="234">
        <f>'FS Jimbaran November 2019'!AA37/'FS Jimbaran November 2019'!V37</f>
        <v>1934.3548846153844</v>
      </c>
      <c r="M27" s="225">
        <f>'FS Jimbaran November 2019'!C37</f>
        <v>56</v>
      </c>
      <c r="N27" s="225">
        <f>'FS Jimbaran November 2019'!D37</f>
        <v>408</v>
      </c>
    </row>
    <row r="28" spans="1:14" x14ac:dyDescent="0.25">
      <c r="A28" s="222" t="s">
        <v>51</v>
      </c>
      <c r="B28" s="223">
        <f t="shared" si="0"/>
        <v>27</v>
      </c>
      <c r="C28" s="224">
        <v>11</v>
      </c>
      <c r="D28" s="223">
        <v>2019</v>
      </c>
      <c r="E28" s="225">
        <f>'FS Jimbaran November 2019'!P38</f>
        <v>24439.9999999996</v>
      </c>
      <c r="F28" s="234">
        <f>'FS Jimbaran November 2019'!O38/'FS Jimbaran November 2019'!P38</f>
        <v>1124.7790998363314</v>
      </c>
      <c r="G28" s="236">
        <f>'FS Jimbaran November 2019'!AG38</f>
        <v>183.21651999998591</v>
      </c>
      <c r="H28" s="234">
        <f>'FS Jimbaran November 2019'!AH38/'FS Jimbaran November 2019'!AG38</f>
        <v>9991.4522878177759</v>
      </c>
      <c r="I28" s="236">
        <f>'FS Jimbaran November 2019'!AJ38</f>
        <v>433.6200000000008</v>
      </c>
      <c r="J28" s="226">
        <f>'FS Jimbaran November 2019'!AK38/'FS Jimbaran November 2019'!AJ38</f>
        <v>10300</v>
      </c>
      <c r="K28" s="225">
        <f>'FS Jimbaran November 2019'!V38</f>
        <v>884.66</v>
      </c>
      <c r="L28" s="234">
        <f>'FS Jimbaran November 2019'!AA38/'FS Jimbaran November 2019'!V38</f>
        <v>1575.3054124748494</v>
      </c>
      <c r="M28" s="225">
        <f>'FS Jimbaran November 2019'!C38</f>
        <v>58</v>
      </c>
      <c r="N28" s="225">
        <f>'FS Jimbaran November 2019'!D38</f>
        <v>415</v>
      </c>
    </row>
    <row r="29" spans="1:14" x14ac:dyDescent="0.25">
      <c r="A29" s="222" t="s">
        <v>51</v>
      </c>
      <c r="B29" s="223">
        <f t="shared" si="0"/>
        <v>28</v>
      </c>
      <c r="C29" s="224">
        <v>11</v>
      </c>
      <c r="D29" s="223">
        <v>2019</v>
      </c>
      <c r="E29" s="225">
        <f>'FS Jimbaran November 2019'!P39</f>
        <v>24779.99999999952</v>
      </c>
      <c r="F29" s="234">
        <f>'FS Jimbaran November 2019'!O39/'FS Jimbaran November 2019'!P39</f>
        <v>1124.8119370460063</v>
      </c>
      <c r="G29" s="236">
        <f>'FS Jimbaran November 2019'!AG39</f>
        <v>120.96084000005391</v>
      </c>
      <c r="H29" s="234">
        <f>'FS Jimbaran November 2019'!AH39/'FS Jimbaran November 2019'!AG39</f>
        <v>9196</v>
      </c>
      <c r="I29" s="236">
        <f>'FS Jimbaran November 2019'!AJ39</f>
        <v>439.64000000000578</v>
      </c>
      <c r="J29" s="226">
        <f>'FS Jimbaran November 2019'!AK39/'FS Jimbaran November 2019'!AJ39</f>
        <v>10300</v>
      </c>
      <c r="K29" s="225">
        <f>'FS Jimbaran November 2019'!V39</f>
        <v>899.79000000000008</v>
      </c>
      <c r="L29" s="234">
        <f>'FS Jimbaran November 2019'!AA39/'FS Jimbaran November 2019'!V39</f>
        <v>1290.307002967359</v>
      </c>
      <c r="M29" s="225">
        <f>'FS Jimbaran November 2019'!C39</f>
        <v>57</v>
      </c>
      <c r="N29" s="225">
        <f>'FS Jimbaran November 2019'!D39</f>
        <v>444</v>
      </c>
    </row>
    <row r="30" spans="1:14" x14ac:dyDescent="0.25">
      <c r="A30" s="222" t="s">
        <v>51</v>
      </c>
      <c r="B30" s="223">
        <f t="shared" si="0"/>
        <v>29</v>
      </c>
      <c r="C30" s="224">
        <v>11</v>
      </c>
      <c r="D30" s="223">
        <v>2019</v>
      </c>
      <c r="E30" s="225">
        <f>'FS Jimbaran November 2019'!P40</f>
        <v>25399.999999999636</v>
      </c>
      <c r="F30" s="234">
        <f>'FS Jimbaran November 2019'!O40/'FS Jimbaran November 2019'!P40</f>
        <v>1128.3477401574808</v>
      </c>
      <c r="G30" s="236">
        <f>'FS Jimbaran November 2019'!AG40</f>
        <v>118.38291999999764</v>
      </c>
      <c r="H30" s="234">
        <f>'FS Jimbaran November 2019'!AH40/'FS Jimbaran November 2019'!AG40</f>
        <v>9196</v>
      </c>
      <c r="I30" s="236">
        <f>'FS Jimbaran November 2019'!AJ40</f>
        <v>425.34000000000015</v>
      </c>
      <c r="J30" s="226">
        <f>'FS Jimbaran November 2019'!AK40/'FS Jimbaran November 2019'!AJ40</f>
        <v>10300</v>
      </c>
      <c r="K30" s="225">
        <f>'FS Jimbaran November 2019'!V40</f>
        <v>918.48</v>
      </c>
      <c r="L30" s="234">
        <f>'FS Jimbaran November 2019'!AA40/'FS Jimbaran November 2019'!V40</f>
        <v>1026.4241472868216</v>
      </c>
      <c r="M30" s="225">
        <f>'FS Jimbaran November 2019'!C40</f>
        <v>53</v>
      </c>
      <c r="N30" s="225">
        <f>'FS Jimbaran November 2019'!D40</f>
        <v>450</v>
      </c>
    </row>
    <row r="31" spans="1:14" x14ac:dyDescent="0.25">
      <c r="A31" s="222" t="s">
        <v>51</v>
      </c>
      <c r="B31" s="223">
        <f t="shared" si="0"/>
        <v>30</v>
      </c>
      <c r="C31" s="224">
        <v>11</v>
      </c>
      <c r="D31" s="223">
        <v>2019</v>
      </c>
      <c r="E31" s="225">
        <f>'FS Jimbaran November 2019'!P41</f>
        <v>25980.000000000928</v>
      </c>
      <c r="F31" s="234">
        <f>'FS Jimbaran November 2019'!O41/'FS Jimbaran November 2019'!P41</f>
        <v>1121.0982909930726</v>
      </c>
      <c r="G31" s="236">
        <f>'FS Jimbaran November 2019'!AG41</f>
        <v>161.31108000000233</v>
      </c>
      <c r="H31" s="234">
        <f>'FS Jimbaran November 2019'!AH41/'FS Jimbaran November 2019'!AG41</f>
        <v>9738.0830360815817</v>
      </c>
      <c r="I31" s="236">
        <f>'FS Jimbaran November 2019'!AJ41</f>
        <v>424.18000000000029</v>
      </c>
      <c r="J31" s="226">
        <f>'FS Jimbaran November 2019'!AK41/'FS Jimbaran November 2019'!AJ41</f>
        <v>10300</v>
      </c>
      <c r="K31" s="225">
        <f>'FS Jimbaran November 2019'!V41</f>
        <v>906.02</v>
      </c>
      <c r="L31" s="234">
        <f>'FS Jimbaran November 2019'!AA41/'FS Jimbaran November 2019'!V41</f>
        <v>978.26923379174855</v>
      </c>
      <c r="M31" s="225">
        <f>'FS Jimbaran November 2019'!C41</f>
        <v>39</v>
      </c>
      <c r="N31" s="225">
        <f>'FS Jimbaran November 2019'!D41</f>
        <v>524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M56"/>
  <sheetViews>
    <sheetView tabSelected="1" zoomScale="62" zoomScaleNormal="62" workbookViewId="0">
      <pane xSplit="4" ySplit="10" topLeftCell="Q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75" x14ac:dyDescent="0.25"/>
  <cols>
    <col min="1" max="1" width="3.7109375" style="27" customWidth="1"/>
    <col min="2" max="2" width="8.7109375" style="27" customWidth="1"/>
    <col min="3" max="3" width="12.140625" style="4" customWidth="1"/>
    <col min="4" max="4" width="12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93" bestFit="1" customWidth="1"/>
    <col min="14" max="14" width="20.42578125" style="97" customWidth="1"/>
    <col min="15" max="15" width="18.85546875" customWidth="1"/>
    <col min="16" max="16" width="15.140625" style="97" customWidth="1"/>
    <col min="17" max="17" width="19.7109375" customWidth="1"/>
    <col min="18" max="18" width="18.140625" style="124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bestFit="1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124" bestFit="1" customWidth="1"/>
    <col min="37" max="37" width="16.42578125" customWidth="1"/>
    <col min="38" max="38" width="9.42578125" style="66" bestFit="1" customWidth="1"/>
    <col min="39" max="39" width="2.28515625" style="27" customWidth="1"/>
  </cols>
  <sheetData>
    <row r="6" spans="1:39" s="47" customFormat="1" ht="19.5" thickBot="1" x14ac:dyDescent="0.35">
      <c r="B6" s="47" t="s">
        <v>30</v>
      </c>
      <c r="C6" s="56"/>
      <c r="E6" s="56"/>
      <c r="F6" s="56"/>
      <c r="H6" s="56"/>
      <c r="L6" s="56"/>
      <c r="M6" s="87"/>
      <c r="N6" s="94"/>
      <c r="P6" s="94"/>
      <c r="R6" s="119"/>
      <c r="AD6" s="56"/>
      <c r="AH6" s="56"/>
      <c r="AJ6" s="119"/>
      <c r="AL6" s="62"/>
    </row>
    <row r="7" spans="1:39" s="19" customFormat="1" ht="16.5" thickBot="1" x14ac:dyDescent="0.3">
      <c r="A7" s="52"/>
      <c r="B7" s="242" t="s">
        <v>54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4"/>
      <c r="AM7" s="52"/>
    </row>
    <row r="8" spans="1:39" s="10" customFormat="1" ht="15.75" customHeight="1" thickBot="1" x14ac:dyDescent="0.3">
      <c r="A8" s="48"/>
      <c r="B8" s="257" t="s">
        <v>1</v>
      </c>
      <c r="C8" s="260" t="s">
        <v>2</v>
      </c>
      <c r="D8" s="260" t="s">
        <v>3</v>
      </c>
      <c r="E8" s="239" t="s">
        <v>36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40"/>
      <c r="R8" s="240"/>
      <c r="S8" s="240"/>
      <c r="T8" s="240"/>
      <c r="U8" s="241"/>
      <c r="V8" s="268" t="s">
        <v>20</v>
      </c>
      <c r="W8" s="269"/>
      <c r="X8" s="269"/>
      <c r="Y8" s="269"/>
      <c r="Z8" s="269"/>
      <c r="AA8" s="269"/>
      <c r="AB8" s="270"/>
      <c r="AC8" s="271" t="s">
        <v>26</v>
      </c>
      <c r="AD8" s="271"/>
      <c r="AE8" s="271"/>
      <c r="AF8" s="271"/>
      <c r="AG8" s="271"/>
      <c r="AH8" s="271"/>
      <c r="AI8" s="271"/>
      <c r="AJ8" s="271"/>
      <c r="AK8" s="271"/>
      <c r="AL8" s="272"/>
      <c r="AM8" s="50"/>
    </row>
    <row r="9" spans="1:39" ht="15" customHeight="1" thickBot="1" x14ac:dyDescent="0.3">
      <c r="A9" s="51"/>
      <c r="B9" s="258"/>
      <c r="C9" s="261"/>
      <c r="D9" s="261"/>
      <c r="E9" s="265" t="s">
        <v>35</v>
      </c>
      <c r="F9" s="266"/>
      <c r="G9" s="266"/>
      <c r="H9" s="266"/>
      <c r="I9" s="267"/>
      <c r="J9" s="263" t="s">
        <v>5</v>
      </c>
      <c r="K9" s="263"/>
      <c r="L9" s="263"/>
      <c r="M9" s="263"/>
      <c r="N9" s="264"/>
      <c r="O9" s="260" t="s">
        <v>12</v>
      </c>
      <c r="P9" s="245" t="s">
        <v>34</v>
      </c>
      <c r="Q9" s="247" t="s">
        <v>14</v>
      </c>
      <c r="R9" s="249" t="s">
        <v>23</v>
      </c>
      <c r="S9" s="251" t="s">
        <v>13</v>
      </c>
      <c r="T9" s="253" t="s">
        <v>19</v>
      </c>
      <c r="U9" s="254"/>
      <c r="V9" s="79"/>
      <c r="W9" s="80" t="s">
        <v>4</v>
      </c>
      <c r="X9" s="80"/>
      <c r="Y9" s="81"/>
      <c r="Z9" s="114"/>
      <c r="AA9" s="255" t="s">
        <v>29</v>
      </c>
      <c r="AB9" s="256"/>
      <c r="AC9" s="271" t="s">
        <v>24</v>
      </c>
      <c r="AD9" s="271"/>
      <c r="AE9" s="271"/>
      <c r="AF9" s="271"/>
      <c r="AG9" s="271"/>
      <c r="AH9" s="271"/>
      <c r="AI9" s="272"/>
      <c r="AJ9" s="196" t="s">
        <v>22</v>
      </c>
      <c r="AK9" s="59"/>
      <c r="AL9" s="63"/>
      <c r="AM9" s="51"/>
    </row>
    <row r="10" spans="1:39" ht="61.5" customHeight="1" thickBot="1" x14ac:dyDescent="0.3">
      <c r="A10" s="49"/>
      <c r="B10" s="259"/>
      <c r="C10" s="262"/>
      <c r="D10" s="262"/>
      <c r="E10" s="137" t="s">
        <v>37</v>
      </c>
      <c r="F10" s="113" t="s">
        <v>6</v>
      </c>
      <c r="G10" s="178" t="s">
        <v>38</v>
      </c>
      <c r="H10" s="33" t="s">
        <v>6</v>
      </c>
      <c r="I10" s="138" t="s">
        <v>15</v>
      </c>
      <c r="J10" s="137" t="s">
        <v>37</v>
      </c>
      <c r="K10" s="115" t="s">
        <v>6</v>
      </c>
      <c r="L10" s="178" t="s">
        <v>38</v>
      </c>
      <c r="M10" s="88" t="s">
        <v>6</v>
      </c>
      <c r="N10" s="129" t="s">
        <v>16</v>
      </c>
      <c r="O10" s="262"/>
      <c r="P10" s="246"/>
      <c r="Q10" s="248"/>
      <c r="R10" s="250"/>
      <c r="S10" s="252"/>
      <c r="T10" s="39" t="s">
        <v>17</v>
      </c>
      <c r="U10" s="41" t="s">
        <v>18</v>
      </c>
      <c r="V10" s="83" t="s">
        <v>8</v>
      </c>
      <c r="W10" s="82" t="s">
        <v>0</v>
      </c>
      <c r="X10" s="82" t="s">
        <v>28</v>
      </c>
      <c r="Y10" s="40" t="s">
        <v>10</v>
      </c>
      <c r="Z10" s="40" t="s">
        <v>32</v>
      </c>
      <c r="AA10" s="40" t="s">
        <v>17</v>
      </c>
      <c r="AB10" s="21" t="s">
        <v>18</v>
      </c>
      <c r="AC10" s="170" t="s">
        <v>7</v>
      </c>
      <c r="AD10" s="74" t="s">
        <v>33</v>
      </c>
      <c r="AE10" s="73" t="s">
        <v>11</v>
      </c>
      <c r="AF10" s="73" t="s">
        <v>9</v>
      </c>
      <c r="AG10" s="73" t="s">
        <v>27</v>
      </c>
      <c r="AH10" s="74" t="s">
        <v>17</v>
      </c>
      <c r="AI10" s="75" t="s">
        <v>18</v>
      </c>
      <c r="AJ10" s="197" t="s">
        <v>25</v>
      </c>
      <c r="AK10" s="73" t="s">
        <v>17</v>
      </c>
      <c r="AL10" s="77" t="s">
        <v>18</v>
      </c>
      <c r="AM10" s="49"/>
    </row>
    <row r="11" spans="1:39" x14ac:dyDescent="0.25">
      <c r="A11" s="49"/>
      <c r="B11" s="85"/>
      <c r="C11" s="139"/>
      <c r="D11" s="84" t="s">
        <v>21</v>
      </c>
      <c r="E11" s="126"/>
      <c r="F11" s="126"/>
      <c r="G11" s="34"/>
      <c r="H11" s="35"/>
      <c r="I11" s="140"/>
      <c r="J11" s="128"/>
      <c r="K11" s="34"/>
      <c r="L11" s="35"/>
      <c r="M11" s="89"/>
      <c r="N11" s="131"/>
      <c r="O11" s="84"/>
      <c r="P11" s="154"/>
      <c r="Q11" s="153"/>
      <c r="R11" s="158"/>
      <c r="S11" s="37"/>
      <c r="T11" s="38"/>
      <c r="U11" s="42"/>
      <c r="V11" s="130"/>
      <c r="W11" s="34"/>
      <c r="X11" s="34"/>
      <c r="Y11" s="36"/>
      <c r="Z11" s="36"/>
      <c r="AA11" s="36"/>
      <c r="AB11" s="140"/>
      <c r="AC11" s="171"/>
      <c r="AD11" s="71"/>
      <c r="AE11" s="68"/>
      <c r="AF11" s="68"/>
      <c r="AG11" s="68"/>
      <c r="AH11" s="71"/>
      <c r="AI11" s="72"/>
      <c r="AJ11" s="198"/>
      <c r="AK11" s="68"/>
      <c r="AL11" s="76"/>
      <c r="AM11" s="49"/>
    </row>
    <row r="12" spans="1:39" ht="24" customHeight="1" x14ac:dyDescent="0.25">
      <c r="A12" s="55"/>
      <c r="B12" s="86">
        <v>1</v>
      </c>
      <c r="C12" s="237">
        <v>55</v>
      </c>
      <c r="D12" s="238">
        <v>497</v>
      </c>
      <c r="E12" s="144">
        <v>19680.000000000291</v>
      </c>
      <c r="F12" s="3">
        <v>20384150.4000003</v>
      </c>
      <c r="G12" s="57">
        <v>4080.0000000001546</v>
      </c>
      <c r="H12" s="3">
        <v>6338973.6000002408</v>
      </c>
      <c r="I12" s="141">
        <f>H12+F12</f>
        <v>26723124.00000054</v>
      </c>
      <c r="J12" s="144">
        <v>2000</v>
      </c>
      <c r="K12" s="3">
        <v>2071560</v>
      </c>
      <c r="L12" s="3">
        <v>500</v>
      </c>
      <c r="M12" s="90">
        <v>776835</v>
      </c>
      <c r="N12" s="132">
        <f t="shared" ref="N12:N41" si="0">M12+K12</f>
        <v>2848395</v>
      </c>
      <c r="O12" s="151">
        <f>N12+I12</f>
        <v>29571519.00000054</v>
      </c>
      <c r="P12" s="155">
        <f t="shared" ref="P12:P41" si="1">L12+J12+G12+E12</f>
        <v>26260.000000000444</v>
      </c>
      <c r="Q12" s="187"/>
      <c r="R12" s="179"/>
      <c r="S12" s="15"/>
      <c r="T12" s="17"/>
      <c r="U12" s="43"/>
      <c r="V12" s="180">
        <f t="shared" ref="V12:V26" si="2">W12+Y12</f>
        <v>925.59999999999991</v>
      </c>
      <c r="W12" s="3">
        <v>47.17</v>
      </c>
      <c r="X12" s="3">
        <v>847668.48499999999</v>
      </c>
      <c r="Y12" s="53">
        <v>878.43</v>
      </c>
      <c r="Z12" s="53">
        <v>978556.44180000003</v>
      </c>
      <c r="AA12" s="53">
        <f t="shared" ref="AA12:AA26" si="3">Z12+X12</f>
        <v>1826224.9268</v>
      </c>
      <c r="AB12" s="173">
        <f t="shared" ref="AB12:AB41" si="4">AA12/$AL$47</f>
        <v>140.73768961220213</v>
      </c>
      <c r="AC12" s="181">
        <v>129.9432800000375</v>
      </c>
      <c r="AD12" s="3">
        <v>0</v>
      </c>
      <c r="AE12" s="3">
        <v>0</v>
      </c>
      <c r="AF12" s="3">
        <v>12</v>
      </c>
      <c r="AG12" s="3">
        <f>SUM(AC12:AF12)</f>
        <v>141.9432800000375</v>
      </c>
      <c r="AH12" s="3">
        <v>1334458.4028803448</v>
      </c>
      <c r="AI12" s="69">
        <f>AH12/$AL$47</f>
        <v>102.83979248605279</v>
      </c>
      <c r="AJ12" s="199">
        <v>483.20000000000005</v>
      </c>
      <c r="AK12" s="3">
        <v>4976960.0000000009</v>
      </c>
      <c r="AL12" s="64">
        <f t="shared" ref="AL12:AL41" si="5">AK12/$AL$47</f>
        <v>383.54851114626985</v>
      </c>
      <c r="AM12" s="7"/>
    </row>
    <row r="13" spans="1:39" x14ac:dyDescent="0.25">
      <c r="A13" s="55"/>
      <c r="B13" s="86">
        <v>2</v>
      </c>
      <c r="C13" s="237">
        <v>51</v>
      </c>
      <c r="D13" s="238">
        <v>419</v>
      </c>
      <c r="E13" s="144">
        <v>18920.000000000073</v>
      </c>
      <c r="F13" s="3">
        <v>19596957.600000076</v>
      </c>
      <c r="G13" s="57">
        <v>3680.0000000000637</v>
      </c>
      <c r="H13" s="3">
        <v>5717505.6000000993</v>
      </c>
      <c r="I13" s="141">
        <f t="shared" ref="I13:I41" si="6">H13+F13</f>
        <v>25314463.200000174</v>
      </c>
      <c r="J13" s="144">
        <v>2180.000000000291</v>
      </c>
      <c r="K13" s="3">
        <v>2258000.4000003012</v>
      </c>
      <c r="L13" s="3">
        <v>460.00000000003638</v>
      </c>
      <c r="M13" s="90">
        <v>714688.20000005653</v>
      </c>
      <c r="N13" s="132">
        <f t="shared" si="0"/>
        <v>2972688.6000003577</v>
      </c>
      <c r="O13" s="151">
        <f t="shared" ref="O13:O41" si="7">N13+I13</f>
        <v>28287151.800000533</v>
      </c>
      <c r="P13" s="155">
        <f t="shared" si="1"/>
        <v>25240.000000000466</v>
      </c>
      <c r="Q13" s="188"/>
      <c r="R13" s="182"/>
      <c r="S13" s="16"/>
      <c r="T13" s="18"/>
      <c r="U13" s="44"/>
      <c r="V13" s="180">
        <f t="shared" si="2"/>
        <v>907.8</v>
      </c>
      <c r="W13" s="3">
        <v>92.56</v>
      </c>
      <c r="X13" s="3">
        <v>1663349.48</v>
      </c>
      <c r="Y13" s="53">
        <v>815.24</v>
      </c>
      <c r="Z13" s="53">
        <v>782089.51139999996</v>
      </c>
      <c r="AA13" s="53">
        <f t="shared" si="3"/>
        <v>2445438.9913999997</v>
      </c>
      <c r="AB13" s="173">
        <f t="shared" si="4"/>
        <v>188.45730812594547</v>
      </c>
      <c r="AC13" s="181">
        <v>118.62459999998826</v>
      </c>
      <c r="AD13" s="3">
        <v>0</v>
      </c>
      <c r="AE13" s="3">
        <v>0</v>
      </c>
      <c r="AF13" s="3">
        <v>12</v>
      </c>
      <c r="AG13" s="3">
        <f t="shared" ref="AG13:AG41" si="8">SUM(AC13:AF13)</f>
        <v>130.62459999998828</v>
      </c>
      <c r="AH13" s="3">
        <v>1230371.8215998921</v>
      </c>
      <c r="AI13" s="69">
        <f t="shared" ref="AI13:AI41" si="9">AH13/$AL$47</f>
        <v>94.818379157349568</v>
      </c>
      <c r="AJ13" s="199">
        <v>436.20000000000005</v>
      </c>
      <c r="AK13" s="3">
        <v>4492860.0000000009</v>
      </c>
      <c r="AL13" s="64">
        <f t="shared" si="5"/>
        <v>346.24143328229081</v>
      </c>
      <c r="AM13" s="7"/>
    </row>
    <row r="14" spans="1:39" x14ac:dyDescent="0.25">
      <c r="A14" s="55"/>
      <c r="B14" s="86">
        <v>3</v>
      </c>
      <c r="C14" s="237">
        <v>47</v>
      </c>
      <c r="D14" s="238">
        <v>390</v>
      </c>
      <c r="E14" s="144">
        <v>16559.999999999491</v>
      </c>
      <c r="F14" s="3">
        <v>17152516.799999472</v>
      </c>
      <c r="G14" s="57">
        <v>3519.9999999999818</v>
      </c>
      <c r="H14" s="3">
        <v>5468918.3999999724</v>
      </c>
      <c r="I14" s="141">
        <f t="shared" si="6"/>
        <v>22621435.199999444</v>
      </c>
      <c r="J14" s="144">
        <v>1699.9999999998181</v>
      </c>
      <c r="K14" s="3">
        <v>1760825.9999998116</v>
      </c>
      <c r="L14" s="3">
        <v>399.99999999986358</v>
      </c>
      <c r="M14" s="90">
        <v>621467.99999978812</v>
      </c>
      <c r="N14" s="132">
        <f t="shared" si="0"/>
        <v>2382293.9999995995</v>
      </c>
      <c r="O14" s="151">
        <f t="shared" si="7"/>
        <v>25003729.199999042</v>
      </c>
      <c r="P14" s="155">
        <f t="shared" si="1"/>
        <v>22179.999999999156</v>
      </c>
      <c r="Q14" s="188"/>
      <c r="R14" s="182"/>
      <c r="S14" s="16"/>
      <c r="T14" s="18"/>
      <c r="U14" s="44"/>
      <c r="V14" s="180">
        <f t="shared" si="2"/>
        <v>831.26</v>
      </c>
      <c r="W14" s="3">
        <v>97.01</v>
      </c>
      <c r="X14" s="3">
        <v>1743318.2050000001</v>
      </c>
      <c r="Y14" s="53">
        <v>734.25</v>
      </c>
      <c r="Z14" s="53">
        <v>963443.60100000014</v>
      </c>
      <c r="AA14" s="53">
        <f t="shared" si="3"/>
        <v>2706761.8060000003</v>
      </c>
      <c r="AB14" s="173">
        <f t="shared" si="4"/>
        <v>208.59610298633874</v>
      </c>
      <c r="AC14" s="181">
        <v>122.77343999998358</v>
      </c>
      <c r="AD14" s="3">
        <v>0</v>
      </c>
      <c r="AE14" s="3">
        <v>150</v>
      </c>
      <c r="AF14" s="3">
        <v>12</v>
      </c>
      <c r="AG14" s="3">
        <f t="shared" si="8"/>
        <v>284.77343999998357</v>
      </c>
      <c r="AH14" s="3">
        <v>2842024.5542398491</v>
      </c>
      <c r="AI14" s="69">
        <f t="shared" si="9"/>
        <v>219.02010191358482</v>
      </c>
      <c r="AJ14" s="199">
        <v>371.99999999999977</v>
      </c>
      <c r="AK14" s="3">
        <v>3831599.9999999977</v>
      </c>
      <c r="AL14" s="64">
        <f t="shared" si="5"/>
        <v>295.28155245532344</v>
      </c>
      <c r="AM14" s="7"/>
    </row>
    <row r="15" spans="1:39" x14ac:dyDescent="0.25">
      <c r="A15" s="55"/>
      <c r="B15" s="86">
        <v>4</v>
      </c>
      <c r="C15" s="237">
        <v>62</v>
      </c>
      <c r="D15" s="238">
        <v>439</v>
      </c>
      <c r="E15" s="144">
        <v>17239.999999999782</v>
      </c>
      <c r="F15" s="3">
        <v>17856847.199999772</v>
      </c>
      <c r="G15" s="57">
        <v>3639.9999999998727</v>
      </c>
      <c r="H15" s="3">
        <v>5655358.7999998024</v>
      </c>
      <c r="I15" s="141">
        <f t="shared" si="6"/>
        <v>23512205.999999575</v>
      </c>
      <c r="J15" s="144">
        <v>1899.9999999996362</v>
      </c>
      <c r="K15" s="3">
        <v>1967981.999999623</v>
      </c>
      <c r="L15" s="3">
        <v>440.00000000005457</v>
      </c>
      <c r="M15" s="90">
        <v>683614.8000000848</v>
      </c>
      <c r="N15" s="132">
        <f t="shared" si="0"/>
        <v>2651596.7999997078</v>
      </c>
      <c r="O15" s="151">
        <f t="shared" si="7"/>
        <v>26163802.799999282</v>
      </c>
      <c r="P15" s="155">
        <f t="shared" si="1"/>
        <v>23219.999999999345</v>
      </c>
      <c r="Q15" s="188"/>
      <c r="R15" s="182"/>
      <c r="S15" s="16"/>
      <c r="T15" s="18"/>
      <c r="U15" s="44"/>
      <c r="V15" s="180">
        <f t="shared" si="2"/>
        <v>923.82</v>
      </c>
      <c r="W15" s="3">
        <v>71.2</v>
      </c>
      <c r="X15" s="3">
        <v>1279499.6000000001</v>
      </c>
      <c r="Y15" s="53">
        <v>852.62</v>
      </c>
      <c r="Z15" s="53">
        <v>884101.18680000002</v>
      </c>
      <c r="AA15" s="53">
        <f t="shared" si="3"/>
        <v>2163600.7867999999</v>
      </c>
      <c r="AB15" s="173">
        <f t="shared" si="4"/>
        <v>166.73749849145619</v>
      </c>
      <c r="AC15" s="181">
        <v>0</v>
      </c>
      <c r="AD15" s="3">
        <v>0</v>
      </c>
      <c r="AE15" s="3">
        <v>0</v>
      </c>
      <c r="AF15" s="3">
        <v>12</v>
      </c>
      <c r="AG15" s="3">
        <f t="shared" si="8"/>
        <v>12</v>
      </c>
      <c r="AH15" s="3">
        <v>139500</v>
      </c>
      <c r="AI15" s="69">
        <f t="shared" si="9"/>
        <v>10.750541958324888</v>
      </c>
      <c r="AJ15" s="199">
        <v>360</v>
      </c>
      <c r="AK15" s="3">
        <v>3708000</v>
      </c>
      <c r="AL15" s="64">
        <f t="shared" si="5"/>
        <v>285.75634108579703</v>
      </c>
      <c r="AM15" s="7"/>
    </row>
    <row r="16" spans="1:39" x14ac:dyDescent="0.25">
      <c r="A16" s="55"/>
      <c r="B16" s="86">
        <v>5</v>
      </c>
      <c r="C16" s="237">
        <v>89</v>
      </c>
      <c r="D16" s="238">
        <v>464</v>
      </c>
      <c r="E16" s="144">
        <v>17559.999999999491</v>
      </c>
      <c r="F16" s="3">
        <v>18188296.799999472</v>
      </c>
      <c r="G16" s="57">
        <v>3880.0000000001091</v>
      </c>
      <c r="H16" s="3">
        <v>6028239.6000001701</v>
      </c>
      <c r="I16" s="141">
        <f t="shared" si="6"/>
        <v>24216536.399999641</v>
      </c>
      <c r="J16" s="144">
        <v>2140.0000000003274</v>
      </c>
      <c r="K16" s="3">
        <v>2216569.2000003392</v>
      </c>
      <c r="L16" s="3">
        <v>480.00000000001819</v>
      </c>
      <c r="M16" s="90">
        <v>745761.60000002827</v>
      </c>
      <c r="N16" s="132">
        <f t="shared" si="0"/>
        <v>2962330.8000003677</v>
      </c>
      <c r="O16" s="151">
        <f t="shared" si="7"/>
        <v>27178867.20000001</v>
      </c>
      <c r="P16" s="155">
        <f t="shared" si="1"/>
        <v>24059.999999999945</v>
      </c>
      <c r="Q16" s="188"/>
      <c r="R16" s="182"/>
      <c r="S16" s="16"/>
      <c r="T16" s="18"/>
      <c r="U16" s="44"/>
      <c r="V16" s="180">
        <f t="shared" si="2"/>
        <v>958.53</v>
      </c>
      <c r="W16" s="3">
        <v>76.540000000000006</v>
      </c>
      <c r="X16" s="3">
        <v>1375462.07</v>
      </c>
      <c r="Y16" s="53">
        <v>881.99</v>
      </c>
      <c r="Z16" s="53">
        <v>978556.44180000003</v>
      </c>
      <c r="AA16" s="53">
        <f t="shared" si="3"/>
        <v>2354018.5118</v>
      </c>
      <c r="AB16" s="173">
        <f t="shared" si="4"/>
        <v>181.41200560415348</v>
      </c>
      <c r="AC16" s="181">
        <v>140.1743999999531</v>
      </c>
      <c r="AD16" s="3">
        <v>0</v>
      </c>
      <c r="AE16" s="3">
        <v>150</v>
      </c>
      <c r="AF16" s="3">
        <v>36</v>
      </c>
      <c r="AG16" s="3">
        <f t="shared" si="8"/>
        <v>326.1743999999531</v>
      </c>
      <c r="AH16" s="3">
        <v>3281043.7823995687</v>
      </c>
      <c r="AI16" s="69">
        <f t="shared" si="9"/>
        <v>252.85303834973161</v>
      </c>
      <c r="AJ16" s="199">
        <v>318.70000000000027</v>
      </c>
      <c r="AK16" s="3">
        <v>3282610.0000000028</v>
      </c>
      <c r="AL16" s="64">
        <f t="shared" si="5"/>
        <v>252.97373862234332</v>
      </c>
      <c r="AM16" s="7"/>
    </row>
    <row r="17" spans="1:39" x14ac:dyDescent="0.25">
      <c r="A17" s="55"/>
      <c r="B17" s="86">
        <v>6</v>
      </c>
      <c r="C17" s="237">
        <v>96</v>
      </c>
      <c r="D17" s="238">
        <v>473</v>
      </c>
      <c r="E17" s="144">
        <v>17880.000000001019</v>
      </c>
      <c r="F17" s="3">
        <v>18519746.400001053</v>
      </c>
      <c r="G17" s="57">
        <v>3799.9999999999545</v>
      </c>
      <c r="H17" s="3">
        <v>5903945.9999999292</v>
      </c>
      <c r="I17" s="141">
        <f t="shared" si="6"/>
        <v>24423692.400000982</v>
      </c>
      <c r="J17" s="144">
        <v>2100.0000000003638</v>
      </c>
      <c r="K17" s="3">
        <v>2175138.0000003767</v>
      </c>
      <c r="L17" s="3">
        <v>460.00000000003638</v>
      </c>
      <c r="M17" s="90">
        <v>714688.20000005653</v>
      </c>
      <c r="N17" s="132">
        <f t="shared" si="0"/>
        <v>2889826.2000004333</v>
      </c>
      <c r="O17" s="151">
        <f t="shared" si="7"/>
        <v>27313518.600001417</v>
      </c>
      <c r="P17" s="155">
        <f t="shared" si="1"/>
        <v>24240.000000001375</v>
      </c>
      <c r="Q17" s="188"/>
      <c r="R17" s="182"/>
      <c r="S17" s="16"/>
      <c r="T17" s="18"/>
      <c r="U17" s="44"/>
      <c r="V17" s="180">
        <f t="shared" si="2"/>
        <v>903.35</v>
      </c>
      <c r="W17" s="3">
        <v>68.53</v>
      </c>
      <c r="X17" s="3">
        <v>1231518.365</v>
      </c>
      <c r="Y17" s="53">
        <v>834.82</v>
      </c>
      <c r="Z17" s="53">
        <v>902992.23780000012</v>
      </c>
      <c r="AA17" s="53">
        <f t="shared" si="3"/>
        <v>2134510.6028</v>
      </c>
      <c r="AB17" s="173">
        <f t="shared" si="4"/>
        <v>164.49566878774732</v>
      </c>
      <c r="AC17" s="181">
        <v>144.1218399999953</v>
      </c>
      <c r="AD17" s="3">
        <v>0</v>
      </c>
      <c r="AE17" s="3">
        <v>0</v>
      </c>
      <c r="AF17" s="3">
        <v>0</v>
      </c>
      <c r="AG17" s="3">
        <f t="shared" si="8"/>
        <v>144.1218399999953</v>
      </c>
      <c r="AH17" s="3">
        <v>1325344.4406399569</v>
      </c>
      <c r="AI17" s="69">
        <f t="shared" si="9"/>
        <v>102.13742665471315</v>
      </c>
      <c r="AJ17" s="199">
        <v>439.04999999999973</v>
      </c>
      <c r="AK17" s="3">
        <v>4522214.9999999972</v>
      </c>
      <c r="AL17" s="64">
        <f t="shared" si="5"/>
        <v>348.5036709825531</v>
      </c>
      <c r="AM17" s="7"/>
    </row>
    <row r="18" spans="1:39" x14ac:dyDescent="0.25">
      <c r="A18" s="55"/>
      <c r="B18" s="86">
        <v>7</v>
      </c>
      <c r="C18" s="237">
        <v>98</v>
      </c>
      <c r="D18" s="238">
        <v>520</v>
      </c>
      <c r="E18" s="144">
        <v>18399.999999999636</v>
      </c>
      <c r="F18" s="3">
        <v>19058351.999999624</v>
      </c>
      <c r="G18" s="57">
        <v>3799.9999999999545</v>
      </c>
      <c r="H18" s="3">
        <v>5903945.9999999292</v>
      </c>
      <c r="I18" s="141">
        <f t="shared" si="6"/>
        <v>24962297.999999553</v>
      </c>
      <c r="J18" s="144">
        <v>1859.9999999996726</v>
      </c>
      <c r="K18" s="3">
        <v>1926550.7999996608</v>
      </c>
      <c r="L18" s="3">
        <v>440.00000000005457</v>
      </c>
      <c r="M18" s="90">
        <v>683614.8000000848</v>
      </c>
      <c r="N18" s="132">
        <f t="shared" si="0"/>
        <v>2610165.5999997454</v>
      </c>
      <c r="O18" s="151">
        <f t="shared" si="7"/>
        <v>27572463.599999297</v>
      </c>
      <c r="P18" s="155">
        <f t="shared" si="1"/>
        <v>24499.999999999316</v>
      </c>
      <c r="Q18" s="188"/>
      <c r="R18" s="182"/>
      <c r="S18" s="16"/>
      <c r="T18" s="18"/>
      <c r="U18" s="44"/>
      <c r="V18" s="180">
        <f t="shared" si="2"/>
        <v>924.71</v>
      </c>
      <c r="W18" s="3">
        <v>39.160000000000004</v>
      </c>
      <c r="X18" s="3">
        <v>703724.78</v>
      </c>
      <c r="Y18" s="53">
        <v>885.55000000000007</v>
      </c>
      <c r="Z18" s="53">
        <v>902992.23780000012</v>
      </c>
      <c r="AA18" s="53">
        <f t="shared" si="3"/>
        <v>1606717.0178</v>
      </c>
      <c r="AB18" s="173">
        <f t="shared" si="4"/>
        <v>123.82135279579596</v>
      </c>
      <c r="AC18" s="181">
        <v>147.58591999999763</v>
      </c>
      <c r="AD18" s="3">
        <v>0</v>
      </c>
      <c r="AE18" s="3">
        <v>0</v>
      </c>
      <c r="AF18" s="3">
        <v>24</v>
      </c>
      <c r="AG18" s="3">
        <f t="shared" si="8"/>
        <v>171.58591999999763</v>
      </c>
      <c r="AH18" s="3">
        <v>1636200.1203199781</v>
      </c>
      <c r="AI18" s="69">
        <f t="shared" si="9"/>
        <v>126.09346269330577</v>
      </c>
      <c r="AJ18" s="199">
        <v>582.75</v>
      </c>
      <c r="AK18" s="3">
        <v>6002325</v>
      </c>
      <c r="AL18" s="64">
        <f t="shared" si="5"/>
        <v>462.56807713263396</v>
      </c>
      <c r="AM18" s="7"/>
    </row>
    <row r="19" spans="1:39" x14ac:dyDescent="0.25">
      <c r="A19" s="55"/>
      <c r="B19" s="86">
        <v>8</v>
      </c>
      <c r="C19" s="237">
        <v>72</v>
      </c>
      <c r="D19" s="238">
        <v>465</v>
      </c>
      <c r="E19" s="144">
        <v>18799.999999999272</v>
      </c>
      <c r="F19" s="3">
        <v>19472663.999999247</v>
      </c>
      <c r="G19" s="57">
        <v>3880.0000000001091</v>
      </c>
      <c r="H19" s="3">
        <v>6028239.6000001701</v>
      </c>
      <c r="I19" s="141">
        <f t="shared" si="6"/>
        <v>25500903.599999417</v>
      </c>
      <c r="J19" s="144">
        <v>1819.999999999709</v>
      </c>
      <c r="K19" s="3">
        <v>1885119.5999996986</v>
      </c>
      <c r="L19" s="3">
        <v>440.00000000005457</v>
      </c>
      <c r="M19" s="90">
        <v>683614.8000000848</v>
      </c>
      <c r="N19" s="132">
        <f t="shared" si="0"/>
        <v>2568734.3999997834</v>
      </c>
      <c r="O19" s="151">
        <f t="shared" si="7"/>
        <v>28069637.999999199</v>
      </c>
      <c r="P19" s="155">
        <f t="shared" si="1"/>
        <v>24939.999999999145</v>
      </c>
      <c r="Q19" s="185"/>
      <c r="R19" s="182"/>
      <c r="S19" s="16"/>
      <c r="T19" s="18"/>
      <c r="U19" s="44"/>
      <c r="V19" s="180">
        <f t="shared" si="2"/>
        <v>898.01</v>
      </c>
      <c r="W19" s="3">
        <v>84.55</v>
      </c>
      <c r="X19" s="3">
        <v>1519405.7749999999</v>
      </c>
      <c r="Y19" s="53">
        <v>813.46</v>
      </c>
      <c r="Z19" s="53">
        <v>967221.81120000011</v>
      </c>
      <c r="AA19" s="53">
        <f t="shared" si="3"/>
        <v>2486627.5861999998</v>
      </c>
      <c r="AB19" s="173">
        <f t="shared" si="4"/>
        <v>191.63149964280456</v>
      </c>
      <c r="AC19" s="181">
        <v>145.85388000002578</v>
      </c>
      <c r="AD19" s="3">
        <v>0</v>
      </c>
      <c r="AE19" s="3">
        <v>0</v>
      </c>
      <c r="AF19" s="3">
        <v>36</v>
      </c>
      <c r="AG19" s="3">
        <f t="shared" si="8"/>
        <v>181.85388000002578</v>
      </c>
      <c r="AH19" s="3">
        <v>1759772.280480237</v>
      </c>
      <c r="AI19" s="69">
        <f t="shared" si="9"/>
        <v>135.61652859068002</v>
      </c>
      <c r="AJ19" s="199">
        <v>443.90000000000055</v>
      </c>
      <c r="AK19" s="3">
        <v>4572170.0000000056</v>
      </c>
      <c r="AL19" s="64">
        <f t="shared" si="5"/>
        <v>352.35344391107071</v>
      </c>
      <c r="AM19" s="7"/>
    </row>
    <row r="20" spans="1:39" x14ac:dyDescent="0.25">
      <c r="A20" s="55"/>
      <c r="B20" s="86">
        <v>9</v>
      </c>
      <c r="C20" s="237">
        <v>68</v>
      </c>
      <c r="D20" s="238">
        <v>479</v>
      </c>
      <c r="E20" s="144">
        <v>18640.000000001237</v>
      </c>
      <c r="F20" s="3">
        <v>19306939.200001281</v>
      </c>
      <c r="G20" s="57">
        <v>3879.9999999998818</v>
      </c>
      <c r="H20" s="3">
        <v>6028239.5999998162</v>
      </c>
      <c r="I20" s="141">
        <f t="shared" si="6"/>
        <v>25335178.800001096</v>
      </c>
      <c r="J20" s="144">
        <v>1940.0000000005093</v>
      </c>
      <c r="K20" s="3">
        <v>2009413.2000005275</v>
      </c>
      <c r="L20" s="3">
        <v>500</v>
      </c>
      <c r="M20" s="90">
        <v>776835</v>
      </c>
      <c r="N20" s="132">
        <f t="shared" si="0"/>
        <v>2786248.2000005273</v>
      </c>
      <c r="O20" s="151">
        <f t="shared" si="7"/>
        <v>28121427.000001624</v>
      </c>
      <c r="P20" s="155">
        <f t="shared" si="1"/>
        <v>24960.00000000163</v>
      </c>
      <c r="Q20" s="185"/>
      <c r="R20" s="182"/>
      <c r="S20" s="16"/>
      <c r="T20" s="18"/>
      <c r="U20" s="44"/>
      <c r="V20" s="180">
        <f t="shared" si="2"/>
        <v>894.45</v>
      </c>
      <c r="W20" s="3">
        <v>49.84</v>
      </c>
      <c r="X20" s="3">
        <v>895649.72000000009</v>
      </c>
      <c r="Y20" s="53">
        <v>844.61</v>
      </c>
      <c r="Z20" s="53">
        <v>902992.23780000012</v>
      </c>
      <c r="AA20" s="53">
        <f t="shared" si="3"/>
        <v>1798641.9578000002</v>
      </c>
      <c r="AB20" s="173">
        <f t="shared" si="4"/>
        <v>138.61201315650555</v>
      </c>
      <c r="AC20" s="181">
        <v>138.52291999999764</v>
      </c>
      <c r="AD20" s="3">
        <v>0</v>
      </c>
      <c r="AE20" s="3">
        <v>0</v>
      </c>
      <c r="AF20" s="3">
        <v>48</v>
      </c>
      <c r="AG20" s="3">
        <f t="shared" si="8"/>
        <v>186.52291999999764</v>
      </c>
      <c r="AH20" s="3">
        <v>1831856.7723199783</v>
      </c>
      <c r="AI20" s="69">
        <f t="shared" si="9"/>
        <v>141.17170675603964</v>
      </c>
      <c r="AJ20" s="199">
        <v>430.97999999999956</v>
      </c>
      <c r="AK20" s="3">
        <v>4439093.9999999953</v>
      </c>
      <c r="AL20" s="64">
        <f t="shared" si="5"/>
        <v>342.09796633654634</v>
      </c>
      <c r="AM20" s="7"/>
    </row>
    <row r="21" spans="1:39" x14ac:dyDescent="0.25">
      <c r="A21" s="55"/>
      <c r="B21" s="86">
        <v>10</v>
      </c>
      <c r="C21" s="237">
        <v>51</v>
      </c>
      <c r="D21" s="238">
        <v>427</v>
      </c>
      <c r="E21" s="144">
        <v>18159.999999999854</v>
      </c>
      <c r="F21" s="3">
        <v>18809764.799999848</v>
      </c>
      <c r="G21" s="57">
        <v>3880.0000000001091</v>
      </c>
      <c r="H21" s="3">
        <v>6028239.6000001701</v>
      </c>
      <c r="I21" s="141">
        <f t="shared" si="6"/>
        <v>24838004.400000017</v>
      </c>
      <c r="J21" s="144">
        <v>1920.0000000000728</v>
      </c>
      <c r="K21" s="3">
        <v>1988697.6000000753</v>
      </c>
      <c r="L21" s="3">
        <v>479.99999999979082</v>
      </c>
      <c r="M21" s="90">
        <v>745761.59999967506</v>
      </c>
      <c r="N21" s="132">
        <f t="shared" si="0"/>
        <v>2734459.1999997506</v>
      </c>
      <c r="O21" s="151">
        <f t="shared" si="7"/>
        <v>27572463.599999767</v>
      </c>
      <c r="P21" s="155">
        <f t="shared" si="1"/>
        <v>24439.999999999825</v>
      </c>
      <c r="Q21" s="185"/>
      <c r="R21" s="182"/>
      <c r="S21" s="16"/>
      <c r="T21" s="18"/>
      <c r="U21" s="44"/>
      <c r="V21" s="180">
        <f t="shared" si="2"/>
        <v>810.79000000000008</v>
      </c>
      <c r="W21" s="3">
        <v>33.82</v>
      </c>
      <c r="X21" s="3">
        <v>607762.31000000006</v>
      </c>
      <c r="Y21" s="53">
        <v>776.97</v>
      </c>
      <c r="Z21" s="53">
        <v>959665.39080000005</v>
      </c>
      <c r="AA21" s="53">
        <f t="shared" si="3"/>
        <v>1567427.7008000002</v>
      </c>
      <c r="AB21" s="173">
        <f t="shared" si="4"/>
        <v>120.79352877484668</v>
      </c>
      <c r="AC21" s="181">
        <v>112.26035999998123</v>
      </c>
      <c r="AD21" s="3">
        <v>0</v>
      </c>
      <c r="AE21" s="3">
        <v>250</v>
      </c>
      <c r="AF21" s="3">
        <v>0</v>
      </c>
      <c r="AG21" s="3">
        <f t="shared" si="8"/>
        <v>362.26035999998123</v>
      </c>
      <c r="AH21" s="3">
        <v>3654846.2705598273</v>
      </c>
      <c r="AI21" s="69">
        <f t="shared" si="9"/>
        <v>281.66005865864275</v>
      </c>
      <c r="AJ21" s="199">
        <v>338</v>
      </c>
      <c r="AK21" s="3">
        <v>3481400</v>
      </c>
      <c r="AL21" s="64">
        <f t="shared" si="5"/>
        <v>268.2934535749983</v>
      </c>
      <c r="AM21" s="7"/>
    </row>
    <row r="22" spans="1:39" x14ac:dyDescent="0.25">
      <c r="A22" s="55"/>
      <c r="B22" s="86">
        <v>11</v>
      </c>
      <c r="C22" s="237">
        <v>43</v>
      </c>
      <c r="D22" s="238">
        <v>268</v>
      </c>
      <c r="E22" s="144">
        <v>17920.000000000073</v>
      </c>
      <c r="F22" s="3">
        <v>18561177.600000076</v>
      </c>
      <c r="G22" s="57">
        <v>3680.0000000000637</v>
      </c>
      <c r="H22" s="3">
        <v>5717505.6000000993</v>
      </c>
      <c r="I22" s="141">
        <f t="shared" si="6"/>
        <v>24278683.200000174</v>
      </c>
      <c r="J22" s="144">
        <v>2059.9999999994907</v>
      </c>
      <c r="K22" s="3">
        <v>2133706.7999994722</v>
      </c>
      <c r="L22" s="3">
        <v>440.00000000005457</v>
      </c>
      <c r="M22" s="90">
        <v>683614.8000000848</v>
      </c>
      <c r="N22" s="132">
        <f t="shared" si="0"/>
        <v>2817321.5999995572</v>
      </c>
      <c r="O22" s="151">
        <f t="shared" si="7"/>
        <v>27096004.799999733</v>
      </c>
      <c r="P22" s="155">
        <f t="shared" si="1"/>
        <v>24099.99999999968</v>
      </c>
      <c r="Q22" s="185"/>
      <c r="R22" s="182"/>
      <c r="S22" s="16"/>
      <c r="T22" s="18"/>
      <c r="U22" s="44"/>
      <c r="V22" s="180">
        <f t="shared" si="2"/>
        <v>712.89</v>
      </c>
      <c r="W22" s="3">
        <v>60.52</v>
      </c>
      <c r="X22" s="3">
        <v>1087574.6600000001</v>
      </c>
      <c r="Y22" s="53">
        <v>652.37</v>
      </c>
      <c r="Z22" s="53">
        <v>287143.97520000004</v>
      </c>
      <c r="AA22" s="53">
        <f t="shared" si="3"/>
        <v>1374718.6352000001</v>
      </c>
      <c r="AB22" s="173">
        <f t="shared" si="4"/>
        <v>105.94243991834213</v>
      </c>
      <c r="AC22" s="181">
        <v>121.9275600000164</v>
      </c>
      <c r="AD22" s="3">
        <v>0</v>
      </c>
      <c r="AE22" s="3">
        <v>0</v>
      </c>
      <c r="AF22" s="3">
        <v>12</v>
      </c>
      <c r="AG22" s="3">
        <f t="shared" si="8"/>
        <v>133.9275600000164</v>
      </c>
      <c r="AH22" s="3">
        <v>1260745.8417601509</v>
      </c>
      <c r="AI22" s="69">
        <f t="shared" si="9"/>
        <v>97.159147459685528</v>
      </c>
      <c r="AJ22" s="199">
        <v>111.05000000000018</v>
      </c>
      <c r="AK22" s="3">
        <v>1143815.0000000019</v>
      </c>
      <c r="AL22" s="64">
        <f t="shared" si="5"/>
        <v>88.147893548827255</v>
      </c>
      <c r="AM22" s="7"/>
    </row>
    <row r="23" spans="1:39" x14ac:dyDescent="0.25">
      <c r="A23" s="55"/>
      <c r="B23" s="86">
        <v>12</v>
      </c>
      <c r="C23" s="237">
        <v>49</v>
      </c>
      <c r="D23" s="238">
        <v>266</v>
      </c>
      <c r="E23" s="144">
        <v>17600.000000000364</v>
      </c>
      <c r="F23" s="3">
        <v>18229728.000000376</v>
      </c>
      <c r="G23" s="57">
        <v>3799.9999999997272</v>
      </c>
      <c r="H23" s="3">
        <v>5903945.9999995762</v>
      </c>
      <c r="I23" s="141">
        <f t="shared" si="6"/>
        <v>24133673.999999952</v>
      </c>
      <c r="J23" s="145">
        <v>2079.9999999999272</v>
      </c>
      <c r="K23" s="3">
        <v>2154422.3999999245</v>
      </c>
      <c r="L23" s="3">
        <v>500</v>
      </c>
      <c r="M23" s="90">
        <v>776835</v>
      </c>
      <c r="N23" s="132">
        <f t="shared" si="0"/>
        <v>2931257.3999999245</v>
      </c>
      <c r="O23" s="151">
        <f t="shared" si="7"/>
        <v>27064931.399999876</v>
      </c>
      <c r="P23" s="155">
        <f t="shared" si="1"/>
        <v>23980.000000000018</v>
      </c>
      <c r="Q23" s="185"/>
      <c r="R23" s="183"/>
      <c r="S23" s="16"/>
      <c r="T23" s="18"/>
      <c r="U23" s="44"/>
      <c r="V23" s="180">
        <f t="shared" si="2"/>
        <v>836.60000000000014</v>
      </c>
      <c r="W23" s="3">
        <v>107.69</v>
      </c>
      <c r="X23" s="3">
        <v>1935243.145</v>
      </c>
      <c r="Y23" s="53">
        <v>728.91000000000008</v>
      </c>
      <c r="Z23" s="53">
        <v>710303.51760000002</v>
      </c>
      <c r="AA23" s="53">
        <f t="shared" si="3"/>
        <v>2645546.6625999999</v>
      </c>
      <c r="AB23" s="173">
        <f t="shared" si="4"/>
        <v>203.87856916837043</v>
      </c>
      <c r="AC23" s="181">
        <v>121.96783999999529</v>
      </c>
      <c r="AD23" s="3">
        <v>0</v>
      </c>
      <c r="AE23" s="3">
        <v>150</v>
      </c>
      <c r="AF23" s="3">
        <v>12</v>
      </c>
      <c r="AG23" s="3">
        <f t="shared" si="8"/>
        <v>283.96783999999531</v>
      </c>
      <c r="AH23" s="3">
        <v>2834616.2566399565</v>
      </c>
      <c r="AI23" s="69">
        <f t="shared" si="9"/>
        <v>218.44918281546725</v>
      </c>
      <c r="AJ23" s="199">
        <v>447.69999999998254</v>
      </c>
      <c r="AK23" s="3">
        <v>4611309.9999998203</v>
      </c>
      <c r="AL23" s="64">
        <f t="shared" si="5"/>
        <v>355.36976084473986</v>
      </c>
      <c r="AM23" s="7"/>
    </row>
    <row r="24" spans="1:39" x14ac:dyDescent="0.25">
      <c r="A24" s="55"/>
      <c r="B24" s="86">
        <v>13</v>
      </c>
      <c r="C24" s="237">
        <v>41</v>
      </c>
      <c r="D24" s="238">
        <v>281</v>
      </c>
      <c r="E24" s="144">
        <v>18439.99999999869</v>
      </c>
      <c r="F24" s="3">
        <v>19099783.199998643</v>
      </c>
      <c r="G24" s="57">
        <v>3800.0000000001819</v>
      </c>
      <c r="H24" s="3">
        <v>5903946.0000002831</v>
      </c>
      <c r="I24" s="141">
        <f t="shared" si="6"/>
        <v>25003729.199998926</v>
      </c>
      <c r="J24" s="144">
        <v>2079.9999999999272</v>
      </c>
      <c r="K24" s="3">
        <v>2154422.3999999245</v>
      </c>
      <c r="L24" s="3">
        <v>440.00000000005457</v>
      </c>
      <c r="M24" s="90">
        <v>683614.8000000848</v>
      </c>
      <c r="N24" s="132">
        <f t="shared" si="0"/>
        <v>2838037.2000000095</v>
      </c>
      <c r="O24" s="151">
        <f t="shared" si="7"/>
        <v>27841766.399998937</v>
      </c>
      <c r="P24" s="155">
        <f t="shared" si="1"/>
        <v>24759.999999998854</v>
      </c>
      <c r="Q24" s="185"/>
      <c r="R24" s="184"/>
      <c r="S24" s="16"/>
      <c r="T24" s="18"/>
      <c r="U24" s="44"/>
      <c r="V24" s="180">
        <f t="shared" si="2"/>
        <v>898.0100000000001</v>
      </c>
      <c r="W24" s="3">
        <v>41.83</v>
      </c>
      <c r="X24" s="3">
        <v>751706.01500000001</v>
      </c>
      <c r="Y24" s="53">
        <v>856.18000000000006</v>
      </c>
      <c r="Z24" s="53">
        <v>714081.72780000011</v>
      </c>
      <c r="AA24" s="53">
        <f t="shared" si="3"/>
        <v>1465787.7428000001</v>
      </c>
      <c r="AB24" s="173">
        <f t="shared" si="4"/>
        <v>112.96066402128839</v>
      </c>
      <c r="AC24" s="181">
        <v>134.21296000002812</v>
      </c>
      <c r="AD24" s="3">
        <v>0</v>
      </c>
      <c r="AE24" s="3">
        <v>0</v>
      </c>
      <c r="AF24" s="3">
        <v>12</v>
      </c>
      <c r="AG24" s="3">
        <f t="shared" si="8"/>
        <v>146.21296000002812</v>
      </c>
      <c r="AH24" s="3">
        <v>1373722.3801602586</v>
      </c>
      <c r="AI24" s="69">
        <f t="shared" si="9"/>
        <v>105.86566370611321</v>
      </c>
      <c r="AJ24" s="199">
        <v>299.56999999999971</v>
      </c>
      <c r="AK24" s="3">
        <v>3085570.9999999972</v>
      </c>
      <c r="AL24" s="64">
        <f t="shared" si="5"/>
        <v>237.78896416408926</v>
      </c>
      <c r="AM24" s="7"/>
    </row>
    <row r="25" spans="1:39" x14ac:dyDescent="0.25">
      <c r="A25" s="55"/>
      <c r="B25" s="86">
        <v>14</v>
      </c>
      <c r="C25" s="237">
        <v>40</v>
      </c>
      <c r="D25" s="238">
        <v>309</v>
      </c>
      <c r="E25" s="144">
        <v>18800.000000001091</v>
      </c>
      <c r="F25" s="3">
        <v>19472664.000001129</v>
      </c>
      <c r="G25" s="57">
        <v>3719.9999999997999</v>
      </c>
      <c r="H25" s="3">
        <v>5779652.3999996893</v>
      </c>
      <c r="I25" s="141">
        <f t="shared" si="6"/>
        <v>25252316.400000818</v>
      </c>
      <c r="J25" s="144">
        <v>1920.0000000000728</v>
      </c>
      <c r="K25" s="3">
        <v>1988697.6000000753</v>
      </c>
      <c r="L25" s="3">
        <v>460.00000000003638</v>
      </c>
      <c r="M25" s="90">
        <v>714688.20000005653</v>
      </c>
      <c r="N25" s="132">
        <f t="shared" si="0"/>
        <v>2703385.8000001321</v>
      </c>
      <c r="O25" s="151">
        <f t="shared" si="7"/>
        <v>27955702.200000949</v>
      </c>
      <c r="P25" s="155">
        <f t="shared" si="1"/>
        <v>24900.000000001</v>
      </c>
      <c r="Q25" s="185"/>
      <c r="R25" s="184"/>
      <c r="S25" s="16"/>
      <c r="T25" s="18"/>
      <c r="U25" s="44"/>
      <c r="V25" s="180">
        <f t="shared" si="2"/>
        <v>834.82</v>
      </c>
      <c r="W25" s="3">
        <v>17.8</v>
      </c>
      <c r="X25" s="3">
        <v>319874.90000000002</v>
      </c>
      <c r="Y25" s="53">
        <v>817.0200000000001</v>
      </c>
      <c r="Z25" s="53">
        <v>967221.81120000011</v>
      </c>
      <c r="AA25" s="53">
        <f t="shared" si="3"/>
        <v>1287096.7112000003</v>
      </c>
      <c r="AB25" s="173">
        <f t="shared" si="4"/>
        <v>99.189872388369707</v>
      </c>
      <c r="AC25" s="181">
        <v>112.34091999999764</v>
      </c>
      <c r="AD25" s="3">
        <v>0</v>
      </c>
      <c r="AE25" s="3">
        <v>0</v>
      </c>
      <c r="AF25" s="3">
        <v>0</v>
      </c>
      <c r="AG25" s="3">
        <f t="shared" si="8"/>
        <v>112.34091999999764</v>
      </c>
      <c r="AH25" s="3">
        <v>1033087.1003199783</v>
      </c>
      <c r="AI25" s="69">
        <f t="shared" si="9"/>
        <v>79.61466823364961</v>
      </c>
      <c r="AJ25" s="199">
        <v>480</v>
      </c>
      <c r="AK25" s="3">
        <v>4944000</v>
      </c>
      <c r="AL25" s="64">
        <f t="shared" si="5"/>
        <v>381.00845478106271</v>
      </c>
      <c r="AM25" s="7"/>
    </row>
    <row r="26" spans="1:39" x14ac:dyDescent="0.25">
      <c r="A26" s="55"/>
      <c r="B26" s="86">
        <v>15</v>
      </c>
      <c r="C26" s="237">
        <v>42</v>
      </c>
      <c r="D26" s="238">
        <v>330</v>
      </c>
      <c r="E26" s="212">
        <v>17359.999999998763</v>
      </c>
      <c r="F26" s="3">
        <v>17981140.799998719</v>
      </c>
      <c r="G26" s="57">
        <v>3840.0000000001455</v>
      </c>
      <c r="H26" s="3">
        <v>5966092.8000002261</v>
      </c>
      <c r="I26" s="141">
        <f t="shared" si="6"/>
        <v>23947233.599998944</v>
      </c>
      <c r="J26" s="144">
        <v>1940.0000000005093</v>
      </c>
      <c r="K26" s="3">
        <v>2009413.2000005275</v>
      </c>
      <c r="L26" s="3">
        <v>480.00000000001819</v>
      </c>
      <c r="M26" s="90">
        <v>745761.60000002827</v>
      </c>
      <c r="N26" s="132">
        <f t="shared" si="0"/>
        <v>2755174.8000005558</v>
      </c>
      <c r="O26" s="151">
        <f t="shared" si="7"/>
        <v>26702408.399999499</v>
      </c>
      <c r="P26" s="155">
        <f t="shared" si="1"/>
        <v>23619.999999999436</v>
      </c>
      <c r="Q26" s="185"/>
      <c r="R26" s="184"/>
      <c r="S26" s="16"/>
      <c r="T26" s="18"/>
      <c r="U26" s="44"/>
      <c r="V26" s="180">
        <f t="shared" si="2"/>
        <v>912.25</v>
      </c>
      <c r="W26" s="3">
        <v>23.14</v>
      </c>
      <c r="X26" s="3">
        <v>415837.37</v>
      </c>
      <c r="Y26" s="53">
        <v>889.11</v>
      </c>
      <c r="Z26" s="53">
        <v>1220361.8946000002</v>
      </c>
      <c r="AA26" s="53">
        <f t="shared" si="3"/>
        <v>1636199.2646000003</v>
      </c>
      <c r="AB26" s="173">
        <f t="shared" si="4"/>
        <v>126.09339674740237</v>
      </c>
      <c r="AC26" s="181">
        <v>123.1359599999695</v>
      </c>
      <c r="AD26" s="3">
        <v>0</v>
      </c>
      <c r="AE26" s="3">
        <v>0</v>
      </c>
      <c r="AF26" s="3">
        <v>12</v>
      </c>
      <c r="AG26" s="3">
        <f t="shared" si="8"/>
        <v>135.13595999996949</v>
      </c>
      <c r="AH26" s="3">
        <v>1271858.2881597194</v>
      </c>
      <c r="AI26" s="69">
        <f t="shared" si="9"/>
        <v>98.015526106841079</v>
      </c>
      <c r="AJ26" s="199">
        <v>458.70000000000073</v>
      </c>
      <c r="AK26" s="3">
        <v>4724610.0000000075</v>
      </c>
      <c r="AL26" s="64">
        <f t="shared" si="5"/>
        <v>364.10120460015361</v>
      </c>
      <c r="AM26" s="7"/>
    </row>
    <row r="27" spans="1:39" x14ac:dyDescent="0.25">
      <c r="A27" s="55"/>
      <c r="B27" s="86">
        <v>16</v>
      </c>
      <c r="C27" s="237">
        <v>52</v>
      </c>
      <c r="D27" s="238">
        <v>412</v>
      </c>
      <c r="E27" s="144">
        <v>18640.000000001237</v>
      </c>
      <c r="F27" s="3">
        <v>19306939.200001281</v>
      </c>
      <c r="G27" s="57">
        <v>3800.0000000001819</v>
      </c>
      <c r="H27" s="3">
        <v>5903946.0000002831</v>
      </c>
      <c r="I27" s="141">
        <f t="shared" si="6"/>
        <v>25210885.200001564</v>
      </c>
      <c r="J27" s="144">
        <v>2059.9999999994907</v>
      </c>
      <c r="K27" s="3">
        <v>2133706.7999994722</v>
      </c>
      <c r="L27" s="3">
        <v>439.9999999998272</v>
      </c>
      <c r="M27" s="90">
        <v>683614.79999973159</v>
      </c>
      <c r="N27" s="132">
        <f t="shared" si="0"/>
        <v>2817321.5999992038</v>
      </c>
      <c r="O27" s="151">
        <f t="shared" si="7"/>
        <v>28028206.800000768</v>
      </c>
      <c r="P27" s="155">
        <f t="shared" si="1"/>
        <v>24940.000000000735</v>
      </c>
      <c r="Q27" s="185"/>
      <c r="R27" s="184"/>
      <c r="S27" s="16"/>
      <c r="T27" s="18"/>
      <c r="U27" s="44"/>
      <c r="V27" s="180">
        <f t="shared" ref="V27:V41" si="10">W27+Y27</f>
        <v>869.53</v>
      </c>
      <c r="W27" s="3">
        <v>36.49</v>
      </c>
      <c r="X27" s="3">
        <v>655743.54500000004</v>
      </c>
      <c r="Y27" s="53">
        <v>833.04</v>
      </c>
      <c r="Z27" s="53">
        <v>952108.97040000011</v>
      </c>
      <c r="AA27" s="53">
        <f t="shared" ref="AA27:AA41" si="11">Z27+X27</f>
        <v>1607852.5154000001</v>
      </c>
      <c r="AB27" s="173">
        <f t="shared" si="4"/>
        <v>123.90885971043667</v>
      </c>
      <c r="AC27" s="181">
        <v>123.41791999999764</v>
      </c>
      <c r="AD27" s="3">
        <v>0</v>
      </c>
      <c r="AE27" s="3">
        <v>0</v>
      </c>
      <c r="AF27" s="3">
        <v>48</v>
      </c>
      <c r="AG27" s="3">
        <f t="shared" si="8"/>
        <v>171.41791999999765</v>
      </c>
      <c r="AH27" s="3">
        <v>1692951.1923199783</v>
      </c>
      <c r="AI27" s="69">
        <f t="shared" si="9"/>
        <v>130.46697366617974</v>
      </c>
      <c r="AJ27" s="199">
        <v>398.64999999999964</v>
      </c>
      <c r="AK27" s="3">
        <v>4106094.9999999963</v>
      </c>
      <c r="AL27" s="64">
        <f t="shared" si="5"/>
        <v>316.43545937181358</v>
      </c>
      <c r="AM27" s="7"/>
    </row>
    <row r="28" spans="1:39" x14ac:dyDescent="0.25">
      <c r="A28" s="55"/>
      <c r="B28" s="86">
        <v>17</v>
      </c>
      <c r="C28" s="237">
        <v>49</v>
      </c>
      <c r="D28" s="238">
        <v>454</v>
      </c>
      <c r="E28" s="144">
        <v>17639.999999999418</v>
      </c>
      <c r="F28" s="3">
        <v>18271159.199999396</v>
      </c>
      <c r="G28" s="57">
        <v>3759.9999999997635</v>
      </c>
      <c r="H28" s="3">
        <v>5841799.1999996332</v>
      </c>
      <c r="I28" s="141">
        <f t="shared" si="6"/>
        <v>24112958.39999903</v>
      </c>
      <c r="J28" s="144">
        <v>1880.0000000001091</v>
      </c>
      <c r="K28" s="3">
        <v>1947266.4000001131</v>
      </c>
      <c r="L28" s="3">
        <v>400.00000000009095</v>
      </c>
      <c r="M28" s="90">
        <v>621468.00000014133</v>
      </c>
      <c r="N28" s="132">
        <f t="shared" si="0"/>
        <v>2568734.4000002546</v>
      </c>
      <c r="O28" s="151">
        <f t="shared" si="7"/>
        <v>26681692.799999285</v>
      </c>
      <c r="P28" s="155">
        <f t="shared" si="1"/>
        <v>23679.999999999382</v>
      </c>
      <c r="Q28" s="185"/>
      <c r="R28" s="184"/>
      <c r="S28" s="16"/>
      <c r="T28" s="18"/>
      <c r="U28" s="44"/>
      <c r="V28" s="180">
        <f t="shared" si="10"/>
        <v>845.50000000000011</v>
      </c>
      <c r="W28" s="3">
        <v>48.95</v>
      </c>
      <c r="X28" s="3">
        <v>879655.97500000009</v>
      </c>
      <c r="Y28" s="53">
        <v>796.55000000000007</v>
      </c>
      <c r="Z28" s="53">
        <v>808536.98280000011</v>
      </c>
      <c r="AA28" s="53">
        <f t="shared" si="11"/>
        <v>1688192.9578000002</v>
      </c>
      <c r="AB28" s="173">
        <f t="shared" si="4"/>
        <v>130.10028119410393</v>
      </c>
      <c r="AC28" s="181">
        <v>110.08524000000702</v>
      </c>
      <c r="AD28" s="3">
        <v>0</v>
      </c>
      <c r="AE28" s="3">
        <v>100</v>
      </c>
      <c r="AF28" s="3">
        <v>12</v>
      </c>
      <c r="AG28" s="3">
        <f t="shared" si="8"/>
        <v>222.08524000000702</v>
      </c>
      <c r="AH28" s="3">
        <v>2200843.8670400647</v>
      </c>
      <c r="AI28" s="69">
        <f t="shared" si="9"/>
        <v>169.60762965115566</v>
      </c>
      <c r="AJ28" s="199">
        <v>348.5</v>
      </c>
      <c r="AK28" s="3">
        <v>3589550</v>
      </c>
      <c r="AL28" s="64">
        <f t="shared" si="5"/>
        <v>276.62801352333406</v>
      </c>
      <c r="AM28" s="7"/>
    </row>
    <row r="29" spans="1:39" x14ac:dyDescent="0.25">
      <c r="A29" s="55"/>
      <c r="B29" s="86">
        <v>18</v>
      </c>
      <c r="C29" s="237">
        <v>43</v>
      </c>
      <c r="D29" s="238">
        <v>357</v>
      </c>
      <c r="E29" s="144">
        <v>17680.000000000291</v>
      </c>
      <c r="F29" s="3">
        <v>18312590.4000003</v>
      </c>
      <c r="G29" s="57">
        <v>3840.0000000001455</v>
      </c>
      <c r="H29" s="3">
        <v>5966092.8000002261</v>
      </c>
      <c r="I29" s="141">
        <f t="shared" si="6"/>
        <v>24278683.200000525</v>
      </c>
      <c r="J29" s="144">
        <v>1820.0000000006185</v>
      </c>
      <c r="K29" s="3">
        <v>1885119.6000006406</v>
      </c>
      <c r="L29" s="3">
        <v>440.00000000005457</v>
      </c>
      <c r="M29" s="90">
        <v>683614.8000000848</v>
      </c>
      <c r="N29" s="132">
        <f t="shared" si="0"/>
        <v>2568734.4000007254</v>
      </c>
      <c r="O29" s="151">
        <f t="shared" si="7"/>
        <v>26847417.600001249</v>
      </c>
      <c r="P29" s="155">
        <f t="shared" si="1"/>
        <v>23780.00000000111</v>
      </c>
      <c r="Q29" s="185"/>
      <c r="R29" s="184"/>
      <c r="S29" s="16"/>
      <c r="T29" s="18"/>
      <c r="U29" s="44"/>
      <c r="V29" s="180">
        <f t="shared" si="10"/>
        <v>850.84</v>
      </c>
      <c r="W29" s="3">
        <v>47.17</v>
      </c>
      <c r="X29" s="3">
        <v>847668.48499999999</v>
      </c>
      <c r="Y29" s="53">
        <v>803.67000000000007</v>
      </c>
      <c r="Z29" s="53">
        <v>517614.79740000004</v>
      </c>
      <c r="AA29" s="53">
        <f t="shared" si="11"/>
        <v>1365283.2823999999</v>
      </c>
      <c r="AB29" s="173">
        <f t="shared" si="4"/>
        <v>105.2153061823708</v>
      </c>
      <c r="AC29" s="181">
        <v>118.42320000003515</v>
      </c>
      <c r="AD29" s="3">
        <v>0</v>
      </c>
      <c r="AE29" s="3">
        <v>0</v>
      </c>
      <c r="AF29" s="3">
        <v>24</v>
      </c>
      <c r="AG29" s="3">
        <f t="shared" si="8"/>
        <v>142.42320000003514</v>
      </c>
      <c r="AH29" s="3">
        <v>1368019.7472003233</v>
      </c>
      <c r="AI29" s="69">
        <f t="shared" si="9"/>
        <v>105.42619134117621</v>
      </c>
      <c r="AJ29" s="199">
        <v>397</v>
      </c>
      <c r="AK29" s="3">
        <v>4089100</v>
      </c>
      <c r="AL29" s="64">
        <f t="shared" si="5"/>
        <v>315.12574280850396</v>
      </c>
      <c r="AM29" s="7"/>
    </row>
    <row r="30" spans="1:39" x14ac:dyDescent="0.25">
      <c r="A30" s="55"/>
      <c r="B30" s="86">
        <v>19</v>
      </c>
      <c r="C30" s="237">
        <v>61</v>
      </c>
      <c r="D30" s="238">
        <v>354</v>
      </c>
      <c r="E30" s="144">
        <v>18000</v>
      </c>
      <c r="F30" s="3">
        <v>18644040</v>
      </c>
      <c r="G30" s="57">
        <v>3799.9999999997272</v>
      </c>
      <c r="H30" s="3">
        <v>5903945.9999995762</v>
      </c>
      <c r="I30" s="141">
        <f t="shared" si="6"/>
        <v>24547985.999999575</v>
      </c>
      <c r="J30" s="144">
        <v>1960.0000000000364</v>
      </c>
      <c r="K30" s="3">
        <v>2030128.8000000375</v>
      </c>
      <c r="L30" s="3">
        <v>500</v>
      </c>
      <c r="M30" s="90">
        <v>776835</v>
      </c>
      <c r="N30" s="132">
        <f t="shared" si="0"/>
        <v>2806963.8000000375</v>
      </c>
      <c r="O30" s="151">
        <f t="shared" si="7"/>
        <v>27354949.799999613</v>
      </c>
      <c r="P30" s="155">
        <f t="shared" si="1"/>
        <v>24259.999999999764</v>
      </c>
      <c r="Q30" s="185"/>
      <c r="R30" s="184"/>
      <c r="S30" s="16"/>
      <c r="T30" s="18"/>
      <c r="U30" s="44"/>
      <c r="V30" s="180">
        <f t="shared" si="10"/>
        <v>938.94999999999993</v>
      </c>
      <c r="W30" s="3">
        <v>89.89</v>
      </c>
      <c r="X30" s="3">
        <v>1615368.2450000001</v>
      </c>
      <c r="Y30" s="3">
        <v>849.06</v>
      </c>
      <c r="Z30" s="53">
        <v>487389.11580000003</v>
      </c>
      <c r="AA30" s="53">
        <f t="shared" si="11"/>
        <v>2102757.3607999999</v>
      </c>
      <c r="AB30" s="173">
        <f t="shared" si="4"/>
        <v>162.04861100685952</v>
      </c>
      <c r="AC30" s="181">
        <v>134.53519999997653</v>
      </c>
      <c r="AD30" s="3">
        <v>0</v>
      </c>
      <c r="AE30" s="3">
        <v>0</v>
      </c>
      <c r="AF30" s="3">
        <v>0</v>
      </c>
      <c r="AG30" s="3">
        <f t="shared" si="8"/>
        <v>134.53519999997653</v>
      </c>
      <c r="AH30" s="3">
        <v>1237185.6991997841</v>
      </c>
      <c r="AI30" s="69">
        <f t="shared" si="9"/>
        <v>95.343489387002094</v>
      </c>
      <c r="AJ30" s="199">
        <v>298.89999999999964</v>
      </c>
      <c r="AK30" s="3">
        <v>3078669.9999999963</v>
      </c>
      <c r="AL30" s="64">
        <f t="shared" si="5"/>
        <v>237.25713986262397</v>
      </c>
      <c r="AM30" s="7"/>
    </row>
    <row r="31" spans="1:39" x14ac:dyDescent="0.25">
      <c r="A31" s="55"/>
      <c r="B31" s="86">
        <v>20</v>
      </c>
      <c r="C31" s="237">
        <v>67</v>
      </c>
      <c r="D31" s="238">
        <v>335</v>
      </c>
      <c r="E31" s="144">
        <v>18000</v>
      </c>
      <c r="F31" s="3">
        <v>18644040</v>
      </c>
      <c r="G31" s="57">
        <v>3720.0000000002547</v>
      </c>
      <c r="H31" s="3">
        <v>5779652.4000003962</v>
      </c>
      <c r="I31" s="141">
        <f t="shared" si="6"/>
        <v>24423692.400000397</v>
      </c>
      <c r="J31" s="144">
        <v>2059.9999999994907</v>
      </c>
      <c r="K31" s="3">
        <v>2133706.7999994722</v>
      </c>
      <c r="L31" s="3">
        <v>440.00000000005457</v>
      </c>
      <c r="M31" s="90">
        <v>683614.8000000848</v>
      </c>
      <c r="N31" s="132">
        <f t="shared" si="0"/>
        <v>2817321.5999995572</v>
      </c>
      <c r="O31" s="151">
        <f t="shared" si="7"/>
        <v>27241013.999999955</v>
      </c>
      <c r="P31" s="155">
        <f t="shared" si="1"/>
        <v>24219.9999999998</v>
      </c>
      <c r="Q31" s="185"/>
      <c r="R31" s="184"/>
      <c r="S31" s="16"/>
      <c r="T31" s="18"/>
      <c r="U31" s="44"/>
      <c r="V31" s="180">
        <f t="shared" si="10"/>
        <v>878.43</v>
      </c>
      <c r="W31" s="3">
        <v>106.8</v>
      </c>
      <c r="X31" s="3">
        <v>1919249.4</v>
      </c>
      <c r="Y31" s="3">
        <v>771.63</v>
      </c>
      <c r="Z31" s="53">
        <v>494945.53620000003</v>
      </c>
      <c r="AA31" s="53">
        <f t="shared" si="11"/>
        <v>2414194.9361999999</v>
      </c>
      <c r="AB31" s="173">
        <f t="shared" si="4"/>
        <v>186.04949073257043</v>
      </c>
      <c r="AC31" s="181">
        <v>129.01683999999528</v>
      </c>
      <c r="AD31" s="3">
        <v>0</v>
      </c>
      <c r="AE31" s="3">
        <v>200</v>
      </c>
      <c r="AF31" s="3">
        <v>12</v>
      </c>
      <c r="AG31" s="3">
        <f t="shared" si="8"/>
        <v>341.01683999999528</v>
      </c>
      <c r="AH31" s="3">
        <v>3423938.8606399568</v>
      </c>
      <c r="AI31" s="69">
        <f t="shared" si="9"/>
        <v>263.86522139103204</v>
      </c>
      <c r="AJ31" s="199">
        <v>397.35000000000036</v>
      </c>
      <c r="AK31" s="3">
        <v>4092705.0000000037</v>
      </c>
      <c r="AL31" s="64">
        <f t="shared" si="5"/>
        <v>315.40356147344875</v>
      </c>
      <c r="AM31" s="7"/>
    </row>
    <row r="32" spans="1:39" x14ac:dyDescent="0.25">
      <c r="A32" s="55"/>
      <c r="B32" s="86">
        <v>21</v>
      </c>
      <c r="C32" s="237">
        <v>55</v>
      </c>
      <c r="D32" s="238">
        <v>425</v>
      </c>
      <c r="E32" s="144">
        <v>17879.9999999992</v>
      </c>
      <c r="F32" s="3">
        <v>18519746.399999171</v>
      </c>
      <c r="G32" s="57">
        <v>3920.0000000000728</v>
      </c>
      <c r="H32" s="3">
        <v>6090386.4000001131</v>
      </c>
      <c r="I32" s="141">
        <f t="shared" si="6"/>
        <v>24610132.799999285</v>
      </c>
      <c r="J32" s="144">
        <v>2079.9999999999272</v>
      </c>
      <c r="K32" s="3">
        <v>2154422.3999999245</v>
      </c>
      <c r="L32" s="3">
        <v>519.99999999998181</v>
      </c>
      <c r="M32" s="90">
        <v>807908.39999997173</v>
      </c>
      <c r="N32" s="132">
        <f t="shared" si="0"/>
        <v>2962330.7999998964</v>
      </c>
      <c r="O32" s="151">
        <f t="shared" si="7"/>
        <v>27572463.599999182</v>
      </c>
      <c r="P32" s="155">
        <f t="shared" si="1"/>
        <v>24399.999999999181</v>
      </c>
      <c r="Q32" s="185"/>
      <c r="R32" s="184"/>
      <c r="S32" s="16"/>
      <c r="T32" s="18"/>
      <c r="U32" s="44"/>
      <c r="V32" s="180">
        <f t="shared" si="10"/>
        <v>921.15000000000009</v>
      </c>
      <c r="W32" s="3">
        <v>78.320000000000007</v>
      </c>
      <c r="X32" s="3">
        <v>1407449.56</v>
      </c>
      <c r="Y32" s="3">
        <v>842.83</v>
      </c>
      <c r="Z32" s="53">
        <v>366486.38940000004</v>
      </c>
      <c r="AA32" s="53">
        <f t="shared" si="11"/>
        <v>1773935.9494</v>
      </c>
      <c r="AB32" s="173">
        <f t="shared" si="4"/>
        <v>136.70804914269246</v>
      </c>
      <c r="AC32" s="181">
        <v>138.24096000002811</v>
      </c>
      <c r="AD32" s="3">
        <v>0</v>
      </c>
      <c r="AE32" s="3">
        <v>0</v>
      </c>
      <c r="AF32" s="3">
        <v>12</v>
      </c>
      <c r="AG32" s="3">
        <f t="shared" si="8"/>
        <v>150.24096000002811</v>
      </c>
      <c r="AH32" s="3">
        <v>1410763.8681602585</v>
      </c>
      <c r="AI32" s="69">
        <f t="shared" si="9"/>
        <v>108.7202591967425</v>
      </c>
      <c r="AJ32" s="199">
        <v>565.14999999999418</v>
      </c>
      <c r="AK32" s="3">
        <v>5821044.9999999404</v>
      </c>
      <c r="AL32" s="64">
        <f t="shared" si="5"/>
        <v>448.59776712399037</v>
      </c>
      <c r="AM32" s="7"/>
    </row>
    <row r="33" spans="1:39" x14ac:dyDescent="0.25">
      <c r="A33" s="55"/>
      <c r="B33" s="86">
        <v>22</v>
      </c>
      <c r="C33" s="237">
        <v>49</v>
      </c>
      <c r="D33" s="238">
        <v>475</v>
      </c>
      <c r="E33" s="144">
        <v>18079.999999999927</v>
      </c>
      <c r="F33" s="3">
        <v>18726902.399999924</v>
      </c>
      <c r="G33" s="57">
        <v>3799.9999999997272</v>
      </c>
      <c r="H33" s="3">
        <v>5903945.9999995762</v>
      </c>
      <c r="I33" s="141">
        <f t="shared" si="6"/>
        <v>24630848.399999499</v>
      </c>
      <c r="J33" s="144">
        <v>2140.0000000003274</v>
      </c>
      <c r="K33" s="3">
        <v>2216569.2000003392</v>
      </c>
      <c r="L33" s="3">
        <v>480.00000000001819</v>
      </c>
      <c r="M33" s="90">
        <v>745761.60000002827</v>
      </c>
      <c r="N33" s="132">
        <f t="shared" si="0"/>
        <v>2962330.8000003677</v>
      </c>
      <c r="O33" s="151">
        <f t="shared" si="7"/>
        <v>27593179.199999869</v>
      </c>
      <c r="P33" s="155">
        <f t="shared" si="1"/>
        <v>24500</v>
      </c>
      <c r="Q33" s="185"/>
      <c r="R33" s="184"/>
      <c r="S33" s="16"/>
      <c r="T33" s="18"/>
      <c r="U33" s="44"/>
      <c r="V33" s="180">
        <f t="shared" si="10"/>
        <v>918.48</v>
      </c>
      <c r="W33" s="3">
        <v>59.63</v>
      </c>
      <c r="X33" s="3">
        <v>1071580.915</v>
      </c>
      <c r="Y33" s="3">
        <v>858.85</v>
      </c>
      <c r="Z33" s="53">
        <v>343817.12819999998</v>
      </c>
      <c r="AA33" s="53">
        <f t="shared" si="11"/>
        <v>1415398.0432</v>
      </c>
      <c r="AB33" s="173">
        <f t="shared" si="4"/>
        <v>109.07739104768848</v>
      </c>
      <c r="AC33" s="181">
        <v>124.38463999996013</v>
      </c>
      <c r="AD33" s="3">
        <v>0</v>
      </c>
      <c r="AE33" s="3">
        <v>0</v>
      </c>
      <c r="AF33" s="3">
        <v>0</v>
      </c>
      <c r="AG33" s="3">
        <f t="shared" si="8"/>
        <v>124.38463999996013</v>
      </c>
      <c r="AH33" s="3">
        <v>1143841.1494396334</v>
      </c>
      <c r="AI33" s="69">
        <f t="shared" si="9"/>
        <v>88.149908750604638</v>
      </c>
      <c r="AJ33" s="199">
        <v>421.79999999999927</v>
      </c>
      <c r="AK33" s="3">
        <v>4344539.9999999925</v>
      </c>
      <c r="AL33" s="64">
        <f t="shared" si="5"/>
        <v>334.81117963885828</v>
      </c>
      <c r="AM33" s="7"/>
    </row>
    <row r="34" spans="1:39" x14ac:dyDescent="0.25">
      <c r="A34" s="55"/>
      <c r="B34" s="86">
        <v>23</v>
      </c>
      <c r="C34" s="237">
        <v>59</v>
      </c>
      <c r="D34" s="238">
        <v>437</v>
      </c>
      <c r="E34" s="144">
        <v>18239.999999999782</v>
      </c>
      <c r="F34" s="3">
        <v>18892627.199999772</v>
      </c>
      <c r="G34" s="57">
        <v>3840.0000000001455</v>
      </c>
      <c r="H34" s="3">
        <v>5966092.8000002261</v>
      </c>
      <c r="I34" s="141">
        <f t="shared" si="6"/>
        <v>24858720</v>
      </c>
      <c r="J34" s="144">
        <v>2039.9999999999636</v>
      </c>
      <c r="K34" s="3">
        <v>2112991.1999999625</v>
      </c>
      <c r="L34" s="3">
        <v>519.99999999998181</v>
      </c>
      <c r="M34" s="90">
        <v>807908.39999997173</v>
      </c>
      <c r="N34" s="132">
        <f t="shared" si="0"/>
        <v>2920899.5999999344</v>
      </c>
      <c r="O34" s="151">
        <f t="shared" si="7"/>
        <v>27779619.599999934</v>
      </c>
      <c r="P34" s="155">
        <f t="shared" si="1"/>
        <v>24639.999999999873</v>
      </c>
      <c r="Q34" s="186"/>
      <c r="R34" s="184"/>
      <c r="S34" s="16"/>
      <c r="T34" s="18"/>
      <c r="U34" s="44"/>
      <c r="V34" s="180">
        <f t="shared" si="10"/>
        <v>923.82</v>
      </c>
      <c r="W34" s="3">
        <v>56.07</v>
      </c>
      <c r="X34" s="3">
        <v>1007605.9350000001</v>
      </c>
      <c r="Y34" s="3">
        <v>867.75</v>
      </c>
      <c r="Z34" s="53">
        <v>343817.12819999998</v>
      </c>
      <c r="AA34" s="53">
        <f t="shared" si="11"/>
        <v>1351423.0632</v>
      </c>
      <c r="AB34" s="173">
        <f t="shared" si="4"/>
        <v>104.14717092745195</v>
      </c>
      <c r="AC34" s="181">
        <v>121.72616000000468</v>
      </c>
      <c r="AD34" s="3">
        <v>0</v>
      </c>
      <c r="AE34" s="3">
        <v>0</v>
      </c>
      <c r="AF34" s="3">
        <v>0</v>
      </c>
      <c r="AG34" s="3">
        <f t="shared" si="8"/>
        <v>121.72616000000468</v>
      </c>
      <c r="AH34" s="3">
        <v>1119393.767360043</v>
      </c>
      <c r="AI34" s="69">
        <f t="shared" si="9"/>
        <v>86.265875726820866</v>
      </c>
      <c r="AJ34" s="199">
        <v>314.20000000001164</v>
      </c>
      <c r="AK34" s="3">
        <v>3236260.0000001201</v>
      </c>
      <c r="AL34" s="64">
        <f t="shared" si="5"/>
        <v>249.40178435877988</v>
      </c>
      <c r="AM34" s="7"/>
    </row>
    <row r="35" spans="1:39" x14ac:dyDescent="0.25">
      <c r="A35" s="55"/>
      <c r="B35" s="86">
        <v>24</v>
      </c>
      <c r="C35" s="237">
        <v>62</v>
      </c>
      <c r="D35" s="238">
        <v>448</v>
      </c>
      <c r="E35" s="144">
        <v>17800.000000001091</v>
      </c>
      <c r="F35" s="3">
        <v>18436884.000001129</v>
      </c>
      <c r="G35" s="57">
        <v>3800.0000000001819</v>
      </c>
      <c r="H35" s="3">
        <v>5903946.0000002831</v>
      </c>
      <c r="I35" s="141">
        <f t="shared" si="6"/>
        <v>24340830.000001412</v>
      </c>
      <c r="J35" s="144">
        <v>2099.9999999994543</v>
      </c>
      <c r="K35" s="3">
        <v>2175137.9999994347</v>
      </c>
      <c r="L35" s="3">
        <v>500</v>
      </c>
      <c r="M35" s="90">
        <v>776835</v>
      </c>
      <c r="N35" s="132">
        <f t="shared" si="0"/>
        <v>2951972.9999994347</v>
      </c>
      <c r="O35" s="151">
        <f t="shared" si="7"/>
        <v>27292803.000000846</v>
      </c>
      <c r="P35" s="155">
        <f t="shared" si="1"/>
        <v>24200.000000000728</v>
      </c>
      <c r="Q35" s="186"/>
      <c r="R35" s="184"/>
      <c r="S35" s="16"/>
      <c r="T35" s="18"/>
      <c r="U35" s="44"/>
      <c r="V35" s="180">
        <f t="shared" si="10"/>
        <v>973.66</v>
      </c>
      <c r="W35" s="3">
        <v>87.22</v>
      </c>
      <c r="X35" s="3">
        <v>1567387.01</v>
      </c>
      <c r="Y35" s="3">
        <v>886.43999999999994</v>
      </c>
      <c r="Z35" s="53">
        <v>510058.37700000004</v>
      </c>
      <c r="AA35" s="53">
        <f t="shared" si="11"/>
        <v>2077445.3870000001</v>
      </c>
      <c r="AB35" s="173">
        <f t="shared" si="4"/>
        <v>160.09794838044434</v>
      </c>
      <c r="AC35" s="181">
        <v>123.94156000001639</v>
      </c>
      <c r="AD35" s="3">
        <v>0</v>
      </c>
      <c r="AE35" s="3">
        <v>150</v>
      </c>
      <c r="AF35" s="3">
        <v>60</v>
      </c>
      <c r="AG35" s="3">
        <f t="shared" si="8"/>
        <v>333.94156000001641</v>
      </c>
      <c r="AH35" s="3">
        <v>3410766.585760151</v>
      </c>
      <c r="AI35" s="69">
        <f t="shared" si="9"/>
        <v>262.85010243919015</v>
      </c>
      <c r="AJ35" s="199">
        <v>346.60000000000036</v>
      </c>
      <c r="AK35" s="3">
        <v>3569980.0000000037</v>
      </c>
      <c r="AL35" s="64">
        <f t="shared" si="5"/>
        <v>275.11985505649267</v>
      </c>
      <c r="AM35" s="7"/>
    </row>
    <row r="36" spans="1:39" x14ac:dyDescent="0.25">
      <c r="A36" s="55"/>
      <c r="B36" s="86">
        <v>25</v>
      </c>
      <c r="C36" s="237">
        <v>56</v>
      </c>
      <c r="D36" s="238">
        <v>429</v>
      </c>
      <c r="E36" s="144">
        <v>17799.999999999272</v>
      </c>
      <c r="F36" s="3">
        <v>18436883.999999247</v>
      </c>
      <c r="G36" s="57">
        <v>3759.9999999997635</v>
      </c>
      <c r="H36" s="3">
        <v>5841799.1999996332</v>
      </c>
      <c r="I36" s="141">
        <f t="shared" si="6"/>
        <v>24278683.199998882</v>
      </c>
      <c r="J36" s="144">
        <v>2000</v>
      </c>
      <c r="K36" s="3">
        <v>2071560</v>
      </c>
      <c r="L36" s="3">
        <v>500</v>
      </c>
      <c r="M36" s="90">
        <v>776835</v>
      </c>
      <c r="N36" s="132">
        <f t="shared" si="0"/>
        <v>2848395</v>
      </c>
      <c r="O36" s="151">
        <f t="shared" si="7"/>
        <v>27127078.199998882</v>
      </c>
      <c r="P36" s="155">
        <f t="shared" si="1"/>
        <v>24059.999999999036</v>
      </c>
      <c r="Q36" s="186"/>
      <c r="R36" s="184"/>
      <c r="S36" s="16"/>
      <c r="T36" s="18"/>
      <c r="U36" s="44"/>
      <c r="V36" s="180">
        <f t="shared" si="10"/>
        <v>846.39</v>
      </c>
      <c r="W36" s="3">
        <v>65.86</v>
      </c>
      <c r="X36" s="3">
        <v>1183537.1299999999</v>
      </c>
      <c r="Y36" s="3">
        <v>780.53</v>
      </c>
      <c r="Z36" s="53">
        <v>472276.27500000002</v>
      </c>
      <c r="AA36" s="53">
        <f t="shared" si="11"/>
        <v>1655813.4049999998</v>
      </c>
      <c r="AB36" s="173">
        <f t="shared" si="4"/>
        <v>127.60495688608816</v>
      </c>
      <c r="AC36" s="181">
        <v>110.8505600000164</v>
      </c>
      <c r="AD36" s="3">
        <v>0</v>
      </c>
      <c r="AE36" s="3">
        <v>100</v>
      </c>
      <c r="AF36" s="3">
        <v>0</v>
      </c>
      <c r="AG36" s="3">
        <f t="shared" si="8"/>
        <v>210.8505600000164</v>
      </c>
      <c r="AH36" s="3">
        <v>2068381.7497601509</v>
      </c>
      <c r="AI36" s="69">
        <f t="shared" si="9"/>
        <v>159.39946083605699</v>
      </c>
      <c r="AJ36" s="199">
        <v>445</v>
      </c>
      <c r="AK36" s="3">
        <v>4583500</v>
      </c>
      <c r="AL36" s="64">
        <f t="shared" si="5"/>
        <v>353.22658828661019</v>
      </c>
      <c r="AM36" s="7"/>
    </row>
    <row r="37" spans="1:39" x14ac:dyDescent="0.25">
      <c r="A37" s="55"/>
      <c r="B37" s="86">
        <v>26</v>
      </c>
      <c r="C37" s="237">
        <v>56</v>
      </c>
      <c r="D37" s="238">
        <v>408</v>
      </c>
      <c r="E37" s="144">
        <v>17720.000000001164</v>
      </c>
      <c r="F37" s="3">
        <v>18354021.600001205</v>
      </c>
      <c r="G37" s="57">
        <v>3880.0000000001091</v>
      </c>
      <c r="H37" s="3">
        <v>6028239.6000001701</v>
      </c>
      <c r="I37" s="141">
        <f t="shared" si="6"/>
        <v>24382261.200001374</v>
      </c>
      <c r="J37" s="144">
        <v>1980.0000000004729</v>
      </c>
      <c r="K37" s="3">
        <v>2050844.4000004898</v>
      </c>
      <c r="L37" s="3">
        <v>480.00000000001819</v>
      </c>
      <c r="M37" s="90">
        <v>745761.60000002827</v>
      </c>
      <c r="N37" s="132">
        <f t="shared" si="0"/>
        <v>2796606.0000005178</v>
      </c>
      <c r="O37" s="151">
        <f t="shared" si="7"/>
        <v>27178867.200001892</v>
      </c>
      <c r="P37" s="155">
        <f t="shared" si="1"/>
        <v>24060.000000001764</v>
      </c>
      <c r="Q37" s="186"/>
      <c r="R37" s="184"/>
      <c r="S37" s="16"/>
      <c r="T37" s="18"/>
      <c r="U37" s="44"/>
      <c r="V37" s="180">
        <f t="shared" si="10"/>
        <v>925.6</v>
      </c>
      <c r="W37" s="3">
        <v>72.09</v>
      </c>
      <c r="X37" s="3">
        <v>1295493.345</v>
      </c>
      <c r="Y37" s="3">
        <v>853.51</v>
      </c>
      <c r="Z37" s="53">
        <v>494945.53620000003</v>
      </c>
      <c r="AA37" s="53">
        <f t="shared" si="11"/>
        <v>1790438.8811999999</v>
      </c>
      <c r="AB37" s="173">
        <f t="shared" si="4"/>
        <v>137.9798445602643</v>
      </c>
      <c r="AC37" s="181">
        <v>118.78571999996247</v>
      </c>
      <c r="AD37" s="3">
        <v>0</v>
      </c>
      <c r="AE37" s="3">
        <v>0</v>
      </c>
      <c r="AF37" s="3">
        <v>12</v>
      </c>
      <c r="AG37" s="3">
        <f t="shared" si="8"/>
        <v>130.78571999996245</v>
      </c>
      <c r="AH37" s="3">
        <v>1231853.4811196548</v>
      </c>
      <c r="AI37" s="69">
        <f t="shared" si="9"/>
        <v>94.932562976956447</v>
      </c>
      <c r="AJ37" s="199">
        <v>319.82999999999993</v>
      </c>
      <c r="AK37" s="3">
        <v>3294248.9999999991</v>
      </c>
      <c r="AL37" s="64">
        <f t="shared" si="5"/>
        <v>253.87069602630677</v>
      </c>
      <c r="AM37" s="7"/>
    </row>
    <row r="38" spans="1:39" x14ac:dyDescent="0.25">
      <c r="A38" s="55"/>
      <c r="B38" s="86">
        <v>27</v>
      </c>
      <c r="C38" s="237">
        <v>58</v>
      </c>
      <c r="D38" s="238">
        <v>415</v>
      </c>
      <c r="E38" s="144">
        <v>18159.999999999854</v>
      </c>
      <c r="F38" s="3">
        <v>18809764.799999848</v>
      </c>
      <c r="G38" s="57">
        <v>3719.9999999997999</v>
      </c>
      <c r="H38" s="3">
        <v>5779652.3999996893</v>
      </c>
      <c r="I38" s="141">
        <f t="shared" si="6"/>
        <v>24589417.199999537</v>
      </c>
      <c r="J38" s="144">
        <v>2079.9999999999272</v>
      </c>
      <c r="K38" s="3">
        <v>2154422.3999999245</v>
      </c>
      <c r="L38" s="3">
        <v>480.00000000001819</v>
      </c>
      <c r="M38" s="90">
        <v>745761.60000002827</v>
      </c>
      <c r="N38" s="132">
        <f t="shared" si="0"/>
        <v>2900183.9999999525</v>
      </c>
      <c r="O38" s="151">
        <f t="shared" si="7"/>
        <v>27489601.199999489</v>
      </c>
      <c r="P38" s="155">
        <f t="shared" si="1"/>
        <v>24439.9999999996</v>
      </c>
      <c r="Q38" s="186"/>
      <c r="R38" s="184"/>
      <c r="S38" s="16"/>
      <c r="T38" s="18"/>
      <c r="U38" s="44"/>
      <c r="V38" s="180">
        <f t="shared" si="10"/>
        <v>884.66</v>
      </c>
      <c r="W38" s="3">
        <v>60.52</v>
      </c>
      <c r="X38" s="3">
        <v>1087574.6600000001</v>
      </c>
      <c r="Y38" s="3">
        <v>824.14</v>
      </c>
      <c r="Z38" s="53">
        <v>306035.02620000002</v>
      </c>
      <c r="AA38" s="53">
        <f t="shared" si="11"/>
        <v>1393609.6862000001</v>
      </c>
      <c r="AB38" s="173">
        <f t="shared" si="4"/>
        <v>107.39827530481062</v>
      </c>
      <c r="AC38" s="181">
        <v>123.21651999998592</v>
      </c>
      <c r="AD38" s="3">
        <v>0</v>
      </c>
      <c r="AE38" s="3">
        <v>0</v>
      </c>
      <c r="AF38" s="3">
        <v>60</v>
      </c>
      <c r="AG38" s="3">
        <f t="shared" si="8"/>
        <v>183.21651999998591</v>
      </c>
      <c r="AH38" s="3">
        <v>1830599.1179198704</v>
      </c>
      <c r="AI38" s="69">
        <f t="shared" si="9"/>
        <v>141.07478584996485</v>
      </c>
      <c r="AJ38" s="199">
        <v>433.6200000000008</v>
      </c>
      <c r="AK38" s="3">
        <v>4466286.0000000084</v>
      </c>
      <c r="AL38" s="64">
        <f t="shared" si="5"/>
        <v>344.19351283784317</v>
      </c>
      <c r="AM38" s="7"/>
    </row>
    <row r="39" spans="1:39" x14ac:dyDescent="0.25">
      <c r="A39" s="55"/>
      <c r="B39" s="86">
        <v>28</v>
      </c>
      <c r="C39" s="237">
        <v>57</v>
      </c>
      <c r="D39" s="238">
        <v>444</v>
      </c>
      <c r="E39" s="144">
        <v>18319.999999999709</v>
      </c>
      <c r="F39" s="3">
        <v>18975489.5999997</v>
      </c>
      <c r="G39" s="57">
        <v>3800.0000000001819</v>
      </c>
      <c r="H39" s="3">
        <v>5903946.0000002831</v>
      </c>
      <c r="I39" s="141">
        <f t="shared" si="6"/>
        <v>24879435.599999983</v>
      </c>
      <c r="J39" s="144">
        <v>2199.9999999998181</v>
      </c>
      <c r="K39" s="3">
        <v>2278715.9999998114</v>
      </c>
      <c r="L39" s="3">
        <v>459.99999999980901</v>
      </c>
      <c r="M39" s="90">
        <v>714688.19999970333</v>
      </c>
      <c r="N39" s="132">
        <f t="shared" si="0"/>
        <v>2993404.199999515</v>
      </c>
      <c r="O39" s="151">
        <f t="shared" si="7"/>
        <v>27872839.799999498</v>
      </c>
      <c r="P39" s="155">
        <f t="shared" si="1"/>
        <v>24779.99999999952</v>
      </c>
      <c r="Q39" s="186"/>
      <c r="R39" s="184"/>
      <c r="S39" s="16"/>
      <c r="T39" s="18"/>
      <c r="U39" s="44"/>
      <c r="V39" s="180">
        <f t="shared" si="10"/>
        <v>899.79000000000008</v>
      </c>
      <c r="W39" s="3">
        <v>50.730000000000004</v>
      </c>
      <c r="X39" s="3">
        <v>911643.46500000008</v>
      </c>
      <c r="Y39" s="3">
        <v>849.06000000000006</v>
      </c>
      <c r="Z39" s="53">
        <v>249361.87320000003</v>
      </c>
      <c r="AA39" s="53">
        <f t="shared" si="11"/>
        <v>1161005.3382000001</v>
      </c>
      <c r="AB39" s="173">
        <f t="shared" si="4"/>
        <v>89.472663814754682</v>
      </c>
      <c r="AC39" s="181">
        <v>120.96084000005391</v>
      </c>
      <c r="AD39" s="3">
        <v>0</v>
      </c>
      <c r="AE39" s="3">
        <v>0</v>
      </c>
      <c r="AF39" s="3">
        <v>0</v>
      </c>
      <c r="AG39" s="3">
        <f t="shared" si="8"/>
        <v>120.96084000005391</v>
      </c>
      <c r="AH39" s="3">
        <v>1112355.8846404958</v>
      </c>
      <c r="AI39" s="69">
        <f t="shared" si="9"/>
        <v>85.72350258363619</v>
      </c>
      <c r="AJ39" s="199">
        <v>439.64000000000578</v>
      </c>
      <c r="AK39" s="3">
        <v>4528292.0000000596</v>
      </c>
      <c r="AL39" s="64">
        <f t="shared" si="5"/>
        <v>348.97199387489292</v>
      </c>
      <c r="AM39" s="7"/>
    </row>
    <row r="40" spans="1:39" x14ac:dyDescent="0.25">
      <c r="A40" s="55"/>
      <c r="B40" s="86">
        <v>29</v>
      </c>
      <c r="C40" s="237">
        <v>53</v>
      </c>
      <c r="D40" s="238">
        <v>450</v>
      </c>
      <c r="E40" s="144">
        <v>18959.999999999127</v>
      </c>
      <c r="F40" s="3">
        <v>19638388.799999095</v>
      </c>
      <c r="G40" s="57">
        <v>4079.9999999999272</v>
      </c>
      <c r="H40" s="3">
        <v>6338973.5999998869</v>
      </c>
      <c r="I40" s="141">
        <f t="shared" si="6"/>
        <v>25977362.399998982</v>
      </c>
      <c r="J40" s="144">
        <v>1900.0000000005457</v>
      </c>
      <c r="K40" s="3">
        <v>1967982.0000005651</v>
      </c>
      <c r="L40" s="3">
        <v>460.00000000003638</v>
      </c>
      <c r="M40" s="90">
        <v>714688.20000005653</v>
      </c>
      <c r="N40" s="132">
        <f t="shared" si="0"/>
        <v>2682670.2000006214</v>
      </c>
      <c r="O40" s="151">
        <f t="shared" si="7"/>
        <v>28660032.599999603</v>
      </c>
      <c r="P40" s="155">
        <f t="shared" si="1"/>
        <v>25399.999999999636</v>
      </c>
      <c r="Q40" s="185"/>
      <c r="R40" s="184"/>
      <c r="S40" s="16"/>
      <c r="T40" s="18"/>
      <c r="U40" s="44"/>
      <c r="V40" s="180">
        <f t="shared" si="10"/>
        <v>918.48</v>
      </c>
      <c r="W40" s="3">
        <v>51.62</v>
      </c>
      <c r="X40" s="3">
        <v>927637.21</v>
      </c>
      <c r="Y40" s="3">
        <v>866.86</v>
      </c>
      <c r="Z40" s="53">
        <v>15112.840800000002</v>
      </c>
      <c r="AA40" s="53">
        <f t="shared" si="11"/>
        <v>942750.05079999997</v>
      </c>
      <c r="AB40" s="173">
        <f t="shared" si="4"/>
        <v>72.652860052604439</v>
      </c>
      <c r="AC40" s="181">
        <v>118.38291999999764</v>
      </c>
      <c r="AD40" s="3">
        <v>0</v>
      </c>
      <c r="AE40" s="3">
        <v>0</v>
      </c>
      <c r="AF40" s="3">
        <v>0</v>
      </c>
      <c r="AG40" s="3">
        <f t="shared" si="8"/>
        <v>118.38291999999764</v>
      </c>
      <c r="AH40" s="3">
        <v>1088649.3323199784</v>
      </c>
      <c r="AI40" s="69">
        <f t="shared" si="9"/>
        <v>83.896561469593564</v>
      </c>
      <c r="AJ40" s="199">
        <v>425.34000000000015</v>
      </c>
      <c r="AK40" s="3">
        <v>4381002.0000000019</v>
      </c>
      <c r="AL40" s="64">
        <f t="shared" si="5"/>
        <v>337.6211169928693</v>
      </c>
      <c r="AM40" s="7"/>
    </row>
    <row r="41" spans="1:39" x14ac:dyDescent="0.25">
      <c r="A41" s="55"/>
      <c r="B41" s="86">
        <v>30</v>
      </c>
      <c r="C41" s="237">
        <v>39</v>
      </c>
      <c r="D41" s="238">
        <v>524</v>
      </c>
      <c r="E41" s="144">
        <v>19560.00000000131</v>
      </c>
      <c r="F41" s="3">
        <v>20259856.800001357</v>
      </c>
      <c r="G41" s="57">
        <v>3800.0000000001819</v>
      </c>
      <c r="H41" s="3">
        <v>5903946.0000002831</v>
      </c>
      <c r="I41" s="141">
        <f t="shared" si="6"/>
        <v>26163802.80000164</v>
      </c>
      <c r="J41" s="144">
        <v>2139.9999999994179</v>
      </c>
      <c r="K41" s="3">
        <v>2216569.1999993972</v>
      </c>
      <c r="L41" s="3">
        <v>480.00000000001819</v>
      </c>
      <c r="M41" s="90">
        <v>745761.60000002827</v>
      </c>
      <c r="N41" s="132">
        <f t="shared" si="0"/>
        <v>2962330.7999994252</v>
      </c>
      <c r="O41" s="151">
        <f t="shared" si="7"/>
        <v>29126133.600001067</v>
      </c>
      <c r="P41" s="155">
        <f t="shared" si="1"/>
        <v>25980.000000000928</v>
      </c>
      <c r="Q41" s="189"/>
      <c r="R41" s="190"/>
      <c r="S41" s="16"/>
      <c r="T41" s="18"/>
      <c r="U41" s="44"/>
      <c r="V41" s="180">
        <f t="shared" si="10"/>
        <v>906.02</v>
      </c>
      <c r="W41" s="57">
        <v>48.06</v>
      </c>
      <c r="X41" s="3">
        <v>863662.2300000001</v>
      </c>
      <c r="Y41" s="53">
        <v>857.96</v>
      </c>
      <c r="Z41" s="53">
        <v>22669.261200000001</v>
      </c>
      <c r="AA41" s="53">
        <f t="shared" si="11"/>
        <v>886331.49120000005</v>
      </c>
      <c r="AB41" s="173">
        <f t="shared" si="4"/>
        <v>68.304974086955312</v>
      </c>
      <c r="AC41" s="181">
        <v>125.31108000000233</v>
      </c>
      <c r="AD41" s="3">
        <v>0</v>
      </c>
      <c r="AE41" s="3">
        <v>0</v>
      </c>
      <c r="AF41" s="3">
        <v>36</v>
      </c>
      <c r="AG41" s="3">
        <f t="shared" si="8"/>
        <v>161.31108000000233</v>
      </c>
      <c r="AH41" s="3">
        <v>1570860.6916800216</v>
      </c>
      <c r="AI41" s="69">
        <f t="shared" si="9"/>
        <v>121.05809158845396</v>
      </c>
      <c r="AJ41" s="199">
        <v>424.18000000000029</v>
      </c>
      <c r="AK41" s="3">
        <v>4369054.0000000028</v>
      </c>
      <c r="AL41" s="64">
        <f t="shared" si="5"/>
        <v>336.70034656048182</v>
      </c>
      <c r="AM41" s="7"/>
    </row>
    <row r="42" spans="1:39" ht="16.5" thickBot="1" x14ac:dyDescent="0.3">
      <c r="A42" s="55"/>
      <c r="B42" s="167"/>
      <c r="C42" s="213"/>
      <c r="D42" s="214"/>
      <c r="E42" s="142"/>
      <c r="F42" s="142"/>
      <c r="G42" s="133"/>
      <c r="H42" s="134"/>
      <c r="I42" s="143"/>
      <c r="J42" s="146">
        <v>1960.0000000000364</v>
      </c>
      <c r="K42" s="133">
        <v>2030128.8000000375</v>
      </c>
      <c r="L42" s="134">
        <v>500</v>
      </c>
      <c r="M42" s="135">
        <v>776835</v>
      </c>
      <c r="N42" s="136"/>
      <c r="O42" s="152"/>
      <c r="P42" s="156"/>
      <c r="Q42" s="210"/>
      <c r="R42" s="211"/>
      <c r="S42" s="207"/>
      <c r="T42" s="208"/>
      <c r="U42" s="209"/>
      <c r="V42" s="20"/>
      <c r="W42" s="2"/>
      <c r="X42" s="2"/>
      <c r="Y42" s="32"/>
      <c r="Z42" s="32"/>
      <c r="AA42" s="32"/>
      <c r="AB42" s="174"/>
      <c r="AC42" s="172"/>
      <c r="AD42" s="3"/>
      <c r="AE42" s="2"/>
      <c r="AF42" s="2"/>
      <c r="AG42" s="2"/>
      <c r="AH42" s="3"/>
      <c r="AI42" s="69"/>
      <c r="AJ42" s="199"/>
      <c r="AK42" s="3"/>
      <c r="AL42" s="64"/>
      <c r="AM42" s="7"/>
    </row>
    <row r="43" spans="1:39" s="10" customFormat="1" ht="6" customHeight="1" x14ac:dyDescent="0.25">
      <c r="A43" s="27"/>
      <c r="B43" s="162"/>
      <c r="C43" s="163"/>
      <c r="D43" s="163"/>
      <c r="E43" s="161"/>
      <c r="F43" s="7"/>
      <c r="G43" s="27"/>
      <c r="H43" s="7"/>
      <c r="I43" s="27"/>
      <c r="J43" s="27"/>
      <c r="K43" s="27"/>
      <c r="L43" s="7"/>
      <c r="M43" s="91"/>
      <c r="N43" s="95"/>
      <c r="O43" s="27"/>
      <c r="P43" s="95"/>
      <c r="Q43" s="27"/>
      <c r="R43" s="120"/>
      <c r="S43" s="28">
        <f>SUM(S12:S41)</f>
        <v>0</v>
      </c>
      <c r="T43" s="27"/>
      <c r="U43" s="54"/>
      <c r="V43" s="175"/>
      <c r="W43" s="27"/>
      <c r="X43" s="27"/>
      <c r="Y43" s="27"/>
      <c r="Z43" s="27"/>
      <c r="AA43" s="27"/>
      <c r="AB43" s="54"/>
      <c r="AC43" s="27"/>
      <c r="AD43" s="7"/>
      <c r="AE43" s="27"/>
      <c r="AF43" s="27"/>
      <c r="AG43" s="27"/>
      <c r="AH43" s="27"/>
      <c r="AI43" s="27"/>
      <c r="AJ43" s="120"/>
      <c r="AK43" s="27"/>
      <c r="AL43" s="54"/>
      <c r="AM43" s="27"/>
    </row>
    <row r="44" spans="1:39" s="10" customFormat="1" ht="9.75" customHeight="1" x14ac:dyDescent="0.25">
      <c r="A44" s="27"/>
      <c r="B44" s="162"/>
      <c r="C44" s="163"/>
      <c r="D44" s="163"/>
      <c r="E44" s="161"/>
      <c r="F44" s="7"/>
      <c r="G44" s="27"/>
      <c r="H44" s="7"/>
      <c r="I44" s="27"/>
      <c r="J44" s="27"/>
      <c r="K44" s="27"/>
      <c r="L44" s="7"/>
      <c r="M44" s="91"/>
      <c r="N44" s="95"/>
      <c r="O44" s="27"/>
      <c r="P44" s="95"/>
      <c r="Q44" s="27"/>
      <c r="R44" s="120"/>
      <c r="S44" s="28"/>
      <c r="T44" s="27"/>
      <c r="U44" s="54"/>
      <c r="V44" s="175"/>
      <c r="W44" s="27"/>
      <c r="X44" s="27"/>
      <c r="Y44" s="27"/>
      <c r="Z44" s="27"/>
      <c r="AA44" s="27"/>
      <c r="AB44" s="176"/>
      <c r="AC44" s="27"/>
      <c r="AD44" s="7"/>
      <c r="AE44" s="27"/>
      <c r="AF44" s="27"/>
      <c r="AG44" s="27"/>
      <c r="AH44" s="7"/>
      <c r="AI44" s="27"/>
      <c r="AJ44" s="122"/>
      <c r="AK44" s="5"/>
      <c r="AL44" s="65"/>
      <c r="AM44" s="27"/>
    </row>
    <row r="45" spans="1:39" s="10" customFormat="1" ht="16.5" thickBot="1" x14ac:dyDescent="0.3">
      <c r="A45" s="27"/>
      <c r="B45" s="164"/>
      <c r="C45" s="165"/>
      <c r="D45" s="165"/>
      <c r="E45" s="166"/>
      <c r="F45" s="101"/>
      <c r="G45" s="100"/>
      <c r="H45" s="101"/>
      <c r="I45" s="100"/>
      <c r="J45" s="100"/>
      <c r="K45" s="100"/>
      <c r="L45" s="101"/>
      <c r="M45" s="102"/>
      <c r="N45" s="103"/>
      <c r="O45" s="100"/>
      <c r="P45" s="103"/>
      <c r="Q45" s="100"/>
      <c r="R45" s="121"/>
      <c r="S45" s="104"/>
      <c r="T45" s="100"/>
      <c r="U45" s="105"/>
      <c r="V45" s="177"/>
      <c r="W45" s="106"/>
      <c r="X45" s="100"/>
      <c r="Y45" s="100"/>
      <c r="Z45" s="100"/>
      <c r="AA45" s="100"/>
      <c r="AB45" s="105"/>
      <c r="AC45" s="107"/>
      <c r="AD45" s="101"/>
      <c r="AE45" s="107"/>
      <c r="AF45" s="107"/>
      <c r="AG45" s="107"/>
      <c r="AH45" s="101"/>
      <c r="AI45" s="100"/>
      <c r="AJ45" s="200"/>
      <c r="AK45" s="108"/>
      <c r="AL45" s="109"/>
      <c r="AM45" s="27"/>
    </row>
    <row r="46" spans="1:39" ht="17.25" thickTop="1" thickBot="1" x14ac:dyDescent="0.3">
      <c r="A46" s="46"/>
      <c r="B46" s="98"/>
      <c r="C46" s="99">
        <f>SUM(C12:C42)</f>
        <v>1720</v>
      </c>
      <c r="D46" s="99">
        <f>SUM(D12:D42)</f>
        <v>12394</v>
      </c>
      <c r="E46" s="99">
        <f t="shared" ref="E46:O46" si="12">SUM(E12:E42)</f>
        <v>544440.00000000047</v>
      </c>
      <c r="F46" s="99">
        <f>SUM(F12:F42)</f>
        <v>563920063.20000041</v>
      </c>
      <c r="G46" s="99">
        <f>SUM(G12:G42)</f>
        <v>114200.00000000026</v>
      </c>
      <c r="H46" s="99">
        <f t="shared" si="12"/>
        <v>177429114.00000042</v>
      </c>
      <c r="I46" s="99">
        <f t="shared" si="12"/>
        <v>741349177.200001</v>
      </c>
      <c r="J46" s="99">
        <f t="shared" si="12"/>
        <v>62039.999999999964</v>
      </c>
      <c r="K46" s="99">
        <f t="shared" si="12"/>
        <v>64259791.199999966</v>
      </c>
      <c r="L46" s="99">
        <f>SUM(L12:L42)</f>
        <v>14519.999999999982</v>
      </c>
      <c r="M46" s="99">
        <f>SUM(M12:M42)</f>
        <v>22559288.399999969</v>
      </c>
      <c r="N46" s="99">
        <f t="shared" si="12"/>
        <v>84012115.799999908</v>
      </c>
      <c r="O46" s="99">
        <f t="shared" si="12"/>
        <v>825361293.00000072</v>
      </c>
      <c r="P46" s="111">
        <f>SUM(P12:P42)</f>
        <v>732740.0000000007</v>
      </c>
      <c r="Q46" s="112" t="e">
        <f>#REF!</f>
        <v>#REF!</v>
      </c>
      <c r="R46" s="168" t="e">
        <f>#REF!</f>
        <v>#REF!</v>
      </c>
      <c r="S46" s="160" t="e">
        <f>Q46+P46</f>
        <v>#REF!</v>
      </c>
      <c r="T46" s="157" t="e">
        <f>R46+O46</f>
        <v>#REF!</v>
      </c>
      <c r="U46" s="193" t="e">
        <f>T46/AL47</f>
        <v>#REF!</v>
      </c>
      <c r="V46" s="78">
        <f>SUM(V12:V41)</f>
        <v>26674.190000000002</v>
      </c>
      <c r="W46" s="78">
        <f>SUM(W12:W41)</f>
        <v>1870.78</v>
      </c>
      <c r="X46" s="78">
        <f>SUM(X12:X41)</f>
        <v>33618851.989999995</v>
      </c>
      <c r="Y46" s="31">
        <f>SUM(Y12:Y42)</f>
        <v>24803.409999999993</v>
      </c>
      <c r="Z46" s="191">
        <f>SUM(Z12:Z41)</f>
        <v>19506899.262599997</v>
      </c>
      <c r="AA46" s="191">
        <f>SUM(AA12:AA41)</f>
        <v>53125751.252600014</v>
      </c>
      <c r="AB46" s="169">
        <f>AA46/$AL$47</f>
        <v>4094.1262932516661</v>
      </c>
      <c r="AC46" s="70">
        <f>SUM(AC12:AC41)</f>
        <v>3654.7252400000066</v>
      </c>
      <c r="AD46" s="194">
        <f>SUM(AD12:AD41)</f>
        <v>0</v>
      </c>
      <c r="AE46" s="70">
        <f>SUM(AE12:AE41)</f>
        <v>1250</v>
      </c>
      <c r="AF46" s="70">
        <f>SUM(AF12:AF41)</f>
        <v>516</v>
      </c>
      <c r="AG46" s="70">
        <f>SUM(AG12:AG41)</f>
        <v>5420.725240000007</v>
      </c>
      <c r="AH46" s="204">
        <f>AG46*13190</f>
        <v>71499365.915600091</v>
      </c>
      <c r="AI46" s="205">
        <f>AH46/$AL$47</f>
        <v>5510.0855431489836</v>
      </c>
      <c r="AJ46" s="201">
        <f>SUM(AJ12:AJ42)</f>
        <v>11977.559999999994</v>
      </c>
      <c r="AK46" s="202">
        <f>SUM(AK12:AK42)</f>
        <v>123368867.99999996</v>
      </c>
      <c r="AL46" s="203">
        <f>AK46/AL47</f>
        <v>9507.3992242655495</v>
      </c>
      <c r="AM46" s="46"/>
    </row>
    <row r="47" spans="1:39" s="1" customFormat="1" x14ac:dyDescent="0.25">
      <c r="A47" s="46"/>
      <c r="B47" s="46"/>
      <c r="C47" s="5"/>
      <c r="D47" s="14"/>
      <c r="E47" s="5"/>
      <c r="F47" s="5"/>
      <c r="G47" s="14"/>
      <c r="H47" s="5"/>
      <c r="I47" s="12"/>
      <c r="J47" s="12"/>
      <c r="K47" s="12"/>
      <c r="L47" s="29"/>
      <c r="M47" s="92"/>
      <c r="N47" s="96"/>
      <c r="O47" s="13"/>
      <c r="P47" s="96"/>
      <c r="Q47" s="13"/>
      <c r="R47" s="159"/>
      <c r="S47" s="24"/>
      <c r="T47" s="110" t="s">
        <v>31</v>
      </c>
      <c r="U47" s="215" t="e">
        <f>U46/S46</f>
        <v>#REF!</v>
      </c>
      <c r="V47" s="14"/>
      <c r="W47" s="14"/>
      <c r="X47" s="14"/>
      <c r="Y47" s="14"/>
      <c r="Z47" s="14"/>
      <c r="AA47" s="14"/>
      <c r="AB47" s="14"/>
      <c r="AC47" s="28"/>
      <c r="AD47" s="7"/>
      <c r="AE47" s="28"/>
      <c r="AF47" s="28"/>
      <c r="AG47" s="7"/>
      <c r="AH47" s="5"/>
      <c r="AI47" s="14"/>
      <c r="AJ47" s="122"/>
      <c r="AK47" s="14"/>
      <c r="AL47" s="206">
        <v>12976.09</v>
      </c>
      <c r="AM47" s="46"/>
    </row>
    <row r="48" spans="1:39" s="1" customFormat="1" x14ac:dyDescent="0.25">
      <c r="A48" s="46"/>
      <c r="B48" s="46"/>
      <c r="C48" s="5"/>
      <c r="D48" s="14"/>
      <c r="E48" s="5"/>
      <c r="F48" s="5"/>
      <c r="G48" s="14"/>
      <c r="H48" s="148"/>
      <c r="I48" s="12"/>
      <c r="J48" s="12"/>
      <c r="K48" s="12"/>
      <c r="L48" s="29"/>
      <c r="M48" s="92"/>
      <c r="N48" s="96"/>
      <c r="O48" s="13"/>
      <c r="P48" s="96"/>
      <c r="Q48" s="13"/>
      <c r="R48" s="159"/>
      <c r="S48" s="24"/>
      <c r="T48" s="8"/>
      <c r="U48" s="23"/>
      <c r="V48" s="14"/>
      <c r="W48" s="14"/>
      <c r="X48" s="14"/>
      <c r="Y48" s="14"/>
      <c r="Z48" s="14"/>
      <c r="AA48" s="14"/>
      <c r="AB48" s="14"/>
      <c r="AC48" s="14"/>
      <c r="AD48" s="5"/>
      <c r="AE48" s="14"/>
      <c r="AF48" s="14"/>
      <c r="AG48" s="195"/>
      <c r="AH48" s="5"/>
      <c r="AI48" s="14"/>
      <c r="AJ48" s="122"/>
      <c r="AK48" s="14"/>
      <c r="AL48" s="60"/>
      <c r="AM48" s="46"/>
    </row>
    <row r="49" spans="1:39" s="5" customFormat="1" x14ac:dyDescent="0.25">
      <c r="A49" s="7"/>
      <c r="B49" s="7"/>
      <c r="E49" s="125"/>
      <c r="F49" s="149"/>
      <c r="G49" s="117"/>
      <c r="I49" s="116"/>
      <c r="J49" s="118"/>
      <c r="K49" s="116"/>
      <c r="L49" s="118"/>
      <c r="M49" s="116"/>
      <c r="N49" s="116"/>
      <c r="O49" s="58"/>
      <c r="P49" s="96"/>
      <c r="Q49" s="29"/>
      <c r="R49" s="159"/>
      <c r="S49" s="30"/>
      <c r="T49" s="8"/>
      <c r="V49" s="11"/>
      <c r="W49" s="11"/>
      <c r="X49" s="29"/>
      <c r="Y49" s="11"/>
      <c r="Z49" s="192"/>
      <c r="AA49" s="11"/>
      <c r="AB49"/>
      <c r="AC49" s="11"/>
      <c r="AD49" s="11"/>
      <c r="AE49" s="29"/>
      <c r="AF49" s="11"/>
      <c r="AG49" s="11"/>
      <c r="AI49" s="11"/>
      <c r="AJ49" s="123"/>
      <c r="AK49" s="11"/>
      <c r="AL49" s="61"/>
      <c r="AM49" s="7"/>
    </row>
    <row r="50" spans="1:39" s="1" customFormat="1" x14ac:dyDescent="0.25">
      <c r="A50" s="45"/>
      <c r="B50" s="45"/>
      <c r="C50" s="11"/>
      <c r="D50" s="11"/>
      <c r="E50" s="11"/>
      <c r="F50" s="29"/>
      <c r="G50" s="11"/>
      <c r="H50" s="148"/>
      <c r="I50" s="29"/>
      <c r="J50" s="29"/>
      <c r="K50" s="29"/>
      <c r="M50" s="29"/>
      <c r="N50" s="96"/>
      <c r="P50" s="96"/>
      <c r="Q50" s="13"/>
      <c r="R50" s="159"/>
      <c r="S50" s="24"/>
      <c r="T50" s="8"/>
      <c r="U50" s="29"/>
      <c r="V50" s="14"/>
      <c r="W50" s="14"/>
      <c r="X50" s="14"/>
      <c r="Y50" s="14"/>
      <c r="Z50" s="9"/>
      <c r="AA50" s="9"/>
      <c r="AB50" s="14"/>
      <c r="AC50" s="14"/>
      <c r="AD50" s="5"/>
      <c r="AE50" s="14"/>
      <c r="AF50" s="14"/>
      <c r="AG50" s="14"/>
      <c r="AH50" s="5"/>
      <c r="AI50" s="14"/>
      <c r="AJ50" s="122"/>
      <c r="AK50" s="14"/>
      <c r="AL50" s="60"/>
      <c r="AM50" s="46"/>
    </row>
    <row r="51" spans="1:39" s="1" customFormat="1" ht="15" hidden="1" customHeight="1" x14ac:dyDescent="0.25">
      <c r="A51" s="46"/>
      <c r="B51" s="46"/>
      <c r="C51" s="5"/>
      <c r="D51" s="14"/>
      <c r="E51" s="5"/>
      <c r="F51" s="5"/>
      <c r="G51" s="14"/>
      <c r="H51" s="5"/>
      <c r="I51" s="12"/>
      <c r="J51" s="12"/>
      <c r="K51" s="12"/>
      <c r="L51" s="29"/>
      <c r="M51" s="92"/>
      <c r="N51" s="96"/>
      <c r="O51" s="13"/>
      <c r="P51" s="96"/>
      <c r="Q51" s="13"/>
      <c r="R51" s="159"/>
      <c r="S51" s="24"/>
      <c r="T51" s="8"/>
      <c r="U51" s="23"/>
      <c r="V51" s="14"/>
      <c r="W51" s="14"/>
      <c r="X51" s="14"/>
      <c r="Y51" s="14"/>
      <c r="Z51" s="14"/>
      <c r="AA51" s="14"/>
      <c r="AB51" s="14"/>
      <c r="AC51" s="14"/>
      <c r="AD51" s="5"/>
      <c r="AE51" s="14"/>
      <c r="AF51" s="14"/>
      <c r="AG51" s="14"/>
      <c r="AH51" s="5"/>
      <c r="AI51" s="14"/>
      <c r="AJ51" s="122"/>
      <c r="AK51" s="14"/>
      <c r="AL51" s="60"/>
      <c r="AM51" s="46"/>
    </row>
    <row r="52" spans="1:39" s="1" customFormat="1" ht="15" hidden="1" customHeight="1" x14ac:dyDescent="0.25">
      <c r="A52" s="46"/>
      <c r="B52" s="46"/>
      <c r="C52" s="5"/>
      <c r="D52" s="14"/>
      <c r="E52" s="5"/>
      <c r="F52" s="5"/>
      <c r="G52" s="14"/>
      <c r="H52" s="5"/>
      <c r="I52" s="12"/>
      <c r="J52" s="12"/>
      <c r="K52" s="12"/>
      <c r="L52" s="29"/>
      <c r="M52" s="92"/>
      <c r="N52" s="96"/>
      <c r="O52" s="13"/>
      <c r="P52" s="96"/>
      <c r="Q52" s="13"/>
      <c r="R52" s="159"/>
      <c r="S52" s="24"/>
      <c r="T52" s="8"/>
      <c r="U52" s="23"/>
      <c r="V52" s="14"/>
      <c r="W52" s="14"/>
      <c r="X52" s="14"/>
      <c r="Y52" s="14"/>
      <c r="Z52" s="14"/>
      <c r="AA52" s="14"/>
      <c r="AB52" s="14"/>
      <c r="AC52" s="14"/>
      <c r="AD52" s="5"/>
      <c r="AE52" s="14"/>
      <c r="AF52" s="14"/>
      <c r="AG52" s="14"/>
      <c r="AH52" s="5"/>
      <c r="AI52" s="14"/>
      <c r="AJ52" s="122"/>
      <c r="AK52" s="14"/>
      <c r="AL52" s="60"/>
      <c r="AM52" s="46"/>
    </row>
    <row r="53" spans="1:39" s="1" customFormat="1" ht="15" hidden="1" customHeight="1" x14ac:dyDescent="0.25">
      <c r="A53" s="46"/>
      <c r="B53" s="46"/>
      <c r="C53" s="5"/>
      <c r="D53" s="14"/>
      <c r="E53" s="5"/>
      <c r="F53" s="5"/>
      <c r="H53" s="5"/>
      <c r="I53" s="12"/>
      <c r="J53" s="12"/>
      <c r="K53" s="12"/>
      <c r="L53" s="29"/>
      <c r="M53" s="92"/>
      <c r="N53" s="96"/>
      <c r="O53" s="13"/>
      <c r="P53" s="96"/>
      <c r="Q53" s="13"/>
      <c r="R53" s="159"/>
      <c r="S53" s="24"/>
      <c r="T53" s="8"/>
      <c r="U53" s="23"/>
      <c r="V53" s="14"/>
      <c r="W53" s="14"/>
      <c r="X53" s="14"/>
      <c r="Y53" s="14"/>
      <c r="Z53" s="14"/>
      <c r="AA53" s="14"/>
      <c r="AB53" s="14"/>
      <c r="AC53" s="14"/>
      <c r="AD53" s="5"/>
      <c r="AE53" s="14"/>
      <c r="AF53" s="14"/>
      <c r="AG53" s="14"/>
      <c r="AH53" s="5"/>
      <c r="AI53" s="14"/>
      <c r="AJ53" s="122"/>
      <c r="AK53" s="14"/>
      <c r="AL53" s="60"/>
      <c r="AM53" s="46"/>
    </row>
    <row r="54" spans="1:39" x14ac:dyDescent="0.25">
      <c r="F54" s="150"/>
      <c r="M54" s="147"/>
      <c r="AK54" s="22"/>
    </row>
    <row r="55" spans="1:39" x14ac:dyDescent="0.25">
      <c r="Y55" s="26"/>
      <c r="AD55" s="4">
        <f>AD47/31</f>
        <v>0</v>
      </c>
      <c r="AH55" s="67"/>
      <c r="AK55" s="25"/>
    </row>
    <row r="56" spans="1:39" x14ac:dyDescent="0.25">
      <c r="H56" s="127"/>
      <c r="I56" s="25"/>
    </row>
  </sheetData>
  <mergeCells count="17">
    <mergeCell ref="AC9:AI9"/>
    <mergeCell ref="E8:U8"/>
    <mergeCell ref="B7:AL7"/>
    <mergeCell ref="P9:P10"/>
    <mergeCell ref="Q9:Q10"/>
    <mergeCell ref="R9:R10"/>
    <mergeCell ref="S9:S10"/>
    <mergeCell ref="T9:U9"/>
    <mergeCell ref="AA9:AB9"/>
    <mergeCell ref="B8:B10"/>
    <mergeCell ref="C8:C10"/>
    <mergeCell ref="D8:D10"/>
    <mergeCell ref="J9:N9"/>
    <mergeCell ref="E9:I9"/>
    <mergeCell ref="O9:O10"/>
    <mergeCell ref="V8:AB8"/>
    <mergeCell ref="AC8:AL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6" sqref="F2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47" t="s">
        <v>30</v>
      </c>
    </row>
    <row r="2" spans="1:3" ht="18.75" x14ac:dyDescent="0.3">
      <c r="A2" s="273">
        <v>43770</v>
      </c>
      <c r="B2" s="274"/>
      <c r="C2" s="274"/>
    </row>
    <row r="3" spans="1:3" x14ac:dyDescent="0.25">
      <c r="A3" s="276" t="s">
        <v>1</v>
      </c>
      <c r="B3" s="275" t="s">
        <v>2</v>
      </c>
      <c r="C3" s="275" t="s">
        <v>3</v>
      </c>
    </row>
    <row r="4" spans="1:3" x14ac:dyDescent="0.25">
      <c r="A4" s="276"/>
      <c r="B4" s="275"/>
      <c r="C4" s="275"/>
    </row>
    <row r="5" spans="1:3" x14ac:dyDescent="0.25">
      <c r="A5" s="276"/>
      <c r="B5" s="275"/>
      <c r="C5" s="275"/>
    </row>
    <row r="6" spans="1:3" x14ac:dyDescent="0.25">
      <c r="A6" s="2">
        <v>1</v>
      </c>
      <c r="B6" s="237">
        <v>55</v>
      </c>
      <c r="C6" s="238">
        <v>497</v>
      </c>
    </row>
    <row r="7" spans="1:3" x14ac:dyDescent="0.25">
      <c r="A7" s="2">
        <v>2</v>
      </c>
      <c r="B7" s="237">
        <v>51</v>
      </c>
      <c r="C7" s="238">
        <v>419</v>
      </c>
    </row>
    <row r="8" spans="1:3" x14ac:dyDescent="0.25">
      <c r="A8" s="2">
        <f>A7+1</f>
        <v>3</v>
      </c>
      <c r="B8" s="237">
        <v>47</v>
      </c>
      <c r="C8" s="238">
        <v>390</v>
      </c>
    </row>
    <row r="9" spans="1:3" x14ac:dyDescent="0.25">
      <c r="A9" s="2">
        <f>A8+1</f>
        <v>4</v>
      </c>
      <c r="B9" s="237">
        <v>62</v>
      </c>
      <c r="C9" s="238">
        <v>439</v>
      </c>
    </row>
    <row r="10" spans="1:3" x14ac:dyDescent="0.25">
      <c r="A10" s="2">
        <f t="shared" ref="A10:A35" si="0">A9+1</f>
        <v>5</v>
      </c>
      <c r="B10" s="237">
        <v>89</v>
      </c>
      <c r="C10" s="238">
        <v>464</v>
      </c>
    </row>
    <row r="11" spans="1:3" x14ac:dyDescent="0.25">
      <c r="A11" s="2">
        <f t="shared" si="0"/>
        <v>6</v>
      </c>
      <c r="B11" s="237">
        <v>96</v>
      </c>
      <c r="C11" s="238">
        <v>473</v>
      </c>
    </row>
    <row r="12" spans="1:3" x14ac:dyDescent="0.25">
      <c r="A12" s="2">
        <f t="shared" si="0"/>
        <v>7</v>
      </c>
      <c r="B12" s="237">
        <v>98</v>
      </c>
      <c r="C12" s="238">
        <v>520</v>
      </c>
    </row>
    <row r="13" spans="1:3" x14ac:dyDescent="0.25">
      <c r="A13" s="2">
        <f t="shared" si="0"/>
        <v>8</v>
      </c>
      <c r="B13" s="237">
        <v>72</v>
      </c>
      <c r="C13" s="238">
        <v>465</v>
      </c>
    </row>
    <row r="14" spans="1:3" x14ac:dyDescent="0.25">
      <c r="A14" s="2">
        <f t="shared" si="0"/>
        <v>9</v>
      </c>
      <c r="B14" s="237">
        <v>68</v>
      </c>
      <c r="C14" s="238">
        <v>479</v>
      </c>
    </row>
    <row r="15" spans="1:3" x14ac:dyDescent="0.25">
      <c r="A15" s="2">
        <f t="shared" si="0"/>
        <v>10</v>
      </c>
      <c r="B15" s="237">
        <v>51</v>
      </c>
      <c r="C15" s="238">
        <v>427</v>
      </c>
    </row>
    <row r="16" spans="1:3" x14ac:dyDescent="0.25">
      <c r="A16" s="2">
        <f t="shared" si="0"/>
        <v>11</v>
      </c>
      <c r="B16" s="237">
        <v>43</v>
      </c>
      <c r="C16" s="238">
        <v>268</v>
      </c>
    </row>
    <row r="17" spans="1:3" x14ac:dyDescent="0.25">
      <c r="A17" s="2">
        <f t="shared" si="0"/>
        <v>12</v>
      </c>
      <c r="B17" s="237">
        <v>49</v>
      </c>
      <c r="C17" s="238">
        <v>266</v>
      </c>
    </row>
    <row r="18" spans="1:3" x14ac:dyDescent="0.25">
      <c r="A18" s="2">
        <f t="shared" si="0"/>
        <v>13</v>
      </c>
      <c r="B18" s="237">
        <v>41</v>
      </c>
      <c r="C18" s="238">
        <v>281</v>
      </c>
    </row>
    <row r="19" spans="1:3" x14ac:dyDescent="0.25">
      <c r="A19" s="2">
        <f t="shared" si="0"/>
        <v>14</v>
      </c>
      <c r="B19" s="237">
        <v>40</v>
      </c>
      <c r="C19" s="238">
        <v>309</v>
      </c>
    </row>
    <row r="20" spans="1:3" x14ac:dyDescent="0.25">
      <c r="A20" s="2">
        <f t="shared" si="0"/>
        <v>15</v>
      </c>
      <c r="B20" s="237">
        <v>42</v>
      </c>
      <c r="C20" s="238">
        <v>330</v>
      </c>
    </row>
    <row r="21" spans="1:3" x14ac:dyDescent="0.25">
      <c r="A21" s="2">
        <f t="shared" si="0"/>
        <v>16</v>
      </c>
      <c r="B21" s="237">
        <v>52</v>
      </c>
      <c r="C21" s="238">
        <v>412</v>
      </c>
    </row>
    <row r="22" spans="1:3" x14ac:dyDescent="0.25">
      <c r="A22" s="2">
        <f t="shared" si="0"/>
        <v>17</v>
      </c>
      <c r="B22" s="237">
        <v>49</v>
      </c>
      <c r="C22" s="238">
        <v>454</v>
      </c>
    </row>
    <row r="23" spans="1:3" x14ac:dyDescent="0.25">
      <c r="A23" s="2">
        <f t="shared" si="0"/>
        <v>18</v>
      </c>
      <c r="B23" s="237">
        <v>43</v>
      </c>
      <c r="C23" s="238">
        <v>357</v>
      </c>
    </row>
    <row r="24" spans="1:3" x14ac:dyDescent="0.25">
      <c r="A24" s="2">
        <f t="shared" si="0"/>
        <v>19</v>
      </c>
      <c r="B24" s="237">
        <v>61</v>
      </c>
      <c r="C24" s="238">
        <v>354</v>
      </c>
    </row>
    <row r="25" spans="1:3" x14ac:dyDescent="0.25">
      <c r="A25" s="2">
        <f t="shared" si="0"/>
        <v>20</v>
      </c>
      <c r="B25" s="237">
        <v>67</v>
      </c>
      <c r="C25" s="238">
        <v>335</v>
      </c>
    </row>
    <row r="26" spans="1:3" x14ac:dyDescent="0.25">
      <c r="A26" s="2">
        <f t="shared" si="0"/>
        <v>21</v>
      </c>
      <c r="B26" s="237">
        <v>55</v>
      </c>
      <c r="C26" s="238">
        <v>425</v>
      </c>
    </row>
    <row r="27" spans="1:3" x14ac:dyDescent="0.25">
      <c r="A27" s="2">
        <f t="shared" si="0"/>
        <v>22</v>
      </c>
      <c r="B27" s="237">
        <v>49</v>
      </c>
      <c r="C27" s="238">
        <v>475</v>
      </c>
    </row>
    <row r="28" spans="1:3" x14ac:dyDescent="0.25">
      <c r="A28" s="2">
        <f t="shared" si="0"/>
        <v>23</v>
      </c>
      <c r="B28" s="237">
        <v>59</v>
      </c>
      <c r="C28" s="238">
        <v>437</v>
      </c>
    </row>
    <row r="29" spans="1:3" x14ac:dyDescent="0.25">
      <c r="A29" s="2">
        <f t="shared" si="0"/>
        <v>24</v>
      </c>
      <c r="B29" s="237">
        <v>62</v>
      </c>
      <c r="C29" s="238">
        <v>448</v>
      </c>
    </row>
    <row r="30" spans="1:3" x14ac:dyDescent="0.25">
      <c r="A30" s="2">
        <f t="shared" si="0"/>
        <v>25</v>
      </c>
      <c r="B30" s="237">
        <v>56</v>
      </c>
      <c r="C30" s="238">
        <v>429</v>
      </c>
    </row>
    <row r="31" spans="1:3" x14ac:dyDescent="0.25">
      <c r="A31" s="2">
        <f t="shared" si="0"/>
        <v>26</v>
      </c>
      <c r="B31" s="237">
        <v>56</v>
      </c>
      <c r="C31" s="238">
        <v>408</v>
      </c>
    </row>
    <row r="32" spans="1:3" x14ac:dyDescent="0.25">
      <c r="A32" s="2">
        <f t="shared" si="0"/>
        <v>27</v>
      </c>
      <c r="B32" s="237">
        <v>58</v>
      </c>
      <c r="C32" s="238">
        <v>415</v>
      </c>
    </row>
    <row r="33" spans="1:3" x14ac:dyDescent="0.25">
      <c r="A33" s="2">
        <f t="shared" si="0"/>
        <v>28</v>
      </c>
      <c r="B33" s="237">
        <v>57</v>
      </c>
      <c r="C33" s="238">
        <v>444</v>
      </c>
    </row>
    <row r="34" spans="1:3" x14ac:dyDescent="0.25">
      <c r="A34" s="2">
        <f t="shared" si="0"/>
        <v>29</v>
      </c>
      <c r="B34" s="237">
        <v>53</v>
      </c>
      <c r="C34" s="238">
        <v>450</v>
      </c>
    </row>
    <row r="35" spans="1:3" x14ac:dyDescent="0.25">
      <c r="A35" s="2">
        <f t="shared" si="0"/>
        <v>30</v>
      </c>
      <c r="B35" s="237">
        <v>39</v>
      </c>
      <c r="C35" s="238">
        <v>524</v>
      </c>
    </row>
    <row r="37" spans="1:3" x14ac:dyDescent="0.25">
      <c r="B37" s="6">
        <f>SUM(B6:B36)</f>
        <v>1720</v>
      </c>
      <c r="C37" s="6">
        <f>SUM(C6:C36)</f>
        <v>12394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a2b08d59-ce98-408b-b7f1-7ea559ce0d5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8C03E5D5-4F10-456C-9E0B-86777E174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November 2019</vt:lpstr>
      <vt:lpstr>RNs &amp; Covers November 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2022-06-06T13:01:25Z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