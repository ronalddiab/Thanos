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320" documentId="13_ncr:1_{A150F12E-A5F3-4ABD-A7D4-FF6BD82385D6}" xr6:coauthVersionLast="47" xr6:coauthVersionMax="47" xr10:uidLastSave="{AA432438-C4D3-473F-A522-D2D88A843D1F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8" i="1" l="1"/>
  <c r="AF19" i="1"/>
  <c r="AF20" i="1"/>
  <c r="AF21" i="1"/>
  <c r="AF22" i="1"/>
  <c r="AF23" i="1"/>
  <c r="AF24" i="1"/>
  <c r="AD18" i="1"/>
  <c r="AD19" i="1"/>
  <c r="AD20" i="1"/>
  <c r="AD21" i="1"/>
  <c r="AD22" i="1"/>
  <c r="AD23" i="1"/>
  <c r="AD24" i="1"/>
  <c r="AB18" i="1"/>
  <c r="AB19" i="1"/>
  <c r="AB20" i="1"/>
  <c r="AB21" i="1"/>
  <c r="AB22" i="1"/>
  <c r="AB23" i="1"/>
  <c r="AB24" i="1"/>
  <c r="Z18" i="1"/>
  <c r="Z19" i="1"/>
  <c r="Z20" i="1"/>
  <c r="Z21" i="1"/>
  <c r="Z22" i="1"/>
  <c r="Z23" i="1"/>
  <c r="Z24" i="1"/>
  <c r="U18" i="1"/>
  <c r="U19" i="1"/>
  <c r="U20" i="1"/>
  <c r="U21" i="1"/>
  <c r="U22" i="1"/>
  <c r="U23" i="1"/>
  <c r="U24" i="1"/>
  <c r="Q18" i="1"/>
  <c r="Q19" i="1"/>
  <c r="Q20" i="1"/>
  <c r="Q21" i="1"/>
  <c r="Q22" i="1"/>
  <c r="Q23" i="1"/>
  <c r="Q24" i="1"/>
  <c r="O18" i="1"/>
  <c r="O19" i="1"/>
  <c r="O20" i="1"/>
  <c r="O21" i="1"/>
  <c r="O22" i="1"/>
  <c r="O23" i="1"/>
  <c r="O24" i="1"/>
  <c r="M18" i="1"/>
  <c r="M19" i="1"/>
  <c r="M20" i="1"/>
  <c r="M21" i="1"/>
  <c r="M22" i="1"/>
  <c r="M23" i="1"/>
  <c r="M24" i="1"/>
  <c r="K18" i="1"/>
  <c r="K19" i="1"/>
  <c r="K20" i="1"/>
  <c r="K21" i="1"/>
  <c r="K22" i="1"/>
  <c r="K23" i="1"/>
  <c r="K24" i="1"/>
  <c r="G18" i="1"/>
  <c r="G19" i="1"/>
  <c r="G20" i="1"/>
  <c r="G21" i="1"/>
  <c r="G22" i="1"/>
  <c r="G23" i="1"/>
  <c r="G24" i="1"/>
  <c r="E18" i="1"/>
  <c r="E19" i="1"/>
  <c r="E20" i="1"/>
  <c r="E21" i="1"/>
  <c r="E22" i="1"/>
  <c r="E23" i="1"/>
  <c r="E24" i="1"/>
  <c r="C18" i="1"/>
  <c r="C19" i="1"/>
  <c r="C20" i="1"/>
  <c r="C21" i="1"/>
  <c r="C22" i="1"/>
  <c r="C23" i="1"/>
  <c r="C24" i="1"/>
  <c r="AI28" i="1"/>
  <c r="AI29" i="1"/>
  <c r="AF11" i="1"/>
  <c r="AF12" i="1"/>
  <c r="AF13" i="1"/>
  <c r="AF14" i="1"/>
  <c r="AF15" i="1"/>
  <c r="AF16" i="1"/>
  <c r="AF17" i="1"/>
  <c r="AD11" i="1"/>
  <c r="AD12" i="1"/>
  <c r="AD13" i="1"/>
  <c r="AD14" i="1"/>
  <c r="AD15" i="1"/>
  <c r="AD16" i="1"/>
  <c r="AD17" i="1"/>
  <c r="AB11" i="1"/>
  <c r="AB12" i="1"/>
  <c r="AB13" i="1"/>
  <c r="AB14" i="1"/>
  <c r="AB15" i="1"/>
  <c r="AB16" i="1"/>
  <c r="AB17" i="1"/>
  <c r="U11" i="1"/>
  <c r="U12" i="1"/>
  <c r="U13" i="1"/>
  <c r="U14" i="1"/>
  <c r="U15" i="1"/>
  <c r="U16" i="1"/>
  <c r="U17" i="1"/>
  <c r="Q11" i="1"/>
  <c r="Q12" i="1"/>
  <c r="Q13" i="1"/>
  <c r="Q14" i="1"/>
  <c r="Q15" i="1"/>
  <c r="Q16" i="1"/>
  <c r="Q17" i="1"/>
  <c r="O11" i="1"/>
  <c r="O12" i="1"/>
  <c r="O13" i="1"/>
  <c r="O14" i="1"/>
  <c r="O15" i="1"/>
  <c r="O16" i="1"/>
  <c r="O17" i="1"/>
  <c r="M11" i="1"/>
  <c r="M12" i="1"/>
  <c r="M13" i="1"/>
  <c r="M14" i="1"/>
  <c r="M15" i="1"/>
  <c r="M16" i="1"/>
  <c r="M17" i="1"/>
  <c r="K11" i="1"/>
  <c r="K12" i="1"/>
  <c r="K13" i="1"/>
  <c r="K14" i="1"/>
  <c r="K15" i="1"/>
  <c r="K16" i="1"/>
  <c r="K17" i="1"/>
  <c r="G11" i="1"/>
  <c r="G12" i="1"/>
  <c r="G13" i="1"/>
  <c r="G14" i="1"/>
  <c r="G15" i="1"/>
  <c r="G16" i="1"/>
  <c r="G17" i="1"/>
  <c r="E11" i="1"/>
  <c r="E12" i="1"/>
  <c r="E13" i="1"/>
  <c r="E14" i="1"/>
  <c r="E15" i="1"/>
  <c r="E16" i="1"/>
  <c r="E17" i="1"/>
  <c r="C11" i="1"/>
  <c r="C12" i="1"/>
  <c r="C13" i="1"/>
  <c r="C14" i="1"/>
  <c r="C15" i="1"/>
  <c r="C16" i="1"/>
  <c r="C17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F10" i="1"/>
  <c r="AD10" i="1"/>
  <c r="AI4" i="1" l="1"/>
  <c r="AI5" i="1"/>
  <c r="AI6" i="1"/>
  <c r="AI7" i="1"/>
  <c r="AI8" i="1"/>
  <c r="AI9" i="1"/>
  <c r="AF4" i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AB10" i="1"/>
  <c r="U4" i="1"/>
  <c r="U5" i="1"/>
  <c r="U6" i="1"/>
  <c r="U7" i="1"/>
  <c r="U8" i="1"/>
  <c r="U9" i="1"/>
  <c r="U10" i="1"/>
  <c r="Q4" i="1"/>
  <c r="Q5" i="1"/>
  <c r="Q6" i="1"/>
  <c r="Q7" i="1"/>
  <c r="Q8" i="1"/>
  <c r="Q9" i="1"/>
  <c r="Q10" i="1"/>
  <c r="O4" i="1"/>
  <c r="O5" i="1"/>
  <c r="O6" i="1"/>
  <c r="O7" i="1"/>
  <c r="O8" i="1"/>
  <c r="O9" i="1"/>
  <c r="O10" i="1"/>
  <c r="M4" i="1"/>
  <c r="M5" i="1"/>
  <c r="M6" i="1"/>
  <c r="M7" i="1"/>
  <c r="M8" i="1"/>
  <c r="M9" i="1"/>
  <c r="M10" i="1"/>
  <c r="K4" i="1"/>
  <c r="K5" i="1"/>
  <c r="K6" i="1"/>
  <c r="K7" i="1"/>
  <c r="K8" i="1"/>
  <c r="K9" i="1"/>
  <c r="K10" i="1"/>
  <c r="G4" i="1"/>
  <c r="G5" i="1"/>
  <c r="G6" i="1"/>
  <c r="G7" i="1"/>
  <c r="G8" i="1"/>
  <c r="G9" i="1"/>
  <c r="G10" i="1"/>
  <c r="E4" i="1"/>
  <c r="E5" i="1"/>
  <c r="E6" i="1"/>
  <c r="E7" i="1"/>
  <c r="E8" i="1"/>
  <c r="E9" i="1"/>
  <c r="E10" i="1"/>
  <c r="C4" i="1"/>
  <c r="C5" i="1"/>
  <c r="C6" i="1"/>
  <c r="C7" i="1"/>
  <c r="C8" i="1"/>
  <c r="C9" i="1"/>
  <c r="C10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33" i="1" l="1"/>
  <c r="X4" i="1"/>
  <c r="X5" i="1"/>
  <c r="X6" i="1"/>
  <c r="X7" i="1"/>
  <c r="Z7" i="1" s="1"/>
  <c r="X8" i="1"/>
  <c r="X9" i="1"/>
  <c r="Z9" i="1" s="1"/>
  <c r="X10" i="1"/>
  <c r="X11" i="1"/>
  <c r="X12" i="1"/>
  <c r="X13" i="1"/>
  <c r="Z13" i="1" s="1"/>
  <c r="X14" i="1"/>
  <c r="X15" i="1"/>
  <c r="Z15" i="1" s="1"/>
  <c r="X16" i="1"/>
  <c r="X17" i="1"/>
  <c r="Z17" i="1" s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4" i="1" l="1"/>
  <c r="G14" i="2" s="1"/>
  <c r="Z16" i="1"/>
  <c r="Z12" i="1"/>
  <c r="G12" i="2" s="1"/>
  <c r="Z11" i="1"/>
  <c r="Z10" i="1"/>
  <c r="Z6" i="1"/>
  <c r="Z4" i="1"/>
  <c r="G4" i="2" s="1"/>
  <c r="Z5" i="1"/>
  <c r="Z8" i="1"/>
  <c r="G18" i="2"/>
  <c r="G29" i="2"/>
  <c r="G22" i="2"/>
  <c r="G21" i="2"/>
  <c r="G27" i="2"/>
  <c r="G20" i="2"/>
  <c r="G10" i="2"/>
  <c r="G7" i="2"/>
  <c r="G25" i="2"/>
  <c r="G17" i="2"/>
  <c r="G13" i="2"/>
  <c r="G28" i="2"/>
  <c r="G24" i="2"/>
  <c r="G19" i="2"/>
  <c r="G16" i="2"/>
  <c r="G8" i="2"/>
  <c r="G6" i="2"/>
  <c r="G5" i="2"/>
  <c r="G23" i="2"/>
  <c r="G11" i="2"/>
  <c r="G9" i="2"/>
  <c r="G26" i="2"/>
  <c r="G15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<sst xmlns="http://schemas.openxmlformats.org/spreadsheetml/2006/main" count="79" uniqueCount="41">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</sst>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/>
    </xf>
    <xf numFmtId="3" fontId="33" fillId="10" borderId="33" xfId="0" applyNumberFormat="1" applyFont="1" applyFill="1" applyBorder="1" applyAlignment="1">
      <alignment horizontal="center"/>
    </xf>
    <xf numFmtId="3" fontId="33" fillId="10" borderId="24" xfId="0" applyNumberFormat="1" applyFont="1" applyFill="1" applyBorder="1" applyAlignment="1">
      <alignment horizontal="center"/>
    </xf>
    <xf numFmtId="1" fontId="35" fillId="0" borderId="0" xfId="0" applyNumberFormat="1" applyFont="1" applyAlignment="1">
      <alignment horizontal="center" vertical="center"/>
    </xf>
    <xf numFmtId="1" fontId="35" fillId="0" borderId="32" xfId="0" applyNumberFormat="1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3" fontId="34" fillId="9" borderId="25" xfId="0" applyNumberFormat="1" applyFont="1" applyFill="1" applyBorder="1" applyAlignment="1">
      <alignment horizontal="center"/>
    </xf>
    <xf numFmtId="1" fontId="35" fillId="0" borderId="32" xfId="0" applyNumberFormat="1" applyFont="1" applyBorder="1" applyAlignment="1">
      <alignment horizontal="center" vertical="center"/>
    </xf>
    <xf numFmtId="3" fontId="34" fillId="9" borderId="35" xfId="0" applyNumberFormat="1" applyFont="1" applyFill="1" applyBorder="1" applyAlignment="1">
      <alignment horizontal="center"/>
    </xf>
    <xf numFmtId="0" fontId="35" fillId="0" borderId="0" xfId="0" applyFont="1"/>
    <xf numFmtId="3" fontId="33" fillId="10" borderId="25" xfId="0" applyNumberFormat="1" applyFont="1" applyFill="1" applyBorder="1" applyAlignment="1">
      <alignment horizontal="center"/>
    </xf>
    <xf numFmtId="3" fontId="33" fillId="11" borderId="34" xfId="0" applyNumberFormat="1" applyFont="1" applyFill="1" applyBorder="1" applyAlignment="1">
      <alignment horizontal="center"/>
    </xf>
    <xf numFmtId="3" fontId="33" fillId="13" borderId="34" xfId="0" applyNumberFormat="1" applyFont="1" applyFill="1" applyBorder="1" applyAlignment="1">
      <alignment horizontal="center"/>
    </xf>
    <xf numFmtId="3" fontId="36" fillId="14" borderId="24" xfId="0" applyNumberFormat="1" applyFont="1" applyFill="1" applyBorder="1" applyAlignment="1">
      <alignment horizontal="center"/>
    </xf>
    <xf numFmtId="3" fontId="34" fillId="12" borderId="24" xfId="0" applyNumberFormat="1" applyFont="1" applyFill="1" applyBorder="1" applyAlignment="1">
      <alignment horizontal="center"/>
    </xf>
    <xf numFmtId="1" fontId="34" fillId="15" borderId="30" xfId="0" applyNumberFormat="1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3" fontId="33" fillId="16" borderId="24" xfId="0" applyNumberFormat="1" applyFont="1" applyFill="1" applyBorder="1" applyAlignment="1">
      <alignment horizontal="center"/>
    </xf>
    <xf numFmtId="3" fontId="36" fillId="16" borderId="24" xfId="0" applyNumberFormat="1" applyFont="1" applyFill="1" applyBorder="1" applyAlignment="1">
      <alignment horizontal="center"/>
    </xf>
    <xf numFmtId="3" fontId="33" fillId="17" borderId="24" xfId="0" applyNumberFormat="1" applyFont="1" applyFill="1" applyBorder="1" applyAlignment="1">
      <alignment horizontal="center"/>
    </xf>
    <xf numFmtId="1" fontId="33" fillId="18" borderId="30" xfId="0" applyNumberFormat="1" applyFont="1" applyFill="1" applyBorder="1" applyAlignment="1">
      <alignment horizontal="center"/>
    </xf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41" fillId="2" borderId="23" xfId="0" applyNumberFormat="1" applyFont="1" applyFill="1" applyBorder="1" applyAlignment="1">
      <alignment horizontal="center"/>
    </xf>
    <xf numFmtId="3" fontId="41" fillId="2" borderId="31" xfId="0" applyNumberFormat="1" applyFont="1" applyFill="1" applyBorder="1" applyAlignment="1">
      <alignment horizontal="center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42" fillId="2" borderId="6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/>
    </xf>
    <xf numFmtId="3" fontId="12" fillId="2" borderId="15" xfId="0" applyNumberFormat="1" applyFont="1" applyFill="1" applyBorder="1" applyAlignment="1">
      <alignment horizontal="center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4"/>
  <sheetViews>
    <sheetView workbookViewId="0">
      <selection activeCell="A2" sqref="A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7" customWidth="1"/>
    <col min="6" max="6" width="12.5703125" style="59" customWidth="1"/>
    <col min="7" max="7" width="8.85546875" style="62"/>
    <col min="8" max="8" width="8.85546875" style="64"/>
    <col min="9" max="10" width="8.85546875" style="68"/>
    <col min="11" max="12" width="12.28515625" style="72" bestFit="1" customWidth="1"/>
    <col min="13" max="13" width="8.85546875" style="75"/>
    <col min="14" max="14" width="11.5703125" style="75" customWidth="1"/>
    <col min="15" max="16384" width="8.85546875" style="5"/>
  </cols>
  <sheetData>
    <row r="1" spans="1:14" ht="75.75" thickBot="1" x14ac:dyDescent="0.25">
      <c r="A1" s="54" t="s">
        <v>0</v>
      </c>
      <c r="B1" s="54" t="s">
        <v>1</v>
      </c>
      <c r="C1" s="76" t="s">
        <v>2</v>
      </c>
      <c r="D1" s="76" t="s">
        <v>3</v>
      </c>
      <c r="E1" s="55" t="s">
        <v>4</v>
      </c>
      <c r="F1" s="56" t="s">
        <v>5</v>
      </c>
      <c r="G1" s="60" t="s">
        <v>6</v>
      </c>
      <c r="H1" s="61" t="s">
        <v>40</v>
      </c>
      <c r="I1" s="65" t="s">
        <v>7</v>
      </c>
      <c r="J1" s="65" t="s">
        <v>8</v>
      </c>
      <c r="K1" s="69" t="s">
        <v>9</v>
      </c>
      <c r="L1" s="69" t="s">
        <v>10</v>
      </c>
      <c r="M1" s="73" t="s">
        <v>11</v>
      </c>
      <c r="N1" s="73" t="s">
        <v>12</v>
      </c>
    </row>
    <row r="2" spans="1:14" ht="15.75" thickTop="1" x14ac:dyDescent="0.25">
      <c r="A2" s="53" t="s">
        <v>13</v>
      </c>
      <c r="B2" s="5">
        <v>1</v>
      </c>
      <c r="C2" s="77">
        <v>2</v>
      </c>
      <c r="D2" s="78">
        <v>2025</v>
      </c>
      <c r="E2" s="57">
        <f>IF(ALMYRA!H2&lt;0,"0",ALMYRA!H2)</f>
        <v>983.00000000007276</v>
      </c>
      <c r="F2" s="58">
        <f>(ALMYRA!C2*0.24)/E2</f>
        <v>0.15991861648015093</v>
      </c>
      <c r="G2" s="62">
        <f>ALMYRA!Z2</f>
        <v>0</v>
      </c>
      <c r="H2" s="63">
        <v>0.65800000000000003</v>
      </c>
      <c r="I2" s="66">
        <f>IF(ALMYRA!AB2&lt;0,"0",ALMYRA!AB2)</f>
        <v>5</v>
      </c>
      <c r="J2" s="67">
        <v>2.4</v>
      </c>
      <c r="K2" s="70">
        <f>ALMYRA!U2</f>
        <v>0</v>
      </c>
      <c r="L2" s="71">
        <v>0.88</v>
      </c>
      <c r="M2" s="74">
        <f>ALMYRA!AJ2</f>
        <v>0</v>
      </c>
      <c r="N2" s="74">
        <f>ALMYRA!AK2</f>
        <v>0</v>
      </c>
    </row>
    <row r="3" spans="1:14" ht="15" x14ac:dyDescent="0.25">
      <c r="A3" s="53" t="s">
        <v>13</v>
      </c>
      <c r="B3" s="5">
        <f>B2+1</f>
        <v>2</v>
      </c>
      <c r="C3" s="77">
        <v>2</v>
      </c>
      <c r="D3" s="78">
        <v>2025</v>
      </c>
      <c r="E3" s="57">
        <f>IF(ALMYRA!H3&lt;0,"0",ALMYRA!H3)</f>
        <v>982.99999999985448</v>
      </c>
      <c r="F3" s="58">
        <f>(ALMYRA!C3*0.24)/E3</f>
        <v>0.15991861648018643</v>
      </c>
      <c r="G3" s="62">
        <f>ALMYRA!Z3</f>
        <v>0</v>
      </c>
      <c r="H3" s="63">
        <v>0.65800000000000003</v>
      </c>
      <c r="I3" s="66">
        <f>IF(ALMYRA!AB3&lt;0,"0",ALMYRA!AB3)</f>
        <v>5</v>
      </c>
      <c r="J3" s="67">
        <v>2.4</v>
      </c>
      <c r="K3" s="70">
        <f>ALMYRA!U3</f>
        <v>0</v>
      </c>
      <c r="L3" s="71">
        <v>0.88</v>
      </c>
      <c r="M3" s="74">
        <f>ALMYRA!AJ3</f>
        <v>0</v>
      </c>
      <c r="N3" s="74">
        <f>ALMYRA!AK3</f>
        <v>0</v>
      </c>
    </row>
    <row r="4" spans="1:14" ht="15" x14ac:dyDescent="0.25">
      <c r="A4" s="53" t="s">
        <v>13</v>
      </c>
      <c r="B4" s="5">
        <f t="shared" ref="B4:B29" si="0">B3+1</f>
        <v>3</v>
      </c>
      <c r="C4" s="77">
        <v>2</v>
      </c>
      <c r="D4" s="78">
        <v>2025</v>
      </c>
      <c r="E4" s="57">
        <f>IF(ALMYRA!H4&lt;0,"0",ALMYRA!H4)</f>
        <v>1118</v>
      </c>
      <c r="F4" s="58">
        <f>(ALMYRA!C4*0.24)/E4</f>
        <v>0.13974955277280857</v>
      </c>
      <c r="G4" s="62">
        <f>ALMYRA!Z4</f>
        <v>0</v>
      </c>
      <c r="H4" s="63">
        <v>0.65800000000000003</v>
      </c>
      <c r="I4" s="66">
        <f>IF(ALMYRA!AB4&lt;0,"0",ALMYRA!AB4)</f>
        <v>7</v>
      </c>
      <c r="J4" s="67">
        <v>2.4</v>
      </c>
      <c r="K4" s="70">
        <f>ALMYRA!U4</f>
        <v>0</v>
      </c>
      <c r="L4" s="71">
        <v>0.88</v>
      </c>
      <c r="M4" s="74">
        <f>ALMYRA!AJ4</f>
        <v>0</v>
      </c>
      <c r="N4" s="74">
        <f>ALMYRA!AK4</f>
        <v>0</v>
      </c>
    </row>
    <row r="5" spans="1:14" ht="15" x14ac:dyDescent="0.25">
      <c r="A5" s="53" t="s">
        <v>13</v>
      </c>
      <c r="B5" s="5">
        <f t="shared" si="0"/>
        <v>4</v>
      </c>
      <c r="C5" s="77">
        <v>2</v>
      </c>
      <c r="D5" s="78">
        <v>2025</v>
      </c>
      <c r="E5" s="57">
        <f>IF(ALMYRA!H5&lt;0,"0",ALMYRA!H5)</f>
        <v>1150</v>
      </c>
      <c r="F5" s="58">
        <f>(ALMYRA!C5*0.24)/E5</f>
        <v>0.13627826086956521</v>
      </c>
      <c r="G5" s="62">
        <f>ALMYRA!Z5</f>
        <v>0</v>
      </c>
      <c r="H5" s="63">
        <v>0.65800000000000003</v>
      </c>
      <c r="I5" s="66">
        <f>IF(ALMYRA!AB5&lt;0,"0",ALMYRA!AB5)</f>
        <v>14</v>
      </c>
      <c r="J5" s="67">
        <v>2.4</v>
      </c>
      <c r="K5" s="70">
        <f>ALMYRA!U5</f>
        <v>0</v>
      </c>
      <c r="L5" s="71">
        <v>0.88</v>
      </c>
      <c r="M5" s="74">
        <f>ALMYRA!AJ5</f>
        <v>0</v>
      </c>
      <c r="N5" s="74">
        <f>ALMYRA!AK5</f>
        <v>0</v>
      </c>
    </row>
    <row r="6" spans="1:14" ht="15" x14ac:dyDescent="0.25">
      <c r="A6" s="53" t="s">
        <v>13</v>
      </c>
      <c r="B6" s="5">
        <f t="shared" si="0"/>
        <v>5</v>
      </c>
      <c r="C6" s="77">
        <v>2</v>
      </c>
      <c r="D6" s="78">
        <v>2025</v>
      </c>
      <c r="E6" s="57">
        <f>IF(ALMYRA!H6&lt;0,"0",ALMYRA!H6)</f>
        <v>1104</v>
      </c>
      <c r="F6" s="58">
        <f>(ALMYRA!C6*0.24)/E6</f>
        <v>0.14326086956521739</v>
      </c>
      <c r="G6" s="62">
        <f>ALMYRA!Z6</f>
        <v>0</v>
      </c>
      <c r="H6" s="63">
        <v>0.65800000000000003</v>
      </c>
      <c r="I6" s="66">
        <f>IF(ALMYRA!AB6&lt;0,"0",ALMYRA!AB6)</f>
        <v>9</v>
      </c>
      <c r="J6" s="67">
        <v>2.4</v>
      </c>
      <c r="K6" s="70">
        <f>ALMYRA!U6</f>
        <v>0</v>
      </c>
      <c r="L6" s="71">
        <v>0.88</v>
      </c>
      <c r="M6" s="74">
        <f>ALMYRA!AJ6</f>
        <v>0</v>
      </c>
      <c r="N6" s="74">
        <f>ALMYRA!AK6</f>
        <v>0</v>
      </c>
    </row>
    <row r="7" spans="1:14" ht="15" x14ac:dyDescent="0.25">
      <c r="A7" s="53" t="s">
        <v>13</v>
      </c>
      <c r="B7" s="5">
        <f t="shared" si="0"/>
        <v>6</v>
      </c>
      <c r="C7" s="77">
        <v>2</v>
      </c>
      <c r="D7" s="78">
        <v>2025</v>
      </c>
      <c r="E7" s="57">
        <f>IF(ALMYRA!H7&lt;0,"0",ALMYRA!H7)</f>
        <v>1097</v>
      </c>
      <c r="F7" s="58">
        <f>(ALMYRA!C7*0.24)/E7</f>
        <v>0.12842297174111211</v>
      </c>
      <c r="G7" s="62">
        <f>ALMYRA!Z7</f>
        <v>0</v>
      </c>
      <c r="H7" s="63">
        <v>0.65800000000000003</v>
      </c>
      <c r="I7" s="66">
        <f>IF(ALMYRA!AB7&lt;0,"0",ALMYRA!AB7)</f>
        <v>6</v>
      </c>
      <c r="J7" s="67">
        <v>2.4</v>
      </c>
      <c r="K7" s="70">
        <f>ALMYRA!U7</f>
        <v>0</v>
      </c>
      <c r="L7" s="71">
        <v>0.88</v>
      </c>
      <c r="M7" s="74">
        <f>ALMYRA!AJ7</f>
        <v>0</v>
      </c>
      <c r="N7" s="74">
        <f>ALMYRA!AK7</f>
        <v>0</v>
      </c>
    </row>
    <row r="8" spans="1:14" ht="15" x14ac:dyDescent="0.25">
      <c r="A8" s="53" t="s">
        <v>13</v>
      </c>
      <c r="B8" s="5">
        <f t="shared" si="0"/>
        <v>7</v>
      </c>
      <c r="C8" s="77">
        <v>2</v>
      </c>
      <c r="D8" s="78">
        <v>2025</v>
      </c>
      <c r="E8" s="57">
        <f>IF(ALMYRA!H8&lt;0,"0",ALMYRA!H8)</f>
        <v>1021.9999999986903</v>
      </c>
      <c r="F8" s="58">
        <f>(ALMYRA!C8*0.24)/E8</f>
        <v>0.14121330724059383</v>
      </c>
      <c r="G8" s="62">
        <f>ALMYRA!Z8</f>
        <v>0</v>
      </c>
      <c r="H8" s="63">
        <v>0.65800000000000003</v>
      </c>
      <c r="I8" s="66">
        <f>IF(ALMYRA!AB8&lt;0,"0",ALMYRA!AB8)</f>
        <v>15.666666666671517</v>
      </c>
      <c r="J8" s="67">
        <v>2.4</v>
      </c>
      <c r="K8" s="70">
        <f>ALMYRA!U8</f>
        <v>0</v>
      </c>
      <c r="L8" s="71">
        <v>0.88</v>
      </c>
      <c r="M8" s="74">
        <f>ALMYRA!AJ8</f>
        <v>0</v>
      </c>
      <c r="N8" s="74">
        <f>ALMYRA!AK8</f>
        <v>0</v>
      </c>
    </row>
    <row r="9" spans="1:14" ht="15" x14ac:dyDescent="0.25">
      <c r="A9" s="53" t="s">
        <v>13</v>
      </c>
      <c r="B9" s="5">
        <f t="shared" si="0"/>
        <v>8</v>
      </c>
      <c r="C9" s="77">
        <v>2</v>
      </c>
      <c r="D9" s="78">
        <v>2025</v>
      </c>
      <c r="E9" s="57">
        <f>IF(ALMYRA!H9&lt;0,"0",ALMYRA!H9)</f>
        <v>1021.9999999986903</v>
      </c>
      <c r="F9" s="58">
        <f>(ALMYRA!C9*0.24)/E9</f>
        <v>0.14121330724059383</v>
      </c>
      <c r="G9" s="62">
        <f>ALMYRA!Z9</f>
        <v>0</v>
      </c>
      <c r="H9" s="63">
        <v>0.65800000000000003</v>
      </c>
      <c r="I9" s="66">
        <f>IF(ALMYRA!AB9&lt;0,"0",ALMYRA!AB9)</f>
        <v>15.666666666671517</v>
      </c>
      <c r="J9" s="67">
        <v>2.4</v>
      </c>
      <c r="K9" s="70">
        <f>ALMYRA!U9</f>
        <v>0</v>
      </c>
      <c r="L9" s="71">
        <v>0.88</v>
      </c>
      <c r="M9" s="74">
        <f>ALMYRA!AJ9</f>
        <v>0</v>
      </c>
      <c r="N9" s="74">
        <f>ALMYRA!AK9</f>
        <v>0</v>
      </c>
    </row>
    <row r="10" spans="1:14" ht="15" x14ac:dyDescent="0.25">
      <c r="A10" s="53" t="s">
        <v>13</v>
      </c>
      <c r="B10" s="5">
        <f t="shared" si="0"/>
        <v>9</v>
      </c>
      <c r="C10" s="77">
        <v>2</v>
      </c>
      <c r="D10" s="78">
        <v>2025</v>
      </c>
      <c r="E10" s="57">
        <f>IF(ALMYRA!H10&lt;0,"0",ALMYRA!H10)</f>
        <v>1022.0000000026193</v>
      </c>
      <c r="F10" s="58">
        <f>(ALMYRA!C10*0.24)/E10</f>
        <v>0.14121330724092579</v>
      </c>
      <c r="G10" s="62">
        <f>ALMYRA!Z10</f>
        <v>0</v>
      </c>
      <c r="H10" s="63">
        <v>0.65800000000000003</v>
      </c>
      <c r="I10" s="66">
        <f>IF(ALMYRA!AB10&lt;0,"0",ALMYRA!AB10)</f>
        <v>15.666666666656965</v>
      </c>
      <c r="J10" s="67">
        <v>2.4</v>
      </c>
      <c r="K10" s="70">
        <f>ALMYRA!U10</f>
        <v>0</v>
      </c>
      <c r="L10" s="71">
        <v>0.88</v>
      </c>
      <c r="M10" s="74">
        <f>ALMYRA!AJ10</f>
        <v>0</v>
      </c>
      <c r="N10" s="74">
        <f>ALMYRA!AK10</f>
        <v>0</v>
      </c>
    </row>
    <row r="11" spans="1:14" ht="15" x14ac:dyDescent="0.25">
      <c r="A11" s="53" t="s">
        <v>13</v>
      </c>
      <c r="B11" s="5">
        <f t="shared" si="0"/>
        <v>10</v>
      </c>
      <c r="C11" s="77">
        <v>2</v>
      </c>
      <c r="D11" s="78">
        <v>2025</v>
      </c>
      <c r="E11" s="57">
        <f>IF(ALMYRA!H11&lt;0,"0",ALMYRA!H11)</f>
        <v>1199</v>
      </c>
      <c r="F11" s="58">
        <f>(ALMYRA!C11*0.24)/E11</f>
        <v>0.13551292743953294</v>
      </c>
      <c r="G11" s="62">
        <f>ALMYRA!Z11</f>
        <v>0</v>
      </c>
      <c r="H11" s="63">
        <v>0.65800000000000003</v>
      </c>
      <c r="I11" s="66">
        <f>IF(ALMYRA!AB11&lt;0,"0",ALMYRA!AB11)</f>
        <v>16</v>
      </c>
      <c r="J11" s="67">
        <v>2.4</v>
      </c>
      <c r="K11" s="70">
        <f>ALMYRA!U11</f>
        <v>0</v>
      </c>
      <c r="L11" s="71">
        <v>0.88</v>
      </c>
      <c r="M11" s="74">
        <f>ALMYRA!AJ11</f>
        <v>0</v>
      </c>
      <c r="N11" s="74">
        <f>ALMYRA!AK11</f>
        <v>0</v>
      </c>
    </row>
    <row r="12" spans="1:14" ht="15" x14ac:dyDescent="0.25">
      <c r="A12" s="53" t="s">
        <v>13</v>
      </c>
      <c r="B12" s="5">
        <f t="shared" si="0"/>
        <v>11</v>
      </c>
      <c r="C12" s="77">
        <v>2</v>
      </c>
      <c r="D12" s="78">
        <v>2025</v>
      </c>
      <c r="E12" s="57">
        <f>IF(ALMYRA!H12&lt;0,"0",ALMYRA!H12)</f>
        <v>1164</v>
      </c>
      <c r="F12" s="58">
        <f>(ALMYRA!C12*0.24)/E12</f>
        <v>0.13670103092783506</v>
      </c>
      <c r="G12" s="62">
        <f>ALMYRA!Z12</f>
        <v>0</v>
      </c>
      <c r="H12" s="63">
        <v>0.65800000000000003</v>
      </c>
      <c r="I12" s="66">
        <f>IF(ALMYRA!AB12&lt;0,"0",ALMYRA!AB12)</f>
        <v>24</v>
      </c>
      <c r="J12" s="67">
        <v>2.4</v>
      </c>
      <c r="K12" s="70">
        <f>ALMYRA!U12</f>
        <v>0</v>
      </c>
      <c r="L12" s="71">
        <v>0.88</v>
      </c>
      <c r="M12" s="74">
        <f>ALMYRA!AJ12</f>
        <v>0</v>
      </c>
      <c r="N12" s="74">
        <f>ALMYRA!AK12</f>
        <v>0</v>
      </c>
    </row>
    <row r="13" spans="1:14" ht="15" x14ac:dyDescent="0.25">
      <c r="A13" s="53" t="s">
        <v>13</v>
      </c>
      <c r="B13" s="5">
        <f t="shared" si="0"/>
        <v>12</v>
      </c>
      <c r="C13" s="77">
        <v>2</v>
      </c>
      <c r="D13" s="78">
        <v>2025</v>
      </c>
      <c r="E13" s="57">
        <f>IF(ALMYRA!H13&lt;0,"0",ALMYRA!H13)</f>
        <v>1736</v>
      </c>
      <c r="F13" s="58">
        <f>(ALMYRA!C13*0.24)/E13</f>
        <v>9.0414746543778804E-2</v>
      </c>
      <c r="G13" s="62">
        <f>ALMYRA!Z13</f>
        <v>0</v>
      </c>
      <c r="H13" s="63">
        <v>0.65800000000000003</v>
      </c>
      <c r="I13" s="66">
        <f>IF(ALMYRA!AB13&lt;0,"0",ALMYRA!AB13)</f>
        <v>40</v>
      </c>
      <c r="J13" s="67">
        <v>2.4</v>
      </c>
      <c r="K13" s="70">
        <f>ALMYRA!U13</f>
        <v>0</v>
      </c>
      <c r="L13" s="71">
        <v>0.88</v>
      </c>
      <c r="M13" s="74">
        <f>ALMYRA!AJ13</f>
        <v>0</v>
      </c>
      <c r="N13" s="74">
        <f>ALMYRA!AK13</f>
        <v>0</v>
      </c>
    </row>
    <row r="14" spans="1:14" ht="15" x14ac:dyDescent="0.25">
      <c r="A14" s="53" t="s">
        <v>13</v>
      </c>
      <c r="B14" s="5">
        <f t="shared" si="0"/>
        <v>13</v>
      </c>
      <c r="C14" s="77">
        <v>2</v>
      </c>
      <c r="D14" s="78">
        <v>2025</v>
      </c>
      <c r="E14" s="57">
        <f>IF(ALMYRA!H14&lt;0,"0",ALMYRA!H14)</f>
        <v>546</v>
      </c>
      <c r="F14" s="58">
        <f>(ALMYRA!C14*0.24)/E14</f>
        <v>0.25758241758241757</v>
      </c>
      <c r="G14" s="62">
        <f>ALMYRA!Z14</f>
        <v>0</v>
      </c>
      <c r="H14" s="63">
        <v>0.65800000000000003</v>
      </c>
      <c r="I14" s="66">
        <f>IF(ALMYRA!AB14&lt;0,"0",ALMYRA!AB14)</f>
        <v>31</v>
      </c>
      <c r="J14" s="67">
        <v>2.4</v>
      </c>
      <c r="K14" s="70">
        <f>ALMYRA!U14</f>
        <v>0</v>
      </c>
      <c r="L14" s="71">
        <v>0.88</v>
      </c>
      <c r="M14" s="74">
        <f>ALMYRA!AJ14</f>
        <v>0</v>
      </c>
      <c r="N14" s="74">
        <f>ALMYRA!AK14</f>
        <v>0</v>
      </c>
    </row>
    <row r="15" spans="1:14" ht="15" x14ac:dyDescent="0.25">
      <c r="A15" s="53" t="s">
        <v>13</v>
      </c>
      <c r="B15" s="5">
        <f t="shared" si="0"/>
        <v>14</v>
      </c>
      <c r="C15" s="77">
        <v>2</v>
      </c>
      <c r="D15" s="78">
        <v>2025</v>
      </c>
      <c r="E15" s="57">
        <f>IF(ALMYRA!H15&lt;0,"0",ALMYRA!H15)</f>
        <v>1019.6666666654346</v>
      </c>
      <c r="F15" s="58">
        <f>(ALMYRA!C15*0.24)/E15</f>
        <v>0.13447531873148186</v>
      </c>
      <c r="G15" s="62">
        <f>ALMYRA!Z15</f>
        <v>0</v>
      </c>
      <c r="H15" s="63">
        <v>0.65800000000000003</v>
      </c>
      <c r="I15" s="66">
        <f>IF(ALMYRA!AB15&lt;0,"0",ALMYRA!AB15)</f>
        <v>21</v>
      </c>
      <c r="J15" s="67">
        <v>2.4</v>
      </c>
      <c r="K15" s="70">
        <f>ALMYRA!U15</f>
        <v>0</v>
      </c>
      <c r="L15" s="71">
        <v>0.88</v>
      </c>
      <c r="M15" s="74">
        <f>ALMYRA!AJ15</f>
        <v>0</v>
      </c>
      <c r="N15" s="74">
        <f>ALMYRA!AK15</f>
        <v>0</v>
      </c>
    </row>
    <row r="16" spans="1:14" ht="15" x14ac:dyDescent="0.25">
      <c r="A16" s="53" t="s">
        <v>13</v>
      </c>
      <c r="B16" s="5">
        <f t="shared" si="0"/>
        <v>15</v>
      </c>
      <c r="C16" s="77">
        <v>2</v>
      </c>
      <c r="D16" s="78">
        <v>2025</v>
      </c>
      <c r="E16" s="57">
        <f>IF(ALMYRA!H16&lt;0,"0",ALMYRA!H16)</f>
        <v>1019.6666666654346</v>
      </c>
      <c r="F16" s="58">
        <f>(ALMYRA!C16*0.24)/E16</f>
        <v>0.13447531873148186</v>
      </c>
      <c r="G16" s="62">
        <f>ALMYRA!Z16</f>
        <v>0</v>
      </c>
      <c r="H16" s="63">
        <v>0.65800000000000003</v>
      </c>
      <c r="I16" s="66">
        <f>IF(ALMYRA!AB16&lt;0,"0",ALMYRA!AB16)</f>
        <v>21</v>
      </c>
      <c r="J16" s="67">
        <v>2.4</v>
      </c>
      <c r="K16" s="70">
        <f>ALMYRA!U16</f>
        <v>0</v>
      </c>
      <c r="L16" s="71">
        <v>0.88</v>
      </c>
      <c r="M16" s="74">
        <f>ALMYRA!AJ16</f>
        <v>0</v>
      </c>
      <c r="N16" s="74">
        <f>ALMYRA!AK16</f>
        <v>0</v>
      </c>
    </row>
    <row r="17" spans="1:14" ht="15" x14ac:dyDescent="0.25">
      <c r="A17" s="53" t="s">
        <v>13</v>
      </c>
      <c r="B17" s="5">
        <f t="shared" si="0"/>
        <v>16</v>
      </c>
      <c r="C17" s="77">
        <v>2</v>
      </c>
      <c r="D17" s="78">
        <v>2025</v>
      </c>
      <c r="E17" s="57">
        <f>IF(ALMYRA!H17&lt;0,"0",ALMYRA!H17)</f>
        <v>1019.6666666691308</v>
      </c>
      <c r="F17" s="58">
        <f>(ALMYRA!C17*0.24)/E17</f>
        <v>0.13447531873187121</v>
      </c>
      <c r="G17" s="62">
        <f>ALMYRA!Z17</f>
        <v>0</v>
      </c>
      <c r="H17" s="63">
        <v>0.65800000000000003</v>
      </c>
      <c r="I17" s="66">
        <f>IF(ALMYRA!AB17&lt;0,"0",ALMYRA!AB17)</f>
        <v>21</v>
      </c>
      <c r="J17" s="67">
        <v>2.4</v>
      </c>
      <c r="K17" s="70">
        <f>ALMYRA!U17</f>
        <v>0</v>
      </c>
      <c r="L17" s="71">
        <v>0.88</v>
      </c>
      <c r="M17" s="74">
        <f>ALMYRA!AJ17</f>
        <v>0</v>
      </c>
      <c r="N17" s="74">
        <f>ALMYRA!AK17</f>
        <v>0</v>
      </c>
    </row>
    <row r="18" spans="1:14" ht="15" x14ac:dyDescent="0.25">
      <c r="A18" s="53" t="s">
        <v>13</v>
      </c>
      <c r="B18" s="5">
        <f t="shared" si="0"/>
        <v>17</v>
      </c>
      <c r="C18" s="77">
        <v>2</v>
      </c>
      <c r="D18" s="78">
        <v>2025</v>
      </c>
      <c r="E18" s="57">
        <f>IF(ALMYRA!H18&lt;0,"0",ALMYRA!H18)</f>
        <v>1180</v>
      </c>
      <c r="F18" s="58">
        <f>(ALMYRA!C18*0.24)/E18</f>
        <v>0.1350508474576271</v>
      </c>
      <c r="G18" s="62">
        <f>ALMYRA!Z18</f>
        <v>0</v>
      </c>
      <c r="H18" s="63">
        <v>0.65800000000000003</v>
      </c>
      <c r="I18" s="66">
        <f>IF(ALMYRA!AB18&lt;0,"0",ALMYRA!AB18)</f>
        <v>26</v>
      </c>
      <c r="J18" s="67">
        <v>2.4</v>
      </c>
      <c r="K18" s="70">
        <f>ALMYRA!U18</f>
        <v>0</v>
      </c>
      <c r="L18" s="71">
        <v>0.88</v>
      </c>
      <c r="M18" s="74">
        <f>ALMYRA!AJ18</f>
        <v>0</v>
      </c>
      <c r="N18" s="74">
        <f>ALMYRA!AK18</f>
        <v>0</v>
      </c>
    </row>
    <row r="19" spans="1:14" ht="15" x14ac:dyDescent="0.25">
      <c r="A19" s="53" t="s">
        <v>13</v>
      </c>
      <c r="B19" s="5">
        <f t="shared" si="0"/>
        <v>18</v>
      </c>
      <c r="C19" s="77">
        <v>2</v>
      </c>
      <c r="D19" s="78">
        <v>2025</v>
      </c>
      <c r="E19" s="57">
        <f>IF(ALMYRA!H19&lt;0,"0",ALMYRA!H19)</f>
        <v>1258</v>
      </c>
      <c r="F19" s="58">
        <f>(ALMYRA!C19*0.24)/E19</f>
        <v>0.15853736089030207</v>
      </c>
      <c r="G19" s="62">
        <f>ALMYRA!Z19</f>
        <v>0</v>
      </c>
      <c r="H19" s="63">
        <v>0.65800000000000003</v>
      </c>
      <c r="I19" s="66">
        <f>IF(ALMYRA!AB19&lt;0,"0",ALMYRA!AB19)</f>
        <v>20</v>
      </c>
      <c r="J19" s="67">
        <v>2.4</v>
      </c>
      <c r="K19" s="70">
        <f>ALMYRA!U19</f>
        <v>0</v>
      </c>
      <c r="L19" s="71">
        <v>0.88</v>
      </c>
      <c r="M19" s="74">
        <f>ALMYRA!AJ19</f>
        <v>0</v>
      </c>
      <c r="N19" s="74">
        <f>ALMYRA!AK19</f>
        <v>0</v>
      </c>
    </row>
    <row r="20" spans="1:14" ht="15" x14ac:dyDescent="0.25">
      <c r="A20" s="53" t="s">
        <v>13</v>
      </c>
      <c r="B20" s="5">
        <f t="shared" si="0"/>
        <v>19</v>
      </c>
      <c r="C20" s="77">
        <v>2</v>
      </c>
      <c r="D20" s="78">
        <v>2025</v>
      </c>
      <c r="E20" s="57">
        <f>IF(ALMYRA!H20&lt;0,"0",ALMYRA!H20)</f>
        <v>1261</v>
      </c>
      <c r="F20" s="58">
        <f>(ALMYRA!C20*0.24)/E20</f>
        <v>0.12713719270420301</v>
      </c>
      <c r="G20" s="62">
        <f>ALMYRA!Z20</f>
        <v>0</v>
      </c>
      <c r="H20" s="63">
        <v>0.65800000000000003</v>
      </c>
      <c r="I20" s="66">
        <f>IF(ALMYRA!AB20&lt;0,"0",ALMYRA!AB20)</f>
        <v>15</v>
      </c>
      <c r="J20" s="67">
        <v>2.4</v>
      </c>
      <c r="K20" s="70">
        <f>ALMYRA!U20</f>
        <v>0</v>
      </c>
      <c r="L20" s="71">
        <v>0.88</v>
      </c>
      <c r="M20" s="74">
        <f>ALMYRA!AJ20</f>
        <v>0</v>
      </c>
      <c r="N20" s="74">
        <f>ALMYRA!AK20</f>
        <v>0</v>
      </c>
    </row>
    <row r="21" spans="1:14" ht="15" x14ac:dyDescent="0.25">
      <c r="A21" s="53" t="s">
        <v>13</v>
      </c>
      <c r="B21" s="5">
        <f t="shared" si="0"/>
        <v>20</v>
      </c>
      <c r="C21" s="77">
        <v>2</v>
      </c>
      <c r="D21" s="78">
        <v>2025</v>
      </c>
      <c r="E21" s="57">
        <f>IF(ALMYRA!H21&lt;0,"0",ALMYRA!H21)</f>
        <v>1009</v>
      </c>
      <c r="F21" s="58">
        <f>(ALMYRA!C21*0.24)/E21</f>
        <v>0.16340931615460852</v>
      </c>
      <c r="G21" s="62">
        <f>ALMYRA!Z21</f>
        <v>0</v>
      </c>
      <c r="H21" s="63">
        <v>0.65800000000000003</v>
      </c>
      <c r="I21" s="66">
        <f>IF(ALMYRA!AB21&lt;0,"0",ALMYRA!AB21)</f>
        <v>14</v>
      </c>
      <c r="J21" s="67">
        <v>2.4</v>
      </c>
      <c r="K21" s="70">
        <f>ALMYRA!U21</f>
        <v>0</v>
      </c>
      <c r="L21" s="71">
        <v>0.88</v>
      </c>
      <c r="M21" s="74">
        <f>ALMYRA!AJ21</f>
        <v>0</v>
      </c>
      <c r="N21" s="74">
        <f>ALMYRA!AK21</f>
        <v>0</v>
      </c>
    </row>
    <row r="22" spans="1:14" ht="15" x14ac:dyDescent="0.25">
      <c r="A22" s="53" t="s">
        <v>13</v>
      </c>
      <c r="B22" s="5">
        <f t="shared" si="0"/>
        <v>21</v>
      </c>
      <c r="C22" s="77">
        <v>2</v>
      </c>
      <c r="D22" s="78">
        <v>2025</v>
      </c>
      <c r="E22" s="57">
        <f>IF(ALMYRA!H22&lt;0,"0",ALMYRA!H22)</f>
        <v>1014.6666666678211</v>
      </c>
      <c r="F22" s="58">
        <f>(ALMYRA!C22*0.24)/E22</f>
        <v>0.14065703022352397</v>
      </c>
      <c r="G22" s="62">
        <f>ALMYRA!Z22</f>
        <v>0</v>
      </c>
      <c r="H22" s="63">
        <v>0.65800000000000003</v>
      </c>
      <c r="I22" s="66">
        <f>IF(ALMYRA!AB22&lt;0,"0",ALMYRA!AB22)</f>
        <v>12</v>
      </c>
      <c r="J22" s="67">
        <v>2.4</v>
      </c>
      <c r="K22" s="70">
        <f>ALMYRA!U22</f>
        <v>0</v>
      </c>
      <c r="L22" s="71">
        <v>0.88</v>
      </c>
      <c r="M22" s="74">
        <f>ALMYRA!AJ22</f>
        <v>0</v>
      </c>
      <c r="N22" s="74">
        <f>ALMYRA!AK22</f>
        <v>0</v>
      </c>
    </row>
    <row r="23" spans="1:14" ht="15" x14ac:dyDescent="0.25">
      <c r="A23" s="53" t="s">
        <v>13</v>
      </c>
      <c r="B23" s="5">
        <f t="shared" si="0"/>
        <v>22</v>
      </c>
      <c r="C23" s="77">
        <v>2</v>
      </c>
      <c r="D23" s="78">
        <v>2025</v>
      </c>
      <c r="E23" s="57">
        <f>IF(ALMYRA!H23&lt;0,"0",ALMYRA!H23)</f>
        <v>1014.6666666678211</v>
      </c>
      <c r="F23" s="58">
        <f>(ALMYRA!C23*0.24)/E23</f>
        <v>0.14065703022352397</v>
      </c>
      <c r="G23" s="62">
        <f>ALMYRA!Z23</f>
        <v>0</v>
      </c>
      <c r="H23" s="63">
        <v>0.65800000000000003</v>
      </c>
      <c r="I23" s="66">
        <f>IF(ALMYRA!AB23&lt;0,"0",ALMYRA!AB23)</f>
        <v>12</v>
      </c>
      <c r="J23" s="67">
        <v>2.4</v>
      </c>
      <c r="K23" s="70">
        <f>ALMYRA!U23</f>
        <v>0</v>
      </c>
      <c r="L23" s="71">
        <v>0.88</v>
      </c>
      <c r="M23" s="74">
        <f>ALMYRA!AJ23</f>
        <v>0</v>
      </c>
      <c r="N23" s="74">
        <f>ALMYRA!AK23</f>
        <v>0</v>
      </c>
    </row>
    <row r="24" spans="1:14" ht="15" x14ac:dyDescent="0.25">
      <c r="A24" s="53" t="s">
        <v>13</v>
      </c>
      <c r="B24" s="5">
        <f t="shared" si="0"/>
        <v>23</v>
      </c>
      <c r="C24" s="77">
        <v>2</v>
      </c>
      <c r="D24" s="78">
        <v>2025</v>
      </c>
      <c r="E24" s="57">
        <f>IF(ALMYRA!H24&lt;0,"0",ALMYRA!H24)</f>
        <v>1014.6666666643578</v>
      </c>
      <c r="F24" s="58">
        <f>(ALMYRA!C24*0.24)/E24</f>
        <v>0.1406570302231229</v>
      </c>
      <c r="G24" s="62">
        <f>ALMYRA!Z24</f>
        <v>0</v>
      </c>
      <c r="H24" s="63">
        <v>0.65800000000000003</v>
      </c>
      <c r="I24" s="66">
        <f>IF(ALMYRA!AB24&lt;0,"0",ALMYRA!AB24)</f>
        <v>12</v>
      </c>
      <c r="J24" s="67">
        <v>2.4</v>
      </c>
      <c r="K24" s="70">
        <f>ALMYRA!U24</f>
        <v>0</v>
      </c>
      <c r="L24" s="71">
        <v>0.88</v>
      </c>
      <c r="M24" s="74">
        <f>ALMYRA!AJ24</f>
        <v>0</v>
      </c>
      <c r="N24" s="74">
        <f>ALMYRA!AK24</f>
        <v>0</v>
      </c>
    </row>
    <row r="25" spans="1:14" ht="15" x14ac:dyDescent="0.25">
      <c r="A25" s="53" t="s">
        <v>13</v>
      </c>
      <c r="B25" s="5">
        <f t="shared" si="0"/>
        <v>24</v>
      </c>
      <c r="C25" s="77">
        <v>2</v>
      </c>
      <c r="D25" s="78">
        <v>2025</v>
      </c>
      <c r="E25" s="57">
        <f>IF(ALMYRA!H25&lt;0,"0",ALMYRA!H25)</f>
        <v>0</v>
      </c>
      <c r="F25" s="58" t="e">
        <f>(ALMYRA!C25*0.24)/E25</f>
        <v>#DIV/0!</v>
      </c>
      <c r="G25" s="62">
        <f>ALMYRA!Z25</f>
        <v>0</v>
      </c>
      <c r="H25" s="63">
        <v>0.65800000000000003</v>
      </c>
      <c r="I25" s="66">
        <f>IF(ALMYRA!AB25&lt;0,"0",ALMYRA!AB25)</f>
        <v>0</v>
      </c>
      <c r="J25" s="67">
        <v>2.4</v>
      </c>
      <c r="K25" s="70">
        <f>ALMYRA!U25</f>
        <v>0</v>
      </c>
      <c r="L25" s="71">
        <v>0.88</v>
      </c>
      <c r="M25" s="74">
        <f>ALMYRA!AJ25</f>
        <v>0</v>
      </c>
      <c r="N25" s="74">
        <f>ALMYRA!AK25</f>
        <v>0</v>
      </c>
    </row>
    <row r="26" spans="1:14" ht="15" x14ac:dyDescent="0.25">
      <c r="A26" s="53" t="s">
        <v>13</v>
      </c>
      <c r="B26" s="5">
        <f>B25+1</f>
        <v>25</v>
      </c>
      <c r="C26" s="77">
        <v>2</v>
      </c>
      <c r="D26" s="78">
        <v>2025</v>
      </c>
      <c r="E26" s="57">
        <f>IF(ALMYRA!H26&lt;0,"0",ALMYRA!H26)</f>
        <v>0</v>
      </c>
      <c r="F26" s="58" t="e">
        <f>(ALMYRA!C26*0.24)/E26</f>
        <v>#DIV/0!</v>
      </c>
      <c r="G26" s="62">
        <f>ALMYRA!Z26</f>
        <v>0</v>
      </c>
      <c r="H26" s="63">
        <v>0.65800000000000003</v>
      </c>
      <c r="I26" s="66">
        <f>IF(ALMYRA!AB26&lt;0,"0",ALMYRA!AB26)</f>
        <v>0</v>
      </c>
      <c r="J26" s="67">
        <v>2.4</v>
      </c>
      <c r="K26" s="70">
        <f>ALMYRA!U26</f>
        <v>0</v>
      </c>
      <c r="L26" s="71">
        <v>0.88</v>
      </c>
      <c r="M26" s="74">
        <f>ALMYRA!AJ26</f>
        <v>0</v>
      </c>
      <c r="N26" s="74">
        <f>ALMYRA!AK26</f>
        <v>0</v>
      </c>
    </row>
    <row r="27" spans="1:14" ht="15" x14ac:dyDescent="0.25">
      <c r="A27" s="53" t="s">
        <v>13</v>
      </c>
      <c r="B27" s="5">
        <f t="shared" si="0"/>
        <v>26</v>
      </c>
      <c r="C27" s="77">
        <v>2</v>
      </c>
      <c r="D27" s="78">
        <v>2025</v>
      </c>
      <c r="E27" s="57">
        <f>IF(ALMYRA!H27&lt;0,"0",ALMYRA!H27)</f>
        <v>0</v>
      </c>
      <c r="F27" s="58" t="e">
        <f>(ALMYRA!C27*0.24)/E27</f>
        <v>#DIV/0!</v>
      </c>
      <c r="G27" s="62">
        <f>ALMYRA!Z27</f>
        <v>0</v>
      </c>
      <c r="H27" s="63">
        <v>0.65800000000000003</v>
      </c>
      <c r="I27" s="66">
        <f>IF(ALMYRA!AB27&lt;0,"0",ALMYRA!AB27)</f>
        <v>0</v>
      </c>
      <c r="J27" s="67">
        <v>2.4</v>
      </c>
      <c r="K27" s="70">
        <f>ALMYRA!U27</f>
        <v>0</v>
      </c>
      <c r="L27" s="71">
        <v>0.88</v>
      </c>
      <c r="M27" s="74">
        <f>ALMYRA!AJ27</f>
        <v>0</v>
      </c>
      <c r="N27" s="74">
        <f>ALMYRA!AK27</f>
        <v>0</v>
      </c>
    </row>
    <row r="28" spans="1:14" ht="15" x14ac:dyDescent="0.25">
      <c r="A28" s="53" t="s">
        <v>13</v>
      </c>
      <c r="B28" s="5">
        <f t="shared" si="0"/>
        <v>27</v>
      </c>
      <c r="C28" s="77">
        <v>2</v>
      </c>
      <c r="D28" s="78">
        <v>2025</v>
      </c>
      <c r="E28" s="57">
        <f>IF(ALMYRA!H28&lt;0,"0",ALMYRA!H28)</f>
        <v>0</v>
      </c>
      <c r="F28" s="58" t="e">
        <f>(ALMYRA!C28*0.24)/E28</f>
        <v>#DIV/0!</v>
      </c>
      <c r="G28" s="62">
        <f>ALMYRA!Z28</f>
        <v>0</v>
      </c>
      <c r="H28" s="63">
        <v>0.65800000000000003</v>
      </c>
      <c r="I28" s="66">
        <f>IF(ALMYRA!AB28&lt;0,"0",ALMYRA!AB28)</f>
        <v>0</v>
      </c>
      <c r="J28" s="67">
        <v>2.4</v>
      </c>
      <c r="K28" s="70">
        <f>ALMYRA!U28</f>
        <v>0</v>
      </c>
      <c r="L28" s="71">
        <v>0.88</v>
      </c>
      <c r="M28" s="74">
        <f>ALMYRA!AJ28</f>
        <v>0</v>
      </c>
      <c r="N28" s="74">
        <f>ALMYRA!AK28</f>
        <v>0</v>
      </c>
    </row>
    <row r="29" spans="1:14" ht="15" x14ac:dyDescent="0.25">
      <c r="A29" s="53" t="s">
        <v>13</v>
      </c>
      <c r="B29" s="5">
        <f t="shared" si="0"/>
        <v>28</v>
      </c>
      <c r="C29" s="77">
        <v>2</v>
      </c>
      <c r="D29" s="78">
        <v>2025</v>
      </c>
      <c r="E29" s="57">
        <f>IF(ALMYRA!H29&lt;0,"0",ALMYRA!H29)</f>
        <v>0</v>
      </c>
      <c r="F29" s="58" t="e">
        <f>(ALMYRA!C29*0.24)/E29</f>
        <v>#DIV/0!</v>
      </c>
      <c r="G29" s="62">
        <f>ALMYRA!Z29</f>
        <v>0</v>
      </c>
      <c r="H29" s="63">
        <v>0.65800000000000003</v>
      </c>
      <c r="I29" s="66">
        <f>IF(ALMYRA!AB29&lt;0,"0",ALMYRA!AB29)</f>
        <v>0</v>
      </c>
      <c r="J29" s="67">
        <v>2.4</v>
      </c>
      <c r="K29" s="70">
        <f>ALMYRA!U29</f>
        <v>0</v>
      </c>
      <c r="L29" s="71">
        <v>0.88</v>
      </c>
      <c r="M29" s="74">
        <f>ALMYRA!AJ29</f>
        <v>0</v>
      </c>
      <c r="N29" s="74">
        <f>ALMYRA!AK29</f>
        <v>0</v>
      </c>
    </row>
    <row r="30" spans="1:14" x14ac:dyDescent="0.2">
      <c r="D30" s="79"/>
      <c r="E30" s="4"/>
      <c r="F30" s="79"/>
      <c r="G30" s="4"/>
      <c r="H30" s="80"/>
      <c r="I30" s="79"/>
      <c r="J30" s="79"/>
      <c r="K30"/>
      <c r="L30"/>
      <c r="M30" s="79"/>
      <c r="N30" s="79"/>
    </row>
    <row r="31" spans="1:14" x14ac:dyDescent="0.2">
      <c r="D31" s="79"/>
      <c r="E31" s="4"/>
      <c r="F31" s="79"/>
      <c r="G31" s="4"/>
      <c r="H31" s="80"/>
      <c r="I31" s="79"/>
      <c r="J31" s="79"/>
      <c r="K31"/>
      <c r="L31"/>
      <c r="M31" s="79"/>
      <c r="N31" s="79"/>
    </row>
    <row r="32" spans="1:14" x14ac:dyDescent="0.2">
      <c r="D32" s="79"/>
      <c r="E32" s="4"/>
      <c r="F32" s="79"/>
      <c r="G32" s="4"/>
      <c r="H32" s="80"/>
      <c r="I32" s="79"/>
      <c r="J32" s="79"/>
      <c r="K32"/>
      <c r="L32"/>
      <c r="M32" s="79"/>
      <c r="N32" s="79"/>
    </row>
    <row r="33" spans="4:14" x14ac:dyDescent="0.2">
      <c r="D33" s="79"/>
      <c r="E33" s="4"/>
      <c r="F33" s="79"/>
      <c r="G33" s="4"/>
      <c r="H33" s="80"/>
      <c r="I33" s="79"/>
      <c r="J33" s="79"/>
      <c r="K33"/>
      <c r="L33"/>
      <c r="M33" s="79"/>
      <c r="N33" s="79"/>
    </row>
    <row r="34" spans="4:14" x14ac:dyDescent="0.2">
      <c r="D34" s="79"/>
      <c r="E34" s="4"/>
      <c r="F34" s="79"/>
      <c r="G34" s="4"/>
      <c r="H34" s="80"/>
      <c r="I34" s="79"/>
      <c r="J34" s="79"/>
      <c r="K34"/>
      <c r="L34"/>
      <c r="M34" s="79"/>
      <c r="N34" s="79"/>
    </row>
    <row r="35" spans="4:14" x14ac:dyDescent="0.2">
      <c r="D35" s="79"/>
      <c r="E35" s="4"/>
      <c r="F35" s="79"/>
      <c r="G35" s="4"/>
      <c r="H35" s="80"/>
      <c r="I35" s="79"/>
      <c r="J35" s="79"/>
      <c r="K35"/>
      <c r="L35"/>
      <c r="M35" s="79"/>
      <c r="N35" s="79"/>
    </row>
    <row r="36" spans="4:14" x14ac:dyDescent="0.2">
      <c r="D36" s="79"/>
      <c r="E36" s="4"/>
      <c r="F36" s="79"/>
      <c r="G36" s="4"/>
      <c r="H36" s="80"/>
      <c r="I36" s="79"/>
      <c r="J36" s="79"/>
      <c r="K36"/>
      <c r="L36"/>
      <c r="M36" s="79"/>
      <c r="N36" s="79"/>
    </row>
    <row r="37" spans="4:14" x14ac:dyDescent="0.2">
      <c r="E37" s="4"/>
      <c r="F37" s="79"/>
      <c r="G37" s="4"/>
      <c r="H37" s="80"/>
      <c r="I37" s="5"/>
      <c r="J37" s="5"/>
      <c r="K37"/>
      <c r="L37"/>
      <c r="M37" s="5"/>
      <c r="N37" s="5"/>
    </row>
    <row r="38" spans="4:14" x14ac:dyDescent="0.2">
      <c r="E38" s="4"/>
      <c r="F38" s="79"/>
      <c r="G38" s="4"/>
      <c r="H38" s="80"/>
      <c r="I38" s="5"/>
      <c r="J38" s="5"/>
      <c r="K38"/>
      <c r="L38"/>
      <c r="M38" s="5"/>
      <c r="N38" s="5"/>
    </row>
    <row r="39" spans="4:14" x14ac:dyDescent="0.2">
      <c r="E39" s="4"/>
      <c r="F39" s="79"/>
      <c r="G39" s="4"/>
      <c r="H39" s="80"/>
      <c r="I39" s="5"/>
      <c r="J39" s="5"/>
      <c r="K39"/>
      <c r="L39"/>
      <c r="M39" s="5"/>
      <c r="N39" s="5"/>
    </row>
    <row r="40" spans="4:14" x14ac:dyDescent="0.2">
      <c r="E40" s="4"/>
      <c r="F40" s="79"/>
      <c r="G40" s="4"/>
      <c r="H40" s="8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8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8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8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8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8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8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8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8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8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8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8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8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8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8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8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8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8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8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8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8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8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8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8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8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8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8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8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8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8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8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8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8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8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8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8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8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8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8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8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8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8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8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8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8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8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8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8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8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8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8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8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8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8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8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8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8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8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8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8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8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8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8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8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8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8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8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8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8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8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8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8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8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8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8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8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8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8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8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8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8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8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8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8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8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8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8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8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8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8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8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8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8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8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8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8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8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8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8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8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8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8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8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8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8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8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8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8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8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8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8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8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8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8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8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8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8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8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8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8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8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8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8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8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8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8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8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8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8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8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8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8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8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8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8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8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8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8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8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8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8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8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8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8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8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8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8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8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8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8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8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8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8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8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8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8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8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8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8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8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8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8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8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8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8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8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8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8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8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8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8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8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8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8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8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8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8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8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8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8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8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8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8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8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8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8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8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8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8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8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8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8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8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8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8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8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8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8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8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8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8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8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8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8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8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8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8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8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8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8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8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8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8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8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8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8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8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8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8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8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8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8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8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8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8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8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8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8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8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8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8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8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8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8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8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8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8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8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8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8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8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8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8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8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8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8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8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8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8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8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8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8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8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8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8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8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8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8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8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8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8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8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8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8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8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8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8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8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8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8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8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8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8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8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8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8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8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8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8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8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8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8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8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8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8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8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8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8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8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8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8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8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8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8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8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8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8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8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8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8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8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8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8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8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8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8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8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8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8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8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8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8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8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8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8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8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8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8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8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8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8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8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8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8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8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8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8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8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8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8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8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8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8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8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8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8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8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8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8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8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8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8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8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8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8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8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8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8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8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8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8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8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8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8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8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8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8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8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8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8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8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8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8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8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8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8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8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8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8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8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8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8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8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8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8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8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8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8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8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8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8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8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8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8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8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8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8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8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8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8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8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8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8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8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8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8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8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8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8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8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8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8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8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8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8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8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8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8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8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8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8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8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8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8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8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8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8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8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8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8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8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8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8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8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8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8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8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8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8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8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8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8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8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8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8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8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8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8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8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8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8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8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8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8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8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8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8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8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8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8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8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8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8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8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8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8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8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8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8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8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8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8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8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8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8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8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8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8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8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8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8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8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8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8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8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8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8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8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8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8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8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8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8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8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8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8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8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8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8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8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8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8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8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8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8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8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8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8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8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8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8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8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8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8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8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8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8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8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8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8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8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8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8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8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8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8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8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8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8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8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8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8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8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8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8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8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8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8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8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8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8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8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8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8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8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8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8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8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8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8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8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8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8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8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8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8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8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8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8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8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8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8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8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8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8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8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8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8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8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8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8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8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8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8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8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8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8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8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8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8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8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8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8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8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8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8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8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8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8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8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8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8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8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8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8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8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8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8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8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8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8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8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8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8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8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8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8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8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8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8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8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8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8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8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8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8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8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8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8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8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8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8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8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8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8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8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8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8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8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8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8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8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8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8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8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8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8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8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8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8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8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8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8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8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8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8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8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8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8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8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8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8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8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8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8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8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8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8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8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8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8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8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8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8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8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8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8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8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8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8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8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8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8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8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8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8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8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8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8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8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8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8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8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8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8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8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8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8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8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8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8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8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8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8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8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8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8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8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8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8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8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8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8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8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8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8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8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8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8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8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8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8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8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8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8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8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8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8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8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8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8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8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8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8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8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8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8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8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8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8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8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8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8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8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8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8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8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8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8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8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8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8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8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8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8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8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8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8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8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8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8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8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8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8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8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8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8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8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8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8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8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8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8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8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8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8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8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8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8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8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8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8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8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8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8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8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8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8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8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8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8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8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8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8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8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8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8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8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8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8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8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8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8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8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8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8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8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8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8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8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8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8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8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8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8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8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8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8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8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8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8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8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8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8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8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8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8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8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8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8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8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8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8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8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8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8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8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8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8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8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8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8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8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8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8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8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8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8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8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8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8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8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8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8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8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8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8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8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8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8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8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8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8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8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8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8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8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8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8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8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8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8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8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8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8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8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8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8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8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8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8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8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8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8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8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8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8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8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8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8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8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8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8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8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8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8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8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8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8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8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8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8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8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8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8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8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8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8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8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8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8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8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8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8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8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8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8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8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8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8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8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8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8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8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8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8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8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8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8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8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8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8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8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8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8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8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8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8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8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8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8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8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8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8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8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8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8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8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8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8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8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8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8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8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8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8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8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8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8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8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8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8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8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8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8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8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8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8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8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8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8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8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8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8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8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8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8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8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8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8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8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8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8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8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8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8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8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8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8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8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8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8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8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8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8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8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8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8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8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8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8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8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8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8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8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8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8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8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8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8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8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8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8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8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8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8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8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8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8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8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8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8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8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8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8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8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8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8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8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8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8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8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8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8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8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8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8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8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8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8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8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8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8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8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8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8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8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8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8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8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8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8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8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8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8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8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8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8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8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8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8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8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8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8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8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8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8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8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8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8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8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8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8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8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8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8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8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8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8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8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8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8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8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8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8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8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8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8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8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8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8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8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8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8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8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8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8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8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8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8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8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8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8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8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8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8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8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8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8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8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8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8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8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8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8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8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8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8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8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8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8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8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8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8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8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8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8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8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8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8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8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8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8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8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8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8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8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8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8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8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8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8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8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8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8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8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8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8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8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8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8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8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8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8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8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8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8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8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8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8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8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8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8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8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8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8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8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8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8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8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8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8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8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8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8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8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8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8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8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8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8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8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8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8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8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8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8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8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8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8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8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8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8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8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8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8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8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8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8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8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8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8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8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8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8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8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8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8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8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8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8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8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8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8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8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8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8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8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8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8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8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8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8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8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8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8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8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8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8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8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8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8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8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8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8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8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8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8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8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8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8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8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8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8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8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8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8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8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8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8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8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8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8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8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8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8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8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8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8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8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8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8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8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8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8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8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8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8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8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8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8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8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8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8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8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8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8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8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8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8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8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8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8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8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8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8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8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8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8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8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8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8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8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8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8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8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8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8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8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8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8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8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8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8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8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8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8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8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8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8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8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8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8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8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8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8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8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8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8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8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8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8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8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8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8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8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8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8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8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8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8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8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8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8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8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8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8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8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8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8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8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8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8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8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8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8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8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8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8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8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8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8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8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8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8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8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8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8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8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8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8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8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8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8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8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8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8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8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8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8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8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8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8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8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8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8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8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8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8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8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8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8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8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8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8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8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8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8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8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8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8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8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8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8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8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8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8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8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8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8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8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8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8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8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8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8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8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8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8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8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8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8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8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8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8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8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8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8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8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8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8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8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8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8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8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8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8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8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8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8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8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8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8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8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8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8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8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8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8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8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8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8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8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8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8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8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8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8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8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8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8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8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8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8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8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8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8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8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8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8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8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8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8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8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8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8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8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8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8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8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8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8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8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8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8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8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8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8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8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8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8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8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8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8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8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8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8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8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8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8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8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8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8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8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8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8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8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8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8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8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8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8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8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8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8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8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8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8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8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8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8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8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8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8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8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8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8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8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8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8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8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8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8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8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8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8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8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8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8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8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8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8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8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8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8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8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8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8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8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8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8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8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8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8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8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8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8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8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8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8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8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8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8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8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8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8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8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8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8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8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8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8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8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8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8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8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8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8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8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8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8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8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8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8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8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8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8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8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8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8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8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8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8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8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8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8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8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8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8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8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8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8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8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8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8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8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8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8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8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8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8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8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8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8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8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8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8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8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8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8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8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8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8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8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8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8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8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8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8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8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8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8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8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8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8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8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8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8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8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8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8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8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8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8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8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8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8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8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8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8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8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8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8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8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8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8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8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8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8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8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8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8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8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8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8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8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8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8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8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8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8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8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8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8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8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8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8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8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8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8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8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8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8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8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8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8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8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8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8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8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8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8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8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8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8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8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8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8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8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8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8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8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8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8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8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8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8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8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8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8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8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8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8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8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8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D39" sqref="D39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3" customWidth="1"/>
    <col min="4" max="4" width="10" style="5" customWidth="1"/>
    <col min="5" max="5" width="6.5703125" style="13" customWidth="1"/>
    <col min="6" max="6" width="10" style="5" customWidth="1"/>
    <col min="7" max="7" width="6.5703125" style="13" customWidth="1"/>
    <col min="8" max="9" width="9.7109375" style="5" customWidth="1"/>
    <col min="10" max="10" width="8.28515625" style="5" customWidth="1"/>
    <col min="11" max="11" width="5.7109375" style="13" customWidth="1"/>
    <col min="12" max="12" width="9.5703125" style="5" customWidth="1"/>
    <col min="13" max="13" width="4.85546875" style="13" customWidth="1"/>
    <col min="14" max="14" width="8.28515625" style="5" customWidth="1"/>
    <col min="15" max="15" width="4.85546875" style="13" customWidth="1"/>
    <col min="16" max="16" width="8.28515625" style="5" customWidth="1"/>
    <col min="17" max="17" width="4.85546875" style="13" customWidth="1"/>
    <col min="18" max="18" width="20.85546875" customWidth="1"/>
    <col min="19" max="20" width="6.5703125" style="4" customWidth="1"/>
    <col min="21" max="21" width="4.42578125" style="137" customWidth="1"/>
    <col min="22" max="23" width="4.7109375" customWidth="1"/>
    <col min="24" max="24" width="7.85546875" customWidth="1"/>
    <col min="25" max="25" width="7.85546875" style="4" customWidth="1"/>
    <col min="26" max="26" width="5.42578125" style="137" bestFit="1" customWidth="1"/>
    <col min="27" max="27" width="8.42578125" customWidth="1"/>
    <col min="28" max="28" width="8.140625" style="137" bestFit="1" customWidth="1"/>
    <col min="29" max="29" width="7.85546875" style="5" customWidth="1"/>
    <col min="30" max="30" width="4.28515625" style="137" customWidth="1"/>
    <col min="31" max="31" width="8.85546875" customWidth="1"/>
    <col min="32" max="32" width="4.28515625" style="137" customWidth="1"/>
    <col min="33" max="34" width="7.5703125" style="7" customWidth="1"/>
    <col min="35" max="35" width="4.28515625" style="137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2" t="s">
        <v>14</v>
      </c>
      <c r="B1" s="23" t="s">
        <v>15</v>
      </c>
      <c r="C1" s="114" t="s">
        <v>16</v>
      </c>
      <c r="D1" s="19" t="s">
        <v>17</v>
      </c>
      <c r="E1" s="112" t="s">
        <v>18</v>
      </c>
      <c r="F1" s="19" t="s">
        <v>19</v>
      </c>
      <c r="G1" s="113" t="s">
        <v>20</v>
      </c>
      <c r="H1" s="135" t="s">
        <v>21</v>
      </c>
      <c r="I1" s="136" t="s">
        <v>22</v>
      </c>
      <c r="J1" s="51" t="s">
        <v>23</v>
      </c>
      <c r="K1" s="130" t="s">
        <v>24</v>
      </c>
      <c r="L1" s="52" t="s">
        <v>25</v>
      </c>
      <c r="M1" s="130" t="s">
        <v>24</v>
      </c>
      <c r="N1" s="52" t="s">
        <v>26</v>
      </c>
      <c r="O1" s="130" t="s">
        <v>24</v>
      </c>
      <c r="P1" s="51" t="s">
        <v>27</v>
      </c>
      <c r="Q1" s="129" t="s">
        <v>24</v>
      </c>
      <c r="R1" s="22" t="s">
        <v>14</v>
      </c>
      <c r="S1" s="27" t="s">
        <v>28</v>
      </c>
      <c r="T1" s="50" t="s">
        <v>29</v>
      </c>
      <c r="U1" s="121" t="s">
        <v>24</v>
      </c>
      <c r="V1" s="24" t="s">
        <v>30</v>
      </c>
      <c r="W1" s="31" t="s">
        <v>31</v>
      </c>
      <c r="X1" s="33" t="s">
        <v>32</v>
      </c>
      <c r="Y1" s="32" t="s">
        <v>33</v>
      </c>
      <c r="Z1" s="121" t="s">
        <v>24</v>
      </c>
      <c r="AA1" s="37" t="s">
        <v>34</v>
      </c>
      <c r="AB1" s="121" t="s">
        <v>24</v>
      </c>
      <c r="AC1" s="37" t="s">
        <v>35</v>
      </c>
      <c r="AD1" s="121" t="s">
        <v>24</v>
      </c>
      <c r="AE1" s="39" t="s">
        <v>36</v>
      </c>
      <c r="AF1" s="121" t="s">
        <v>24</v>
      </c>
      <c r="AG1" s="41" t="s">
        <v>37</v>
      </c>
      <c r="AH1" s="46" t="s">
        <v>38</v>
      </c>
      <c r="AI1" s="121" t="s">
        <v>24</v>
      </c>
      <c r="AJ1" s="20" t="s">
        <v>11</v>
      </c>
      <c r="AK1" s="21" t="s">
        <v>39</v>
      </c>
    </row>
    <row r="2" spans="1:37" x14ac:dyDescent="0.2">
      <c r="A2" s="18">
        <v>45689</v>
      </c>
      <c r="B2" s="8">
        <v>32504680</v>
      </c>
      <c r="C2" s="115">
        <f>B3-B2</f>
        <v>655</v>
      </c>
      <c r="D2" s="9">
        <v>1084221.6666666667</v>
      </c>
      <c r="E2" s="115">
        <f>D3-D2</f>
        <v>1136.6666666667443</v>
      </c>
      <c r="F2" s="26">
        <v>129397.66666666667</v>
      </c>
      <c r="G2" s="118">
        <f>F3-F2</f>
        <v>808.66666666667152</v>
      </c>
      <c r="H2" s="131">
        <f>C2+E2-G2</f>
        <v>983.00000000007276</v>
      </c>
      <c r="I2" s="133">
        <f>H2-K2-M2-O2-Q2</f>
        <v>599.3774193549034</v>
      </c>
      <c r="J2" s="48">
        <v>4770473.2</v>
      </c>
      <c r="K2" s="124">
        <f>J3-J2</f>
        <v>172</v>
      </c>
      <c r="L2" s="12">
        <v>469033</v>
      </c>
      <c r="M2" s="124">
        <f>L3-L2</f>
        <v>24.677419354848098</v>
      </c>
      <c r="N2" s="12">
        <v>132474.29999999999</v>
      </c>
      <c r="O2" s="124">
        <f>N3-N2</f>
        <v>72.945161290321266</v>
      </c>
      <c r="P2" s="47">
        <v>189389</v>
      </c>
      <c r="Q2" s="126">
        <f>P3-P2</f>
        <v>114</v>
      </c>
      <c r="R2" s="17">
        <f>A2</f>
        <v>45689</v>
      </c>
      <c r="S2" s="29">
        <v>5571</v>
      </c>
      <c r="T2" s="28"/>
      <c r="U2" s="122">
        <f>S2+T2-S3</f>
        <v>0</v>
      </c>
      <c r="V2" s="14">
        <v>0.56000000000000005</v>
      </c>
      <c r="W2" s="35">
        <v>0.59</v>
      </c>
      <c r="X2" s="34">
        <f t="shared" ref="X2:X33" si="0">(V2*2500)+(W2*2500)</f>
        <v>2875</v>
      </c>
      <c r="Y2" s="105"/>
      <c r="Z2" s="122">
        <f>X2+Y2-X3</f>
        <v>0</v>
      </c>
      <c r="AA2" s="38">
        <v>111718</v>
      </c>
      <c r="AB2" s="122">
        <f>AA3-AA2</f>
        <v>5</v>
      </c>
      <c r="AC2" s="44">
        <v>1282.6333333333334</v>
      </c>
      <c r="AD2" s="122">
        <f>AC3-AC2</f>
        <v>0.43333333333339397</v>
      </c>
      <c r="AE2" s="40">
        <v>73027</v>
      </c>
      <c r="AF2" s="122">
        <f>AE3-AE2</f>
        <v>0</v>
      </c>
      <c r="AG2" s="42">
        <v>3100</v>
      </c>
      <c r="AH2" s="110">
        <v>0</v>
      </c>
      <c r="AI2" s="122">
        <f>AG3+AH2-AG2</f>
        <v>0</v>
      </c>
      <c r="AJ2" s="10">
        <v>0</v>
      </c>
      <c r="AK2" s="15">
        <v>0</v>
      </c>
    </row>
    <row r="3" spans="1:37" x14ac:dyDescent="0.2">
      <c r="A3" s="18">
        <v>45690</v>
      </c>
      <c r="B3" s="8">
        <v>32505335</v>
      </c>
      <c r="C3" s="116">
        <f>B4-B3</f>
        <v>655</v>
      </c>
      <c r="D3" s="9">
        <v>1085358.3333333335</v>
      </c>
      <c r="E3" s="117">
        <f>D4-D3</f>
        <v>1136.6666666665114</v>
      </c>
      <c r="F3" s="25">
        <v>130206.33333333334</v>
      </c>
      <c r="G3" s="119">
        <f>F4-F3</f>
        <v>808.66666666665697</v>
      </c>
      <c r="H3" s="132">
        <f t="shared" ref="H3:H32" si="1">C3+E3-G3</f>
        <v>982.99999999985448</v>
      </c>
      <c r="I3" s="134">
        <f t="shared" ref="I3:I32" si="2">H3-K3-M3-O3-Q3</f>
        <v>599.37741935468512</v>
      </c>
      <c r="J3" s="47">
        <v>4770645.2</v>
      </c>
      <c r="K3" s="125">
        <f>J4-J3</f>
        <v>172</v>
      </c>
      <c r="L3" s="12">
        <v>469057.67741935485</v>
      </c>
      <c r="M3" s="125">
        <f>L4-L3</f>
        <v>24.677419354848098</v>
      </c>
      <c r="N3" s="12">
        <v>132547.24516129031</v>
      </c>
      <c r="O3" s="125">
        <f>N4-N3</f>
        <v>72.945161290321266</v>
      </c>
      <c r="P3" s="47">
        <v>189503</v>
      </c>
      <c r="Q3" s="127">
        <f>P4-P3</f>
        <v>114</v>
      </c>
      <c r="R3" s="18">
        <f>A3</f>
        <v>45690</v>
      </c>
      <c r="S3" s="29">
        <v>5571</v>
      </c>
      <c r="T3" s="30"/>
      <c r="U3" s="123">
        <f>S3+T3-S4</f>
        <v>0</v>
      </c>
      <c r="V3" s="14">
        <v>0.56000000000000005</v>
      </c>
      <c r="W3" s="35">
        <v>0.59</v>
      </c>
      <c r="X3" s="36">
        <f t="shared" si="0"/>
        <v>2875</v>
      </c>
      <c r="Y3" s="105"/>
      <c r="Z3" s="138">
        <f t="shared" ref="Z3:Z24" si="3">X3+Y3-X4</f>
        <v>0</v>
      </c>
      <c r="AA3" s="38">
        <v>111723</v>
      </c>
      <c r="AB3" s="123">
        <f>AA4-AA3</f>
        <v>5</v>
      </c>
      <c r="AC3" s="38">
        <v>1283.0666666666668</v>
      </c>
      <c r="AD3" s="123">
        <f>AC4-AC3</f>
        <v>0.43333333333316659</v>
      </c>
      <c r="AE3" s="40">
        <v>73027</v>
      </c>
      <c r="AF3" s="123">
        <f>AE4-AE3</f>
        <v>0</v>
      </c>
      <c r="AG3" s="43">
        <v>3100</v>
      </c>
      <c r="AH3" s="111">
        <v>0</v>
      </c>
      <c r="AI3" s="138">
        <f t="shared" ref="AI3:AI29" si="4">AG4+AH3-AG3</f>
        <v>0</v>
      </c>
      <c r="AJ3" s="11">
        <v>0</v>
      </c>
      <c r="AK3" s="16">
        <v>0</v>
      </c>
    </row>
    <row r="4" spans="1:37" x14ac:dyDescent="0.2">
      <c r="A4" s="18">
        <v>45691</v>
      </c>
      <c r="B4" s="8">
        <v>32505990</v>
      </c>
      <c r="C4" s="116">
        <f t="shared" ref="C4:C24" si="5">B5-B4</f>
        <v>651</v>
      </c>
      <c r="D4" s="9">
        <v>1086495</v>
      </c>
      <c r="E4" s="117">
        <f t="shared" ref="E4:E24" si="6">D5-D4</f>
        <v>1015</v>
      </c>
      <c r="F4" s="25">
        <v>131015</v>
      </c>
      <c r="G4" s="119">
        <f t="shared" ref="G4:G24" si="7">F5-F4</f>
        <v>548</v>
      </c>
      <c r="H4" s="132">
        <f t="shared" si="1"/>
        <v>1118</v>
      </c>
      <c r="I4" s="134">
        <f t="shared" si="2"/>
        <v>731.1774193541205</v>
      </c>
      <c r="J4" s="47">
        <v>4770817.2</v>
      </c>
      <c r="K4" s="125">
        <f t="shared" ref="K4:K24" si="8">J5-J4</f>
        <v>175.20000000018626</v>
      </c>
      <c r="L4" s="12">
        <v>469082.3548387097</v>
      </c>
      <c r="M4" s="125">
        <f t="shared" ref="M4:M24" si="9">L5-L4</f>
        <v>24.677419355313759</v>
      </c>
      <c r="N4" s="12">
        <v>132620.19032258063</v>
      </c>
      <c r="O4" s="125">
        <f t="shared" ref="O4:O24" si="10">N5-N4</f>
        <v>72.945161290379474</v>
      </c>
      <c r="P4" s="47">
        <v>189617</v>
      </c>
      <c r="Q4" s="127">
        <f t="shared" ref="Q4:Q24" si="11">P5-P4</f>
        <v>114</v>
      </c>
      <c r="R4" s="18">
        <f t="shared" ref="R4:R32" si="12">A4</f>
        <v>45691</v>
      </c>
      <c r="S4" s="29">
        <v>5571</v>
      </c>
      <c r="T4" s="30"/>
      <c r="U4" s="123">
        <f t="shared" ref="U4:U24" si="13">S4+T4-S5</f>
        <v>0</v>
      </c>
      <c r="V4" s="14">
        <v>0.56000000000000005</v>
      </c>
      <c r="W4" s="35">
        <v>0.59</v>
      </c>
      <c r="X4" s="36">
        <f t="shared" si="0"/>
        <v>2875</v>
      </c>
      <c r="Y4" s="105"/>
      <c r="Z4" s="138">
        <f t="shared" si="3"/>
        <v>0</v>
      </c>
      <c r="AA4" s="38">
        <v>111728</v>
      </c>
      <c r="AB4" s="123">
        <f t="shared" ref="AB4:AB24" si="14">AA5-AA4</f>
        <v>7</v>
      </c>
      <c r="AC4" s="38">
        <v>1283.5</v>
      </c>
      <c r="AD4" s="123">
        <f t="shared" ref="AD4:AD24" si="15">AC5-AC4</f>
        <v>0.20000000000004547</v>
      </c>
      <c r="AE4" s="40">
        <v>73027</v>
      </c>
      <c r="AF4" s="123">
        <f t="shared" ref="AF4:AF24" si="16">AE5-AE4</f>
        <v>0</v>
      </c>
      <c r="AG4" s="43">
        <v>3100</v>
      </c>
      <c r="AH4" s="111">
        <v>0</v>
      </c>
      <c r="AI4" s="138">
        <f t="shared" si="4"/>
        <v>0</v>
      </c>
      <c r="AJ4" s="11">
        <v>0</v>
      </c>
      <c r="AK4" s="16">
        <v>0</v>
      </c>
    </row>
    <row r="5" spans="1:37" x14ac:dyDescent="0.2">
      <c r="A5" s="18">
        <v>45692</v>
      </c>
      <c r="B5" s="8">
        <v>32506641</v>
      </c>
      <c r="C5" s="116">
        <f t="shared" si="5"/>
        <v>653</v>
      </c>
      <c r="D5" s="9">
        <v>1087510</v>
      </c>
      <c r="E5" s="117">
        <f t="shared" si="6"/>
        <v>1481</v>
      </c>
      <c r="F5" s="25">
        <v>131563</v>
      </c>
      <c r="G5" s="119">
        <f t="shared" si="7"/>
        <v>984</v>
      </c>
      <c r="H5" s="132">
        <f t="shared" si="1"/>
        <v>1150</v>
      </c>
      <c r="I5" s="134">
        <f t="shared" si="2"/>
        <v>761.57741935621016</v>
      </c>
      <c r="J5" s="47">
        <v>4770992.4000000004</v>
      </c>
      <c r="K5" s="125">
        <f t="shared" si="8"/>
        <v>176.79999999981374</v>
      </c>
      <c r="L5" s="12">
        <v>469107.03225806501</v>
      </c>
      <c r="M5" s="125">
        <f t="shared" si="9"/>
        <v>24.677419353974983</v>
      </c>
      <c r="N5" s="12">
        <v>132693.13548387101</v>
      </c>
      <c r="O5" s="125">
        <f t="shared" si="10"/>
        <v>72.945161290001124</v>
      </c>
      <c r="P5" s="47">
        <v>189731</v>
      </c>
      <c r="Q5" s="127">
        <f t="shared" si="11"/>
        <v>114</v>
      </c>
      <c r="R5" s="18">
        <f t="shared" si="12"/>
        <v>45692</v>
      </c>
      <c r="S5" s="29">
        <v>5571</v>
      </c>
      <c r="T5" s="30"/>
      <c r="U5" s="123">
        <f t="shared" si="13"/>
        <v>0</v>
      </c>
      <c r="V5" s="14">
        <v>0.56000000000000005</v>
      </c>
      <c r="W5" s="35">
        <v>0.59</v>
      </c>
      <c r="X5" s="36">
        <f t="shared" si="0"/>
        <v>2875</v>
      </c>
      <c r="Y5" s="105"/>
      <c r="Z5" s="138">
        <f t="shared" si="3"/>
        <v>0</v>
      </c>
      <c r="AA5" s="38">
        <v>111735</v>
      </c>
      <c r="AB5" s="123">
        <f t="shared" si="14"/>
        <v>14</v>
      </c>
      <c r="AC5" s="38">
        <v>1283.7</v>
      </c>
      <c r="AD5" s="123">
        <f t="shared" si="15"/>
        <v>0.39999999999986358</v>
      </c>
      <c r="AE5" s="40">
        <v>73027</v>
      </c>
      <c r="AF5" s="123">
        <f t="shared" si="16"/>
        <v>0</v>
      </c>
      <c r="AG5" s="43">
        <v>3100</v>
      </c>
      <c r="AH5" s="111">
        <v>0</v>
      </c>
      <c r="AI5" s="138">
        <f t="shared" si="4"/>
        <v>0</v>
      </c>
      <c r="AJ5" s="11">
        <v>0</v>
      </c>
      <c r="AK5" s="16">
        <v>0</v>
      </c>
    </row>
    <row r="6" spans="1:37" x14ac:dyDescent="0.2">
      <c r="A6" s="18">
        <v>45693</v>
      </c>
      <c r="B6" s="8">
        <v>32507294</v>
      </c>
      <c r="C6" s="116">
        <f t="shared" si="5"/>
        <v>659</v>
      </c>
      <c r="D6" s="9">
        <v>1088991</v>
      </c>
      <c r="E6" s="117">
        <f t="shared" si="6"/>
        <v>1301</v>
      </c>
      <c r="F6" s="25">
        <v>132547</v>
      </c>
      <c r="G6" s="119">
        <f t="shared" si="7"/>
        <v>856</v>
      </c>
      <c r="H6" s="132">
        <f t="shared" si="1"/>
        <v>1104</v>
      </c>
      <c r="I6" s="134">
        <f t="shared" si="2"/>
        <v>716.37741935398662</v>
      </c>
      <c r="J6" s="47">
        <v>4771169.2</v>
      </c>
      <c r="K6" s="125">
        <f t="shared" si="8"/>
        <v>176</v>
      </c>
      <c r="L6" s="12">
        <v>469131.70967741898</v>
      </c>
      <c r="M6" s="125">
        <f t="shared" si="9"/>
        <v>24.677419355022721</v>
      </c>
      <c r="N6" s="12">
        <v>132766.08064516101</v>
      </c>
      <c r="O6" s="125">
        <f t="shared" si="10"/>
        <v>72.945161290990654</v>
      </c>
      <c r="P6" s="47">
        <v>189845</v>
      </c>
      <c r="Q6" s="127">
        <f t="shared" si="11"/>
        <v>114</v>
      </c>
      <c r="R6" s="18">
        <f t="shared" si="12"/>
        <v>45693</v>
      </c>
      <c r="S6" s="29">
        <v>5571</v>
      </c>
      <c r="T6" s="30"/>
      <c r="U6" s="123">
        <f t="shared" si="13"/>
        <v>0</v>
      </c>
      <c r="V6" s="14">
        <v>0.56000000000000005</v>
      </c>
      <c r="W6" s="35">
        <v>0.59</v>
      </c>
      <c r="X6" s="36">
        <f t="shared" si="0"/>
        <v>2875</v>
      </c>
      <c r="Y6" s="105"/>
      <c r="Z6" s="138">
        <f t="shared" si="3"/>
        <v>0</v>
      </c>
      <c r="AA6" s="38">
        <v>111749</v>
      </c>
      <c r="AB6" s="123">
        <f t="shared" si="14"/>
        <v>9</v>
      </c>
      <c r="AC6" s="38">
        <v>1284.0999999999999</v>
      </c>
      <c r="AD6" s="123">
        <f t="shared" si="15"/>
        <v>0.20000000000004547</v>
      </c>
      <c r="AE6" s="40">
        <v>73027</v>
      </c>
      <c r="AF6" s="123">
        <f t="shared" si="16"/>
        <v>0</v>
      </c>
      <c r="AG6" s="43">
        <v>3100</v>
      </c>
      <c r="AH6" s="111">
        <v>0</v>
      </c>
      <c r="AI6" s="138">
        <f t="shared" si="4"/>
        <v>0</v>
      </c>
      <c r="AJ6" s="11">
        <v>0</v>
      </c>
      <c r="AK6" s="16">
        <v>0</v>
      </c>
    </row>
    <row r="7" spans="1:37" x14ac:dyDescent="0.2">
      <c r="A7" s="18">
        <v>45694</v>
      </c>
      <c r="B7" s="8">
        <v>32507953</v>
      </c>
      <c r="C7" s="116">
        <f t="shared" si="5"/>
        <v>587</v>
      </c>
      <c r="D7" s="9">
        <v>1090292</v>
      </c>
      <c r="E7" s="117">
        <f t="shared" si="6"/>
        <v>1559</v>
      </c>
      <c r="F7" s="25">
        <v>133403</v>
      </c>
      <c r="G7" s="119">
        <f t="shared" si="7"/>
        <v>1049</v>
      </c>
      <c r="H7" s="132">
        <f t="shared" si="1"/>
        <v>1097</v>
      </c>
      <c r="I7" s="134">
        <f t="shared" si="2"/>
        <v>712.1774193548481</v>
      </c>
      <c r="J7" s="47">
        <v>4771345.2</v>
      </c>
      <c r="K7" s="125">
        <f t="shared" si="8"/>
        <v>173.20000000018626</v>
      </c>
      <c r="L7" s="12">
        <v>469156.38709677401</v>
      </c>
      <c r="M7" s="125">
        <f t="shared" si="9"/>
        <v>24.677419354964513</v>
      </c>
      <c r="N7" s="12">
        <v>132839.025806452</v>
      </c>
      <c r="O7" s="125">
        <f t="shared" si="10"/>
        <v>72.945161290001124</v>
      </c>
      <c r="P7" s="47">
        <v>189959</v>
      </c>
      <c r="Q7" s="127">
        <f t="shared" si="11"/>
        <v>114</v>
      </c>
      <c r="R7" s="18">
        <f t="shared" si="12"/>
        <v>45694</v>
      </c>
      <c r="S7" s="29">
        <v>5571</v>
      </c>
      <c r="T7" s="30"/>
      <c r="U7" s="123">
        <f t="shared" si="13"/>
        <v>0</v>
      </c>
      <c r="V7" s="14">
        <v>0.56000000000000005</v>
      </c>
      <c r="W7" s="35">
        <v>0.59</v>
      </c>
      <c r="X7" s="36">
        <f t="shared" si="0"/>
        <v>2875</v>
      </c>
      <c r="Y7" s="105"/>
      <c r="Z7" s="138">
        <f t="shared" si="3"/>
        <v>0</v>
      </c>
      <c r="AA7" s="38">
        <v>111758</v>
      </c>
      <c r="AB7" s="123">
        <f t="shared" si="14"/>
        <v>6</v>
      </c>
      <c r="AC7" s="38">
        <v>1284.3</v>
      </c>
      <c r="AD7" s="123">
        <f t="shared" si="15"/>
        <v>0.79999999999995453</v>
      </c>
      <c r="AE7" s="40">
        <v>73027</v>
      </c>
      <c r="AF7" s="123">
        <f t="shared" si="16"/>
        <v>0</v>
      </c>
      <c r="AG7" s="43">
        <v>3100</v>
      </c>
      <c r="AH7" s="111">
        <v>0</v>
      </c>
      <c r="AI7" s="138">
        <f t="shared" si="4"/>
        <v>0</v>
      </c>
      <c r="AJ7" s="11">
        <v>0</v>
      </c>
      <c r="AK7" s="16">
        <v>0</v>
      </c>
    </row>
    <row r="8" spans="1:37" x14ac:dyDescent="0.2">
      <c r="A8" s="18">
        <v>45695</v>
      </c>
      <c r="B8" s="8">
        <v>32508540</v>
      </c>
      <c r="C8" s="116">
        <f t="shared" si="5"/>
        <v>601.33333333209157</v>
      </c>
      <c r="D8" s="9">
        <v>1091851</v>
      </c>
      <c r="E8" s="117">
        <f t="shared" si="6"/>
        <v>1138.3333333332557</v>
      </c>
      <c r="F8" s="25">
        <v>134452</v>
      </c>
      <c r="G8" s="119">
        <f t="shared" si="7"/>
        <v>717.66666666665697</v>
      </c>
      <c r="H8" s="132">
        <f t="shared" si="1"/>
        <v>1021.9999999986903</v>
      </c>
      <c r="I8" s="134">
        <f t="shared" si="2"/>
        <v>643.04408602064359</v>
      </c>
      <c r="J8" s="47">
        <v>4771518.4000000004</v>
      </c>
      <c r="K8" s="125">
        <f t="shared" si="8"/>
        <v>167.33333333302289</v>
      </c>
      <c r="L8" s="12">
        <v>469181.06451612897</v>
      </c>
      <c r="M8" s="125">
        <f t="shared" si="9"/>
        <v>24.677419355022721</v>
      </c>
      <c r="N8" s="12">
        <v>132911.970967742</v>
      </c>
      <c r="O8" s="125">
        <f t="shared" si="10"/>
        <v>72.945161290001124</v>
      </c>
      <c r="P8" s="47">
        <v>190073</v>
      </c>
      <c r="Q8" s="127">
        <f t="shared" si="11"/>
        <v>114</v>
      </c>
      <c r="R8" s="18">
        <f t="shared" si="12"/>
        <v>45695</v>
      </c>
      <c r="S8" s="29">
        <v>5571</v>
      </c>
      <c r="T8" s="30"/>
      <c r="U8" s="123">
        <f t="shared" si="13"/>
        <v>0</v>
      </c>
      <c r="V8" s="14">
        <v>0.56000000000000005</v>
      </c>
      <c r="W8" s="35">
        <v>0.59</v>
      </c>
      <c r="X8" s="36">
        <f t="shared" si="0"/>
        <v>2875</v>
      </c>
      <c r="Y8" s="105"/>
      <c r="Z8" s="138">
        <f t="shared" si="3"/>
        <v>0</v>
      </c>
      <c r="AA8" s="38">
        <v>111764</v>
      </c>
      <c r="AB8" s="123">
        <f t="shared" si="14"/>
        <v>15.666666666671517</v>
      </c>
      <c r="AC8" s="38">
        <v>1285.0999999999999</v>
      </c>
      <c r="AD8" s="123">
        <f t="shared" si="15"/>
        <v>0.13333333333343944</v>
      </c>
      <c r="AE8" s="40">
        <v>73027</v>
      </c>
      <c r="AF8" s="123">
        <f t="shared" si="16"/>
        <v>0</v>
      </c>
      <c r="AG8" s="43">
        <v>3100</v>
      </c>
      <c r="AH8" s="111">
        <v>0</v>
      </c>
      <c r="AI8" s="138">
        <f t="shared" si="4"/>
        <v>0</v>
      </c>
      <c r="AJ8" s="11">
        <v>0</v>
      </c>
      <c r="AK8" s="16">
        <v>0</v>
      </c>
    </row>
    <row r="9" spans="1:37" x14ac:dyDescent="0.2">
      <c r="A9" s="18">
        <v>45696</v>
      </c>
      <c r="B9" s="8">
        <v>32509141.333333332</v>
      </c>
      <c r="C9" s="116">
        <f t="shared" si="5"/>
        <v>601.33333333209157</v>
      </c>
      <c r="D9" s="9">
        <v>1092989.3333333333</v>
      </c>
      <c r="E9" s="117">
        <f t="shared" si="6"/>
        <v>1138.3333333332557</v>
      </c>
      <c r="F9" s="25">
        <v>135169.66666666666</v>
      </c>
      <c r="G9" s="119">
        <f t="shared" si="7"/>
        <v>717.66666666665697</v>
      </c>
      <c r="H9" s="132">
        <f t="shared" si="1"/>
        <v>1021.9999999986903</v>
      </c>
      <c r="I9" s="134">
        <f t="shared" si="2"/>
        <v>643.04408601965406</v>
      </c>
      <c r="J9" s="47">
        <v>4771685.7333333334</v>
      </c>
      <c r="K9" s="125">
        <f t="shared" si="8"/>
        <v>167.33333333302289</v>
      </c>
      <c r="L9" s="12">
        <v>469205.74193548399</v>
      </c>
      <c r="M9" s="125">
        <f t="shared" si="9"/>
        <v>24.677419355022721</v>
      </c>
      <c r="N9" s="12">
        <v>132984.916129032</v>
      </c>
      <c r="O9" s="125">
        <f t="shared" si="10"/>
        <v>72.945161290990654</v>
      </c>
      <c r="P9" s="47">
        <v>190187</v>
      </c>
      <c r="Q9" s="127">
        <f t="shared" si="11"/>
        <v>114</v>
      </c>
      <c r="R9" s="18">
        <f t="shared" si="12"/>
        <v>45696</v>
      </c>
      <c r="S9" s="29">
        <v>5571</v>
      </c>
      <c r="T9" s="30"/>
      <c r="U9" s="123">
        <f t="shared" si="13"/>
        <v>0</v>
      </c>
      <c r="V9" s="14">
        <v>0.56000000000000005</v>
      </c>
      <c r="W9" s="35">
        <v>0.59</v>
      </c>
      <c r="X9" s="36">
        <f t="shared" si="0"/>
        <v>2875</v>
      </c>
      <c r="Y9" s="105"/>
      <c r="Z9" s="138">
        <f t="shared" si="3"/>
        <v>0</v>
      </c>
      <c r="AA9" s="38">
        <v>111779.66666666667</v>
      </c>
      <c r="AB9" s="123">
        <f t="shared" si="14"/>
        <v>15.666666666671517</v>
      </c>
      <c r="AC9" s="38">
        <v>1285.2333333333333</v>
      </c>
      <c r="AD9" s="123">
        <f t="shared" si="15"/>
        <v>0.13333333333343944</v>
      </c>
      <c r="AE9" s="40">
        <v>73027</v>
      </c>
      <c r="AF9" s="123">
        <f t="shared" si="16"/>
        <v>0</v>
      </c>
      <c r="AG9" s="43">
        <v>3100</v>
      </c>
      <c r="AH9" s="111">
        <v>0</v>
      </c>
      <c r="AI9" s="138">
        <f t="shared" si="4"/>
        <v>0</v>
      </c>
      <c r="AJ9" s="11">
        <v>0</v>
      </c>
      <c r="AK9" s="16">
        <v>0</v>
      </c>
    </row>
    <row r="10" spans="1:37" x14ac:dyDescent="0.2">
      <c r="A10" s="18">
        <v>45697</v>
      </c>
      <c r="B10" s="8">
        <v>32509742.666666664</v>
      </c>
      <c r="C10" s="116">
        <f t="shared" si="5"/>
        <v>601.33333333581686</v>
      </c>
      <c r="D10" s="9">
        <v>1094127.6666666665</v>
      </c>
      <c r="E10" s="117">
        <f t="shared" si="6"/>
        <v>1138.3333333334886</v>
      </c>
      <c r="F10" s="25">
        <v>135887.33333333331</v>
      </c>
      <c r="G10" s="119">
        <f t="shared" si="7"/>
        <v>717.66666666668607</v>
      </c>
      <c r="H10" s="132">
        <f t="shared" si="1"/>
        <v>1022.0000000026193</v>
      </c>
      <c r="I10" s="134">
        <f t="shared" si="2"/>
        <v>643.04408602369949</v>
      </c>
      <c r="J10" s="47">
        <v>4771853.0666666664</v>
      </c>
      <c r="K10" s="125">
        <f t="shared" si="8"/>
        <v>167.33333333395422</v>
      </c>
      <c r="L10" s="12">
        <v>469230.41935483902</v>
      </c>
      <c r="M10" s="125">
        <f t="shared" si="9"/>
        <v>24.677419354964513</v>
      </c>
      <c r="N10" s="12">
        <v>133057.861290323</v>
      </c>
      <c r="O10" s="125">
        <f t="shared" si="10"/>
        <v>72.945161290001124</v>
      </c>
      <c r="P10" s="47">
        <v>190301</v>
      </c>
      <c r="Q10" s="127">
        <f t="shared" si="11"/>
        <v>114</v>
      </c>
      <c r="R10" s="18">
        <f t="shared" si="12"/>
        <v>45697</v>
      </c>
      <c r="S10" s="29">
        <v>5571</v>
      </c>
      <c r="T10" s="30"/>
      <c r="U10" s="123">
        <f t="shared" si="13"/>
        <v>0</v>
      </c>
      <c r="V10" s="14">
        <v>0.56000000000000005</v>
      </c>
      <c r="W10" s="35">
        <v>0.59</v>
      </c>
      <c r="X10" s="36">
        <f t="shared" si="0"/>
        <v>2875</v>
      </c>
      <c r="Y10" s="105"/>
      <c r="Z10" s="138">
        <f t="shared" si="3"/>
        <v>0</v>
      </c>
      <c r="AA10" s="38">
        <v>111795.33333333334</v>
      </c>
      <c r="AB10" s="123">
        <f t="shared" si="14"/>
        <v>15.666666666656965</v>
      </c>
      <c r="AC10" s="38">
        <v>1285.3666666666668</v>
      </c>
      <c r="AD10" s="123">
        <f t="shared" si="15"/>
        <v>0.13333333333321207</v>
      </c>
      <c r="AE10" s="40">
        <v>73027</v>
      </c>
      <c r="AF10" s="123">
        <f t="shared" si="16"/>
        <v>0</v>
      </c>
      <c r="AG10" s="43">
        <v>3100</v>
      </c>
      <c r="AH10" s="111">
        <v>0</v>
      </c>
      <c r="AI10" s="138">
        <f t="shared" si="4"/>
        <v>0</v>
      </c>
      <c r="AJ10" s="11">
        <v>0</v>
      </c>
      <c r="AK10" s="16">
        <v>0</v>
      </c>
    </row>
    <row r="11" spans="1:37" x14ac:dyDescent="0.2">
      <c r="A11" s="18">
        <v>45698</v>
      </c>
      <c r="B11" s="8">
        <v>32510344</v>
      </c>
      <c r="C11" s="116">
        <f t="shared" si="5"/>
        <v>677</v>
      </c>
      <c r="D11" s="9">
        <v>1095266</v>
      </c>
      <c r="E11" s="117">
        <f t="shared" si="6"/>
        <v>1086</v>
      </c>
      <c r="F11" s="25">
        <v>136605</v>
      </c>
      <c r="G11" s="119">
        <f t="shared" si="7"/>
        <v>564</v>
      </c>
      <c r="H11" s="132">
        <f t="shared" si="1"/>
        <v>1199</v>
      </c>
      <c r="I11" s="134">
        <f t="shared" si="2"/>
        <v>821.37741935497615</v>
      </c>
      <c r="J11" s="47">
        <v>4772020.4000000004</v>
      </c>
      <c r="K11" s="125">
        <f t="shared" si="8"/>
        <v>166</v>
      </c>
      <c r="L11" s="12">
        <v>469255.09677419398</v>
      </c>
      <c r="M11" s="125">
        <f t="shared" si="9"/>
        <v>24.677419355022721</v>
      </c>
      <c r="N11" s="12">
        <v>133130.806451613</v>
      </c>
      <c r="O11" s="125">
        <f t="shared" si="10"/>
        <v>72.945161290001124</v>
      </c>
      <c r="P11" s="47">
        <v>190415</v>
      </c>
      <c r="Q11" s="127">
        <f t="shared" si="11"/>
        <v>114</v>
      </c>
      <c r="R11" s="18">
        <f t="shared" si="12"/>
        <v>45698</v>
      </c>
      <c r="S11" s="29">
        <v>5571</v>
      </c>
      <c r="T11" s="30"/>
      <c r="U11" s="123">
        <f t="shared" si="13"/>
        <v>0</v>
      </c>
      <c r="V11" s="14">
        <v>0.56000000000000005</v>
      </c>
      <c r="W11" s="35">
        <v>0.59</v>
      </c>
      <c r="X11" s="36">
        <f t="shared" si="0"/>
        <v>2875</v>
      </c>
      <c r="Y11" s="105"/>
      <c r="Z11" s="138">
        <f t="shared" si="3"/>
        <v>0</v>
      </c>
      <c r="AA11" s="38">
        <v>111811</v>
      </c>
      <c r="AB11" s="123">
        <f t="shared" si="14"/>
        <v>16</v>
      </c>
      <c r="AC11" s="38">
        <v>1285.5</v>
      </c>
      <c r="AD11" s="123">
        <f t="shared" si="15"/>
        <v>0.20000000000004547</v>
      </c>
      <c r="AE11" s="40">
        <v>73027</v>
      </c>
      <c r="AF11" s="123">
        <f t="shared" si="16"/>
        <v>0</v>
      </c>
      <c r="AG11" s="43">
        <v>3100</v>
      </c>
      <c r="AH11" s="111">
        <v>0</v>
      </c>
      <c r="AI11" s="138">
        <f t="shared" si="4"/>
        <v>0</v>
      </c>
      <c r="AJ11" s="11">
        <v>0</v>
      </c>
      <c r="AK11" s="16">
        <v>0</v>
      </c>
    </row>
    <row r="12" spans="1:37" x14ac:dyDescent="0.2">
      <c r="A12" s="18">
        <v>45699</v>
      </c>
      <c r="B12" s="8">
        <v>32511021</v>
      </c>
      <c r="C12" s="116">
        <f t="shared" si="5"/>
        <v>663</v>
      </c>
      <c r="D12" s="9">
        <v>1096352</v>
      </c>
      <c r="E12" s="117">
        <f t="shared" si="6"/>
        <v>1555</v>
      </c>
      <c r="F12" s="25">
        <v>137169</v>
      </c>
      <c r="G12" s="119">
        <f t="shared" si="7"/>
        <v>1054</v>
      </c>
      <c r="H12" s="132">
        <f t="shared" si="1"/>
        <v>1164</v>
      </c>
      <c r="I12" s="134">
        <f t="shared" si="2"/>
        <v>783.17741935572121</v>
      </c>
      <c r="J12" s="47">
        <v>4772186.4000000004</v>
      </c>
      <c r="K12" s="125">
        <f t="shared" si="8"/>
        <v>169.19999999925494</v>
      </c>
      <c r="L12" s="12">
        <v>469279.774193549</v>
      </c>
      <c r="M12" s="125">
        <f t="shared" si="9"/>
        <v>24.677419355022721</v>
      </c>
      <c r="N12" s="12">
        <v>133203.751612903</v>
      </c>
      <c r="O12" s="125">
        <f t="shared" si="10"/>
        <v>72.945161290001124</v>
      </c>
      <c r="P12" s="47">
        <v>190529</v>
      </c>
      <c r="Q12" s="127">
        <f t="shared" si="11"/>
        <v>114</v>
      </c>
      <c r="R12" s="18">
        <f t="shared" si="12"/>
        <v>45699</v>
      </c>
      <c r="S12" s="29">
        <v>5571</v>
      </c>
      <c r="T12" s="30"/>
      <c r="U12" s="123">
        <f t="shared" si="13"/>
        <v>0</v>
      </c>
      <c r="V12" s="14">
        <v>0.56000000000000005</v>
      </c>
      <c r="W12" s="35">
        <v>0.59</v>
      </c>
      <c r="X12" s="36">
        <f t="shared" si="0"/>
        <v>2875</v>
      </c>
      <c r="Y12" s="105"/>
      <c r="Z12" s="138">
        <f t="shared" si="3"/>
        <v>0</v>
      </c>
      <c r="AA12" s="38">
        <v>111827</v>
      </c>
      <c r="AB12" s="123">
        <f t="shared" si="14"/>
        <v>24</v>
      </c>
      <c r="AC12" s="38">
        <v>1285.7</v>
      </c>
      <c r="AD12" s="123">
        <f t="shared" si="15"/>
        <v>9.9999999999909051E-2</v>
      </c>
      <c r="AE12" s="40">
        <v>73027</v>
      </c>
      <c r="AF12" s="123">
        <f t="shared" si="16"/>
        <v>0</v>
      </c>
      <c r="AG12" s="43">
        <v>3100</v>
      </c>
      <c r="AH12" s="111">
        <v>0</v>
      </c>
      <c r="AI12" s="138">
        <f t="shared" si="4"/>
        <v>0</v>
      </c>
      <c r="AJ12" s="11">
        <v>0</v>
      </c>
      <c r="AK12" s="16">
        <v>0</v>
      </c>
    </row>
    <row r="13" spans="1:37" x14ac:dyDescent="0.2">
      <c r="A13" s="18">
        <v>45700</v>
      </c>
      <c r="B13" s="8">
        <v>32511684</v>
      </c>
      <c r="C13" s="116">
        <f t="shared" si="5"/>
        <v>654</v>
      </c>
      <c r="D13" s="9">
        <v>1097907</v>
      </c>
      <c r="E13" s="117">
        <f t="shared" si="6"/>
        <v>1829</v>
      </c>
      <c r="F13" s="25">
        <v>138223</v>
      </c>
      <c r="G13" s="119">
        <f t="shared" si="7"/>
        <v>747</v>
      </c>
      <c r="H13" s="132">
        <f t="shared" si="1"/>
        <v>1736</v>
      </c>
      <c r="I13" s="134">
        <f t="shared" si="2"/>
        <v>1364.3774193550344</v>
      </c>
      <c r="J13" s="47">
        <v>4772355.5999999996</v>
      </c>
      <c r="K13" s="125">
        <f t="shared" si="8"/>
        <v>160</v>
      </c>
      <c r="L13" s="12">
        <v>469304.45161290403</v>
      </c>
      <c r="M13" s="125">
        <f t="shared" si="9"/>
        <v>24.677419354964513</v>
      </c>
      <c r="N13" s="12">
        <v>133276.696774193</v>
      </c>
      <c r="O13" s="125">
        <f t="shared" si="10"/>
        <v>72.945161290001124</v>
      </c>
      <c r="P13" s="47">
        <v>190643</v>
      </c>
      <c r="Q13" s="127">
        <f t="shared" si="11"/>
        <v>114</v>
      </c>
      <c r="R13" s="18">
        <f t="shared" si="12"/>
        <v>45700</v>
      </c>
      <c r="S13" s="29">
        <v>5571</v>
      </c>
      <c r="T13" s="30"/>
      <c r="U13" s="123">
        <f t="shared" si="13"/>
        <v>0</v>
      </c>
      <c r="V13" s="14">
        <v>0.56000000000000005</v>
      </c>
      <c r="W13" s="35">
        <v>0.59</v>
      </c>
      <c r="X13" s="36">
        <f t="shared" si="0"/>
        <v>2875</v>
      </c>
      <c r="Y13" s="105"/>
      <c r="Z13" s="138">
        <f t="shared" si="3"/>
        <v>0</v>
      </c>
      <c r="AA13" s="38">
        <v>111851</v>
      </c>
      <c r="AB13" s="123">
        <f t="shared" si="14"/>
        <v>40</v>
      </c>
      <c r="AC13" s="38">
        <v>1285.8</v>
      </c>
      <c r="AD13" s="123">
        <f t="shared" si="15"/>
        <v>13.299999999999955</v>
      </c>
      <c r="AE13" s="40">
        <v>73027</v>
      </c>
      <c r="AF13" s="123">
        <f t="shared" si="16"/>
        <v>0</v>
      </c>
      <c r="AG13" s="43">
        <v>3100</v>
      </c>
      <c r="AH13" s="111">
        <v>0</v>
      </c>
      <c r="AI13" s="138">
        <f t="shared" si="4"/>
        <v>0</v>
      </c>
      <c r="AJ13" s="11">
        <v>0</v>
      </c>
      <c r="AK13" s="16">
        <v>0</v>
      </c>
    </row>
    <row r="14" spans="1:37" x14ac:dyDescent="0.2">
      <c r="A14" s="18">
        <v>45701</v>
      </c>
      <c r="B14" s="8">
        <v>32512338</v>
      </c>
      <c r="C14" s="116">
        <f t="shared" si="5"/>
        <v>586</v>
      </c>
      <c r="D14" s="9">
        <v>1099736</v>
      </c>
      <c r="E14" s="117">
        <f t="shared" si="6"/>
        <v>1018</v>
      </c>
      <c r="F14" s="25">
        <v>138970</v>
      </c>
      <c r="G14" s="119">
        <f t="shared" si="7"/>
        <v>1058</v>
      </c>
      <c r="H14" s="132">
        <f t="shared" si="1"/>
        <v>546</v>
      </c>
      <c r="I14" s="134">
        <f t="shared" si="2"/>
        <v>177.97741935460363</v>
      </c>
      <c r="J14" s="47">
        <v>4772515.5999999996</v>
      </c>
      <c r="K14" s="125">
        <f t="shared" si="8"/>
        <v>156.40000000037253</v>
      </c>
      <c r="L14" s="12">
        <v>469329.12903225899</v>
      </c>
      <c r="M14" s="125">
        <f t="shared" si="9"/>
        <v>24.677419355022721</v>
      </c>
      <c r="N14" s="12">
        <v>133349.641935483</v>
      </c>
      <c r="O14" s="125">
        <f t="shared" si="10"/>
        <v>72.945161290001124</v>
      </c>
      <c r="P14" s="47">
        <v>190757</v>
      </c>
      <c r="Q14" s="127">
        <f t="shared" si="11"/>
        <v>114</v>
      </c>
      <c r="R14" s="18">
        <f t="shared" si="12"/>
        <v>45701</v>
      </c>
      <c r="S14" s="29">
        <v>5571</v>
      </c>
      <c r="T14" s="30"/>
      <c r="U14" s="123">
        <f t="shared" si="13"/>
        <v>0</v>
      </c>
      <c r="V14" s="14">
        <v>0.56000000000000005</v>
      </c>
      <c r="W14" s="35">
        <v>0.59</v>
      </c>
      <c r="X14" s="36">
        <f t="shared" si="0"/>
        <v>2875</v>
      </c>
      <c r="Y14" s="105"/>
      <c r="Z14" s="138">
        <f t="shared" si="3"/>
        <v>0</v>
      </c>
      <c r="AA14" s="38">
        <v>111891</v>
      </c>
      <c r="AB14" s="123">
        <f t="shared" si="14"/>
        <v>31</v>
      </c>
      <c r="AC14" s="38">
        <v>1299.0999999999999</v>
      </c>
      <c r="AD14" s="123">
        <f t="shared" si="15"/>
        <v>8</v>
      </c>
      <c r="AE14" s="40">
        <v>73027</v>
      </c>
      <c r="AF14" s="123">
        <f t="shared" si="16"/>
        <v>0</v>
      </c>
      <c r="AG14" s="43">
        <v>3100</v>
      </c>
      <c r="AH14" s="111">
        <v>0</v>
      </c>
      <c r="AI14" s="138">
        <f t="shared" si="4"/>
        <v>0</v>
      </c>
      <c r="AJ14" s="11">
        <v>0</v>
      </c>
      <c r="AK14" s="16">
        <v>0</v>
      </c>
    </row>
    <row r="15" spans="1:37" x14ac:dyDescent="0.2">
      <c r="A15" s="18">
        <v>45702</v>
      </c>
      <c r="B15" s="8">
        <v>32512924</v>
      </c>
      <c r="C15" s="116">
        <f t="shared" si="5"/>
        <v>571.33333333209157</v>
      </c>
      <c r="D15" s="9">
        <v>1100754</v>
      </c>
      <c r="E15" s="117">
        <f t="shared" si="6"/>
        <v>1649</v>
      </c>
      <c r="F15" s="25">
        <v>140028</v>
      </c>
      <c r="G15" s="119">
        <f t="shared" si="7"/>
        <v>1200.666666666657</v>
      </c>
      <c r="H15" s="132">
        <f t="shared" si="1"/>
        <v>1019.6666666654346</v>
      </c>
      <c r="I15" s="134">
        <f t="shared" si="2"/>
        <v>649.91075268670102</v>
      </c>
      <c r="J15" s="47">
        <v>4772672</v>
      </c>
      <c r="K15" s="125">
        <f t="shared" si="8"/>
        <v>158.13333333376795</v>
      </c>
      <c r="L15" s="12">
        <v>469353.80645161401</v>
      </c>
      <c r="M15" s="125">
        <f t="shared" si="9"/>
        <v>24.677419354964513</v>
      </c>
      <c r="N15" s="12">
        <v>133422.587096773</v>
      </c>
      <c r="O15" s="125">
        <f t="shared" si="10"/>
        <v>72.945161290001124</v>
      </c>
      <c r="P15" s="47">
        <v>190871</v>
      </c>
      <c r="Q15" s="127">
        <f t="shared" si="11"/>
        <v>114</v>
      </c>
      <c r="R15" s="18">
        <f t="shared" si="12"/>
        <v>45702</v>
      </c>
      <c r="S15" s="29">
        <v>5571</v>
      </c>
      <c r="T15" s="30"/>
      <c r="U15" s="123">
        <f t="shared" si="13"/>
        <v>0</v>
      </c>
      <c r="V15" s="14">
        <v>0.56000000000000005</v>
      </c>
      <c r="W15" s="35">
        <v>0.59</v>
      </c>
      <c r="X15" s="36">
        <f t="shared" si="0"/>
        <v>2875</v>
      </c>
      <c r="Y15" s="105"/>
      <c r="Z15" s="138">
        <f t="shared" si="3"/>
        <v>0</v>
      </c>
      <c r="AA15" s="38">
        <v>111922</v>
      </c>
      <c r="AB15" s="123">
        <f t="shared" si="14"/>
        <v>21</v>
      </c>
      <c r="AC15" s="38">
        <v>1307.0999999999999</v>
      </c>
      <c r="AD15" s="123">
        <f t="shared" si="15"/>
        <v>0.20000000000004547</v>
      </c>
      <c r="AE15" s="40">
        <v>73027</v>
      </c>
      <c r="AF15" s="123">
        <f t="shared" si="16"/>
        <v>0</v>
      </c>
      <c r="AG15" s="43">
        <v>3100</v>
      </c>
      <c r="AH15" s="111">
        <v>0</v>
      </c>
      <c r="AI15" s="138">
        <f t="shared" si="4"/>
        <v>0</v>
      </c>
      <c r="AJ15" s="11">
        <v>0</v>
      </c>
      <c r="AK15" s="16">
        <v>0</v>
      </c>
    </row>
    <row r="16" spans="1:37" x14ac:dyDescent="0.2">
      <c r="A16" s="18">
        <v>45703</v>
      </c>
      <c r="B16" s="8">
        <v>32513495.333333332</v>
      </c>
      <c r="C16" s="116">
        <f t="shared" si="5"/>
        <v>571.33333333209157</v>
      </c>
      <c r="D16" s="9">
        <v>1102403</v>
      </c>
      <c r="E16" s="117">
        <f t="shared" si="6"/>
        <v>1649</v>
      </c>
      <c r="F16" s="25">
        <v>141228.66666666666</v>
      </c>
      <c r="G16" s="119">
        <f t="shared" si="7"/>
        <v>1200.666666666657</v>
      </c>
      <c r="H16" s="132">
        <f t="shared" si="1"/>
        <v>1019.6666666654346</v>
      </c>
      <c r="I16" s="134">
        <f t="shared" si="2"/>
        <v>649.91075268664281</v>
      </c>
      <c r="J16" s="47">
        <v>4772830.1333333338</v>
      </c>
      <c r="K16" s="125">
        <f t="shared" si="8"/>
        <v>158.13333333376795</v>
      </c>
      <c r="L16" s="12">
        <v>469378.48387096898</v>
      </c>
      <c r="M16" s="125">
        <f t="shared" si="9"/>
        <v>24.677419355022721</v>
      </c>
      <c r="N16" s="12">
        <v>133495.532258063</v>
      </c>
      <c r="O16" s="125">
        <f t="shared" si="10"/>
        <v>72.945161290001124</v>
      </c>
      <c r="P16" s="47">
        <v>190985</v>
      </c>
      <c r="Q16" s="127">
        <f t="shared" si="11"/>
        <v>114</v>
      </c>
      <c r="R16" s="18">
        <f t="shared" si="12"/>
        <v>45703</v>
      </c>
      <c r="S16" s="29">
        <v>5571</v>
      </c>
      <c r="T16" s="30"/>
      <c r="U16" s="123">
        <f t="shared" si="13"/>
        <v>0</v>
      </c>
      <c r="V16" s="14">
        <v>0.56000000000000005</v>
      </c>
      <c r="W16" s="35">
        <v>0.59</v>
      </c>
      <c r="X16" s="36">
        <f t="shared" si="0"/>
        <v>2875</v>
      </c>
      <c r="Y16" s="105"/>
      <c r="Z16" s="138">
        <f t="shared" si="3"/>
        <v>0</v>
      </c>
      <c r="AA16" s="38">
        <v>111943</v>
      </c>
      <c r="AB16" s="123">
        <f t="shared" si="14"/>
        <v>21</v>
      </c>
      <c r="AC16" s="38">
        <v>1307.3</v>
      </c>
      <c r="AD16" s="123">
        <f t="shared" si="15"/>
        <v>0.20000000000004547</v>
      </c>
      <c r="AE16" s="40">
        <v>73027</v>
      </c>
      <c r="AF16" s="123">
        <f t="shared" si="16"/>
        <v>0</v>
      </c>
      <c r="AG16" s="43">
        <v>3100</v>
      </c>
      <c r="AH16" s="111">
        <v>0</v>
      </c>
      <c r="AI16" s="138">
        <f t="shared" si="4"/>
        <v>0</v>
      </c>
      <c r="AJ16" s="11">
        <v>0</v>
      </c>
      <c r="AK16" s="16">
        <v>0</v>
      </c>
    </row>
    <row r="17" spans="1:37" x14ac:dyDescent="0.2">
      <c r="A17" s="18">
        <v>45704</v>
      </c>
      <c r="B17" s="8">
        <v>32514066.666666664</v>
      </c>
      <c r="C17" s="116">
        <f t="shared" si="5"/>
        <v>571.33333333581686</v>
      </c>
      <c r="D17" s="9">
        <v>1104052</v>
      </c>
      <c r="E17" s="117">
        <f t="shared" si="6"/>
        <v>1649</v>
      </c>
      <c r="F17" s="25">
        <v>142429.33333333331</v>
      </c>
      <c r="G17" s="119">
        <f t="shared" si="7"/>
        <v>1200.6666666666861</v>
      </c>
      <c r="H17" s="132">
        <f t="shared" si="1"/>
        <v>1019.6666666691308</v>
      </c>
      <c r="I17" s="134">
        <f t="shared" si="2"/>
        <v>649.91075269127032</v>
      </c>
      <c r="J17" s="47">
        <v>4772988.2666666675</v>
      </c>
      <c r="K17" s="125">
        <f t="shared" si="8"/>
        <v>158.13333333283663</v>
      </c>
      <c r="L17" s="12">
        <v>469403.161290324</v>
      </c>
      <c r="M17" s="125">
        <f t="shared" si="9"/>
        <v>24.677419355022721</v>
      </c>
      <c r="N17" s="12">
        <v>133568.477419353</v>
      </c>
      <c r="O17" s="125">
        <f t="shared" si="10"/>
        <v>72.945161290001124</v>
      </c>
      <c r="P17" s="47">
        <v>191099</v>
      </c>
      <c r="Q17" s="127">
        <f t="shared" si="11"/>
        <v>114</v>
      </c>
      <c r="R17" s="18">
        <f t="shared" si="12"/>
        <v>45704</v>
      </c>
      <c r="S17" s="29">
        <v>5571</v>
      </c>
      <c r="T17" s="30"/>
      <c r="U17" s="123">
        <f t="shared" si="13"/>
        <v>0</v>
      </c>
      <c r="V17" s="14">
        <v>0.56000000000000005</v>
      </c>
      <c r="W17" s="35">
        <v>0.59</v>
      </c>
      <c r="X17" s="36">
        <f t="shared" si="0"/>
        <v>2875</v>
      </c>
      <c r="Y17" s="105"/>
      <c r="Z17" s="138">
        <f t="shared" si="3"/>
        <v>0</v>
      </c>
      <c r="AA17" s="38">
        <v>111964</v>
      </c>
      <c r="AB17" s="123">
        <f t="shared" si="14"/>
        <v>21</v>
      </c>
      <c r="AC17" s="38">
        <v>1307.5</v>
      </c>
      <c r="AD17" s="123">
        <f t="shared" si="15"/>
        <v>0.20000000000004547</v>
      </c>
      <c r="AE17" s="40">
        <v>73027</v>
      </c>
      <c r="AF17" s="123">
        <f t="shared" si="16"/>
        <v>0</v>
      </c>
      <c r="AG17" s="43">
        <v>3100</v>
      </c>
      <c r="AH17" s="111">
        <v>0</v>
      </c>
      <c r="AI17" s="138">
        <f t="shared" si="4"/>
        <v>0</v>
      </c>
      <c r="AJ17" s="11">
        <v>0</v>
      </c>
      <c r="AK17" s="16">
        <v>0</v>
      </c>
    </row>
    <row r="18" spans="1:37" x14ac:dyDescent="0.2">
      <c r="A18" s="18">
        <v>45705</v>
      </c>
      <c r="B18" s="8">
        <v>32514638</v>
      </c>
      <c r="C18" s="116">
        <f t="shared" si="5"/>
        <v>664</v>
      </c>
      <c r="D18" s="9">
        <v>1105701</v>
      </c>
      <c r="E18" s="117">
        <f t="shared" si="6"/>
        <v>1031</v>
      </c>
      <c r="F18" s="25">
        <v>143630</v>
      </c>
      <c r="G18" s="119">
        <f t="shared" si="7"/>
        <v>515</v>
      </c>
      <c r="H18" s="132">
        <f t="shared" si="1"/>
        <v>1180</v>
      </c>
      <c r="I18" s="134">
        <f t="shared" si="2"/>
        <v>807.97741935559316</v>
      </c>
      <c r="J18" s="47">
        <v>4773146.4000000004</v>
      </c>
      <c r="K18" s="125">
        <f t="shared" si="8"/>
        <v>160.39999999944121</v>
      </c>
      <c r="L18" s="12">
        <v>469427.83870967902</v>
      </c>
      <c r="M18" s="125">
        <f t="shared" si="9"/>
        <v>24.677419354964513</v>
      </c>
      <c r="N18" s="12">
        <v>133641.422580643</v>
      </c>
      <c r="O18" s="125">
        <f t="shared" si="10"/>
        <v>72.945161290001124</v>
      </c>
      <c r="P18" s="47">
        <v>191213</v>
      </c>
      <c r="Q18" s="127">
        <f t="shared" si="11"/>
        <v>114</v>
      </c>
      <c r="R18" s="18">
        <f t="shared" si="12"/>
        <v>45705</v>
      </c>
      <c r="S18" s="29">
        <v>5571</v>
      </c>
      <c r="T18" s="30"/>
      <c r="U18" s="123">
        <f t="shared" si="13"/>
        <v>0</v>
      </c>
      <c r="V18" s="14">
        <v>0.56000000000000005</v>
      </c>
      <c r="W18" s="35">
        <v>0.59</v>
      </c>
      <c r="X18" s="36">
        <f t="shared" si="0"/>
        <v>2875</v>
      </c>
      <c r="Y18" s="105"/>
      <c r="Z18" s="138">
        <f t="shared" si="3"/>
        <v>0</v>
      </c>
      <c r="AA18" s="38">
        <v>111985</v>
      </c>
      <c r="AB18" s="123">
        <f t="shared" si="14"/>
        <v>26</v>
      </c>
      <c r="AC18" s="38">
        <v>1307.7</v>
      </c>
      <c r="AD18" s="123">
        <f t="shared" si="15"/>
        <v>0</v>
      </c>
      <c r="AE18" s="40">
        <v>73027</v>
      </c>
      <c r="AF18" s="123">
        <f t="shared" si="16"/>
        <v>0</v>
      </c>
      <c r="AG18" s="43">
        <v>3100</v>
      </c>
      <c r="AH18" s="111">
        <v>0</v>
      </c>
      <c r="AI18" s="138">
        <f t="shared" si="4"/>
        <v>0</v>
      </c>
      <c r="AJ18" s="11">
        <v>0</v>
      </c>
      <c r="AK18" s="16">
        <v>0</v>
      </c>
    </row>
    <row r="19" spans="1:37" x14ac:dyDescent="0.2">
      <c r="A19" s="18">
        <v>45706</v>
      </c>
      <c r="B19" s="8">
        <v>32515302</v>
      </c>
      <c r="C19" s="116">
        <f t="shared" si="5"/>
        <v>831</v>
      </c>
      <c r="D19" s="9">
        <v>1106732</v>
      </c>
      <c r="E19" s="117">
        <f t="shared" si="6"/>
        <v>573</v>
      </c>
      <c r="F19" s="25">
        <v>144145</v>
      </c>
      <c r="G19" s="119">
        <f t="shared" si="7"/>
        <v>146</v>
      </c>
      <c r="H19" s="132">
        <f t="shared" si="1"/>
        <v>1258</v>
      </c>
      <c r="I19" s="134">
        <f t="shared" si="2"/>
        <v>879.97741935460363</v>
      </c>
      <c r="J19" s="47">
        <v>4773306.8</v>
      </c>
      <c r="K19" s="125">
        <f t="shared" si="8"/>
        <v>166.40000000037253</v>
      </c>
      <c r="L19" s="12">
        <v>469452.51612903399</v>
      </c>
      <c r="M19" s="125">
        <f t="shared" si="9"/>
        <v>24.677419355022721</v>
      </c>
      <c r="N19" s="12">
        <v>133714.36774193301</v>
      </c>
      <c r="O19" s="125">
        <f t="shared" si="10"/>
        <v>72.945161290001124</v>
      </c>
      <c r="P19" s="47">
        <v>191327</v>
      </c>
      <c r="Q19" s="127">
        <f t="shared" si="11"/>
        <v>114</v>
      </c>
      <c r="R19" s="18">
        <f t="shared" si="12"/>
        <v>45706</v>
      </c>
      <c r="S19" s="29">
        <v>5571</v>
      </c>
      <c r="T19" s="30"/>
      <c r="U19" s="123">
        <f t="shared" si="13"/>
        <v>0</v>
      </c>
      <c r="V19" s="14">
        <v>0.56000000000000005</v>
      </c>
      <c r="W19" s="35">
        <v>0.59</v>
      </c>
      <c r="X19" s="36">
        <f t="shared" si="0"/>
        <v>2875</v>
      </c>
      <c r="Y19" s="105"/>
      <c r="Z19" s="138">
        <f t="shared" si="3"/>
        <v>0</v>
      </c>
      <c r="AA19" s="38">
        <v>112011</v>
      </c>
      <c r="AB19" s="123">
        <f t="shared" si="14"/>
        <v>20</v>
      </c>
      <c r="AC19" s="38">
        <v>1307.7</v>
      </c>
      <c r="AD19" s="123">
        <f t="shared" si="15"/>
        <v>0.20000000000004547</v>
      </c>
      <c r="AE19" s="40">
        <v>73027</v>
      </c>
      <c r="AF19" s="123">
        <f t="shared" si="16"/>
        <v>0</v>
      </c>
      <c r="AG19" s="43">
        <v>3100</v>
      </c>
      <c r="AH19" s="111">
        <v>0</v>
      </c>
      <c r="AI19" s="138">
        <f t="shared" si="4"/>
        <v>0</v>
      </c>
      <c r="AJ19" s="11">
        <v>0</v>
      </c>
      <c r="AK19" s="16">
        <v>0</v>
      </c>
    </row>
    <row r="20" spans="1:37" x14ac:dyDescent="0.2">
      <c r="A20" s="18">
        <v>45707</v>
      </c>
      <c r="B20" s="8">
        <v>32516133</v>
      </c>
      <c r="C20" s="116">
        <f t="shared" si="5"/>
        <v>668</v>
      </c>
      <c r="D20" s="9">
        <v>1107305</v>
      </c>
      <c r="E20" s="117">
        <f t="shared" si="6"/>
        <v>1551</v>
      </c>
      <c r="F20" s="25">
        <v>144291</v>
      </c>
      <c r="G20" s="119">
        <f t="shared" si="7"/>
        <v>958</v>
      </c>
      <c r="H20" s="132">
        <f t="shared" si="1"/>
        <v>1261</v>
      </c>
      <c r="I20" s="134">
        <f t="shared" si="2"/>
        <v>882.1774193548481</v>
      </c>
      <c r="J20" s="47">
        <v>4773473.2</v>
      </c>
      <c r="K20" s="125">
        <f t="shared" si="8"/>
        <v>167.20000000018626</v>
      </c>
      <c r="L20" s="12">
        <v>469477.19354838901</v>
      </c>
      <c r="M20" s="125">
        <f t="shared" si="9"/>
        <v>24.677419354964513</v>
      </c>
      <c r="N20" s="12">
        <v>133787.31290322301</v>
      </c>
      <c r="O20" s="125">
        <f t="shared" si="10"/>
        <v>72.945161290001124</v>
      </c>
      <c r="P20" s="47">
        <v>191441</v>
      </c>
      <c r="Q20" s="127">
        <f t="shared" si="11"/>
        <v>114</v>
      </c>
      <c r="R20" s="18">
        <f t="shared" si="12"/>
        <v>45707</v>
      </c>
      <c r="S20" s="29">
        <v>5571</v>
      </c>
      <c r="T20" s="30"/>
      <c r="U20" s="123">
        <f t="shared" si="13"/>
        <v>0</v>
      </c>
      <c r="V20" s="14">
        <v>0.56000000000000005</v>
      </c>
      <c r="W20" s="35">
        <v>0.59</v>
      </c>
      <c r="X20" s="36">
        <f t="shared" si="0"/>
        <v>2875</v>
      </c>
      <c r="Y20" s="105"/>
      <c r="Z20" s="138">
        <f t="shared" si="3"/>
        <v>0</v>
      </c>
      <c r="AA20" s="38">
        <v>112031</v>
      </c>
      <c r="AB20" s="123">
        <f t="shared" si="14"/>
        <v>15</v>
      </c>
      <c r="AC20" s="38">
        <v>1307.9000000000001</v>
      </c>
      <c r="AD20" s="123">
        <f t="shared" si="15"/>
        <v>0</v>
      </c>
      <c r="AE20" s="40">
        <v>73027</v>
      </c>
      <c r="AF20" s="123">
        <f t="shared" si="16"/>
        <v>0</v>
      </c>
      <c r="AG20" s="43">
        <v>3100</v>
      </c>
      <c r="AH20" s="111">
        <v>0</v>
      </c>
      <c r="AI20" s="138">
        <f t="shared" si="4"/>
        <v>0</v>
      </c>
      <c r="AJ20" s="11">
        <v>0</v>
      </c>
      <c r="AK20" s="16">
        <v>0</v>
      </c>
    </row>
    <row r="21" spans="1:37" x14ac:dyDescent="0.2">
      <c r="A21" s="18">
        <v>45708</v>
      </c>
      <c r="B21" s="8">
        <v>32516801</v>
      </c>
      <c r="C21" s="116">
        <f t="shared" si="5"/>
        <v>687</v>
      </c>
      <c r="D21" s="9">
        <v>1108856</v>
      </c>
      <c r="E21" s="117">
        <f t="shared" si="6"/>
        <v>863</v>
      </c>
      <c r="F21" s="25">
        <v>145249</v>
      </c>
      <c r="G21" s="119">
        <f t="shared" si="7"/>
        <v>541</v>
      </c>
      <c r="H21" s="132">
        <f t="shared" si="1"/>
        <v>1009</v>
      </c>
      <c r="I21" s="134">
        <f t="shared" si="2"/>
        <v>643.37741935497615</v>
      </c>
      <c r="J21" s="47">
        <v>4773640.4000000004</v>
      </c>
      <c r="K21" s="125">
        <f t="shared" si="8"/>
        <v>154</v>
      </c>
      <c r="L21" s="12">
        <v>469501.87096774398</v>
      </c>
      <c r="M21" s="125">
        <f t="shared" si="9"/>
        <v>24.677419355022721</v>
      </c>
      <c r="N21" s="12">
        <v>133860.25806451301</v>
      </c>
      <c r="O21" s="125">
        <f t="shared" si="10"/>
        <v>72.945161290001124</v>
      </c>
      <c r="P21" s="47">
        <v>191555</v>
      </c>
      <c r="Q21" s="127">
        <f t="shared" si="11"/>
        <v>114</v>
      </c>
      <c r="R21" s="18">
        <f t="shared" si="12"/>
        <v>45708</v>
      </c>
      <c r="S21" s="29">
        <v>5571</v>
      </c>
      <c r="T21" s="30"/>
      <c r="U21" s="123">
        <f t="shared" si="13"/>
        <v>0</v>
      </c>
      <c r="V21" s="14">
        <v>0.56000000000000005</v>
      </c>
      <c r="W21" s="35">
        <v>0.59</v>
      </c>
      <c r="X21" s="36">
        <f t="shared" si="0"/>
        <v>2875</v>
      </c>
      <c r="Y21" s="105"/>
      <c r="Z21" s="138">
        <f t="shared" si="3"/>
        <v>0</v>
      </c>
      <c r="AA21" s="38">
        <v>112046</v>
      </c>
      <c r="AB21" s="123">
        <f t="shared" si="14"/>
        <v>14</v>
      </c>
      <c r="AC21" s="38">
        <v>1307.9000000000001</v>
      </c>
      <c r="AD21" s="123">
        <f t="shared" si="15"/>
        <v>0.29999999999995453</v>
      </c>
      <c r="AE21" s="40">
        <v>73027</v>
      </c>
      <c r="AF21" s="123">
        <f t="shared" si="16"/>
        <v>0</v>
      </c>
      <c r="AG21" s="43">
        <v>3100</v>
      </c>
      <c r="AH21" s="111">
        <v>0</v>
      </c>
      <c r="AI21" s="138">
        <f t="shared" si="4"/>
        <v>0</v>
      </c>
      <c r="AJ21" s="11">
        <v>0</v>
      </c>
      <c r="AK21" s="16">
        <v>0</v>
      </c>
    </row>
    <row r="22" spans="1:37" x14ac:dyDescent="0.2">
      <c r="A22" s="18">
        <v>45709</v>
      </c>
      <c r="B22" s="8">
        <v>32517488</v>
      </c>
      <c r="C22" s="116">
        <f t="shared" si="5"/>
        <v>594.66666666790843</v>
      </c>
      <c r="D22" s="9">
        <v>1109719</v>
      </c>
      <c r="E22" s="117">
        <f t="shared" si="6"/>
        <v>1583.3333333332557</v>
      </c>
      <c r="F22" s="25">
        <v>145790</v>
      </c>
      <c r="G22" s="119">
        <f t="shared" si="7"/>
        <v>1163.333333333343</v>
      </c>
      <c r="H22" s="132">
        <f t="shared" si="1"/>
        <v>1014.6666666678211</v>
      </c>
      <c r="I22" s="134">
        <f t="shared" si="2"/>
        <v>643.97741935637896</v>
      </c>
      <c r="J22" s="47">
        <v>4773794.4000000004</v>
      </c>
      <c r="K22" s="125">
        <f t="shared" si="8"/>
        <v>159.06666666641831</v>
      </c>
      <c r="L22" s="12">
        <v>469526.548387099</v>
      </c>
      <c r="M22" s="125">
        <f t="shared" si="9"/>
        <v>24.677419355022721</v>
      </c>
      <c r="N22" s="12">
        <v>133933.20322580301</v>
      </c>
      <c r="O22" s="125">
        <f t="shared" si="10"/>
        <v>72.945161290001124</v>
      </c>
      <c r="P22" s="47">
        <v>191669</v>
      </c>
      <c r="Q22" s="127">
        <f t="shared" si="11"/>
        <v>114</v>
      </c>
      <c r="R22" s="18">
        <f t="shared" si="12"/>
        <v>45709</v>
      </c>
      <c r="S22" s="29">
        <v>5571</v>
      </c>
      <c r="T22" s="30"/>
      <c r="U22" s="123">
        <f t="shared" si="13"/>
        <v>0</v>
      </c>
      <c r="V22" s="14">
        <v>0.56000000000000005</v>
      </c>
      <c r="W22" s="35">
        <v>0.59</v>
      </c>
      <c r="X22" s="36">
        <f t="shared" si="0"/>
        <v>2875</v>
      </c>
      <c r="Y22" s="105"/>
      <c r="Z22" s="138">
        <f t="shared" si="3"/>
        <v>0</v>
      </c>
      <c r="AA22" s="38">
        <v>112060</v>
      </c>
      <c r="AB22" s="123">
        <f t="shared" si="14"/>
        <v>12</v>
      </c>
      <c r="AC22" s="38">
        <v>1308.2</v>
      </c>
      <c r="AD22" s="123">
        <f t="shared" si="15"/>
        <v>9.9999999999909051E-2</v>
      </c>
      <c r="AE22" s="40">
        <v>73027</v>
      </c>
      <c r="AF22" s="123">
        <f t="shared" si="16"/>
        <v>0</v>
      </c>
      <c r="AG22" s="43">
        <v>3100</v>
      </c>
      <c r="AH22" s="111">
        <v>0</v>
      </c>
      <c r="AI22" s="138">
        <f t="shared" si="4"/>
        <v>0</v>
      </c>
      <c r="AJ22" s="11">
        <v>0</v>
      </c>
      <c r="AK22" s="16">
        <v>0</v>
      </c>
    </row>
    <row r="23" spans="1:37" x14ac:dyDescent="0.2">
      <c r="A23" s="18">
        <v>45710</v>
      </c>
      <c r="B23" s="8">
        <v>32518082.666666668</v>
      </c>
      <c r="C23" s="116">
        <f t="shared" si="5"/>
        <v>594.66666666790843</v>
      </c>
      <c r="D23" s="9">
        <v>1111302.3333333333</v>
      </c>
      <c r="E23" s="117">
        <f t="shared" si="6"/>
        <v>1583.3333333332557</v>
      </c>
      <c r="F23" s="25">
        <v>146953.33333333334</v>
      </c>
      <c r="G23" s="119">
        <f t="shared" si="7"/>
        <v>1163.333333333343</v>
      </c>
      <c r="H23" s="132">
        <f t="shared" si="1"/>
        <v>1014.6666666678211</v>
      </c>
      <c r="I23" s="134">
        <f t="shared" si="2"/>
        <v>643.97741935643717</v>
      </c>
      <c r="J23" s="47">
        <v>4773953.4666666668</v>
      </c>
      <c r="K23" s="125">
        <f t="shared" si="8"/>
        <v>159.06666666641831</v>
      </c>
      <c r="L23" s="12">
        <v>469551.22580645402</v>
      </c>
      <c r="M23" s="125">
        <f t="shared" si="9"/>
        <v>24.677419354964513</v>
      </c>
      <c r="N23" s="12">
        <v>134006.14838709301</v>
      </c>
      <c r="O23" s="125">
        <f t="shared" si="10"/>
        <v>72.945161290001124</v>
      </c>
      <c r="P23" s="47">
        <v>191783</v>
      </c>
      <c r="Q23" s="127">
        <f t="shared" si="11"/>
        <v>114</v>
      </c>
      <c r="R23" s="18">
        <f t="shared" si="12"/>
        <v>45710</v>
      </c>
      <c r="S23" s="29">
        <v>5571</v>
      </c>
      <c r="T23" s="30"/>
      <c r="U23" s="123">
        <f t="shared" si="13"/>
        <v>0</v>
      </c>
      <c r="V23" s="14">
        <v>0.56000000000000005</v>
      </c>
      <c r="W23" s="35">
        <v>0.59</v>
      </c>
      <c r="X23" s="36">
        <f t="shared" si="0"/>
        <v>2875</v>
      </c>
      <c r="Y23" s="105"/>
      <c r="Z23" s="138">
        <f t="shared" si="3"/>
        <v>0</v>
      </c>
      <c r="AA23" s="38">
        <v>112072</v>
      </c>
      <c r="AB23" s="123">
        <f t="shared" si="14"/>
        <v>12</v>
      </c>
      <c r="AC23" s="38">
        <v>1308.3</v>
      </c>
      <c r="AD23" s="123">
        <f t="shared" si="15"/>
        <v>9.9999999999909051E-2</v>
      </c>
      <c r="AE23" s="40">
        <v>73027</v>
      </c>
      <c r="AF23" s="123">
        <f t="shared" si="16"/>
        <v>0</v>
      </c>
      <c r="AG23" s="43">
        <v>3100</v>
      </c>
      <c r="AH23" s="111">
        <v>0</v>
      </c>
      <c r="AI23" s="138">
        <f t="shared" si="4"/>
        <v>0</v>
      </c>
      <c r="AJ23" s="11">
        <v>0</v>
      </c>
      <c r="AK23" s="16">
        <v>0</v>
      </c>
    </row>
    <row r="24" spans="1:37" x14ac:dyDescent="0.2">
      <c r="A24" s="18">
        <v>45711</v>
      </c>
      <c r="B24" s="8">
        <v>32518677.333333336</v>
      </c>
      <c r="C24" s="116">
        <f t="shared" si="5"/>
        <v>594.66666666418314</v>
      </c>
      <c r="D24" s="9">
        <v>1112885.6666666665</v>
      </c>
      <c r="E24" s="117">
        <f t="shared" si="6"/>
        <v>1583.3333333334886</v>
      </c>
      <c r="F24" s="25">
        <v>148116.66666666669</v>
      </c>
      <c r="G24" s="119">
        <f t="shared" si="7"/>
        <v>1163.3333333333139</v>
      </c>
      <c r="H24" s="132">
        <f t="shared" si="1"/>
        <v>1014.6666666643578</v>
      </c>
      <c r="I24" s="134">
        <f t="shared" si="2"/>
        <v>643.9774193529156</v>
      </c>
      <c r="J24" s="47">
        <v>4774112.5333333332</v>
      </c>
      <c r="K24" s="125">
        <f t="shared" si="8"/>
        <v>159.06666666641831</v>
      </c>
      <c r="L24" s="12">
        <v>469575.90322580899</v>
      </c>
      <c r="M24" s="125">
        <f t="shared" si="9"/>
        <v>24.677419355022721</v>
      </c>
      <c r="N24" s="12">
        <v>134079.09354838301</v>
      </c>
      <c r="O24" s="125">
        <f t="shared" si="10"/>
        <v>72.945161290001124</v>
      </c>
      <c r="P24" s="47">
        <v>191897</v>
      </c>
      <c r="Q24" s="127">
        <f t="shared" si="11"/>
        <v>114</v>
      </c>
      <c r="R24" s="18">
        <f t="shared" si="12"/>
        <v>45711</v>
      </c>
      <c r="S24" s="29">
        <v>5571</v>
      </c>
      <c r="T24" s="30"/>
      <c r="U24" s="123">
        <f t="shared" si="13"/>
        <v>0</v>
      </c>
      <c r="V24" s="14">
        <v>0.56000000000000005</v>
      </c>
      <c r="W24" s="35">
        <v>0.59</v>
      </c>
      <c r="X24" s="36">
        <f t="shared" si="0"/>
        <v>2875</v>
      </c>
      <c r="Y24" s="105"/>
      <c r="Z24" s="138">
        <f t="shared" si="3"/>
        <v>0</v>
      </c>
      <c r="AA24" s="38">
        <v>112084</v>
      </c>
      <c r="AB24" s="123">
        <f t="shared" si="14"/>
        <v>12</v>
      </c>
      <c r="AC24" s="38">
        <v>1308.3999999999999</v>
      </c>
      <c r="AD24" s="123">
        <f t="shared" si="15"/>
        <v>0.10000000000013642</v>
      </c>
      <c r="AE24" s="40">
        <v>73027</v>
      </c>
      <c r="AF24" s="123">
        <f t="shared" si="16"/>
        <v>0</v>
      </c>
      <c r="AG24" s="43">
        <v>3100</v>
      </c>
      <c r="AH24" s="111">
        <v>0</v>
      </c>
      <c r="AI24" s="138">
        <f t="shared" si="4"/>
        <v>0</v>
      </c>
      <c r="AJ24" s="11">
        <v>0</v>
      </c>
      <c r="AK24" s="16">
        <v>0</v>
      </c>
    </row>
    <row r="25" spans="1:37" x14ac:dyDescent="0.2">
      <c r="A25" s="18">
        <v>45712</v>
      </c>
      <c r="B25" s="8">
        <v>32519272</v>
      </c>
      <c r="C25" s="116"/>
      <c r="D25" s="9">
        <v>1114469</v>
      </c>
      <c r="E25" s="117"/>
      <c r="F25" s="25">
        <v>149280</v>
      </c>
      <c r="G25" s="119"/>
      <c r="H25" s="132">
        <f t="shared" si="1"/>
        <v>0</v>
      </c>
      <c r="I25" s="134">
        <f t="shared" si="2"/>
        <v>0</v>
      </c>
      <c r="J25" s="47">
        <v>4774271.5999999996</v>
      </c>
      <c r="K25" s="125"/>
      <c r="L25" s="12">
        <v>469600.58064516401</v>
      </c>
      <c r="M25" s="125"/>
      <c r="N25" s="12">
        <v>134152.03870967301</v>
      </c>
      <c r="O25" s="125"/>
      <c r="P25" s="47">
        <v>192011</v>
      </c>
      <c r="Q25" s="127"/>
      <c r="R25" s="18">
        <f t="shared" si="12"/>
        <v>45712</v>
      </c>
      <c r="S25" s="29">
        <v>5571</v>
      </c>
      <c r="T25" s="30"/>
      <c r="U25" s="123"/>
      <c r="V25" s="14">
        <v>0.56000000000000005</v>
      </c>
      <c r="W25" s="35">
        <v>0.59</v>
      </c>
      <c r="X25" s="36">
        <f t="shared" si="0"/>
        <v>2875</v>
      </c>
      <c r="Y25" s="105"/>
      <c r="Z25" s="138"/>
      <c r="AA25" s="38">
        <v>112096</v>
      </c>
      <c r="AB25" s="123"/>
      <c r="AC25" s="38">
        <v>1308.5</v>
      </c>
      <c r="AD25" s="123"/>
      <c r="AE25" s="40">
        <v>73027</v>
      </c>
      <c r="AF25" s="123"/>
      <c r="AG25" s="43">
        <v>3100</v>
      </c>
      <c r="AH25" s="111">
        <v>0</v>
      </c>
      <c r="AI25" s="138">
        <f t="shared" si="4"/>
        <v>0</v>
      </c>
      <c r="AJ25" s="11">
        <v>0</v>
      </c>
      <c r="AK25" s="16">
        <v>0</v>
      </c>
    </row>
    <row r="26" spans="1:37" x14ac:dyDescent="0.2">
      <c r="A26" s="18">
        <v>45713</v>
      </c>
      <c r="B26" s="8"/>
      <c r="C26" s="116"/>
      <c r="D26" s="9"/>
      <c r="E26" s="117"/>
      <c r="F26" s="25"/>
      <c r="G26" s="119"/>
      <c r="H26" s="132">
        <f t="shared" si="1"/>
        <v>0</v>
      </c>
      <c r="I26" s="134">
        <f t="shared" si="2"/>
        <v>0</v>
      </c>
      <c r="J26" s="47"/>
      <c r="K26" s="125"/>
      <c r="L26" s="12"/>
      <c r="M26" s="125"/>
      <c r="N26" s="12"/>
      <c r="O26" s="125"/>
      <c r="P26" s="47"/>
      <c r="Q26" s="127"/>
      <c r="R26" s="18">
        <f t="shared" si="12"/>
        <v>45713</v>
      </c>
      <c r="S26" s="29"/>
      <c r="T26" s="30"/>
      <c r="U26" s="123"/>
      <c r="V26" s="14"/>
      <c r="W26" s="35"/>
      <c r="X26" s="36">
        <f t="shared" si="0"/>
        <v>0</v>
      </c>
      <c r="Y26" s="105"/>
      <c r="Z26" s="138"/>
      <c r="AA26" s="38"/>
      <c r="AB26" s="123"/>
      <c r="AC26" s="38"/>
      <c r="AD26" s="123"/>
      <c r="AE26" s="40"/>
      <c r="AF26" s="123"/>
      <c r="AG26" s="43">
        <v>3100</v>
      </c>
      <c r="AH26" s="111">
        <v>0</v>
      </c>
      <c r="AI26" s="138">
        <f t="shared" si="4"/>
        <v>0</v>
      </c>
      <c r="AJ26" s="11">
        <v>0</v>
      </c>
      <c r="AK26" s="16">
        <v>0</v>
      </c>
    </row>
    <row r="27" spans="1:37" x14ac:dyDescent="0.2">
      <c r="A27" s="18">
        <v>45714</v>
      </c>
      <c r="B27" s="8"/>
      <c r="C27" s="116"/>
      <c r="D27" s="9"/>
      <c r="E27" s="117"/>
      <c r="F27" s="25"/>
      <c r="G27" s="119"/>
      <c r="H27" s="132">
        <f t="shared" si="1"/>
        <v>0</v>
      </c>
      <c r="I27" s="134">
        <f t="shared" si="2"/>
        <v>0</v>
      </c>
      <c r="J27" s="47"/>
      <c r="K27" s="125"/>
      <c r="L27" s="12"/>
      <c r="M27" s="125"/>
      <c r="N27" s="12"/>
      <c r="O27" s="125"/>
      <c r="P27" s="47"/>
      <c r="Q27" s="127"/>
      <c r="R27" s="18">
        <f t="shared" si="12"/>
        <v>45714</v>
      </c>
      <c r="S27" s="29"/>
      <c r="T27" s="30"/>
      <c r="U27" s="123"/>
      <c r="V27" s="14"/>
      <c r="W27" s="35"/>
      <c r="X27" s="36">
        <f t="shared" si="0"/>
        <v>0</v>
      </c>
      <c r="Y27" s="105"/>
      <c r="Z27" s="138"/>
      <c r="AA27" s="38"/>
      <c r="AB27" s="123"/>
      <c r="AC27" s="38"/>
      <c r="AD27" s="123"/>
      <c r="AE27" s="40"/>
      <c r="AF27" s="123"/>
      <c r="AG27" s="43">
        <v>3100</v>
      </c>
      <c r="AH27" s="111">
        <v>0</v>
      </c>
      <c r="AI27" s="138">
        <f t="shared" si="4"/>
        <v>0</v>
      </c>
      <c r="AJ27" s="11">
        <v>0</v>
      </c>
      <c r="AK27" s="16">
        <v>0</v>
      </c>
    </row>
    <row r="28" spans="1:37" x14ac:dyDescent="0.2">
      <c r="A28" s="18">
        <v>45715</v>
      </c>
      <c r="B28" s="8"/>
      <c r="C28" s="116"/>
      <c r="D28" s="9"/>
      <c r="E28" s="117"/>
      <c r="F28" s="25"/>
      <c r="G28" s="119"/>
      <c r="H28" s="132">
        <f t="shared" si="1"/>
        <v>0</v>
      </c>
      <c r="I28" s="134">
        <f t="shared" si="2"/>
        <v>0</v>
      </c>
      <c r="J28" s="47"/>
      <c r="K28" s="125"/>
      <c r="L28" s="12"/>
      <c r="M28" s="125"/>
      <c r="N28" s="12"/>
      <c r="O28" s="125"/>
      <c r="P28" s="47"/>
      <c r="Q28" s="127"/>
      <c r="R28" s="18">
        <f t="shared" si="12"/>
        <v>45715</v>
      </c>
      <c r="S28" s="29"/>
      <c r="T28" s="30"/>
      <c r="U28" s="123"/>
      <c r="V28" s="14"/>
      <c r="W28" s="35"/>
      <c r="X28" s="36">
        <f t="shared" si="0"/>
        <v>0</v>
      </c>
      <c r="Y28" s="105"/>
      <c r="Z28" s="138"/>
      <c r="AA28" s="38"/>
      <c r="AB28" s="123"/>
      <c r="AC28" s="38"/>
      <c r="AD28" s="123"/>
      <c r="AE28" s="40"/>
      <c r="AF28" s="123"/>
      <c r="AG28" s="43">
        <v>3100</v>
      </c>
      <c r="AH28" s="111">
        <v>0</v>
      </c>
      <c r="AI28" s="138">
        <f t="shared" si="4"/>
        <v>0</v>
      </c>
      <c r="AJ28" s="11">
        <v>0</v>
      </c>
      <c r="AK28" s="16">
        <v>0</v>
      </c>
    </row>
    <row r="29" spans="1:37" x14ac:dyDescent="0.2">
      <c r="A29" s="18">
        <v>45716</v>
      </c>
      <c r="B29" s="8"/>
      <c r="C29" s="116"/>
      <c r="D29" s="9"/>
      <c r="E29" s="117"/>
      <c r="F29" s="25"/>
      <c r="G29" s="119"/>
      <c r="H29" s="132">
        <f t="shared" si="1"/>
        <v>0</v>
      </c>
      <c r="I29" s="134">
        <f t="shared" si="2"/>
        <v>0</v>
      </c>
      <c r="J29" s="47"/>
      <c r="K29" s="125"/>
      <c r="L29" s="12"/>
      <c r="M29" s="125"/>
      <c r="N29" s="12"/>
      <c r="O29" s="125"/>
      <c r="P29" s="47"/>
      <c r="Q29" s="127"/>
      <c r="R29" s="18">
        <f t="shared" si="12"/>
        <v>45716</v>
      </c>
      <c r="S29" s="29"/>
      <c r="T29" s="30"/>
      <c r="U29" s="123"/>
      <c r="V29" s="14"/>
      <c r="W29" s="35"/>
      <c r="X29" s="36">
        <f t="shared" si="0"/>
        <v>0</v>
      </c>
      <c r="Y29" s="105"/>
      <c r="Z29" s="138"/>
      <c r="AA29" s="38"/>
      <c r="AB29" s="123"/>
      <c r="AC29" s="38"/>
      <c r="AD29" s="123"/>
      <c r="AE29" s="40"/>
      <c r="AF29" s="123"/>
      <c r="AG29" s="43">
        <v>3100</v>
      </c>
      <c r="AH29" s="111">
        <v>0</v>
      </c>
      <c r="AI29" s="138">
        <f t="shared" si="4"/>
        <v>0</v>
      </c>
      <c r="AJ29" s="11">
        <v>0</v>
      </c>
      <c r="AK29" s="16">
        <v>0</v>
      </c>
    </row>
    <row r="30" spans="1:37" x14ac:dyDescent="0.2">
      <c r="A30" s="18">
        <v>45717</v>
      </c>
      <c r="B30" s="8"/>
      <c r="C30" s="116"/>
      <c r="D30" s="9"/>
      <c r="E30" s="117"/>
      <c r="F30" s="25"/>
      <c r="G30" s="119"/>
      <c r="H30" s="132">
        <f t="shared" si="1"/>
        <v>0</v>
      </c>
      <c r="I30" s="134">
        <f t="shared" si="2"/>
        <v>0</v>
      </c>
      <c r="J30" s="47"/>
      <c r="K30" s="125"/>
      <c r="L30" s="12"/>
      <c r="M30" s="125"/>
      <c r="N30" s="12"/>
      <c r="O30" s="125"/>
      <c r="P30" s="47"/>
      <c r="Q30" s="127"/>
      <c r="R30" s="18">
        <f t="shared" si="12"/>
        <v>45717</v>
      </c>
      <c r="S30" s="29"/>
      <c r="T30" s="30"/>
      <c r="U30" s="123"/>
      <c r="V30" s="14"/>
      <c r="W30" s="35"/>
      <c r="X30" s="36">
        <f t="shared" si="0"/>
        <v>0</v>
      </c>
      <c r="Y30" s="105"/>
      <c r="Z30" s="138"/>
      <c r="AA30" s="38"/>
      <c r="AB30" s="123"/>
      <c r="AC30" s="38"/>
      <c r="AD30" s="123"/>
      <c r="AE30" s="40"/>
      <c r="AF30" s="123"/>
      <c r="AG30" s="43">
        <v>3100</v>
      </c>
      <c r="AH30" s="111">
        <v>0</v>
      </c>
      <c r="AI30" s="138"/>
      <c r="AJ30" s="11"/>
      <c r="AK30" s="16"/>
    </row>
    <row r="31" spans="1:37" x14ac:dyDescent="0.2">
      <c r="A31" s="18">
        <v>45718</v>
      </c>
      <c r="B31" s="8"/>
      <c r="C31" s="116"/>
      <c r="D31" s="9"/>
      <c r="E31" s="117"/>
      <c r="F31" s="26"/>
      <c r="G31" s="119"/>
      <c r="H31" s="132">
        <f t="shared" si="1"/>
        <v>0</v>
      </c>
      <c r="I31" s="134">
        <f t="shared" si="2"/>
        <v>0</v>
      </c>
      <c r="J31" s="48"/>
      <c r="K31" s="125"/>
      <c r="L31" s="12"/>
      <c r="M31" s="125"/>
      <c r="N31" s="12"/>
      <c r="O31" s="125"/>
      <c r="P31" s="47"/>
      <c r="Q31" s="127"/>
      <c r="R31" s="18">
        <f t="shared" si="12"/>
        <v>45718</v>
      </c>
      <c r="S31" s="29"/>
      <c r="T31" s="30"/>
      <c r="U31" s="123"/>
      <c r="V31" s="14"/>
      <c r="W31" s="35"/>
      <c r="X31" s="36">
        <f t="shared" si="0"/>
        <v>0</v>
      </c>
      <c r="Y31" s="105"/>
      <c r="Z31" s="138"/>
      <c r="AA31" s="38"/>
      <c r="AB31" s="123"/>
      <c r="AC31" s="44"/>
      <c r="AD31" s="123"/>
      <c r="AE31" s="40"/>
      <c r="AF31" s="123"/>
      <c r="AG31" s="43">
        <v>3100</v>
      </c>
      <c r="AH31" s="111">
        <v>0</v>
      </c>
      <c r="AI31" s="138"/>
      <c r="AJ31" s="11"/>
      <c r="AK31" s="16"/>
    </row>
    <row r="32" spans="1:37" x14ac:dyDescent="0.2">
      <c r="A32" s="18">
        <v>45719</v>
      </c>
      <c r="B32" s="8"/>
      <c r="C32" s="116"/>
      <c r="D32" s="9"/>
      <c r="E32" s="117"/>
      <c r="F32" s="26"/>
      <c r="G32" s="119"/>
      <c r="H32" s="132">
        <f t="shared" si="1"/>
        <v>0</v>
      </c>
      <c r="I32" s="134">
        <f t="shared" si="2"/>
        <v>0</v>
      </c>
      <c r="J32" s="48"/>
      <c r="K32" s="125"/>
      <c r="L32" s="12"/>
      <c r="M32" s="125"/>
      <c r="N32" s="12"/>
      <c r="O32" s="125"/>
      <c r="P32" s="47"/>
      <c r="Q32" s="127"/>
      <c r="R32" s="18">
        <f t="shared" si="12"/>
        <v>45719</v>
      </c>
      <c r="S32" s="29"/>
      <c r="T32" s="30"/>
      <c r="U32" s="123"/>
      <c r="V32" s="14"/>
      <c r="W32" s="35"/>
      <c r="X32" s="36">
        <f t="shared" si="0"/>
        <v>0</v>
      </c>
      <c r="Y32" s="105"/>
      <c r="Z32" s="138"/>
      <c r="AA32" s="38"/>
      <c r="AB32" s="123"/>
      <c r="AC32" s="44"/>
      <c r="AD32" s="123"/>
      <c r="AE32" s="40"/>
      <c r="AF32" s="123"/>
      <c r="AG32" s="43">
        <v>3100</v>
      </c>
      <c r="AH32" s="111">
        <v>0</v>
      </c>
      <c r="AI32" s="138"/>
      <c r="AJ32" s="11"/>
      <c r="AK32" s="16"/>
    </row>
    <row r="33" spans="1:37" x14ac:dyDescent="0.2">
      <c r="A33" s="18">
        <v>45720</v>
      </c>
      <c r="B33" s="8"/>
      <c r="C33" s="116"/>
      <c r="D33" s="9"/>
      <c r="E33" s="117"/>
      <c r="F33" s="26"/>
      <c r="G33" s="120"/>
      <c r="H33" s="132"/>
      <c r="I33" s="134"/>
      <c r="J33" s="48"/>
      <c r="K33" s="125"/>
      <c r="L33" s="81"/>
      <c r="M33" s="125"/>
      <c r="N33" s="81"/>
      <c r="O33" s="125"/>
      <c r="P33" s="81"/>
      <c r="Q33" s="128"/>
      <c r="R33" s="18">
        <f>A33</f>
        <v>45720</v>
      </c>
      <c r="S33" s="82"/>
      <c r="T33" s="30"/>
      <c r="U33" s="123"/>
      <c r="V33" s="83"/>
      <c r="W33" s="35"/>
      <c r="X33" s="36">
        <f t="shared" si="0"/>
        <v>0</v>
      </c>
      <c r="Y33" s="105"/>
      <c r="Z33" s="123"/>
      <c r="AA33" s="84"/>
      <c r="AB33" s="123"/>
      <c r="AC33" s="85"/>
      <c r="AD33" s="123"/>
      <c r="AE33" s="86"/>
      <c r="AF33" s="123"/>
      <c r="AG33" s="87">
        <v>3100</v>
      </c>
      <c r="AH33" s="111">
        <v>0</v>
      </c>
      <c r="AI33" s="123"/>
      <c r="AJ33" s="88"/>
      <c r="AK33" s="16"/>
    </row>
    <row r="34" spans="1:37" s="98" customFormat="1" ht="11.25" x14ac:dyDescent="0.2">
      <c r="A34" s="92"/>
      <c r="B34" s="92"/>
      <c r="C34" s="89">
        <f>SUM(C2:C33)</f>
        <v>14592</v>
      </c>
      <c r="D34" s="93"/>
      <c r="E34" s="89">
        <f>SUM(E2:E33)</f>
        <v>30247.333333333256</v>
      </c>
      <c r="F34" s="94"/>
      <c r="G34" s="90">
        <f>SUM(G2:G33)</f>
        <v>19882.333333333328</v>
      </c>
      <c r="H34" s="101">
        <f>SUM(H2:H33)</f>
        <v>24956.999999999927</v>
      </c>
      <c r="I34" s="100">
        <f>SUM(I2:I32)</f>
        <v>16291.280645163453</v>
      </c>
      <c r="J34" s="94"/>
      <c r="K34" s="91">
        <f>SUM(K2:K33)</f>
        <v>3798.3999999994412</v>
      </c>
      <c r="L34" s="94"/>
      <c r="M34" s="91">
        <f>SUM(M2:M33)</f>
        <v>567.58064516400918</v>
      </c>
      <c r="N34" s="94"/>
      <c r="O34" s="91">
        <f>SUM(O2:O33)</f>
        <v>1677.7387096730235</v>
      </c>
      <c r="P34" s="94"/>
      <c r="Q34" s="99">
        <f>SUM(Q2:Q33)</f>
        <v>2622</v>
      </c>
      <c r="R34" s="96"/>
      <c r="S34" s="93"/>
      <c r="T34" s="93"/>
      <c r="U34" s="102">
        <f>SUM(U2:U33)</f>
        <v>0</v>
      </c>
      <c r="V34" s="96"/>
      <c r="W34" s="96"/>
      <c r="X34" s="96"/>
      <c r="Y34" s="104">
        <f>SUM(Y2:Y33)</f>
        <v>0</v>
      </c>
      <c r="Z34" s="103">
        <f>SUM(Z2:Z33)</f>
        <v>0</v>
      </c>
      <c r="AA34" s="96"/>
      <c r="AB34" s="106">
        <f>SUM(AB2:AB33)</f>
        <v>378</v>
      </c>
      <c r="AC34" s="94"/>
      <c r="AD34" s="106">
        <f>SUM(AD2:AD33)</f>
        <v>25.866666666666561</v>
      </c>
      <c r="AE34" s="96"/>
      <c r="AF34" s="107">
        <f>SUM(AF2:AF33)</f>
        <v>0</v>
      </c>
      <c r="AG34" s="96"/>
      <c r="AH34" s="109">
        <f>SUM(AH2:AH33)</f>
        <v>0</v>
      </c>
      <c r="AI34" s="108">
        <f>SUM(AI2:AI33)</f>
        <v>0</v>
      </c>
      <c r="AJ34" s="97">
        <f>SUM(AJ2:AJ33)</f>
        <v>0</v>
      </c>
      <c r="AK34" s="95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9"/>
      <c r="I37" s="49"/>
      <c r="J37" s="1"/>
      <c r="L37" s="1"/>
      <c r="N37" s="1"/>
      <c r="O37" s="45"/>
      <c r="P37" s="1"/>
      <c r="Q37" s="45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2025-02-24T07:49:57Z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