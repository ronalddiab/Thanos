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R:\Engineering\Energy Data\HEP EEG\"/>
    </mc:Choice>
  </mc:AlternateContent>
  <xr:revisionPtr revIDLastSave="0" documentId="14_{C790E2F1-0553-4EC3-9B60-63510C7AB9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Print_Area" localSheetId="1">Sheet2!$A$1:$F$73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2" i="2" l="1"/>
  <c r="F66" i="2"/>
  <c r="F65" i="2"/>
  <c r="F58" i="2"/>
  <c r="F55" i="2"/>
  <c r="F87" i="2"/>
  <c r="E87" i="2"/>
  <c r="F80" i="2"/>
  <c r="E80" i="2"/>
  <c r="F73" i="2"/>
  <c r="E73" i="2"/>
  <c r="E66" i="2"/>
  <c r="E58" i="2"/>
  <c r="F51" i="2"/>
  <c r="E51" i="2"/>
  <c r="F44" i="2"/>
  <c r="E44" i="2"/>
  <c r="F36" i="2"/>
  <c r="E36" i="2"/>
  <c r="F29" i="2"/>
  <c r="E29" i="2"/>
  <c r="F22" i="2"/>
  <c r="E22" i="2"/>
  <c r="F14" i="2"/>
  <c r="E14" i="2"/>
  <c r="E7" i="2"/>
  <c r="F7" i="2"/>
</calcChain>
</file>

<file path=xl/sharedStrings.xml><?xml version="1.0" encoding="utf-8"?>
<sst xmlns="http://schemas.openxmlformats.org/spreadsheetml/2006/main" count="88" uniqueCount="14">
  <si>
    <t>Site Name</t>
  </si>
  <si>
    <t>Month</t>
  </si>
  <si>
    <t>Year</t>
  </si>
  <si>
    <t>Total (per Unit) kitchen grease</t>
  </si>
  <si>
    <t>Total cost kitchen grease</t>
  </si>
  <si>
    <t>Total (per Unit) general municipal solid waste</t>
  </si>
  <si>
    <t>Total cost general municipal solid waste</t>
  </si>
  <si>
    <t>Scottsdale</t>
  </si>
  <si>
    <t>Week 1</t>
  </si>
  <si>
    <t>Week 3</t>
  </si>
  <si>
    <t>Week 4</t>
  </si>
  <si>
    <t>Week 2</t>
  </si>
  <si>
    <t>Total</t>
  </si>
  <si>
    <t>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</si>
</sst>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2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1" fillId="0" borderId="0" xfId="0" applyFont="1" applyFill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44" fontId="0" fillId="0" borderId="0" xfId="1" applyFont="1" applyFill="1"/>
    <xf numFmtId="1" fontId="1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44" fontId="0" fillId="2" borderId="0" xfId="1" applyFont="1" applyFill="1"/>
    <xf numFmtId="44" fontId="0" fillId="0" borderId="0" xfId="1" applyFont="1"/>
    <xf numFmtId="0" fontId="0" fillId="0" borderId="0" xfId="0" applyAlignment="1">
      <alignment horizontal="center" vertical="center"/>
    </xf>
    <xf numFmtId="2" fontId="0" fillId="0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8" sqref="F8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  <col min="6" max="6" width="14.7109375" style="5" customWidth="1"/>
    <col min="7" max="7" width="36.5703125" style="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7</v>
      </c>
      <c r="B2" s="1">
        <v>1</v>
      </c>
      <c r="C2" s="1">
        <v>2022</v>
      </c>
      <c r="F2" s="5">
        <v>29.63</v>
      </c>
      <c r="G2" s="5">
        <v>3548.45</v>
      </c>
    </row>
    <row r="3" spans="1:7" x14ac:dyDescent="0.25">
      <c r="A3" t="s">
        <v>7</v>
      </c>
      <c r="B3" s="1">
        <v>2</v>
      </c>
      <c r="C3" s="1">
        <v>2022</v>
      </c>
      <c r="F3" s="5">
        <v>28.22</v>
      </c>
      <c r="G3" s="5">
        <v>3306.23</v>
      </c>
    </row>
    <row r="4" spans="1:7" x14ac:dyDescent="0.25">
      <c r="A4" t="s">
        <v>7</v>
      </c>
      <c r="B4" s="1">
        <v>3</v>
      </c>
      <c r="C4" s="1">
        <v>2022</v>
      </c>
      <c r="F4" s="5">
        <v>44.68</v>
      </c>
      <c r="G4" s="5">
        <v>5155.1499999999996</v>
      </c>
    </row>
    <row r="5" spans="1:7" x14ac:dyDescent="0.25">
      <c r="A5" t="s">
        <v>7</v>
      </c>
      <c r="B5" s="2">
        <v>4</v>
      </c>
      <c r="C5" s="1">
        <v>2022</v>
      </c>
      <c r="F5" s="5">
        <v>38.82</v>
      </c>
      <c r="G5" s="5">
        <v>4417.3100000000004</v>
      </c>
    </row>
    <row r="6" spans="1:7" x14ac:dyDescent="0.25">
      <c r="A6" t="s">
        <v>7</v>
      </c>
      <c r="B6" s="1">
        <v>5</v>
      </c>
      <c r="C6" s="1">
        <v>2022</v>
      </c>
      <c r="F6" s="5">
        <v>36.36</v>
      </c>
      <c r="G6" s="5">
        <v>4184.74</v>
      </c>
    </row>
    <row r="7" spans="1:7" x14ac:dyDescent="0.25">
      <c r="A7" t="s">
        <v>7</v>
      </c>
      <c r="B7" s="1">
        <v>6</v>
      </c>
      <c r="C7" s="1">
        <v>2022</v>
      </c>
      <c r="F7" s="5">
        <v>41.96</v>
      </c>
      <c r="G7" s="5">
        <v>4895.71</v>
      </c>
    </row>
    <row r="8" spans="1:7" x14ac:dyDescent="0.25">
      <c r="A8" t="s">
        <v>7</v>
      </c>
      <c r="B8" s="1">
        <v>7</v>
      </c>
      <c r="C8" s="1">
        <v>2022</v>
      </c>
      <c r="F8" s="5">
        <v>26.44</v>
      </c>
      <c r="G8" s="21">
        <v>3303.4</v>
      </c>
    </row>
    <row r="9" spans="1:7" x14ac:dyDescent="0.25">
      <c r="A9" t="s">
        <v>7</v>
      </c>
      <c r="B9" s="1">
        <v>8</v>
      </c>
      <c r="C9" s="1">
        <v>2022</v>
      </c>
      <c r="F9" s="5">
        <v>25.03</v>
      </c>
      <c r="G9" s="5">
        <v>3170.46</v>
      </c>
    </row>
    <row r="10" spans="1:7" x14ac:dyDescent="0.25">
      <c r="A10" t="s">
        <v>7</v>
      </c>
      <c r="B10" s="1">
        <v>9</v>
      </c>
      <c r="C10" s="1">
        <v>2022</v>
      </c>
      <c r="F10" s="5">
        <v>31.11</v>
      </c>
      <c r="G10" s="5">
        <v>3167.25</v>
      </c>
    </row>
    <row r="11" spans="1:7" x14ac:dyDescent="0.25">
      <c r="A11" t="s">
        <v>7</v>
      </c>
      <c r="B11" s="1">
        <v>10</v>
      </c>
      <c r="C11" s="1">
        <v>2022</v>
      </c>
      <c r="F11" s="5">
        <v>39.14</v>
      </c>
      <c r="G11" s="5">
        <v>2736.07</v>
      </c>
    </row>
    <row r="12" spans="1:7" x14ac:dyDescent="0.25">
      <c r="A12" t="s">
        <v>7</v>
      </c>
      <c r="B12" s="1">
        <v>11</v>
      </c>
      <c r="C12" s="1">
        <v>2022</v>
      </c>
    </row>
    <row r="13" spans="1:7" x14ac:dyDescent="0.25">
      <c r="A13" t="s">
        <v>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E02F-D2E9-473D-901E-BA4A5F2F9149}">
  <sheetPr>
    <pageSetUpPr fitToPage="1"/>
  </sheetPr>
  <dimension ref="A1:M87"/>
  <sheetViews>
    <sheetView workbookViewId="0">
      <selection sqref="A1:F73"/>
    </sheetView>
  </sheetViews>
  <sheetFormatPr defaultRowHeight="15" x14ac:dyDescent="0.25"/>
  <cols>
    <col min="3" max="3" width="15.28515625" customWidth="1"/>
    <col min="4" max="4" width="14.140625" customWidth="1"/>
    <col min="5" max="5" width="23.140625" customWidth="1"/>
    <col min="6" max="6" width="20.85546875" customWidth="1"/>
  </cols>
  <sheetData>
    <row r="1" spans="1:6" ht="30" x14ac:dyDescent="0.25">
      <c r="A1" s="7" t="s">
        <v>1</v>
      </c>
      <c r="B1" s="7" t="s">
        <v>2</v>
      </c>
      <c r="C1" s="8" t="s">
        <v>3</v>
      </c>
      <c r="D1" s="8" t="s">
        <v>4</v>
      </c>
      <c r="E1" s="8" t="s">
        <v>5</v>
      </c>
      <c r="F1" s="6" t="s">
        <v>6</v>
      </c>
    </row>
    <row r="2" spans="1:6" x14ac:dyDescent="0.25">
      <c r="A2" s="10">
        <v>1</v>
      </c>
      <c r="B2" s="10">
        <v>2022</v>
      </c>
      <c r="C2" s="5"/>
      <c r="D2" s="5"/>
      <c r="E2" s="5"/>
      <c r="F2" s="5"/>
    </row>
    <row r="3" spans="1:6" x14ac:dyDescent="0.25">
      <c r="A3" s="9" t="s">
        <v>8</v>
      </c>
      <c r="B3" s="9"/>
      <c r="C3" s="5"/>
      <c r="D3" s="5"/>
      <c r="E3" s="12">
        <v>2.41</v>
      </c>
      <c r="F3" s="13"/>
    </row>
    <row r="4" spans="1:6" x14ac:dyDescent="0.25">
      <c r="A4" s="9" t="s">
        <v>11</v>
      </c>
      <c r="B4" s="9"/>
      <c r="C4" s="5"/>
      <c r="D4" s="5"/>
      <c r="E4" s="12">
        <v>3.54</v>
      </c>
      <c r="F4" s="13">
        <v>1881.53</v>
      </c>
    </row>
    <row r="5" spans="1:6" x14ac:dyDescent="0.25">
      <c r="A5" s="9" t="s">
        <v>9</v>
      </c>
      <c r="B5" s="9"/>
      <c r="C5" s="5"/>
      <c r="D5" s="5"/>
      <c r="E5" s="12">
        <v>0.64</v>
      </c>
      <c r="F5" s="13"/>
    </row>
    <row r="6" spans="1:6" x14ac:dyDescent="0.25">
      <c r="A6" s="9" t="s">
        <v>10</v>
      </c>
      <c r="B6" s="9"/>
      <c r="C6" s="5"/>
      <c r="D6" s="5"/>
      <c r="E6" s="12">
        <v>3.04</v>
      </c>
      <c r="F6" s="13">
        <v>1666.92</v>
      </c>
    </row>
    <row r="7" spans="1:6" x14ac:dyDescent="0.25">
      <c r="A7" s="14" t="s">
        <v>12</v>
      </c>
      <c r="B7" s="15"/>
      <c r="C7" s="16"/>
      <c r="D7" s="16"/>
      <c r="E7" s="17">
        <f>SUM(E3:E6)</f>
        <v>9.629999999999999</v>
      </c>
      <c r="F7" s="18">
        <f>SUM(F4,F6)</f>
        <v>3548.45</v>
      </c>
    </row>
    <row r="8" spans="1:6" x14ac:dyDescent="0.25">
      <c r="A8" s="9"/>
      <c r="B8" s="9"/>
      <c r="C8" s="5"/>
      <c r="D8" s="5"/>
      <c r="E8" s="5"/>
      <c r="F8" s="5"/>
    </row>
    <row r="9" spans="1:6" x14ac:dyDescent="0.25">
      <c r="A9" s="10">
        <v>2</v>
      </c>
      <c r="B9" s="10">
        <v>2022</v>
      </c>
      <c r="C9" s="5"/>
      <c r="D9" s="5"/>
      <c r="E9" s="5"/>
      <c r="F9" s="5"/>
    </row>
    <row r="10" spans="1:6" x14ac:dyDescent="0.25">
      <c r="A10" s="9" t="s">
        <v>8</v>
      </c>
      <c r="B10" s="9"/>
      <c r="C10" s="5"/>
      <c r="D10" s="5"/>
      <c r="E10" s="11">
        <v>3.54</v>
      </c>
      <c r="F10" s="13"/>
    </row>
    <row r="11" spans="1:6" x14ac:dyDescent="0.25">
      <c r="A11" s="9" t="s">
        <v>11</v>
      </c>
      <c r="B11" s="9"/>
      <c r="C11" s="5"/>
      <c r="D11" s="5"/>
      <c r="E11" s="11">
        <v>3.23</v>
      </c>
      <c r="F11" s="13">
        <v>1959.06</v>
      </c>
    </row>
    <row r="12" spans="1:6" x14ac:dyDescent="0.25">
      <c r="A12" s="9" t="s">
        <v>9</v>
      </c>
      <c r="B12" s="9"/>
      <c r="C12" s="5"/>
      <c r="D12" s="5"/>
      <c r="E12" s="11">
        <v>6.45</v>
      </c>
      <c r="F12" s="13"/>
    </row>
    <row r="13" spans="1:6" x14ac:dyDescent="0.25">
      <c r="A13" s="9" t="s">
        <v>10</v>
      </c>
      <c r="B13" s="9"/>
      <c r="C13" s="5"/>
      <c r="D13" s="5"/>
      <c r="E13" s="5">
        <v>0</v>
      </c>
      <c r="F13" s="13">
        <v>1347.17</v>
      </c>
    </row>
    <row r="14" spans="1:6" x14ac:dyDescent="0.25">
      <c r="A14" s="14" t="s">
        <v>12</v>
      </c>
      <c r="B14" s="15"/>
      <c r="C14" s="16"/>
      <c r="D14" s="16"/>
      <c r="E14" s="17">
        <f>SUM(E10:E13)</f>
        <v>13.219999999999999</v>
      </c>
      <c r="F14" s="18">
        <f>SUM(F11,F13)</f>
        <v>3306.23</v>
      </c>
    </row>
    <row r="15" spans="1:6" x14ac:dyDescent="0.25">
      <c r="A15" s="9"/>
      <c r="B15" s="9"/>
      <c r="C15" s="5"/>
      <c r="D15" s="5"/>
      <c r="E15" s="5"/>
      <c r="F15" s="13"/>
    </row>
    <row r="16" spans="1:6" x14ac:dyDescent="0.25">
      <c r="A16" s="10">
        <v>3</v>
      </c>
      <c r="B16" s="10">
        <v>2022</v>
      </c>
      <c r="C16" s="5"/>
      <c r="D16" s="5"/>
      <c r="E16" s="5"/>
      <c r="F16" s="13"/>
    </row>
    <row r="17" spans="1:6" x14ac:dyDescent="0.25">
      <c r="A17" s="9" t="s">
        <v>8</v>
      </c>
      <c r="B17" s="9"/>
      <c r="C17" s="5"/>
      <c r="D17" s="5"/>
      <c r="E17" s="12">
        <v>2.95</v>
      </c>
      <c r="F17" s="13"/>
    </row>
    <row r="18" spans="1:6" x14ac:dyDescent="0.25">
      <c r="A18" s="9" t="s">
        <v>11</v>
      </c>
      <c r="B18" s="9"/>
      <c r="C18" s="5"/>
      <c r="D18" s="5"/>
      <c r="E18" s="12">
        <v>1.75</v>
      </c>
      <c r="F18" s="13">
        <v>1763.35</v>
      </c>
    </row>
    <row r="19" spans="1:6" x14ac:dyDescent="0.25">
      <c r="A19" s="9" t="s">
        <v>9</v>
      </c>
      <c r="B19" s="9"/>
      <c r="C19" s="5"/>
      <c r="D19" s="5"/>
      <c r="E19" s="12">
        <v>5.41</v>
      </c>
      <c r="F19" s="13"/>
    </row>
    <row r="20" spans="1:6" x14ac:dyDescent="0.25">
      <c r="A20" s="9" t="s">
        <v>10</v>
      </c>
      <c r="B20" s="9"/>
      <c r="E20" s="12">
        <v>4.09</v>
      </c>
      <c r="F20" s="19"/>
    </row>
    <row r="21" spans="1:6" x14ac:dyDescent="0.25">
      <c r="A21" s="9" t="s">
        <v>13</v>
      </c>
      <c r="B21" s="9"/>
      <c r="E21" s="12">
        <v>5.48</v>
      </c>
      <c r="F21" s="19">
        <v>3391.8</v>
      </c>
    </row>
    <row r="22" spans="1:6" x14ac:dyDescent="0.25">
      <c r="A22" s="14" t="s">
        <v>12</v>
      </c>
      <c r="B22" s="15"/>
      <c r="C22" s="16"/>
      <c r="D22" s="16"/>
      <c r="E22" s="17">
        <f>SUM(E17:E21)</f>
        <v>19.68</v>
      </c>
      <c r="F22" s="18">
        <f>SUM(F18,F21)</f>
        <v>5155.1499999999996</v>
      </c>
    </row>
    <row r="23" spans="1:6" x14ac:dyDescent="0.25">
      <c r="A23" s="9"/>
      <c r="B23" s="9"/>
      <c r="F23" s="19"/>
    </row>
    <row r="24" spans="1:6" x14ac:dyDescent="0.25">
      <c r="A24" s="10">
        <v>4</v>
      </c>
      <c r="B24" s="10">
        <v>2022</v>
      </c>
      <c r="F24" s="19"/>
    </row>
    <row r="25" spans="1:6" x14ac:dyDescent="0.25">
      <c r="A25" s="9" t="s">
        <v>8</v>
      </c>
      <c r="B25" s="9"/>
      <c r="E25" s="20">
        <v>3.78</v>
      </c>
      <c r="F25" s="19"/>
    </row>
    <row r="26" spans="1:6" x14ac:dyDescent="0.25">
      <c r="A26" s="9" t="s">
        <v>11</v>
      </c>
      <c r="B26" s="9"/>
      <c r="E26" s="20">
        <v>5.16</v>
      </c>
      <c r="F26" s="19">
        <v>2164.2199999999998</v>
      </c>
    </row>
    <row r="27" spans="1:6" x14ac:dyDescent="0.25">
      <c r="A27" s="9" t="s">
        <v>9</v>
      </c>
      <c r="B27" s="9"/>
      <c r="E27" s="20">
        <v>5.1100000000000003</v>
      </c>
      <c r="F27" s="19"/>
    </row>
    <row r="28" spans="1:6" x14ac:dyDescent="0.25">
      <c r="A28" s="9" t="s">
        <v>10</v>
      </c>
      <c r="B28" s="9"/>
      <c r="E28" s="20">
        <v>4.7699999999999996</v>
      </c>
      <c r="F28" s="19">
        <v>2253.09</v>
      </c>
    </row>
    <row r="29" spans="1:6" x14ac:dyDescent="0.25">
      <c r="A29" s="14" t="s">
        <v>12</v>
      </c>
      <c r="B29" s="15"/>
      <c r="C29" s="16"/>
      <c r="D29" s="16"/>
      <c r="E29" s="17">
        <f>SUM(E24:E28)</f>
        <v>18.82</v>
      </c>
      <c r="F29" s="18">
        <f>SUM(F26,F28)</f>
        <v>4417.3099999999995</v>
      </c>
    </row>
    <row r="30" spans="1:6" x14ac:dyDescent="0.25">
      <c r="F30" s="19"/>
    </row>
    <row r="31" spans="1:6" x14ac:dyDescent="0.25">
      <c r="A31" s="9">
        <v>5</v>
      </c>
      <c r="B31" s="9">
        <v>2022</v>
      </c>
      <c r="F31" s="19"/>
    </row>
    <row r="32" spans="1:6" x14ac:dyDescent="0.25">
      <c r="A32" s="9" t="s">
        <v>8</v>
      </c>
      <c r="B32" s="9"/>
      <c r="E32" s="20">
        <v>3.79</v>
      </c>
      <c r="F32" s="19"/>
    </row>
    <row r="33" spans="1:6" x14ac:dyDescent="0.25">
      <c r="A33" s="9" t="s">
        <v>11</v>
      </c>
      <c r="B33" s="9"/>
      <c r="E33" s="20">
        <v>5.53</v>
      </c>
      <c r="F33" s="19">
        <v>2200.15</v>
      </c>
    </row>
    <row r="34" spans="1:6" x14ac:dyDescent="0.25">
      <c r="A34" s="9" t="s">
        <v>9</v>
      </c>
      <c r="B34" s="9"/>
      <c r="E34" s="20">
        <v>4.04</v>
      </c>
      <c r="F34" s="19"/>
    </row>
    <row r="35" spans="1:6" x14ac:dyDescent="0.25">
      <c r="A35" s="9" t="s">
        <v>10</v>
      </c>
      <c r="B35" s="9"/>
      <c r="E35" s="20">
        <v>3</v>
      </c>
      <c r="F35" s="19">
        <v>1984.59</v>
      </c>
    </row>
    <row r="36" spans="1:6" x14ac:dyDescent="0.25">
      <c r="A36" s="14" t="s">
        <v>12</v>
      </c>
      <c r="B36" s="15"/>
      <c r="C36" s="16"/>
      <c r="D36" s="16"/>
      <c r="E36" s="17">
        <f>SUM(E31:E35)</f>
        <v>16.36</v>
      </c>
      <c r="F36" s="18">
        <f>SUM(F33,F35)</f>
        <v>4184.74</v>
      </c>
    </row>
    <row r="38" spans="1:6" x14ac:dyDescent="0.25">
      <c r="A38" s="9">
        <v>6</v>
      </c>
      <c r="B38" s="9">
        <v>2022</v>
      </c>
    </row>
    <row r="39" spans="1:6" x14ac:dyDescent="0.25">
      <c r="A39" s="9" t="s">
        <v>8</v>
      </c>
      <c r="B39" s="9"/>
      <c r="E39" s="20">
        <v>4.1399999999999997</v>
      </c>
      <c r="F39" s="19"/>
    </row>
    <row r="40" spans="1:6" x14ac:dyDescent="0.25">
      <c r="A40" s="9" t="s">
        <v>11</v>
      </c>
      <c r="B40" s="9"/>
      <c r="E40" s="20">
        <v>2.85</v>
      </c>
      <c r="F40" s="19">
        <v>1977.59</v>
      </c>
    </row>
    <row r="41" spans="1:6" x14ac:dyDescent="0.25">
      <c r="A41" s="9" t="s">
        <v>9</v>
      </c>
      <c r="B41" s="9"/>
      <c r="E41" s="20">
        <v>2.54</v>
      </c>
      <c r="F41" s="19"/>
    </row>
    <row r="42" spans="1:6" x14ac:dyDescent="0.25">
      <c r="A42" s="9" t="s">
        <v>10</v>
      </c>
      <c r="B42" s="9"/>
      <c r="E42" s="20">
        <v>3.57</v>
      </c>
      <c r="F42" s="19"/>
    </row>
    <row r="43" spans="1:6" x14ac:dyDescent="0.25">
      <c r="A43" s="9" t="s">
        <v>13</v>
      </c>
      <c r="B43" s="9"/>
      <c r="E43" s="20">
        <v>3.86</v>
      </c>
      <c r="F43" s="19">
        <v>2918.12</v>
      </c>
    </row>
    <row r="44" spans="1:6" x14ac:dyDescent="0.25">
      <c r="A44" s="14" t="s">
        <v>12</v>
      </c>
      <c r="B44" s="15"/>
      <c r="C44" s="16"/>
      <c r="D44" s="16"/>
      <c r="E44" s="17">
        <f>SUM(E39:E43)</f>
        <v>16.96</v>
      </c>
      <c r="F44" s="18">
        <f>SUM(F40,F43)</f>
        <v>4895.71</v>
      </c>
    </row>
    <row r="46" spans="1:6" x14ac:dyDescent="0.25">
      <c r="A46" s="9">
        <v>7</v>
      </c>
      <c r="B46" s="9">
        <v>2022</v>
      </c>
    </row>
    <row r="47" spans="1:6" x14ac:dyDescent="0.25">
      <c r="A47" s="9" t="s">
        <v>8</v>
      </c>
      <c r="B47" s="9"/>
      <c r="E47" s="20">
        <v>1.66</v>
      </c>
      <c r="F47" s="19"/>
    </row>
    <row r="48" spans="1:6" x14ac:dyDescent="0.25">
      <c r="A48" s="9" t="s">
        <v>11</v>
      </c>
      <c r="B48" s="9"/>
      <c r="E48" s="20">
        <v>1.1399999999999999</v>
      </c>
      <c r="F48" s="19">
        <v>1640.27</v>
      </c>
    </row>
    <row r="49" spans="1:12" x14ac:dyDescent="0.25">
      <c r="A49" s="9" t="s">
        <v>9</v>
      </c>
      <c r="B49" s="9"/>
      <c r="E49" s="20">
        <v>1.71</v>
      </c>
      <c r="F49" s="19"/>
    </row>
    <row r="50" spans="1:12" x14ac:dyDescent="0.25">
      <c r="A50" s="9" t="s">
        <v>10</v>
      </c>
      <c r="B50" s="9"/>
      <c r="E50" s="20">
        <v>1.93</v>
      </c>
      <c r="F50" s="19">
        <v>1663.13</v>
      </c>
    </row>
    <row r="51" spans="1:12" x14ac:dyDescent="0.25">
      <c r="A51" s="14" t="s">
        <v>12</v>
      </c>
      <c r="B51" s="15"/>
      <c r="C51" s="16"/>
      <c r="D51" s="16"/>
      <c r="E51" s="17">
        <f>SUM(E46:E50)</f>
        <v>6.4399999999999995</v>
      </c>
      <c r="F51" s="18">
        <f>SUM(F48,F50)</f>
        <v>3303.4</v>
      </c>
    </row>
    <row r="53" spans="1:12" x14ac:dyDescent="0.25">
      <c r="A53" s="9">
        <v>8</v>
      </c>
      <c r="B53" s="9">
        <v>2022</v>
      </c>
    </row>
    <row r="54" spans="1:12" x14ac:dyDescent="0.25">
      <c r="A54" s="9" t="s">
        <v>8</v>
      </c>
      <c r="B54" s="9"/>
      <c r="E54" s="20">
        <v>2</v>
      </c>
    </row>
    <row r="55" spans="1:12" x14ac:dyDescent="0.25">
      <c r="A55" s="9" t="s">
        <v>11</v>
      </c>
      <c r="B55" s="9"/>
      <c r="E55" s="20">
        <v>0.65</v>
      </c>
      <c r="F55">
        <f>SUM(H55:L55)</f>
        <v>1626.45</v>
      </c>
      <c r="H55">
        <v>171.9</v>
      </c>
      <c r="I55">
        <v>596.84</v>
      </c>
      <c r="J55">
        <v>55.87</v>
      </c>
      <c r="K55">
        <v>596.84</v>
      </c>
      <c r="L55">
        <v>205</v>
      </c>
    </row>
    <row r="56" spans="1:12" x14ac:dyDescent="0.25">
      <c r="A56" s="9" t="s">
        <v>9</v>
      </c>
      <c r="B56" s="9"/>
      <c r="E56" s="20">
        <v>1.3</v>
      </c>
    </row>
    <row r="57" spans="1:12" x14ac:dyDescent="0.25">
      <c r="A57" s="9" t="s">
        <v>10</v>
      </c>
      <c r="B57" s="9"/>
      <c r="E57" s="20">
        <v>1.08</v>
      </c>
      <c r="F57">
        <v>1544.01</v>
      </c>
    </row>
    <row r="58" spans="1:12" x14ac:dyDescent="0.25">
      <c r="A58" s="14" t="s">
        <v>12</v>
      </c>
      <c r="B58" s="15"/>
      <c r="C58" s="16"/>
      <c r="D58" s="16"/>
      <c r="E58" s="17">
        <f>SUM(E53:E57)</f>
        <v>5.03</v>
      </c>
      <c r="F58" s="18">
        <f>SUM(F55,F57)</f>
        <v>3170.46</v>
      </c>
    </row>
    <row r="60" spans="1:12" x14ac:dyDescent="0.25">
      <c r="A60" s="9">
        <v>9</v>
      </c>
      <c r="B60" s="9">
        <v>2022</v>
      </c>
    </row>
    <row r="61" spans="1:12" x14ac:dyDescent="0.25">
      <c r="A61" s="9" t="s">
        <v>8</v>
      </c>
      <c r="B61" s="9"/>
      <c r="E61" s="20">
        <v>6.4</v>
      </c>
    </row>
    <row r="62" spans="1:12" x14ac:dyDescent="0.25">
      <c r="A62" s="9" t="s">
        <v>11</v>
      </c>
      <c r="B62" s="9"/>
      <c r="E62" s="20">
        <v>1.3</v>
      </c>
      <c r="F62">
        <v>1518.15</v>
      </c>
    </row>
    <row r="63" spans="1:12" x14ac:dyDescent="0.25">
      <c r="A63" s="9" t="s">
        <v>9</v>
      </c>
      <c r="B63" s="9"/>
      <c r="E63" s="20">
        <v>0.84</v>
      </c>
    </row>
    <row r="64" spans="1:12" x14ac:dyDescent="0.25">
      <c r="A64" s="9" t="s">
        <v>10</v>
      </c>
      <c r="B64" s="9"/>
      <c r="E64" s="20">
        <v>2.57</v>
      </c>
    </row>
    <row r="65" spans="1:13" x14ac:dyDescent="0.25">
      <c r="A65" s="9" t="s">
        <v>13</v>
      </c>
      <c r="B65" s="9"/>
      <c r="E65" s="20">
        <v>0</v>
      </c>
      <c r="F65">
        <f>SUM(H65:M65)</f>
        <v>1649.1</v>
      </c>
      <c r="H65">
        <v>414</v>
      </c>
      <c r="I65">
        <v>38.869999999999997</v>
      </c>
      <c r="J65">
        <v>414</v>
      </c>
      <c r="K65">
        <v>118.91</v>
      </c>
      <c r="L65">
        <v>249.32</v>
      </c>
      <c r="M65">
        <v>414</v>
      </c>
    </row>
    <row r="66" spans="1:13" x14ac:dyDescent="0.25">
      <c r="A66" s="14" t="s">
        <v>12</v>
      </c>
      <c r="B66" s="15"/>
      <c r="C66" s="16"/>
      <c r="D66" s="16"/>
      <c r="E66" s="17">
        <f>SUM(E61:E65)</f>
        <v>11.110000000000001</v>
      </c>
      <c r="F66" s="18">
        <f>SUM(F62,F65)</f>
        <v>3167.25</v>
      </c>
    </row>
    <row r="68" spans="1:13" x14ac:dyDescent="0.25">
      <c r="A68" s="9">
        <v>10</v>
      </c>
      <c r="B68" s="9">
        <v>2022</v>
      </c>
    </row>
    <row r="69" spans="1:13" x14ac:dyDescent="0.25">
      <c r="A69" s="9" t="s">
        <v>8</v>
      </c>
      <c r="B69" s="9"/>
      <c r="E69" s="20">
        <v>1.84</v>
      </c>
    </row>
    <row r="70" spans="1:13" x14ac:dyDescent="0.25">
      <c r="A70" s="9" t="s">
        <v>11</v>
      </c>
      <c r="B70" s="9"/>
      <c r="E70" s="20">
        <v>5.45</v>
      </c>
      <c r="F70">
        <v>1501.03</v>
      </c>
    </row>
    <row r="71" spans="1:13" x14ac:dyDescent="0.25">
      <c r="A71" s="9" t="s">
        <v>9</v>
      </c>
      <c r="B71" s="9"/>
      <c r="E71" s="20">
        <v>4.84</v>
      </c>
    </row>
    <row r="72" spans="1:13" x14ac:dyDescent="0.25">
      <c r="A72" s="9" t="s">
        <v>10</v>
      </c>
      <c r="B72" s="9"/>
      <c r="E72" s="20">
        <v>7.01</v>
      </c>
      <c r="F72">
        <f>SUM(H72:L72)</f>
        <v>1235.04</v>
      </c>
      <c r="H72">
        <v>414</v>
      </c>
      <c r="I72">
        <v>46.27</v>
      </c>
      <c r="J72">
        <v>414</v>
      </c>
      <c r="K72">
        <v>46.27</v>
      </c>
      <c r="L72">
        <v>314.5</v>
      </c>
    </row>
    <row r="73" spans="1:13" x14ac:dyDescent="0.25">
      <c r="A73" s="14" t="s">
        <v>12</v>
      </c>
      <c r="B73" s="15"/>
      <c r="C73" s="16"/>
      <c r="D73" s="16"/>
      <c r="E73" s="17">
        <f>SUM(E68:E72)</f>
        <v>19.14</v>
      </c>
      <c r="F73" s="18">
        <f>SUM(F70,F72)</f>
        <v>2736.0699999999997</v>
      </c>
    </row>
    <row r="75" spans="1:13" x14ac:dyDescent="0.25">
      <c r="A75" s="9">
        <v>11</v>
      </c>
      <c r="B75" s="9">
        <v>2022</v>
      </c>
    </row>
    <row r="76" spans="1:13" x14ac:dyDescent="0.25">
      <c r="A76" s="9" t="s">
        <v>8</v>
      </c>
      <c r="B76" s="9"/>
    </row>
    <row r="77" spans="1:13" x14ac:dyDescent="0.25">
      <c r="A77" s="9" t="s">
        <v>11</v>
      </c>
      <c r="B77" s="9"/>
    </row>
    <row r="78" spans="1:13" x14ac:dyDescent="0.25">
      <c r="A78" s="9" t="s">
        <v>9</v>
      </c>
      <c r="B78" s="9"/>
    </row>
    <row r="79" spans="1:13" x14ac:dyDescent="0.25">
      <c r="A79" s="9" t="s">
        <v>10</v>
      </c>
      <c r="B79" s="9"/>
    </row>
    <row r="80" spans="1:13" x14ac:dyDescent="0.25">
      <c r="A80" s="14" t="s">
        <v>12</v>
      </c>
      <c r="B80" s="15"/>
      <c r="C80" s="16"/>
      <c r="D80" s="16"/>
      <c r="E80" s="17">
        <f>SUM(E75:E79)</f>
        <v>0</v>
      </c>
      <c r="F80" s="18">
        <f>SUM(F77,F79)</f>
        <v>0</v>
      </c>
    </row>
    <row r="82" spans="1:6" x14ac:dyDescent="0.25">
      <c r="A82" s="9">
        <v>12</v>
      </c>
      <c r="B82" s="9">
        <v>2022</v>
      </c>
    </row>
    <row r="83" spans="1:6" x14ac:dyDescent="0.25">
      <c r="A83" s="9" t="s">
        <v>8</v>
      </c>
      <c r="B83" s="9"/>
    </row>
    <row r="84" spans="1:6" x14ac:dyDescent="0.25">
      <c r="A84" s="9" t="s">
        <v>11</v>
      </c>
      <c r="B84" s="9"/>
    </row>
    <row r="85" spans="1:6" x14ac:dyDescent="0.25">
      <c r="A85" s="9" t="s">
        <v>9</v>
      </c>
      <c r="B85" s="9"/>
    </row>
    <row r="86" spans="1:6" x14ac:dyDescent="0.25">
      <c r="A86" s="9" t="s">
        <v>10</v>
      </c>
      <c r="B86" s="9"/>
    </row>
    <row r="87" spans="1:6" x14ac:dyDescent="0.25">
      <c r="A87" s="14" t="s">
        <v>12</v>
      </c>
      <c r="B87" s="15"/>
      <c r="C87" s="16"/>
      <c r="D87" s="16"/>
      <c r="E87" s="17">
        <f>SUM(E82:E86)</f>
        <v>0</v>
      </c>
      <c r="F87" s="18">
        <f>SUM(F84,F86)</f>
        <v>0</v>
      </c>
    </row>
  </sheetData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Bill Polcyn</cp:lastModifiedBy>
  <cp:lastPrinted>2022-12-01T01:03:50Z</cp:lastPrinted>
  <dcterms:created xsi:type="dcterms:W3CDTF">2022-01-28T13:49:17Z</dcterms:created>
  <dcterms:modified xsi:type="dcterms:W3CDTF">2022-12-01T01:07:58Z</dcterms:modified>
</cp:coreProperties>
</file>