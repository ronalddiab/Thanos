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48" documentId="13_ncr:1_{76C55D63-F869-4AF5-AAA3-3D809A91432B}" xr6:coauthVersionLast="47" xr6:coauthVersionMax="47" xr10:uidLastSave="{3468C6F6-822D-48F5-910D-6A4847EB67D2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2" i="27" l="1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5" i="28"/>
  <c r="G26" i="28"/>
  <c r="G27" i="28"/>
  <c r="G28" i="28"/>
  <c r="G29" i="28"/>
  <c r="G30" i="28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<sst xmlns="http://schemas.openxmlformats.org/spreadsheetml/2006/main" count="69" uniqueCount="33">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</sst>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8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159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15047.500000000582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3199</v>
      </c>
      <c r="J4" s="85">
        <v>0.21186441</v>
      </c>
      <c r="K4" s="11">
        <f>IF('Water, Gas, Diesel'!F8&lt;0,0,'Water, Gas, Diesel'!F8)</f>
        <v>30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19977.499999995416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3771</v>
      </c>
      <c r="J5" s="85">
        <v>0.21186441</v>
      </c>
      <c r="K5" s="11">
        <f>IF('Water, Gas, Diesel'!F9&lt;0,0,'Water, Gas, Diesel'!F9)</f>
        <v>5</v>
      </c>
      <c r="L5" s="85">
        <v>1.6949000000000001</v>
      </c>
      <c r="M5" s="11">
        <f>Electricity!H11</f>
        <v>49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16832.500000000437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3228</v>
      </c>
      <c r="J6" s="85">
        <v>0.21186441</v>
      </c>
      <c r="K6" s="11">
        <f>IF('Water, Gas, Diesel'!F10&lt;0,0,'Water, Gas, Diesel'!F10)</f>
        <v>201</v>
      </c>
      <c r="L6" s="85">
        <v>1.6949000000000001</v>
      </c>
      <c r="M6" s="11">
        <f>Electricity!H12</f>
        <v>30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15650.000000000546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2890</v>
      </c>
      <c r="J7" s="85">
        <v>0.21186441</v>
      </c>
      <c r="K7" s="11">
        <f>IF('Water, Gas, Diesel'!F11&lt;0,0,'Water, Gas, Diesel'!F11)</f>
        <v>174</v>
      </c>
      <c r="L7" s="85">
        <v>1.6949000000000001</v>
      </c>
      <c r="M7" s="11">
        <f>Electricity!H13</f>
        <v>51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18107.500000000982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3306</v>
      </c>
      <c r="J8" s="85">
        <v>0.21186441</v>
      </c>
      <c r="K8" s="11">
        <f>IF('Water, Gas, Diesel'!F12&lt;0,0,'Water, Gas, Diesel'!F12)</f>
        <v>198</v>
      </c>
      <c r="L8" s="85">
        <v>1.6949000000000001</v>
      </c>
      <c r="M8" s="11">
        <f>Electricity!H14</f>
        <v>45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17457.499999995889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2979</v>
      </c>
      <c r="J9" s="85">
        <v>0.21186441</v>
      </c>
      <c r="K9" s="11">
        <f>IF('Water, Gas, Diesel'!F13&lt;0,0,'Water, Gas, Diesel'!F13)</f>
        <v>160</v>
      </c>
      <c r="L9" s="85">
        <v>1.6949000000000001</v>
      </c>
      <c r="M9" s="11">
        <f>Electricity!H15</f>
        <v>50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16204.999999999927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3146</v>
      </c>
      <c r="J10" s="85">
        <v>0.21186441</v>
      </c>
      <c r="K10" s="11">
        <f>IF('Water, Gas, Diesel'!F14&lt;0,0,'Water, Gas, Diesel'!F14)</f>
        <v>155</v>
      </c>
      <c r="L10" s="85">
        <v>1.6949000000000001</v>
      </c>
      <c r="M10" s="11">
        <f>Electricity!H16</f>
        <v>54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18530.000000005202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3474</v>
      </c>
      <c r="J11" s="85">
        <v>0.21186441</v>
      </c>
      <c r="K11" s="11">
        <f>IF('Water, Gas, Diesel'!F15&lt;0,0,'Water, Gas, Diesel'!F15)</f>
        <v>148</v>
      </c>
      <c r="L11" s="85">
        <v>1.6949000000000001</v>
      </c>
      <c r="M11" s="11">
        <f>Electricity!H17</f>
        <v>42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17579.999999998108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3312</v>
      </c>
      <c r="J12" s="85">
        <v>0.21186441</v>
      </c>
      <c r="K12" s="11">
        <f>IF('Water, Gas, Diesel'!F16&lt;0,0,'Water, Gas, Diesel'!F16)</f>
        <v>163</v>
      </c>
      <c r="L12" s="85">
        <v>1.6949000000000001</v>
      </c>
      <c r="M12" s="11">
        <f>Electricity!H18</f>
        <v>50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17729.999999996835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3605</v>
      </c>
      <c r="J13" s="85">
        <v>0.21186441</v>
      </c>
      <c r="K13" s="11">
        <f>IF('Water, Gas, Diesel'!F17&lt;0,0,'Water, Gas, Diesel'!F17)</f>
        <v>163</v>
      </c>
      <c r="L13" s="85">
        <v>1.6949000000000001</v>
      </c>
      <c r="M13" s="11">
        <f>Electricity!H19</f>
        <v>67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18052.50000000342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3500</v>
      </c>
      <c r="J14" s="85">
        <v>0.21186441</v>
      </c>
      <c r="K14" s="11">
        <f>IF('Water, Gas, Diesel'!F18&lt;0,0,'Water, Gas, Diesel'!F18)</f>
        <v>149</v>
      </c>
      <c r="L14" s="85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17047.499999998763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3049</v>
      </c>
      <c r="J15" s="85">
        <v>0.21186441</v>
      </c>
      <c r="K15" s="11">
        <f>IF('Water, Gas, Diesel'!F19&lt;0,0,'Water, Gas, Diesel'!F19)</f>
        <v>145</v>
      </c>
      <c r="L15" s="85">
        <v>1.6949000000000001</v>
      </c>
      <c r="M15" s="11">
        <f>Electricity!H21</f>
        <v>55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19274.999999997817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3407</v>
      </c>
      <c r="J16" s="85">
        <v>0.21186441</v>
      </c>
      <c r="K16" s="11">
        <f>IF('Water, Gas, Diesel'!F20&lt;0,0,'Water, Gas, Diesel'!F20)</f>
        <v>159</v>
      </c>
      <c r="L16" s="85">
        <v>1.6949000000000001</v>
      </c>
      <c r="M16" s="11">
        <f>Electricity!H22</f>
        <v>54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17407.499999999345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3100</v>
      </c>
      <c r="J17" s="85">
        <v>0.21186441</v>
      </c>
      <c r="K17" s="11">
        <f>IF('Water, Gas, Diesel'!F21&lt;0,0,'Water, Gas, Diesel'!F21)</f>
        <v>153</v>
      </c>
      <c r="L17" s="85">
        <v>1.6949000000000001</v>
      </c>
      <c r="M17" s="11">
        <f>Electricity!H23</f>
        <v>89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12520</v>
      </c>
      <c r="H18" s="85">
        <v>0.58489999999999998</v>
      </c>
      <c r="I18" s="11">
        <f>IF('Water, Gas, Diesel'!C22&lt;0,0,'Water, Gas, Diesel'!C22)</f>
        <v>0</v>
      </c>
      <c r="J18" s="85">
        <v>0.21186441</v>
      </c>
      <c r="K18" s="11">
        <f>IF('Water, Gas, Diesel'!F22&lt;0,0,'Water, Gas, Diesel'!F22)</f>
        <v>0</v>
      </c>
      <c r="L18" s="85">
        <v>1.6949000000000001</v>
      </c>
      <c r="M18" s="11">
        <f>Electricity!H24</f>
        <v>77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0</v>
      </c>
      <c r="J19" s="85">
        <v>0.21186441</v>
      </c>
      <c r="K19" s="11">
        <f>IF('Water, Gas, Diesel'!F23&lt;0,0,'Water, Gas, Diesel'!F23)</f>
        <v>0</v>
      </c>
      <c r="L19" s="85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0</v>
      </c>
      <c r="J20" s="85">
        <v>0.21186441</v>
      </c>
      <c r="K20" s="11">
        <f>IF('Water, Gas, Diesel'!F24&lt;0,0,'Water, Gas, Diesel'!F24)</f>
        <v>0</v>
      </c>
      <c r="L20" s="85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0</v>
      </c>
      <c r="J21" s="85">
        <v>0.21186441</v>
      </c>
      <c r="K21" s="11">
        <f>IF('Water, Gas, Diesel'!F25&lt;0,0,'Water, Gas, Diesel'!F25)</f>
        <v>0</v>
      </c>
      <c r="L21" s="85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0</v>
      </c>
      <c r="J22" s="85">
        <v>0.21186441</v>
      </c>
      <c r="K22" s="11">
        <f>IF('Water, Gas, Diesel'!F26&lt;0,0,'Water, Gas, Diesel'!F26)</f>
        <v>0</v>
      </c>
      <c r="L22" s="85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0</v>
      </c>
      <c r="J23" s="85">
        <v>0.21186441</v>
      </c>
      <c r="K23" s="11">
        <f>IF('Water, Gas, Diesel'!F27&lt;0,0,'Water, Gas, Diesel'!F27)</f>
        <v>0</v>
      </c>
      <c r="L23" s="85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zoomScaleNormal="100" workbookViewId="0">
      <pane ySplit="5" topLeftCell="A19" activePane="bottomLeft" state="frozen"/>
      <selection pane="bottomLeft" activeCell="L22" sqref="L22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8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>
      <c r="A5" s="148"/>
      <c r="B5" s="17" t="s">
        <v>22</v>
      </c>
      <c r="C5" s="66" t="s">
        <v>23</v>
      </c>
      <c r="D5" s="67" t="s">
        <v>22</v>
      </c>
      <c r="E5" s="66" t="s">
        <v>23</v>
      </c>
      <c r="F5" s="153"/>
      <c r="G5" s="155"/>
      <c r="H5" s="145"/>
    </row>
    <row r="6" spans="1:8" ht="15.75" hidden="1">
      <c r="A6" s="99"/>
      <c r="B6" s="24"/>
      <c r="C6" s="68"/>
      <c r="D6" s="69"/>
      <c r="E6" s="68"/>
      <c r="F6" s="27"/>
      <c r="G6" s="70"/>
      <c r="H6" s="100"/>
    </row>
    <row r="7" spans="1:8" ht="27.75" customHeight="1">
      <c r="A7" s="101">
        <v>31</v>
      </c>
      <c r="B7" s="128">
        <v>14841.968000000001</v>
      </c>
      <c r="C7" s="121">
        <f t="shared" ref="C7:C24" si="0">(B8-B7)*2500</f>
        <v>7564.9999999995998</v>
      </c>
      <c r="D7" s="139">
        <v>15159.748</v>
      </c>
      <c r="E7" s="72">
        <f t="shared" ref="E7:E24" si="1">(D8-D7)*2500</f>
        <v>10135.000000000218</v>
      </c>
      <c r="F7" s="97">
        <f t="shared" ref="F7:F36" si="2">C7+E7</f>
        <v>17699.999999999818</v>
      </c>
      <c r="G7" s="71">
        <f>F7*0.0932</f>
        <v>1649.639999999983</v>
      </c>
      <c r="H7" s="140">
        <v>26</v>
      </c>
    </row>
    <row r="8" spans="1:8" ht="30.95" customHeight="1">
      <c r="A8" s="102">
        <v>1</v>
      </c>
      <c r="B8" s="96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3">
        <v>30</v>
      </c>
    </row>
    <row r="9" spans="1:8" ht="30.95" customHeight="1">
      <c r="A9" s="104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5">
        <v>48</v>
      </c>
    </row>
    <row r="10" spans="1:8" ht="30.95" customHeight="1">
      <c r="A10" s="102">
        <v>3</v>
      </c>
      <c r="B10" s="76">
        <v>14851.111000000001</v>
      </c>
      <c r="C10" s="73">
        <f t="shared" si="0"/>
        <v>5937.5</v>
      </c>
      <c r="D10" s="77">
        <v>15171.467000000001</v>
      </c>
      <c r="E10" s="73">
        <f t="shared" si="1"/>
        <v>9110.0000000005821</v>
      </c>
      <c r="F10" s="51">
        <f t="shared" si="2"/>
        <v>15047.500000000582</v>
      </c>
      <c r="G10" s="71">
        <f t="shared" si="3"/>
        <v>1402.4270000000542</v>
      </c>
      <c r="H10" s="105">
        <v>54</v>
      </c>
    </row>
    <row r="11" spans="1:8" ht="30.95" customHeight="1">
      <c r="A11" s="104">
        <v>4</v>
      </c>
      <c r="B11" s="78">
        <v>14853.486000000001</v>
      </c>
      <c r="C11" s="39">
        <f t="shared" si="0"/>
        <v>9659.999999998945</v>
      </c>
      <c r="D11" s="79">
        <v>15175.111000000001</v>
      </c>
      <c r="E11" s="39">
        <f t="shared" si="1"/>
        <v>10317.499999996471</v>
      </c>
      <c r="F11" s="47">
        <f t="shared" si="2"/>
        <v>19977.499999995416</v>
      </c>
      <c r="G11" s="71">
        <f t="shared" si="3"/>
        <v>1861.9029999995728</v>
      </c>
      <c r="H11" s="105">
        <v>49</v>
      </c>
    </row>
    <row r="12" spans="1:8" ht="30.95" customHeight="1">
      <c r="A12" s="102">
        <v>5</v>
      </c>
      <c r="B12" s="80">
        <v>14857.35</v>
      </c>
      <c r="C12" s="73">
        <f t="shared" si="0"/>
        <v>7489.9999999979627</v>
      </c>
      <c r="D12" s="77">
        <v>15179.237999999999</v>
      </c>
      <c r="E12" s="73">
        <f t="shared" si="1"/>
        <v>9342.5000000024738</v>
      </c>
      <c r="F12" s="51">
        <f t="shared" si="2"/>
        <v>16832.500000000437</v>
      </c>
      <c r="G12" s="71">
        <f t="shared" si="3"/>
        <v>1568.7890000000407</v>
      </c>
      <c r="H12" s="105">
        <v>30</v>
      </c>
    </row>
    <row r="13" spans="1:8" ht="30.95" customHeight="1">
      <c r="A13" s="104">
        <v>6</v>
      </c>
      <c r="B13" s="78">
        <v>14860.346</v>
      </c>
      <c r="C13" s="39">
        <f t="shared" si="0"/>
        <v>6977.5000000026921</v>
      </c>
      <c r="D13" s="79">
        <v>15182.975</v>
      </c>
      <c r="E13" s="39">
        <f t="shared" si="1"/>
        <v>8672.4999999978536</v>
      </c>
      <c r="F13" s="47">
        <f t="shared" si="2"/>
        <v>15650.000000000546</v>
      </c>
      <c r="G13" s="71">
        <f t="shared" si="3"/>
        <v>1458.5800000000509</v>
      </c>
      <c r="H13" s="105">
        <v>51</v>
      </c>
    </row>
    <row r="14" spans="1:8" ht="30.95" customHeight="1">
      <c r="A14" s="102">
        <v>7</v>
      </c>
      <c r="B14" s="80">
        <v>14863.137000000001</v>
      </c>
      <c r="C14" s="73">
        <f t="shared" si="0"/>
        <v>8024.9999999978172</v>
      </c>
      <c r="D14" s="112">
        <v>15186.444</v>
      </c>
      <c r="E14" s="73">
        <f t="shared" si="1"/>
        <v>10082.500000003165</v>
      </c>
      <c r="F14" s="51">
        <f t="shared" si="2"/>
        <v>18107.500000000982</v>
      </c>
      <c r="G14" s="71">
        <f t="shared" si="3"/>
        <v>1687.6190000000915</v>
      </c>
      <c r="H14" s="105">
        <v>45</v>
      </c>
    </row>
    <row r="15" spans="1:8" ht="30.95" customHeight="1">
      <c r="A15" s="104">
        <v>8</v>
      </c>
      <c r="B15" s="78">
        <v>14866.347</v>
      </c>
      <c r="C15" s="39">
        <f t="shared" si="0"/>
        <v>7517.4999999990177</v>
      </c>
      <c r="D15" s="81">
        <v>15190.477000000001</v>
      </c>
      <c r="E15" s="39">
        <f t="shared" si="1"/>
        <v>9939.9999999968713</v>
      </c>
      <c r="F15" s="47">
        <f t="shared" si="2"/>
        <v>17457.499999995889</v>
      </c>
      <c r="G15" s="71">
        <f t="shared" si="3"/>
        <v>1627.0389999996169</v>
      </c>
      <c r="H15" s="105">
        <v>50</v>
      </c>
    </row>
    <row r="16" spans="1:8" ht="30.95" customHeight="1">
      <c r="A16" s="102">
        <v>9</v>
      </c>
      <c r="B16" s="82">
        <v>14869.353999999999</v>
      </c>
      <c r="C16" s="73">
        <f t="shared" si="0"/>
        <v>7277.5000000001455</v>
      </c>
      <c r="D16" s="83">
        <v>15194.453</v>
      </c>
      <c r="E16" s="73">
        <f t="shared" si="1"/>
        <v>8927.4999999997817</v>
      </c>
      <c r="F16" s="51">
        <f t="shared" si="2"/>
        <v>16204.999999999927</v>
      </c>
      <c r="G16" s="71">
        <f t="shared" si="3"/>
        <v>1510.3059999999932</v>
      </c>
      <c r="H16" s="105">
        <v>54</v>
      </c>
    </row>
    <row r="17" spans="1:8" ht="30.95" customHeight="1">
      <c r="A17" s="104">
        <v>10</v>
      </c>
      <c r="B17" s="80">
        <v>14872.264999999999</v>
      </c>
      <c r="C17" s="39">
        <f t="shared" si="0"/>
        <v>8290.0000000017826</v>
      </c>
      <c r="D17" s="112">
        <v>15198.023999999999</v>
      </c>
      <c r="E17" s="39">
        <f t="shared" si="1"/>
        <v>10240.00000000342</v>
      </c>
      <c r="F17" s="47">
        <f t="shared" si="2"/>
        <v>18530.000000005202</v>
      </c>
      <c r="G17" s="71">
        <f t="shared" si="3"/>
        <v>1726.9960000004849</v>
      </c>
      <c r="H17" s="105">
        <v>42</v>
      </c>
    </row>
    <row r="18" spans="1:8" ht="30.95" customHeight="1">
      <c r="A18" s="102">
        <v>11</v>
      </c>
      <c r="B18" s="78">
        <v>14875.581</v>
      </c>
      <c r="C18" s="73">
        <f t="shared" si="0"/>
        <v>8069.99999999789</v>
      </c>
      <c r="D18" s="81">
        <v>15202.12</v>
      </c>
      <c r="E18" s="73">
        <f t="shared" si="1"/>
        <v>9510.0000000002183</v>
      </c>
      <c r="F18" s="51">
        <f t="shared" si="2"/>
        <v>17579.999999998108</v>
      </c>
      <c r="G18" s="71">
        <f t="shared" si="3"/>
        <v>1638.4559999998237</v>
      </c>
      <c r="H18" s="105">
        <v>50</v>
      </c>
    </row>
    <row r="19" spans="1:8" ht="30.95" customHeight="1">
      <c r="A19" s="104">
        <v>12</v>
      </c>
      <c r="B19" s="80">
        <v>14878.808999999999</v>
      </c>
      <c r="C19" s="39">
        <f t="shared" si="0"/>
        <v>8144.9999999995271</v>
      </c>
      <c r="D19" s="112">
        <v>15205.924000000001</v>
      </c>
      <c r="E19" s="39">
        <f t="shared" si="1"/>
        <v>9584.9999999973079</v>
      </c>
      <c r="F19" s="47">
        <f t="shared" si="2"/>
        <v>17729.999999996835</v>
      </c>
      <c r="G19" s="71">
        <f t="shared" si="3"/>
        <v>1652.435999999705</v>
      </c>
      <c r="H19" s="105">
        <v>67</v>
      </c>
    </row>
    <row r="20" spans="1:8" ht="30.95" customHeight="1">
      <c r="A20" s="102">
        <v>13</v>
      </c>
      <c r="B20" s="78">
        <v>14882.066999999999</v>
      </c>
      <c r="C20" s="73">
        <f t="shared" si="0"/>
        <v>8162.5000000030923</v>
      </c>
      <c r="D20" s="81">
        <v>15209.758</v>
      </c>
      <c r="E20" s="73">
        <f t="shared" si="1"/>
        <v>9890.0000000003274</v>
      </c>
      <c r="F20" s="51">
        <f t="shared" si="2"/>
        <v>18052.50000000342</v>
      </c>
      <c r="G20" s="71">
        <f t="shared" si="3"/>
        <v>1682.4930000003187</v>
      </c>
      <c r="H20" s="105">
        <v>62</v>
      </c>
    </row>
    <row r="21" spans="1:8" ht="30.95" customHeight="1">
      <c r="A21" s="104">
        <v>14</v>
      </c>
      <c r="B21" s="78">
        <v>14885.332</v>
      </c>
      <c r="C21" s="39">
        <f t="shared" si="0"/>
        <v>7522.5000000000364</v>
      </c>
      <c r="D21" s="81">
        <v>15213.714</v>
      </c>
      <c r="E21" s="39">
        <f t="shared" si="1"/>
        <v>9524.9999999987267</v>
      </c>
      <c r="F21" s="47">
        <f t="shared" si="2"/>
        <v>17047.499999998763</v>
      </c>
      <c r="G21" s="71">
        <f t="shared" si="3"/>
        <v>1588.8269999998847</v>
      </c>
      <c r="H21" s="105">
        <v>55</v>
      </c>
    </row>
    <row r="22" spans="1:8" ht="30.95" customHeight="1">
      <c r="A22" s="102">
        <v>15</v>
      </c>
      <c r="B22" s="78">
        <v>14888.341</v>
      </c>
      <c r="C22" s="73">
        <f t="shared" si="0"/>
        <v>8737.4999999974534</v>
      </c>
      <c r="D22" s="61">
        <v>15217.523999999999</v>
      </c>
      <c r="E22" s="73">
        <f t="shared" si="1"/>
        <v>10537.500000000364</v>
      </c>
      <c r="F22" s="51">
        <f t="shared" si="2"/>
        <v>19274.999999997817</v>
      </c>
      <c r="G22" s="71">
        <f t="shared" si="3"/>
        <v>1796.4299999997966</v>
      </c>
      <c r="H22" s="105">
        <v>54</v>
      </c>
    </row>
    <row r="23" spans="1:8" ht="30.95" customHeight="1">
      <c r="A23" s="104">
        <v>16</v>
      </c>
      <c r="B23" s="86">
        <v>14891.835999999999</v>
      </c>
      <c r="C23" s="39">
        <f t="shared" si="0"/>
        <v>8170.0000000000728</v>
      </c>
      <c r="D23" s="87">
        <v>15221.739</v>
      </c>
      <c r="E23" s="39">
        <f t="shared" si="1"/>
        <v>9237.4999999992724</v>
      </c>
      <c r="F23" s="47">
        <f t="shared" si="2"/>
        <v>17407.499999999345</v>
      </c>
      <c r="G23" s="71">
        <f t="shared" si="3"/>
        <v>1622.378999999939</v>
      </c>
      <c r="H23" s="105">
        <v>89</v>
      </c>
    </row>
    <row r="24" spans="1:8" ht="30.95" customHeight="1">
      <c r="A24" s="102">
        <v>17</v>
      </c>
      <c r="B24" s="88">
        <v>14895.103999999999</v>
      </c>
      <c r="C24" s="73">
        <f t="shared" si="0"/>
        <v>-37237760</v>
      </c>
      <c r="D24" s="112">
        <v>15225.433999999999</v>
      </c>
      <c r="E24" s="73">
        <f t="shared" si="1"/>
        <v>-38063585</v>
      </c>
      <c r="F24" s="51">
        <f t="shared" si="2"/>
        <v>-75301345</v>
      </c>
      <c r="G24" s="71">
        <f t="shared" si="3"/>
        <v>-7018085.3540000003</v>
      </c>
      <c r="H24" s="105">
        <v>77</v>
      </c>
    </row>
    <row r="25" spans="1:8" ht="30.95" customHeight="1">
      <c r="A25" s="104">
        <v>18</v>
      </c>
      <c r="B25" s="78"/>
      <c r="C25" s="39">
        <f>(B26-B25)*2500</f>
        <v>0</v>
      </c>
      <c r="D25" s="81"/>
      <c r="E25" s="39">
        <f>(D26-D25)*2500</f>
        <v>0</v>
      </c>
      <c r="F25" s="47">
        <f t="shared" si="2"/>
        <v>0</v>
      </c>
      <c r="G25" s="71">
        <f t="shared" si="3"/>
        <v>0</v>
      </c>
      <c r="H25" s="105"/>
    </row>
    <row r="26" spans="1:8" ht="30.95" customHeight="1">
      <c r="A26" s="102">
        <v>19</v>
      </c>
      <c r="B26" s="80"/>
      <c r="C26" s="73">
        <f t="shared" ref="C26:C36" si="4">(B27-B26)*2500</f>
        <v>0</v>
      </c>
      <c r="D26" s="112"/>
      <c r="E26" s="73">
        <f t="shared" ref="E26:E36" si="5">(D27-D26)*2500</f>
        <v>0</v>
      </c>
      <c r="F26" s="47">
        <f t="shared" si="2"/>
        <v>0</v>
      </c>
      <c r="G26" s="71">
        <f t="shared" si="3"/>
        <v>0</v>
      </c>
      <c r="H26" s="105"/>
    </row>
    <row r="27" spans="1:8" ht="30.95" customHeight="1">
      <c r="A27" s="104">
        <v>20</v>
      </c>
      <c r="B27" s="78"/>
      <c r="C27" s="39">
        <f t="shared" si="4"/>
        <v>0</v>
      </c>
      <c r="D27" s="84"/>
      <c r="E27" s="39">
        <f t="shared" si="5"/>
        <v>0</v>
      </c>
      <c r="F27" s="51">
        <f t="shared" si="2"/>
        <v>0</v>
      </c>
      <c r="G27" s="71">
        <f t="shared" si="3"/>
        <v>0</v>
      </c>
      <c r="H27" s="105"/>
    </row>
    <row r="28" spans="1:8" ht="30.95" customHeight="1">
      <c r="A28" s="102">
        <v>21</v>
      </c>
      <c r="B28" s="80"/>
      <c r="C28" s="73">
        <f t="shared" si="4"/>
        <v>0</v>
      </c>
      <c r="D28" s="112"/>
      <c r="E28" s="73">
        <f t="shared" si="5"/>
        <v>0</v>
      </c>
      <c r="F28" s="47">
        <f t="shared" si="2"/>
        <v>0</v>
      </c>
      <c r="G28" s="71">
        <f t="shared" si="3"/>
        <v>0</v>
      </c>
      <c r="H28" s="105"/>
    </row>
    <row r="29" spans="1:8" ht="30.95" customHeight="1">
      <c r="A29" s="104">
        <v>22</v>
      </c>
      <c r="B29" s="78"/>
      <c r="C29" s="39">
        <f t="shared" si="4"/>
        <v>0</v>
      </c>
      <c r="D29" s="81"/>
      <c r="E29" s="39">
        <f t="shared" si="5"/>
        <v>0</v>
      </c>
      <c r="F29" s="51">
        <f t="shared" si="2"/>
        <v>0</v>
      </c>
      <c r="G29" s="71">
        <f t="shared" si="3"/>
        <v>0</v>
      </c>
      <c r="H29" s="105"/>
    </row>
    <row r="30" spans="1:8" ht="30.95" customHeight="1">
      <c r="A30" s="102">
        <v>23</v>
      </c>
      <c r="B30" s="80"/>
      <c r="C30" s="73">
        <f t="shared" si="4"/>
        <v>0</v>
      </c>
      <c r="D30" s="112"/>
      <c r="E30" s="73">
        <f t="shared" si="5"/>
        <v>0</v>
      </c>
      <c r="F30" s="47">
        <f t="shared" si="2"/>
        <v>0</v>
      </c>
      <c r="G30" s="71">
        <f t="shared" si="3"/>
        <v>0</v>
      </c>
      <c r="H30" s="105"/>
    </row>
    <row r="31" spans="1:8" ht="30.95" customHeight="1">
      <c r="A31" s="104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5"/>
    </row>
    <row r="32" spans="1:8" ht="30.95" customHeight="1">
      <c r="A32" s="102">
        <v>25</v>
      </c>
      <c r="B32" s="80"/>
      <c r="C32" s="73">
        <f t="shared" si="4"/>
        <v>0</v>
      </c>
      <c r="D32" s="112"/>
      <c r="E32" s="73">
        <f t="shared" si="5"/>
        <v>0</v>
      </c>
      <c r="F32" s="47">
        <f t="shared" si="2"/>
        <v>0</v>
      </c>
      <c r="G32" s="71">
        <f t="shared" si="3"/>
        <v>0</v>
      </c>
      <c r="H32" s="105"/>
    </row>
    <row r="33" spans="1:8" ht="30.95" customHeight="1">
      <c r="A33" s="104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5"/>
    </row>
    <row r="34" spans="1:8" ht="30.95" customHeight="1">
      <c r="A34" s="102">
        <v>27</v>
      </c>
      <c r="B34" s="80"/>
      <c r="C34" s="121">
        <f t="shared" si="4"/>
        <v>0</v>
      </c>
      <c r="D34" s="112"/>
      <c r="E34" s="39">
        <f t="shared" si="5"/>
        <v>0</v>
      </c>
      <c r="F34" s="47">
        <f t="shared" si="2"/>
        <v>0</v>
      </c>
      <c r="G34" s="71">
        <f t="shared" si="3"/>
        <v>0</v>
      </c>
      <c r="H34" s="105"/>
    </row>
    <row r="35" spans="1:8" ht="30.95" customHeight="1">
      <c r="A35" s="118">
        <v>28</v>
      </c>
      <c r="B35" s="58"/>
      <c r="C35" s="73">
        <f t="shared" si="4"/>
        <v>0</v>
      </c>
      <c r="D35" s="119"/>
      <c r="E35" s="60">
        <f t="shared" si="5"/>
        <v>0</v>
      </c>
      <c r="F35" s="59">
        <f t="shared" si="2"/>
        <v>0</v>
      </c>
      <c r="G35" s="138">
        <f t="shared" si="3"/>
        <v>0</v>
      </c>
      <c r="H35" s="120"/>
    </row>
    <row r="36" spans="1:8" ht="30.95" customHeight="1">
      <c r="A36" s="109">
        <v>1</v>
      </c>
      <c r="B36" s="111"/>
      <c r="C36" s="113">
        <f t="shared" si="4"/>
        <v>0</v>
      </c>
      <c r="D36" s="114"/>
      <c r="E36" s="113">
        <f t="shared" si="5"/>
        <v>0</v>
      </c>
      <c r="F36" s="115">
        <f t="shared" si="2"/>
        <v>0</v>
      </c>
      <c r="G36" s="116">
        <f t="shared" si="3"/>
        <v>0</v>
      </c>
      <c r="H36" s="117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tabSelected="1" zoomScaleNormal="100" workbookViewId="0">
      <pane ySplit="3" topLeftCell="A16" activePane="bottomLeft" state="frozen"/>
      <selection pane="bottomLeft" activeCell="J22" sqref="J22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4" t="s">
        <v>15</v>
      </c>
      <c r="B3" s="17" t="s">
        <v>22</v>
      </c>
      <c r="C3" s="18" t="s">
        <v>27</v>
      </c>
      <c r="D3" s="19" t="s">
        <v>28</v>
      </c>
      <c r="E3" s="91" t="s">
        <v>22</v>
      </c>
      <c r="F3" s="20" t="s">
        <v>23</v>
      </c>
      <c r="G3" s="21" t="s">
        <v>29</v>
      </c>
      <c r="H3" s="21" t="s">
        <v>30</v>
      </c>
      <c r="I3" s="90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2">
        <v>31</v>
      </c>
      <c r="B5" s="92">
        <v>6497364</v>
      </c>
      <c r="C5" s="106">
        <f>B6-B5</f>
        <v>3572</v>
      </c>
      <c r="D5" s="34">
        <f>C5*0.21186441</f>
        <v>756.77967251999996</v>
      </c>
      <c r="E5" s="35">
        <v>510211</v>
      </c>
      <c r="F5" s="107">
        <f>E6-E5</f>
        <v>155</v>
      </c>
      <c r="G5" s="36">
        <f>F5*0.84746</f>
        <v>131.3563</v>
      </c>
      <c r="H5" s="36">
        <f>F5*0.84746</f>
        <v>131.3563</v>
      </c>
      <c r="I5" s="93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2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159</v>
      </c>
      <c r="G7" s="48">
        <f t="shared" ref="G7:G33" si="5">F7*0.84746</f>
        <v>134.74614</v>
      </c>
      <c r="H7" s="48">
        <f t="shared" ref="H7:H33" si="6">F7*0.84746</f>
        <v>134.74614</v>
      </c>
      <c r="I7" s="49">
        <f t="shared" si="2"/>
        <v>269.49227999999999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6506979</v>
      </c>
      <c r="C8" s="53">
        <f t="shared" si="0"/>
        <v>3199</v>
      </c>
      <c r="D8" s="46">
        <f t="shared" ref="D8:D34" si="7">C8*0.21186441</f>
        <v>677.75424758999998</v>
      </c>
      <c r="E8" s="47">
        <v>510694</v>
      </c>
      <c r="F8" s="54">
        <f t="shared" si="1"/>
        <v>30</v>
      </c>
      <c r="G8" s="43">
        <f t="shared" si="5"/>
        <v>25.4238</v>
      </c>
      <c r="H8" s="43">
        <f t="shared" si="6"/>
        <v>25.4238</v>
      </c>
      <c r="I8" s="49">
        <f t="shared" si="2"/>
        <v>50.8476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6510178</v>
      </c>
      <c r="C9" s="55">
        <f t="shared" si="0"/>
        <v>3771</v>
      </c>
      <c r="D9" s="46">
        <f t="shared" si="7"/>
        <v>798.94069010999999</v>
      </c>
      <c r="E9" s="47">
        <v>510724</v>
      </c>
      <c r="F9" s="56">
        <f t="shared" si="1"/>
        <v>5</v>
      </c>
      <c r="G9" s="48">
        <f t="shared" si="5"/>
        <v>4.2373000000000003</v>
      </c>
      <c r="H9" s="48">
        <f t="shared" si="6"/>
        <v>4.2373000000000003</v>
      </c>
      <c r="I9" s="49">
        <f t="shared" si="2"/>
        <v>8.4746000000000006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6513949</v>
      </c>
      <c r="C10" s="53">
        <f t="shared" si="0"/>
        <v>3228</v>
      </c>
      <c r="D10" s="46">
        <f t="shared" si="7"/>
        <v>683.89831548000006</v>
      </c>
      <c r="E10" s="47">
        <v>510729</v>
      </c>
      <c r="F10" s="54">
        <f t="shared" si="1"/>
        <v>201</v>
      </c>
      <c r="G10" s="43">
        <f t="shared" si="5"/>
        <v>170.33946</v>
      </c>
      <c r="H10" s="43">
        <f t="shared" si="6"/>
        <v>170.33946</v>
      </c>
      <c r="I10" s="49">
        <f t="shared" si="2"/>
        <v>340.67892000000001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6517177</v>
      </c>
      <c r="C11" s="55">
        <f t="shared" si="0"/>
        <v>2890</v>
      </c>
      <c r="D11" s="46">
        <f t="shared" si="7"/>
        <v>612.28814490000002</v>
      </c>
      <c r="E11" s="47">
        <v>510930</v>
      </c>
      <c r="F11" s="56">
        <f t="shared" si="1"/>
        <v>174</v>
      </c>
      <c r="G11" s="48">
        <f t="shared" si="5"/>
        <v>147.45804000000001</v>
      </c>
      <c r="H11" s="48">
        <f t="shared" si="6"/>
        <v>147.45804000000001</v>
      </c>
      <c r="I11" s="49">
        <f t="shared" si="2"/>
        <v>294.91608000000002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6520067</v>
      </c>
      <c r="C12" s="53">
        <f t="shared" si="0"/>
        <v>3306</v>
      </c>
      <c r="D12" s="46">
        <f t="shared" si="7"/>
        <v>700.42373945999998</v>
      </c>
      <c r="E12" s="47">
        <v>511104</v>
      </c>
      <c r="F12" s="54">
        <f t="shared" si="1"/>
        <v>198</v>
      </c>
      <c r="G12" s="43">
        <f t="shared" si="5"/>
        <v>167.79707999999999</v>
      </c>
      <c r="H12" s="43">
        <f t="shared" si="6"/>
        <v>167.79707999999999</v>
      </c>
      <c r="I12" s="49">
        <f t="shared" si="2"/>
        <v>335.59415999999999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6523373</v>
      </c>
      <c r="C13" s="55">
        <f t="shared" si="0"/>
        <v>2979</v>
      </c>
      <c r="D13" s="46">
        <f t="shared" si="7"/>
        <v>631.14407739000001</v>
      </c>
      <c r="E13" s="47">
        <v>511302</v>
      </c>
      <c r="F13" s="56">
        <f t="shared" si="1"/>
        <v>160</v>
      </c>
      <c r="G13" s="48">
        <f t="shared" si="5"/>
        <v>135.59360000000001</v>
      </c>
      <c r="H13" s="48">
        <f t="shared" si="6"/>
        <v>135.59360000000001</v>
      </c>
      <c r="I13" s="49">
        <f t="shared" si="2"/>
        <v>271.18720000000002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6526352</v>
      </c>
      <c r="C14" s="53">
        <f t="shared" si="0"/>
        <v>3146</v>
      </c>
      <c r="D14" s="46">
        <f t="shared" si="7"/>
        <v>666.52543386000002</v>
      </c>
      <c r="E14" s="47">
        <v>511462</v>
      </c>
      <c r="F14" s="54">
        <f t="shared" si="1"/>
        <v>155</v>
      </c>
      <c r="G14" s="48">
        <f t="shared" si="5"/>
        <v>131.3563</v>
      </c>
      <c r="H14" s="43">
        <f t="shared" si="6"/>
        <v>131.3563</v>
      </c>
      <c r="I14" s="49">
        <f t="shared" si="2"/>
        <v>262.71260000000001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6529498</v>
      </c>
      <c r="C15" s="55">
        <f t="shared" si="0"/>
        <v>3474</v>
      </c>
      <c r="D15" s="46">
        <f t="shared" si="7"/>
        <v>736.01696033999997</v>
      </c>
      <c r="E15" s="47">
        <v>511617</v>
      </c>
      <c r="F15" s="56">
        <f t="shared" si="1"/>
        <v>148</v>
      </c>
      <c r="G15" s="48">
        <f t="shared" si="5"/>
        <v>125.42408</v>
      </c>
      <c r="H15" s="48">
        <f t="shared" si="6"/>
        <v>125.42408</v>
      </c>
      <c r="I15" s="49">
        <f t="shared" si="2"/>
        <v>250.84816000000001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6532972</v>
      </c>
      <c r="C16" s="53">
        <f>B17-B16</f>
        <v>3312</v>
      </c>
      <c r="D16" s="46">
        <f t="shared" si="7"/>
        <v>701.69492592000006</v>
      </c>
      <c r="E16" s="47">
        <v>511765</v>
      </c>
      <c r="F16" s="54">
        <f>E17-E16</f>
        <v>163</v>
      </c>
      <c r="G16" s="43">
        <f t="shared" si="5"/>
        <v>138.13597999999999</v>
      </c>
      <c r="H16" s="43">
        <f t="shared" si="6"/>
        <v>138.13597999999999</v>
      </c>
      <c r="I16" s="49">
        <f t="shared" si="2"/>
        <v>276.27195999999998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6536284</v>
      </c>
      <c r="C17" s="55">
        <f t="shared" ref="C17:C33" si="8">B18-B17</f>
        <v>3605</v>
      </c>
      <c r="D17" s="46">
        <f t="shared" si="7"/>
        <v>763.77119805000007</v>
      </c>
      <c r="E17" s="47">
        <v>511928</v>
      </c>
      <c r="F17" s="56">
        <f t="shared" ref="F17:F33" si="9">E18-E17</f>
        <v>163</v>
      </c>
      <c r="G17" s="48">
        <f t="shared" si="5"/>
        <v>138.13597999999999</v>
      </c>
      <c r="H17" s="48">
        <f t="shared" si="6"/>
        <v>138.13597999999999</v>
      </c>
      <c r="I17" s="49">
        <f t="shared" si="2"/>
        <v>276.27195999999998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6539889</v>
      </c>
      <c r="C18" s="53">
        <f t="shared" si="8"/>
        <v>3500</v>
      </c>
      <c r="D18" s="46">
        <f t="shared" si="7"/>
        <v>741.52543500000002</v>
      </c>
      <c r="E18" s="51">
        <v>512091</v>
      </c>
      <c r="F18" s="54">
        <f t="shared" si="9"/>
        <v>149</v>
      </c>
      <c r="G18" s="43">
        <f t="shared" si="5"/>
        <v>126.27154</v>
      </c>
      <c r="H18" s="43">
        <f t="shared" si="6"/>
        <v>126.27154</v>
      </c>
      <c r="I18" s="49">
        <f t="shared" si="2"/>
        <v>252.54308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6543389</v>
      </c>
      <c r="C19" s="55">
        <f t="shared" si="8"/>
        <v>3049</v>
      </c>
      <c r="D19" s="46">
        <f t="shared" si="7"/>
        <v>645.97458609</v>
      </c>
      <c r="E19" s="52">
        <v>512240</v>
      </c>
      <c r="F19" s="56">
        <f t="shared" si="9"/>
        <v>145</v>
      </c>
      <c r="G19" s="48">
        <f t="shared" si="5"/>
        <v>122.8817</v>
      </c>
      <c r="H19" s="48">
        <f t="shared" si="6"/>
        <v>122.8817</v>
      </c>
      <c r="I19" s="49">
        <f t="shared" si="2"/>
        <v>245.76339999999999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6546438</v>
      </c>
      <c r="C20" s="53">
        <f t="shared" si="8"/>
        <v>3407</v>
      </c>
      <c r="D20" s="46">
        <f t="shared" si="7"/>
        <v>721.82204487000001</v>
      </c>
      <c r="E20" s="51">
        <v>512385</v>
      </c>
      <c r="F20" s="54">
        <f t="shared" si="9"/>
        <v>159</v>
      </c>
      <c r="G20" s="43">
        <f t="shared" si="5"/>
        <v>134.74614</v>
      </c>
      <c r="H20" s="43">
        <f t="shared" si="6"/>
        <v>134.74614</v>
      </c>
      <c r="I20" s="49">
        <f t="shared" si="2"/>
        <v>269.49227999999999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>
        <v>6549845</v>
      </c>
      <c r="C21" s="55">
        <f t="shared" si="8"/>
        <v>3100</v>
      </c>
      <c r="D21" s="46">
        <f t="shared" si="7"/>
        <v>656.77967100000001</v>
      </c>
      <c r="E21" s="89">
        <v>512544</v>
      </c>
      <c r="F21" s="56">
        <f t="shared" si="9"/>
        <v>153</v>
      </c>
      <c r="G21" s="48">
        <f t="shared" si="5"/>
        <v>129.66138000000001</v>
      </c>
      <c r="H21" s="48">
        <f t="shared" si="6"/>
        <v>129.66138000000001</v>
      </c>
      <c r="I21" s="49">
        <f t="shared" si="2"/>
        <v>259.32276000000002</v>
      </c>
      <c r="J21" s="37">
        <f>6060+6460</f>
        <v>12520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>
        <v>6552945</v>
      </c>
      <c r="C22" s="53">
        <f t="shared" si="8"/>
        <v>-6552945</v>
      </c>
      <c r="D22" s="46">
        <f t="shared" si="7"/>
        <v>-1388335.82618745</v>
      </c>
      <c r="E22" s="52">
        <v>512697</v>
      </c>
      <c r="F22" s="54">
        <f t="shared" si="9"/>
        <v>-512697</v>
      </c>
      <c r="G22" s="43">
        <f t="shared" si="5"/>
        <v>-434490.19961999997</v>
      </c>
      <c r="H22" s="43">
        <f t="shared" si="6"/>
        <v>-434490.19961999997</v>
      </c>
      <c r="I22" s="49">
        <f t="shared" si="2"/>
        <v>-868980.39923999994</v>
      </c>
      <c r="J22" s="37">
        <f>6060+6460</f>
        <v>12520</v>
      </c>
      <c r="K22" s="38">
        <f t="shared" si="3"/>
        <v>12520</v>
      </c>
      <c r="L22" s="39">
        <f t="shared" si="4"/>
        <v>7386.7999999999993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8"/>
      <c r="C32" s="129">
        <f t="shared" si="8"/>
        <v>0</v>
      </c>
      <c r="D32" s="130">
        <f t="shared" si="7"/>
        <v>0</v>
      </c>
      <c r="E32" s="131"/>
      <c r="F32" s="129">
        <f t="shared" si="9"/>
        <v>0</v>
      </c>
      <c r="G32" s="132">
        <f t="shared" si="5"/>
        <v>0</v>
      </c>
      <c r="H32" s="132">
        <f t="shared" si="6"/>
        <v>0</v>
      </c>
      <c r="I32" s="133">
        <f t="shared" si="2"/>
        <v>0</v>
      </c>
      <c r="J32" s="134"/>
      <c r="K32" s="129">
        <f t="shared" ref="K32:K33" si="10">J33-J32</f>
        <v>0</v>
      </c>
      <c r="L32" s="95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5">
        <f t="shared" si="7"/>
        <v>0</v>
      </c>
      <c r="E33" s="136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7"/>
      <c r="K33" s="53">
        <f t="shared" si="10"/>
        <v>0</v>
      </c>
      <c r="L33" s="73">
        <f t="shared" si="4"/>
        <v>0</v>
      </c>
    </row>
    <row r="34" spans="1:12" ht="32.450000000000003" customHeight="1">
      <c r="A34" s="109">
        <v>1</v>
      </c>
      <c r="B34" s="111"/>
      <c r="C34" s="122">
        <f t="shared" ref="C34" si="11">B35-B34</f>
        <v>0</v>
      </c>
      <c r="D34" s="123">
        <f t="shared" si="7"/>
        <v>0</v>
      </c>
      <c r="E34" s="115"/>
      <c r="F34" s="122">
        <f t="shared" ref="F34" si="12">E35-E34</f>
        <v>0</v>
      </c>
      <c r="G34" s="124">
        <f t="shared" ref="G34" si="13">F34*0.84746</f>
        <v>0</v>
      </c>
      <c r="H34" s="124">
        <f t="shared" ref="H34" si="14">F34*0.84746</f>
        <v>0</v>
      </c>
      <c r="I34" s="110">
        <f t="shared" ref="I34" si="15">G34+H34</f>
        <v>0</v>
      </c>
      <c r="J34" s="125"/>
      <c r="K34" s="126">
        <f t="shared" ref="K34" si="16">J34-J35</f>
        <v>0</v>
      </c>
      <c r="L34" s="127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2022-02-18T05:28:48Z</dcterms:modified>
  <cp:category/>
  <cp:contentStatus/>
</cp:coreProperties>
</file>