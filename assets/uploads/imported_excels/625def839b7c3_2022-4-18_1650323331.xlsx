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E7" i="1" l="1"/>
  <c r="AE8" i="1" l="1"/>
  <c r="Q7" i="2"/>
  <c r="Q8" i="2"/>
  <c r="M4" i="2" l="1"/>
  <c r="M5" i="2"/>
  <c r="M6" i="2"/>
  <c r="M7" i="2"/>
  <c r="M3" i="2"/>
  <c r="C4" i="2" l="1"/>
  <c r="F3" i="4" l="1"/>
  <c r="C21" i="4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21" i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7" i="1"/>
  <c r="AB10" i="1"/>
  <c r="AB11" i="1" s="1"/>
  <c r="AB13" i="1" s="1"/>
  <c r="AB14" i="1" s="1"/>
  <c r="AB15" i="1" s="1"/>
  <c r="AB16" i="1" s="1"/>
  <c r="AB18" i="1" s="1"/>
  <c r="AB19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21" i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21" i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21" i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6" i="2"/>
  <c r="T17" i="2" s="1"/>
  <c r="T18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21" i="3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21" i="3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21" i="3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21" i="4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21" i="4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21" i="4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21" i="4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21" i="4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21" i="4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AE17" i="1" l="1"/>
  <c r="P10" i="2"/>
  <c r="Q9" i="2"/>
  <c r="M8" i="2"/>
  <c r="C5" i="2"/>
  <c r="U2" i="1"/>
  <c r="I3" i="11"/>
  <c r="AE18" i="1" l="1"/>
  <c r="P11" i="2"/>
  <c r="Q10" i="2"/>
  <c r="M9" i="2"/>
  <c r="C6" i="2"/>
  <c r="AE19" i="1" l="1"/>
  <c r="Q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D21" i="1" l="1"/>
  <c r="AE20" i="1"/>
  <c r="Q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AD22" i="1" l="1"/>
  <c r="AE21" i="1"/>
  <c r="Q13" i="2"/>
  <c r="M12" i="2"/>
  <c r="C9" i="2"/>
  <c r="K16" i="11"/>
  <c r="N94" i="10"/>
  <c r="N93" i="10"/>
  <c r="M94" i="10"/>
  <c r="M93" i="10"/>
  <c r="AD23" i="1" l="1"/>
  <c r="AE22" i="1"/>
  <c r="P15" i="2"/>
  <c r="Q14" i="2"/>
  <c r="M13" i="2"/>
  <c r="C10" i="2"/>
  <c r="N9" i="10"/>
  <c r="AD24" i="1" l="1"/>
  <c r="AE23" i="1"/>
  <c r="Q15" i="2"/>
  <c r="M14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D25" i="1" l="1"/>
  <c r="AE24" i="1"/>
  <c r="Q16" i="2"/>
  <c r="M15" i="2"/>
  <c r="C12" i="2"/>
  <c r="G64" i="10"/>
  <c r="AG31" i="1"/>
  <c r="AG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AD26" i="1" l="1"/>
  <c r="AE25" i="1"/>
  <c r="P18" i="2"/>
  <c r="Q17" i="2"/>
  <c r="M16" i="2"/>
  <c r="I31" i="4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AD27" i="1" l="1"/>
  <c r="AE26" i="1"/>
  <c r="Q18" i="2"/>
  <c r="M17" i="2"/>
  <c r="Y31" i="4"/>
  <c r="C14" i="2"/>
  <c r="Y32" i="4"/>
  <c r="D17" i="4"/>
  <c r="AD28" i="1" l="1"/>
  <c r="AE27" i="1"/>
  <c r="Q19" i="2"/>
  <c r="M18" i="2"/>
  <c r="C15" i="2"/>
  <c r="Q3" i="2"/>
  <c r="Q4" i="2"/>
  <c r="Q5" i="2"/>
  <c r="AD29" i="1" l="1"/>
  <c r="AE28" i="1"/>
  <c r="P21" i="2"/>
  <c r="Q20" i="2"/>
  <c r="M19" i="2"/>
  <c r="C16" i="2"/>
  <c r="Y31" i="8"/>
  <c r="Y30" i="8"/>
  <c r="AD31" i="8"/>
  <c r="AE31" i="8" s="1"/>
  <c r="AD30" i="8"/>
  <c r="AE30" i="8" s="1"/>
  <c r="AD30" i="1" l="1"/>
  <c r="AE29" i="1"/>
  <c r="P22" i="2"/>
  <c r="Q21" i="2"/>
  <c r="L21" i="2"/>
  <c r="M20" i="2"/>
  <c r="C17" i="2"/>
  <c r="AD31" i="1" l="1"/>
  <c r="AE30" i="1"/>
  <c r="P23" i="2"/>
  <c r="Q22" i="2"/>
  <c r="L22" i="2"/>
  <c r="M21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D32" i="1" l="1"/>
  <c r="AE32" i="1" s="1"/>
  <c r="AE31" i="1"/>
  <c r="AE33" i="1" s="1"/>
  <c r="P24" i="2"/>
  <c r="Q23" i="2"/>
  <c r="L23" i="2"/>
  <c r="M22" i="2"/>
  <c r="C19" i="2"/>
  <c r="AC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Z33" i="4" l="1"/>
  <c r="X33" i="4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<sst xmlns="http://schemas.openxmlformats.org/spreadsheetml/2006/main" count="440" uniqueCount="150">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</sst>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pane ySplit="1" topLeftCell="A2" activePane="bottomLeft" state="frozen"/>
      <selection pane="bottomLeft" activeCell="E16" sqref="E16:K16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49441.624300000003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62043.961087999996</v>
      </c>
      <c r="F10" s="139">
        <v>1.27</v>
      </c>
      <c r="G10" s="37">
        <f>Gas!C11*0.9147</f>
        <v>2982.8366999999998</v>
      </c>
      <c r="H10" s="140">
        <v>3.65</v>
      </c>
      <c r="I10" s="142">
        <f>Submetering!H10+Submetering!AD10+Submetering!AE10</f>
        <v>626</v>
      </c>
      <c r="J10" s="142">
        <v>10.029999999999999</v>
      </c>
      <c r="K10" s="37">
        <f>ELECT.!B11</f>
        <v>180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52002.688991999996</v>
      </c>
      <c r="F11" s="139">
        <v>1.27</v>
      </c>
      <c r="G11" s="37">
        <f>Gas!C12*0.9147</f>
        <v>2764.2233999999999</v>
      </c>
      <c r="H11" s="140">
        <v>3.65</v>
      </c>
      <c r="I11" s="142">
        <f>Submetering!H11+Submetering!AD11+Submetering!AE11</f>
        <v>845.99999999999989</v>
      </c>
      <c r="J11" s="142">
        <v>10.029999999999999</v>
      </c>
      <c r="K11" s="37">
        <f>ELECT.!B12</f>
        <v>133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56333.837419999996</v>
      </c>
      <c r="F12" s="139">
        <v>1.27</v>
      </c>
      <c r="G12" s="37">
        <f>Gas!C13*0.9147</f>
        <v>2713.9148999999998</v>
      </c>
      <c r="H12" s="140">
        <v>3.65</v>
      </c>
      <c r="I12" s="142">
        <f>Submetering!H12+Submetering!AD12+Submetering!AE12</f>
        <v>936.00000000000011</v>
      </c>
      <c r="J12" s="142">
        <v>10.029999999999999</v>
      </c>
      <c r="K12" s="37">
        <f>ELECT.!B13</f>
        <v>79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45128.929304000005</v>
      </c>
      <c r="F13" s="139">
        <v>1.27</v>
      </c>
      <c r="G13" s="37">
        <f>Gas!C14*0.9147</f>
        <v>2710.2561000000001</v>
      </c>
      <c r="H13" s="140">
        <v>3.65</v>
      </c>
      <c r="I13" s="142">
        <f>Submetering!H13+Submetering!AD13+Submetering!AE13</f>
        <v>806</v>
      </c>
      <c r="J13" s="142">
        <v>10.029999999999999</v>
      </c>
      <c r="K13" s="37">
        <f>ELECT.!B14</f>
        <v>178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47759.531587999998</v>
      </c>
      <c r="F14" s="139">
        <v>1.27</v>
      </c>
      <c r="G14" s="37">
        <f>Gas!C15*0.9147</f>
        <v>2524.5719999999997</v>
      </c>
      <c r="H14" s="140">
        <v>3.65</v>
      </c>
      <c r="I14" s="142">
        <f>Submetering!H14+Submetering!AD14+Submetering!AE14</f>
        <v>746</v>
      </c>
      <c r="J14" s="142">
        <v>10.029999999999999</v>
      </c>
      <c r="K14" s="37">
        <f>ELECT.!B15</f>
        <v>89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55374.570035999997</v>
      </c>
      <c r="F15" s="139">
        <v>1.27</v>
      </c>
      <c r="G15" s="37">
        <f>Gas!C16*0.9147</f>
        <v>2677.3269</v>
      </c>
      <c r="H15" s="140">
        <v>3.65</v>
      </c>
      <c r="I15" s="142">
        <f>Submetering!H15+Submetering!AD15+Submetering!AE15</f>
        <v>786</v>
      </c>
      <c r="J15" s="142">
        <v>10.029999999999999</v>
      </c>
      <c r="K15" s="37">
        <f>ELECT.!B16</f>
        <v>142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52983.230208000008</v>
      </c>
      <c r="F16" s="139">
        <v>1.27</v>
      </c>
      <c r="G16" s="37">
        <f>Gas!C17*0.9147</f>
        <v>2628.8478</v>
      </c>
      <c r="H16" s="140">
        <v>3.65</v>
      </c>
      <c r="I16" s="142">
        <f>Submetering!H16+Submetering!AD16+Submetering!AE16</f>
        <v>1126</v>
      </c>
      <c r="J16" s="142">
        <v>10.029999999999999</v>
      </c>
      <c r="K16" s="37">
        <f>ELECT.!B17</f>
        <v>177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48200.486936000001</v>
      </c>
      <c r="F17" s="139">
        <v>1.27</v>
      </c>
      <c r="G17" s="37">
        <f>Gas!C18*0.9147</f>
        <v>2926.1252999999997</v>
      </c>
      <c r="H17" s="140">
        <v>3.65</v>
      </c>
      <c r="I17" s="142">
        <f>Submetering!H17+Submetering!AD17+Submetering!AE17</f>
        <v>1246</v>
      </c>
      <c r="J17" s="142">
        <v>10.029999999999999</v>
      </c>
      <c r="K17" s="37">
        <f>ELECT.!B18</f>
        <v>180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60326.281720000006</v>
      </c>
      <c r="F18" s="139">
        <v>1.27</v>
      </c>
      <c r="G18" s="37">
        <f>Gas!C19*0.9147</f>
        <v>2414.808</v>
      </c>
      <c r="H18" s="140">
        <v>3.65</v>
      </c>
      <c r="I18" s="142">
        <f>Submetering!H18+Submetering!AD18+Submetering!AE18</f>
        <v>955.99999999999989</v>
      </c>
      <c r="J18" s="142">
        <v>10.029999999999999</v>
      </c>
      <c r="K18" s="37">
        <f>ELECT.!B19</f>
        <v>184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54377.340816000004</v>
      </c>
      <c r="F19" s="139">
        <v>1.27</v>
      </c>
      <c r="G19" s="37">
        <f>Gas!C20*0.9147</f>
        <v>2499.8750999999997</v>
      </c>
      <c r="H19" s="140">
        <v>3.65</v>
      </c>
      <c r="I19" s="142">
        <f>Submetering!H19+Submetering!AD19+Submetering!AE19</f>
        <v>885.99999999999989</v>
      </c>
      <c r="J19" s="142">
        <v>10.029999999999999</v>
      </c>
      <c r="K19" s="37">
        <f>ELECT.!B20</f>
        <v>96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4607</v>
      </c>
      <c r="J9" s="37">
        <f>ELECT.!H10</f>
        <v>46352</v>
      </c>
      <c r="K9" s="37">
        <f>ELECT.!K10</f>
        <v>11976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-11618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820</v>
      </c>
      <c r="F10" s="37">
        <f>Water!E11</f>
        <v>390</v>
      </c>
      <c r="G10" s="37">
        <f>Water!G11</f>
        <v>313.2</v>
      </c>
      <c r="H10" s="37">
        <f>Water!I11</f>
        <v>4.32</v>
      </c>
      <c r="I10" s="37">
        <f>ELECT.!F11</f>
        <v>14969</v>
      </c>
      <c r="J10" s="37">
        <f>ELECT.!H11</f>
        <v>49008</v>
      </c>
      <c r="K10" s="37">
        <f>ELECT.!K11</f>
        <v>12268</v>
      </c>
      <c r="L10" s="37">
        <f>ELECT.!M11</f>
        <v>6636</v>
      </c>
      <c r="M10" s="37">
        <f>ELECT.!O11</f>
        <v>2988</v>
      </c>
      <c r="N10" s="37">
        <f>ELECT.!Q11</f>
        <v>12287</v>
      </c>
      <c r="O10" s="37">
        <f>ELECT.!S11</f>
        <v>9712</v>
      </c>
      <c r="P10" s="37">
        <f>ELECT.!W11*2</f>
        <v>21220</v>
      </c>
      <c r="Q10" s="37">
        <f>ELECT.!D11</f>
        <v>640</v>
      </c>
      <c r="R10" s="38">
        <f>BTU!C11</f>
        <v>9.0300000000024738</v>
      </c>
      <c r="S10" s="38">
        <f>BTU!F11</f>
        <v>0.97199999999975262</v>
      </c>
      <c r="T10" s="38">
        <f>BTU!I11</f>
        <v>6</v>
      </c>
      <c r="U10" s="38">
        <f>BTU!O11</f>
        <v>1.6549999999997453</v>
      </c>
      <c r="V10" s="38">
        <f>BTU!L11</f>
        <v>1.5199999999986176</v>
      </c>
      <c r="W10" s="38">
        <f>BTU!R11</f>
        <v>0.56999999999970896</v>
      </c>
      <c r="X10" s="35">
        <f>ELECT.!B11</f>
        <v>180</v>
      </c>
      <c r="Y10" s="35">
        <f t="shared" si="0"/>
        <v>-1134</v>
      </c>
      <c r="Z10">
        <f>'Mall, Citadel, Rotana'!C11+'Mall, Citadel, Rotana'!E11+'Mall, Citadel, Rotana'!G11+'Mall, Citadel, Rotana'!I11</f>
        <v>1034</v>
      </c>
      <c r="AA10">
        <f>'Mall, Citadel, Rotana'!K11+'Mall, Citadel, Rotana'!M11</f>
        <v>246</v>
      </c>
      <c r="AB10">
        <f>'Mall, Citadel, Rotana'!O11</f>
        <v>3</v>
      </c>
      <c r="AC10">
        <f>'Mall, Citadel, Rotana'!Q11+'Mall, Citadel, Rotana'!S11</f>
        <v>0</v>
      </c>
      <c r="AD10" s="35">
        <f t="shared" si="1"/>
        <v>81.937423999999993</v>
      </c>
      <c r="AE10" s="35">
        <f t="shared" si="2"/>
        <v>539.74257599999999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1040</v>
      </c>
      <c r="F11" s="37">
        <f>Water!E12</f>
        <v>440</v>
      </c>
      <c r="G11" s="37">
        <f>Water!G12</f>
        <v>364.5</v>
      </c>
      <c r="H11" s="37">
        <f>Water!I12</f>
        <v>4.6710000000000003</v>
      </c>
      <c r="I11" s="37">
        <f>ELECT.!F12</f>
        <v>9018</v>
      </c>
      <c r="J11" s="37">
        <f>ELECT.!H12</f>
        <v>45357</v>
      </c>
      <c r="K11" s="37">
        <f>ELECT.!K12</f>
        <v>3736</v>
      </c>
      <c r="L11" s="37">
        <f>ELECT.!M12</f>
        <v>6046</v>
      </c>
      <c r="M11" s="37">
        <f>ELECT.!O12</f>
        <v>2838</v>
      </c>
      <c r="N11" s="37">
        <f>ELECT.!Q12</f>
        <v>11025</v>
      </c>
      <c r="O11" s="37">
        <f>ELECT.!S12</f>
        <v>9224</v>
      </c>
      <c r="P11" s="37">
        <f>ELECT.!W12*2</f>
        <v>19764</v>
      </c>
      <c r="Q11" s="37">
        <f>ELECT.!D12</f>
        <v>640</v>
      </c>
      <c r="R11" s="38">
        <f>BTU!C12</f>
        <v>6.8919999999998254</v>
      </c>
      <c r="S11" s="38">
        <f>BTU!F12</f>
        <v>1.1419999999998254</v>
      </c>
      <c r="T11" s="38">
        <f>BTU!I12</f>
        <v>4</v>
      </c>
      <c r="U11" s="38">
        <f>BTU!O12</f>
        <v>1.3899999999998727</v>
      </c>
      <c r="V11" s="38">
        <f>BTU!L12</f>
        <v>1.1700000000000728</v>
      </c>
      <c r="W11" s="38">
        <f>BTU!R12</f>
        <v>0.3000000000001819</v>
      </c>
      <c r="X11" s="35">
        <f>ELECT.!B12</f>
        <v>133</v>
      </c>
      <c r="Y11" s="35">
        <f t="shared" si="0"/>
        <v>1742</v>
      </c>
      <c r="Z11">
        <f>'Mall, Citadel, Rotana'!C12+'Mall, Citadel, Rotana'!E12+'Mall, Citadel, Rotana'!G12+'Mall, Citadel, Rotana'!I12</f>
        <v>1034</v>
      </c>
      <c r="AA11">
        <f>'Mall, Citadel, Rotana'!K12+'Mall, Citadel, Rotana'!M12</f>
        <v>330</v>
      </c>
      <c r="AB11">
        <f>'Mall, Citadel, Rotana'!O12</f>
        <v>4</v>
      </c>
      <c r="AC11">
        <f>'Mall, Citadel, Rotana'!Q12+'Mall, Citadel, Rotana'!S12</f>
        <v>323</v>
      </c>
      <c r="AD11" s="35">
        <f t="shared" si="1"/>
        <v>110.88716219999999</v>
      </c>
      <c r="AE11" s="35">
        <f t="shared" si="2"/>
        <v>730.44183779999992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1130</v>
      </c>
      <c r="F12" s="37">
        <f>Water!E13</f>
        <v>620</v>
      </c>
      <c r="G12" s="37">
        <f>Water!G13</f>
        <v>345.6</v>
      </c>
      <c r="H12" s="37">
        <f>Water!I13</f>
        <v>4.7249999999999996</v>
      </c>
      <c r="I12" s="37">
        <f>ELECT.!F13</f>
        <v>9831</v>
      </c>
      <c r="J12" s="37">
        <f>ELECT.!H13</f>
        <v>48805</v>
      </c>
      <c r="K12" s="37">
        <f>ELECT.!K13</f>
        <v>9632</v>
      </c>
      <c r="L12" s="37">
        <f>ELECT.!M13</f>
        <v>6645</v>
      </c>
      <c r="M12" s="37">
        <f>ELECT.!O13</f>
        <v>3048</v>
      </c>
      <c r="N12" s="37">
        <f>ELECT.!Q13</f>
        <v>11341</v>
      </c>
      <c r="O12" s="37">
        <f>ELECT.!S13</f>
        <v>10449</v>
      </c>
      <c r="P12" s="37">
        <f>ELECT.!W13*2</f>
        <v>21256</v>
      </c>
      <c r="Q12" s="37">
        <f>ELECT.!D13</f>
        <v>640</v>
      </c>
      <c r="R12" s="38">
        <f>BTU!C13</f>
        <v>7.885999999998603</v>
      </c>
      <c r="S12" s="38">
        <f>BTU!F13</f>
        <v>1.6210000000000946</v>
      </c>
      <c r="T12" s="38">
        <f>BTU!I13</f>
        <v>5</v>
      </c>
      <c r="U12" s="38">
        <f>BTU!O13</f>
        <v>1.443000000000211</v>
      </c>
      <c r="V12" s="38">
        <f>BTU!L13</f>
        <v>1.3000000000010914</v>
      </c>
      <c r="W12" s="38">
        <f>BTU!R13</f>
        <v>0.8500000000003638</v>
      </c>
      <c r="X12" s="35">
        <f>ELECT.!B13</f>
        <v>79</v>
      </c>
      <c r="Y12" s="35">
        <f t="shared" si="0"/>
        <v>-3735</v>
      </c>
      <c r="Z12">
        <f>'Mall, Citadel, Rotana'!C13+'Mall, Citadel, Rotana'!E13+'Mall, Citadel, Rotana'!G13+'Mall, Citadel, Rotana'!I13</f>
        <v>1191</v>
      </c>
      <c r="AA12">
        <f>'Mall, Citadel, Rotana'!K13+'Mall, Citadel, Rotana'!M13</f>
        <v>419</v>
      </c>
      <c r="AB12">
        <f>'Mall, Citadel, Rotana'!O13</f>
        <v>3</v>
      </c>
      <c r="AC12">
        <f>'Mall, Citadel, Rotana'!Q13+'Mall, Citadel, Rotana'!S13</f>
        <v>148</v>
      </c>
      <c r="AD12" s="35">
        <f t="shared" si="1"/>
        <v>122.74204500000002</v>
      </c>
      <c r="AE12" s="35">
        <f t="shared" si="2"/>
        <v>808.53295500000013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1000</v>
      </c>
      <c r="F13" s="37">
        <f>Water!E14</f>
        <v>460</v>
      </c>
      <c r="G13" s="37">
        <f>Water!G14</f>
        <v>315.89999999999998</v>
      </c>
      <c r="H13" s="37">
        <f>Water!I14</f>
        <v>4.806</v>
      </c>
      <c r="I13" s="37">
        <f>ELECT.!F14</f>
        <v>8008</v>
      </c>
      <c r="J13" s="37">
        <f>ELECT.!H14</f>
        <v>39106</v>
      </c>
      <c r="K13" s="37">
        <f>ELECT.!K14</f>
        <v>8838</v>
      </c>
      <c r="L13" s="37">
        <f>ELECT.!M14</f>
        <v>5431</v>
      </c>
      <c r="M13" s="37">
        <f>ELECT.!O14</f>
        <v>2442</v>
      </c>
      <c r="N13" s="37">
        <f>ELECT.!Q14</f>
        <v>8673</v>
      </c>
      <c r="O13" s="37">
        <f>ELECT.!S14</f>
        <v>8350</v>
      </c>
      <c r="P13" s="37">
        <f>ELECT.!W14*2</f>
        <v>17056</v>
      </c>
      <c r="Q13" s="37">
        <f>ELECT.!D14</f>
        <v>480</v>
      </c>
      <c r="R13" s="38">
        <f>BTU!C14</f>
        <v>7.0370000000002619</v>
      </c>
      <c r="S13" s="38">
        <f>BTU!F14</f>
        <v>1.5509999999994761</v>
      </c>
      <c r="T13" s="38">
        <f>BTU!I14</f>
        <v>5</v>
      </c>
      <c r="U13" s="38">
        <f>BTU!O14</f>
        <v>1.6410000000000764</v>
      </c>
      <c r="V13" s="38">
        <f>BTU!L14</f>
        <v>0.98999999999978172</v>
      </c>
      <c r="W13" s="38">
        <f>BTU!R14</f>
        <v>0.36999999999989086</v>
      </c>
      <c r="X13" s="35">
        <f>ELECT.!B14</f>
        <v>178</v>
      </c>
      <c r="Y13" s="35">
        <f t="shared" si="0"/>
        <v>-3676</v>
      </c>
      <c r="Z13">
        <f>'Mall, Citadel, Rotana'!C14+'Mall, Citadel, Rotana'!E14+'Mall, Citadel, Rotana'!G14+'Mall, Citadel, Rotana'!I14</f>
        <v>1027</v>
      </c>
      <c r="AA13">
        <f>'Mall, Citadel, Rotana'!K14+'Mall, Citadel, Rotana'!M14</f>
        <v>343</v>
      </c>
      <c r="AB13">
        <f>'Mall, Citadel, Rotana'!O14</f>
        <v>3</v>
      </c>
      <c r="AC13">
        <f>'Mall, Citadel, Rotana'!Q14+'Mall, Citadel, Rotana'!S14</f>
        <v>210</v>
      </c>
      <c r="AD13" s="35">
        <f t="shared" si="1"/>
        <v>105.59736919999999</v>
      </c>
      <c r="AE13" s="35">
        <f t="shared" si="2"/>
        <v>695.59663079999996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940</v>
      </c>
      <c r="F14" s="37">
        <f>Water!E15</f>
        <v>430</v>
      </c>
      <c r="G14" s="37">
        <f>Water!G15</f>
        <v>332.1</v>
      </c>
      <c r="H14" s="37">
        <f>Water!I15</f>
        <v>5.0759999999999996</v>
      </c>
      <c r="I14" s="37">
        <f>ELECT.!F15</f>
        <v>10686</v>
      </c>
      <c r="J14" s="37">
        <f>ELECT.!H15</f>
        <v>40425</v>
      </c>
      <c r="K14" s="37">
        <f>ELECT.!K15</f>
        <v>9080</v>
      </c>
      <c r="L14" s="37">
        <f>ELECT.!M15</f>
        <v>6051</v>
      </c>
      <c r="M14" s="37">
        <f>ELECT.!O15</f>
        <v>2468</v>
      </c>
      <c r="N14" s="37">
        <f>ELECT.!Q15</f>
        <v>9567</v>
      </c>
      <c r="O14" s="37">
        <f>ELECT.!S15</f>
        <v>9399</v>
      </c>
      <c r="P14" s="37">
        <f>ELECT.!W15*2</f>
        <v>19008</v>
      </c>
      <c r="Q14" s="37">
        <f>ELECT.!D15</f>
        <v>640</v>
      </c>
      <c r="R14" s="38">
        <f>BTU!C15</f>
        <v>5.8499999999985448</v>
      </c>
      <c r="S14" s="38">
        <f>BTU!F15</f>
        <v>1.2409999999999854</v>
      </c>
      <c r="T14" s="38">
        <f>BTU!I15</f>
        <v>4</v>
      </c>
      <c r="U14" s="38">
        <f>BTU!O15</f>
        <v>1.51299999999992</v>
      </c>
      <c r="V14" s="38">
        <f>BTU!L15</f>
        <v>1.1499999999996362</v>
      </c>
      <c r="W14" s="38">
        <f>BTU!R15</f>
        <v>0.47999999999956344</v>
      </c>
      <c r="X14" s="35">
        <f>ELECT.!B15</f>
        <v>89</v>
      </c>
      <c r="Y14" s="35">
        <f t="shared" si="0"/>
        <v>-4462</v>
      </c>
      <c r="Z14">
        <f>'Mall, Citadel, Rotana'!C15+'Mall, Citadel, Rotana'!E15+'Mall, Citadel, Rotana'!G15+'Mall, Citadel, Rotana'!I15</f>
        <v>2242</v>
      </c>
      <c r="AA14">
        <f>'Mall, Citadel, Rotana'!K15+'Mall, Citadel, Rotana'!M15</f>
        <v>693</v>
      </c>
      <c r="AB14">
        <f>'Mall, Citadel, Rotana'!O15</f>
        <v>7</v>
      </c>
      <c r="AC14">
        <f>'Mall, Citadel, Rotana'!Q15+'Mall, Citadel, Rotana'!S15</f>
        <v>0</v>
      </c>
      <c r="AD14" s="35">
        <f t="shared" si="1"/>
        <v>97.653783199999992</v>
      </c>
      <c r="AE14" s="35">
        <f t="shared" si="2"/>
        <v>643.27021679999996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980</v>
      </c>
      <c r="F15" s="37">
        <f>Water!E16</f>
        <v>430</v>
      </c>
      <c r="G15" s="37">
        <f>Water!G16</f>
        <v>283.5</v>
      </c>
      <c r="H15" s="37">
        <f>Water!I16</f>
        <v>4.617</v>
      </c>
      <c r="I15" s="37">
        <f>ELECT.!F16</f>
        <v>7760</v>
      </c>
      <c r="J15" s="37">
        <f>ELECT.!H16</f>
        <v>48628</v>
      </c>
      <c r="K15" s="37">
        <f>ELECT.!K16</f>
        <v>9616</v>
      </c>
      <c r="L15" s="37">
        <f>ELECT.!M16</f>
        <v>6974</v>
      </c>
      <c r="M15" s="37">
        <f>ELECT.!O16</f>
        <v>2674</v>
      </c>
      <c r="N15" s="37">
        <f>ELECT.!Q16</f>
        <v>10286</v>
      </c>
      <c r="O15" s="37">
        <f>ELECT.!S16</f>
        <v>9661</v>
      </c>
      <c r="P15" s="37">
        <f>ELECT.!W16*2</f>
        <v>19718</v>
      </c>
      <c r="Q15" s="37">
        <f>ELECT.!D16</f>
        <v>480</v>
      </c>
      <c r="R15" s="38">
        <f>BTU!C16</f>
        <v>6.1130000000011933</v>
      </c>
      <c r="S15" s="38">
        <f>BTU!F16</f>
        <v>1.331000000000131</v>
      </c>
      <c r="T15" s="38">
        <f>BTU!I16</f>
        <v>4</v>
      </c>
      <c r="U15" s="38">
        <f>BTU!O16</f>
        <v>1.4670000000000982</v>
      </c>
      <c r="V15" s="38">
        <f>BTU!L16</f>
        <v>1.7199999999993452</v>
      </c>
      <c r="W15" s="38">
        <f>BTU!R16</f>
        <v>9.0000000000145519E-2</v>
      </c>
      <c r="X15" s="35">
        <f>ELECT.!B16</f>
        <v>142</v>
      </c>
      <c r="Y15" s="35">
        <f t="shared" si="0"/>
        <v>-2541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227</v>
      </c>
      <c r="AB15">
        <f>'Mall, Citadel, Rotana'!O16</f>
        <v>3</v>
      </c>
      <c r="AC15">
        <f>'Mall, Citadel, Rotana'!Q16+'Mall, Citadel, Rotana'!S16</f>
        <v>247</v>
      </c>
      <c r="AD15" s="35">
        <f t="shared" si="1"/>
        <v>102.9862794</v>
      </c>
      <c r="AE15" s="35">
        <f t="shared" si="2"/>
        <v>678.39672059999998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1320</v>
      </c>
      <c r="F16" s="37">
        <f>Water!E17</f>
        <v>820</v>
      </c>
      <c r="G16" s="37">
        <f>Water!G17</f>
        <v>348.3</v>
      </c>
      <c r="H16" s="37">
        <f>Water!I17</f>
        <v>4.3739999999999997</v>
      </c>
      <c r="I16" s="37">
        <f>ELECT.!F17</f>
        <v>8812</v>
      </c>
      <c r="J16" s="37">
        <f>ELECT.!H17</f>
        <v>45646</v>
      </c>
      <c r="K16" s="37">
        <f>ELECT.!K17</f>
        <v>9330</v>
      </c>
      <c r="L16" s="37">
        <f>ELECT.!M17</f>
        <v>6000</v>
      </c>
      <c r="M16" s="37">
        <f>ELECT.!O17</f>
        <v>2622</v>
      </c>
      <c r="N16" s="37">
        <f>ELECT.!Q17</f>
        <v>10348</v>
      </c>
      <c r="O16" s="37">
        <f>ELECT.!S17</f>
        <v>9812</v>
      </c>
      <c r="P16" s="37">
        <f>ELECT.!W17*2</f>
        <v>20300</v>
      </c>
      <c r="Q16" s="37">
        <f>ELECT.!D17</f>
        <v>800</v>
      </c>
      <c r="R16" s="38">
        <f>BTU!C17</f>
        <v>5.6610000000000582</v>
      </c>
      <c r="S16" s="38">
        <f>BTU!F17</f>
        <v>0.96500000000014552</v>
      </c>
      <c r="T16" s="38">
        <f>BTU!I17</f>
        <v>4</v>
      </c>
      <c r="U16" s="38">
        <f>BTU!O17</f>
        <v>1.444999999999709</v>
      </c>
      <c r="V16" s="38">
        <f>BTU!L17</f>
        <v>1.25</v>
      </c>
      <c r="W16" s="38">
        <f>BTU!R17</f>
        <v>0.32000000000061846</v>
      </c>
      <c r="X16" s="35">
        <f>ELECT.!B17</f>
        <v>177</v>
      </c>
      <c r="Y16" s="35">
        <f t="shared" si="0"/>
        <v>-3954</v>
      </c>
      <c r="Z16">
        <f>'Mall, Citadel, Rotana'!C17+'Mall, Citadel, Rotana'!E17+'Mall, Citadel, Rotana'!G17+'Mall, Citadel, Rotana'!I17</f>
        <v>1026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147.83030679999999</v>
      </c>
      <c r="AE16" s="35">
        <f t="shared" si="2"/>
        <v>973.79569319999996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1440</v>
      </c>
      <c r="F17" s="37">
        <f>Water!E18</f>
        <v>1070</v>
      </c>
      <c r="G17" s="37">
        <f>Water!G18</f>
        <v>421.2</v>
      </c>
      <c r="H17" s="37">
        <f>Water!I18</f>
        <v>4.9409999999999998</v>
      </c>
      <c r="I17" s="37">
        <f>ELECT.!F18</f>
        <v>7968</v>
      </c>
      <c r="J17" s="37">
        <f>ELECT.!H18</f>
        <v>42071</v>
      </c>
      <c r="K17" s="37">
        <f>ELECT.!K18</f>
        <v>7182</v>
      </c>
      <c r="L17" s="37">
        <f>ELECT.!M18</f>
        <v>5272</v>
      </c>
      <c r="M17" s="37">
        <f>ELECT.!O18</f>
        <v>2602</v>
      </c>
      <c r="N17" s="37">
        <f>ELECT.!Q18</f>
        <v>9777</v>
      </c>
      <c r="O17" s="37">
        <f>ELECT.!S18</f>
        <v>8962</v>
      </c>
      <c r="P17" s="37">
        <f>ELECT.!W18*2</f>
        <v>18492</v>
      </c>
      <c r="Q17" s="37">
        <f>ELECT.!D18</f>
        <v>320</v>
      </c>
      <c r="R17" s="38">
        <f>BTU!C18</f>
        <v>8.3780000000006112</v>
      </c>
      <c r="S17" s="38">
        <f>BTU!F18</f>
        <v>1.0160000000005311</v>
      </c>
      <c r="T17" s="38">
        <f>BTU!I18</f>
        <v>5</v>
      </c>
      <c r="U17" s="38">
        <f>BTU!O18</f>
        <v>1.9630000000001928</v>
      </c>
      <c r="V17" s="38">
        <f>BTU!L18</f>
        <v>1.9400000000005093</v>
      </c>
      <c r="W17" s="38">
        <f>BTU!R18</f>
        <v>0</v>
      </c>
      <c r="X17" s="35">
        <f>ELECT.!B18</f>
        <v>180</v>
      </c>
      <c r="Y17" s="35">
        <f t="shared" si="0"/>
        <v>-2248</v>
      </c>
      <c r="Z17">
        <f>'Mall, Citadel, Rotana'!C18+'Mall, Citadel, Rotana'!E18+'Mall, Citadel, Rotana'!G18+'Mall, Citadel, Rotana'!I18</f>
        <v>1049</v>
      </c>
      <c r="AA17">
        <f>'Mall, Citadel, Rotana'!K18+'Mall, Citadel, Rotana'!M18</f>
        <v>253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163.57157620000001</v>
      </c>
      <c r="AE17" s="35">
        <f t="shared" si="2"/>
        <v>1077.4874238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1150</v>
      </c>
      <c r="F18" s="37">
        <f>Water!E19</f>
        <v>410</v>
      </c>
      <c r="G18" s="37">
        <f>Water!G19</f>
        <v>369.9</v>
      </c>
      <c r="H18" s="37">
        <f>Water!I19</f>
        <v>3.9689999999999999</v>
      </c>
      <c r="I18" s="37">
        <f>ELECT.!F19</f>
        <v>10226</v>
      </c>
      <c r="J18" s="37">
        <f>ELECT.!H19</f>
        <v>52563</v>
      </c>
      <c r="K18" s="37">
        <f>ELECT.!K19</f>
        <v>9624</v>
      </c>
      <c r="L18" s="37">
        <f>ELECT.!M19</f>
        <v>6722</v>
      </c>
      <c r="M18" s="37">
        <f>ELECT.!O19</f>
        <v>3354</v>
      </c>
      <c r="N18" s="37">
        <f>ELECT.!Q19</f>
        <v>13476</v>
      </c>
      <c r="O18" s="37">
        <f>ELECT.!S19</f>
        <v>10762</v>
      </c>
      <c r="P18" s="37">
        <f>ELECT.!W19*2</f>
        <v>22468</v>
      </c>
      <c r="Q18" s="37">
        <f>ELECT.!D19</f>
        <v>640</v>
      </c>
      <c r="R18" s="38">
        <f>BTU!C19</f>
        <v>8.1389999999992142</v>
      </c>
      <c r="S18" s="38">
        <f>BTU!F19</f>
        <v>1.6589999999996508</v>
      </c>
      <c r="T18" s="38">
        <f>BTU!I19</f>
        <v>5</v>
      </c>
      <c r="U18" s="38">
        <f>BTU!O19</f>
        <v>1.3780000000001564</v>
      </c>
      <c r="V18" s="38">
        <f>BTU!L19</f>
        <v>1.6300000000010186</v>
      </c>
      <c r="W18" s="38">
        <f>BTU!R19</f>
        <v>0.83999999999923602</v>
      </c>
      <c r="X18" s="35">
        <f>ELECT.!B19</f>
        <v>184</v>
      </c>
      <c r="Y18" s="35">
        <f t="shared" si="0"/>
        <v>-3617</v>
      </c>
      <c r="Z18">
        <f>'Mall, Citadel, Rotana'!C19+'Mall, Citadel, Rotana'!E19+'Mall, Citadel, Rotana'!G19+'Mall, Citadel, Rotana'!I19</f>
        <v>1191</v>
      </c>
      <c r="AA18">
        <f>'Mall, Citadel, Rotana'!K19+'Mall, Citadel, Rotana'!M19</f>
        <v>390</v>
      </c>
      <c r="AB18">
        <f>'Mall, Citadel, Rotana'!O19</f>
        <v>4</v>
      </c>
      <c r="AC18">
        <f>'Mall, Citadel, Rotana'!Q19+'Mall, Citadel, Rotana'!S19</f>
        <v>238</v>
      </c>
      <c r="AD18" s="35">
        <f t="shared" si="1"/>
        <v>125.47768579999999</v>
      </c>
      <c r="AE18" s="35">
        <f t="shared" si="2"/>
        <v>826.55331419999993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1080</v>
      </c>
      <c r="F19" s="37">
        <f>Water!E20</f>
        <v>510</v>
      </c>
      <c r="G19" s="37">
        <f>Water!G20</f>
        <v>396.9</v>
      </c>
      <c r="H19" s="37">
        <f>Water!I20</f>
        <v>4.266</v>
      </c>
      <c r="I19" s="37">
        <f>ELECT.!F20</f>
        <v>10848</v>
      </c>
      <c r="J19" s="37">
        <f>ELECT.!H20</f>
        <v>45708</v>
      </c>
      <c r="K19" s="37">
        <f>ELECT.!K20</f>
        <v>8696</v>
      </c>
      <c r="L19" s="37">
        <f>ELECT.!M20</f>
        <v>5898</v>
      </c>
      <c r="M19" s="37">
        <f>ELECT.!O20</f>
        <v>4812</v>
      </c>
      <c r="N19" s="37">
        <f>ELECT.!Q20</f>
        <v>11297</v>
      </c>
      <c r="O19" s="37">
        <f>ELECT.!S20</f>
        <v>9458</v>
      </c>
      <c r="P19" s="37">
        <f>ELECT.!W20*2</f>
        <v>19666</v>
      </c>
      <c r="Q19" s="37">
        <f>ELECT.!D20</f>
        <v>640</v>
      </c>
      <c r="R19" s="38">
        <f>BTU!C20</f>
        <v>6.375</v>
      </c>
      <c r="S19" s="38">
        <f>BTU!F20</f>
        <v>1.2759999999998399</v>
      </c>
      <c r="T19" s="38">
        <f>BTU!I20</f>
        <v>3</v>
      </c>
      <c r="U19" s="38">
        <f>BTU!O20</f>
        <v>0.93699999999989814</v>
      </c>
      <c r="V19" s="38">
        <f>BTU!L20</f>
        <v>0.94999999999890861</v>
      </c>
      <c r="W19" s="38">
        <f>BTU!R20</f>
        <v>0.31000000000040018</v>
      </c>
      <c r="X19" s="35">
        <f>ELECT.!B20</f>
        <v>96</v>
      </c>
      <c r="Y19" s="35">
        <f t="shared" si="0"/>
        <v>-3271</v>
      </c>
      <c r="Z19">
        <f>'Mall, Citadel, Rotana'!C20+'Mall, Citadel, Rotana'!E20+'Mall, Citadel, Rotana'!G20+'Mall, Citadel, Rotana'!I20</f>
        <v>1055</v>
      </c>
      <c r="AA19">
        <f>'Mall, Citadel, Rotana'!K20+'Mall, Citadel, Rotana'!M20</f>
        <v>406</v>
      </c>
      <c r="AB19">
        <f>'Mall, Citadel, Rotana'!O20</f>
        <v>3</v>
      </c>
      <c r="AC19">
        <f>'Mall, Citadel, Rotana'!Q20+'Mall, Citadel, Rotana'!S20</f>
        <v>124</v>
      </c>
      <c r="AD19" s="35">
        <f t="shared" si="1"/>
        <v>116.21254119999999</v>
      </c>
      <c r="AE19" s="35">
        <f t="shared" si="2"/>
        <v>765.52145879999989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 t="str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0" sqref="U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3973</v>
      </c>
      <c r="U10" s="14">
        <f t="shared" si="9"/>
        <v>160</v>
      </c>
    </row>
    <row r="11" spans="1:24" ht="13.5" thickBot="1" x14ac:dyDescent="0.25">
      <c r="A11" s="9">
        <v>44660</v>
      </c>
      <c r="B11" s="32">
        <v>46872</v>
      </c>
      <c r="C11" s="14">
        <f t="shared" si="1"/>
        <v>640</v>
      </c>
      <c r="D11" s="32">
        <v>40473</v>
      </c>
      <c r="E11" s="14">
        <f t="shared" si="2"/>
        <v>320</v>
      </c>
      <c r="F11" s="32">
        <v>21514</v>
      </c>
      <c r="G11" s="14">
        <f t="shared" si="3"/>
        <v>60</v>
      </c>
      <c r="H11" s="32">
        <v>254519</v>
      </c>
      <c r="I11" s="14">
        <f t="shared" si="4"/>
        <v>14</v>
      </c>
      <c r="J11" s="32">
        <v>308699</v>
      </c>
      <c r="K11" s="14">
        <f t="shared" si="5"/>
        <v>126</v>
      </c>
      <c r="L11" s="32">
        <v>26019</v>
      </c>
      <c r="M11" s="14">
        <f t="shared" si="6"/>
        <v>120</v>
      </c>
      <c r="N11" s="32">
        <v>225867</v>
      </c>
      <c r="O11" s="14">
        <f t="shared" si="7"/>
        <v>3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v>3973.5</v>
      </c>
      <c r="U11" s="14">
        <f t="shared" si="9"/>
        <v>80</v>
      </c>
    </row>
    <row r="12" spans="1:24" ht="13.5" thickBot="1" x14ac:dyDescent="0.25">
      <c r="A12" s="9">
        <v>44661</v>
      </c>
      <c r="B12" s="32">
        <v>46875</v>
      </c>
      <c r="C12" s="14">
        <f t="shared" si="1"/>
        <v>480</v>
      </c>
      <c r="D12" s="32">
        <v>40476</v>
      </c>
      <c r="E12" s="14">
        <f t="shared" si="2"/>
        <v>480</v>
      </c>
      <c r="F12" s="32">
        <v>21517</v>
      </c>
      <c r="G12" s="14">
        <f t="shared" si="3"/>
        <v>60</v>
      </c>
      <c r="H12" s="32">
        <v>254533</v>
      </c>
      <c r="I12" s="14">
        <f t="shared" si="4"/>
        <v>14</v>
      </c>
      <c r="J12" s="32">
        <v>308849</v>
      </c>
      <c r="K12" s="14">
        <f t="shared" si="5"/>
        <v>150</v>
      </c>
      <c r="L12" s="32">
        <v>26022</v>
      </c>
      <c r="M12" s="14">
        <f t="shared" si="6"/>
        <v>180</v>
      </c>
      <c r="N12" s="32">
        <v>225871</v>
      </c>
      <c r="O12" s="14">
        <f t="shared" si="7"/>
        <v>4</v>
      </c>
      <c r="P12" s="32">
        <v>147721</v>
      </c>
      <c r="Q12" s="14">
        <f t="shared" si="0"/>
        <v>323</v>
      </c>
      <c r="R12" s="1">
        <v>55047</v>
      </c>
      <c r="S12" s="14">
        <f t="shared" si="8"/>
        <v>0</v>
      </c>
      <c r="T12" s="32">
        <v>3974</v>
      </c>
      <c r="U12" s="14">
        <f t="shared" si="9"/>
        <v>80</v>
      </c>
    </row>
    <row r="13" spans="1:24" ht="13.5" thickBot="1" x14ac:dyDescent="0.25">
      <c r="A13" s="9">
        <v>44662</v>
      </c>
      <c r="B13" s="32">
        <v>46879</v>
      </c>
      <c r="C13" s="14">
        <f t="shared" si="1"/>
        <v>640</v>
      </c>
      <c r="D13" s="32">
        <v>40479</v>
      </c>
      <c r="E13" s="14">
        <f t="shared" si="2"/>
        <v>480</v>
      </c>
      <c r="F13" s="32">
        <v>21520</v>
      </c>
      <c r="G13" s="14">
        <f t="shared" si="3"/>
        <v>60</v>
      </c>
      <c r="H13" s="32">
        <v>254544</v>
      </c>
      <c r="I13" s="14">
        <f t="shared" si="4"/>
        <v>11</v>
      </c>
      <c r="J13" s="32">
        <v>309028</v>
      </c>
      <c r="K13" s="14">
        <f t="shared" si="5"/>
        <v>179</v>
      </c>
      <c r="L13" s="32">
        <v>26026</v>
      </c>
      <c r="M13" s="14">
        <f t="shared" si="6"/>
        <v>240</v>
      </c>
      <c r="N13" s="32">
        <v>225874</v>
      </c>
      <c r="O13" s="14">
        <f t="shared" si="7"/>
        <v>3</v>
      </c>
      <c r="P13" s="32">
        <v>147869</v>
      </c>
      <c r="Q13" s="14">
        <f t="shared" si="0"/>
        <v>148</v>
      </c>
      <c r="R13" s="1">
        <v>55047</v>
      </c>
      <c r="S13" s="14">
        <f t="shared" si="8"/>
        <v>0</v>
      </c>
      <c r="T13" s="32">
        <v>3974.5</v>
      </c>
      <c r="U13" s="14">
        <f t="shared" si="9"/>
        <v>80</v>
      </c>
    </row>
    <row r="14" spans="1:24" ht="13.5" thickBot="1" x14ac:dyDescent="0.25">
      <c r="A14" s="9">
        <v>44663</v>
      </c>
      <c r="B14" s="32">
        <v>46882</v>
      </c>
      <c r="C14" s="14">
        <f t="shared" si="1"/>
        <v>480</v>
      </c>
      <c r="D14" s="32">
        <v>40482</v>
      </c>
      <c r="E14" s="14">
        <f t="shared" si="2"/>
        <v>480</v>
      </c>
      <c r="F14" s="32">
        <v>21523</v>
      </c>
      <c r="G14" s="14">
        <f t="shared" si="3"/>
        <v>60</v>
      </c>
      <c r="H14" s="32">
        <v>254551</v>
      </c>
      <c r="I14" s="14">
        <f t="shared" si="4"/>
        <v>7</v>
      </c>
      <c r="J14" s="32">
        <v>309191</v>
      </c>
      <c r="K14" s="14">
        <f t="shared" si="5"/>
        <v>163</v>
      </c>
      <c r="L14" s="32">
        <v>26029</v>
      </c>
      <c r="M14" s="14">
        <f t="shared" si="6"/>
        <v>180</v>
      </c>
      <c r="N14" s="32">
        <v>225877</v>
      </c>
      <c r="O14" s="14">
        <f t="shared" si="7"/>
        <v>3</v>
      </c>
      <c r="P14" s="32">
        <v>148079</v>
      </c>
      <c r="Q14" s="14">
        <f t="shared" si="0"/>
        <v>210</v>
      </c>
      <c r="R14" s="1">
        <v>55047</v>
      </c>
      <c r="S14" s="14">
        <v>0</v>
      </c>
      <c r="T14" s="32">
        <v>3974</v>
      </c>
      <c r="U14" s="14">
        <f t="shared" si="9"/>
        <v>-80</v>
      </c>
    </row>
    <row r="15" spans="1:24" ht="13.5" thickBot="1" x14ac:dyDescent="0.25">
      <c r="A15" s="9">
        <v>44664</v>
      </c>
      <c r="B15" s="32">
        <v>46889</v>
      </c>
      <c r="C15" s="14">
        <f t="shared" si="1"/>
        <v>1120</v>
      </c>
      <c r="D15" s="32">
        <v>40488</v>
      </c>
      <c r="E15" s="14">
        <f t="shared" si="2"/>
        <v>960</v>
      </c>
      <c r="F15" s="32">
        <v>21530</v>
      </c>
      <c r="G15" s="14">
        <f t="shared" ref="G15" si="11">(F15-F14)*100/5</f>
        <v>140</v>
      </c>
      <c r="H15" s="32">
        <v>254573</v>
      </c>
      <c r="I15" s="14">
        <f t="shared" ref="I15" si="12">(H15-H14)</f>
        <v>22</v>
      </c>
      <c r="J15" s="32">
        <v>309524</v>
      </c>
      <c r="K15" s="14">
        <f t="shared" si="5"/>
        <v>333</v>
      </c>
      <c r="L15" s="32">
        <v>26035</v>
      </c>
      <c r="M15" s="14">
        <f t="shared" si="6"/>
        <v>360</v>
      </c>
      <c r="N15" s="32">
        <v>225884</v>
      </c>
      <c r="O15" s="14">
        <f t="shared" ref="O15" si="13">N15-N14</f>
        <v>7</v>
      </c>
      <c r="P15" s="32">
        <f t="shared" si="10"/>
        <v>148079</v>
      </c>
      <c r="Q15" s="14">
        <f t="shared" si="0"/>
        <v>0</v>
      </c>
      <c r="R15" s="1">
        <v>55047</v>
      </c>
      <c r="S15" s="14">
        <v>0</v>
      </c>
      <c r="T15" s="32">
        <v>3975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44665</v>
      </c>
      <c r="B16" s="32">
        <v>46889</v>
      </c>
      <c r="C16" s="14">
        <f t="shared" si="1"/>
        <v>0</v>
      </c>
      <c r="D16" s="32">
        <v>40488</v>
      </c>
      <c r="E16" s="14">
        <f t="shared" si="2"/>
        <v>0</v>
      </c>
      <c r="F16" s="32">
        <v>21530</v>
      </c>
      <c r="G16" s="14">
        <f t="shared" si="3"/>
        <v>0</v>
      </c>
      <c r="H16" s="32">
        <v>254573</v>
      </c>
      <c r="I16" s="14">
        <f t="shared" si="4"/>
        <v>0</v>
      </c>
      <c r="J16" s="32">
        <v>309631</v>
      </c>
      <c r="K16" s="14">
        <f t="shared" si="5"/>
        <v>107</v>
      </c>
      <c r="L16" s="32">
        <v>26037</v>
      </c>
      <c r="M16" s="14">
        <f t="shared" si="6"/>
        <v>120</v>
      </c>
      <c r="N16" s="32">
        <v>225887</v>
      </c>
      <c r="O16" s="14">
        <f t="shared" si="7"/>
        <v>3</v>
      </c>
      <c r="P16" s="32">
        <v>148326</v>
      </c>
      <c r="Q16" s="14">
        <f t="shared" si="0"/>
        <v>247</v>
      </c>
      <c r="R16" s="1">
        <v>55047</v>
      </c>
      <c r="S16" s="14">
        <f t="shared" si="8"/>
        <v>0</v>
      </c>
      <c r="T16" s="32">
        <f t="shared" ref="T16:T32" si="15">T15</f>
        <v>3975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v>46892</v>
      </c>
      <c r="C17" s="14">
        <f t="shared" si="1"/>
        <v>480</v>
      </c>
      <c r="D17" s="32">
        <v>40491</v>
      </c>
      <c r="E17" s="14">
        <f t="shared" si="2"/>
        <v>480</v>
      </c>
      <c r="F17" s="32">
        <v>21533</v>
      </c>
      <c r="G17" s="14">
        <f t="shared" si="3"/>
        <v>60</v>
      </c>
      <c r="H17" s="32">
        <v>254579</v>
      </c>
      <c r="I17" s="14">
        <f t="shared" si="4"/>
        <v>6</v>
      </c>
      <c r="J17" s="32">
        <v>309631</v>
      </c>
      <c r="K17" s="14">
        <f t="shared" si="5"/>
        <v>0</v>
      </c>
      <c r="L17" s="32">
        <v>26037</v>
      </c>
      <c r="M17" s="14">
        <f t="shared" si="6"/>
        <v>0</v>
      </c>
      <c r="N17" s="32">
        <v>225887</v>
      </c>
      <c r="O17" s="14">
        <f t="shared" si="7"/>
        <v>0</v>
      </c>
      <c r="P17" s="32">
        <v>148326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5"/>
        <v>3975</v>
      </c>
      <c r="U17" s="14">
        <f t="shared" si="9"/>
        <v>0</v>
      </c>
    </row>
    <row r="18" spans="1:23" ht="13.5" thickBot="1" x14ac:dyDescent="0.25">
      <c r="A18" s="9">
        <v>44667</v>
      </c>
      <c r="B18" s="32">
        <v>46895</v>
      </c>
      <c r="C18" s="14">
        <f t="shared" si="1"/>
        <v>480</v>
      </c>
      <c r="D18" s="32">
        <v>40494</v>
      </c>
      <c r="E18" s="14">
        <f t="shared" si="2"/>
        <v>480</v>
      </c>
      <c r="F18" s="32">
        <v>21537</v>
      </c>
      <c r="G18" s="14">
        <f t="shared" si="3"/>
        <v>80</v>
      </c>
      <c r="H18" s="32">
        <v>254588</v>
      </c>
      <c r="I18" s="14">
        <f t="shared" si="4"/>
        <v>9</v>
      </c>
      <c r="J18" s="32">
        <v>309764</v>
      </c>
      <c r="K18" s="14">
        <f t="shared" si="5"/>
        <v>133</v>
      </c>
      <c r="L18" s="32">
        <v>26039</v>
      </c>
      <c r="M18" s="14">
        <f t="shared" si="6"/>
        <v>120</v>
      </c>
      <c r="N18" s="32">
        <v>225890</v>
      </c>
      <c r="O18" s="14">
        <f t="shared" si="7"/>
        <v>3</v>
      </c>
      <c r="P18" s="32">
        <f t="shared" si="10"/>
        <v>148326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5"/>
        <v>3975</v>
      </c>
      <c r="U18" s="14">
        <f t="shared" si="9"/>
        <v>0</v>
      </c>
    </row>
    <row r="19" spans="1:23" ht="13.5" thickBot="1" x14ac:dyDescent="0.25">
      <c r="A19" s="9">
        <v>44668</v>
      </c>
      <c r="B19" s="32">
        <v>46899</v>
      </c>
      <c r="C19" s="14">
        <f t="shared" si="1"/>
        <v>640</v>
      </c>
      <c r="D19" s="32">
        <v>40497</v>
      </c>
      <c r="E19" s="14">
        <f t="shared" si="2"/>
        <v>480</v>
      </c>
      <c r="F19" s="32">
        <v>21540</v>
      </c>
      <c r="G19" s="14">
        <f t="shared" si="3"/>
        <v>60</v>
      </c>
      <c r="H19" s="32">
        <v>254599</v>
      </c>
      <c r="I19" s="14">
        <f t="shared" si="4"/>
        <v>11</v>
      </c>
      <c r="J19" s="32">
        <v>309914</v>
      </c>
      <c r="K19" s="14">
        <f t="shared" si="5"/>
        <v>150</v>
      </c>
      <c r="L19" s="32">
        <v>26043</v>
      </c>
      <c r="M19" s="14">
        <f t="shared" si="6"/>
        <v>240</v>
      </c>
      <c r="N19" s="32">
        <v>225894</v>
      </c>
      <c r="O19" s="14">
        <f t="shared" si="7"/>
        <v>4</v>
      </c>
      <c r="P19" s="32">
        <v>148564</v>
      </c>
      <c r="Q19" s="14">
        <f t="shared" si="0"/>
        <v>238</v>
      </c>
      <c r="R19" s="1">
        <v>55047</v>
      </c>
      <c r="S19" s="14">
        <f t="shared" si="8"/>
        <v>0</v>
      </c>
      <c r="T19" s="32">
        <v>3976</v>
      </c>
      <c r="U19" s="14">
        <f t="shared" si="9"/>
        <v>160</v>
      </c>
      <c r="W19" t="s">
        <v>12</v>
      </c>
    </row>
    <row r="20" spans="1:23" ht="13.5" thickBot="1" x14ac:dyDescent="0.25">
      <c r="A20" s="9">
        <v>44669</v>
      </c>
      <c r="B20" s="32">
        <v>46902</v>
      </c>
      <c r="C20" s="14">
        <f t="shared" si="1"/>
        <v>480</v>
      </c>
      <c r="D20" s="32">
        <v>40500</v>
      </c>
      <c r="E20" s="14">
        <f t="shared" si="2"/>
        <v>480</v>
      </c>
      <c r="F20" s="32">
        <v>21544</v>
      </c>
      <c r="G20" s="14">
        <f t="shared" si="3"/>
        <v>80</v>
      </c>
      <c r="H20" s="32">
        <v>254614</v>
      </c>
      <c r="I20" s="14">
        <f t="shared" si="4"/>
        <v>15</v>
      </c>
      <c r="J20" s="32">
        <v>310080</v>
      </c>
      <c r="K20" s="14">
        <f t="shared" si="5"/>
        <v>166</v>
      </c>
      <c r="L20" s="32">
        <v>26047</v>
      </c>
      <c r="M20" s="14">
        <f t="shared" si="6"/>
        <v>240</v>
      </c>
      <c r="N20" s="32">
        <v>225897</v>
      </c>
      <c r="O20" s="14">
        <f t="shared" si="7"/>
        <v>3</v>
      </c>
      <c r="P20" s="32">
        <v>148688</v>
      </c>
      <c r="Q20" s="14">
        <f t="shared" si="0"/>
        <v>124</v>
      </c>
      <c r="R20" s="1">
        <v>55047</v>
      </c>
      <c r="S20" s="14">
        <f t="shared" si="8"/>
        <v>0</v>
      </c>
      <c r="T20" s="32">
        <v>3976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ref="B21:B32" si="16">B20</f>
        <v>46902</v>
      </c>
      <c r="C21" s="14">
        <f t="shared" si="1"/>
        <v>0</v>
      </c>
      <c r="D21" s="32">
        <f t="shared" ref="D21:D32" si="17">D20</f>
        <v>40500</v>
      </c>
      <c r="E21" s="14">
        <f t="shared" si="2"/>
        <v>0</v>
      </c>
      <c r="F21" s="32">
        <f t="shared" ref="F21:F32" si="18">F20</f>
        <v>21544</v>
      </c>
      <c r="G21" s="14">
        <f t="shared" si="3"/>
        <v>0</v>
      </c>
      <c r="H21" s="32">
        <f t="shared" ref="H21:H32" si="19">H20</f>
        <v>254614</v>
      </c>
      <c r="I21" s="14">
        <f t="shared" si="4"/>
        <v>0</v>
      </c>
      <c r="J21" s="32">
        <f t="shared" ref="J21:J32" si="20">J20</f>
        <v>310080</v>
      </c>
      <c r="K21" s="14">
        <f t="shared" si="5"/>
        <v>0</v>
      </c>
      <c r="L21" s="32">
        <f t="shared" ref="L21:L32" si="21">L20</f>
        <v>26047</v>
      </c>
      <c r="M21" s="14">
        <f t="shared" si="6"/>
        <v>0</v>
      </c>
      <c r="N21" s="32">
        <f t="shared" ref="N21:N32" si="22">N20</f>
        <v>225897</v>
      </c>
      <c r="O21" s="14">
        <f t="shared" si="7"/>
        <v>0</v>
      </c>
      <c r="P21" s="32">
        <f t="shared" si="10"/>
        <v>148688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5"/>
        <v>3976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6"/>
        <v>46902</v>
      </c>
      <c r="C22" s="14">
        <f t="shared" si="1"/>
        <v>0</v>
      </c>
      <c r="D22" s="32">
        <f t="shared" si="17"/>
        <v>40500</v>
      </c>
      <c r="E22" s="14">
        <f t="shared" si="2"/>
        <v>0</v>
      </c>
      <c r="F22" s="32">
        <f t="shared" si="18"/>
        <v>21544</v>
      </c>
      <c r="G22" s="14">
        <f t="shared" si="3"/>
        <v>0</v>
      </c>
      <c r="H22" s="32">
        <f t="shared" si="19"/>
        <v>254614</v>
      </c>
      <c r="I22" s="14">
        <f t="shared" si="4"/>
        <v>0</v>
      </c>
      <c r="J22" s="32">
        <f t="shared" si="20"/>
        <v>310080</v>
      </c>
      <c r="K22" s="14">
        <f t="shared" si="5"/>
        <v>0</v>
      </c>
      <c r="L22" s="32">
        <f t="shared" si="21"/>
        <v>26047</v>
      </c>
      <c r="M22" s="14">
        <f t="shared" si="6"/>
        <v>0</v>
      </c>
      <c r="N22" s="32">
        <f t="shared" si="22"/>
        <v>225897</v>
      </c>
      <c r="O22" s="14">
        <f t="shared" si="7"/>
        <v>0</v>
      </c>
      <c r="P22" s="32">
        <f t="shared" si="10"/>
        <v>148688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5"/>
        <v>3976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6"/>
        <v>46902</v>
      </c>
      <c r="C23" s="14">
        <f t="shared" si="1"/>
        <v>0</v>
      </c>
      <c r="D23" s="32">
        <f t="shared" si="17"/>
        <v>40500</v>
      </c>
      <c r="E23" s="14">
        <f t="shared" si="2"/>
        <v>0</v>
      </c>
      <c r="F23" s="32">
        <f t="shared" si="18"/>
        <v>21544</v>
      </c>
      <c r="G23" s="14">
        <f t="shared" si="3"/>
        <v>0</v>
      </c>
      <c r="H23" s="32">
        <f t="shared" si="19"/>
        <v>254614</v>
      </c>
      <c r="I23" s="14">
        <f t="shared" si="4"/>
        <v>0</v>
      </c>
      <c r="J23" s="32">
        <f t="shared" si="20"/>
        <v>310080</v>
      </c>
      <c r="K23" s="14">
        <f t="shared" si="5"/>
        <v>0</v>
      </c>
      <c r="L23" s="32">
        <f t="shared" si="21"/>
        <v>26047</v>
      </c>
      <c r="M23" s="14">
        <f t="shared" si="6"/>
        <v>0</v>
      </c>
      <c r="N23" s="32">
        <f t="shared" si="22"/>
        <v>225897</v>
      </c>
      <c r="O23" s="14">
        <f t="shared" si="7"/>
        <v>0</v>
      </c>
      <c r="P23" s="32">
        <f t="shared" si="10"/>
        <v>148688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5"/>
        <v>3976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6"/>
        <v>46902</v>
      </c>
      <c r="C24" s="14">
        <f t="shared" si="1"/>
        <v>0</v>
      </c>
      <c r="D24" s="32">
        <f t="shared" si="17"/>
        <v>40500</v>
      </c>
      <c r="E24" s="14">
        <f t="shared" si="2"/>
        <v>0</v>
      </c>
      <c r="F24" s="32">
        <f t="shared" si="18"/>
        <v>21544</v>
      </c>
      <c r="G24" s="14">
        <f t="shared" si="3"/>
        <v>0</v>
      </c>
      <c r="H24" s="32">
        <f t="shared" si="19"/>
        <v>254614</v>
      </c>
      <c r="I24" s="14">
        <f t="shared" si="4"/>
        <v>0</v>
      </c>
      <c r="J24" s="32">
        <f t="shared" si="20"/>
        <v>310080</v>
      </c>
      <c r="K24" s="14">
        <f t="shared" si="5"/>
        <v>0</v>
      </c>
      <c r="L24" s="32">
        <f t="shared" si="21"/>
        <v>26047</v>
      </c>
      <c r="M24" s="14">
        <f t="shared" si="6"/>
        <v>0</v>
      </c>
      <c r="N24" s="32">
        <f t="shared" si="22"/>
        <v>225897</v>
      </c>
      <c r="O24" s="14">
        <f t="shared" si="7"/>
        <v>0</v>
      </c>
      <c r="P24" s="32">
        <f t="shared" si="10"/>
        <v>148688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5"/>
        <v>3976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6"/>
        <v>46902</v>
      </c>
      <c r="C25" s="14">
        <f t="shared" si="1"/>
        <v>0</v>
      </c>
      <c r="D25" s="32">
        <f t="shared" si="17"/>
        <v>40500</v>
      </c>
      <c r="E25" s="14">
        <f t="shared" si="2"/>
        <v>0</v>
      </c>
      <c r="F25" s="32">
        <f t="shared" si="18"/>
        <v>21544</v>
      </c>
      <c r="G25" s="14">
        <f t="shared" si="3"/>
        <v>0</v>
      </c>
      <c r="H25" s="32">
        <f t="shared" si="19"/>
        <v>254614</v>
      </c>
      <c r="I25" s="14">
        <f t="shared" si="4"/>
        <v>0</v>
      </c>
      <c r="J25" s="32">
        <f t="shared" si="20"/>
        <v>310080</v>
      </c>
      <c r="K25" s="14">
        <f t="shared" si="5"/>
        <v>0</v>
      </c>
      <c r="L25" s="32">
        <f t="shared" si="21"/>
        <v>26047</v>
      </c>
      <c r="M25" s="14">
        <f t="shared" si="6"/>
        <v>0</v>
      </c>
      <c r="N25" s="32">
        <f t="shared" si="22"/>
        <v>225897</v>
      </c>
      <c r="O25" s="14">
        <f t="shared" si="7"/>
        <v>0</v>
      </c>
      <c r="P25" s="32">
        <f t="shared" si="10"/>
        <v>148688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5"/>
        <v>3976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6"/>
        <v>46902</v>
      </c>
      <c r="C26" s="14">
        <f t="shared" si="1"/>
        <v>0</v>
      </c>
      <c r="D26" s="32">
        <f t="shared" si="17"/>
        <v>40500</v>
      </c>
      <c r="E26" s="14">
        <f t="shared" si="2"/>
        <v>0</v>
      </c>
      <c r="F26" s="32">
        <f t="shared" si="18"/>
        <v>21544</v>
      </c>
      <c r="G26" s="14">
        <f t="shared" si="3"/>
        <v>0</v>
      </c>
      <c r="H26" s="32">
        <f t="shared" si="19"/>
        <v>254614</v>
      </c>
      <c r="I26" s="14">
        <f t="shared" si="4"/>
        <v>0</v>
      </c>
      <c r="J26" s="32">
        <f t="shared" si="20"/>
        <v>310080</v>
      </c>
      <c r="K26" s="14">
        <f t="shared" si="5"/>
        <v>0</v>
      </c>
      <c r="L26" s="32">
        <f t="shared" si="21"/>
        <v>26047</v>
      </c>
      <c r="M26" s="14">
        <f t="shared" si="6"/>
        <v>0</v>
      </c>
      <c r="N26" s="32">
        <f t="shared" si="22"/>
        <v>225897</v>
      </c>
      <c r="O26" s="14">
        <f t="shared" si="7"/>
        <v>0</v>
      </c>
      <c r="P26" s="32">
        <f t="shared" si="10"/>
        <v>148688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5"/>
        <v>3976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6"/>
        <v>46902</v>
      </c>
      <c r="C27" s="14">
        <f t="shared" si="1"/>
        <v>0</v>
      </c>
      <c r="D27" s="32">
        <f t="shared" si="17"/>
        <v>40500</v>
      </c>
      <c r="E27" s="14">
        <f t="shared" si="2"/>
        <v>0</v>
      </c>
      <c r="F27" s="32">
        <f t="shared" si="18"/>
        <v>21544</v>
      </c>
      <c r="G27" s="14">
        <f t="shared" si="3"/>
        <v>0</v>
      </c>
      <c r="H27" s="32">
        <f t="shared" si="19"/>
        <v>254614</v>
      </c>
      <c r="I27" s="14">
        <f t="shared" si="4"/>
        <v>0</v>
      </c>
      <c r="J27" s="32">
        <f t="shared" si="20"/>
        <v>310080</v>
      </c>
      <c r="K27" s="14">
        <f t="shared" si="5"/>
        <v>0</v>
      </c>
      <c r="L27" s="32">
        <f t="shared" si="21"/>
        <v>26047</v>
      </c>
      <c r="M27" s="14">
        <f t="shared" si="6"/>
        <v>0</v>
      </c>
      <c r="N27" s="32">
        <f t="shared" si="22"/>
        <v>225897</v>
      </c>
      <c r="O27" s="14">
        <f t="shared" si="7"/>
        <v>0</v>
      </c>
      <c r="P27" s="32">
        <f t="shared" si="10"/>
        <v>148688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5"/>
        <v>3976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6"/>
        <v>46902</v>
      </c>
      <c r="C28" s="14">
        <f t="shared" si="1"/>
        <v>0</v>
      </c>
      <c r="D28" s="32">
        <f t="shared" si="17"/>
        <v>40500</v>
      </c>
      <c r="E28" s="14">
        <f t="shared" si="2"/>
        <v>0</v>
      </c>
      <c r="F28" s="32">
        <f t="shared" si="18"/>
        <v>21544</v>
      </c>
      <c r="G28" s="14">
        <f t="shared" si="3"/>
        <v>0</v>
      </c>
      <c r="H28" s="32">
        <f t="shared" si="19"/>
        <v>254614</v>
      </c>
      <c r="I28" s="14">
        <f t="shared" si="4"/>
        <v>0</v>
      </c>
      <c r="J28" s="32">
        <f t="shared" si="20"/>
        <v>310080</v>
      </c>
      <c r="K28" s="14">
        <f t="shared" si="5"/>
        <v>0</v>
      </c>
      <c r="L28" s="32">
        <f t="shared" si="21"/>
        <v>26047</v>
      </c>
      <c r="M28" s="14">
        <f t="shared" si="6"/>
        <v>0</v>
      </c>
      <c r="N28" s="32">
        <f t="shared" si="22"/>
        <v>225897</v>
      </c>
      <c r="O28" s="14">
        <f t="shared" si="7"/>
        <v>0</v>
      </c>
      <c r="P28" s="32">
        <f t="shared" si="10"/>
        <v>148688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5"/>
        <v>3976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6"/>
        <v>46902</v>
      </c>
      <c r="C29" s="14">
        <f t="shared" si="1"/>
        <v>0</v>
      </c>
      <c r="D29" s="32">
        <f t="shared" si="17"/>
        <v>40500</v>
      </c>
      <c r="E29" s="14">
        <f t="shared" si="2"/>
        <v>0</v>
      </c>
      <c r="F29" s="32">
        <f t="shared" si="18"/>
        <v>21544</v>
      </c>
      <c r="G29" s="14">
        <f t="shared" si="3"/>
        <v>0</v>
      </c>
      <c r="H29" s="32">
        <f t="shared" si="19"/>
        <v>254614</v>
      </c>
      <c r="I29" s="14">
        <f t="shared" si="4"/>
        <v>0</v>
      </c>
      <c r="J29" s="32">
        <f t="shared" si="20"/>
        <v>310080</v>
      </c>
      <c r="K29" s="14">
        <f t="shared" si="5"/>
        <v>0</v>
      </c>
      <c r="L29" s="32">
        <f t="shared" si="21"/>
        <v>26047</v>
      </c>
      <c r="M29" s="14">
        <f t="shared" si="6"/>
        <v>0</v>
      </c>
      <c r="N29" s="32">
        <f t="shared" si="22"/>
        <v>225897</v>
      </c>
      <c r="O29" s="14">
        <f t="shared" si="7"/>
        <v>0</v>
      </c>
      <c r="P29" s="32">
        <f t="shared" si="10"/>
        <v>148688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5"/>
        <v>3976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6"/>
        <v>46902</v>
      </c>
      <c r="C30" s="14">
        <f t="shared" si="1"/>
        <v>0</v>
      </c>
      <c r="D30" s="32">
        <f t="shared" si="17"/>
        <v>40500</v>
      </c>
      <c r="E30" s="14">
        <f t="shared" si="2"/>
        <v>0</v>
      </c>
      <c r="F30" s="32">
        <f t="shared" si="18"/>
        <v>21544</v>
      </c>
      <c r="G30" s="14">
        <f t="shared" si="3"/>
        <v>0</v>
      </c>
      <c r="H30" s="32">
        <f t="shared" si="19"/>
        <v>254614</v>
      </c>
      <c r="I30" s="14">
        <f t="shared" si="4"/>
        <v>0</v>
      </c>
      <c r="J30" s="32">
        <f t="shared" si="20"/>
        <v>310080</v>
      </c>
      <c r="K30" s="14">
        <f t="shared" si="5"/>
        <v>0</v>
      </c>
      <c r="L30" s="32">
        <f t="shared" si="21"/>
        <v>26047</v>
      </c>
      <c r="M30" s="14">
        <f t="shared" si="6"/>
        <v>0</v>
      </c>
      <c r="N30" s="32">
        <f t="shared" si="22"/>
        <v>225897</v>
      </c>
      <c r="O30" s="14">
        <f t="shared" si="7"/>
        <v>0</v>
      </c>
      <c r="P30" s="32">
        <f t="shared" si="10"/>
        <v>148688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5"/>
        <v>3976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6"/>
        <v>46902</v>
      </c>
      <c r="C31" s="14">
        <f t="shared" si="1"/>
        <v>0</v>
      </c>
      <c r="D31" s="32">
        <f t="shared" si="17"/>
        <v>40500</v>
      </c>
      <c r="E31" s="14">
        <f t="shared" si="2"/>
        <v>0</v>
      </c>
      <c r="F31" s="32">
        <f t="shared" si="18"/>
        <v>21544</v>
      </c>
      <c r="G31" s="14">
        <f t="shared" si="3"/>
        <v>0</v>
      </c>
      <c r="H31" s="32">
        <f t="shared" si="19"/>
        <v>254614</v>
      </c>
      <c r="I31" s="14">
        <f t="shared" si="4"/>
        <v>0</v>
      </c>
      <c r="J31" s="32">
        <f t="shared" si="20"/>
        <v>310080</v>
      </c>
      <c r="K31" s="14">
        <f t="shared" si="5"/>
        <v>0</v>
      </c>
      <c r="L31" s="32">
        <f t="shared" si="21"/>
        <v>26047</v>
      </c>
      <c r="M31" s="14">
        <f t="shared" si="6"/>
        <v>0</v>
      </c>
      <c r="N31" s="32">
        <f t="shared" si="22"/>
        <v>225897</v>
      </c>
      <c r="O31" s="14">
        <f t="shared" si="7"/>
        <v>0</v>
      </c>
      <c r="P31" s="32">
        <f t="shared" si="10"/>
        <v>148688</v>
      </c>
      <c r="Q31" s="14">
        <f t="shared" si="0"/>
        <v>0</v>
      </c>
      <c r="R31" s="1">
        <v>55047</v>
      </c>
      <c r="S31" s="14">
        <v>0</v>
      </c>
      <c r="T31" s="32">
        <f t="shared" si="15"/>
        <v>3976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6"/>
        <v>46902</v>
      </c>
      <c r="C32" s="14">
        <f t="shared" si="1"/>
        <v>0</v>
      </c>
      <c r="D32" s="32">
        <f t="shared" si="17"/>
        <v>40500</v>
      </c>
      <c r="E32" s="14">
        <f t="shared" si="2"/>
        <v>0</v>
      </c>
      <c r="F32" s="32">
        <f t="shared" si="18"/>
        <v>21544</v>
      </c>
      <c r="G32" s="14">
        <f t="shared" si="3"/>
        <v>0</v>
      </c>
      <c r="H32" s="32">
        <f t="shared" si="19"/>
        <v>254614</v>
      </c>
      <c r="I32" s="14">
        <f t="shared" si="4"/>
        <v>0</v>
      </c>
      <c r="J32" s="32">
        <f t="shared" si="20"/>
        <v>310080</v>
      </c>
      <c r="K32" s="14">
        <f t="shared" si="5"/>
        <v>0</v>
      </c>
      <c r="L32" s="32">
        <f t="shared" si="21"/>
        <v>26047</v>
      </c>
      <c r="M32" s="14">
        <f t="shared" si="6"/>
        <v>0</v>
      </c>
      <c r="N32" s="32">
        <f t="shared" si="22"/>
        <v>225897</v>
      </c>
      <c r="O32" s="14">
        <f t="shared" si="7"/>
        <v>0</v>
      </c>
      <c r="P32" s="32">
        <f t="shared" si="10"/>
        <v>148688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5"/>
        <v>3976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21" sqref="B21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30444585</v>
      </c>
      <c r="F10" s="39">
        <f t="shared" si="4"/>
        <v>4607</v>
      </c>
      <c r="G10" s="147">
        <v>97158226</v>
      </c>
      <c r="H10" s="39">
        <f t="shared" si="5"/>
        <v>46352</v>
      </c>
      <c r="I10" s="148">
        <f t="shared" si="6"/>
        <v>50959</v>
      </c>
      <c r="J10" s="146">
        <v>9690251</v>
      </c>
      <c r="K10" s="39">
        <f t="shared" si="14"/>
        <v>11976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52496</v>
      </c>
      <c r="Y10" s="151">
        <f t="shared" si="12"/>
        <v>-1537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>
        <v>180</v>
      </c>
      <c r="C11" s="145">
        <v>19490</v>
      </c>
      <c r="D11" s="39">
        <f t="shared" si="3"/>
        <v>640</v>
      </c>
      <c r="E11" s="146">
        <v>30459554</v>
      </c>
      <c r="F11" s="39">
        <f t="shared" si="4"/>
        <v>14969</v>
      </c>
      <c r="G11" s="147">
        <v>97207234</v>
      </c>
      <c r="H11" s="39">
        <f t="shared" si="5"/>
        <v>49008</v>
      </c>
      <c r="I11" s="148">
        <f t="shared" si="6"/>
        <v>63977</v>
      </c>
      <c r="J11" s="146">
        <v>9696385</v>
      </c>
      <c r="K11" s="39">
        <f t="shared" si="14"/>
        <v>12268</v>
      </c>
      <c r="L11" s="149">
        <v>9773852</v>
      </c>
      <c r="M11" s="39">
        <f t="shared" si="7"/>
        <v>6636</v>
      </c>
      <c r="N11" s="146">
        <v>6492627</v>
      </c>
      <c r="O11" s="39">
        <f t="shared" si="15"/>
        <v>2988</v>
      </c>
      <c r="P11" s="149">
        <v>6093029</v>
      </c>
      <c r="Q11" s="39">
        <f t="shared" si="8"/>
        <v>12287</v>
      </c>
      <c r="R11" s="146">
        <v>20696214</v>
      </c>
      <c r="S11" s="39">
        <f t="shared" si="9"/>
        <v>9712</v>
      </c>
      <c r="T11" s="146">
        <v>0</v>
      </c>
      <c r="U11" s="150"/>
      <c r="V11" s="146">
        <v>8619793</v>
      </c>
      <c r="W11" s="39">
        <f t="shared" si="10"/>
        <v>10610</v>
      </c>
      <c r="X11" s="19">
        <f t="shared" si="11"/>
        <v>54501</v>
      </c>
      <c r="Y11" s="151">
        <f t="shared" si="12"/>
        <v>9476</v>
      </c>
      <c r="Z11" s="3">
        <f t="shared" si="13"/>
        <v>7143.7894944000009</v>
      </c>
      <c r="AA11" s="3">
        <f t="shared" si="16"/>
        <v>27011.485072000003</v>
      </c>
    </row>
    <row r="12" spans="1:27" ht="16.5" thickBot="1" x14ac:dyDescent="0.3">
      <c r="A12" s="9">
        <v>44661</v>
      </c>
      <c r="B12" s="39">
        <v>133</v>
      </c>
      <c r="C12" s="145">
        <v>19494</v>
      </c>
      <c r="D12" s="39">
        <f t="shared" si="3"/>
        <v>640</v>
      </c>
      <c r="E12" s="146">
        <v>30468572</v>
      </c>
      <c r="F12" s="39">
        <f t="shared" si="4"/>
        <v>9018</v>
      </c>
      <c r="G12" s="147">
        <v>97252591</v>
      </c>
      <c r="H12" s="39">
        <f t="shared" si="5"/>
        <v>45357</v>
      </c>
      <c r="I12" s="148">
        <f t="shared" si="6"/>
        <v>54375</v>
      </c>
      <c r="J12" s="146">
        <v>9698253</v>
      </c>
      <c r="K12" s="39">
        <f t="shared" si="14"/>
        <v>3736</v>
      </c>
      <c r="L12" s="149">
        <v>9779898</v>
      </c>
      <c r="M12" s="39">
        <f t="shared" si="7"/>
        <v>6046</v>
      </c>
      <c r="N12" s="146">
        <v>6494046</v>
      </c>
      <c r="O12" s="39">
        <f t="shared" si="15"/>
        <v>2838</v>
      </c>
      <c r="P12" s="149">
        <v>6104054</v>
      </c>
      <c r="Q12" s="39">
        <f t="shared" si="8"/>
        <v>11025</v>
      </c>
      <c r="R12" s="146">
        <v>20705438</v>
      </c>
      <c r="S12" s="39">
        <f t="shared" si="9"/>
        <v>9224</v>
      </c>
      <c r="T12" s="146">
        <v>0</v>
      </c>
      <c r="U12" s="150"/>
      <c r="V12" s="146">
        <v>8629675</v>
      </c>
      <c r="W12" s="39">
        <f t="shared" si="10"/>
        <v>9882</v>
      </c>
      <c r="X12" s="19">
        <f t="shared" si="11"/>
        <v>42751</v>
      </c>
      <c r="Y12" s="151">
        <f t="shared" si="12"/>
        <v>11624</v>
      </c>
      <c r="Z12" s="3">
        <f t="shared" si="13"/>
        <v>6644.2353951999994</v>
      </c>
      <c r="AA12" s="3">
        <f t="shared" si="16"/>
        <v>26758.982744000001</v>
      </c>
    </row>
    <row r="13" spans="1:27" ht="16.5" thickBot="1" x14ac:dyDescent="0.3">
      <c r="A13" s="9">
        <v>44662</v>
      </c>
      <c r="B13" s="39">
        <v>79</v>
      </c>
      <c r="C13" s="145">
        <v>19498</v>
      </c>
      <c r="D13" s="39">
        <f t="shared" ref="D13" si="17">IF((C13-C12)&lt;0,"0",(C13-C12))*160</f>
        <v>640</v>
      </c>
      <c r="E13" s="146">
        <v>30478403</v>
      </c>
      <c r="F13" s="39">
        <f t="shared" ref="F13" si="18">IF((E13-E12)&lt;0,"0",(E13-E12))</f>
        <v>9831</v>
      </c>
      <c r="G13" s="147">
        <v>97301396</v>
      </c>
      <c r="H13" s="39">
        <f t="shared" ref="H13" si="19">IF((G13-G12)&lt;0,"0",(G13-G12))</f>
        <v>48805</v>
      </c>
      <c r="I13" s="148">
        <f t="shared" ref="I13" si="20">F13+H13</f>
        <v>58636</v>
      </c>
      <c r="J13" s="146">
        <v>9703069</v>
      </c>
      <c r="K13" s="39">
        <f t="shared" ref="K13" si="21">(IF((J13-J12)&lt;0,"0",(J13-J12)))*2</f>
        <v>9632</v>
      </c>
      <c r="L13" s="149">
        <v>9786543</v>
      </c>
      <c r="M13" s="39">
        <f t="shared" ref="M13" si="22">IF((L13-L12)&lt;0,"0",(L13-L12))</f>
        <v>6645</v>
      </c>
      <c r="N13" s="146">
        <v>6495570</v>
      </c>
      <c r="O13" s="39">
        <f t="shared" ref="O13" si="23">(IF((N13-N12)&lt;0,"0",(N13-N12)))*2</f>
        <v>3048</v>
      </c>
      <c r="P13" s="149">
        <v>6115395</v>
      </c>
      <c r="Q13" s="39">
        <f t="shared" ref="Q13" si="24">IF((P13-P12)&lt;0,"0",(P13-P12))</f>
        <v>11341</v>
      </c>
      <c r="R13" s="146">
        <v>20715887</v>
      </c>
      <c r="S13" s="39">
        <f t="shared" ref="S13" si="25">IF((R13-R12)&lt;0,"0",(R13-R12))</f>
        <v>10449</v>
      </c>
      <c r="T13" s="146">
        <v>0</v>
      </c>
      <c r="U13" s="150"/>
      <c r="V13" s="146">
        <v>8640303</v>
      </c>
      <c r="W13" s="39">
        <f t="shared" ref="W13" si="26">IF((V13-V12)&lt;0,"0",(V13-V12))</f>
        <v>10628</v>
      </c>
      <c r="X13" s="19">
        <f t="shared" ref="X13" si="27">K13+M13+O13+Q13+S13+U13+W13</f>
        <v>51743</v>
      </c>
      <c r="Y13" s="151">
        <f t="shared" ref="Y13" si="28">I13-X13</f>
        <v>6893</v>
      </c>
      <c r="Z13" s="3">
        <f t="shared" ref="Z13" si="29">(0.93352*(W13+S13)+0.5568*(Q13+O13))*0.26</f>
        <v>7198.775022400001</v>
      </c>
      <c r="AA13" s="3">
        <f t="shared" si="16"/>
        <v>27841.722292800001</v>
      </c>
    </row>
    <row r="14" spans="1:27" ht="16.5" thickBot="1" x14ac:dyDescent="0.3">
      <c r="A14" s="9">
        <v>44663</v>
      </c>
      <c r="B14" s="39">
        <v>178</v>
      </c>
      <c r="C14" s="145">
        <v>19501</v>
      </c>
      <c r="D14" s="39">
        <f t="shared" si="3"/>
        <v>480</v>
      </c>
      <c r="E14" s="146">
        <v>30486411</v>
      </c>
      <c r="F14" s="39">
        <f t="shared" si="4"/>
        <v>8008</v>
      </c>
      <c r="G14" s="147">
        <v>97340502</v>
      </c>
      <c r="H14" s="39">
        <f t="shared" si="5"/>
        <v>39106</v>
      </c>
      <c r="I14" s="148">
        <f t="shared" si="6"/>
        <v>47114</v>
      </c>
      <c r="J14" s="146">
        <v>9707488</v>
      </c>
      <c r="K14" s="39">
        <f t="shared" si="14"/>
        <v>8838</v>
      </c>
      <c r="L14" s="149">
        <v>9791974</v>
      </c>
      <c r="M14" s="39">
        <f t="shared" si="7"/>
        <v>5431</v>
      </c>
      <c r="N14" s="146">
        <v>6496791</v>
      </c>
      <c r="O14" s="39">
        <f t="shared" si="15"/>
        <v>2442</v>
      </c>
      <c r="P14" s="149">
        <v>6124068</v>
      </c>
      <c r="Q14" s="39">
        <f t="shared" si="8"/>
        <v>8673</v>
      </c>
      <c r="R14" s="146">
        <v>20724237</v>
      </c>
      <c r="S14" s="39">
        <f>IF((R14-R13)&lt;0,"0",(R14-R13))</f>
        <v>8350</v>
      </c>
      <c r="T14" s="146">
        <v>0</v>
      </c>
      <c r="U14" s="150"/>
      <c r="V14" s="146">
        <v>8648831</v>
      </c>
      <c r="W14" s="39">
        <f t="shared" si="10"/>
        <v>8528</v>
      </c>
      <c r="X14" s="19">
        <f t="shared" si="11"/>
        <v>42262</v>
      </c>
      <c r="Y14" s="151">
        <f t="shared" si="12"/>
        <v>4852</v>
      </c>
      <c r="Z14" s="3">
        <f t="shared" si="13"/>
        <v>5705.6434656000001</v>
      </c>
      <c r="AA14" s="3">
        <f t="shared" si="16"/>
        <v>26692.443377600001</v>
      </c>
    </row>
    <row r="15" spans="1:27" ht="16.5" thickBot="1" x14ac:dyDescent="0.3">
      <c r="A15" s="9">
        <v>44664</v>
      </c>
      <c r="B15" s="39">
        <v>89</v>
      </c>
      <c r="C15" s="145">
        <v>19505</v>
      </c>
      <c r="D15" s="39">
        <f t="shared" si="3"/>
        <v>640</v>
      </c>
      <c r="E15" s="146">
        <v>30497097</v>
      </c>
      <c r="F15" s="39">
        <f t="shared" si="4"/>
        <v>10686</v>
      </c>
      <c r="G15" s="147">
        <v>97380927</v>
      </c>
      <c r="H15" s="39">
        <f t="shared" si="5"/>
        <v>40425</v>
      </c>
      <c r="I15" s="148">
        <f t="shared" si="6"/>
        <v>51111</v>
      </c>
      <c r="J15" s="146">
        <v>9712028</v>
      </c>
      <c r="K15" s="39">
        <f t="shared" si="14"/>
        <v>9080</v>
      </c>
      <c r="L15" s="149">
        <v>9798025</v>
      </c>
      <c r="M15" s="39">
        <f t="shared" si="7"/>
        <v>6051</v>
      </c>
      <c r="N15" s="146">
        <v>6498025</v>
      </c>
      <c r="O15" s="39">
        <f t="shared" si="15"/>
        <v>2468</v>
      </c>
      <c r="P15" s="149">
        <v>6133635</v>
      </c>
      <c r="Q15" s="39">
        <f t="shared" si="8"/>
        <v>9567</v>
      </c>
      <c r="R15" s="146">
        <v>20733636</v>
      </c>
      <c r="S15" s="39">
        <f>IF((R15-R14)&lt;0,"0",(R15-R14))</f>
        <v>9399</v>
      </c>
      <c r="T15" s="146">
        <v>0</v>
      </c>
      <c r="U15" s="150"/>
      <c r="V15" s="146">
        <v>8658335</v>
      </c>
      <c r="W15" s="39">
        <f t="shared" si="10"/>
        <v>9504</v>
      </c>
      <c r="X15" s="19">
        <f t="shared" si="11"/>
        <v>46069</v>
      </c>
      <c r="Y15" s="151">
        <f t="shared" si="12"/>
        <v>5042</v>
      </c>
      <c r="Z15" s="3">
        <f t="shared" si="13"/>
        <v>6330.3283056000009</v>
      </c>
      <c r="AA15" s="3">
        <f t="shared" si="16"/>
        <v>25878.982188800001</v>
      </c>
    </row>
    <row r="16" spans="1:27" ht="16.5" thickBot="1" x14ac:dyDescent="0.3">
      <c r="A16" s="9">
        <v>44665</v>
      </c>
      <c r="B16" s="39">
        <v>142</v>
      </c>
      <c r="C16" s="145">
        <v>19508</v>
      </c>
      <c r="D16" s="39">
        <f t="shared" si="3"/>
        <v>480</v>
      </c>
      <c r="E16" s="146">
        <v>30504857</v>
      </c>
      <c r="F16" s="39">
        <f t="shared" si="4"/>
        <v>7760</v>
      </c>
      <c r="G16" s="147">
        <v>97429555</v>
      </c>
      <c r="H16" s="39">
        <f t="shared" si="5"/>
        <v>48628</v>
      </c>
      <c r="I16" s="148">
        <f t="shared" si="6"/>
        <v>56388</v>
      </c>
      <c r="J16" s="146">
        <v>9716836</v>
      </c>
      <c r="K16" s="39">
        <f t="shared" si="14"/>
        <v>9616</v>
      </c>
      <c r="L16" s="149">
        <v>9804999</v>
      </c>
      <c r="M16" s="39">
        <f t="shared" si="7"/>
        <v>6974</v>
      </c>
      <c r="N16" s="146">
        <v>6499362</v>
      </c>
      <c r="O16" s="39">
        <f t="shared" si="15"/>
        <v>2674</v>
      </c>
      <c r="P16" s="149">
        <v>6143921</v>
      </c>
      <c r="Q16" s="39">
        <f t="shared" si="8"/>
        <v>10286</v>
      </c>
      <c r="R16" s="146">
        <v>20743297</v>
      </c>
      <c r="S16" s="39">
        <f t="shared" si="9"/>
        <v>9661</v>
      </c>
      <c r="T16" s="146">
        <v>0</v>
      </c>
      <c r="U16" s="150"/>
      <c r="V16" s="146">
        <v>8668194</v>
      </c>
      <c r="W16" s="39">
        <f t="shared" si="10"/>
        <v>9859</v>
      </c>
      <c r="X16" s="19">
        <f t="shared" si="11"/>
        <v>49070</v>
      </c>
      <c r="Y16" s="151">
        <f t="shared" si="12"/>
        <v>7318</v>
      </c>
      <c r="Z16" s="3">
        <f t="shared" si="13"/>
        <v>6613.9939840000006</v>
      </c>
      <c r="AA16" s="3">
        <f t="shared" si="16"/>
        <v>25848.740777600004</v>
      </c>
    </row>
    <row r="17" spans="1:27" s="131" customFormat="1" ht="16.5" thickBot="1" x14ac:dyDescent="0.3">
      <c r="A17" s="9">
        <v>44666</v>
      </c>
      <c r="B17" s="39">
        <v>177</v>
      </c>
      <c r="C17" s="145">
        <v>19513</v>
      </c>
      <c r="D17" s="39">
        <f t="shared" si="3"/>
        <v>800</v>
      </c>
      <c r="E17" s="146">
        <v>30513669</v>
      </c>
      <c r="F17" s="39">
        <f t="shared" si="4"/>
        <v>8812</v>
      </c>
      <c r="G17" s="147">
        <v>97475201</v>
      </c>
      <c r="H17" s="39">
        <f t="shared" si="5"/>
        <v>45646</v>
      </c>
      <c r="I17" s="152">
        <f t="shared" si="6"/>
        <v>54458</v>
      </c>
      <c r="J17" s="146">
        <v>9721501</v>
      </c>
      <c r="K17" s="130">
        <f t="shared" si="14"/>
        <v>9330</v>
      </c>
      <c r="L17" s="149">
        <v>9810999</v>
      </c>
      <c r="M17" s="130">
        <f t="shared" si="7"/>
        <v>6000</v>
      </c>
      <c r="N17" s="146">
        <v>6500673</v>
      </c>
      <c r="O17" s="130">
        <f t="shared" si="15"/>
        <v>2622</v>
      </c>
      <c r="P17" s="149">
        <v>6154269</v>
      </c>
      <c r="Q17" s="130">
        <f t="shared" si="8"/>
        <v>10348</v>
      </c>
      <c r="R17" s="146">
        <v>20753109</v>
      </c>
      <c r="S17" s="130">
        <f t="shared" si="9"/>
        <v>9812</v>
      </c>
      <c r="T17" s="153">
        <v>0</v>
      </c>
      <c r="U17" s="150"/>
      <c r="V17" s="146">
        <v>8678344</v>
      </c>
      <c r="W17" s="130">
        <f t="shared" si="10"/>
        <v>10150</v>
      </c>
      <c r="X17" s="19">
        <f t="shared" si="11"/>
        <v>48262</v>
      </c>
      <c r="Y17" s="154">
        <f t="shared" si="12"/>
        <v>6196</v>
      </c>
      <c r="Z17" s="155">
        <f t="shared" si="13"/>
        <v>6722.7217823999999</v>
      </c>
      <c r="AA17" s="3">
        <f t="shared" si="16"/>
        <v>25372.687537600003</v>
      </c>
    </row>
    <row r="18" spans="1:27" s="131" customFormat="1" ht="16.5" thickBot="1" x14ac:dyDescent="0.3">
      <c r="A18" s="9">
        <v>44667</v>
      </c>
      <c r="B18" s="39">
        <v>180</v>
      </c>
      <c r="C18" s="145">
        <v>19515</v>
      </c>
      <c r="D18" s="39">
        <f t="shared" si="3"/>
        <v>320</v>
      </c>
      <c r="E18" s="146">
        <v>30521637</v>
      </c>
      <c r="F18" s="39">
        <f t="shared" si="4"/>
        <v>7968</v>
      </c>
      <c r="G18" s="147">
        <v>97517272</v>
      </c>
      <c r="H18" s="39">
        <f t="shared" si="5"/>
        <v>42071</v>
      </c>
      <c r="I18" s="152">
        <f t="shared" si="6"/>
        <v>50039</v>
      </c>
      <c r="J18" s="146">
        <v>9725092</v>
      </c>
      <c r="K18" s="130">
        <f t="shared" si="14"/>
        <v>7182</v>
      </c>
      <c r="L18" s="149">
        <v>9816271</v>
      </c>
      <c r="M18" s="130">
        <f t="shared" si="7"/>
        <v>5272</v>
      </c>
      <c r="N18" s="146">
        <v>6501974</v>
      </c>
      <c r="O18" s="130">
        <f t="shared" si="15"/>
        <v>2602</v>
      </c>
      <c r="P18" s="149">
        <v>6164046</v>
      </c>
      <c r="Q18" s="130">
        <f t="shared" si="8"/>
        <v>9777</v>
      </c>
      <c r="R18" s="146">
        <v>20762071</v>
      </c>
      <c r="S18" s="130">
        <f t="shared" si="9"/>
        <v>8962</v>
      </c>
      <c r="T18" s="153">
        <v>0</v>
      </c>
      <c r="U18" s="150"/>
      <c r="V18" s="146">
        <v>8687590</v>
      </c>
      <c r="W18" s="130">
        <f t="shared" si="10"/>
        <v>9246</v>
      </c>
      <c r="X18" s="19">
        <f t="shared" si="11"/>
        <v>43041</v>
      </c>
      <c r="Y18" s="154">
        <f t="shared" si="12"/>
        <v>6998</v>
      </c>
      <c r="Z18" s="155">
        <f t="shared" si="13"/>
        <v>6211.4414336</v>
      </c>
      <c r="AA18" s="3">
        <f t="shared" si="16"/>
        <v>25878.485505600001</v>
      </c>
    </row>
    <row r="19" spans="1:27" s="131" customFormat="1" ht="16.5" thickBot="1" x14ac:dyDescent="0.3">
      <c r="A19" s="9">
        <v>44668</v>
      </c>
      <c r="B19" s="39">
        <v>184</v>
      </c>
      <c r="C19" s="145">
        <v>19519</v>
      </c>
      <c r="D19" s="39">
        <f t="shared" si="3"/>
        <v>640</v>
      </c>
      <c r="E19" s="146">
        <v>30531863</v>
      </c>
      <c r="F19" s="39">
        <f t="shared" si="4"/>
        <v>10226</v>
      </c>
      <c r="G19" s="147">
        <v>97569835</v>
      </c>
      <c r="H19" s="39">
        <f t="shared" si="5"/>
        <v>52563</v>
      </c>
      <c r="I19" s="152">
        <f t="shared" si="6"/>
        <v>62789</v>
      </c>
      <c r="J19" s="146">
        <v>9729904</v>
      </c>
      <c r="K19" s="130">
        <f t="shared" si="14"/>
        <v>9624</v>
      </c>
      <c r="L19" s="149">
        <v>9822993</v>
      </c>
      <c r="M19" s="130">
        <f t="shared" si="7"/>
        <v>6722</v>
      </c>
      <c r="N19" s="146">
        <v>6503651</v>
      </c>
      <c r="O19" s="130">
        <f t="shared" si="15"/>
        <v>3354</v>
      </c>
      <c r="P19" s="149">
        <v>6177522</v>
      </c>
      <c r="Q19" s="130">
        <f t="shared" si="8"/>
        <v>13476</v>
      </c>
      <c r="R19" s="146">
        <v>20772833</v>
      </c>
      <c r="S19" s="130">
        <f t="shared" si="9"/>
        <v>10762</v>
      </c>
      <c r="T19" s="153">
        <v>0</v>
      </c>
      <c r="U19" s="150"/>
      <c r="V19" s="146">
        <v>8698824</v>
      </c>
      <c r="W19" s="130">
        <f t="shared" si="10"/>
        <v>11234</v>
      </c>
      <c r="X19" s="19">
        <f t="shared" si="11"/>
        <v>55172</v>
      </c>
      <c r="Y19" s="154">
        <f t="shared" si="12"/>
        <v>7617</v>
      </c>
      <c r="Z19" s="155">
        <f t="shared" si="13"/>
        <v>7775.2089792000006</v>
      </c>
      <c r="AA19" s="3">
        <f t="shared" si="16"/>
        <v>27323.366179200002</v>
      </c>
    </row>
    <row r="20" spans="1:27" s="131" customFormat="1" ht="16.5" thickBot="1" x14ac:dyDescent="0.3">
      <c r="A20" s="9">
        <v>44669</v>
      </c>
      <c r="B20" s="39">
        <v>96</v>
      </c>
      <c r="C20" s="145">
        <v>19523</v>
      </c>
      <c r="D20" s="39">
        <f t="shared" si="3"/>
        <v>640</v>
      </c>
      <c r="E20" s="146">
        <v>30542711</v>
      </c>
      <c r="F20" s="39">
        <f t="shared" si="4"/>
        <v>10848</v>
      </c>
      <c r="G20" s="147">
        <v>97615543</v>
      </c>
      <c r="H20" s="39">
        <f t="shared" si="5"/>
        <v>45708</v>
      </c>
      <c r="I20" s="152">
        <f t="shared" si="6"/>
        <v>56556</v>
      </c>
      <c r="J20" s="146">
        <v>9734252</v>
      </c>
      <c r="K20" s="130">
        <f t="shared" si="14"/>
        <v>8696</v>
      </c>
      <c r="L20" s="149">
        <v>9828891</v>
      </c>
      <c r="M20" s="130">
        <f t="shared" si="7"/>
        <v>5898</v>
      </c>
      <c r="N20" s="146">
        <v>6506057</v>
      </c>
      <c r="O20" s="130">
        <f t="shared" si="15"/>
        <v>4812</v>
      </c>
      <c r="P20" s="149">
        <v>6188819</v>
      </c>
      <c r="Q20" s="130">
        <f t="shared" si="8"/>
        <v>11297</v>
      </c>
      <c r="R20" s="146">
        <v>20782291</v>
      </c>
      <c r="S20" s="130">
        <f t="shared" si="9"/>
        <v>9458</v>
      </c>
      <c r="T20" s="153">
        <v>0</v>
      </c>
      <c r="U20" s="150"/>
      <c r="V20" s="146">
        <v>8708657</v>
      </c>
      <c r="W20" s="130">
        <f t="shared" si="10"/>
        <v>9833</v>
      </c>
      <c r="X20" s="19">
        <f t="shared" si="11"/>
        <v>49994</v>
      </c>
      <c r="Y20" s="154">
        <f t="shared" si="12"/>
        <v>6562</v>
      </c>
      <c r="Z20" s="155">
        <f t="shared" si="13"/>
        <v>7014.2866351999992</v>
      </c>
      <c r="AA20" s="3">
        <f t="shared" si="16"/>
        <v>27723.6588304</v>
      </c>
    </row>
    <row r="21" spans="1:27" s="131" customFormat="1" ht="16.5" thickBot="1" x14ac:dyDescent="0.3">
      <c r="A21" s="9">
        <v>44670</v>
      </c>
      <c r="B21" s="39"/>
      <c r="C21" s="145">
        <f t="shared" ref="C21:C32" si="30">C20</f>
        <v>19523</v>
      </c>
      <c r="D21" s="39">
        <f t="shared" si="3"/>
        <v>0</v>
      </c>
      <c r="E21" s="146">
        <f t="shared" ref="E21:E32" si="31">E20</f>
        <v>30542711</v>
      </c>
      <c r="F21" s="39">
        <f t="shared" si="4"/>
        <v>0</v>
      </c>
      <c r="G21" s="147">
        <f t="shared" ref="G21:G32" si="32">G20</f>
        <v>97615543</v>
      </c>
      <c r="H21" s="39">
        <f t="shared" si="5"/>
        <v>0</v>
      </c>
      <c r="I21" s="152">
        <f t="shared" si="6"/>
        <v>0</v>
      </c>
      <c r="J21" s="146">
        <f t="shared" ref="J21:J32" si="33">J20</f>
        <v>9734252</v>
      </c>
      <c r="K21" s="130">
        <f t="shared" si="14"/>
        <v>0</v>
      </c>
      <c r="L21" s="149">
        <f t="shared" ref="L21:L32" si="34">L20</f>
        <v>9828891</v>
      </c>
      <c r="M21" s="130">
        <f t="shared" si="7"/>
        <v>0</v>
      </c>
      <c r="N21" s="146">
        <f t="shared" ref="N21:N32" si="35">N20</f>
        <v>6506057</v>
      </c>
      <c r="O21" s="130">
        <f t="shared" si="15"/>
        <v>0</v>
      </c>
      <c r="P21" s="149">
        <f t="shared" ref="P21:P32" si="36">P20</f>
        <v>6188819</v>
      </c>
      <c r="Q21" s="130">
        <f t="shared" si="8"/>
        <v>0</v>
      </c>
      <c r="R21" s="146">
        <f t="shared" ref="R21:R32" si="37">R20</f>
        <v>20782291</v>
      </c>
      <c r="S21" s="130">
        <f t="shared" si="9"/>
        <v>0</v>
      </c>
      <c r="T21" s="153">
        <v>0</v>
      </c>
      <c r="U21" s="150"/>
      <c r="V21" s="146">
        <f t="shared" ref="V21:V32" si="38">V20</f>
        <v>8708657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21000.937048</v>
      </c>
    </row>
    <row r="22" spans="1:27" ht="16.5" thickBot="1" x14ac:dyDescent="0.3">
      <c r="A22" s="9">
        <v>44671</v>
      </c>
      <c r="B22" s="39"/>
      <c r="C22" s="145">
        <f t="shared" si="30"/>
        <v>19523</v>
      </c>
      <c r="D22" s="39">
        <f t="shared" si="3"/>
        <v>0</v>
      </c>
      <c r="E22" s="146">
        <f t="shared" si="31"/>
        <v>30542711</v>
      </c>
      <c r="F22" s="39">
        <f t="shared" si="4"/>
        <v>0</v>
      </c>
      <c r="G22" s="147">
        <f t="shared" si="32"/>
        <v>97615543</v>
      </c>
      <c r="H22" s="39">
        <f t="shared" si="5"/>
        <v>0</v>
      </c>
      <c r="I22" s="148">
        <f t="shared" si="6"/>
        <v>0</v>
      </c>
      <c r="J22" s="146">
        <f t="shared" si="33"/>
        <v>9734252</v>
      </c>
      <c r="K22" s="39">
        <f t="shared" si="14"/>
        <v>0</v>
      </c>
      <c r="L22" s="149">
        <f t="shared" si="34"/>
        <v>9828891</v>
      </c>
      <c r="M22" s="39">
        <f t="shared" si="7"/>
        <v>0</v>
      </c>
      <c r="N22" s="146">
        <f t="shared" si="35"/>
        <v>6506057</v>
      </c>
      <c r="O22" s="39">
        <f t="shared" si="15"/>
        <v>0</v>
      </c>
      <c r="P22" s="149">
        <f t="shared" si="36"/>
        <v>6188819</v>
      </c>
      <c r="Q22" s="39">
        <f t="shared" si="8"/>
        <v>0</v>
      </c>
      <c r="R22" s="146">
        <f t="shared" si="37"/>
        <v>20782291</v>
      </c>
      <c r="S22" s="39">
        <f t="shared" si="9"/>
        <v>0</v>
      </c>
      <c r="T22" s="146">
        <v>0</v>
      </c>
      <c r="U22" s="150"/>
      <c r="V22" s="146">
        <f t="shared" si="38"/>
        <v>8708657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14789.495614399999</v>
      </c>
    </row>
    <row r="23" spans="1:27" ht="16.5" thickBot="1" x14ac:dyDescent="0.3">
      <c r="A23" s="9">
        <v>44672</v>
      </c>
      <c r="B23" s="39"/>
      <c r="C23" s="145">
        <f t="shared" si="30"/>
        <v>19523</v>
      </c>
      <c r="D23" s="39">
        <f t="shared" si="3"/>
        <v>0</v>
      </c>
      <c r="E23" s="146">
        <f t="shared" si="31"/>
        <v>30542711</v>
      </c>
      <c r="F23" s="39">
        <f t="shared" si="4"/>
        <v>0</v>
      </c>
      <c r="G23" s="147">
        <f t="shared" si="32"/>
        <v>97615543</v>
      </c>
      <c r="H23" s="39">
        <f t="shared" si="5"/>
        <v>0</v>
      </c>
      <c r="I23" s="148">
        <f t="shared" si="6"/>
        <v>0</v>
      </c>
      <c r="J23" s="146">
        <f t="shared" si="33"/>
        <v>9734252</v>
      </c>
      <c r="K23" s="39">
        <f t="shared" si="14"/>
        <v>0</v>
      </c>
      <c r="L23" s="149">
        <f t="shared" si="34"/>
        <v>9828891</v>
      </c>
      <c r="M23" s="39">
        <f t="shared" si="7"/>
        <v>0</v>
      </c>
      <c r="N23" s="146">
        <f t="shared" si="35"/>
        <v>6506057</v>
      </c>
      <c r="O23" s="39">
        <f t="shared" si="15"/>
        <v>0</v>
      </c>
      <c r="P23" s="149">
        <f t="shared" si="36"/>
        <v>6188819</v>
      </c>
      <c r="Q23" s="39">
        <f t="shared" si="8"/>
        <v>0</v>
      </c>
      <c r="R23" s="146">
        <f t="shared" si="37"/>
        <v>20782291</v>
      </c>
      <c r="S23" s="39">
        <f t="shared" si="9"/>
        <v>0</v>
      </c>
      <c r="T23" s="146">
        <v>0</v>
      </c>
      <c r="U23" s="150"/>
      <c r="V23" s="146">
        <f t="shared" si="38"/>
        <v>8708657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7014.2866351999992</v>
      </c>
    </row>
    <row r="24" spans="1:27" ht="16.5" thickBot="1" x14ac:dyDescent="0.3">
      <c r="A24" s="9">
        <v>44673</v>
      </c>
      <c r="B24" s="39"/>
      <c r="C24" s="145">
        <f t="shared" si="30"/>
        <v>19523</v>
      </c>
      <c r="D24" s="39">
        <f t="shared" si="3"/>
        <v>0</v>
      </c>
      <c r="E24" s="146">
        <f t="shared" si="31"/>
        <v>30542711</v>
      </c>
      <c r="F24" s="39">
        <f t="shared" si="4"/>
        <v>0</v>
      </c>
      <c r="G24" s="147">
        <f t="shared" si="32"/>
        <v>97615543</v>
      </c>
      <c r="H24" s="39">
        <f t="shared" si="5"/>
        <v>0</v>
      </c>
      <c r="I24" s="148">
        <f t="shared" si="6"/>
        <v>0</v>
      </c>
      <c r="J24" s="146">
        <f t="shared" si="33"/>
        <v>9734252</v>
      </c>
      <c r="K24" s="39">
        <f t="shared" si="14"/>
        <v>0</v>
      </c>
      <c r="L24" s="149">
        <f t="shared" si="34"/>
        <v>9828891</v>
      </c>
      <c r="M24" s="39">
        <f t="shared" si="7"/>
        <v>0</v>
      </c>
      <c r="N24" s="146">
        <f t="shared" si="35"/>
        <v>6506057</v>
      </c>
      <c r="O24" s="39">
        <f t="shared" si="15"/>
        <v>0</v>
      </c>
      <c r="P24" s="149">
        <f t="shared" si="36"/>
        <v>6188819</v>
      </c>
      <c r="Q24" s="39">
        <f t="shared" si="8"/>
        <v>0</v>
      </c>
      <c r="R24" s="146">
        <f t="shared" si="37"/>
        <v>20782291</v>
      </c>
      <c r="S24" s="39">
        <f t="shared" si="9"/>
        <v>0</v>
      </c>
      <c r="T24" s="146">
        <v>0</v>
      </c>
      <c r="U24" s="150"/>
      <c r="V24" s="146">
        <f t="shared" si="38"/>
        <v>8708657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30"/>
        <v>19523</v>
      </c>
      <c r="D25" s="39">
        <f t="shared" si="3"/>
        <v>0</v>
      </c>
      <c r="E25" s="146">
        <f t="shared" si="31"/>
        <v>30542711</v>
      </c>
      <c r="F25" s="39">
        <f t="shared" si="4"/>
        <v>0</v>
      </c>
      <c r="G25" s="147">
        <f t="shared" si="32"/>
        <v>97615543</v>
      </c>
      <c r="H25" s="39">
        <f t="shared" si="5"/>
        <v>0</v>
      </c>
      <c r="I25" s="148">
        <f t="shared" si="6"/>
        <v>0</v>
      </c>
      <c r="J25" s="146">
        <f t="shared" si="33"/>
        <v>9734252</v>
      </c>
      <c r="K25" s="39">
        <f t="shared" si="14"/>
        <v>0</v>
      </c>
      <c r="L25" s="149">
        <f t="shared" si="34"/>
        <v>9828891</v>
      </c>
      <c r="M25" s="39">
        <f t="shared" si="7"/>
        <v>0</v>
      </c>
      <c r="N25" s="146">
        <f t="shared" si="35"/>
        <v>6506057</v>
      </c>
      <c r="O25" s="39">
        <f t="shared" si="15"/>
        <v>0</v>
      </c>
      <c r="P25" s="149">
        <f t="shared" si="36"/>
        <v>6188819</v>
      </c>
      <c r="Q25" s="39">
        <f t="shared" si="8"/>
        <v>0</v>
      </c>
      <c r="R25" s="146">
        <f t="shared" si="37"/>
        <v>20782291</v>
      </c>
      <c r="S25" s="39">
        <f t="shared" si="9"/>
        <v>0</v>
      </c>
      <c r="T25" s="146">
        <v>0</v>
      </c>
      <c r="U25" s="150"/>
      <c r="V25" s="146">
        <f t="shared" si="38"/>
        <v>8708657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30"/>
        <v>19523</v>
      </c>
      <c r="D26" s="39">
        <f t="shared" si="3"/>
        <v>0</v>
      </c>
      <c r="E26" s="146">
        <f t="shared" si="31"/>
        <v>30542711</v>
      </c>
      <c r="F26" s="39">
        <f t="shared" si="4"/>
        <v>0</v>
      </c>
      <c r="G26" s="147">
        <f t="shared" si="32"/>
        <v>97615543</v>
      </c>
      <c r="H26" s="39">
        <f t="shared" si="5"/>
        <v>0</v>
      </c>
      <c r="I26" s="148">
        <f t="shared" si="6"/>
        <v>0</v>
      </c>
      <c r="J26" s="146">
        <f t="shared" si="33"/>
        <v>9734252</v>
      </c>
      <c r="K26" s="39">
        <f t="shared" si="14"/>
        <v>0</v>
      </c>
      <c r="L26" s="149">
        <f t="shared" si="34"/>
        <v>9828891</v>
      </c>
      <c r="M26" s="39">
        <f t="shared" si="7"/>
        <v>0</v>
      </c>
      <c r="N26" s="146">
        <f t="shared" si="35"/>
        <v>6506057</v>
      </c>
      <c r="O26" s="39">
        <f t="shared" si="15"/>
        <v>0</v>
      </c>
      <c r="P26" s="149">
        <f t="shared" si="36"/>
        <v>6188819</v>
      </c>
      <c r="Q26" s="39">
        <f t="shared" si="8"/>
        <v>0</v>
      </c>
      <c r="R26" s="146">
        <f t="shared" si="37"/>
        <v>20782291</v>
      </c>
      <c r="S26" s="39">
        <f t="shared" si="9"/>
        <v>0</v>
      </c>
      <c r="T26" s="146">
        <v>0</v>
      </c>
      <c r="U26" s="150"/>
      <c r="V26" s="146">
        <f t="shared" si="38"/>
        <v>8708657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30"/>
        <v>19523</v>
      </c>
      <c r="D27" s="39">
        <f t="shared" si="3"/>
        <v>0</v>
      </c>
      <c r="E27" s="146">
        <f t="shared" si="31"/>
        <v>30542711</v>
      </c>
      <c r="F27" s="39">
        <f t="shared" si="4"/>
        <v>0</v>
      </c>
      <c r="G27" s="147">
        <f t="shared" si="32"/>
        <v>97615543</v>
      </c>
      <c r="H27" s="39">
        <f t="shared" si="5"/>
        <v>0</v>
      </c>
      <c r="I27" s="148">
        <f t="shared" si="6"/>
        <v>0</v>
      </c>
      <c r="J27" s="146">
        <f t="shared" si="33"/>
        <v>9734252</v>
      </c>
      <c r="K27" s="39">
        <f t="shared" si="14"/>
        <v>0</v>
      </c>
      <c r="L27" s="149">
        <f t="shared" si="34"/>
        <v>9828891</v>
      </c>
      <c r="M27" s="39">
        <f t="shared" si="7"/>
        <v>0</v>
      </c>
      <c r="N27" s="146">
        <f t="shared" si="35"/>
        <v>6506057</v>
      </c>
      <c r="O27" s="39">
        <f t="shared" si="15"/>
        <v>0</v>
      </c>
      <c r="P27" s="149">
        <f t="shared" si="36"/>
        <v>6188819</v>
      </c>
      <c r="Q27" s="39">
        <f t="shared" si="8"/>
        <v>0</v>
      </c>
      <c r="R27" s="146">
        <f t="shared" si="37"/>
        <v>20782291</v>
      </c>
      <c r="S27" s="39">
        <f t="shared" si="9"/>
        <v>0</v>
      </c>
      <c r="T27" s="146">
        <v>0</v>
      </c>
      <c r="U27" s="150"/>
      <c r="V27" s="146">
        <f t="shared" si="38"/>
        <v>8708657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30"/>
        <v>19523</v>
      </c>
      <c r="D28" s="39">
        <f t="shared" si="3"/>
        <v>0</v>
      </c>
      <c r="E28" s="146">
        <f t="shared" si="31"/>
        <v>30542711</v>
      </c>
      <c r="F28" s="39">
        <f t="shared" si="4"/>
        <v>0</v>
      </c>
      <c r="G28" s="147">
        <f t="shared" si="32"/>
        <v>97615543</v>
      </c>
      <c r="H28" s="39">
        <f t="shared" si="5"/>
        <v>0</v>
      </c>
      <c r="I28" s="148">
        <f t="shared" si="6"/>
        <v>0</v>
      </c>
      <c r="J28" s="146">
        <f t="shared" si="33"/>
        <v>9734252</v>
      </c>
      <c r="K28" s="39">
        <f t="shared" si="14"/>
        <v>0</v>
      </c>
      <c r="L28" s="149">
        <f t="shared" si="34"/>
        <v>9828891</v>
      </c>
      <c r="M28" s="39">
        <f t="shared" si="7"/>
        <v>0</v>
      </c>
      <c r="N28" s="146">
        <f t="shared" si="35"/>
        <v>6506057</v>
      </c>
      <c r="O28" s="39">
        <f t="shared" si="15"/>
        <v>0</v>
      </c>
      <c r="P28" s="149">
        <f t="shared" si="36"/>
        <v>6188819</v>
      </c>
      <c r="Q28" s="39">
        <f t="shared" si="8"/>
        <v>0</v>
      </c>
      <c r="R28" s="146">
        <f t="shared" si="37"/>
        <v>20782291</v>
      </c>
      <c r="S28" s="39">
        <f t="shared" si="9"/>
        <v>0</v>
      </c>
      <c r="T28" s="146">
        <v>0</v>
      </c>
      <c r="U28" s="150"/>
      <c r="V28" s="146">
        <f t="shared" si="38"/>
        <v>8708657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30"/>
        <v>19523</v>
      </c>
      <c r="D29" s="39">
        <f t="shared" si="3"/>
        <v>0</v>
      </c>
      <c r="E29" s="146">
        <f t="shared" si="31"/>
        <v>30542711</v>
      </c>
      <c r="F29" s="39">
        <f t="shared" si="4"/>
        <v>0</v>
      </c>
      <c r="G29" s="147">
        <f t="shared" si="32"/>
        <v>97615543</v>
      </c>
      <c r="H29" s="39">
        <f t="shared" si="5"/>
        <v>0</v>
      </c>
      <c r="I29" s="148">
        <f t="shared" si="6"/>
        <v>0</v>
      </c>
      <c r="J29" s="146">
        <f t="shared" si="33"/>
        <v>9734252</v>
      </c>
      <c r="K29" s="39">
        <f t="shared" si="14"/>
        <v>0</v>
      </c>
      <c r="L29" s="149">
        <f t="shared" si="34"/>
        <v>9828891</v>
      </c>
      <c r="M29" s="39">
        <f t="shared" si="7"/>
        <v>0</v>
      </c>
      <c r="N29" s="146">
        <f t="shared" si="35"/>
        <v>6506057</v>
      </c>
      <c r="O29" s="39">
        <f t="shared" si="15"/>
        <v>0</v>
      </c>
      <c r="P29" s="149">
        <f t="shared" si="36"/>
        <v>6188819</v>
      </c>
      <c r="Q29" s="39">
        <f t="shared" si="8"/>
        <v>0</v>
      </c>
      <c r="R29" s="146">
        <f t="shared" si="37"/>
        <v>20782291</v>
      </c>
      <c r="S29" s="39">
        <f t="shared" si="9"/>
        <v>0</v>
      </c>
      <c r="T29" s="146">
        <v>0</v>
      </c>
      <c r="U29" s="150"/>
      <c r="V29" s="146">
        <f t="shared" si="38"/>
        <v>8708657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30"/>
        <v>19523</v>
      </c>
      <c r="D30" s="39">
        <f>IF((C30-C29)&lt;0,"0",(C30-C29))*160</f>
        <v>0</v>
      </c>
      <c r="E30" s="146">
        <f t="shared" si="31"/>
        <v>30542711</v>
      </c>
      <c r="F30" s="39">
        <f>IF((E30-E29)&lt;0,"0",(E30-E29))</f>
        <v>0</v>
      </c>
      <c r="G30" s="147">
        <f t="shared" si="32"/>
        <v>97615543</v>
      </c>
      <c r="H30" s="39">
        <f>IF((G30-G29)&lt;0,"0",(G30-G29))</f>
        <v>0</v>
      </c>
      <c r="I30" s="148">
        <f t="shared" si="6"/>
        <v>0</v>
      </c>
      <c r="J30" s="146">
        <f t="shared" si="33"/>
        <v>9734252</v>
      </c>
      <c r="K30" s="39">
        <f>(IF((J30-J29)&lt;0,"0",(J30-J29)))*2</f>
        <v>0</v>
      </c>
      <c r="L30" s="149">
        <f t="shared" si="34"/>
        <v>9828891</v>
      </c>
      <c r="M30" s="39">
        <f>IF((L30-L29)&lt;0,"0",(L30-L29))</f>
        <v>0</v>
      </c>
      <c r="N30" s="146">
        <f t="shared" si="35"/>
        <v>6506057</v>
      </c>
      <c r="O30" s="39">
        <f>(IF((N30-N29)&lt;0,"0",(N30-N29)))*2</f>
        <v>0</v>
      </c>
      <c r="P30" s="149">
        <f t="shared" si="36"/>
        <v>6188819</v>
      </c>
      <c r="Q30" s="39">
        <f>IF((P30-P29)&lt;0,"0",(P30-P29))</f>
        <v>0</v>
      </c>
      <c r="R30" s="146">
        <f t="shared" si="37"/>
        <v>20782291</v>
      </c>
      <c r="S30" s="39">
        <f>IF((R30-R29)&lt;0,"0",(R30-R29))</f>
        <v>0</v>
      </c>
      <c r="T30" s="146">
        <v>0</v>
      </c>
      <c r="U30" s="150"/>
      <c r="V30" s="146">
        <f t="shared" si="38"/>
        <v>8708657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30"/>
        <v>19523</v>
      </c>
      <c r="D31" s="39">
        <f t="shared" ref="D31:D32" si="39">IF((C31-C30)&lt;0,"0",(C31-C30))*160</f>
        <v>0</v>
      </c>
      <c r="E31" s="146">
        <f t="shared" si="31"/>
        <v>30542711</v>
      </c>
      <c r="F31" s="39">
        <f t="shared" ref="F31:F32" si="40">IF((E31-E30)&lt;0,"0",(E31-E30))</f>
        <v>0</v>
      </c>
      <c r="G31" s="147">
        <f t="shared" si="32"/>
        <v>97615543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33"/>
        <v>9734252</v>
      </c>
      <c r="K31" s="39">
        <f t="shared" ref="K31:K32" si="43">(IF((J31-J30)&lt;0,"0",(J31-J30)))*2</f>
        <v>0</v>
      </c>
      <c r="L31" s="149">
        <f t="shared" si="34"/>
        <v>9828891</v>
      </c>
      <c r="M31" s="39">
        <f t="shared" ref="M31:M32" si="44">IF((L31-L30)&lt;0,"0",(L31-L30))</f>
        <v>0</v>
      </c>
      <c r="N31" s="146">
        <f t="shared" si="35"/>
        <v>6506057</v>
      </c>
      <c r="O31" s="39">
        <f t="shared" ref="O31:O32" si="45">(IF((N31-N30)&lt;0,"0",(N31-N30)))*2</f>
        <v>0</v>
      </c>
      <c r="P31" s="149">
        <f t="shared" si="36"/>
        <v>6188819</v>
      </c>
      <c r="Q31" s="39">
        <f t="shared" ref="Q31:Q32" si="46">IF((P31-P30)&lt;0,"0",(P31-P30))</f>
        <v>0</v>
      </c>
      <c r="R31" s="146">
        <f t="shared" si="37"/>
        <v>20782291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38"/>
        <v>8708657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30"/>
        <v>19523</v>
      </c>
      <c r="D32" s="39">
        <f t="shared" si="39"/>
        <v>0</v>
      </c>
      <c r="E32" s="146">
        <f t="shared" si="31"/>
        <v>30542711</v>
      </c>
      <c r="F32" s="39">
        <f t="shared" si="40"/>
        <v>0</v>
      </c>
      <c r="G32" s="147">
        <f t="shared" si="32"/>
        <v>97615543</v>
      </c>
      <c r="H32" s="39">
        <f t="shared" si="41"/>
        <v>0</v>
      </c>
      <c r="I32" s="148">
        <f t="shared" si="42"/>
        <v>0</v>
      </c>
      <c r="J32" s="146">
        <f t="shared" si="33"/>
        <v>9734252</v>
      </c>
      <c r="K32" s="39">
        <f t="shared" si="43"/>
        <v>0</v>
      </c>
      <c r="L32" s="149">
        <f t="shared" si="34"/>
        <v>9828891</v>
      </c>
      <c r="M32" s="39">
        <f t="shared" si="44"/>
        <v>0</v>
      </c>
      <c r="N32" s="146">
        <f t="shared" si="35"/>
        <v>6506057</v>
      </c>
      <c r="O32" s="39">
        <f t="shared" si="45"/>
        <v>0</v>
      </c>
      <c r="P32" s="149">
        <f t="shared" si="36"/>
        <v>6188819</v>
      </c>
      <c r="Q32" s="39">
        <f t="shared" si="46"/>
        <v>0</v>
      </c>
      <c r="R32" s="146">
        <f t="shared" si="37"/>
        <v>20782291</v>
      </c>
      <c r="S32" s="39">
        <f t="shared" si="47"/>
        <v>0</v>
      </c>
      <c r="T32" s="146">
        <v>0</v>
      </c>
      <c r="U32" s="150"/>
      <c r="V32" s="146">
        <f t="shared" si="38"/>
        <v>8708657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2789</v>
      </c>
      <c r="C33" s="137">
        <v>0</v>
      </c>
      <c r="D33" s="137">
        <f>SUM(D3:D32)</f>
        <v>10560</v>
      </c>
      <c r="E33" s="56">
        <v>0</v>
      </c>
      <c r="F33" s="56">
        <f>SUM(F3:F32)</f>
        <v>197484</v>
      </c>
      <c r="G33" s="56">
        <v>0</v>
      </c>
      <c r="H33" s="56">
        <f>SUM(H3:H32)</f>
        <v>786855</v>
      </c>
      <c r="I33" s="56">
        <f>SUM(I3:I32)</f>
        <v>984339</v>
      </c>
      <c r="J33" s="56">
        <v>0</v>
      </c>
      <c r="K33" s="56">
        <f>SUM(K2:K32)</f>
        <v>163742</v>
      </c>
      <c r="L33" s="56">
        <v>0</v>
      </c>
      <c r="M33" s="56">
        <f>SUM(M3:M32)</f>
        <v>110843</v>
      </c>
      <c r="N33" s="56">
        <v>0</v>
      </c>
      <c r="O33" s="56">
        <f>SUM(O3:O32)</f>
        <v>83998</v>
      </c>
      <c r="P33" s="56">
        <v>0</v>
      </c>
      <c r="Q33" s="56">
        <f>SUM(Q3:Q32)</f>
        <v>162755</v>
      </c>
      <c r="R33" s="56">
        <v>0</v>
      </c>
      <c r="S33" s="56">
        <f>SUM(S3:S32)</f>
        <v>168590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178587</v>
      </c>
      <c r="X33" s="56">
        <f>SUM(X3:X32)</f>
        <v>868515</v>
      </c>
      <c r="Y33" s="56">
        <f>SUM(Y3:Y32)</f>
        <v>115824</v>
      </c>
      <c r="Z33" s="56">
        <f>SUM(Z3:Z32)</f>
        <v>119987.07329440002</v>
      </c>
      <c r="AA33" s="56">
        <f>SUM(AA3:AA32)</f>
        <v>473712.82075519999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zoomScale="110" zoomScaleNormal="110" workbookViewId="0">
      <pane ySplit="1" topLeftCell="A2" activePane="bottomLeft" state="frozen"/>
      <selection pane="bottomLeft" activeCell="J20" sqref="J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v>444848</v>
      </c>
      <c r="C11" s="39">
        <f t="shared" si="7"/>
        <v>820</v>
      </c>
      <c r="D11" s="3">
        <v>6247</v>
      </c>
      <c r="E11" s="39">
        <f t="shared" si="2"/>
        <v>390</v>
      </c>
      <c r="F11" s="3">
        <v>8474500</v>
      </c>
      <c r="G11" s="39">
        <f t="shared" si="5"/>
        <v>313.2</v>
      </c>
      <c r="H11" s="3">
        <v>784280</v>
      </c>
      <c r="I11" s="44">
        <f t="shared" si="6"/>
        <v>4.32</v>
      </c>
      <c r="J11" s="19">
        <f t="shared" si="3"/>
        <v>1527.52</v>
      </c>
      <c r="K11" s="20">
        <f t="shared" si="4"/>
        <v>8951.2672000000002</v>
      </c>
      <c r="N11" t="s">
        <v>12</v>
      </c>
    </row>
    <row r="12" spans="1:14" ht="16.5" thickBot="1" x14ac:dyDescent="0.3">
      <c r="A12" s="9">
        <v>44661</v>
      </c>
      <c r="B12" s="3">
        <v>444952</v>
      </c>
      <c r="C12" s="39">
        <f t="shared" si="7"/>
        <v>1040</v>
      </c>
      <c r="D12" s="3">
        <v>6291</v>
      </c>
      <c r="E12" s="39">
        <f t="shared" si="2"/>
        <v>440</v>
      </c>
      <c r="F12" s="3">
        <v>8488000</v>
      </c>
      <c r="G12" s="39">
        <f t="shared" si="5"/>
        <v>364.5</v>
      </c>
      <c r="H12" s="3">
        <v>784453</v>
      </c>
      <c r="I12" s="44">
        <f t="shared" si="6"/>
        <v>4.6710000000000003</v>
      </c>
      <c r="J12" s="19">
        <f t="shared" si="3"/>
        <v>1849.171</v>
      </c>
      <c r="K12" s="20">
        <f t="shared" si="4"/>
        <v>10836.14206</v>
      </c>
    </row>
    <row r="13" spans="1:14" ht="16.5" thickBot="1" x14ac:dyDescent="0.3">
      <c r="A13" s="9">
        <v>44662</v>
      </c>
      <c r="B13" s="3">
        <v>445065</v>
      </c>
      <c r="C13" s="39">
        <f t="shared" si="7"/>
        <v>1130</v>
      </c>
      <c r="D13" s="3">
        <v>6353</v>
      </c>
      <c r="E13" s="39">
        <f t="shared" si="2"/>
        <v>620</v>
      </c>
      <c r="F13" s="3">
        <v>8500800</v>
      </c>
      <c r="G13" s="39">
        <f t="shared" si="5"/>
        <v>345.6</v>
      </c>
      <c r="H13" s="3">
        <v>784628</v>
      </c>
      <c r="I13" s="44">
        <f t="shared" si="6"/>
        <v>4.7249999999999996</v>
      </c>
      <c r="J13" s="19">
        <f t="shared" si="3"/>
        <v>2100.3249999999998</v>
      </c>
      <c r="K13" s="20">
        <f t="shared" si="4"/>
        <v>12307.904499999999</v>
      </c>
    </row>
    <row r="14" spans="1:14" ht="16.5" thickBot="1" x14ac:dyDescent="0.3">
      <c r="A14" s="9">
        <v>44663</v>
      </c>
      <c r="B14" s="3">
        <v>445165</v>
      </c>
      <c r="C14" s="39">
        <f t="shared" si="7"/>
        <v>1000</v>
      </c>
      <c r="D14" s="3">
        <v>6399</v>
      </c>
      <c r="E14" s="39">
        <f t="shared" si="2"/>
        <v>460</v>
      </c>
      <c r="F14" s="3">
        <v>8512500</v>
      </c>
      <c r="G14" s="39">
        <f t="shared" si="5"/>
        <v>315.89999999999998</v>
      </c>
      <c r="H14" s="3">
        <v>784806</v>
      </c>
      <c r="I14" s="44">
        <f t="shared" si="6"/>
        <v>4.806</v>
      </c>
      <c r="J14" s="19">
        <f t="shared" si="3"/>
        <v>1780.7060000000001</v>
      </c>
      <c r="K14" s="20">
        <f t="shared" si="4"/>
        <v>10434.937160000001</v>
      </c>
    </row>
    <row r="15" spans="1:14" ht="16.5" thickBot="1" x14ac:dyDescent="0.3">
      <c r="A15" s="9">
        <v>44664</v>
      </c>
      <c r="B15" s="3">
        <v>445259</v>
      </c>
      <c r="C15" s="39">
        <f t="shared" si="7"/>
        <v>940</v>
      </c>
      <c r="D15" s="3">
        <v>6442</v>
      </c>
      <c r="E15" s="39">
        <f t="shared" si="2"/>
        <v>430</v>
      </c>
      <c r="F15" s="3">
        <v>8524800</v>
      </c>
      <c r="G15" s="39">
        <f t="shared" si="5"/>
        <v>332.1</v>
      </c>
      <c r="H15" s="3">
        <v>784994</v>
      </c>
      <c r="I15" s="44">
        <f t="shared" si="6"/>
        <v>5.0759999999999996</v>
      </c>
      <c r="J15" s="19">
        <f t="shared" si="3"/>
        <v>1707.1759999999999</v>
      </c>
      <c r="K15" s="20">
        <f t="shared" si="4"/>
        <v>10004.051359999999</v>
      </c>
    </row>
    <row r="16" spans="1:14" ht="16.5" thickBot="1" x14ac:dyDescent="0.3">
      <c r="A16" s="9">
        <v>44665</v>
      </c>
      <c r="B16" s="3">
        <v>445357</v>
      </c>
      <c r="C16" s="39">
        <f t="shared" si="7"/>
        <v>980</v>
      </c>
      <c r="D16" s="3">
        <v>6485</v>
      </c>
      <c r="E16" s="39">
        <f t="shared" si="2"/>
        <v>430</v>
      </c>
      <c r="F16" s="3">
        <v>8535300</v>
      </c>
      <c r="G16" s="39">
        <f t="shared" si="5"/>
        <v>283.5</v>
      </c>
      <c r="H16" s="3">
        <v>785165</v>
      </c>
      <c r="I16" s="44">
        <f t="shared" si="6"/>
        <v>4.617</v>
      </c>
      <c r="J16" s="19">
        <f t="shared" si="3"/>
        <v>1698.117</v>
      </c>
      <c r="K16" s="20">
        <f t="shared" si="4"/>
        <v>9950.9656200000009</v>
      </c>
    </row>
    <row r="17" spans="1:25" ht="16.5" thickBot="1" x14ac:dyDescent="0.3">
      <c r="A17" s="9">
        <v>44666</v>
      </c>
      <c r="B17" s="3">
        <v>445489</v>
      </c>
      <c r="C17" s="39">
        <f t="shared" si="7"/>
        <v>1320</v>
      </c>
      <c r="D17" s="3">
        <v>6567</v>
      </c>
      <c r="E17" s="39">
        <f t="shared" si="2"/>
        <v>820</v>
      </c>
      <c r="F17" s="3">
        <v>8548200</v>
      </c>
      <c r="G17" s="39">
        <f t="shared" si="5"/>
        <v>348.3</v>
      </c>
      <c r="H17" s="3">
        <v>785327</v>
      </c>
      <c r="I17" s="44">
        <f t="shared" si="6"/>
        <v>4.3739999999999997</v>
      </c>
      <c r="J17" s="19">
        <f t="shared" si="3"/>
        <v>2492.674</v>
      </c>
      <c r="K17" s="20">
        <f t="shared" si="4"/>
        <v>14607.069640000002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v>445633</v>
      </c>
      <c r="C18" s="39">
        <f t="shared" si="7"/>
        <v>1440</v>
      </c>
      <c r="D18" s="3">
        <v>6674</v>
      </c>
      <c r="E18" s="39">
        <f t="shared" si="2"/>
        <v>1070</v>
      </c>
      <c r="F18" s="3">
        <v>8563800</v>
      </c>
      <c r="G18" s="39">
        <f t="shared" si="5"/>
        <v>421.2</v>
      </c>
      <c r="H18" s="3">
        <v>785510</v>
      </c>
      <c r="I18" s="44">
        <f t="shared" si="6"/>
        <v>4.9409999999999998</v>
      </c>
      <c r="J18" s="19">
        <f t="shared" si="3"/>
        <v>2936.1409999999996</v>
      </c>
      <c r="K18" s="20">
        <f t="shared" si="4"/>
        <v>17205.786259999997</v>
      </c>
      <c r="Q18" t="s">
        <v>43</v>
      </c>
    </row>
    <row r="19" spans="1:25" ht="16.5" thickBot="1" x14ac:dyDescent="0.3">
      <c r="A19" s="9">
        <v>44668</v>
      </c>
      <c r="B19" s="3">
        <v>445748</v>
      </c>
      <c r="C19" s="39">
        <f t="shared" si="7"/>
        <v>1150</v>
      </c>
      <c r="D19" s="3">
        <v>6715</v>
      </c>
      <c r="E19" s="39">
        <f t="shared" ref="E19:E32" si="8">(IF((D19-D18)&lt;0,"0",(D19-D18)))*10</f>
        <v>410</v>
      </c>
      <c r="F19" s="3">
        <v>8577500</v>
      </c>
      <c r="G19" s="39">
        <f t="shared" si="5"/>
        <v>369.9</v>
      </c>
      <c r="H19" s="3">
        <v>785657</v>
      </c>
      <c r="I19" s="44">
        <f t="shared" si="6"/>
        <v>3.9689999999999999</v>
      </c>
      <c r="J19" s="19">
        <f t="shared" si="3"/>
        <v>1933.8690000000001</v>
      </c>
      <c r="K19" s="20">
        <f t="shared" si="4"/>
        <v>11332.472340000002</v>
      </c>
      <c r="Q19" t="s">
        <v>12</v>
      </c>
    </row>
    <row r="20" spans="1:25" ht="16.5" thickBot="1" x14ac:dyDescent="0.3">
      <c r="A20" s="9">
        <v>44669</v>
      </c>
      <c r="B20" s="3">
        <v>445856</v>
      </c>
      <c r="C20" s="39">
        <f t="shared" si="7"/>
        <v>1080</v>
      </c>
      <c r="D20" s="3">
        <v>6766</v>
      </c>
      <c r="E20" s="39">
        <f t="shared" si="8"/>
        <v>510</v>
      </c>
      <c r="F20" s="3">
        <v>8592200</v>
      </c>
      <c r="G20" s="39">
        <f t="shared" si="5"/>
        <v>396.9</v>
      </c>
      <c r="H20" s="3">
        <v>785815</v>
      </c>
      <c r="I20" s="44">
        <f t="shared" si="6"/>
        <v>4.266</v>
      </c>
      <c r="J20" s="19">
        <f t="shared" si="3"/>
        <v>1991.1660000000002</v>
      </c>
      <c r="K20" s="20">
        <f t="shared" si="4"/>
        <v>11668.232760000001</v>
      </c>
    </row>
    <row r="21" spans="1:25" ht="16.5" thickBot="1" x14ac:dyDescent="0.3">
      <c r="A21" s="9">
        <v>44670</v>
      </c>
      <c r="B21" s="3">
        <f t="shared" ref="B20:B32" si="9">B20</f>
        <v>445856</v>
      </c>
      <c r="C21" s="39">
        <f t="shared" si="7"/>
        <v>0</v>
      </c>
      <c r="D21" s="3">
        <f t="shared" ref="D20:D32" si="10">D20</f>
        <v>6766</v>
      </c>
      <c r="E21" s="39">
        <f t="shared" si="8"/>
        <v>0</v>
      </c>
      <c r="F21" s="3">
        <f t="shared" ref="F20:F32" si="11">F20</f>
        <v>8592200</v>
      </c>
      <c r="G21" s="39">
        <f t="shared" si="5"/>
        <v>0</v>
      </c>
      <c r="H21" s="3">
        <f t="shared" ref="H20:H32" si="12">H20</f>
        <v>785815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9"/>
        <v>445856</v>
      </c>
      <c r="C22" s="39">
        <f t="shared" si="7"/>
        <v>0</v>
      </c>
      <c r="D22" s="3">
        <f t="shared" si="10"/>
        <v>6766</v>
      </c>
      <c r="E22" s="39">
        <f t="shared" si="8"/>
        <v>0</v>
      </c>
      <c r="F22" s="3">
        <f t="shared" si="11"/>
        <v>8592200</v>
      </c>
      <c r="G22" s="39">
        <f t="shared" si="5"/>
        <v>0</v>
      </c>
      <c r="H22" s="3">
        <f t="shared" si="12"/>
        <v>785815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9"/>
        <v>445856</v>
      </c>
      <c r="C23" s="39">
        <f t="shared" si="7"/>
        <v>0</v>
      </c>
      <c r="D23" s="3">
        <f t="shared" si="10"/>
        <v>6766</v>
      </c>
      <c r="E23" s="39">
        <f t="shared" si="8"/>
        <v>0</v>
      </c>
      <c r="F23" s="3">
        <f t="shared" si="11"/>
        <v>8592200</v>
      </c>
      <c r="G23" s="39">
        <f t="shared" si="5"/>
        <v>0</v>
      </c>
      <c r="H23" s="3">
        <f t="shared" si="12"/>
        <v>785815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9"/>
        <v>445856</v>
      </c>
      <c r="C24" s="39">
        <f t="shared" si="7"/>
        <v>0</v>
      </c>
      <c r="D24" s="3">
        <f t="shared" si="10"/>
        <v>6766</v>
      </c>
      <c r="E24" s="39">
        <f t="shared" si="8"/>
        <v>0</v>
      </c>
      <c r="F24" s="3">
        <f t="shared" si="11"/>
        <v>8592200</v>
      </c>
      <c r="G24" s="39">
        <f t="shared" si="5"/>
        <v>0</v>
      </c>
      <c r="H24" s="3">
        <f t="shared" si="12"/>
        <v>785815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9"/>
        <v>445856</v>
      </c>
      <c r="C25" s="39">
        <f t="shared" si="7"/>
        <v>0</v>
      </c>
      <c r="D25" s="3">
        <f t="shared" si="10"/>
        <v>6766</v>
      </c>
      <c r="E25" s="39">
        <f t="shared" si="8"/>
        <v>0</v>
      </c>
      <c r="F25" s="3">
        <f t="shared" si="11"/>
        <v>8592200</v>
      </c>
      <c r="G25" s="39">
        <f t="shared" si="5"/>
        <v>0</v>
      </c>
      <c r="H25" s="3">
        <f t="shared" si="12"/>
        <v>785815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9"/>
        <v>445856</v>
      </c>
      <c r="C26" s="39">
        <f t="shared" si="7"/>
        <v>0</v>
      </c>
      <c r="D26" s="3">
        <f t="shared" si="10"/>
        <v>6766</v>
      </c>
      <c r="E26" s="39">
        <f t="shared" si="8"/>
        <v>0</v>
      </c>
      <c r="F26" s="3">
        <f t="shared" si="11"/>
        <v>8592200</v>
      </c>
      <c r="G26" s="39">
        <f t="shared" si="5"/>
        <v>0</v>
      </c>
      <c r="H26" s="3">
        <f t="shared" si="12"/>
        <v>785815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9"/>
        <v>445856</v>
      </c>
      <c r="C27" s="39">
        <f t="shared" si="7"/>
        <v>0</v>
      </c>
      <c r="D27" s="3">
        <f t="shared" si="10"/>
        <v>6766</v>
      </c>
      <c r="E27" s="39">
        <f t="shared" si="8"/>
        <v>0</v>
      </c>
      <c r="F27" s="3">
        <f t="shared" si="11"/>
        <v>8592200</v>
      </c>
      <c r="G27" s="39">
        <f t="shared" si="5"/>
        <v>0</v>
      </c>
      <c r="H27" s="3">
        <f t="shared" si="12"/>
        <v>785815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9"/>
        <v>445856</v>
      </c>
      <c r="C28" s="39">
        <f t="shared" si="7"/>
        <v>0</v>
      </c>
      <c r="D28" s="3">
        <f t="shared" si="10"/>
        <v>6766</v>
      </c>
      <c r="E28" s="39">
        <f t="shared" si="8"/>
        <v>0</v>
      </c>
      <c r="F28" s="3">
        <f t="shared" si="11"/>
        <v>8592200</v>
      </c>
      <c r="G28" s="39">
        <f t="shared" si="5"/>
        <v>0</v>
      </c>
      <c r="H28" s="3">
        <f t="shared" si="12"/>
        <v>785815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9"/>
        <v>445856</v>
      </c>
      <c r="C29" s="39">
        <f t="shared" si="7"/>
        <v>0</v>
      </c>
      <c r="D29" s="3">
        <f t="shared" si="10"/>
        <v>6766</v>
      </c>
      <c r="E29" s="39">
        <f t="shared" si="8"/>
        <v>0</v>
      </c>
      <c r="F29" s="3">
        <f t="shared" si="11"/>
        <v>8592200</v>
      </c>
      <c r="G29" s="39">
        <f t="shared" si="5"/>
        <v>0</v>
      </c>
      <c r="H29" s="3">
        <f t="shared" si="12"/>
        <v>785815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9"/>
        <v>445856</v>
      </c>
      <c r="C30" s="39">
        <f t="shared" si="7"/>
        <v>0</v>
      </c>
      <c r="D30" s="3">
        <f t="shared" si="10"/>
        <v>6766</v>
      </c>
      <c r="E30" s="39">
        <f t="shared" si="8"/>
        <v>0</v>
      </c>
      <c r="F30" s="3">
        <f t="shared" si="11"/>
        <v>8592200</v>
      </c>
      <c r="G30" s="39">
        <f t="shared" si="5"/>
        <v>0</v>
      </c>
      <c r="H30" s="3">
        <f t="shared" si="12"/>
        <v>785815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9"/>
        <v>445856</v>
      </c>
      <c r="C31" s="39">
        <f t="shared" si="7"/>
        <v>0</v>
      </c>
      <c r="D31" s="3">
        <f t="shared" si="10"/>
        <v>6766</v>
      </c>
      <c r="E31" s="39">
        <f t="shared" si="8"/>
        <v>0</v>
      </c>
      <c r="F31" s="3">
        <f t="shared" si="11"/>
        <v>8592200</v>
      </c>
      <c r="G31" s="39">
        <f t="shared" si="5"/>
        <v>0</v>
      </c>
      <c r="H31" s="3">
        <f t="shared" si="12"/>
        <v>785815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9"/>
        <v>445856</v>
      </c>
      <c r="C32" s="39">
        <f t="shared" si="7"/>
        <v>0</v>
      </c>
      <c r="D32" s="3">
        <f t="shared" si="10"/>
        <v>6766</v>
      </c>
      <c r="E32" s="39">
        <f t="shared" si="8"/>
        <v>0</v>
      </c>
      <c r="F32" s="3">
        <f t="shared" si="11"/>
        <v>8592200</v>
      </c>
      <c r="G32" s="39">
        <f t="shared" si="5"/>
        <v>0</v>
      </c>
      <c r="H32" s="3">
        <f t="shared" si="12"/>
        <v>785815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19170</v>
      </c>
      <c r="D33" s="3"/>
      <c r="E33" s="56">
        <f>SUM(E3:E32)</f>
        <v>9780</v>
      </c>
      <c r="F33" s="3"/>
      <c r="G33" s="56">
        <f>SUM(G3:G32)</f>
        <v>6245.0999999999995</v>
      </c>
      <c r="H33" s="3"/>
      <c r="I33" s="56">
        <f>SUM(I3:I32)</f>
        <v>81</v>
      </c>
      <c r="J33" s="56">
        <f>SUM(J3:J32)</f>
        <v>35276.1</v>
      </c>
      <c r="K33" s="56">
        <f>SUM(K3:K32)</f>
        <v>206717.94600000003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21" sqref="B2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v>18181502</v>
      </c>
      <c r="C11" s="45">
        <f>IF((B11-B10)&lt;0,"0",(B11-B10))</f>
        <v>3261</v>
      </c>
    </row>
    <row r="12" spans="1:9" ht="24" thickBot="1" x14ac:dyDescent="0.4">
      <c r="A12" s="9">
        <v>44661</v>
      </c>
      <c r="B12" s="133">
        <v>18184524</v>
      </c>
      <c r="C12" s="45">
        <f t="shared" si="0"/>
        <v>3022</v>
      </c>
    </row>
    <row r="13" spans="1:9" ht="24" thickBot="1" x14ac:dyDescent="0.4">
      <c r="A13" s="9">
        <v>44662</v>
      </c>
      <c r="B13" s="133">
        <v>18187491</v>
      </c>
      <c r="C13" s="45">
        <f t="shared" si="0"/>
        <v>2967</v>
      </c>
    </row>
    <row r="14" spans="1:9" ht="24" thickBot="1" x14ac:dyDescent="0.4">
      <c r="A14" s="9">
        <v>44663</v>
      </c>
      <c r="B14" s="133">
        <v>18190454</v>
      </c>
      <c r="C14" s="45">
        <f t="shared" si="0"/>
        <v>2963</v>
      </c>
    </row>
    <row r="15" spans="1:9" ht="24" thickBot="1" x14ac:dyDescent="0.4">
      <c r="A15" s="9">
        <v>44664</v>
      </c>
      <c r="B15" s="133">
        <v>18193214</v>
      </c>
      <c r="C15" s="45">
        <f t="shared" si="0"/>
        <v>2760</v>
      </c>
      <c r="I15" t="s">
        <v>12</v>
      </c>
    </row>
    <row r="16" spans="1:9" ht="26.25" customHeight="1" thickBot="1" x14ac:dyDescent="0.4">
      <c r="A16" s="9">
        <v>44665</v>
      </c>
      <c r="B16" s="133">
        <v>18196141</v>
      </c>
      <c r="C16" s="45">
        <f t="shared" si="0"/>
        <v>2927</v>
      </c>
      <c r="F16" s="156"/>
    </row>
    <row r="17" spans="1:9" ht="25.5" customHeight="1" thickBot="1" x14ac:dyDescent="0.4">
      <c r="A17" s="9">
        <v>44666</v>
      </c>
      <c r="B17" s="133">
        <v>18199015</v>
      </c>
      <c r="C17" s="45">
        <f t="shared" si="0"/>
        <v>2874</v>
      </c>
    </row>
    <row r="18" spans="1:9" ht="24" thickBot="1" x14ac:dyDescent="0.4">
      <c r="A18" s="9">
        <v>44667</v>
      </c>
      <c r="B18" s="133">
        <v>18202214</v>
      </c>
      <c r="C18" s="45">
        <f t="shared" si="0"/>
        <v>3199</v>
      </c>
      <c r="I18" s="35"/>
    </row>
    <row r="19" spans="1:9" ht="24" thickBot="1" x14ac:dyDescent="0.4">
      <c r="A19" s="9">
        <v>44668</v>
      </c>
      <c r="B19" s="133">
        <v>18204854</v>
      </c>
      <c r="C19" s="45">
        <f t="shared" si="0"/>
        <v>2640</v>
      </c>
    </row>
    <row r="20" spans="1:9" ht="24" thickBot="1" x14ac:dyDescent="0.4">
      <c r="A20" s="9">
        <v>44669</v>
      </c>
      <c r="B20" s="133">
        <v>18207587</v>
      </c>
      <c r="C20" s="45">
        <f t="shared" si="0"/>
        <v>2733</v>
      </c>
    </row>
    <row r="21" spans="1:9" ht="24" thickBot="1" x14ac:dyDescent="0.4">
      <c r="A21" s="9">
        <v>44670</v>
      </c>
      <c r="B21" s="133">
        <f t="shared" ref="B21:B32" si="1">B20</f>
        <v>18207587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18207587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18207587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18207587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18207587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18207587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18207587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18207587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18207587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18207587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18207587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18207587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50455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J1" zoomScale="90" zoomScaleNormal="90" workbookViewId="0">
      <pane ySplit="1" topLeftCell="A2" activePane="bottomLeft" state="frozen"/>
      <selection pane="bottomLeft" activeCell="AB27" sqref="AB27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v>23068.596000000001</v>
      </c>
      <c r="C11" s="44">
        <f t="shared" si="21"/>
        <v>9.0300000000024738</v>
      </c>
      <c r="D11" s="28">
        <f t="shared" si="22"/>
        <v>17157.0000000047</v>
      </c>
      <c r="E11" s="1">
        <v>4150.0010000000002</v>
      </c>
      <c r="F11" s="44">
        <f t="shared" si="23"/>
        <v>0.97199999999975262</v>
      </c>
      <c r="G11" s="28">
        <f t="shared" si="24"/>
        <v>1846.79999999953</v>
      </c>
      <c r="H11" s="1">
        <v>5008</v>
      </c>
      <c r="I11" s="44">
        <f t="shared" si="25"/>
        <v>6</v>
      </c>
      <c r="J11" s="28">
        <f t="shared" si="26"/>
        <v>11399.999999999998</v>
      </c>
      <c r="K11" s="7">
        <v>13898.22</v>
      </c>
      <c r="L11" s="44">
        <f t="shared" si="27"/>
        <v>1.5199999999986176</v>
      </c>
      <c r="M11" s="28">
        <f t="shared" si="28"/>
        <v>2887.9999999973729</v>
      </c>
      <c r="N11" s="7">
        <v>3480.7249999999999</v>
      </c>
      <c r="O11" s="44">
        <f t="shared" si="29"/>
        <v>1.6549999999997453</v>
      </c>
      <c r="P11" s="28">
        <f t="shared" si="30"/>
        <v>3144.4999999995157</v>
      </c>
      <c r="Q11" s="7">
        <v>5300.65</v>
      </c>
      <c r="R11" s="44">
        <f t="shared" si="32"/>
        <v>0.56999999999970896</v>
      </c>
      <c r="S11" s="28">
        <f t="shared" si="33"/>
        <v>1082.999999999447</v>
      </c>
      <c r="T11" s="8">
        <f t="shared" si="35"/>
        <v>19.747000000000298</v>
      </c>
      <c r="U11" s="30">
        <f t="shared" si="34"/>
        <v>37519.300000000563</v>
      </c>
      <c r="W11" s="157">
        <v>44660</v>
      </c>
      <c r="X11" s="158">
        <v>168250</v>
      </c>
      <c r="Y11" s="163">
        <f t="shared" si="20"/>
        <v>138</v>
      </c>
      <c r="Z11" s="158">
        <v>8870</v>
      </c>
      <c r="AA11" s="163">
        <f t="shared" si="20"/>
        <v>8</v>
      </c>
      <c r="AB11" s="158">
        <f t="shared" si="36"/>
        <v>26.5</v>
      </c>
      <c r="AC11" s="163">
        <f t="shared" si="20"/>
        <v>0</v>
      </c>
      <c r="AD11" s="158">
        <v>372</v>
      </c>
      <c r="AE11" s="163">
        <f t="shared" si="20"/>
        <v>1</v>
      </c>
      <c r="AF11" s="158">
        <v>6751</v>
      </c>
      <c r="AG11" s="163">
        <f t="shared" si="20"/>
        <v>31</v>
      </c>
    </row>
    <row r="12" spans="1:33" ht="16.5" thickBot="1" x14ac:dyDescent="0.25">
      <c r="A12" s="9">
        <v>44661</v>
      </c>
      <c r="B12" s="160">
        <v>23075.488000000001</v>
      </c>
      <c r="C12" s="44">
        <f t="shared" si="21"/>
        <v>6.8919999999998254</v>
      </c>
      <c r="D12" s="28">
        <f t="shared" si="22"/>
        <v>13094.799999999666</v>
      </c>
      <c r="E12" s="1">
        <v>4151.143</v>
      </c>
      <c r="F12" s="44">
        <f t="shared" si="23"/>
        <v>1.1419999999998254</v>
      </c>
      <c r="G12" s="28">
        <f t="shared" si="24"/>
        <v>2169.7999999996682</v>
      </c>
      <c r="H12" s="1">
        <v>5012</v>
      </c>
      <c r="I12" s="44">
        <f t="shared" si="25"/>
        <v>4</v>
      </c>
      <c r="J12" s="28">
        <f t="shared" si="26"/>
        <v>7600</v>
      </c>
      <c r="K12" s="7">
        <v>13899.39</v>
      </c>
      <c r="L12" s="44">
        <f t="shared" si="27"/>
        <v>1.1700000000000728</v>
      </c>
      <c r="M12" s="28">
        <f t="shared" si="28"/>
        <v>2223.0000000001378</v>
      </c>
      <c r="N12" s="7">
        <v>3482.1149999999998</v>
      </c>
      <c r="O12" s="44">
        <f t="shared" si="29"/>
        <v>1.3899999999998727</v>
      </c>
      <c r="P12" s="28">
        <f t="shared" si="30"/>
        <v>2640.9999999997581</v>
      </c>
      <c r="Q12" s="7">
        <v>5300.95</v>
      </c>
      <c r="R12" s="44">
        <f t="shared" si="32"/>
        <v>0.3000000000001819</v>
      </c>
      <c r="S12" s="28">
        <f t="shared" si="33"/>
        <v>570.00000000034561</v>
      </c>
      <c r="T12" s="8">
        <f t="shared" si="35"/>
        <v>14.893999999999778</v>
      </c>
      <c r="U12" s="30">
        <f t="shared" si="34"/>
        <v>28298.599999999577</v>
      </c>
      <c r="W12" s="157">
        <v>44661</v>
      </c>
      <c r="X12" s="158">
        <v>168388</v>
      </c>
      <c r="Y12" s="163">
        <f t="shared" si="20"/>
        <v>138</v>
      </c>
      <c r="Z12" s="158">
        <v>8878</v>
      </c>
      <c r="AA12" s="163">
        <f t="shared" si="20"/>
        <v>8</v>
      </c>
      <c r="AB12" s="158">
        <v>26.5</v>
      </c>
      <c r="AC12" s="163">
        <f t="shared" si="20"/>
        <v>0</v>
      </c>
      <c r="AD12" s="158">
        <v>375</v>
      </c>
      <c r="AE12" s="163">
        <f t="shared" si="20"/>
        <v>3</v>
      </c>
      <c r="AF12" s="158">
        <v>6779</v>
      </c>
      <c r="AG12" s="163">
        <f t="shared" si="20"/>
        <v>28</v>
      </c>
    </row>
    <row r="13" spans="1:33" ht="16.5" thickBot="1" x14ac:dyDescent="0.25">
      <c r="A13" s="9">
        <v>44662</v>
      </c>
      <c r="B13" s="160">
        <v>23083.374</v>
      </c>
      <c r="C13" s="44">
        <f t="shared" si="21"/>
        <v>7.885999999998603</v>
      </c>
      <c r="D13" s="28">
        <f t="shared" si="22"/>
        <v>14983.399999997346</v>
      </c>
      <c r="E13" s="1">
        <v>4152.7640000000001</v>
      </c>
      <c r="F13" s="44">
        <f t="shared" si="23"/>
        <v>1.6210000000000946</v>
      </c>
      <c r="G13" s="28">
        <f t="shared" si="24"/>
        <v>3079.9000000001797</v>
      </c>
      <c r="H13" s="1">
        <v>5017</v>
      </c>
      <c r="I13" s="44">
        <f t="shared" si="25"/>
        <v>5</v>
      </c>
      <c r="J13" s="28">
        <f t="shared" si="26"/>
        <v>9500</v>
      </c>
      <c r="K13" s="7">
        <v>13900.69</v>
      </c>
      <c r="L13" s="44">
        <f t="shared" si="27"/>
        <v>1.3000000000010914</v>
      </c>
      <c r="M13" s="28">
        <f t="shared" si="28"/>
        <v>2470.0000000020736</v>
      </c>
      <c r="N13" s="7">
        <v>3483.558</v>
      </c>
      <c r="O13" s="44">
        <f t="shared" si="29"/>
        <v>1.443000000000211</v>
      </c>
      <c r="P13" s="28">
        <f t="shared" si="30"/>
        <v>2741.7000000004009</v>
      </c>
      <c r="Q13" s="7">
        <v>5301.8</v>
      </c>
      <c r="R13" s="44">
        <f t="shared" si="32"/>
        <v>0.8500000000003638</v>
      </c>
      <c r="S13" s="28">
        <f t="shared" si="33"/>
        <v>1615.0000000006912</v>
      </c>
      <c r="T13" s="8">
        <f t="shared" si="35"/>
        <v>18.100000000000364</v>
      </c>
      <c r="U13" s="30">
        <f t="shared" si="34"/>
        <v>34390.000000000691</v>
      </c>
      <c r="W13" s="157">
        <v>44662</v>
      </c>
      <c r="X13" s="158">
        <v>168526</v>
      </c>
      <c r="Y13" s="163">
        <f t="shared" si="20"/>
        <v>138</v>
      </c>
      <c r="Z13" s="158">
        <v>8888</v>
      </c>
      <c r="AA13" s="163">
        <f t="shared" si="20"/>
        <v>10</v>
      </c>
      <c r="AB13" s="158">
        <f t="shared" si="36"/>
        <v>26.5</v>
      </c>
      <c r="AC13" s="163">
        <f t="shared" si="20"/>
        <v>0</v>
      </c>
      <c r="AD13" s="158">
        <v>377</v>
      </c>
      <c r="AE13" s="163">
        <f t="shared" si="20"/>
        <v>2</v>
      </c>
      <c r="AF13" s="158">
        <v>6808</v>
      </c>
      <c r="AG13" s="163">
        <f t="shared" si="20"/>
        <v>29</v>
      </c>
    </row>
    <row r="14" spans="1:33" ht="16.5" thickBot="1" x14ac:dyDescent="0.25">
      <c r="A14" s="9">
        <v>44663</v>
      </c>
      <c r="B14" s="160">
        <v>23090.411</v>
      </c>
      <c r="C14" s="44">
        <f t="shared" si="21"/>
        <v>7.0370000000002619</v>
      </c>
      <c r="D14" s="28">
        <f t="shared" si="22"/>
        <v>13370.300000000498</v>
      </c>
      <c r="E14" s="1">
        <v>4154.3149999999996</v>
      </c>
      <c r="F14" s="44">
        <f t="shared" si="23"/>
        <v>1.5509999999994761</v>
      </c>
      <c r="G14" s="28">
        <f t="shared" si="24"/>
        <v>2946.8999999990046</v>
      </c>
      <c r="H14" s="1">
        <v>5022</v>
      </c>
      <c r="I14" s="44">
        <f t="shared" si="25"/>
        <v>5</v>
      </c>
      <c r="J14" s="28">
        <f t="shared" si="26"/>
        <v>9500</v>
      </c>
      <c r="K14" s="7">
        <v>13901.68</v>
      </c>
      <c r="L14" s="44">
        <f t="shared" si="27"/>
        <v>0.98999999999978172</v>
      </c>
      <c r="M14" s="28">
        <f t="shared" si="28"/>
        <v>1880.9999999995853</v>
      </c>
      <c r="N14" s="7">
        <v>3485.1990000000001</v>
      </c>
      <c r="O14" s="44">
        <f>IF((N14-N13)&lt;0,"0",(N14-N13))</f>
        <v>1.6410000000000764</v>
      </c>
      <c r="P14" s="28">
        <f t="shared" si="30"/>
        <v>3117.9000000001447</v>
      </c>
      <c r="Q14" s="7">
        <v>5302.17</v>
      </c>
      <c r="R14" s="44">
        <f t="shared" si="32"/>
        <v>0.36999999999989086</v>
      </c>
      <c r="S14" s="28">
        <f t="shared" si="33"/>
        <v>702.99999999979252</v>
      </c>
      <c r="T14" s="8">
        <f t="shared" si="35"/>
        <v>16.588999999999487</v>
      </c>
      <c r="U14" s="30">
        <f t="shared" si="34"/>
        <v>31519.099999999024</v>
      </c>
      <c r="W14" s="157">
        <v>44663</v>
      </c>
      <c r="X14" s="158">
        <v>168607</v>
      </c>
      <c r="Y14" s="163">
        <f t="shared" si="20"/>
        <v>81</v>
      </c>
      <c r="Z14" s="158">
        <v>8890</v>
      </c>
      <c r="AA14" s="163">
        <f t="shared" si="20"/>
        <v>2</v>
      </c>
      <c r="AB14" s="158">
        <f t="shared" si="36"/>
        <v>26.5</v>
      </c>
      <c r="AC14" s="163">
        <f t="shared" si="20"/>
        <v>0</v>
      </c>
      <c r="AD14" s="158">
        <v>382</v>
      </c>
      <c r="AE14" s="163">
        <f t="shared" si="20"/>
        <v>5</v>
      </c>
      <c r="AF14" s="158">
        <v>6835</v>
      </c>
      <c r="AG14" s="163">
        <f t="shared" si="20"/>
        <v>27</v>
      </c>
    </row>
    <row r="15" spans="1:33" ht="16.5" thickBot="1" x14ac:dyDescent="0.25">
      <c r="A15" s="9">
        <v>44664</v>
      </c>
      <c r="B15" s="160">
        <v>23096.260999999999</v>
      </c>
      <c r="C15" s="44">
        <f t="shared" ref="C15" si="37">IF((B15-B14)&lt;0,"0",(B15-B14))</f>
        <v>5.8499999999985448</v>
      </c>
      <c r="D15" s="28">
        <f t="shared" ref="D15" si="38">C15*1.9*1000</f>
        <v>11114.999999997235</v>
      </c>
      <c r="E15" s="1">
        <v>4155.5559999999996</v>
      </c>
      <c r="F15" s="44">
        <f t="shared" ref="F15" si="39">IF((E15-E14)&lt;0,"0",(E15-E14))</f>
        <v>1.2409999999999854</v>
      </c>
      <c r="G15" s="28">
        <f t="shared" ref="G15" si="40">F15*1.9*1000</f>
        <v>2357.8999999999724</v>
      </c>
      <c r="H15" s="1">
        <v>5026</v>
      </c>
      <c r="I15" s="44">
        <f t="shared" ref="I15" si="41">IF((H15-H14)&lt;0,"0",(H15-H14))</f>
        <v>4</v>
      </c>
      <c r="J15" s="28">
        <f t="shared" ref="J15" si="42">I15*1.9*1000</f>
        <v>7600</v>
      </c>
      <c r="K15" s="7">
        <v>13902.83</v>
      </c>
      <c r="L15" s="44">
        <f t="shared" ref="L15" si="43">IF((K15-K14)&lt;0,"0",(K15-K14))</f>
        <v>1.1499999999996362</v>
      </c>
      <c r="M15" s="28">
        <f t="shared" ref="M15" si="44">L15*1.9*1000</f>
        <v>2184.9999999993088</v>
      </c>
      <c r="N15" s="7">
        <v>3486.712</v>
      </c>
      <c r="O15" s="44">
        <f>IF((N15-N14)&lt;0,"0",(N15-N14))</f>
        <v>1.51299999999992</v>
      </c>
      <c r="P15" s="28">
        <f t="shared" ref="P15" si="45">O15*1.9*1000</f>
        <v>2874.6999999998479</v>
      </c>
      <c r="Q15" s="7">
        <v>5302.65</v>
      </c>
      <c r="R15" s="44">
        <f t="shared" ref="R15" si="46">IF((Q15-Q14)&lt;0,"0",(Q15-Q14))</f>
        <v>0.47999999999956344</v>
      </c>
      <c r="S15" s="28">
        <f t="shared" ref="S15" si="47">R15*1.9*1000</f>
        <v>911.99999999917043</v>
      </c>
      <c r="T15" s="8">
        <f t="shared" ref="T15" si="48">C15+F15+I15+L15+O15+R15</f>
        <v>14.23399999999765</v>
      </c>
      <c r="U15" s="30">
        <f t="shared" ref="U15" si="49">T15*1.9*1000</f>
        <v>27044.599999995535</v>
      </c>
      <c r="W15" s="157">
        <v>44664</v>
      </c>
      <c r="X15" s="158">
        <v>168721</v>
      </c>
      <c r="Y15" s="163">
        <f t="shared" si="20"/>
        <v>114</v>
      </c>
      <c r="Z15" s="158">
        <v>8909</v>
      </c>
      <c r="AA15" s="163">
        <f t="shared" si="20"/>
        <v>19</v>
      </c>
      <c r="AB15" s="158">
        <f t="shared" si="36"/>
        <v>26.5</v>
      </c>
      <c r="AC15" s="163">
        <f t="shared" si="20"/>
        <v>0</v>
      </c>
      <c r="AD15" s="158">
        <v>384</v>
      </c>
      <c r="AE15" s="163">
        <f t="shared" si="20"/>
        <v>2</v>
      </c>
      <c r="AF15" s="158">
        <v>6855</v>
      </c>
      <c r="AG15" s="163">
        <f t="shared" si="20"/>
        <v>20</v>
      </c>
    </row>
    <row r="16" spans="1:33" ht="16.5" thickBot="1" x14ac:dyDescent="0.25">
      <c r="A16" s="9">
        <v>44665</v>
      </c>
      <c r="B16" s="160">
        <v>23102.374</v>
      </c>
      <c r="C16" s="44">
        <f t="shared" si="21"/>
        <v>6.1130000000011933</v>
      </c>
      <c r="D16" s="28">
        <f t="shared" si="22"/>
        <v>11614.700000002265</v>
      </c>
      <c r="E16" s="1">
        <v>4156.8869999999997</v>
      </c>
      <c r="F16" s="44">
        <f t="shared" si="23"/>
        <v>1.331000000000131</v>
      </c>
      <c r="G16" s="28">
        <f t="shared" si="24"/>
        <v>2528.9000000002488</v>
      </c>
      <c r="H16" s="1">
        <v>5030</v>
      </c>
      <c r="I16" s="44">
        <f t="shared" si="25"/>
        <v>4</v>
      </c>
      <c r="J16" s="28">
        <f t="shared" si="26"/>
        <v>7600</v>
      </c>
      <c r="K16" s="7">
        <v>13904.55</v>
      </c>
      <c r="L16" s="44">
        <f t="shared" si="27"/>
        <v>1.7199999999993452</v>
      </c>
      <c r="M16" s="28">
        <f t="shared" si="28"/>
        <v>3267.9999999987554</v>
      </c>
      <c r="N16" s="7">
        <v>3488.1790000000001</v>
      </c>
      <c r="O16" s="44">
        <f t="shared" si="29"/>
        <v>1.4670000000000982</v>
      </c>
      <c r="P16" s="28">
        <f t="shared" si="30"/>
        <v>2787.3000000001866</v>
      </c>
      <c r="Q16" s="7">
        <v>5302.74</v>
      </c>
      <c r="R16" s="44">
        <f t="shared" si="32"/>
        <v>9.0000000000145519E-2</v>
      </c>
      <c r="S16" s="28">
        <f t="shared" si="33"/>
        <v>171.00000000027649</v>
      </c>
      <c r="T16" s="8">
        <f t="shared" si="35"/>
        <v>14.721000000000913</v>
      </c>
      <c r="U16" s="30">
        <f t="shared" si="34"/>
        <v>27969.900000001733</v>
      </c>
      <c r="W16" s="157">
        <v>44665</v>
      </c>
      <c r="X16" s="158">
        <v>168815</v>
      </c>
      <c r="Y16" s="163">
        <f t="shared" si="20"/>
        <v>94</v>
      </c>
      <c r="Z16" s="158">
        <v>8919</v>
      </c>
      <c r="AA16" s="163">
        <f t="shared" si="20"/>
        <v>10</v>
      </c>
      <c r="AB16" s="158">
        <f t="shared" si="36"/>
        <v>26.5</v>
      </c>
      <c r="AC16" s="163">
        <f t="shared" si="20"/>
        <v>0</v>
      </c>
      <c r="AD16" s="158">
        <v>388</v>
      </c>
      <c r="AE16" s="163">
        <f t="shared" si="20"/>
        <v>4</v>
      </c>
      <c r="AF16" s="158">
        <v>6881</v>
      </c>
      <c r="AG16" s="163">
        <f t="shared" si="20"/>
        <v>26</v>
      </c>
    </row>
    <row r="17" spans="1:33" ht="16.5" thickBot="1" x14ac:dyDescent="0.25">
      <c r="A17" s="9">
        <v>44666</v>
      </c>
      <c r="B17" s="160">
        <v>23108.035</v>
      </c>
      <c r="C17" s="44">
        <f t="shared" si="21"/>
        <v>5.6610000000000582</v>
      </c>
      <c r="D17" s="28">
        <f t="shared" si="22"/>
        <v>10755.900000000111</v>
      </c>
      <c r="E17" s="1">
        <v>4157.8519999999999</v>
      </c>
      <c r="F17" s="44">
        <f t="shared" si="23"/>
        <v>0.96500000000014552</v>
      </c>
      <c r="G17" s="28">
        <f t="shared" si="24"/>
        <v>1833.5000000002763</v>
      </c>
      <c r="H17" s="1">
        <v>5034</v>
      </c>
      <c r="I17" s="44">
        <f t="shared" si="25"/>
        <v>4</v>
      </c>
      <c r="J17" s="28">
        <f t="shared" si="26"/>
        <v>7600</v>
      </c>
      <c r="K17" s="7">
        <v>13905.8</v>
      </c>
      <c r="L17" s="44">
        <f t="shared" si="27"/>
        <v>1.25</v>
      </c>
      <c r="M17" s="28">
        <f t="shared" si="28"/>
        <v>2375</v>
      </c>
      <c r="N17" s="7">
        <v>3489.6239999999998</v>
      </c>
      <c r="O17" s="44">
        <f t="shared" si="29"/>
        <v>1.444999999999709</v>
      </c>
      <c r="P17" s="28">
        <f t="shared" si="30"/>
        <v>2745.499999999447</v>
      </c>
      <c r="Q17" s="7">
        <v>5303.06</v>
      </c>
      <c r="R17" s="44">
        <f t="shared" si="32"/>
        <v>0.32000000000061846</v>
      </c>
      <c r="S17" s="28">
        <f t="shared" si="33"/>
        <v>608.00000000117507</v>
      </c>
      <c r="T17" s="8">
        <f t="shared" si="35"/>
        <v>13.641000000000531</v>
      </c>
      <c r="U17" s="30">
        <f t="shared" si="34"/>
        <v>25917.900000001009</v>
      </c>
      <c r="W17" s="157">
        <v>44666</v>
      </c>
      <c r="X17" s="158">
        <v>168903</v>
      </c>
      <c r="Y17" s="163">
        <f t="shared" si="20"/>
        <v>88</v>
      </c>
      <c r="Z17" s="158">
        <v>8929</v>
      </c>
      <c r="AA17" s="163">
        <f t="shared" si="20"/>
        <v>10</v>
      </c>
      <c r="AB17" s="158">
        <v>26.5</v>
      </c>
      <c r="AC17" s="163">
        <f t="shared" si="20"/>
        <v>0</v>
      </c>
      <c r="AD17" s="158">
        <f t="shared" ref="AD17:AD32" si="50">AD16</f>
        <v>388</v>
      </c>
      <c r="AE17" s="163">
        <f t="shared" si="20"/>
        <v>0</v>
      </c>
      <c r="AF17" s="158">
        <v>6903</v>
      </c>
      <c r="AG17" s="163">
        <f t="shared" si="20"/>
        <v>22</v>
      </c>
    </row>
    <row r="18" spans="1:33" ht="16.5" thickBot="1" x14ac:dyDescent="0.25">
      <c r="A18" s="9">
        <v>44667</v>
      </c>
      <c r="B18" s="160">
        <v>23116.413</v>
      </c>
      <c r="C18" s="44">
        <f t="shared" si="21"/>
        <v>8.3780000000006112</v>
      </c>
      <c r="D18" s="28">
        <f t="shared" si="22"/>
        <v>15918.200000001161</v>
      </c>
      <c r="E18" s="1">
        <v>4158.8680000000004</v>
      </c>
      <c r="F18" s="44">
        <f t="shared" si="23"/>
        <v>1.0160000000005311</v>
      </c>
      <c r="G18" s="28">
        <f t="shared" si="24"/>
        <v>1930.4000000010092</v>
      </c>
      <c r="H18" s="1">
        <v>5039</v>
      </c>
      <c r="I18" s="44">
        <f t="shared" si="25"/>
        <v>5</v>
      </c>
      <c r="J18" s="28">
        <f t="shared" si="26"/>
        <v>9500</v>
      </c>
      <c r="K18" s="7">
        <v>13907.74</v>
      </c>
      <c r="L18" s="44">
        <f t="shared" si="27"/>
        <v>1.9400000000005093</v>
      </c>
      <c r="M18" s="28">
        <f t="shared" si="28"/>
        <v>3686.0000000009677</v>
      </c>
      <c r="N18" s="7">
        <v>3491.587</v>
      </c>
      <c r="O18" s="44">
        <f t="shared" si="29"/>
        <v>1.9630000000001928</v>
      </c>
      <c r="P18" s="28">
        <f t="shared" si="30"/>
        <v>3729.7000000003663</v>
      </c>
      <c r="Q18" s="7">
        <v>5303.06</v>
      </c>
      <c r="R18" s="44">
        <f t="shared" si="32"/>
        <v>0</v>
      </c>
      <c r="S18" s="28">
        <f t="shared" si="33"/>
        <v>0</v>
      </c>
      <c r="T18" s="8">
        <f t="shared" si="35"/>
        <v>18.297000000001844</v>
      </c>
      <c r="U18" s="30">
        <f t="shared" si="34"/>
        <v>34764.300000003503</v>
      </c>
      <c r="W18" s="157">
        <v>44667</v>
      </c>
      <c r="X18" s="158">
        <v>169050</v>
      </c>
      <c r="Y18" s="163">
        <f t="shared" si="20"/>
        <v>147</v>
      </c>
      <c r="Z18" s="158">
        <v>8936</v>
      </c>
      <c r="AA18" s="163">
        <f t="shared" si="20"/>
        <v>7</v>
      </c>
      <c r="AB18" s="158">
        <f t="shared" si="36"/>
        <v>26.5</v>
      </c>
      <c r="AC18" s="163">
        <f t="shared" si="20"/>
        <v>0</v>
      </c>
      <c r="AD18" s="158">
        <v>390</v>
      </c>
      <c r="AE18" s="163">
        <f t="shared" si="20"/>
        <v>2</v>
      </c>
      <c r="AF18" s="158">
        <v>6914</v>
      </c>
      <c r="AG18" s="163">
        <f t="shared" si="20"/>
        <v>11</v>
      </c>
    </row>
    <row r="19" spans="1:33" ht="16.5" thickBot="1" x14ac:dyDescent="0.25">
      <c r="A19" s="9">
        <v>44668</v>
      </c>
      <c r="B19" s="160">
        <v>23124.552</v>
      </c>
      <c r="C19" s="44">
        <f t="shared" si="21"/>
        <v>8.1389999999992142</v>
      </c>
      <c r="D19" s="28">
        <f t="shared" si="22"/>
        <v>15464.099999998507</v>
      </c>
      <c r="E19" s="1">
        <v>4160.527</v>
      </c>
      <c r="F19" s="44">
        <f t="shared" si="23"/>
        <v>1.6589999999996508</v>
      </c>
      <c r="G19" s="28">
        <f t="shared" si="24"/>
        <v>3152.0999999993364</v>
      </c>
      <c r="H19" s="1">
        <v>5044</v>
      </c>
      <c r="I19" s="44">
        <f t="shared" si="25"/>
        <v>5</v>
      </c>
      <c r="J19" s="28">
        <f t="shared" si="26"/>
        <v>9500</v>
      </c>
      <c r="K19" s="7">
        <v>13909.37</v>
      </c>
      <c r="L19" s="44">
        <f t="shared" si="27"/>
        <v>1.6300000000010186</v>
      </c>
      <c r="M19" s="28">
        <f t="shared" si="28"/>
        <v>3097.0000000019354</v>
      </c>
      <c r="N19" s="7">
        <v>3492.9650000000001</v>
      </c>
      <c r="O19" s="44">
        <f t="shared" si="29"/>
        <v>1.3780000000001564</v>
      </c>
      <c r="P19" s="28">
        <f t="shared" si="30"/>
        <v>2618.2000000002968</v>
      </c>
      <c r="Q19" s="7">
        <v>5303.9</v>
      </c>
      <c r="R19" s="44">
        <f t="shared" si="32"/>
        <v>0.83999999999923602</v>
      </c>
      <c r="S19" s="28">
        <f t="shared" si="33"/>
        <v>1595.9999999985484</v>
      </c>
      <c r="T19" s="8">
        <f t="shared" si="35"/>
        <v>18.645999999999276</v>
      </c>
      <c r="U19" s="30">
        <f t="shared" si="34"/>
        <v>35427.399999998619</v>
      </c>
      <c r="W19" s="157">
        <v>44668</v>
      </c>
      <c r="X19" s="158">
        <v>169227</v>
      </c>
      <c r="Y19" s="163">
        <f t="shared" si="20"/>
        <v>177</v>
      </c>
      <c r="Z19" s="158">
        <v>8947</v>
      </c>
      <c r="AA19" s="163">
        <f t="shared" si="20"/>
        <v>11</v>
      </c>
      <c r="AB19" s="158">
        <f t="shared" si="36"/>
        <v>26.5</v>
      </c>
      <c r="AC19" s="163">
        <f t="shared" si="20"/>
        <v>0</v>
      </c>
      <c r="AD19" s="158">
        <v>392</v>
      </c>
      <c r="AE19" s="163">
        <f t="shared" si="20"/>
        <v>2</v>
      </c>
      <c r="AF19" s="158">
        <v>6927</v>
      </c>
      <c r="AG19" s="163">
        <f t="shared" si="20"/>
        <v>13</v>
      </c>
    </row>
    <row r="20" spans="1:33" ht="16.5" thickBot="1" x14ac:dyDescent="0.25">
      <c r="A20" s="9">
        <v>44669</v>
      </c>
      <c r="B20" s="160">
        <v>23130.927</v>
      </c>
      <c r="C20" s="44">
        <f t="shared" si="21"/>
        <v>6.375</v>
      </c>
      <c r="D20" s="28">
        <f t="shared" si="22"/>
        <v>12112.499999999998</v>
      </c>
      <c r="E20" s="1">
        <v>4161.8029999999999</v>
      </c>
      <c r="F20" s="44">
        <f t="shared" si="23"/>
        <v>1.2759999999998399</v>
      </c>
      <c r="G20" s="28">
        <f t="shared" si="24"/>
        <v>2424.3999999996959</v>
      </c>
      <c r="H20" s="1">
        <v>5047</v>
      </c>
      <c r="I20" s="44">
        <f t="shared" si="25"/>
        <v>3</v>
      </c>
      <c r="J20" s="28">
        <f t="shared" si="26"/>
        <v>5699.9999999999991</v>
      </c>
      <c r="K20" s="7">
        <v>13910.32</v>
      </c>
      <c r="L20" s="44">
        <f t="shared" si="27"/>
        <v>0.94999999999890861</v>
      </c>
      <c r="M20" s="28">
        <f t="shared" si="28"/>
        <v>1804.9999999979264</v>
      </c>
      <c r="N20" s="7">
        <v>3493.902</v>
      </c>
      <c r="O20" s="44">
        <f t="shared" si="29"/>
        <v>0.93699999999989814</v>
      </c>
      <c r="P20" s="28">
        <f t="shared" si="30"/>
        <v>1780.2999999998065</v>
      </c>
      <c r="Q20" s="7">
        <v>5304.21</v>
      </c>
      <c r="R20" s="44">
        <f t="shared" si="32"/>
        <v>0.31000000000040018</v>
      </c>
      <c r="S20" s="28">
        <f t="shared" si="33"/>
        <v>589.00000000076034</v>
      </c>
      <c r="T20" s="8">
        <f t="shared" si="35"/>
        <v>12.847999999999047</v>
      </c>
      <c r="U20" s="30">
        <f t="shared" si="34"/>
        <v>24411.199999998189</v>
      </c>
      <c r="W20" s="157">
        <v>44669</v>
      </c>
      <c r="X20" s="158">
        <v>169346</v>
      </c>
      <c r="Y20" s="163">
        <f t="shared" si="20"/>
        <v>119</v>
      </c>
      <c r="Z20" s="158">
        <v>8953</v>
      </c>
      <c r="AA20" s="163">
        <f t="shared" si="20"/>
        <v>6</v>
      </c>
      <c r="AB20" s="158">
        <v>26.7</v>
      </c>
      <c r="AC20" s="163">
        <f t="shared" si="20"/>
        <v>0.19999999999999929</v>
      </c>
      <c r="AD20" s="158">
        <v>395</v>
      </c>
      <c r="AE20" s="163">
        <f t="shared" si="20"/>
        <v>3</v>
      </c>
      <c r="AF20" s="158">
        <v>6937</v>
      </c>
      <c r="AG20" s="163">
        <f t="shared" si="20"/>
        <v>10</v>
      </c>
    </row>
    <row r="21" spans="1:33" ht="16.5" thickBot="1" x14ac:dyDescent="0.25">
      <c r="A21" s="9">
        <v>44670</v>
      </c>
      <c r="B21" s="160">
        <f t="shared" ref="B21:B32" si="51">B20</f>
        <v>23130.927</v>
      </c>
      <c r="C21" s="44">
        <f t="shared" si="21"/>
        <v>0</v>
      </c>
      <c r="D21" s="28">
        <f t="shared" si="22"/>
        <v>0</v>
      </c>
      <c r="E21" s="1">
        <f t="shared" ref="E21:E32" si="52">E20</f>
        <v>4161.8029999999999</v>
      </c>
      <c r="F21" s="44">
        <f t="shared" si="23"/>
        <v>0</v>
      </c>
      <c r="G21" s="28">
        <f t="shared" si="24"/>
        <v>0</v>
      </c>
      <c r="H21" s="1">
        <f t="shared" ref="H21:H32" si="53">H20</f>
        <v>5047</v>
      </c>
      <c r="I21" s="44">
        <f t="shared" si="25"/>
        <v>0</v>
      </c>
      <c r="J21" s="28">
        <f t="shared" si="26"/>
        <v>0</v>
      </c>
      <c r="K21" s="7">
        <v>13889.7</v>
      </c>
      <c r="L21" s="44" t="str">
        <f t="shared" si="27"/>
        <v>0</v>
      </c>
      <c r="M21" s="28">
        <f t="shared" si="28"/>
        <v>0</v>
      </c>
      <c r="N21" s="7">
        <f t="shared" ref="N21:N32" si="54">N20</f>
        <v>3493.902</v>
      </c>
      <c r="O21" s="44">
        <f t="shared" si="29"/>
        <v>0</v>
      </c>
      <c r="P21" s="28">
        <f t="shared" si="30"/>
        <v>0</v>
      </c>
      <c r="Q21" s="7">
        <f t="shared" si="31"/>
        <v>5304.21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ref="X21:X32" si="55">X20</f>
        <v>169346</v>
      </c>
      <c r="Y21" s="163">
        <f t="shared" si="20"/>
        <v>0</v>
      </c>
      <c r="Z21" s="158">
        <f t="shared" ref="Z21:Z32" si="56">Z20</f>
        <v>8953</v>
      </c>
      <c r="AA21" s="163">
        <f t="shared" si="20"/>
        <v>0</v>
      </c>
      <c r="AB21" s="158">
        <f t="shared" si="36"/>
        <v>26.7</v>
      </c>
      <c r="AC21" s="163">
        <f t="shared" si="20"/>
        <v>0</v>
      </c>
      <c r="AD21" s="158">
        <f t="shared" si="50"/>
        <v>395</v>
      </c>
      <c r="AE21" s="163">
        <f t="shared" si="20"/>
        <v>0</v>
      </c>
      <c r="AF21" s="158">
        <f t="shared" ref="AF21:AF32" si="57">AF20</f>
        <v>6937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51"/>
        <v>23130.927</v>
      </c>
      <c r="C22" s="44">
        <f t="shared" si="21"/>
        <v>0</v>
      </c>
      <c r="D22" s="28">
        <f t="shared" si="22"/>
        <v>0</v>
      </c>
      <c r="E22" s="1">
        <f t="shared" si="52"/>
        <v>4161.8029999999999</v>
      </c>
      <c r="F22" s="44">
        <f t="shared" si="23"/>
        <v>0</v>
      </c>
      <c r="G22" s="28">
        <f t="shared" si="24"/>
        <v>0</v>
      </c>
      <c r="H22" s="1">
        <f t="shared" si="53"/>
        <v>5047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54"/>
        <v>3493.902</v>
      </c>
      <c r="O22" s="44">
        <f t="shared" si="29"/>
        <v>0</v>
      </c>
      <c r="P22" s="28">
        <f t="shared" si="30"/>
        <v>0</v>
      </c>
      <c r="Q22" s="7">
        <f t="shared" si="31"/>
        <v>5304.21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55"/>
        <v>169346</v>
      </c>
      <c r="Y22" s="163">
        <f t="shared" si="20"/>
        <v>0</v>
      </c>
      <c r="Z22" s="158">
        <f t="shared" si="56"/>
        <v>8953</v>
      </c>
      <c r="AA22" s="163">
        <f t="shared" si="20"/>
        <v>0</v>
      </c>
      <c r="AB22" s="158">
        <f t="shared" si="36"/>
        <v>26.7</v>
      </c>
      <c r="AC22" s="163">
        <f t="shared" si="20"/>
        <v>0</v>
      </c>
      <c r="AD22" s="158">
        <f t="shared" si="50"/>
        <v>395</v>
      </c>
      <c r="AE22" s="163">
        <f t="shared" si="20"/>
        <v>0</v>
      </c>
      <c r="AF22" s="158">
        <f t="shared" si="57"/>
        <v>6937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51"/>
        <v>23130.927</v>
      </c>
      <c r="C23" s="44">
        <f t="shared" si="21"/>
        <v>0</v>
      </c>
      <c r="D23" s="28">
        <f t="shared" si="22"/>
        <v>0</v>
      </c>
      <c r="E23" s="1">
        <f t="shared" si="52"/>
        <v>4161.8029999999999</v>
      </c>
      <c r="F23" s="44">
        <f t="shared" si="23"/>
        <v>0</v>
      </c>
      <c r="G23" s="28">
        <f t="shared" si="24"/>
        <v>0</v>
      </c>
      <c r="H23" s="1">
        <f t="shared" si="53"/>
        <v>5047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54"/>
        <v>3493.902</v>
      </c>
      <c r="O23" s="44">
        <f t="shared" si="29"/>
        <v>0</v>
      </c>
      <c r="P23" s="28">
        <f t="shared" si="30"/>
        <v>0</v>
      </c>
      <c r="Q23" s="7">
        <f t="shared" si="31"/>
        <v>5304.21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55"/>
        <v>169346</v>
      </c>
      <c r="Y23" s="163">
        <f t="shared" si="20"/>
        <v>0</v>
      </c>
      <c r="Z23" s="158">
        <f t="shared" si="56"/>
        <v>8953</v>
      </c>
      <c r="AA23" s="163">
        <f t="shared" si="20"/>
        <v>0</v>
      </c>
      <c r="AB23" s="158">
        <f t="shared" si="36"/>
        <v>26.7</v>
      </c>
      <c r="AC23" s="163">
        <f t="shared" si="20"/>
        <v>0</v>
      </c>
      <c r="AD23" s="158">
        <f t="shared" si="50"/>
        <v>395</v>
      </c>
      <c r="AE23" s="163">
        <f t="shared" si="20"/>
        <v>0</v>
      </c>
      <c r="AF23" s="158">
        <f t="shared" si="57"/>
        <v>6937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51"/>
        <v>23130.927</v>
      </c>
      <c r="C24" s="44">
        <f t="shared" si="21"/>
        <v>0</v>
      </c>
      <c r="D24" s="28">
        <f t="shared" si="22"/>
        <v>0</v>
      </c>
      <c r="E24" s="1">
        <f t="shared" si="52"/>
        <v>4161.8029999999999</v>
      </c>
      <c r="F24" s="44">
        <f t="shared" si="23"/>
        <v>0</v>
      </c>
      <c r="G24" s="28">
        <f t="shared" si="24"/>
        <v>0</v>
      </c>
      <c r="H24" s="1">
        <f t="shared" si="53"/>
        <v>5047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54"/>
        <v>3493.902</v>
      </c>
      <c r="O24" s="44">
        <f t="shared" si="29"/>
        <v>0</v>
      </c>
      <c r="P24" s="28">
        <f t="shared" si="30"/>
        <v>0</v>
      </c>
      <c r="Q24" s="7">
        <f t="shared" si="31"/>
        <v>5304.21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55"/>
        <v>169346</v>
      </c>
      <c r="Y24" s="163">
        <f t="shared" si="20"/>
        <v>0</v>
      </c>
      <c r="Z24" s="158">
        <f t="shared" si="56"/>
        <v>8953</v>
      </c>
      <c r="AA24" s="163">
        <f t="shared" si="20"/>
        <v>0</v>
      </c>
      <c r="AB24" s="158">
        <f t="shared" si="36"/>
        <v>26.7</v>
      </c>
      <c r="AC24" s="163">
        <f t="shared" si="20"/>
        <v>0</v>
      </c>
      <c r="AD24" s="158">
        <f t="shared" si="50"/>
        <v>395</v>
      </c>
      <c r="AE24" s="163">
        <f t="shared" si="20"/>
        <v>0</v>
      </c>
      <c r="AF24" s="158">
        <f t="shared" si="57"/>
        <v>6937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51"/>
        <v>23130.927</v>
      </c>
      <c r="C25" s="44">
        <f t="shared" si="21"/>
        <v>0</v>
      </c>
      <c r="D25" s="28">
        <f t="shared" si="22"/>
        <v>0</v>
      </c>
      <c r="E25" s="1">
        <f t="shared" si="52"/>
        <v>4161.8029999999999</v>
      </c>
      <c r="F25" s="44">
        <f t="shared" si="23"/>
        <v>0</v>
      </c>
      <c r="G25" s="28">
        <f t="shared" si="24"/>
        <v>0</v>
      </c>
      <c r="H25" s="1">
        <f t="shared" si="53"/>
        <v>5047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54"/>
        <v>3493.902</v>
      </c>
      <c r="O25" s="44">
        <f t="shared" si="29"/>
        <v>0</v>
      </c>
      <c r="P25" s="28">
        <f t="shared" si="30"/>
        <v>0</v>
      </c>
      <c r="Q25" s="7">
        <f t="shared" si="31"/>
        <v>5304.21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55"/>
        <v>169346</v>
      </c>
      <c r="Y25" s="163">
        <f t="shared" si="20"/>
        <v>0</v>
      </c>
      <c r="Z25" s="158">
        <f t="shared" si="56"/>
        <v>8953</v>
      </c>
      <c r="AA25" s="163">
        <f t="shared" si="20"/>
        <v>0</v>
      </c>
      <c r="AB25" s="158">
        <f t="shared" si="36"/>
        <v>26.7</v>
      </c>
      <c r="AC25" s="163">
        <f t="shared" si="20"/>
        <v>0</v>
      </c>
      <c r="AD25" s="158">
        <f t="shared" si="50"/>
        <v>395</v>
      </c>
      <c r="AE25" s="163">
        <f t="shared" si="20"/>
        <v>0</v>
      </c>
      <c r="AF25" s="158">
        <f t="shared" si="57"/>
        <v>6937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51"/>
        <v>23130.927</v>
      </c>
      <c r="C26" s="44">
        <f t="shared" si="21"/>
        <v>0</v>
      </c>
      <c r="D26" s="28">
        <f t="shared" si="22"/>
        <v>0</v>
      </c>
      <c r="E26" s="1">
        <f t="shared" si="52"/>
        <v>4161.8029999999999</v>
      </c>
      <c r="F26" s="44">
        <f t="shared" si="23"/>
        <v>0</v>
      </c>
      <c r="G26" s="28">
        <f t="shared" si="24"/>
        <v>0</v>
      </c>
      <c r="H26" s="1">
        <f t="shared" si="53"/>
        <v>5047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54"/>
        <v>3493.902</v>
      </c>
      <c r="O26" s="44">
        <f t="shared" si="29"/>
        <v>0</v>
      </c>
      <c r="P26" s="28">
        <f t="shared" si="30"/>
        <v>0</v>
      </c>
      <c r="Q26" s="7">
        <f t="shared" si="31"/>
        <v>5304.21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55"/>
        <v>169346</v>
      </c>
      <c r="Y26" s="163">
        <f t="shared" si="20"/>
        <v>0</v>
      </c>
      <c r="Z26" s="158">
        <f t="shared" si="56"/>
        <v>8953</v>
      </c>
      <c r="AA26" s="163">
        <f t="shared" si="20"/>
        <v>0</v>
      </c>
      <c r="AB26" s="158">
        <f t="shared" si="36"/>
        <v>26.7</v>
      </c>
      <c r="AC26" s="163">
        <f t="shared" si="20"/>
        <v>0</v>
      </c>
      <c r="AD26" s="158">
        <f t="shared" si="50"/>
        <v>395</v>
      </c>
      <c r="AE26" s="163">
        <f t="shared" si="20"/>
        <v>0</v>
      </c>
      <c r="AF26" s="158">
        <f t="shared" si="57"/>
        <v>6937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51"/>
        <v>23130.927</v>
      </c>
      <c r="C27" s="44">
        <f t="shared" si="21"/>
        <v>0</v>
      </c>
      <c r="D27" s="28">
        <f t="shared" si="22"/>
        <v>0</v>
      </c>
      <c r="E27" s="1">
        <f t="shared" si="52"/>
        <v>4161.8029999999999</v>
      </c>
      <c r="F27" s="44">
        <f t="shared" si="23"/>
        <v>0</v>
      </c>
      <c r="G27" s="28">
        <f t="shared" si="24"/>
        <v>0</v>
      </c>
      <c r="H27" s="1">
        <f t="shared" si="53"/>
        <v>5047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54"/>
        <v>3493.902</v>
      </c>
      <c r="O27" s="44">
        <f t="shared" si="29"/>
        <v>0</v>
      </c>
      <c r="P27" s="28">
        <f t="shared" si="30"/>
        <v>0</v>
      </c>
      <c r="Q27" s="7">
        <f t="shared" si="31"/>
        <v>5304.21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55"/>
        <v>169346</v>
      </c>
      <c r="Y27" s="163">
        <f t="shared" si="20"/>
        <v>0</v>
      </c>
      <c r="Z27" s="158">
        <f t="shared" si="56"/>
        <v>8953</v>
      </c>
      <c r="AA27" s="163">
        <f t="shared" si="20"/>
        <v>0</v>
      </c>
      <c r="AB27" s="158">
        <f t="shared" si="36"/>
        <v>26.7</v>
      </c>
      <c r="AC27" s="163">
        <f t="shared" si="20"/>
        <v>0</v>
      </c>
      <c r="AD27" s="158">
        <f t="shared" si="50"/>
        <v>395</v>
      </c>
      <c r="AE27" s="163">
        <f t="shared" si="20"/>
        <v>0</v>
      </c>
      <c r="AF27" s="158">
        <f t="shared" si="57"/>
        <v>6937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51"/>
        <v>23130.927</v>
      </c>
      <c r="C28" s="44">
        <f t="shared" si="21"/>
        <v>0</v>
      </c>
      <c r="D28" s="28">
        <f t="shared" si="22"/>
        <v>0</v>
      </c>
      <c r="E28" s="1">
        <f t="shared" si="52"/>
        <v>4161.8029999999999</v>
      </c>
      <c r="F28" s="44">
        <f t="shared" si="23"/>
        <v>0</v>
      </c>
      <c r="G28" s="28">
        <f t="shared" si="24"/>
        <v>0</v>
      </c>
      <c r="H28" s="1">
        <f t="shared" si="53"/>
        <v>5047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54"/>
        <v>3493.902</v>
      </c>
      <c r="O28" s="44">
        <f t="shared" si="29"/>
        <v>0</v>
      </c>
      <c r="P28" s="28">
        <f t="shared" si="30"/>
        <v>0</v>
      </c>
      <c r="Q28" s="7">
        <f t="shared" si="31"/>
        <v>5304.21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55"/>
        <v>169346</v>
      </c>
      <c r="Y28" s="163">
        <f t="shared" si="20"/>
        <v>0</v>
      </c>
      <c r="Z28" s="158">
        <f t="shared" si="56"/>
        <v>8953</v>
      </c>
      <c r="AA28" s="163">
        <f t="shared" si="20"/>
        <v>0</v>
      </c>
      <c r="AB28" s="158">
        <f t="shared" si="36"/>
        <v>26.7</v>
      </c>
      <c r="AC28" s="163">
        <f t="shared" si="20"/>
        <v>0</v>
      </c>
      <c r="AD28" s="158">
        <f t="shared" si="50"/>
        <v>395</v>
      </c>
      <c r="AE28" s="163">
        <f t="shared" si="20"/>
        <v>0</v>
      </c>
      <c r="AF28" s="158">
        <f t="shared" si="57"/>
        <v>6937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51"/>
        <v>23130.927</v>
      </c>
      <c r="C29" s="44">
        <f t="shared" si="21"/>
        <v>0</v>
      </c>
      <c r="D29" s="28">
        <f t="shared" si="22"/>
        <v>0</v>
      </c>
      <c r="E29" s="1">
        <f t="shared" si="52"/>
        <v>4161.8029999999999</v>
      </c>
      <c r="F29" s="44">
        <f t="shared" si="23"/>
        <v>0</v>
      </c>
      <c r="G29" s="28">
        <f t="shared" si="24"/>
        <v>0</v>
      </c>
      <c r="H29" s="1">
        <f t="shared" si="53"/>
        <v>5047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54"/>
        <v>3493.902</v>
      </c>
      <c r="O29" s="44">
        <f t="shared" si="29"/>
        <v>0</v>
      </c>
      <c r="P29" s="28">
        <f t="shared" si="30"/>
        <v>0</v>
      </c>
      <c r="Q29" s="7">
        <f t="shared" si="31"/>
        <v>5304.21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55"/>
        <v>169346</v>
      </c>
      <c r="Y29" s="163">
        <f t="shared" si="20"/>
        <v>0</v>
      </c>
      <c r="Z29" s="158">
        <f t="shared" si="56"/>
        <v>8953</v>
      </c>
      <c r="AA29" s="163">
        <f t="shared" si="20"/>
        <v>0</v>
      </c>
      <c r="AB29" s="158">
        <f t="shared" si="36"/>
        <v>26.7</v>
      </c>
      <c r="AC29" s="163">
        <f t="shared" si="20"/>
        <v>0</v>
      </c>
      <c r="AD29" s="158">
        <f t="shared" si="50"/>
        <v>395</v>
      </c>
      <c r="AE29" s="163">
        <f t="shared" si="20"/>
        <v>0</v>
      </c>
      <c r="AF29" s="158">
        <f t="shared" si="57"/>
        <v>6937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51"/>
        <v>23130.927</v>
      </c>
      <c r="C30" s="44">
        <f t="shared" si="21"/>
        <v>0</v>
      </c>
      <c r="D30" s="28">
        <f t="shared" si="22"/>
        <v>0</v>
      </c>
      <c r="E30" s="1">
        <f t="shared" si="52"/>
        <v>4161.8029999999999</v>
      </c>
      <c r="F30" s="44">
        <f t="shared" si="23"/>
        <v>0</v>
      </c>
      <c r="G30" s="28">
        <f t="shared" si="24"/>
        <v>0</v>
      </c>
      <c r="H30" s="1">
        <f t="shared" si="53"/>
        <v>5047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54"/>
        <v>3493.902</v>
      </c>
      <c r="O30" s="44">
        <f t="shared" si="29"/>
        <v>0</v>
      </c>
      <c r="P30" s="28">
        <f t="shared" si="30"/>
        <v>0</v>
      </c>
      <c r="Q30" s="7">
        <f t="shared" si="31"/>
        <v>5304.21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55"/>
        <v>169346</v>
      </c>
      <c r="Y30" s="163">
        <f t="shared" si="20"/>
        <v>0</v>
      </c>
      <c r="Z30" s="158">
        <f t="shared" si="56"/>
        <v>8953</v>
      </c>
      <c r="AA30" s="163">
        <f t="shared" si="20"/>
        <v>0</v>
      </c>
      <c r="AB30" s="158">
        <f t="shared" si="36"/>
        <v>26.7</v>
      </c>
      <c r="AC30" s="163">
        <f t="shared" si="20"/>
        <v>0</v>
      </c>
      <c r="AD30" s="158">
        <f t="shared" si="50"/>
        <v>395</v>
      </c>
      <c r="AE30" s="163">
        <f t="shared" si="20"/>
        <v>0</v>
      </c>
      <c r="AF30" s="158">
        <f t="shared" si="57"/>
        <v>6937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51"/>
        <v>23130.927</v>
      </c>
      <c r="C31" s="44">
        <f t="shared" si="21"/>
        <v>0</v>
      </c>
      <c r="D31" s="28">
        <f t="shared" si="22"/>
        <v>0</v>
      </c>
      <c r="E31" s="1">
        <f t="shared" si="52"/>
        <v>4161.8029999999999</v>
      </c>
      <c r="F31" s="44">
        <f t="shared" si="23"/>
        <v>0</v>
      </c>
      <c r="G31" s="28">
        <f t="shared" si="24"/>
        <v>0</v>
      </c>
      <c r="H31" s="1">
        <f t="shared" si="53"/>
        <v>5047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54"/>
        <v>3493.902</v>
      </c>
      <c r="O31" s="44">
        <f t="shared" si="29"/>
        <v>0</v>
      </c>
      <c r="P31" s="28">
        <f t="shared" si="30"/>
        <v>0</v>
      </c>
      <c r="Q31" s="7">
        <f t="shared" si="31"/>
        <v>5304.21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55"/>
        <v>169346</v>
      </c>
      <c r="Y31" s="163">
        <f t="shared" si="20"/>
        <v>0</v>
      </c>
      <c r="Z31" s="158">
        <f t="shared" si="56"/>
        <v>8953</v>
      </c>
      <c r="AA31" s="163">
        <f t="shared" si="20"/>
        <v>0</v>
      </c>
      <c r="AB31" s="158">
        <f t="shared" si="36"/>
        <v>26.7</v>
      </c>
      <c r="AC31" s="163">
        <f t="shared" si="20"/>
        <v>0</v>
      </c>
      <c r="AD31" s="158">
        <f t="shared" si="50"/>
        <v>395</v>
      </c>
      <c r="AE31" s="163">
        <f t="shared" si="20"/>
        <v>0</v>
      </c>
      <c r="AF31" s="158">
        <f t="shared" si="57"/>
        <v>6937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51"/>
        <v>23130.927</v>
      </c>
      <c r="C32" s="44">
        <f t="shared" si="21"/>
        <v>0</v>
      </c>
      <c r="D32" s="28">
        <f t="shared" si="22"/>
        <v>0</v>
      </c>
      <c r="E32" s="1">
        <f t="shared" si="52"/>
        <v>4161.8029999999999</v>
      </c>
      <c r="F32" s="44">
        <f t="shared" si="23"/>
        <v>0</v>
      </c>
      <c r="G32" s="28">
        <f t="shared" si="24"/>
        <v>0</v>
      </c>
      <c r="H32" s="1">
        <f t="shared" si="53"/>
        <v>5047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54"/>
        <v>3493.902</v>
      </c>
      <c r="O32" s="44">
        <f t="shared" si="29"/>
        <v>0</v>
      </c>
      <c r="P32" s="28">
        <f t="shared" si="30"/>
        <v>0</v>
      </c>
      <c r="Q32" s="7">
        <f t="shared" si="31"/>
        <v>5304.21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55"/>
        <v>169346</v>
      </c>
      <c r="Y32" s="163">
        <f t="shared" ref="Y32" si="58">IF((X32-X31)&lt;0,"0",(X32-X31))</f>
        <v>0</v>
      </c>
      <c r="Z32" s="158">
        <f t="shared" si="56"/>
        <v>8953</v>
      </c>
      <c r="AA32" s="163">
        <f t="shared" ref="AA32" si="59">IF((Z32-Z31)&lt;0,"0",(Z32-Z31))</f>
        <v>0</v>
      </c>
      <c r="AB32" s="158">
        <f t="shared" si="36"/>
        <v>26.7</v>
      </c>
      <c r="AC32" s="163">
        <f t="shared" ref="AC32" si="60">IF((AB32-AB31)&lt;0,"0",(AB32-AB31))</f>
        <v>0</v>
      </c>
      <c r="AD32" s="158">
        <f t="shared" si="50"/>
        <v>395</v>
      </c>
      <c r="AE32" s="163">
        <f t="shared" ref="AE32" si="61">IF((AD32-AD31)&lt;0,"0",(AD32-AD31))</f>
        <v>0</v>
      </c>
      <c r="AF32" s="158">
        <f t="shared" si="57"/>
        <v>6937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131.62800000000061</v>
      </c>
      <c r="D33" s="137">
        <f>SUM(D3:D32)</f>
        <v>250093.20000000112</v>
      </c>
      <c r="E33" s="137"/>
      <c r="F33" s="44">
        <f>SUM(F2:F32)</f>
        <v>21.813000000000102</v>
      </c>
      <c r="G33" s="137">
        <f>SUM(G3:G32)</f>
        <v>41444.700000000194</v>
      </c>
      <c r="H33" s="137"/>
      <c r="I33" s="44">
        <f>SUM(I2:I32)</f>
        <v>77</v>
      </c>
      <c r="J33" s="137">
        <f>SUM(J3:J32)</f>
        <v>146300</v>
      </c>
      <c r="K33" s="137"/>
      <c r="L33" s="44">
        <f>SUM(L2:L32)</f>
        <v>20.619999999998981</v>
      </c>
      <c r="M33" s="137">
        <f>SUM(M3:M32)</f>
        <v>39177.999999998065</v>
      </c>
      <c r="N33" s="137"/>
      <c r="O33" s="44">
        <f>SUM(O2:O32)</f>
        <v>25.094000000000051</v>
      </c>
      <c r="P33" s="137">
        <f>SUM(P3:P32)</f>
        <v>47678.600000000093</v>
      </c>
      <c r="Q33" s="137"/>
      <c r="R33" s="44">
        <f>SUM(R3:R32)</f>
        <v>9.1199999999998909</v>
      </c>
      <c r="S33" s="137">
        <f>SUM(S3:S32)</f>
        <v>17327.999999999793</v>
      </c>
      <c r="T33" s="137">
        <f>SUM(T3:T32)</f>
        <v>285.27499999999964</v>
      </c>
      <c r="U33" s="137">
        <f>SUM(U3:U32)</f>
        <v>542022.4999999993</v>
      </c>
      <c r="V33"/>
      <c r="W33" s="137" t="s">
        <v>141</v>
      </c>
      <c r="X33" s="137"/>
      <c r="Y33" s="137">
        <f>SUM(Y2:Y32)</f>
        <v>2460</v>
      </c>
      <c r="Z33" s="137"/>
      <c r="AA33" s="137">
        <f>SUM(AA2:AA32)</f>
        <v>182</v>
      </c>
      <c r="AB33" s="137"/>
      <c r="AC33" s="137">
        <f>SUM(AC2:AC32)</f>
        <v>3.0999999999999979</v>
      </c>
      <c r="AD33" s="137"/>
      <c r="AE33" s="137">
        <f>SUM(AE2:AE32)</f>
        <v>54</v>
      </c>
      <c r="AF33" s="137">
        <v>0</v>
      </c>
      <c r="AG33" s="137">
        <f>SUM(AG2:AG32)</f>
        <v>458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C14" sqref="C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76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76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78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78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77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77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76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76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78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78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77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77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76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76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78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78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77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77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76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76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78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78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77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77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76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76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78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78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77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77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76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76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78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78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77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77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76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76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78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78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77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77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76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76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78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78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77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77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76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76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78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78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77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77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76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76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78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78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77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77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76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76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78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78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77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77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76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76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78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78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77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77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76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76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78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78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77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77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76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76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78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78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77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77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76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76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78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78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76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76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78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78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76">
        <v>23</v>
      </c>
      <c r="D49" s="61" t="s">
        <v>83</v>
      </c>
      <c r="E49" s="62"/>
      <c r="F49" s="76"/>
      <c r="G49" s="63">
        <f t="shared" si="2"/>
        <v>0</v>
      </c>
      <c r="H49" s="64"/>
      <c r="J49" s="176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78"/>
      <c r="D50" s="61" t="s">
        <v>82</v>
      </c>
      <c r="E50" s="62"/>
      <c r="F50" s="76"/>
      <c r="G50" s="63">
        <f t="shared" si="2"/>
        <v>0</v>
      </c>
      <c r="H50" s="64"/>
      <c r="J50" s="178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79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79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80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80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81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81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76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76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77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77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76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76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77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77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76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76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77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77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76">
        <v>28</v>
      </c>
      <c r="D62" s="185" t="s">
        <v>86</v>
      </c>
      <c r="E62" s="62"/>
      <c r="F62" s="62"/>
      <c r="G62" s="63"/>
      <c r="H62" s="187" t="s">
        <v>87</v>
      </c>
      <c r="I62" s="67"/>
      <c r="J62" s="176">
        <v>28</v>
      </c>
      <c r="K62" s="185" t="s">
        <v>86</v>
      </c>
      <c r="L62" s="62"/>
      <c r="M62" s="62"/>
      <c r="N62" s="63"/>
      <c r="O62" s="187" t="s">
        <v>87</v>
      </c>
    </row>
    <row r="63" spans="1:15" ht="15" x14ac:dyDescent="0.2">
      <c r="A63" s="67"/>
      <c r="B63" s="57"/>
      <c r="C63" s="177"/>
      <c r="D63" s="186"/>
      <c r="E63" s="62"/>
      <c r="F63" s="62"/>
      <c r="G63" s="63"/>
      <c r="H63" s="188"/>
      <c r="I63" s="67"/>
      <c r="J63" s="177"/>
      <c r="K63" s="186"/>
      <c r="L63" s="62"/>
      <c r="M63" s="62"/>
      <c r="N63" s="63"/>
      <c r="O63" s="188"/>
    </row>
    <row r="64" spans="1:15" x14ac:dyDescent="0.2">
      <c r="A64" s="67"/>
      <c r="B64" s="57"/>
      <c r="C64" s="189" t="s">
        <v>88</v>
      </c>
      <c r="D64" s="189"/>
      <c r="E64" s="189"/>
      <c r="F64" s="189"/>
      <c r="G64" s="81">
        <f>SUM(G2:G63)</f>
        <v>36473</v>
      </c>
      <c r="H64" s="82"/>
      <c r="I64" s="67"/>
      <c r="J64" s="189" t="s">
        <v>88</v>
      </c>
      <c r="K64" s="189"/>
      <c r="L64" s="189"/>
      <c r="M64" s="189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90">
        <v>44593</v>
      </c>
      <c r="C69" s="191"/>
      <c r="D69" s="191"/>
      <c r="E69" s="192"/>
      <c r="F69" s="85"/>
      <c r="G69" s="190">
        <v>44621</v>
      </c>
      <c r="H69" s="191"/>
      <c r="I69" s="191"/>
      <c r="J69" s="192"/>
      <c r="K69" s="85"/>
      <c r="L69" s="182" t="s">
        <v>25</v>
      </c>
      <c r="M69" s="183"/>
      <c r="N69" s="183"/>
      <c r="O69" s="184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2022-04-18T23:08:23Z</dcterms:modified>
</cp:coreProperties>
</file>