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" sheetId="6" r:id="rId2"/>
    <sheet name="FS Desroches Daily" sheetId="7" r:id="rId3"/>
    <sheet name="LPG" sheetId="10" r:id="rId4"/>
  </sheets>
  <calcPr calcId="152511"/>
</workbook>
</file>

<file path=xl/calcChain.xml><?xml version="1.0" encoding="utf-8"?>
<calcChain xmlns="http://schemas.openxmlformats.org/spreadsheetml/2006/main">
  <c r="CL11" i="7" l="1"/>
  <c r="CJ11" i="7"/>
  <c r="CH11" i="7"/>
  <c r="CF11" i="7"/>
  <c r="CD11" i="7"/>
  <c r="CB11" i="7"/>
  <c r="BZ11" i="7"/>
  <c r="BX11" i="7"/>
  <c r="BV11" i="7"/>
  <c r="BT11" i="7"/>
  <c r="BR11" i="7"/>
  <c r="BP11" i="7"/>
  <c r="BN11" i="7"/>
  <c r="BL11" i="7"/>
  <c r="BJ11" i="7"/>
  <c r="BH11" i="7"/>
  <c r="BF11" i="7"/>
  <c r="BB11" i="7"/>
  <c r="BD11" i="7"/>
  <c r="AZ11" i="7"/>
  <c r="AX11" i="7"/>
  <c r="AT11" i="7"/>
  <c r="AR11" i="7"/>
  <c r="AP11" i="7"/>
  <c r="AN11" i="7"/>
  <c r="AL11" i="7"/>
  <c r="AJ11" i="7"/>
  <c r="AH11" i="7"/>
  <c r="AF11" i="7"/>
  <c r="AD11" i="7"/>
  <c r="AB11" i="7"/>
  <c r="Z11" i="7"/>
  <c r="X11" i="7"/>
  <c r="V10" i="7"/>
  <c r="T10" i="7"/>
  <c r="R11" i="7"/>
  <c r="P11" i="7"/>
  <c r="N11" i="7"/>
  <c r="M5" i="6" l="1"/>
  <c r="M6" i="6"/>
  <c r="T7" i="7"/>
  <c r="U38" i="7"/>
  <c r="T8" i="7"/>
  <c r="T9" i="7"/>
  <c r="T5" i="7"/>
  <c r="T6" i="7"/>
  <c r="T11" i="7"/>
  <c r="R38" i="7"/>
  <c r="E10" i="3"/>
  <c r="E11" i="3"/>
  <c r="E12" i="3"/>
  <c r="N7" i="6"/>
  <c r="N8" i="6"/>
  <c r="N9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V9" i="6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Y9" i="6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C9" i="6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AD9" i="6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AG9" i="6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AH9" i="6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AI9" i="6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AJ9" i="6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AK9" i="6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AL9" i="6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AM9" i="6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AN9" i="6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AO9" i="6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AP9" i="6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AE9" i="6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U9" i="6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S9" i="6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R9" i="6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Q9" i="6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P9" i="6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O9" i="6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J9" i="6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AT9" i="6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AR9" i="6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AQ9" i="6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AV11" i="6"/>
  <c r="AV10" i="6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AF9" i="6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T9" i="6"/>
  <c r="V11" i="7"/>
  <c r="M9" i="6"/>
  <c r="L9" i="6"/>
  <c r="K9" i="6"/>
  <c r="AH10" i="7"/>
  <c r="T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<sst xmlns="http://schemas.openxmlformats.org/spreadsheetml/2006/main" count="296" uniqueCount="138">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</sst>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J9" sqref="J9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 t="str">
        <f>'FS Desroches Daily'!T7</f>
        <v/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541607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 t="str">
        <f>'FS Desroches Daily'!T10</f>
        <v>0</v>
      </c>
      <c r="N8" s="35" t="str">
        <f>'FS Desroches Daily'!V10</f>
        <v>0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 t="str">
        <f>'FS Desroches Daily'!D11</f>
        <v>0</v>
      </c>
      <c r="F9" s="36" t="str">
        <f>'FS Desroches Daily'!F11</f>
        <v>0</v>
      </c>
      <c r="G9" s="35" t="str">
        <f>'FS Desroches Daily'!H11</f>
        <v>0</v>
      </c>
      <c r="H9" s="36" t="str">
        <f>'FS Desroches Daily'!J11</f>
        <v>0</v>
      </c>
      <c r="I9" s="35" t="str">
        <f>'FS Desroches Daily'!L11</f>
        <v>0</v>
      </c>
      <c r="J9" s="36" t="str">
        <f>'FS Desroches Daily'!N11</f>
        <v>0</v>
      </c>
      <c r="K9" s="13" t="str">
        <f>'FS Desroches Daily'!P11</f>
        <v>0</v>
      </c>
      <c r="L9" s="35" t="str">
        <f>'FS Desroches Daily'!R11</f>
        <v>0</v>
      </c>
      <c r="M9" s="35">
        <f>'FS Desroches Daily'!T11</f>
        <v>0</v>
      </c>
      <c r="N9" s="35">
        <f>'FS Desroches Daily'!V11</f>
        <v>0</v>
      </c>
      <c r="O9" s="35" t="str">
        <f>'FS Desroches Daily'!X11</f>
        <v>0</v>
      </c>
      <c r="P9" s="35" t="str">
        <f>'FS Desroches Daily'!Z11</f>
        <v>0</v>
      </c>
      <c r="Q9" s="35" t="str">
        <f>'FS Desroches Daily'!AB11</f>
        <v>0</v>
      </c>
      <c r="R9" s="35" t="str">
        <f>'FS Desroches Daily'!AD11</f>
        <v>0</v>
      </c>
      <c r="S9" s="35" t="str">
        <f>'FS Desroches Daily'!AF11</f>
        <v>0</v>
      </c>
      <c r="T9" s="35" t="str">
        <f>'FS Desroches Daily'!AH11</f>
        <v>0</v>
      </c>
      <c r="U9" s="39" t="str">
        <f>'FS Desroches Daily'!AJ11</f>
        <v>0</v>
      </c>
      <c r="V9" s="39" t="str">
        <f>'FS Desroches Daily'!AL11</f>
        <v>0</v>
      </c>
      <c r="W9" s="39" t="str">
        <f>'FS Desroches Daily'!AN11</f>
        <v>0</v>
      </c>
      <c r="X9" s="39" t="str">
        <f>'FS Desroches Daily'!AP11</f>
        <v>0</v>
      </c>
      <c r="Y9" s="39" t="str">
        <f>'FS Desroches Daily'!AR11</f>
        <v>0</v>
      </c>
      <c r="Z9" s="39" t="str">
        <f>'FS Desroches Daily'!AT11</f>
        <v>0</v>
      </c>
      <c r="AA9" s="39" t="str">
        <f>'FS Desroches Daily'!AT11</f>
        <v>0</v>
      </c>
      <c r="AB9" s="39" t="str">
        <f>'FS Desroches Daily'!AV11</f>
        <v/>
      </c>
      <c r="AC9" s="39" t="str">
        <f>'FS Desroches Daily'!AZ11</f>
        <v>0</v>
      </c>
      <c r="AD9" s="39" t="str">
        <f>'FS Desroches Daily'!BB11</f>
        <v>0</v>
      </c>
      <c r="AE9" s="39" t="str">
        <f>'FS Desroches Daily'!BD11</f>
        <v>0</v>
      </c>
      <c r="AF9" s="35" t="str">
        <f>'FS Desroches Daily'!BF11</f>
        <v>0</v>
      </c>
      <c r="AG9" s="36" t="str">
        <f>'FS Desroches Daily'!BH11</f>
        <v>0</v>
      </c>
      <c r="AH9" s="36" t="str">
        <f>'FS Desroches Daily'!BJ11</f>
        <v>0</v>
      </c>
      <c r="AI9" s="36" t="str">
        <f>'FS Desroches Daily'!BL11</f>
        <v>0</v>
      </c>
      <c r="AJ9" s="36" t="str">
        <f>'FS Desroches Daily'!BN11</f>
        <v>0</v>
      </c>
      <c r="AK9" s="36" t="str">
        <f>'FS Desroches Daily'!BP11</f>
        <v>0</v>
      </c>
      <c r="AL9" s="36" t="str">
        <f>'FS Desroches Daily'!BR11</f>
        <v>0</v>
      </c>
      <c r="AM9" s="36" t="str">
        <f>'FS Desroches Daily'!BT11</f>
        <v>0</v>
      </c>
      <c r="AN9" s="36" t="str">
        <f>'FS Desroches Daily'!BV11</f>
        <v>0</v>
      </c>
      <c r="AO9" s="36" t="str">
        <f>'FS Desroches Daily'!BX11</f>
        <v>0</v>
      </c>
      <c r="AP9" s="36" t="str">
        <f>'FS Desroches Daily'!BZ11</f>
        <v>0</v>
      </c>
      <c r="AQ9" s="35" t="str">
        <f>'FS Desroches Daily'!CB11</f>
        <v>0</v>
      </c>
      <c r="AR9" s="35" t="str">
        <f>'FS Desroches Daily'!CD11</f>
        <v>0</v>
      </c>
      <c r="AS9" s="35" t="str">
        <f>'FS Desroches Daily'!CF11</f>
        <v>0</v>
      </c>
      <c r="AT9" s="35" t="str">
        <f>'FS Desroches Daily'!CH11</f>
        <v>0</v>
      </c>
      <c r="AU9" s="35" t="str">
        <f>'FS Desroches Daily'!CJ11</f>
        <v>0</v>
      </c>
      <c r="AV9" s="35" t="str">
        <f>'FS Desroches Daily'!CL11</f>
        <v>0</v>
      </c>
      <c r="AW9" s="35">
        <f>'FS Desroches Daily'!CM11</f>
        <v>0</v>
      </c>
      <c r="AX9" s="35" t="str">
        <f>IF(LPG!F16-LPG!F15&lt;0,"0",(LPG!F16-LPG!F15)*1.8315)</f>
        <v>0</v>
      </c>
      <c r="AY9" s="35" t="str">
        <f>IF(LPG!H16-LPG!H15&lt;0,"0",(LPG!H16-LPG!H15)*1.8315)</f>
        <v>0</v>
      </c>
      <c r="AZ9" s="35" t="str">
        <f>IF(LPG!J16-LPG!J15&lt;0,"0",(LPG!J16-LPG!J15)*1.8315)</f>
        <v>0</v>
      </c>
      <c r="BA9" s="35" t="str">
        <f>IF(LPG!M16-LPG!M15&lt;0,"0",(LPG!M16-LPG!M15)*1.8315)</f>
        <v>0</v>
      </c>
      <c r="BB9" s="35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19300.000000000095</v>
      </c>
      <c r="F33" s="17">
        <f t="shared" ref="F33:BC33" si="1">SUM(F2:F32)</f>
        <v>26200.000000000222</v>
      </c>
      <c r="G33" s="17">
        <f t="shared" si="1"/>
        <v>24699.99999999972</v>
      </c>
      <c r="H33" s="17">
        <f t="shared" si="1"/>
        <v>11800.000000000031</v>
      </c>
      <c r="I33" s="17">
        <f t="shared" si="1"/>
        <v>19599.99999999984</v>
      </c>
      <c r="J33" s="17">
        <f t="shared" si="1"/>
        <v>11370.000000000004</v>
      </c>
      <c r="K33" s="17">
        <f t="shared" si="1"/>
        <v>146</v>
      </c>
      <c r="L33" s="17">
        <f t="shared" si="1"/>
        <v>59</v>
      </c>
      <c r="M33" s="17">
        <f t="shared" si="1"/>
        <v>547472</v>
      </c>
      <c r="N33" s="17">
        <f t="shared" si="1"/>
        <v>3570.2999999999884</v>
      </c>
      <c r="O33" s="17">
        <f t="shared" si="1"/>
        <v>3209.9999999999795</v>
      </c>
      <c r="P33" s="17">
        <f t="shared" si="1"/>
        <v>22800.000000000149</v>
      </c>
      <c r="Q33" s="17">
        <f t="shared" si="1"/>
        <v>3209.9999999999795</v>
      </c>
      <c r="R33" s="17">
        <f t="shared" si="1"/>
        <v>2310.0000000000023</v>
      </c>
      <c r="S33" s="17">
        <f t="shared" si="1"/>
        <v>5060.0000000000018</v>
      </c>
      <c r="T33" s="17">
        <f t="shared" si="1"/>
        <v>12.600000000000023</v>
      </c>
      <c r="U33" s="39">
        <f t="shared" si="1"/>
        <v>3839.999999999975</v>
      </c>
      <c r="V33" s="39">
        <f t="shared" si="1"/>
        <v>1.2399999999999949</v>
      </c>
      <c r="W33" s="39">
        <f t="shared" si="1"/>
        <v>1.2800000000000011</v>
      </c>
      <c r="X33" s="39">
        <f t="shared" si="1"/>
        <v>1.1499999999999915</v>
      </c>
      <c r="Y33" s="39">
        <f t="shared" si="1"/>
        <v>1580.0000000000125</v>
      </c>
      <c r="Z33" s="39">
        <f t="shared" si="1"/>
        <v>1750</v>
      </c>
      <c r="AA33" s="39">
        <f t="shared" si="1"/>
        <v>1750</v>
      </c>
      <c r="AB33" s="39">
        <f t="shared" si="1"/>
        <v>1469.9999999999989</v>
      </c>
      <c r="AC33" s="39">
        <f t="shared" si="1"/>
        <v>290.00000000002046</v>
      </c>
      <c r="AD33" s="39">
        <f t="shared" si="1"/>
        <v>1389.9999999999864</v>
      </c>
      <c r="AE33" s="39">
        <f t="shared" si="1"/>
        <v>1620.0000000000045</v>
      </c>
      <c r="AF33" s="17">
        <f t="shared" si="1"/>
        <v>449</v>
      </c>
      <c r="AG33" s="36">
        <f t="shared" si="1"/>
        <v>289.99999999999204</v>
      </c>
      <c r="AH33" s="36">
        <f t="shared" si="1"/>
        <v>379.99999999999545</v>
      </c>
      <c r="AI33" s="36">
        <f t="shared" si="1"/>
        <v>359.99999999998522</v>
      </c>
      <c r="AJ33" s="36">
        <f t="shared" si="1"/>
        <v>289.99999999999204</v>
      </c>
      <c r="AK33" s="36">
        <f t="shared" si="1"/>
        <v>349.99999999996589</v>
      </c>
      <c r="AL33" s="36">
        <f t="shared" si="1"/>
        <v>291</v>
      </c>
      <c r="AM33" s="36">
        <f t="shared" si="1"/>
        <v>329.99999999998408</v>
      </c>
      <c r="AN33" s="36">
        <f t="shared" si="1"/>
        <v>293</v>
      </c>
      <c r="AO33" s="36">
        <f t="shared" si="1"/>
        <v>330.00000000001251</v>
      </c>
      <c r="AP33" s="36">
        <f t="shared" si="1"/>
        <v>491</v>
      </c>
      <c r="AQ33" s="17">
        <f t="shared" si="1"/>
        <v>334.79999999999927</v>
      </c>
      <c r="AR33" s="17">
        <f t="shared" si="1"/>
        <v>89.700000000000728</v>
      </c>
      <c r="AS33" s="17">
        <f t="shared" si="1"/>
        <v>51.199999999999818</v>
      </c>
      <c r="AT33" s="17">
        <f t="shared" si="1"/>
        <v>522.80000000000291</v>
      </c>
      <c r="AU33" s="17">
        <f t="shared" si="1"/>
        <v>2096</v>
      </c>
      <c r="AV33" s="17">
        <f t="shared" si="1"/>
        <v>4920.0000000000164</v>
      </c>
      <c r="AW33" s="17">
        <f t="shared" si="1"/>
        <v>659.1</v>
      </c>
      <c r="AX33" s="17">
        <f t="shared" si="1"/>
        <v>108.0585</v>
      </c>
      <c r="AY33" s="17">
        <f t="shared" si="1"/>
        <v>29.303999999999995</v>
      </c>
      <c r="AZ33" s="17">
        <f t="shared" si="1"/>
        <v>5.4944999999999995</v>
      </c>
      <c r="BA33" s="17">
        <f t="shared" si="1"/>
        <v>27.472499999999997</v>
      </c>
      <c r="BB33" s="17">
        <f t="shared" si="1"/>
        <v>40.292999999999999</v>
      </c>
      <c r="BC33" s="17">
        <f t="shared" si="1"/>
        <v>192</v>
      </c>
    </row>
    <row r="35" spans="5:55" x14ac:dyDescent="0.25">
      <c r="E35" s="42">
        <f>E33/E37</f>
        <v>0.22838074501822406</v>
      </c>
      <c r="G35" s="33">
        <f>G33-M36</f>
        <v>-526342.30000000028</v>
      </c>
      <c r="AE35" s="39">
        <f>SUM(U33:AE33)</f>
        <v>13693.669999999995</v>
      </c>
      <c r="AG35" s="36">
        <f>SUM(AG33:AP33)</f>
        <v>3404.9999999999272</v>
      </c>
    </row>
    <row r="36" spans="5:55" x14ac:dyDescent="0.25">
      <c r="G36" s="33">
        <f>G35-633*14</f>
        <v>-535204.30000000028</v>
      </c>
      <c r="M36" s="33">
        <f>M33+N33</f>
        <v>551042.30000000005</v>
      </c>
    </row>
    <row r="37" spans="5:55" x14ac:dyDescent="0.25">
      <c r="E37" s="17">
        <f>E33+F33+G33+H33+J33-633*14</f>
        <v>84508.000000000073</v>
      </c>
      <c r="G37" s="41">
        <f>M36/E37</f>
        <v>6.520593316609073</v>
      </c>
      <c r="M37" s="39">
        <f>AE35</f>
        <v>13693.669999999995</v>
      </c>
    </row>
    <row r="38" spans="5:55" x14ac:dyDescent="0.25">
      <c r="L38" s="31">
        <f>M38/E37</f>
        <v>4.0292043356841063E-2</v>
      </c>
      <c r="M38" s="33">
        <f>AG35</f>
        <v>3404.9999999999272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opLeftCell="BO1" zoomScale="70" zoomScaleNormal="70" workbookViewId="0">
      <pane ySplit="1" topLeftCell="A2" activePane="bottomLeft" state="frozen"/>
      <selection pane="bottomLeft" activeCell="CM11" sqref="CM11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175244</v>
      </c>
      <c r="T7" s="76" t="str">
        <f t="shared" si="8"/>
        <v/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541607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/>
      <c r="T10" s="77" t="str">
        <f>IF((S10-S9&lt;0), "0",(S10-S9)*1000)</f>
        <v>0</v>
      </c>
      <c r="U10" s="65"/>
      <c r="V10" s="77" t="str">
        <f>IF((U10-U9&lt;0), "0",(U10-U9)*1000)</f>
        <v>0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/>
      <c r="D11" s="76" t="str">
        <f t="shared" si="3"/>
        <v>0</v>
      </c>
      <c r="E11" s="65"/>
      <c r="F11" s="76" t="str">
        <f t="shared" si="4"/>
        <v>0</v>
      </c>
      <c r="G11" s="65"/>
      <c r="H11" s="76" t="str">
        <f t="shared" si="5"/>
        <v>0</v>
      </c>
      <c r="I11" s="65"/>
      <c r="J11" s="76" t="str">
        <f t="shared" si="43"/>
        <v>0</v>
      </c>
      <c r="K11" s="65"/>
      <c r="L11" s="76" t="str">
        <f t="shared" si="0"/>
        <v>0</v>
      </c>
      <c r="M11" s="65"/>
      <c r="N11" s="77" t="str">
        <f>IF((M11-M10&lt;0), "0",(M11-M10)*1000)</f>
        <v>0</v>
      </c>
      <c r="O11" s="65"/>
      <c r="P11" s="77" t="str">
        <f>IF((O11-O10&lt;0), "0",(O11-O10)*1000)</f>
        <v>0</v>
      </c>
      <c r="Q11" s="65"/>
      <c r="R11" s="77" t="str">
        <f>IF((Q11-Q10&lt;0), "0",(Q11-Q10)*1000)</f>
        <v>0</v>
      </c>
      <c r="S11" s="65"/>
      <c r="T11" s="76">
        <f t="shared" si="8"/>
        <v>0</v>
      </c>
      <c r="U11" s="65"/>
      <c r="V11" s="77">
        <f t="shared" si="9"/>
        <v>0</v>
      </c>
      <c r="W11" s="65"/>
      <c r="X11" s="77" t="str">
        <f>IF((W11-W10&lt;0), "0",(W11-W10)*1000)</f>
        <v>0</v>
      </c>
      <c r="Y11" s="65"/>
      <c r="Z11" s="77" t="str">
        <f>IF((Y11-Y10&lt;0), "0",(Y11-Y10)*1000)</f>
        <v>0</v>
      </c>
      <c r="AA11" s="65"/>
      <c r="AB11" s="77" t="str">
        <f>IF((AA11-AA10&lt;0), "0",(AA11-AA10)*1000)</f>
        <v>0</v>
      </c>
      <c r="AC11" s="65"/>
      <c r="AD11" s="77" t="str">
        <f>IF((AC11-AC10&lt;0), "0",(AC11-AC10)*1000)</f>
        <v>0</v>
      </c>
      <c r="AE11" s="65"/>
      <c r="AF11" s="77" t="str">
        <f>IF((AE11-AE10&lt;0), "0",(AE11-AE10)*1000)</f>
        <v>0</v>
      </c>
      <c r="AG11" s="65"/>
      <c r="AH11" s="77" t="str">
        <f>IF((AG11-AG10&lt;0), "0",(AG11-AG10)*1000)</f>
        <v>0</v>
      </c>
      <c r="AI11" s="65"/>
      <c r="AJ11" s="77" t="str">
        <f>IF((AI11-AI10&lt;0), "0",(AI11-AI10)*1000)</f>
        <v>0</v>
      </c>
      <c r="AK11" s="65"/>
      <c r="AL11" s="77" t="str">
        <f>IF((AK11-AK10&lt;0), "0",(AK11-AK10)*1000)</f>
        <v>0</v>
      </c>
      <c r="AM11" s="65"/>
      <c r="AN11" s="77" t="str">
        <f>IF((AM11-AM10&lt;0), "0",(AM11-AM10)*1000)</f>
        <v>0</v>
      </c>
      <c r="AO11" s="65"/>
      <c r="AP11" s="77" t="str">
        <f>IF((AO11-AO10&lt;0), "0",(AO11-AO10)*1000)</f>
        <v>0</v>
      </c>
      <c r="AQ11" s="65"/>
      <c r="AR11" s="77" t="str">
        <f>IF((AQ11-AQ10&lt;0), "0",(AQ11-AQ10)*1000)</f>
        <v>0</v>
      </c>
      <c r="AS11" s="65"/>
      <c r="AT11" s="77" t="str">
        <f>IF((AS11-AS10&lt;0), "0",(AS11-AS10)*1000)</f>
        <v>0</v>
      </c>
      <c r="AU11" s="65"/>
      <c r="AV11" s="77" t="str">
        <f t="shared" si="31"/>
        <v/>
      </c>
      <c r="AW11" s="65"/>
      <c r="AX11" s="77" t="str">
        <f>IF((AW11-AW10&lt;0), "0",(AW11-AW10)*1000)</f>
        <v>0</v>
      </c>
      <c r="AY11" s="65"/>
      <c r="AZ11" s="77" t="str">
        <f>IF((AY11-AY10&lt;0), "0",(AY11-AY10)*1000)</f>
        <v>0</v>
      </c>
      <c r="BA11" s="65"/>
      <c r="BB11" s="77" t="str">
        <f>IF((BA11-BA10&lt;0), "0",(BA11-BA10)*1000)</f>
        <v>0</v>
      </c>
      <c r="BC11" s="65"/>
      <c r="BD11" s="77" t="str">
        <f>IF((BC11-BC10&lt;0), "0",(BC11-BC10)*1000)</f>
        <v>0</v>
      </c>
      <c r="BE11" s="70"/>
      <c r="BF11" s="77" t="str">
        <f>IF((BE11-BE10&lt;0), "0",(BE11-BE10)*1000)</f>
        <v>0</v>
      </c>
      <c r="BG11" s="71"/>
      <c r="BH11" s="77" t="str">
        <f>IF((BG11-BG10&lt;0), "0",(BG11-BG10)*1000)</f>
        <v>0</v>
      </c>
      <c r="BI11" s="70"/>
      <c r="BJ11" s="77" t="str">
        <f>IF((BI11-BI10&lt;0), "0",(BI11-BI10)*1000)</f>
        <v>0</v>
      </c>
      <c r="BK11" s="70"/>
      <c r="BL11" s="77" t="str">
        <f>IF((BK11-BK10&lt;0), "0",(BK11-BK10)*1000)</f>
        <v>0</v>
      </c>
      <c r="BM11" s="70"/>
      <c r="BN11" s="77" t="str">
        <f>IF((BM11-BM10&lt;0), "0",(BM11-BM10)*1000)</f>
        <v>0</v>
      </c>
      <c r="BO11" s="70"/>
      <c r="BP11" s="77" t="str">
        <f>IF((BO11-BO10&lt;0), "0",(BO11-BO10)*1000)</f>
        <v>0</v>
      </c>
      <c r="BQ11" s="70"/>
      <c r="BR11" s="77" t="str">
        <f>IF((BQ11-BQ10&lt;0), "0",(BQ11-BQ10)*1000)</f>
        <v>0</v>
      </c>
      <c r="BS11" s="70"/>
      <c r="BT11" s="77" t="str">
        <f>IF((BS11-BS10&lt;0), "0",(BS11-BS10)*1000)</f>
        <v>0</v>
      </c>
      <c r="BU11" s="70"/>
      <c r="BV11" s="77" t="str">
        <f>IF((BU11-BU10&lt;0), "0",(BU11-BU10)*1000)</f>
        <v>0</v>
      </c>
      <c r="BW11" s="70"/>
      <c r="BX11" s="77" t="str">
        <f>IF((BW11-BW10&lt;0), "0",(BW11-BW10)*1000)</f>
        <v>0</v>
      </c>
      <c r="BY11" s="72"/>
      <c r="BZ11" s="77" t="str">
        <f>IF((BY11-BY10&lt;0), "0",(BY11-BY10)*1000)</f>
        <v>0</v>
      </c>
      <c r="CA11" s="65"/>
      <c r="CB11" s="77" t="str">
        <f>IF((CA11-CA10&lt;0), "0",(CA11-CA10)*1000)</f>
        <v>0</v>
      </c>
      <c r="CC11" s="65"/>
      <c r="CD11" s="77" t="str">
        <f>IF((CC11-CC10&lt;0), "0",(CC11-CC10)*1000)</f>
        <v>0</v>
      </c>
      <c r="CE11" s="65"/>
      <c r="CF11" s="77" t="str">
        <f>IF((CE11-CE10&lt;0), "0",(CE11-CE10)*1000)</f>
        <v>0</v>
      </c>
      <c r="CG11" s="65"/>
      <c r="CH11" s="77" t="str">
        <f>IF((CG11-CG10&lt;0), "0",(CG11-CG10)*1000)</f>
        <v>0</v>
      </c>
      <c r="CI11" s="65"/>
      <c r="CJ11" s="77" t="str">
        <f>IF((CI11-CI10&lt;0), "0",(CI11-CI10)*1000)</f>
        <v>0</v>
      </c>
      <c r="CK11" s="65"/>
      <c r="CL11" s="77" t="str">
        <f>IF((CK11-CK10&lt;0), "0",(CK11-CK10)*1000)</f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43"/>
        <v>0</v>
      </c>
      <c r="K12" s="65"/>
      <c r="L12" s="76">
        <f t="shared" si="0"/>
        <v>0</v>
      </c>
      <c r="M12" s="65"/>
      <c r="N12" s="77">
        <f t="shared" si="22"/>
        <v>0</v>
      </c>
      <c r="O12" s="65"/>
      <c r="P12" s="77">
        <f t="shared" si="6"/>
        <v>0</v>
      </c>
      <c r="Q12" s="65"/>
      <c r="R12" s="77">
        <f t="shared" si="7"/>
        <v>0</v>
      </c>
      <c r="S12" s="65"/>
      <c r="T12" s="77">
        <f t="shared" ref="T12:T34" si="44">IF((S12-S11&lt;0), "",S12-S11)</f>
        <v>0</v>
      </c>
      <c r="U12" s="65"/>
      <c r="V12" s="77">
        <f t="shared" si="9"/>
        <v>0</v>
      </c>
      <c r="W12" s="65"/>
      <c r="X12" s="77">
        <f t="shared" si="2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0"/>
        <v>0</v>
      </c>
      <c r="AI12" s="65"/>
      <c r="AJ12" s="77">
        <f t="shared" si="28"/>
        <v>0</v>
      </c>
      <c r="AK12" s="65"/>
      <c r="AL12" s="77">
        <f t="shared" si="11"/>
        <v>0</v>
      </c>
      <c r="AM12" s="65"/>
      <c r="AN12" s="77">
        <f t="shared" si="12"/>
        <v>0</v>
      </c>
      <c r="AO12" s="65"/>
      <c r="AP12" s="77">
        <f t="shared" si="13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4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5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6"/>
        <v>0</v>
      </c>
      <c r="CA12" s="65"/>
      <c r="CB12" s="77">
        <f t="shared" si="17"/>
        <v>0</v>
      </c>
      <c r="CC12" s="65"/>
      <c r="CD12" s="77">
        <f t="shared" si="18"/>
        <v>0</v>
      </c>
      <c r="CE12" s="65"/>
      <c r="CF12" s="77">
        <f t="shared" si="19"/>
        <v>0</v>
      </c>
      <c r="CG12" s="65"/>
      <c r="CH12" s="77">
        <f t="shared" si="20"/>
        <v>0</v>
      </c>
      <c r="CI12" s="65"/>
      <c r="CJ12" s="77">
        <f t="shared" si="2"/>
        <v>0</v>
      </c>
      <c r="CK12" s="65"/>
      <c r="CL12" s="76">
        <f t="shared" si="21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44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44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44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44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44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44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44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44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44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146</v>
      </c>
      <c r="R35" s="81">
        <f>SUM(R4:R33)</f>
        <v>59</v>
      </c>
      <c r="AX35" s="77">
        <f t="shared" si="32"/>
        <v>0</v>
      </c>
      <c r="BF35" s="81">
        <f>SUM(BF4:BF33)</f>
        <v>449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5" sqref="Q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101" t="s">
        <v>0</v>
      </c>
      <c r="B4" s="104" t="s">
        <v>53</v>
      </c>
      <c r="C4" s="104" t="s">
        <v>54</v>
      </c>
      <c r="D4" s="107" t="s">
        <v>55</v>
      </c>
      <c r="E4" s="90" t="s">
        <v>56</v>
      </c>
      <c r="F4" s="110"/>
      <c r="G4" s="110"/>
      <c r="H4" s="110"/>
      <c r="I4" s="110"/>
      <c r="J4" s="91"/>
      <c r="K4" s="98" t="s">
        <v>57</v>
      </c>
      <c r="L4" s="99"/>
      <c r="M4" s="100"/>
      <c r="N4" s="89" t="s">
        <v>36</v>
      </c>
      <c r="O4" s="89"/>
      <c r="P4" s="89"/>
      <c r="Q4" s="89"/>
    </row>
    <row r="5" spans="1:17" ht="33.75" customHeight="1" x14ac:dyDescent="0.25">
      <c r="A5" s="102"/>
      <c r="B5" s="105"/>
      <c r="C5" s="105"/>
      <c r="D5" s="108"/>
      <c r="E5" s="90" t="s">
        <v>58</v>
      </c>
      <c r="F5" s="91"/>
      <c r="G5" s="90" t="s">
        <v>59</v>
      </c>
      <c r="H5" s="91"/>
      <c r="I5" s="90" t="s">
        <v>60</v>
      </c>
      <c r="J5" s="91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103"/>
      <c r="B6" s="106"/>
      <c r="C6" s="106"/>
      <c r="D6" s="10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2020-01-08T10:52:30Z</dcterms:modified>
</cp:coreProperties>
</file>