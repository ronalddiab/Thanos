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19\"/>
    </mc:Choice>
  </mc:AlternateContent>
  <xr:revisionPtr revIDLastSave="56" documentId="11_091EBA24E9D58F7ED3361D5830AB259DB39871B7" xr6:coauthVersionLast="47" xr6:coauthVersionMax="47" xr10:uidLastSave="{290B7F1C-B7FB-4201-AD97-80911E722461}"/>
  <bookViews>
    <workbookView xWindow="0" yWindow="0" windowWidth="28800" windowHeight="12435" tabRatio="762" firstSheet="1" activeTab="1" xr2:uid="{00000000-000D-0000-FFFF-FFFF00000000}"/>
  </bookViews>
  <sheets>
    <sheet name="TOTAL" sheetId="11" r:id="rId1"/>
    <sheet name="FS Jimbaran October 2018" sheetId="14" r:id="rId2"/>
    <sheet name="RNs &amp; Covers October 2018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9" i="14" l="1"/>
  <c r="H46" i="14"/>
  <c r="J46" i="14"/>
  <c r="K46" i="14"/>
  <c r="L46" i="14"/>
  <c r="M46" i="14"/>
  <c r="R46" i="14"/>
  <c r="Q46" i="14"/>
  <c r="S46" i="14"/>
  <c r="U46" i="14"/>
  <c r="V46" i="14"/>
  <c r="AC46" i="14"/>
  <c r="AF49" i="14"/>
  <c r="AF46" i="14"/>
  <c r="AB13" i="14" l="1"/>
  <c r="AB14" i="14"/>
  <c r="AB15" i="14"/>
  <c r="AB16" i="14"/>
  <c r="AB17" i="14"/>
  <c r="AB18" i="14"/>
  <c r="AB19" i="14"/>
  <c r="AB20" i="14"/>
  <c r="AB21" i="14"/>
  <c r="AB22" i="14"/>
  <c r="AB23" i="14"/>
  <c r="AB24" i="14"/>
  <c r="AB25" i="14"/>
  <c r="AB26" i="14"/>
  <c r="AB27" i="14"/>
  <c r="AB28" i="14"/>
  <c r="AB29" i="14"/>
  <c r="AB30" i="14"/>
  <c r="AB31" i="14"/>
  <c r="AB32" i="14"/>
  <c r="AB33" i="14"/>
  <c r="AB34" i="14"/>
  <c r="AB35" i="14"/>
  <c r="AB36" i="14"/>
  <c r="AB37" i="14"/>
  <c r="AB38" i="14"/>
  <c r="AB39" i="14"/>
  <c r="AB40" i="14"/>
  <c r="AB41" i="14"/>
  <c r="AB42" i="14"/>
  <c r="AB12" i="14"/>
  <c r="AB46" i="14" s="1"/>
  <c r="AC49" i="14" s="1"/>
  <c r="I32" i="11" l="1"/>
  <c r="J32" i="11"/>
  <c r="M32" i="11"/>
  <c r="N32" i="11"/>
  <c r="C37" i="10" l="1"/>
  <c r="B37" i="10"/>
  <c r="I42" i="14"/>
  <c r="N42" i="14"/>
  <c r="P42" i="14"/>
  <c r="E32" i="11" s="1"/>
  <c r="Q42" i="14"/>
  <c r="K32" i="11" s="1"/>
  <c r="V42" i="14"/>
  <c r="AD42" i="14"/>
  <c r="AG42" i="14"/>
  <c r="G32" i="11" l="1"/>
  <c r="H32" i="11"/>
  <c r="W42" i="14"/>
  <c r="L32" i="11"/>
  <c r="O42" i="14"/>
  <c r="F32" i="11" s="1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N46" i="14" s="1"/>
  <c r="AD40" i="14" l="1"/>
  <c r="AG40" i="14"/>
  <c r="AG41" i="14"/>
  <c r="AD41" i="14"/>
  <c r="V40" i="14"/>
  <c r="W40" i="14" s="1"/>
  <c r="V41" i="14"/>
  <c r="W41" i="14" s="1"/>
  <c r="Q40" i="14"/>
  <c r="Q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Q33" i="14" l="1"/>
  <c r="Q34" i="14"/>
  <c r="Q35" i="14"/>
  <c r="Q36" i="14"/>
  <c r="Q37" i="14"/>
  <c r="Q38" i="14"/>
  <c r="Q39" i="14"/>
  <c r="Q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G31" i="14" l="1"/>
  <c r="AG32" i="14"/>
  <c r="AG33" i="14"/>
  <c r="AG34" i="14"/>
  <c r="AG35" i="14"/>
  <c r="AG36" i="14"/>
  <c r="AG37" i="14"/>
  <c r="AG38" i="14"/>
  <c r="AG39" i="14"/>
  <c r="AD31" i="14"/>
  <c r="AD32" i="14"/>
  <c r="AD33" i="14"/>
  <c r="AD34" i="14"/>
  <c r="AD35" i="14"/>
  <c r="AD36" i="14"/>
  <c r="AD37" i="14"/>
  <c r="AD38" i="14"/>
  <c r="AD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V32" i="14"/>
  <c r="V33" i="14"/>
  <c r="V34" i="14"/>
  <c r="V35" i="14"/>
  <c r="V36" i="14"/>
  <c r="V37" i="14"/>
  <c r="V38" i="14"/>
  <c r="V39" i="14"/>
  <c r="Q31" i="14"/>
  <c r="K21" i="11" s="1"/>
  <c r="Q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W39" i="14"/>
  <c r="L27" i="11"/>
  <c r="W37" i="14"/>
  <c r="L25" i="11"/>
  <c r="W35" i="14"/>
  <c r="L23" i="11"/>
  <c r="W33" i="14"/>
  <c r="L21" i="11"/>
  <c r="W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W38" i="14"/>
  <c r="L26" i="11"/>
  <c r="W36" i="14"/>
  <c r="L24" i="11"/>
  <c r="W34" i="14"/>
  <c r="L22" i="11"/>
  <c r="W32" i="14"/>
  <c r="E21" i="11" l="1"/>
  <c r="E22" i="11"/>
  <c r="F28" i="11"/>
  <c r="F26" i="11"/>
  <c r="F24" i="11"/>
  <c r="F22" i="11"/>
  <c r="F29" i="11"/>
  <c r="F27" i="11"/>
  <c r="F25" i="11"/>
  <c r="F23" i="11"/>
  <c r="F21" i="11"/>
  <c r="Q30" i="14" l="1"/>
  <c r="Q29" i="14"/>
  <c r="Q28" i="14"/>
  <c r="Q27" i="14"/>
  <c r="Q26" i="14"/>
  <c r="Q25" i="14"/>
  <c r="Q23" i="14"/>
  <c r="Q22" i="14"/>
  <c r="Q21" i="14"/>
  <c r="Q20" i="14"/>
  <c r="Q19" i="14"/>
  <c r="Q18" i="14"/>
  <c r="Q17" i="14"/>
  <c r="Q16" i="14"/>
  <c r="Q15" i="14"/>
  <c r="Q14" i="14"/>
  <c r="Q13" i="14"/>
  <c r="Q12" i="14"/>
  <c r="AE46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Y46" i="14"/>
  <c r="D46" i="14"/>
  <c r="C46" i="14"/>
  <c r="Z46" i="14"/>
  <c r="J20" i="11"/>
  <c r="I30" i="14"/>
  <c r="AG29" i="14"/>
  <c r="I29" i="14"/>
  <c r="AG28" i="14"/>
  <c r="I28" i="14"/>
  <c r="I27" i="14"/>
  <c r="AG26" i="14"/>
  <c r="AD26" i="14"/>
  <c r="I26" i="14"/>
  <c r="AG25" i="14"/>
  <c r="I15" i="11"/>
  <c r="P25" i="14"/>
  <c r="AG24" i="14"/>
  <c r="K14" i="11"/>
  <c r="I24" i="14"/>
  <c r="AG23" i="14"/>
  <c r="P23" i="14"/>
  <c r="I22" i="14"/>
  <c r="P21" i="14"/>
  <c r="AG20" i="14"/>
  <c r="W20" i="14"/>
  <c r="I20" i="14"/>
  <c r="I9" i="11"/>
  <c r="W19" i="14"/>
  <c r="AG18" i="14"/>
  <c r="P18" i="14"/>
  <c r="I18" i="14"/>
  <c r="AG17" i="14"/>
  <c r="I7" i="11"/>
  <c r="P17" i="14"/>
  <c r="AG16" i="14"/>
  <c r="K6" i="11"/>
  <c r="I16" i="14"/>
  <c r="AG15" i="14"/>
  <c r="P15" i="14"/>
  <c r="AG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D22" i="14"/>
  <c r="H12" i="11"/>
  <c r="AD24" i="14"/>
  <c r="H14" i="11"/>
  <c r="AD25" i="14"/>
  <c r="H15" i="11"/>
  <c r="G16" i="11"/>
  <c r="H16" i="11"/>
  <c r="AD28" i="14"/>
  <c r="H18" i="11"/>
  <c r="AD29" i="14"/>
  <c r="H19" i="11"/>
  <c r="AD30" i="14"/>
  <c r="H20" i="11"/>
  <c r="AD14" i="14"/>
  <c r="H4" i="11"/>
  <c r="AD16" i="14"/>
  <c r="H6" i="11"/>
  <c r="AD20" i="14"/>
  <c r="H10" i="11"/>
  <c r="AD27" i="14"/>
  <c r="H17" i="11"/>
  <c r="O29" i="14"/>
  <c r="O27" i="14"/>
  <c r="G20" i="11"/>
  <c r="O20" i="14"/>
  <c r="O30" i="14"/>
  <c r="G15" i="11"/>
  <c r="G14" i="11"/>
  <c r="O28" i="14"/>
  <c r="J13" i="11"/>
  <c r="J14" i="11"/>
  <c r="AG30" i="14"/>
  <c r="J6" i="11"/>
  <c r="J5" i="11"/>
  <c r="G7" i="11"/>
  <c r="G11" i="11"/>
  <c r="AG27" i="14"/>
  <c r="J17" i="11"/>
  <c r="G13" i="11"/>
  <c r="J4" i="11"/>
  <c r="AG14" i="14"/>
  <c r="G5" i="11"/>
  <c r="G3" i="11"/>
  <c r="AG21" i="14"/>
  <c r="J11" i="11"/>
  <c r="J12" i="11"/>
  <c r="AG22" i="14"/>
  <c r="G46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P14" i="14"/>
  <c r="P20" i="14"/>
  <c r="P22" i="14"/>
  <c r="G19" i="11"/>
  <c r="I17" i="11"/>
  <c r="K15" i="11"/>
  <c r="K7" i="11"/>
  <c r="L10" i="11"/>
  <c r="P13" i="14"/>
  <c r="AA46" i="14"/>
  <c r="I10" i="11"/>
  <c r="P16" i="14"/>
  <c r="I17" i="14"/>
  <c r="O18" i="14"/>
  <c r="I21" i="14"/>
  <c r="O21" i="14" s="1"/>
  <c r="G18" i="11"/>
  <c r="G10" i="11"/>
  <c r="I16" i="11"/>
  <c r="I8" i="11"/>
  <c r="J19" i="11"/>
  <c r="J3" i="11"/>
  <c r="L9" i="11"/>
  <c r="O22" i="14"/>
  <c r="P26" i="14"/>
  <c r="E46" i="14"/>
  <c r="I13" i="14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6" i="14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P12" i="14"/>
  <c r="P46" i="14" s="1"/>
  <c r="J2" i="11"/>
  <c r="X46" i="14"/>
  <c r="O13" i="14" l="1"/>
  <c r="I46" i="14"/>
  <c r="F5" i="1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AD18" i="14"/>
  <c r="AD19" i="14"/>
  <c r="W24" i="14"/>
  <c r="L14" i="11"/>
  <c r="W22" i="14"/>
  <c r="L12" i="11"/>
  <c r="AD13" i="14"/>
  <c r="AD15" i="14"/>
  <c r="O17" i="14"/>
  <c r="W28" i="14"/>
  <c r="L18" i="11"/>
  <c r="W14" i="14"/>
  <c r="L4" i="11"/>
  <c r="W30" i="14"/>
  <c r="L20" i="11"/>
  <c r="W29" i="14"/>
  <c r="L19" i="11"/>
  <c r="W18" i="14"/>
  <c r="L8" i="11"/>
  <c r="W25" i="14"/>
  <c r="L15" i="11"/>
  <c r="W23" i="14"/>
  <c r="L13" i="11"/>
  <c r="AD21" i="14"/>
  <c r="W26" i="14"/>
  <c r="L16" i="11"/>
  <c r="W17" i="14"/>
  <c r="L7" i="11"/>
  <c r="T46" i="14"/>
  <c r="W27" i="14"/>
  <c r="L17" i="11"/>
  <c r="W15" i="14"/>
  <c r="L5" i="11"/>
  <c r="AD23" i="14"/>
  <c r="AD17" i="14"/>
  <c r="W21" i="14"/>
  <c r="L11" i="11"/>
  <c r="AG19" i="14"/>
  <c r="J9" i="11"/>
  <c r="W13" i="14"/>
  <c r="L3" i="11"/>
  <c r="AG46" i="14"/>
  <c r="AG12" i="14"/>
  <c r="W46" i="14"/>
  <c r="AD46" i="14"/>
  <c r="AD12" i="14"/>
  <c r="O12" i="14"/>
  <c r="O46" i="14" s="1"/>
  <c r="W12" i="14"/>
  <c r="F7" i="11" l="1"/>
  <c r="F2" i="11"/>
  <c r="W16" i="14"/>
  <c r="L6" i="11"/>
  <c r="P49" i="14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<sst xmlns="http://schemas.openxmlformats.org/spreadsheetml/2006/main" count="94" uniqueCount="50">
  <si>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</si>
  <si>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</si>
  <si>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</si>
  <si>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</si>
  <si>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</si>
  <si>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</si>
  <si>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</si>
  <si>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</si>
  <si>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</si>
  <si>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</si>
  <si>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</si>
  <si>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</si>
  <si>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</si>
  <si>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</si>
  <si>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</si>
  <si>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</si>
  <si>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</si>
  <si>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OCTOBER 2018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</si>
  <si>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</si>
  <si>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</si>
  <si>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</si>
  <si>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</si>
  <si>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</si>
  <si>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</si>
  <si>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</si>
  <si>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</si>
  <si>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</si>
  <si>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</si>
  <si>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</si>
  <si>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</si>
  <si>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</si>
  <si>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</si>
  <si>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</si>
  <si>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</si>
  <si>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</si>
  <si>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</si>
  <si>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</si>
  <si>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</si>
  <si>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</si>
  <si>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</si>
  <si>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</si>
  <si>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</si>
  <si>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USD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</si>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</sst>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41" fontId="15" fillId="0" borderId="0" applyFont="0" applyFill="0" applyBorder="0" applyAlignment="0" applyProtection="0"/>
    <xf numFmtId="0" fontId="15" fillId="0" borderId="0"/>
    <xf numFmtId="43" fontId="2" fillId="0" borderId="0" applyFont="0" applyFill="0" applyBorder="0" applyAlignment="0" applyProtection="0"/>
  </cellStyleXfs>
  <cellXfs count="214">
    <xf numFmtId="0" fontId="0" fillId="0" borderId="0" xfId="0"/>
    <xf numFmtId="0" fontId="0" fillId="0" borderId="8" xfId="0" applyBorder="1"/>
    <xf numFmtId="165" fontId="0" fillId="0" borderId="8" xfId="1" applyNumberFormat="1" applyFont="1" applyBorder="1"/>
    <xf numFmtId="165" fontId="0" fillId="0" borderId="0" xfId="1" applyNumberFormat="1" applyFont="1"/>
    <xf numFmtId="165" fontId="0" fillId="0" borderId="0" xfId="1" applyNumberFormat="1" applyFont="1" applyBorder="1"/>
    <xf numFmtId="165" fontId="1" fillId="0" borderId="0" xfId="1" applyNumberFormat="1" applyFont="1"/>
    <xf numFmtId="165" fontId="0" fillId="3" borderId="0" xfId="1" applyNumberFormat="1" applyFont="1" applyFill="1" applyBorder="1"/>
    <xf numFmtId="0" fontId="0" fillId="3" borderId="0" xfId="0" applyFill="1"/>
    <xf numFmtId="164" fontId="4" fillId="0" borderId="0" xfId="1" applyFont="1" applyBorder="1"/>
    <xf numFmtId="164" fontId="4" fillId="0" borderId="0" xfId="0" applyNumberFormat="1" applyFont="1"/>
    <xf numFmtId="165" fontId="0" fillId="0" borderId="0" xfId="0" applyNumberFormat="1"/>
    <xf numFmtId="0" fontId="7" fillId="0" borderId="0" xfId="0" applyFont="1"/>
    <xf numFmtId="0" fontId="0" fillId="0" borderId="31" xfId="0" applyBorder="1" applyAlignment="1">
      <alignment horizontal="center" vertical="center" wrapText="1"/>
    </xf>
    <xf numFmtId="164" fontId="0" fillId="3" borderId="0" xfId="0" applyNumberFormat="1" applyFill="1"/>
    <xf numFmtId="165" fontId="4" fillId="0" borderId="0" xfId="1" applyNumberFormat="1" applyFont="1" applyBorder="1"/>
    <xf numFmtId="165" fontId="0" fillId="0" borderId="11" xfId="1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165" fontId="0" fillId="0" borderId="33" xfId="1" applyNumberFormat="1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8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1" applyNumberFormat="1" applyFont="1" applyFill="1" applyBorder="1" applyAlignment="1">
      <alignment horizontal="right"/>
    </xf>
    <xf numFmtId="165" fontId="6" fillId="3" borderId="0" xfId="1" applyNumberFormat="1" applyFont="1" applyFill="1" applyBorder="1" applyAlignment="1"/>
    <xf numFmtId="166" fontId="0" fillId="0" borderId="8" xfId="1" applyNumberFormat="1" applyFont="1" applyBorder="1"/>
    <xf numFmtId="167" fontId="6" fillId="3" borderId="0" xfId="0" applyNumberFormat="1" applyFont="1" applyFill="1"/>
    <xf numFmtId="167" fontId="0" fillId="0" borderId="20" xfId="1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2" xfId="0" applyBorder="1" applyAlignment="1">
      <alignment horizontal="center" vertical="center" wrapText="1"/>
    </xf>
    <xf numFmtId="167" fontId="0" fillId="0" borderId="9" xfId="1" applyNumberFormat="1" applyFont="1" applyBorder="1"/>
    <xf numFmtId="164" fontId="0" fillId="3" borderId="22" xfId="0" applyNumberFormat="1" applyFill="1" applyBorder="1"/>
    <xf numFmtId="165" fontId="0" fillId="0" borderId="12" xfId="1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165" fontId="0" fillId="0" borderId="39" xfId="1" applyNumberFormat="1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167" fontId="0" fillId="0" borderId="25" xfId="0" applyNumberFormat="1" applyBorder="1" applyAlignment="1">
      <alignment horizontal="center" vertical="center" wrapText="1"/>
    </xf>
    <xf numFmtId="167" fontId="0" fillId="0" borderId="40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8" xfId="0" applyFill="1" applyBorder="1" applyAlignment="1">
      <alignment vertical="center"/>
    </xf>
    <xf numFmtId="0" fontId="0" fillId="5" borderId="33" xfId="0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0" fillId="11" borderId="41" xfId="0" applyFont="1" applyFill="1" applyBorder="1" applyAlignment="1">
      <alignment horizontal="center" vertical="center" shrinkToFit="1"/>
    </xf>
    <xf numFmtId="0" fontId="10" fillId="11" borderId="42" xfId="0" applyFont="1" applyFill="1" applyBorder="1" applyAlignment="1">
      <alignment horizontal="center" vertical="center" shrinkToFit="1"/>
    </xf>
    <xf numFmtId="164" fontId="8" fillId="3" borderId="0" xfId="1" applyFont="1" applyFill="1" applyBorder="1" applyAlignment="1"/>
    <xf numFmtId="164" fontId="7" fillId="0" borderId="15" xfId="1" applyFont="1" applyBorder="1" applyAlignment="1">
      <alignment horizontal="center" vertical="center" wrapText="1"/>
    </xf>
    <xf numFmtId="164" fontId="7" fillId="0" borderId="27" xfId="1" applyFont="1" applyBorder="1" applyAlignment="1">
      <alignment horizontal="center" vertical="center" wrapText="1"/>
    </xf>
    <xf numFmtId="164" fontId="7" fillId="3" borderId="0" xfId="1" applyFont="1" applyFill="1" applyBorder="1"/>
    <xf numFmtId="164" fontId="11" fillId="0" borderId="0" xfId="1" applyFont="1" applyBorder="1"/>
    <xf numFmtId="164" fontId="7" fillId="0" borderId="0" xfId="1" applyFont="1"/>
    <xf numFmtId="165" fontId="8" fillId="3" borderId="0" xfId="1" applyNumberFormat="1" applyFont="1" applyFill="1" applyBorder="1" applyAlignment="1"/>
    <xf numFmtId="165" fontId="7" fillId="3" borderId="0" xfId="1" applyNumberFormat="1" applyFont="1" applyFill="1" applyBorder="1"/>
    <xf numFmtId="165" fontId="11" fillId="0" borderId="0" xfId="1" applyNumberFormat="1" applyFont="1" applyBorder="1"/>
    <xf numFmtId="165" fontId="7" fillId="0" borderId="0" xfId="1" applyNumberFormat="1" applyFont="1"/>
    <xf numFmtId="165" fontId="0" fillId="3" borderId="36" xfId="0" applyNumberFormat="1" applyFill="1" applyBorder="1"/>
    <xf numFmtId="165" fontId="1" fillId="0" borderId="36" xfId="0" applyNumberFormat="1" applyFont="1" applyBorder="1"/>
    <xf numFmtId="0" fontId="0" fillId="3" borderId="43" xfId="0" applyFill="1" applyBorder="1"/>
    <xf numFmtId="165" fontId="0" fillId="3" borderId="43" xfId="1" applyNumberFormat="1" applyFont="1" applyFill="1" applyBorder="1"/>
    <xf numFmtId="164" fontId="7" fillId="3" borderId="43" xfId="1" applyFont="1" applyFill="1" applyBorder="1"/>
    <xf numFmtId="165" fontId="7" fillId="3" borderId="43" xfId="1" applyNumberFormat="1" applyFont="1" applyFill="1" applyBorder="1"/>
    <xf numFmtId="0" fontId="0" fillId="3" borderId="45" xfId="0" applyFill="1" applyBorder="1"/>
    <xf numFmtId="43" fontId="0" fillId="3" borderId="43" xfId="0" applyNumberFormat="1" applyFill="1" applyBorder="1"/>
    <xf numFmtId="165" fontId="0" fillId="3" borderId="43" xfId="0" applyNumberFormat="1" applyFill="1" applyBorder="1"/>
    <xf numFmtId="165" fontId="0" fillId="0" borderId="43" xfId="1" applyNumberFormat="1" applyFont="1" applyBorder="1"/>
    <xf numFmtId="167" fontId="0" fillId="3" borderId="45" xfId="0" applyNumberFormat="1" applyFill="1" applyBorder="1"/>
    <xf numFmtId="165" fontId="8" fillId="6" borderId="22" xfId="1" applyNumberFormat="1" applyFont="1" applyFill="1" applyBorder="1"/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8" fontId="6" fillId="3" borderId="0" xfId="1" applyNumberFormat="1" applyFont="1" applyFill="1" applyBorder="1" applyAlignment="1"/>
    <xf numFmtId="168" fontId="0" fillId="3" borderId="0" xfId="1" applyNumberFormat="1" applyFont="1" applyFill="1" applyBorder="1"/>
    <xf numFmtId="168" fontId="0" fillId="0" borderId="0" xfId="1" applyNumberFormat="1" applyFont="1" applyBorder="1"/>
    <xf numFmtId="168" fontId="0" fillId="0" borderId="0" xfId="1" applyNumberFormat="1" applyFont="1"/>
    <xf numFmtId="165" fontId="0" fillId="0" borderId="18" xfId="1" applyNumberFormat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5" fontId="8" fillId="0" borderId="49" xfId="1" applyNumberFormat="1" applyFont="1" applyBorder="1" applyAlignment="1">
      <alignment horizontal="center" vertical="center" wrapText="1"/>
    </xf>
    <xf numFmtId="165" fontId="7" fillId="0" borderId="50" xfId="1" applyNumberFormat="1" applyFont="1" applyBorder="1" applyAlignment="1">
      <alignment horizontal="center" vertical="center" wrapText="1"/>
    </xf>
    <xf numFmtId="165" fontId="7" fillId="0" borderId="20" xfId="1" applyNumberFormat="1" applyFont="1" applyBorder="1"/>
    <xf numFmtId="165" fontId="0" fillId="0" borderId="28" xfId="1" applyNumberFormat="1" applyFont="1" applyBorder="1"/>
    <xf numFmtId="165" fontId="7" fillId="0" borderId="31" xfId="1" applyNumberFormat="1" applyFont="1" applyBorder="1"/>
    <xf numFmtId="0" fontId="1" fillId="0" borderId="4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165" fontId="0" fillId="0" borderId="17" xfId="1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164" fontId="0" fillId="0" borderId="20" xfId="0" applyNumberFormat="1" applyBorder="1"/>
    <xf numFmtId="165" fontId="0" fillId="0" borderId="10" xfId="1" applyNumberFormat="1" applyFont="1" applyBorder="1"/>
    <xf numFmtId="164" fontId="0" fillId="0" borderId="42" xfId="1" applyFont="1" applyBorder="1"/>
    <xf numFmtId="164" fontId="0" fillId="0" borderId="52" xfId="1" applyFont="1" applyBorder="1"/>
    <xf numFmtId="165" fontId="7" fillId="0" borderId="41" xfId="1" applyNumberFormat="1" applyFont="1" applyBorder="1" applyAlignment="1">
      <alignment horizontal="center" vertical="center" wrapText="1"/>
    </xf>
    <xf numFmtId="165" fontId="7" fillId="0" borderId="42" xfId="1" applyNumberFormat="1" applyFont="1" applyBorder="1"/>
    <xf numFmtId="165" fontId="7" fillId="0" borderId="52" xfId="1" applyNumberFormat="1" applyFont="1" applyBorder="1"/>
    <xf numFmtId="165" fontId="0" fillId="3" borderId="13" xfId="1" applyNumberFormat="1" applyFont="1" applyFill="1" applyBorder="1"/>
    <xf numFmtId="0" fontId="0" fillId="3" borderId="54" xfId="0" applyFill="1" applyBorder="1"/>
    <xf numFmtId="0" fontId="0" fillId="3" borderId="14" xfId="0" applyFill="1" applyBorder="1"/>
    <xf numFmtId="0" fontId="0" fillId="3" borderId="55" xfId="0" applyFill="1" applyBorder="1"/>
    <xf numFmtId="0" fontId="0" fillId="3" borderId="56" xfId="0" applyFill="1" applyBorder="1"/>
    <xf numFmtId="165" fontId="0" fillId="3" borderId="44" xfId="1" applyNumberFormat="1" applyFont="1" applyFill="1" applyBorder="1"/>
    <xf numFmtId="0" fontId="10" fillId="11" borderId="52" xfId="0" applyFont="1" applyFill="1" applyBorder="1" applyAlignment="1">
      <alignment horizontal="center" vertical="center" shrinkToFit="1"/>
    </xf>
    <xf numFmtId="167" fontId="1" fillId="3" borderId="7" xfId="0" applyNumberFormat="1" applyFont="1" applyFill="1" applyBorder="1"/>
    <xf numFmtId="0" fontId="0" fillId="0" borderId="5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165" fontId="0" fillId="0" borderId="20" xfId="0" applyNumberFormat="1" applyBorder="1"/>
    <xf numFmtId="0" fontId="0" fillId="3" borderId="46" xfId="0" applyFill="1" applyBorder="1"/>
    <xf numFmtId="43" fontId="0" fillId="3" borderId="5" xfId="0" applyNumberFormat="1" applyFill="1" applyBorder="1"/>
    <xf numFmtId="0" fontId="0" fillId="3" borderId="58" xfId="0" applyFill="1" applyBorder="1"/>
    <xf numFmtId="165" fontId="1" fillId="0" borderId="11" xfId="1" applyNumberFormat="1" applyFont="1" applyBorder="1" applyAlignment="1">
      <alignment horizontal="center" vertical="center" wrapText="1"/>
    </xf>
    <xf numFmtId="165" fontId="13" fillId="3" borderId="8" xfId="1" applyNumberFormat="1" applyFont="1" applyFill="1" applyBorder="1" applyProtection="1">
      <protection locked="0"/>
    </xf>
    <xf numFmtId="165" fontId="1" fillId="12" borderId="6" xfId="0" applyNumberFormat="1" applyFont="1" applyFill="1" applyBorder="1"/>
    <xf numFmtId="165" fontId="0" fillId="3" borderId="22" xfId="1" applyNumberFormat="1" applyFont="1" applyFill="1" applyBorder="1"/>
    <xf numFmtId="43" fontId="0" fillId="0" borderId="0" xfId="0" applyNumberFormat="1"/>
    <xf numFmtId="168" fontId="0" fillId="0" borderId="38" xfId="1" applyNumberFormat="1" applyFont="1" applyBorder="1" applyAlignment="1">
      <alignment horizontal="center" vertical="center" wrapText="1"/>
    </xf>
    <xf numFmtId="168" fontId="0" fillId="0" borderId="24" xfId="1" applyNumberFormat="1" applyFont="1" applyBorder="1" applyAlignment="1">
      <alignment horizontal="center" vertical="center" wrapText="1"/>
    </xf>
    <xf numFmtId="168" fontId="0" fillId="0" borderId="21" xfId="1" applyNumberFormat="1" applyFont="1" applyBorder="1"/>
    <xf numFmtId="168" fontId="0" fillId="0" borderId="43" xfId="1" applyNumberFormat="1" applyFont="1" applyBorder="1"/>
    <xf numFmtId="167" fontId="1" fillId="12" borderId="7" xfId="0" applyNumberFormat="1" applyFont="1" applyFill="1" applyBorder="1"/>
    <xf numFmtId="165" fontId="1" fillId="12" borderId="30" xfId="1" applyNumberFormat="1" applyFont="1" applyFill="1" applyBorder="1"/>
    <xf numFmtId="167" fontId="1" fillId="12" borderId="32" xfId="1" applyNumberFormat="1" applyFont="1" applyFill="1" applyBorder="1"/>
    <xf numFmtId="164" fontId="5" fillId="0" borderId="0" xfId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2" fontId="12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7" fillId="0" borderId="0" xfId="3" applyFont="1"/>
    <xf numFmtId="9" fontId="0" fillId="0" borderId="0" xfId="0" applyNumberFormat="1"/>
    <xf numFmtId="165" fontId="1" fillId="5" borderId="6" xfId="0" applyNumberFormat="1" applyFont="1" applyFill="1" applyBorder="1"/>
    <xf numFmtId="0" fontId="1" fillId="0" borderId="5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65" fontId="0" fillId="0" borderId="8" xfId="1" applyNumberFormat="1" applyFont="1" applyBorder="1" applyAlignment="1">
      <alignment horizontal="center" vertical="center" wrapText="1"/>
    </xf>
    <xf numFmtId="165" fontId="2" fillId="0" borderId="8" xfId="1" applyNumberFormat="1" applyFont="1" applyBorder="1"/>
    <xf numFmtId="164" fontId="2" fillId="0" borderId="8" xfId="1" applyFont="1" applyBorder="1"/>
    <xf numFmtId="165" fontId="1" fillId="0" borderId="10" xfId="1" applyNumberFormat="1" applyFont="1" applyBorder="1"/>
    <xf numFmtId="165" fontId="18" fillId="0" borderId="0" xfId="1" applyNumberFormat="1" applyFont="1" applyBorder="1"/>
    <xf numFmtId="0" fontId="16" fillId="3" borderId="0" xfId="0" applyFont="1" applyFill="1"/>
    <xf numFmtId="165" fontId="16" fillId="0" borderId="0" xfId="1" applyNumberFormat="1" applyFont="1"/>
    <xf numFmtId="0" fontId="16" fillId="0" borderId="0" xfId="0" applyFont="1"/>
    <xf numFmtId="164" fontId="17" fillId="0" borderId="0" xfId="1" applyFont="1"/>
    <xf numFmtId="165" fontId="17" fillId="0" borderId="0" xfId="1" applyNumberFormat="1" applyFont="1"/>
    <xf numFmtId="168" fontId="16" fillId="0" borderId="0" xfId="1" applyNumberFormat="1" applyFont="1"/>
    <xf numFmtId="167" fontId="16" fillId="0" borderId="0" xfId="0" applyNumberFormat="1" applyFont="1"/>
    <xf numFmtId="168" fontId="0" fillId="13" borderId="6" xfId="1" applyNumberFormat="1" applyFont="1" applyFill="1" applyBorder="1"/>
    <xf numFmtId="165" fontId="12" fillId="3" borderId="22" xfId="0" applyNumberFormat="1" applyFont="1" applyFill="1" applyBorder="1"/>
    <xf numFmtId="164" fontId="0" fillId="0" borderId="0" xfId="0" applyNumberFormat="1"/>
    <xf numFmtId="164" fontId="0" fillId="0" borderId="0" xfId="1" applyFont="1" applyBorder="1"/>
    <xf numFmtId="0" fontId="0" fillId="5" borderId="27" xfId="0" applyFill="1" applyBorder="1" applyAlignment="1">
      <alignment horizontal="center" vertical="center"/>
    </xf>
    <xf numFmtId="165" fontId="0" fillId="0" borderId="51" xfId="1" applyNumberFormat="1" applyFont="1" applyBorder="1"/>
    <xf numFmtId="166" fontId="0" fillId="0" borderId="28" xfId="1" applyNumberFormat="1" applyFont="1" applyBorder="1"/>
    <xf numFmtId="164" fontId="0" fillId="0" borderId="31" xfId="0" applyNumberFormat="1" applyBorder="1"/>
    <xf numFmtId="165" fontId="2" fillId="0" borderId="28" xfId="1" applyNumberFormat="1" applyFont="1" applyBorder="1"/>
    <xf numFmtId="164" fontId="2" fillId="0" borderId="28" xfId="1" applyFont="1" applyBorder="1"/>
    <xf numFmtId="165" fontId="1" fillId="0" borderId="51" xfId="1" applyNumberFormat="1" applyFont="1" applyBorder="1"/>
    <xf numFmtId="165" fontId="0" fillId="0" borderId="29" xfId="0" applyNumberFormat="1" applyBorder="1"/>
    <xf numFmtId="165" fontId="0" fillId="0" borderId="31" xfId="0" applyNumberFormat="1" applyBorder="1"/>
    <xf numFmtId="167" fontId="0" fillId="0" borderId="29" xfId="1" applyNumberFormat="1" applyFont="1" applyBorder="1"/>
    <xf numFmtId="168" fontId="0" fillId="0" borderId="59" xfId="1" applyNumberFormat="1" applyFont="1" applyBorder="1"/>
    <xf numFmtId="167" fontId="0" fillId="0" borderId="31" xfId="1" applyNumberFormat="1" applyFont="1" applyBorder="1"/>
    <xf numFmtId="9" fontId="16" fillId="0" borderId="0" xfId="3" applyFont="1"/>
    <xf numFmtId="166" fontId="19" fillId="0" borderId="8" xfId="0" applyNumberFormat="1" applyFont="1" applyBorder="1"/>
    <xf numFmtId="37" fontId="19" fillId="0" borderId="8" xfId="0" applyNumberFormat="1" applyFont="1" applyBorder="1"/>
    <xf numFmtId="49" fontId="8" fillId="2" borderId="1" xfId="0" applyNumberFormat="1" applyFont="1" applyFill="1" applyBorder="1" applyAlignment="1">
      <alignment horizontal="left"/>
    </xf>
    <xf numFmtId="49" fontId="8" fillId="2" borderId="37" xfId="0" applyNumberFormat="1" applyFont="1" applyFill="1" applyBorder="1" applyAlignment="1">
      <alignment horizontal="left"/>
    </xf>
    <xf numFmtId="49" fontId="8" fillId="2" borderId="2" xfId="0" applyNumberFormat="1" applyFont="1" applyFill="1" applyBorder="1" applyAlignment="1">
      <alignment horizontal="left"/>
    </xf>
    <xf numFmtId="0" fontId="9" fillId="10" borderId="26" xfId="0" applyFont="1" applyFill="1" applyBorder="1" applyAlignment="1">
      <alignment horizontal="center" vertical="center" wrapText="1"/>
    </xf>
    <xf numFmtId="0" fontId="9" fillId="10" borderId="35" xfId="0" applyFont="1" applyFill="1" applyBorder="1" applyAlignment="1">
      <alignment horizontal="center" vertical="center" wrapText="1"/>
    </xf>
    <xf numFmtId="0" fontId="9" fillId="10" borderId="36" xfId="0" applyFont="1" applyFill="1" applyBorder="1" applyAlignment="1">
      <alignment horizontal="center" vertical="center" wrapText="1"/>
    </xf>
    <xf numFmtId="164" fontId="0" fillId="0" borderId="26" xfId="1" applyFont="1" applyBorder="1" applyAlignment="1">
      <alignment horizontal="center" vertical="center" wrapText="1"/>
    </xf>
    <xf numFmtId="164" fontId="0" fillId="0" borderId="35" xfId="1" applyFont="1" applyBorder="1" applyAlignment="1">
      <alignment horizontal="center" vertical="center" wrapText="1"/>
    </xf>
    <xf numFmtId="164" fontId="0" fillId="0" borderId="36" xfId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1" fillId="8" borderId="3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37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165" fontId="8" fillId="0" borderId="26" xfId="1" applyNumberFormat="1" applyFont="1" applyBorder="1" applyAlignment="1">
      <alignment horizontal="center" vertical="center" wrapText="1"/>
    </xf>
    <xf numFmtId="165" fontId="8" fillId="0" borderId="36" xfId="1" applyNumberFormat="1" applyFont="1" applyBorder="1" applyAlignment="1">
      <alignment horizontal="center" vertical="center" wrapText="1"/>
    </xf>
    <xf numFmtId="168" fontId="1" fillId="4" borderId="1" xfId="1" applyNumberFormat="1" applyFont="1" applyFill="1" applyBorder="1" applyAlignment="1">
      <alignment horizontal="center" vertical="center"/>
    </xf>
    <xf numFmtId="168" fontId="1" fillId="4" borderId="37" xfId="1" applyNumberFormat="1" applyFont="1" applyFill="1" applyBorder="1" applyAlignment="1">
      <alignment horizontal="center" vertical="center"/>
    </xf>
    <xf numFmtId="168" fontId="1" fillId="4" borderId="2" xfId="1" applyNumberFormat="1" applyFont="1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17" fontId="6" fillId="3" borderId="53" xfId="0" applyNumberFormat="1" applyFont="1" applyFill="1" applyBorder="1" applyAlignment="1">
      <alignment horizontal="center"/>
    </xf>
    <xf numFmtId="0" fontId="6" fillId="3" borderId="53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</cellXfs>
  <cellStyles count="9">
    <cellStyle name="Comma" xfId="1" builtinId="3"/>
    <cellStyle name="Comma [0] 2" xfId="6" xr:uid="{00000000-0005-0000-0000-000001000000}"/>
    <cellStyle name="Comma 10" xfId="2" xr:uid="{00000000-0005-0000-0000-000002000000}"/>
    <cellStyle name="Comma 2" xfId="4" xr:uid="{00000000-0005-0000-0000-000003000000}"/>
    <cellStyle name="Comma 3" xfId="8" xr:uid="{00000000-0005-0000-0000-000004000000}"/>
    <cellStyle name="Hyperlink 2" xfId="5" xr:uid="{00000000-0005-0000-0000-000007000000}"/>
    <cellStyle name="Normal" xfId="0" builtinId="0"/>
    <cellStyle name="Normal 2" xfId="7" xr:uid="{00000000-0005-0000-0000-000009000000}"/>
    <cellStyle name="Percent" xfId="3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236483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2"/>
  <sheetViews>
    <sheetView workbookViewId="0">
      <selection activeCell="J19" sqref="J19"/>
    </sheetView>
  </sheetViews>
  <sheetFormatPr defaultColWidth="11.5703125" defaultRowHeight="15"/>
  <cols>
    <col min="1" max="1" width="18.42578125" style="137" customWidth="1"/>
    <col min="2" max="2" width="11.5703125" style="138"/>
    <col min="3" max="3" width="11.5703125" style="139"/>
    <col min="4" max="4" width="13.42578125" style="138" customWidth="1"/>
    <col min="5" max="5" width="12.5703125" style="136" customWidth="1"/>
    <col min="6" max="6" width="12.5703125" style="140" customWidth="1"/>
    <col min="7" max="7" width="11.5703125" style="136"/>
    <col min="8" max="8" width="11.5703125" style="140"/>
    <col min="9" max="9" width="11.5703125" style="141"/>
    <col min="10" max="10" width="11.5703125" style="142"/>
    <col min="11" max="11" width="11.5703125" style="136"/>
    <col min="12" max="12" width="11.5703125" style="142"/>
    <col min="13" max="26" width="11.5703125" style="136"/>
  </cols>
  <sheetData>
    <row r="1" spans="1:15" s="130" customFormat="1" ht="60">
      <c r="A1" s="126" t="s">
        <v>0</v>
      </c>
      <c r="B1" s="126" t="s">
        <v>1</v>
      </c>
      <c r="C1" s="127" t="s">
        <v>2</v>
      </c>
      <c r="D1" s="126" t="s">
        <v>3</v>
      </c>
      <c r="E1" s="125" t="s">
        <v>4</v>
      </c>
      <c r="F1" s="128" t="s">
        <v>5</v>
      </c>
      <c r="G1" s="125" t="s">
        <v>6</v>
      </c>
      <c r="H1" s="128" t="s">
        <v>7</v>
      </c>
      <c r="I1" s="125" t="s">
        <v>8</v>
      </c>
      <c r="J1" s="128" t="s">
        <v>9</v>
      </c>
      <c r="K1" s="125" t="s">
        <v>10</v>
      </c>
      <c r="L1" s="129" t="s">
        <v>11</v>
      </c>
      <c r="M1" s="125" t="s">
        <v>12</v>
      </c>
      <c r="N1" s="125" t="s">
        <v>13</v>
      </c>
    </row>
    <row r="2" spans="1:15" ht="14.45">
      <c r="A2" s="131" t="s">
        <v>14</v>
      </c>
      <c r="B2" s="132">
        <v>1</v>
      </c>
      <c r="C2" s="133">
        <v>10</v>
      </c>
      <c r="D2" s="132">
        <v>2018</v>
      </c>
      <c r="E2" s="134">
        <f>'FS Jimbaran October 2018'!P12</f>
        <v>14940.000000000167</v>
      </c>
      <c r="F2" s="143">
        <f>'FS Jimbaran October 2018'!O12/'FS Jimbaran October 2018'!P12</f>
        <v>1254.2713433734939</v>
      </c>
      <c r="G2" s="134">
        <f>'FS Jimbaran October 2018'!AB12</f>
        <v>101.46532000000937</v>
      </c>
      <c r="H2" s="143">
        <f>'FS Jimbaran October 2018'!AC12/'FS Jimbaran October 2018'!AB12</f>
        <v>13376</v>
      </c>
      <c r="I2" s="134">
        <f>'FS Jimbaran October 2018'!AE12</f>
        <v>456.27999999999884</v>
      </c>
      <c r="J2" s="135">
        <f>'FS Jimbaran October 2018'!AF12/'FS Jimbaran October 2018'!AE12</f>
        <v>10000.000000000002</v>
      </c>
      <c r="K2" s="134">
        <f>'FS Jimbaran October 2018'!Q12</f>
        <v>921.10000000000582</v>
      </c>
      <c r="L2" s="143">
        <f>'FS Jimbaran October 2018'!V12/'FS Jimbaran October 2018'!Q12</f>
        <v>7701.0927282596713</v>
      </c>
      <c r="M2" s="134">
        <f>+'RNs &amp; Covers October 2018'!B6</f>
        <v>103</v>
      </c>
      <c r="N2" s="134">
        <f>+'RNs &amp; Covers October 2018'!C6</f>
        <v>616</v>
      </c>
    </row>
    <row r="3" spans="1:15" ht="14.45">
      <c r="A3" s="131" t="s">
        <v>14</v>
      </c>
      <c r="B3" s="132">
        <f>B2+1</f>
        <v>2</v>
      </c>
      <c r="C3" s="133">
        <v>10</v>
      </c>
      <c r="D3" s="132">
        <v>2018</v>
      </c>
      <c r="E3" s="134">
        <f>'FS Jimbaran October 2018'!P13</f>
        <v>25960.00000000072</v>
      </c>
      <c r="F3" s="143">
        <f>'FS Jimbaran October 2018'!O13/'FS Jimbaran October 2018'!P13</f>
        <v>1183.9252673343606</v>
      </c>
      <c r="G3" s="134">
        <f>'FS Jimbaran October 2018'!AB13</f>
        <v>551.04656000001637</v>
      </c>
      <c r="H3" s="143">
        <f>'FS Jimbaran October 2018'!AC13/'FS Jimbaran October 2018'!AB13</f>
        <v>13856.155433689653</v>
      </c>
      <c r="I3" s="134">
        <f>'FS Jimbaran October 2018'!AE13</f>
        <v>421.80000000000291</v>
      </c>
      <c r="J3" s="135">
        <f>'FS Jimbaran October 2018'!AF13/'FS Jimbaran October 2018'!AE13</f>
        <v>10000</v>
      </c>
      <c r="K3" s="134">
        <f>'FS Jimbaran October 2018'!Q13</f>
        <v>952</v>
      </c>
      <c r="L3" s="143">
        <f>'FS Jimbaran October 2018'!V13/'FS Jimbaran October 2018'!Q13</f>
        <v>7745.2300630252093</v>
      </c>
      <c r="M3" s="134">
        <f>+'RNs &amp; Covers October 2018'!B7</f>
        <v>118</v>
      </c>
      <c r="N3" s="134">
        <f>+'RNs &amp; Covers October 2018'!C7</f>
        <v>745</v>
      </c>
    </row>
    <row r="4" spans="1:15" ht="14.45">
      <c r="A4" s="131" t="s">
        <v>14</v>
      </c>
      <c r="B4" s="132">
        <f t="shared" ref="B4:B32" si="0">B3+1</f>
        <v>3</v>
      </c>
      <c r="C4" s="133">
        <v>10</v>
      </c>
      <c r="D4" s="132">
        <v>2018</v>
      </c>
      <c r="E4" s="134">
        <f>'FS Jimbaran October 2018'!P14</f>
        <v>25659.999999999171</v>
      </c>
      <c r="F4" s="143">
        <f>'FS Jimbaran October 2018'!O14/'FS Jimbaran October 2018'!P14</f>
        <v>1182.0849341387366</v>
      </c>
      <c r="G4" s="134">
        <f>'FS Jimbaran October 2018'!AB14</f>
        <v>142.83287999996716</v>
      </c>
      <c r="H4" s="143">
        <f>'FS Jimbaran October 2018'!AC14/'FS Jimbaran October 2018'!AB14</f>
        <v>13376</v>
      </c>
      <c r="I4" s="134">
        <f>'FS Jimbaran October 2018'!AE14</f>
        <v>248.07000000000698</v>
      </c>
      <c r="J4" s="135">
        <f>'FS Jimbaran October 2018'!AF14/'FS Jimbaran October 2018'!AE14</f>
        <v>10000</v>
      </c>
      <c r="K4" s="134">
        <f>'FS Jimbaran October 2018'!Q14</f>
        <v>939</v>
      </c>
      <c r="L4" s="143">
        <f>'FS Jimbaran October 2018'!V14/'FS Jimbaran October 2018'!Q14</f>
        <v>7645.7538445154414</v>
      </c>
      <c r="M4" s="134">
        <f>+'RNs &amp; Covers October 2018'!B8</f>
        <v>120</v>
      </c>
      <c r="N4" s="134">
        <f>+'RNs &amp; Covers October 2018'!C8</f>
        <v>878</v>
      </c>
    </row>
    <row r="5" spans="1:15" ht="14.45">
      <c r="A5" s="131" t="s">
        <v>14</v>
      </c>
      <c r="B5" s="132">
        <f t="shared" si="0"/>
        <v>4</v>
      </c>
      <c r="C5" s="133">
        <v>10</v>
      </c>
      <c r="D5" s="132">
        <v>2018</v>
      </c>
      <c r="E5" s="134">
        <f>'FS Jimbaran October 2018'!P15</f>
        <v>26120.000000000688</v>
      </c>
      <c r="F5" s="143">
        <f>'FS Jimbaran October 2018'!O15/'FS Jimbaran October 2018'!P15</f>
        <v>1185.0005260336918</v>
      </c>
      <c r="G5" s="134">
        <f>'FS Jimbaran October 2018'!AB15</f>
        <v>24</v>
      </c>
      <c r="H5" s="143">
        <f>'FS Jimbaran October 2018'!AC15/'FS Jimbaran October 2018'!AB15</f>
        <v>40979.166666666664</v>
      </c>
      <c r="I5" s="134">
        <f>'FS Jimbaran October 2018'!AE15</f>
        <v>1150.6299999999901</v>
      </c>
      <c r="J5" s="135">
        <f>'FS Jimbaran October 2018'!AF15/'FS Jimbaran October 2018'!AE15</f>
        <v>10000</v>
      </c>
      <c r="K5" s="134">
        <f>'FS Jimbaran October 2018'!Q15</f>
        <v>965.5</v>
      </c>
      <c r="L5" s="143">
        <f>'FS Jimbaran October 2018'!V15/'FS Jimbaran October 2018'!Q15</f>
        <v>7785.8788192646298</v>
      </c>
      <c r="M5" s="134">
        <f>+'RNs &amp; Covers October 2018'!B9</f>
        <v>124</v>
      </c>
      <c r="N5" s="134">
        <f>+'RNs &amp; Covers October 2018'!C9</f>
        <v>790</v>
      </c>
    </row>
    <row r="6" spans="1:15" ht="14.45">
      <c r="A6" s="131" t="s">
        <v>14</v>
      </c>
      <c r="B6" s="132">
        <f t="shared" si="0"/>
        <v>5</v>
      </c>
      <c r="C6" s="133">
        <v>10</v>
      </c>
      <c r="D6" s="132">
        <v>2018</v>
      </c>
      <c r="E6" s="134">
        <f>'FS Jimbaran October 2018'!P16</f>
        <v>25940.000000000055</v>
      </c>
      <c r="F6" s="143">
        <f>'FS Jimbaran October 2018'!O16/'FS Jimbaran October 2018'!P16</f>
        <v>1184.4188222821872</v>
      </c>
      <c r="G6" s="134">
        <f>'FS Jimbaran October 2018'!AB16</f>
        <v>406.04472000002107</v>
      </c>
      <c r="H6" s="143">
        <f>'FS Jimbaran October 2018'!AC16/'FS Jimbaran October 2018'!AB16</f>
        <v>13815.606750704677</v>
      </c>
      <c r="I6" s="134">
        <f>'FS Jimbaran October 2018'!AE16</f>
        <v>633.35000000000628</v>
      </c>
      <c r="J6" s="135">
        <f>'FS Jimbaran October 2018'!AF16/'FS Jimbaran October 2018'!AE16</f>
        <v>10000</v>
      </c>
      <c r="K6" s="134">
        <f>'FS Jimbaran October 2018'!Q16</f>
        <v>887</v>
      </c>
      <c r="L6" s="143">
        <f>'FS Jimbaran October 2018'!V16/'FS Jimbaran October 2018'!Q16</f>
        <v>7382.041578354002</v>
      </c>
      <c r="M6" s="134">
        <f>+'RNs &amp; Covers October 2018'!B10</f>
        <v>115</v>
      </c>
      <c r="N6" s="134">
        <f>+'RNs &amp; Covers October 2018'!C10</f>
        <v>918</v>
      </c>
    </row>
    <row r="7" spans="1:15" ht="14.45">
      <c r="A7" s="131" t="s">
        <v>14</v>
      </c>
      <c r="B7" s="132">
        <f t="shared" si="0"/>
        <v>6</v>
      </c>
      <c r="C7" s="133">
        <v>10</v>
      </c>
      <c r="D7" s="132">
        <v>2018</v>
      </c>
      <c r="E7" s="134">
        <f>'FS Jimbaran October 2018'!P17</f>
        <v>26819.999999999025</v>
      </c>
      <c r="F7" s="143">
        <f>'FS Jimbaran October 2018'!O17/'FS Jimbaran October 2018'!P17</f>
        <v>1183.6740906040307</v>
      </c>
      <c r="G7" s="134">
        <f>'FS Jimbaran October 2018'!AB17</f>
        <v>164.62091999999765</v>
      </c>
      <c r="H7" s="143">
        <f>'FS Jimbaran October 2018'!AC17/'FS Jimbaran October 2018'!AB17</f>
        <v>13248.361301346145</v>
      </c>
      <c r="I7" s="134">
        <f>'FS Jimbaran October 2018'!AE17</f>
        <v>609.92999999999302</v>
      </c>
      <c r="J7" s="135">
        <f>'FS Jimbaran October 2018'!AF17/'FS Jimbaran October 2018'!AE17</f>
        <v>10000</v>
      </c>
      <c r="K7" s="134">
        <f>'FS Jimbaran October 2018'!Q17</f>
        <v>1003.5</v>
      </c>
      <c r="L7" s="143">
        <f>'FS Jimbaran October 2018'!V17/'FS Jimbaran October 2018'!Q17</f>
        <v>7751.4966816143497</v>
      </c>
      <c r="M7" s="134">
        <f>+'RNs &amp; Covers October 2018'!B11</f>
        <v>89</v>
      </c>
      <c r="N7" s="134">
        <f>+'RNs &amp; Covers October 2018'!C11</f>
        <v>807</v>
      </c>
    </row>
    <row r="8" spans="1:15" ht="14.45">
      <c r="A8" s="131" t="s">
        <v>14</v>
      </c>
      <c r="B8" s="132">
        <f t="shared" si="0"/>
        <v>7</v>
      </c>
      <c r="C8" s="133">
        <v>10</v>
      </c>
      <c r="D8" s="132">
        <v>2018</v>
      </c>
      <c r="E8" s="134">
        <f>'FS Jimbaran October 2018'!P18</f>
        <v>26160.000000000877</v>
      </c>
      <c r="F8" s="143">
        <f>'FS Jimbaran October 2018'!O18/'FS Jimbaran October 2018'!P18</f>
        <v>1181.9413864678886</v>
      </c>
      <c r="G8" s="134">
        <f>'FS Jimbaran October 2018'!AB18</f>
        <v>578.50719999997659</v>
      </c>
      <c r="H8" s="143">
        <f>'FS Jimbaran October 2018'!AC18/'FS Jimbaran October 2018'!AB18</f>
        <v>13724.400158200291</v>
      </c>
      <c r="I8" s="134">
        <f>'FS Jimbaran October 2018'!AE18</f>
        <v>604.82000000000698</v>
      </c>
      <c r="J8" s="135">
        <f>'FS Jimbaran October 2018'!AF18/'FS Jimbaran October 2018'!AE18</f>
        <v>10000</v>
      </c>
      <c r="K8" s="134">
        <f>'FS Jimbaran October 2018'!Q18</f>
        <v>934.30000000000291</v>
      </c>
      <c r="L8" s="143">
        <f>'FS Jimbaran October 2018'!V18/'FS Jimbaran October 2018'!Q18</f>
        <v>7815.1603938777598</v>
      </c>
      <c r="M8" s="134">
        <f>+'RNs &amp; Covers October 2018'!B12</f>
        <v>71</v>
      </c>
      <c r="N8" s="134">
        <f>+'RNs &amp; Covers October 2018'!C12</f>
        <v>695</v>
      </c>
    </row>
    <row r="9" spans="1:15" ht="14.45">
      <c r="A9" s="131" t="s">
        <v>14</v>
      </c>
      <c r="B9" s="132">
        <f t="shared" si="0"/>
        <v>8</v>
      </c>
      <c r="C9" s="133">
        <v>10</v>
      </c>
      <c r="D9" s="132">
        <v>2018</v>
      </c>
      <c r="E9" s="134">
        <f>'FS Jimbaran October 2018'!P19</f>
        <v>24860.000000000127</v>
      </c>
      <c r="F9" s="143">
        <f>'FS Jimbaran October 2018'!O19/'FS Jimbaran October 2018'!P19</f>
        <v>1177.6893596138348</v>
      </c>
      <c r="G9" s="134">
        <f>'FS Jimbaran October 2018'!AB19</f>
        <v>167.07799999999997</v>
      </c>
      <c r="H9" s="143">
        <f>'FS Jimbaran October 2018'!AC19/'FS Jimbaran October 2018'!AB19</f>
        <v>13250.238379678953</v>
      </c>
      <c r="I9" s="134">
        <f>'FS Jimbaran October 2018'!AE19</f>
        <v>550.19999999999709</v>
      </c>
      <c r="J9" s="135">
        <f>'FS Jimbaran October 2018'!AF19/'FS Jimbaran October 2018'!AE19</f>
        <v>10000</v>
      </c>
      <c r="K9" s="134">
        <f>'FS Jimbaran October 2018'!Q19</f>
        <v>779.69999999999709</v>
      </c>
      <c r="L9" s="143">
        <f>'FS Jimbaran October 2018'!V19/'FS Jimbaran October 2018'!Q19</f>
        <v>8497.8521277414529</v>
      </c>
      <c r="M9" s="134">
        <f>+'RNs &amp; Covers October 2018'!B13</f>
        <v>55</v>
      </c>
      <c r="N9" s="134">
        <f>+'RNs &amp; Covers October 2018'!C13</f>
        <v>596</v>
      </c>
      <c r="O9" s="136" t="s">
        <v>15</v>
      </c>
    </row>
    <row r="10" spans="1:15" ht="14.45">
      <c r="A10" s="131" t="s">
        <v>14</v>
      </c>
      <c r="B10" s="132">
        <f t="shared" si="0"/>
        <v>9</v>
      </c>
      <c r="C10" s="133">
        <v>10</v>
      </c>
      <c r="D10" s="132">
        <v>2018</v>
      </c>
      <c r="E10" s="134">
        <f>'FS Jimbaran October 2018'!P20</f>
        <v>24419.999999999731</v>
      </c>
      <c r="F10" s="143">
        <f>'FS Jimbaran October 2018'!O20/'FS Jimbaran October 2018'!P20</f>
        <v>1189.1110687960713</v>
      </c>
      <c r="G10" s="134">
        <f>'FS Jimbaran October 2018'!AB20</f>
        <v>140.85916000000466</v>
      </c>
      <c r="H10" s="143">
        <f>'FS Jimbaran October 2018'!AC20/'FS Jimbaran October 2018'!AB20</f>
        <v>13376</v>
      </c>
      <c r="I10" s="134">
        <f>'FS Jimbaran October 2018'!AE20</f>
        <v>413.94999999999709</v>
      </c>
      <c r="J10" s="135">
        <f>'FS Jimbaran October 2018'!AF20/'FS Jimbaran October 2018'!AE20</f>
        <v>10000</v>
      </c>
      <c r="K10" s="134">
        <f>'FS Jimbaran October 2018'!Q20</f>
        <v>900</v>
      </c>
      <c r="L10" s="143">
        <f>'FS Jimbaran October 2018'!V20/'FS Jimbaran October 2018'!Q20</f>
        <v>8296.0337111111112</v>
      </c>
      <c r="M10" s="134">
        <f>+'RNs &amp; Covers October 2018'!B14</f>
        <v>73</v>
      </c>
      <c r="N10" s="134">
        <f>+'RNs &amp; Covers October 2018'!C14</f>
        <v>474</v>
      </c>
    </row>
    <row r="11" spans="1:15" ht="14.45">
      <c r="A11" s="131" t="s">
        <v>14</v>
      </c>
      <c r="B11" s="132">
        <f t="shared" si="0"/>
        <v>10</v>
      </c>
      <c r="C11" s="133">
        <v>10</v>
      </c>
      <c r="D11" s="132">
        <v>2018</v>
      </c>
      <c r="E11" s="134">
        <f>'FS Jimbaran October 2018'!P21</f>
        <v>23860.000000000015</v>
      </c>
      <c r="F11" s="143">
        <f>'FS Jimbaran October 2018'!O21/'FS Jimbaran October 2018'!P21</f>
        <v>1185.5687212908647</v>
      </c>
      <c r="G11" s="134">
        <f>'FS Jimbaran October 2018'!AB21</f>
        <v>379.13767999999061</v>
      </c>
      <c r="H11" s="143">
        <f>'FS Jimbaran October 2018'!AC21/'FS Jimbaran October 2018'!AB21</f>
        <v>15704.969254651825</v>
      </c>
      <c r="I11" s="134">
        <f>'FS Jimbaran October 2018'!AE21</f>
        <v>628.77000000000999</v>
      </c>
      <c r="J11" s="135">
        <f>'FS Jimbaran October 2018'!AF21/'FS Jimbaran October 2018'!AE21</f>
        <v>10000</v>
      </c>
      <c r="K11" s="134">
        <f>'FS Jimbaran October 2018'!Q21</f>
        <v>678.10000000000582</v>
      </c>
      <c r="L11" s="143">
        <f>'FS Jimbaran October 2018'!V21/'FS Jimbaran October 2018'!Q21</f>
        <v>8547.1357498893649</v>
      </c>
      <c r="M11" s="134">
        <f>+'RNs &amp; Covers October 2018'!B15</f>
        <v>83</v>
      </c>
      <c r="N11" s="134">
        <f>+'RNs &amp; Covers October 2018'!C15</f>
        <v>586</v>
      </c>
    </row>
    <row r="12" spans="1:15" ht="14.45">
      <c r="A12" s="131" t="s">
        <v>14</v>
      </c>
      <c r="B12" s="132">
        <f t="shared" si="0"/>
        <v>11</v>
      </c>
      <c r="C12" s="133">
        <v>10</v>
      </c>
      <c r="D12" s="132">
        <v>2018</v>
      </c>
      <c r="E12" s="134">
        <f>'FS Jimbaran October 2018'!P22</f>
        <v>26519.999999999753</v>
      </c>
      <c r="F12" s="143">
        <f>'FS Jimbaran October 2018'!O22/'FS Jimbaran October 2018'!P22</f>
        <v>1179.8401255656072</v>
      </c>
      <c r="G12" s="134">
        <f>'FS Jimbaran October 2018'!AB22</f>
        <v>141.58420000003517</v>
      </c>
      <c r="H12" s="143">
        <f>'FS Jimbaran October 2018'!AC22/'FS Jimbaran October 2018'!AB22</f>
        <v>13376</v>
      </c>
      <c r="I12" s="134">
        <f>'FS Jimbaran October 2018'!AE22</f>
        <v>790.5</v>
      </c>
      <c r="J12" s="135">
        <f>'FS Jimbaran October 2018'!AF22/'FS Jimbaran October 2018'!AE22</f>
        <v>10000</v>
      </c>
      <c r="K12" s="134">
        <f>'FS Jimbaran October 2018'!Q22</f>
        <v>877.39999999999418</v>
      </c>
      <c r="L12" s="143">
        <f>'FS Jimbaran October 2018'!V22/'FS Jimbaran October 2018'!Q22</f>
        <v>7995.8049555505104</v>
      </c>
      <c r="M12" s="134">
        <f>+'RNs &amp; Covers October 2018'!B16</f>
        <v>105</v>
      </c>
      <c r="N12" s="134">
        <f>+'RNs &amp; Covers October 2018'!C16</f>
        <v>683</v>
      </c>
    </row>
    <row r="13" spans="1:15" ht="14.45">
      <c r="A13" s="131" t="s">
        <v>14</v>
      </c>
      <c r="B13" s="132">
        <f t="shared" si="0"/>
        <v>12</v>
      </c>
      <c r="C13" s="133">
        <v>10</v>
      </c>
      <c r="D13" s="132">
        <v>2018</v>
      </c>
      <c r="E13" s="134">
        <f>'FS Jimbaran October 2018'!P23</f>
        <v>26260.00000000056</v>
      </c>
      <c r="F13" s="143">
        <f>'FS Jimbaran October 2018'!O23/'FS Jimbaran October 2018'!P23</f>
        <v>1186.1377060167556</v>
      </c>
      <c r="G13" s="134">
        <f>'FS Jimbaran October 2018'!AB23</f>
        <v>162.96943999998356</v>
      </c>
      <c r="H13" s="143">
        <f>'FS Jimbaran October 2018'!AC23/'FS Jimbaran October 2018'!AB23</f>
        <v>13247.067851739552</v>
      </c>
      <c r="I13" s="134">
        <f>'FS Jimbaran October 2018'!AE23</f>
        <v>597.97999999999593</v>
      </c>
      <c r="J13" s="135">
        <f>'FS Jimbaran October 2018'!AF23/'FS Jimbaran October 2018'!AE23</f>
        <v>10000</v>
      </c>
      <c r="K13" s="134">
        <f>'FS Jimbaran October 2018'!Q23</f>
        <v>933</v>
      </c>
      <c r="L13" s="143">
        <f>'FS Jimbaran October 2018'!V23/'FS Jimbaran October 2018'!Q23</f>
        <v>7621.7127116827442</v>
      </c>
      <c r="M13" s="134">
        <f>+'RNs &amp; Covers October 2018'!B17</f>
        <v>99</v>
      </c>
      <c r="N13" s="134">
        <f>+'RNs &amp; Covers October 2018'!C17</f>
        <v>787</v>
      </c>
    </row>
    <row r="14" spans="1:15" ht="14.45">
      <c r="A14" s="131" t="s">
        <v>14</v>
      </c>
      <c r="B14" s="132">
        <f t="shared" si="0"/>
        <v>13</v>
      </c>
      <c r="C14" s="133">
        <v>10</v>
      </c>
      <c r="D14" s="132">
        <v>2018</v>
      </c>
      <c r="E14" s="134">
        <f>'FS Jimbaran October 2018'!P24</f>
        <v>24639.99999999885</v>
      </c>
      <c r="F14" s="143">
        <f>'FS Jimbaran October 2018'!O24/'FS Jimbaran October 2018'!P24</f>
        <v>1183.7906079545505</v>
      </c>
      <c r="G14" s="134">
        <f>'FS Jimbaran October 2018'!AB24</f>
        <v>605.56848000001401</v>
      </c>
      <c r="H14" s="143">
        <f>'FS Jimbaran October 2018'!AC24/'FS Jimbaran October 2018'!AB24</f>
        <v>13639.435111417948</v>
      </c>
      <c r="I14" s="134">
        <f>'FS Jimbaran October 2018'!AE24</f>
        <v>602.27999999999884</v>
      </c>
      <c r="J14" s="135">
        <f>'FS Jimbaran October 2018'!AF24/'FS Jimbaran October 2018'!AE24</f>
        <v>10000</v>
      </c>
      <c r="K14" s="134">
        <f>'FS Jimbaran October 2018'!Q24</f>
        <v>883.30000000000291</v>
      </c>
      <c r="L14" s="143">
        <f>'FS Jimbaran October 2018'!V24/'FS Jimbaran October 2018'!Q24</f>
        <v>7914.7967123287563</v>
      </c>
      <c r="M14" s="134">
        <f>+'RNs &amp; Covers October 2018'!B18</f>
        <v>83</v>
      </c>
      <c r="N14" s="134">
        <f>+'RNs &amp; Covers October 2018'!C18</f>
        <v>772</v>
      </c>
    </row>
    <row r="15" spans="1:15" ht="14.45">
      <c r="A15" s="131" t="s">
        <v>14</v>
      </c>
      <c r="B15" s="132">
        <f t="shared" si="0"/>
        <v>14</v>
      </c>
      <c r="C15" s="133">
        <v>10</v>
      </c>
      <c r="D15" s="132">
        <v>2018</v>
      </c>
      <c r="E15" s="134">
        <f>'FS Jimbaran October 2018'!P25</f>
        <v>24780.00000000088</v>
      </c>
      <c r="F15" s="143">
        <f>'FS Jimbaran October 2018'!O25/'FS Jimbaran October 2018'!P25</f>
        <v>1177.9803050847452</v>
      </c>
      <c r="G15" s="134">
        <f>'FS Jimbaran October 2018'!AB25</f>
        <v>135.29708000000232</v>
      </c>
      <c r="H15" s="143">
        <f>'FS Jimbaran October 2018'!AC25/'FS Jimbaran October 2018'!AB25</f>
        <v>13220.697313497087</v>
      </c>
      <c r="I15" s="134">
        <f>'FS Jimbaran October 2018'!AE25</f>
        <v>568.72000000000116</v>
      </c>
      <c r="J15" s="135">
        <f>'FS Jimbaran October 2018'!AF25/'FS Jimbaran October 2018'!AE25</f>
        <v>10000</v>
      </c>
      <c r="K15" s="134">
        <f>'FS Jimbaran October 2018'!Q25</f>
        <v>966.30000000000291</v>
      </c>
      <c r="L15" s="143">
        <f>'FS Jimbaran October 2018'!V25/'FS Jimbaran October 2018'!Q25</f>
        <v>7742.5109344923849</v>
      </c>
      <c r="M15" s="134">
        <f>+'RNs &amp; Covers October 2018'!B19</f>
        <v>56</v>
      </c>
      <c r="N15" s="134">
        <f>+'RNs &amp; Covers October 2018'!C19</f>
        <v>646</v>
      </c>
    </row>
    <row r="16" spans="1:15" ht="14.45">
      <c r="A16" s="131" t="s">
        <v>14</v>
      </c>
      <c r="B16" s="132">
        <f t="shared" si="0"/>
        <v>15</v>
      </c>
      <c r="C16" s="133">
        <v>10</v>
      </c>
      <c r="D16" s="132">
        <v>2018</v>
      </c>
      <c r="E16" s="134">
        <f>'FS Jimbaran October 2018'!P26</f>
        <v>26039.999999999738</v>
      </c>
      <c r="F16" s="143">
        <f>'FS Jimbaran October 2018'!O26/'FS Jimbaran October 2018'!P26</f>
        <v>1190.7293467741908</v>
      </c>
      <c r="G16" s="134">
        <f>'FS Jimbaran October 2018'!AB26</f>
        <v>384.89771999996248</v>
      </c>
      <c r="H16" s="143">
        <f>'FS Jimbaran October 2018'!AC26/'FS Jimbaran October 2018'!AB26</f>
        <v>13839.759567087114</v>
      </c>
      <c r="I16" s="134">
        <f>'FS Jimbaran October 2018'!AE26</f>
        <v>510.69999999999709</v>
      </c>
      <c r="J16" s="135">
        <f>'FS Jimbaran October 2018'!AF26/'FS Jimbaran October 2018'!AE26</f>
        <v>10000</v>
      </c>
      <c r="K16" s="134">
        <f>'FS Jimbaran October 2018'!Q26</f>
        <v>957.5</v>
      </c>
      <c r="L16" s="143">
        <f>'FS Jimbaran October 2018'!V26/'FS Jimbaran October 2018'!Q26</f>
        <v>7755.8149347258495</v>
      </c>
      <c r="M16" s="134">
        <f>+'RNs &amp; Covers October 2018'!B20</f>
        <v>125</v>
      </c>
      <c r="N16" s="134">
        <f>+'RNs &amp; Covers October 2018'!C20</f>
        <v>646</v>
      </c>
    </row>
    <row r="17" spans="1:14" ht="14.45">
      <c r="A17" s="131" t="s">
        <v>14</v>
      </c>
      <c r="B17" s="132">
        <f t="shared" si="0"/>
        <v>16</v>
      </c>
      <c r="C17" s="133">
        <v>10</v>
      </c>
      <c r="D17" s="132">
        <v>2018</v>
      </c>
      <c r="E17" s="134">
        <f>'FS Jimbaran October 2018'!P27</f>
        <v>25599.99999999968</v>
      </c>
      <c r="F17" s="143">
        <f>'FS Jimbaran October 2018'!O27/'FS Jimbaran October 2018'!P27</f>
        <v>1187.4044355468773</v>
      </c>
      <c r="G17" s="134">
        <f>'FS Jimbaran October 2018'!AB27</f>
        <v>171.46851999998592</v>
      </c>
      <c r="H17" s="143">
        <f>'FS Jimbaran October 2018'!AC27/'FS Jimbaran October 2018'!AB27</f>
        <v>17362.084442789008</v>
      </c>
      <c r="I17" s="134">
        <f>'FS Jimbaran October 2018'!AE27</f>
        <v>383.30000000000291</v>
      </c>
      <c r="J17" s="135">
        <f>'FS Jimbaran October 2018'!AF27/'FS Jimbaran October 2018'!AE27</f>
        <v>10000</v>
      </c>
      <c r="K17" s="134">
        <f>'FS Jimbaran October 2018'!Q27</f>
        <v>835.09999999999127</v>
      </c>
      <c r="L17" s="143">
        <f>'FS Jimbaran October 2018'!V27/'FS Jimbaran October 2018'!Q27</f>
        <v>8489.0097617052234</v>
      </c>
      <c r="M17" s="134">
        <f>+'RNs &amp; Covers October 2018'!B21</f>
        <v>127</v>
      </c>
      <c r="N17" s="134">
        <f>+'RNs &amp; Covers October 2018'!C21</f>
        <v>621</v>
      </c>
    </row>
    <row r="18" spans="1:14" ht="14.45">
      <c r="A18" s="131" t="s">
        <v>14</v>
      </c>
      <c r="B18" s="132">
        <f t="shared" si="0"/>
        <v>17</v>
      </c>
      <c r="C18" s="133">
        <v>10</v>
      </c>
      <c r="D18" s="132">
        <v>2018</v>
      </c>
      <c r="E18" s="134">
        <f>'FS Jimbaran October 2018'!P28</f>
        <v>25859.999999999785</v>
      </c>
      <c r="F18" s="143">
        <f>'FS Jimbaran October 2018'!O28/'FS Jimbaran October 2018'!P28</f>
        <v>1185.5595556844551</v>
      </c>
      <c r="G18" s="134">
        <f>'FS Jimbaran October 2018'!AB28</f>
        <v>141.54391999999763</v>
      </c>
      <c r="H18" s="143">
        <f>'FS Jimbaran October 2018'!AC28/'FS Jimbaran October 2018'!AB28</f>
        <v>13376</v>
      </c>
      <c r="I18" s="134">
        <f>'FS Jimbaran October 2018'!AE28</f>
        <v>556.62000000000489</v>
      </c>
      <c r="J18" s="135">
        <f>'FS Jimbaran October 2018'!AF28/'FS Jimbaran October 2018'!AE28</f>
        <v>10000</v>
      </c>
      <c r="K18" s="134">
        <f>'FS Jimbaran October 2018'!Q28</f>
        <v>918.60000000000582</v>
      </c>
      <c r="L18" s="143">
        <f>'FS Jimbaran October 2018'!V28/'FS Jimbaran October 2018'!Q28</f>
        <v>8139.1715784889839</v>
      </c>
      <c r="M18" s="134">
        <f>+'RNs &amp; Covers October 2018'!B22</f>
        <v>131</v>
      </c>
      <c r="N18" s="134">
        <f>+'RNs &amp; Covers October 2018'!C22</f>
        <v>891</v>
      </c>
    </row>
    <row r="19" spans="1:14" ht="14.45">
      <c r="A19" s="131" t="s">
        <v>14</v>
      </c>
      <c r="B19" s="132">
        <f t="shared" si="0"/>
        <v>18</v>
      </c>
      <c r="C19" s="133">
        <v>10</v>
      </c>
      <c r="D19" s="132">
        <v>2018</v>
      </c>
      <c r="E19" s="134">
        <f>'FS Jimbaran October 2018'!P29</f>
        <v>26019.999999999982</v>
      </c>
      <c r="F19" s="143">
        <f>'FS Jimbaran October 2018'!O29/'FS Jimbaran October 2018'!P29</f>
        <v>1182.4491548808601</v>
      </c>
      <c r="G19" s="134">
        <f>'FS Jimbaran October 2018'!AB29</f>
        <v>566.95372000002112</v>
      </c>
      <c r="H19" s="143">
        <f>'FS Jimbaran October 2018'!AC29/'FS Jimbaran October 2018'!AB29</f>
        <v>13805.622368471257</v>
      </c>
      <c r="I19" s="134">
        <f>'FS Jimbaran October 2018'!AE29</f>
        <v>696.97999999999593</v>
      </c>
      <c r="J19" s="135">
        <f>'FS Jimbaran October 2018'!AF29/'FS Jimbaran October 2018'!AE29</f>
        <v>10000</v>
      </c>
      <c r="K19" s="134">
        <f>'FS Jimbaran October 2018'!Q29</f>
        <v>859.09999999999127</v>
      </c>
      <c r="L19" s="143">
        <f>'FS Jimbaran October 2018'!V29/'FS Jimbaran October 2018'!Q29</f>
        <v>8293.9059154929928</v>
      </c>
      <c r="M19" s="134">
        <f>+'RNs &amp; Covers October 2018'!B23</f>
        <v>128</v>
      </c>
      <c r="N19" s="134">
        <f>+'RNs &amp; Covers October 2018'!C23</f>
        <v>653</v>
      </c>
    </row>
    <row r="20" spans="1:14">
      <c r="A20" s="131" t="s">
        <v>14</v>
      </c>
      <c r="B20" s="132">
        <f t="shared" si="0"/>
        <v>19</v>
      </c>
      <c r="C20" s="133">
        <v>10</v>
      </c>
      <c r="D20" s="132">
        <v>2018</v>
      </c>
      <c r="E20" s="134">
        <f>'FS Jimbaran October 2018'!P30</f>
        <v>26420.00000000064</v>
      </c>
      <c r="F20" s="143">
        <f>'FS Jimbaran October 2018'!O30/'FS Jimbaran October 2018'!P30</f>
        <v>1183.0708955336841</v>
      </c>
      <c r="G20" s="134">
        <f>'FS Jimbaran October 2018'!AB30</f>
        <v>163.53335999998123</v>
      </c>
      <c r="H20" s="143">
        <f>'FS Jimbaran October 2018'!AC30/'FS Jimbaran October 2018'!AB30</f>
        <v>13247.512454706473</v>
      </c>
      <c r="I20" s="134">
        <f>'FS Jimbaran October 2018'!AE30</f>
        <v>184.74</v>
      </c>
      <c r="J20" s="135">
        <f>'FS Jimbaran October 2018'!AF30/'FS Jimbaran October 2018'!AE30</f>
        <v>10000</v>
      </c>
      <c r="K20" s="134">
        <f>'FS Jimbaran October 2018'!Q30</f>
        <v>959.10000000000582</v>
      </c>
      <c r="L20" s="143">
        <f>'FS Jimbaran October 2018'!V30/'FS Jimbaran October 2018'!Q30</f>
        <v>7792.082131164615</v>
      </c>
      <c r="M20" s="134">
        <f>+'RNs &amp; Covers October 2018'!B24</f>
        <v>123</v>
      </c>
      <c r="N20" s="134">
        <f>+'RNs &amp; Covers October 2018'!C24</f>
        <v>767</v>
      </c>
    </row>
    <row r="21" spans="1:14">
      <c r="A21" s="131" t="s">
        <v>14</v>
      </c>
      <c r="B21" s="132">
        <f t="shared" si="0"/>
        <v>20</v>
      </c>
      <c r="C21" s="133">
        <v>10</v>
      </c>
      <c r="D21" s="132">
        <v>2018</v>
      </c>
      <c r="E21" s="134">
        <f>'FS Jimbaran October 2018'!P31</f>
        <v>24880.000000000335</v>
      </c>
      <c r="F21" s="143">
        <f>'FS Jimbaran October 2018'!O31/'FS Jimbaran October 2018'!P31</f>
        <v>1191.1678155144684</v>
      </c>
      <c r="G21" s="134">
        <f>'FS Jimbaran October 2018'!AB31</f>
        <v>150.68404000003048</v>
      </c>
      <c r="H21" s="143">
        <f>'FS Jimbaran October 2018'!AC31/'FS Jimbaran October 2018'!AB31</f>
        <v>13236.555902270766</v>
      </c>
      <c r="I21" s="134">
        <f>'FS Jimbaran October 2018'!AE31</f>
        <v>1699.7399999999989</v>
      </c>
      <c r="J21" s="135">
        <f>'FS Jimbaran October 2018'!AF31/'FS Jimbaran October 2018'!AE31</f>
        <v>10000</v>
      </c>
      <c r="K21" s="134">
        <f>'FS Jimbaran October 2018'!Q31</f>
        <v>930.30000000000291</v>
      </c>
      <c r="L21" s="143">
        <f>'FS Jimbaran October 2018'!V31/'FS Jimbaran October 2018'!Q31</f>
        <v>7544.9539675373453</v>
      </c>
      <c r="M21" s="134">
        <f>+'RNs &amp; Covers October 2018'!B25</f>
        <v>118</v>
      </c>
      <c r="N21" s="134">
        <f>+'RNs &amp; Covers October 2018'!C25</f>
        <v>504</v>
      </c>
    </row>
    <row r="22" spans="1:14">
      <c r="A22" s="131" t="s">
        <v>14</v>
      </c>
      <c r="B22" s="132">
        <f t="shared" si="0"/>
        <v>21</v>
      </c>
      <c r="C22" s="133">
        <v>10</v>
      </c>
      <c r="D22" s="132">
        <v>2018</v>
      </c>
      <c r="E22" s="134">
        <f>'FS Jimbaran October 2018'!P32</f>
        <v>27579.999999999585</v>
      </c>
      <c r="F22" s="143">
        <f>'FS Jimbaran October 2018'!O32/'FS Jimbaran October 2018'!P32</f>
        <v>1183.7861269035593</v>
      </c>
      <c r="G22" s="134">
        <f>'FS Jimbaran October 2018'!AB32</f>
        <v>391.21824000000703</v>
      </c>
      <c r="H22" s="143">
        <f>'FS Jimbaran October 2018'!AC32/'FS Jimbaran October 2018'!AB32</f>
        <v>13778.557917544942</v>
      </c>
      <c r="I22" s="134">
        <f>'FS Jimbaran October 2018'!AE32</f>
        <v>439.11999999999978</v>
      </c>
      <c r="J22" s="135">
        <f>'FS Jimbaran October 2018'!AF32/'FS Jimbaran October 2018'!AE32</f>
        <v>10000</v>
      </c>
      <c r="K22" s="134">
        <f>'FS Jimbaran October 2018'!Q32</f>
        <v>832.19999999999709</v>
      </c>
      <c r="L22" s="143">
        <f>'FS Jimbaran October 2018'!V32/'FS Jimbaran October 2018'!Q32</f>
        <v>7757.9556404710502</v>
      </c>
      <c r="M22" s="134">
        <f>+'RNs &amp; Covers October 2018'!B26</f>
        <v>110</v>
      </c>
      <c r="N22" s="134">
        <f>+'RNs &amp; Covers October 2018'!C26</f>
        <v>716</v>
      </c>
    </row>
    <row r="23" spans="1:14">
      <c r="A23" s="131" t="s">
        <v>14</v>
      </c>
      <c r="B23" s="132">
        <f t="shared" si="0"/>
        <v>22</v>
      </c>
      <c r="C23" s="133">
        <v>10</v>
      </c>
      <c r="D23" s="132">
        <v>2018</v>
      </c>
      <c r="E23" s="134">
        <f>'FS Jimbaran October 2018'!P33</f>
        <v>27099.999999999796</v>
      </c>
      <c r="F23" s="143">
        <f>'FS Jimbaran October 2018'!O33/'FS Jimbaran October 2018'!P33</f>
        <v>1187.4969265682644</v>
      </c>
      <c r="G23" s="134">
        <f>'FS Jimbaran October 2018'!AB33</f>
        <v>165.95016000000467</v>
      </c>
      <c r="H23" s="143">
        <f>'FS Jimbaran October 2018'!AC33/'FS Jimbaran October 2018'!AB33</f>
        <v>17494.634173055216</v>
      </c>
      <c r="I23" s="134">
        <f>'FS Jimbaran October 2018'!AE33</f>
        <v>508.02</v>
      </c>
      <c r="J23" s="135">
        <f>'FS Jimbaran October 2018'!AF33/'FS Jimbaran October 2018'!AE33</f>
        <v>10000</v>
      </c>
      <c r="K23" s="134">
        <f>'FS Jimbaran October 2018'!Q33</f>
        <v>862.30000000000291</v>
      </c>
      <c r="L23" s="143">
        <f>'FS Jimbaran October 2018'!V33/'FS Jimbaran October 2018'!Q33</f>
        <v>8082.3515899338863</v>
      </c>
      <c r="M23" s="134">
        <f>+'RNs &amp; Covers October 2018'!B27</f>
        <v>113</v>
      </c>
      <c r="N23" s="134">
        <f>+'RNs &amp; Covers October 2018'!C27</f>
        <v>391</v>
      </c>
    </row>
    <row r="24" spans="1:14">
      <c r="A24" s="131" t="s">
        <v>14</v>
      </c>
      <c r="B24" s="132">
        <f t="shared" si="0"/>
        <v>23</v>
      </c>
      <c r="C24" s="133">
        <v>10</v>
      </c>
      <c r="D24" s="132">
        <v>2018</v>
      </c>
      <c r="E24" s="134">
        <f>'FS Jimbaran October 2018'!P34</f>
        <v>26879.999999999884</v>
      </c>
      <c r="F24" s="143">
        <f>'FS Jimbaran October 2018'!O34/'FS Jimbaran October 2018'!P34</f>
        <v>1184.6733749999994</v>
      </c>
      <c r="G24" s="134">
        <f>'FS Jimbaran October 2018'!AB34</f>
        <v>569.45108000000232</v>
      </c>
      <c r="H24" s="143">
        <f>'FS Jimbaran October 2018'!AC34/'FS Jimbaran October 2018'!AB34</f>
        <v>13803.738235214163</v>
      </c>
      <c r="I24" s="134">
        <f>'FS Jimbaran October 2018'!AE34</f>
        <v>435.08000000000015</v>
      </c>
      <c r="J24" s="135">
        <f>'FS Jimbaran October 2018'!AF34/'FS Jimbaran October 2018'!AE34</f>
        <v>10000</v>
      </c>
      <c r="K24" s="134">
        <f>'FS Jimbaran October 2018'!Q34</f>
        <v>960.5</v>
      </c>
      <c r="L24" s="143">
        <f>'FS Jimbaran October 2018'!V34/'FS Jimbaran October 2018'!Q34</f>
        <v>7554.5844039562735</v>
      </c>
      <c r="M24" s="134">
        <f>+'RNs &amp; Covers October 2018'!B28</f>
        <v>122</v>
      </c>
      <c r="N24" s="134">
        <f>+'RNs &amp; Covers October 2018'!C28</f>
        <v>611</v>
      </c>
    </row>
    <row r="25" spans="1:14">
      <c r="A25" s="131" t="s">
        <v>14</v>
      </c>
      <c r="B25" s="132">
        <f t="shared" si="0"/>
        <v>24</v>
      </c>
      <c r="C25" s="133">
        <v>10</v>
      </c>
      <c r="D25" s="132">
        <v>2018</v>
      </c>
      <c r="E25" s="134">
        <f>'FS Jimbaran October 2018'!P35</f>
        <v>26759.999999999651</v>
      </c>
      <c r="F25" s="143">
        <f>'FS Jimbaran October 2018'!O35/'FS Jimbaran October 2018'!P35</f>
        <v>1186.7344843049339</v>
      </c>
      <c r="G25" s="134">
        <f>'FS Jimbaran October 2018'!AB35</f>
        <v>141.66475999999295</v>
      </c>
      <c r="H25" s="143">
        <f>'FS Jimbaran October 2018'!AC35/'FS Jimbaran October 2018'!AB35</f>
        <v>13376</v>
      </c>
      <c r="I25" s="134">
        <f>'FS Jimbaran October 2018'!AE35</f>
        <v>952.05000000000018</v>
      </c>
      <c r="J25" s="135">
        <f>'FS Jimbaran October 2018'!AF35/'FS Jimbaran October 2018'!AE35</f>
        <v>10000</v>
      </c>
      <c r="K25" s="134">
        <f>'FS Jimbaran October 2018'!Q35</f>
        <v>939.59999999999127</v>
      </c>
      <c r="L25" s="143">
        <f>'FS Jimbaran October 2018'!V35/'FS Jimbaran October 2018'!Q35</f>
        <v>7924.311336739067</v>
      </c>
      <c r="M25" s="134">
        <f>+'RNs &amp; Covers October 2018'!B29</f>
        <v>123</v>
      </c>
      <c r="N25" s="134">
        <f>+'RNs &amp; Covers October 2018'!C29</f>
        <v>572</v>
      </c>
    </row>
    <row r="26" spans="1:14">
      <c r="A26" s="131" t="s">
        <v>14</v>
      </c>
      <c r="B26" s="132">
        <f>B25+1</f>
        <v>25</v>
      </c>
      <c r="C26" s="133">
        <v>10</v>
      </c>
      <c r="D26" s="132">
        <v>2018</v>
      </c>
      <c r="E26" s="134">
        <f>'FS Jimbaran October 2018'!P36</f>
        <v>27620.000000000116</v>
      </c>
      <c r="F26" s="143">
        <f>'FS Jimbaran October 2018'!O36/'FS Jimbaran October 2018'!P36</f>
        <v>1180.1029301230997</v>
      </c>
      <c r="G26" s="134">
        <f>'FS Jimbaran October 2018'!AB36</f>
        <v>161.11655999995779</v>
      </c>
      <c r="H26" s="143">
        <f>'FS Jimbaran October 2018'!AC36/'FS Jimbaran October 2018'!AB36</f>
        <v>13245.585100376986</v>
      </c>
      <c r="I26" s="134">
        <f>'FS Jimbaran October 2018'!AE36</f>
        <v>755.75</v>
      </c>
      <c r="J26" s="135">
        <f>'FS Jimbaran October 2018'!AF36/'FS Jimbaran October 2018'!AE36</f>
        <v>10000</v>
      </c>
      <c r="K26" s="134">
        <f>'FS Jimbaran October 2018'!Q36</f>
        <v>661.10000000000582</v>
      </c>
      <c r="L26" s="143">
        <f>'FS Jimbaran October 2018'!V36/'FS Jimbaran October 2018'!Q36</f>
        <v>8304.8248252911508</v>
      </c>
      <c r="M26" s="134">
        <f>+'RNs &amp; Covers October 2018'!B30</f>
        <v>90</v>
      </c>
      <c r="N26" s="134">
        <f>+'RNs &amp; Covers October 2018'!C30</f>
        <v>410</v>
      </c>
    </row>
    <row r="27" spans="1:14">
      <c r="A27" s="131" t="s">
        <v>14</v>
      </c>
      <c r="B27" s="132">
        <f t="shared" si="0"/>
        <v>26</v>
      </c>
      <c r="C27" s="133">
        <v>10</v>
      </c>
      <c r="D27" s="132">
        <v>2018</v>
      </c>
      <c r="E27" s="134">
        <f>'FS Jimbaran October 2018'!P37</f>
        <v>27860.000000000127</v>
      </c>
      <c r="F27" s="143">
        <f>'FS Jimbaran October 2018'!O37/'FS Jimbaran October 2018'!P37</f>
        <v>1185.5517060301502</v>
      </c>
      <c r="G27" s="134">
        <f>'FS Jimbaran October 2018'!AB37</f>
        <v>171.18656000001639</v>
      </c>
      <c r="H27" s="143">
        <f>'FS Jimbaran October 2018'!AC37/'FS Jimbaran October 2018'!AB37</f>
        <v>13253.256719219093</v>
      </c>
      <c r="I27" s="134">
        <f>'FS Jimbaran October 2018'!AE37</f>
        <v>612.19999999999982</v>
      </c>
      <c r="J27" s="135">
        <f>'FS Jimbaran October 2018'!AF37/'FS Jimbaran October 2018'!AE37</f>
        <v>10000</v>
      </c>
      <c r="K27" s="134">
        <f>'FS Jimbaran October 2018'!Q37</f>
        <v>1066</v>
      </c>
      <c r="L27" s="143">
        <f>'FS Jimbaran October 2018'!V37/'FS Jimbaran October 2018'!Q37</f>
        <v>7479.4868105065661</v>
      </c>
      <c r="M27" s="134">
        <f>+'RNs &amp; Covers October 2018'!B31</f>
        <v>132</v>
      </c>
      <c r="N27" s="134">
        <f>+'RNs &amp; Covers October 2018'!C31</f>
        <v>703</v>
      </c>
    </row>
    <row r="28" spans="1:14">
      <c r="A28" s="131" t="s">
        <v>14</v>
      </c>
      <c r="B28" s="132">
        <f t="shared" si="0"/>
        <v>27</v>
      </c>
      <c r="C28" s="133">
        <v>10</v>
      </c>
      <c r="D28" s="132">
        <v>2018</v>
      </c>
      <c r="E28" s="134">
        <f>'FS Jimbaran October 2018'!P38</f>
        <v>26040.000000000306</v>
      </c>
      <c r="F28" s="143">
        <f>'FS Jimbaran October 2018'!O38/'FS Jimbaran October 2018'!P38</f>
        <v>1188.2234274193547</v>
      </c>
      <c r="G28" s="134">
        <f>'FS Jimbaran October 2018'!AB38</f>
        <v>369.87328000003748</v>
      </c>
      <c r="H28" s="143">
        <f>'FS Jimbaran October 2018'!AC38/'FS Jimbaran October 2018'!AB38</f>
        <v>13858.597715628397</v>
      </c>
      <c r="I28" s="134">
        <f>'FS Jimbaran October 2018'!AE38</f>
        <v>617.60000000000036</v>
      </c>
      <c r="J28" s="135">
        <f>'FS Jimbaran October 2018'!AF38/'FS Jimbaran October 2018'!AE38</f>
        <v>10000</v>
      </c>
      <c r="K28" s="134">
        <f>'FS Jimbaran October 2018'!Q38</f>
        <v>1007</v>
      </c>
      <c r="L28" s="143">
        <f>'FS Jimbaran October 2018'!V38/'FS Jimbaran October 2018'!Q38</f>
        <v>7872.0366832174768</v>
      </c>
      <c r="M28" s="134">
        <f>+'RNs &amp; Covers October 2018'!B32</f>
        <v>125</v>
      </c>
      <c r="N28" s="134">
        <f>+'RNs &amp; Covers October 2018'!C32</f>
        <v>515</v>
      </c>
    </row>
    <row r="29" spans="1:14">
      <c r="A29" s="131" t="s">
        <v>14</v>
      </c>
      <c r="B29" s="132">
        <f t="shared" si="0"/>
        <v>28</v>
      </c>
      <c r="C29" s="133">
        <v>10</v>
      </c>
      <c r="D29" s="132">
        <v>2018</v>
      </c>
      <c r="E29" s="134">
        <f>'FS Jimbaran October 2018'!P39</f>
        <v>27120.000000000458</v>
      </c>
      <c r="F29" s="143">
        <f>'FS Jimbaran October 2018'!O39/'FS Jimbaran October 2018'!P39</f>
        <v>1180.2048550884942</v>
      </c>
      <c r="G29" s="134">
        <f>'FS Jimbaran October 2018'!AB39</f>
        <v>552.57375999999294</v>
      </c>
      <c r="H29" s="143">
        <f>'FS Jimbaran October 2018'!AC39/'FS Jimbaran October 2018'!AB39</f>
        <v>13816.802690305096</v>
      </c>
      <c r="I29" s="134">
        <f>'FS Jimbaran October 2018'!AE39</f>
        <v>553.81999999999971</v>
      </c>
      <c r="J29" s="135">
        <f>'FS Jimbaran October 2018'!AF39/'FS Jimbaran October 2018'!AE39</f>
        <v>10000</v>
      </c>
      <c r="K29" s="134">
        <f>'FS Jimbaran October 2018'!Q39</f>
        <v>845</v>
      </c>
      <c r="L29" s="143">
        <f>'FS Jimbaran October 2018'!V39/'FS Jimbaran October 2018'!Q39</f>
        <v>8399.0026745562136</v>
      </c>
      <c r="M29" s="134">
        <f>+'RNs &amp; Covers October 2018'!B33</f>
        <v>38</v>
      </c>
      <c r="N29" s="134">
        <f>+'RNs &amp; Covers October 2018'!C33</f>
        <v>600</v>
      </c>
    </row>
    <row r="30" spans="1:14">
      <c r="A30" s="131" t="s">
        <v>14</v>
      </c>
      <c r="B30" s="132">
        <f t="shared" si="0"/>
        <v>29</v>
      </c>
      <c r="C30" s="133">
        <v>10</v>
      </c>
      <c r="D30" s="132">
        <v>2018</v>
      </c>
      <c r="E30" s="134">
        <f>'FS Jimbaran October 2018'!P40</f>
        <v>25559.999999999491</v>
      </c>
      <c r="F30" s="143">
        <f>'FS Jimbaran October 2018'!O40/'FS Jimbaran October 2018'!P40</f>
        <v>1183.3057077464807</v>
      </c>
      <c r="G30" s="134">
        <f>'FS Jimbaran October 2018'!AB40</f>
        <v>131.0711199999742</v>
      </c>
      <c r="H30" s="143">
        <f>'FS Jimbaran October 2018'!AC40/'FS Jimbaran October 2018'!AB40</f>
        <v>18750.944533930426</v>
      </c>
      <c r="I30" s="134">
        <f>'FS Jimbaran October 2018'!AE40</f>
        <v>497.47999999999956</v>
      </c>
      <c r="J30" s="135">
        <f>'FS Jimbaran October 2018'!AF40/'FS Jimbaran October 2018'!AE40</f>
        <v>10000</v>
      </c>
      <c r="K30" s="134">
        <f>'FS Jimbaran October 2018'!Q40</f>
        <v>645</v>
      </c>
      <c r="L30" s="143">
        <f>'FS Jimbaran October 2018'!V40/'FS Jimbaran October 2018'!Q40</f>
        <v>9372.6028527131784</v>
      </c>
      <c r="M30" s="134">
        <f>+'RNs &amp; Covers October 2018'!B34</f>
        <v>86</v>
      </c>
      <c r="N30" s="134">
        <f>+'RNs &amp; Covers October 2018'!C34</f>
        <v>375</v>
      </c>
    </row>
    <row r="31" spans="1:14">
      <c r="A31" s="131" t="s">
        <v>14</v>
      </c>
      <c r="B31" s="132">
        <f t="shared" si="0"/>
        <v>30</v>
      </c>
      <c r="C31" s="133">
        <v>10</v>
      </c>
      <c r="D31" s="132">
        <v>2018</v>
      </c>
      <c r="E31" s="134">
        <f>'FS Jimbaran October 2018'!P41</f>
        <v>27040.000000000531</v>
      </c>
      <c r="F31" s="143">
        <f>'FS Jimbaran October 2018'!O41/'FS Jimbaran October 2018'!P41</f>
        <v>1182.8921704881618</v>
      </c>
      <c r="G31" s="134">
        <f>'FS Jimbaran October 2018'!AB41</f>
        <v>144.84688000002578</v>
      </c>
      <c r="H31" s="143">
        <f>'FS Jimbaran October 2018'!AC41/'FS Jimbaran October 2018'!AB41</f>
        <v>13376</v>
      </c>
      <c r="I31" s="134">
        <f>'FS Jimbaran October 2018'!AE41</f>
        <v>410.38000000000011</v>
      </c>
      <c r="J31" s="135">
        <f>'FS Jimbaran October 2018'!AF41/'FS Jimbaran October 2018'!AE41</f>
        <v>10000</v>
      </c>
      <c r="K31" s="134">
        <f>'FS Jimbaran October 2018'!Q41</f>
        <v>942</v>
      </c>
      <c r="L31" s="143">
        <f>'FS Jimbaran October 2018'!V41/'FS Jimbaran October 2018'!Q41</f>
        <v>8363.8050318471342</v>
      </c>
      <c r="M31" s="134">
        <f>+'RNs &amp; Covers October 2018'!B35</f>
        <v>119</v>
      </c>
      <c r="N31" s="134">
        <f>+'RNs &amp; Covers October 2018'!C35</f>
        <v>651</v>
      </c>
    </row>
    <row r="32" spans="1:14">
      <c r="A32" s="131" t="s">
        <v>14</v>
      </c>
      <c r="B32" s="132">
        <f t="shared" si="0"/>
        <v>31</v>
      </c>
      <c r="C32" s="133">
        <v>10</v>
      </c>
      <c r="D32" s="132">
        <v>2019</v>
      </c>
      <c r="E32" s="134">
        <f>'FS Jimbaran October 2018'!P42</f>
        <v>37939.9999999996</v>
      </c>
      <c r="F32" s="143">
        <f>'FS Jimbaran October 2018'!O42/'FS Jimbaran October 2018'!P42</f>
        <v>1159.2327453874548</v>
      </c>
      <c r="G32" s="134">
        <f>'FS Jimbaran October 2018'!AB42</f>
        <v>145.36708000000232</v>
      </c>
      <c r="H32" s="143">
        <f>'FS Jimbaran October 2018'!AC42/'FS Jimbaran October 2018'!AB42</f>
        <v>13231.455581827746</v>
      </c>
      <c r="I32" s="134">
        <f>'FS Jimbaran October 2018'!AE42</f>
        <v>576.14000000000033</v>
      </c>
      <c r="J32" s="135">
        <f>'FS Jimbaran October 2018'!AF42/'FS Jimbaran October 2018'!AE42</f>
        <v>10000</v>
      </c>
      <c r="K32" s="134">
        <f>'FS Jimbaran October 2018'!Q42</f>
        <v>952</v>
      </c>
      <c r="L32" s="143">
        <f>'FS Jimbaran October 2018'!V42/'FS Jimbaran October 2018'!Q42</f>
        <v>8215.6607773109245</v>
      </c>
      <c r="M32" s="134">
        <f>+'RNs &amp; Covers October 2018'!B36</f>
        <v>117</v>
      </c>
      <c r="N32" s="134">
        <f>+'RNs &amp; Covers October 2018'!C36</f>
        <v>478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H69"/>
  <sheetViews>
    <sheetView tabSelected="1" zoomScale="62" zoomScaleNormal="62" workbookViewId="0">
      <pane xSplit="4" ySplit="10" topLeftCell="U11" activePane="bottomRight" state="frozen"/>
      <selection pane="bottomRight" activeCell="AB46" sqref="AB46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10.28515625" style="3" customWidth="1"/>
    <col min="4" max="4" width="10.28515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57" bestFit="1" customWidth="1"/>
    <col min="14" max="14" width="20.42578125" style="61" customWidth="1"/>
    <col min="15" max="15" width="18.85546875" customWidth="1"/>
    <col min="16" max="16" width="15.140625" style="61" customWidth="1"/>
    <col min="17" max="17" width="19.710937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7.85546875" bestFit="1" customWidth="1"/>
    <col min="23" max="23" width="9.85546875" customWidth="1"/>
    <col min="24" max="24" width="15.85546875" bestFit="1" customWidth="1"/>
    <col min="25" max="25" width="12.85546875" style="3" bestFit="1" customWidth="1"/>
    <col min="26" max="26" width="14.85546875" customWidth="1"/>
    <col min="27" max="27" width="12.28515625" bestFit="1" customWidth="1"/>
    <col min="28" max="28" width="10" bestFit="1" customWidth="1"/>
    <col min="29" max="29" width="19" style="3" customWidth="1"/>
    <col min="30" max="30" width="10.5703125" customWidth="1"/>
    <col min="31" max="31" width="13.28515625" style="79" bestFit="1" customWidth="1"/>
    <col min="32" max="32" width="20.7109375" bestFit="1" customWidth="1"/>
    <col min="33" max="33" width="9.42578125" style="34" bestFit="1" customWidth="1"/>
    <col min="34" max="34" width="2.28515625" style="7" customWidth="1"/>
  </cols>
  <sheetData>
    <row r="5" spans="1:34">
      <c r="N5" s="144"/>
      <c r="S5" s="145"/>
    </row>
    <row r="6" spans="1:34" s="21" customFormat="1" ht="18.75">
      <c r="B6" s="21" t="s">
        <v>16</v>
      </c>
      <c r="C6" s="29"/>
      <c r="E6" s="29"/>
      <c r="F6" s="29"/>
      <c r="H6" s="29"/>
      <c r="L6" s="29"/>
      <c r="M6" s="52"/>
      <c r="N6" s="58"/>
      <c r="P6" s="58"/>
      <c r="Y6" s="29"/>
      <c r="AC6" s="29"/>
      <c r="AE6" s="76"/>
      <c r="AG6" s="31"/>
    </row>
    <row r="7" spans="1:34" s="11" customFormat="1">
      <c r="A7" s="25"/>
      <c r="B7" s="180" t="s">
        <v>17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2"/>
      <c r="AH7" s="25"/>
    </row>
    <row r="8" spans="1:34" s="7" customFormat="1" ht="15.75" customHeight="1">
      <c r="A8" s="22"/>
      <c r="B8" s="183" t="s">
        <v>18</v>
      </c>
      <c r="C8" s="186" t="s">
        <v>19</v>
      </c>
      <c r="D8" s="189" t="s">
        <v>13</v>
      </c>
      <c r="E8" s="192" t="s">
        <v>20</v>
      </c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3" t="s">
        <v>21</v>
      </c>
      <c r="R8" s="194"/>
      <c r="S8" s="194"/>
      <c r="T8" s="194"/>
      <c r="U8" s="194"/>
      <c r="V8" s="194"/>
      <c r="W8" s="195"/>
      <c r="X8" s="196" t="s">
        <v>22</v>
      </c>
      <c r="Y8" s="196"/>
      <c r="Z8" s="196"/>
      <c r="AA8" s="196"/>
      <c r="AB8" s="196"/>
      <c r="AC8" s="196"/>
      <c r="AD8" s="196"/>
      <c r="AE8" s="196"/>
      <c r="AF8" s="196"/>
      <c r="AG8" s="197"/>
      <c r="AH8" s="24"/>
    </row>
    <row r="9" spans="1:34" ht="15" customHeight="1">
      <c r="B9" s="184"/>
      <c r="C9" s="187"/>
      <c r="D9" s="190"/>
      <c r="E9" s="198" t="s">
        <v>23</v>
      </c>
      <c r="F9" s="199"/>
      <c r="G9" s="199"/>
      <c r="H9" s="199"/>
      <c r="I9" s="200"/>
      <c r="J9" s="201" t="s">
        <v>24</v>
      </c>
      <c r="K9" s="201"/>
      <c r="L9" s="201"/>
      <c r="M9" s="201"/>
      <c r="N9" s="202"/>
      <c r="O9" s="189" t="s">
        <v>25</v>
      </c>
      <c r="P9" s="203" t="s">
        <v>26</v>
      </c>
      <c r="Q9" s="46"/>
      <c r="R9" s="46" t="s">
        <v>27</v>
      </c>
      <c r="S9" s="46"/>
      <c r="T9" s="47"/>
      <c r="U9" s="165"/>
      <c r="V9" s="208" t="s">
        <v>28</v>
      </c>
      <c r="W9" s="209"/>
      <c r="X9" s="196" t="s">
        <v>29</v>
      </c>
      <c r="Y9" s="196"/>
      <c r="Z9" s="196"/>
      <c r="AA9" s="196"/>
      <c r="AB9" s="196"/>
      <c r="AC9" s="196"/>
      <c r="AD9" s="197"/>
      <c r="AE9" s="205" t="s">
        <v>30</v>
      </c>
      <c r="AF9" s="206"/>
      <c r="AG9" s="207"/>
    </row>
    <row r="10" spans="1:34" ht="61.5" customHeight="1">
      <c r="A10" s="23"/>
      <c r="B10" s="185"/>
      <c r="C10" s="188"/>
      <c r="D10" s="191"/>
      <c r="E10" s="87" t="s">
        <v>31</v>
      </c>
      <c r="F10" s="74" t="s">
        <v>32</v>
      </c>
      <c r="G10" s="112" t="s">
        <v>33</v>
      </c>
      <c r="H10" s="15" t="s">
        <v>32</v>
      </c>
      <c r="I10" s="88" t="s">
        <v>34</v>
      </c>
      <c r="J10" s="87" t="s">
        <v>31</v>
      </c>
      <c r="K10" s="75" t="s">
        <v>32</v>
      </c>
      <c r="L10" s="112" t="s">
        <v>33</v>
      </c>
      <c r="M10" s="53" t="s">
        <v>32</v>
      </c>
      <c r="N10" s="82" t="s">
        <v>35</v>
      </c>
      <c r="O10" s="191"/>
      <c r="P10" s="204"/>
      <c r="Q10" s="147" t="s">
        <v>36</v>
      </c>
      <c r="R10" s="48" t="s">
        <v>37</v>
      </c>
      <c r="S10" s="48" t="s">
        <v>38</v>
      </c>
      <c r="T10" s="19" t="s">
        <v>39</v>
      </c>
      <c r="U10" s="19" t="s">
        <v>40</v>
      </c>
      <c r="V10" s="19" t="s">
        <v>41</v>
      </c>
      <c r="W10" s="12" t="s">
        <v>42</v>
      </c>
      <c r="X10" s="106" t="s">
        <v>43</v>
      </c>
      <c r="Y10" s="41" t="s">
        <v>44</v>
      </c>
      <c r="Z10" s="40" t="s">
        <v>45</v>
      </c>
      <c r="AA10" s="40" t="s">
        <v>46</v>
      </c>
      <c r="AB10" s="40" t="s">
        <v>47</v>
      </c>
      <c r="AC10" s="41" t="s">
        <v>41</v>
      </c>
      <c r="AD10" s="42" t="s">
        <v>42</v>
      </c>
      <c r="AE10" s="117" t="s">
        <v>48</v>
      </c>
      <c r="AF10" s="40" t="s">
        <v>41</v>
      </c>
      <c r="AG10" s="44" t="s">
        <v>42</v>
      </c>
      <c r="AH10" s="23"/>
    </row>
    <row r="11" spans="1:34">
      <c r="A11" s="23"/>
      <c r="B11" s="50"/>
      <c r="C11" s="89"/>
      <c r="D11" s="148"/>
      <c r="E11" s="149"/>
      <c r="F11" s="80"/>
      <c r="G11" s="16"/>
      <c r="H11" s="17"/>
      <c r="I11" s="90"/>
      <c r="J11" s="81"/>
      <c r="K11" s="16"/>
      <c r="L11" s="17"/>
      <c r="M11" s="54"/>
      <c r="N11" s="83"/>
      <c r="O11" s="49"/>
      <c r="P11" s="95"/>
      <c r="Q11" s="81"/>
      <c r="R11" s="16"/>
      <c r="S11" s="16"/>
      <c r="T11" s="18"/>
      <c r="U11" s="18"/>
      <c r="V11" s="18"/>
      <c r="W11" s="90"/>
      <c r="X11" s="107"/>
      <c r="Y11" s="38"/>
      <c r="Z11" s="35"/>
      <c r="AA11" s="35"/>
      <c r="AB11" s="35"/>
      <c r="AC11" s="38"/>
      <c r="AD11" s="39"/>
      <c r="AE11" s="118"/>
      <c r="AF11" s="35"/>
      <c r="AG11" s="43"/>
      <c r="AH11" s="23"/>
    </row>
    <row r="12" spans="1:34">
      <c r="A12" s="28"/>
      <c r="B12" s="51">
        <v>1</v>
      </c>
      <c r="C12" s="178">
        <v>103</v>
      </c>
      <c r="D12" s="179">
        <v>616</v>
      </c>
      <c r="E12" s="92">
        <v>9719.9999999997999</v>
      </c>
      <c r="F12" s="2">
        <v>10571170.679999784</v>
      </c>
      <c r="G12" s="30">
        <v>4199.9999999999318</v>
      </c>
      <c r="H12" s="2">
        <v>6851684.6999998894</v>
      </c>
      <c r="I12" s="91">
        <f>F12+H12</f>
        <v>17422855.379999675</v>
      </c>
      <c r="J12" s="92">
        <v>640.00000000032742</v>
      </c>
      <c r="K12" s="2">
        <v>696044.16000035603</v>
      </c>
      <c r="L12" s="150">
        <v>380.00000000010914</v>
      </c>
      <c r="M12" s="151">
        <v>619914.33000017807</v>
      </c>
      <c r="N12" s="84">
        <f>+K12+M12</f>
        <v>1315958.4900005341</v>
      </c>
      <c r="O12" s="93">
        <f>N12+I12</f>
        <v>18738813.87000021</v>
      </c>
      <c r="P12" s="96">
        <f>L12+J12+G12+E12</f>
        <v>14940.000000000167</v>
      </c>
      <c r="Q12" s="152">
        <f>T12+R12</f>
        <v>921.10000000000582</v>
      </c>
      <c r="R12" s="2">
        <v>203</v>
      </c>
      <c r="S12" s="2">
        <v>3647946.54</v>
      </c>
      <c r="T12" s="26">
        <v>718.10000000000582</v>
      </c>
      <c r="U12" s="26">
        <v>3445529.972000028</v>
      </c>
      <c r="V12" s="26">
        <f t="shared" ref="V12:V39" si="0">U12+S12</f>
        <v>7093476.512000028</v>
      </c>
      <c r="W12" s="108">
        <f t="shared" ref="W12:W41" si="1">V12/$AG$47</f>
        <v>546.65746862113531</v>
      </c>
      <c r="X12" s="113">
        <v>101.46532000000937</v>
      </c>
      <c r="Y12" s="2"/>
      <c r="Z12" s="2"/>
      <c r="AA12" s="2">
        <v>0</v>
      </c>
      <c r="AB12" s="2">
        <f>X12+Y12+Z12+AA12</f>
        <v>101.46532000000937</v>
      </c>
      <c r="AC12" s="2">
        <v>1357200.1203201253</v>
      </c>
      <c r="AD12" s="36">
        <f t="shared" ref="AD12:AD41" si="2">AC12/$AG$47</f>
        <v>104.59237877666733</v>
      </c>
      <c r="AE12" s="119">
        <v>456.27999999999884</v>
      </c>
      <c r="AF12" s="2">
        <v>4562799.9999999888</v>
      </c>
      <c r="AG12" s="32">
        <f t="shared" ref="AG12:AG41" si="3">AF12/$AG$47</f>
        <v>351.63134657666438</v>
      </c>
      <c r="AH12" s="6"/>
    </row>
    <row r="13" spans="1:34">
      <c r="A13" s="28"/>
      <c r="B13" s="51">
        <v>2</v>
      </c>
      <c r="C13" s="178">
        <v>118</v>
      </c>
      <c r="D13" s="179">
        <v>745</v>
      </c>
      <c r="E13" s="92">
        <v>18800.000000000182</v>
      </c>
      <c r="F13" s="2">
        <v>20446297.200000197</v>
      </c>
      <c r="G13" s="30">
        <v>4200.0000000000455</v>
      </c>
      <c r="H13" s="2">
        <v>6851684.7000000747</v>
      </c>
      <c r="I13" s="91">
        <f t="shared" ref="I13:I41" si="4">F13+H13</f>
        <v>27297981.90000027</v>
      </c>
      <c r="J13" s="92">
        <v>2560.0000000004002</v>
      </c>
      <c r="K13" s="2">
        <v>2784176.6400004351</v>
      </c>
      <c r="L13" s="150">
        <v>400.00000000009095</v>
      </c>
      <c r="M13" s="151">
        <v>652541.40000014845</v>
      </c>
      <c r="N13" s="84">
        <f t="shared" ref="N13:N41" si="5">+K13+M13</f>
        <v>3436718.0400005835</v>
      </c>
      <c r="O13" s="93">
        <f t="shared" ref="O13:O39" si="6">N13+I13</f>
        <v>30734699.940000854</v>
      </c>
      <c r="P13" s="96">
        <f t="shared" ref="P13:P39" si="7">L13+J13+G13+E13</f>
        <v>25960.00000000072</v>
      </c>
      <c r="Q13" s="152">
        <f t="shared" ref="Q13:Q41" si="8">T13+R13</f>
        <v>952</v>
      </c>
      <c r="R13" s="2">
        <v>213</v>
      </c>
      <c r="S13" s="2">
        <v>3827648.34</v>
      </c>
      <c r="T13" s="26">
        <v>739</v>
      </c>
      <c r="U13" s="26">
        <v>3545810.6799999997</v>
      </c>
      <c r="V13" s="26">
        <f t="shared" si="0"/>
        <v>7373459.0199999996</v>
      </c>
      <c r="W13" s="108">
        <f t="shared" si="1"/>
        <v>568.23426933691121</v>
      </c>
      <c r="X13" s="113">
        <v>139.0465600000164</v>
      </c>
      <c r="Y13" s="2"/>
      <c r="Z13" s="2">
        <v>400</v>
      </c>
      <c r="AA13" s="2">
        <v>12</v>
      </c>
      <c r="AB13" s="2">
        <f t="shared" ref="AB13:AB42" si="9">X13+Y13+Z13+AA13</f>
        <v>551.04656000001637</v>
      </c>
      <c r="AC13" s="2">
        <v>7635386.7865602188</v>
      </c>
      <c r="AD13" s="36">
        <f t="shared" si="2"/>
        <v>588.41968470935535</v>
      </c>
      <c r="AE13" s="119">
        <v>421.80000000000291</v>
      </c>
      <c r="AF13" s="2">
        <v>4218000.0000000289</v>
      </c>
      <c r="AG13" s="32">
        <f t="shared" si="3"/>
        <v>325.05939770763217</v>
      </c>
      <c r="AH13" s="6"/>
    </row>
    <row r="14" spans="1:34">
      <c r="A14" s="28"/>
      <c r="B14" s="51">
        <v>3</v>
      </c>
      <c r="C14" s="178">
        <v>120</v>
      </c>
      <c r="D14" s="179">
        <v>878</v>
      </c>
      <c r="E14" s="92">
        <v>19519.999999999982</v>
      </c>
      <c r="F14" s="2">
        <v>21229346.87999998</v>
      </c>
      <c r="G14" s="30">
        <v>4079.9999999999272</v>
      </c>
      <c r="H14" s="2">
        <v>6655922.279999882</v>
      </c>
      <c r="I14" s="91">
        <f t="shared" si="4"/>
        <v>27885269.159999862</v>
      </c>
      <c r="J14" s="92">
        <v>1679.9999999993815</v>
      </c>
      <c r="K14" s="2">
        <v>1827115.9199993275</v>
      </c>
      <c r="L14" s="150">
        <v>379.99999999988177</v>
      </c>
      <c r="M14" s="151">
        <v>619914.32999980706</v>
      </c>
      <c r="N14" s="84">
        <f t="shared" si="5"/>
        <v>2447030.2499991348</v>
      </c>
      <c r="O14" s="93">
        <f t="shared" si="6"/>
        <v>30332299.409998998</v>
      </c>
      <c r="P14" s="96">
        <f t="shared" si="7"/>
        <v>25659.999999999171</v>
      </c>
      <c r="Q14" s="152">
        <f t="shared" si="8"/>
        <v>939</v>
      </c>
      <c r="R14" s="2">
        <v>203</v>
      </c>
      <c r="S14" s="2">
        <v>3647946.54</v>
      </c>
      <c r="T14" s="26">
        <v>736</v>
      </c>
      <c r="U14" s="26">
        <v>3531416.32</v>
      </c>
      <c r="V14" s="26">
        <f t="shared" si="0"/>
        <v>7179362.8599999994</v>
      </c>
      <c r="W14" s="108">
        <f t="shared" si="1"/>
        <v>553.27628430443986</v>
      </c>
      <c r="X14" s="113">
        <v>142.83287999996716</v>
      </c>
      <c r="Y14" s="2"/>
      <c r="Z14" s="2"/>
      <c r="AA14" s="2">
        <v>0</v>
      </c>
      <c r="AB14" s="2">
        <f t="shared" si="9"/>
        <v>142.83287999996716</v>
      </c>
      <c r="AC14" s="2">
        <v>1910532.6028795608</v>
      </c>
      <c r="AD14" s="36">
        <f t="shared" si="2"/>
        <v>147.2348452330063</v>
      </c>
      <c r="AE14" s="119">
        <v>248.07000000000698</v>
      </c>
      <c r="AF14" s="2">
        <v>2480700.0000000698</v>
      </c>
      <c r="AG14" s="32">
        <f t="shared" si="3"/>
        <v>191.17469129761506</v>
      </c>
      <c r="AH14" s="6"/>
    </row>
    <row r="15" spans="1:34">
      <c r="A15" s="28"/>
      <c r="B15" s="51">
        <v>4</v>
      </c>
      <c r="C15" s="178">
        <v>124</v>
      </c>
      <c r="D15" s="179">
        <v>790</v>
      </c>
      <c r="E15" s="92">
        <v>19920.000000000073</v>
      </c>
      <c r="F15" s="2">
        <v>21664374.480000082</v>
      </c>
      <c r="G15" s="30">
        <v>4280.0000000000864</v>
      </c>
      <c r="H15" s="2">
        <v>6982192.980000142</v>
      </c>
      <c r="I15" s="91">
        <f t="shared" si="4"/>
        <v>28646567.460000224</v>
      </c>
      <c r="J15" s="92">
        <v>1520.0000000004366</v>
      </c>
      <c r="K15" s="2">
        <v>1653104.8800004749</v>
      </c>
      <c r="L15" s="150">
        <v>400.00000000009095</v>
      </c>
      <c r="M15" s="151">
        <v>652541.40000014845</v>
      </c>
      <c r="N15" s="84">
        <f t="shared" si="5"/>
        <v>2305646.2800006233</v>
      </c>
      <c r="O15" s="93">
        <f t="shared" si="6"/>
        <v>30952213.740000848</v>
      </c>
      <c r="P15" s="96">
        <f t="shared" si="7"/>
        <v>26120.000000000688</v>
      </c>
      <c r="Q15" s="152">
        <f t="shared" si="8"/>
        <v>965.5</v>
      </c>
      <c r="R15" s="2">
        <v>219</v>
      </c>
      <c r="S15" s="2">
        <v>3935469.42</v>
      </c>
      <c r="T15" s="26">
        <v>746.5</v>
      </c>
      <c r="U15" s="26">
        <v>3581796.58</v>
      </c>
      <c r="V15" s="26">
        <f t="shared" si="0"/>
        <v>7517266</v>
      </c>
      <c r="W15" s="108">
        <f t="shared" si="1"/>
        <v>579.31672792035192</v>
      </c>
      <c r="X15" s="113">
        <v>0</v>
      </c>
      <c r="Y15" s="2"/>
      <c r="Z15" s="2"/>
      <c r="AA15" s="2">
        <v>24</v>
      </c>
      <c r="AB15" s="2">
        <f t="shared" si="9"/>
        <v>24</v>
      </c>
      <c r="AC15" s="2">
        <v>983500</v>
      </c>
      <c r="AD15" s="36">
        <f t="shared" si="2"/>
        <v>75.793247426613107</v>
      </c>
      <c r="AE15" s="119">
        <v>1150.6299999999901</v>
      </c>
      <c r="AF15" s="2">
        <v>11506299.999999901</v>
      </c>
      <c r="AG15" s="32">
        <f t="shared" si="3"/>
        <v>886.73090276037703</v>
      </c>
      <c r="AH15" s="6"/>
    </row>
    <row r="16" spans="1:34">
      <c r="A16" s="28"/>
      <c r="B16" s="51">
        <v>5</v>
      </c>
      <c r="C16" s="178">
        <v>115</v>
      </c>
      <c r="D16" s="179">
        <v>918</v>
      </c>
      <c r="E16" s="92">
        <v>19599.999999999909</v>
      </c>
      <c r="F16" s="2">
        <v>21316352.399999902</v>
      </c>
      <c r="G16" s="30">
        <v>4240.0000000000091</v>
      </c>
      <c r="H16" s="2">
        <v>6916938.8400000157</v>
      </c>
      <c r="I16" s="91">
        <f t="shared" si="4"/>
        <v>28233291.239999916</v>
      </c>
      <c r="J16" s="92">
        <v>1720.0000000002547</v>
      </c>
      <c r="K16" s="2">
        <v>1870618.680000277</v>
      </c>
      <c r="L16" s="150">
        <v>379.99999999988177</v>
      </c>
      <c r="M16" s="151">
        <v>619914.32999980706</v>
      </c>
      <c r="N16" s="84">
        <f t="shared" si="5"/>
        <v>2490533.0100000841</v>
      </c>
      <c r="O16" s="93">
        <f t="shared" si="6"/>
        <v>30723824.25</v>
      </c>
      <c r="P16" s="96">
        <f t="shared" si="7"/>
        <v>25940.000000000055</v>
      </c>
      <c r="Q16" s="152">
        <f t="shared" si="8"/>
        <v>887</v>
      </c>
      <c r="R16" s="2">
        <v>174</v>
      </c>
      <c r="S16" s="2">
        <v>3126811.32</v>
      </c>
      <c r="T16" s="26">
        <v>713</v>
      </c>
      <c r="U16" s="26">
        <v>3421059.56</v>
      </c>
      <c r="V16" s="26">
        <f t="shared" si="0"/>
        <v>6547870.8799999999</v>
      </c>
      <c r="W16" s="108">
        <f t="shared" si="1"/>
        <v>504.61047048841368</v>
      </c>
      <c r="X16" s="113">
        <v>156.04472000002107</v>
      </c>
      <c r="Y16" s="2">
        <v>250</v>
      </c>
      <c r="Z16" s="2"/>
      <c r="AA16" s="2">
        <v>0</v>
      </c>
      <c r="AB16" s="2">
        <f t="shared" si="9"/>
        <v>406.04472000002107</v>
      </c>
      <c r="AC16" s="2">
        <v>5609754.1747202817</v>
      </c>
      <c r="AD16" s="36">
        <f t="shared" si="2"/>
        <v>432.3146783599899</v>
      </c>
      <c r="AE16" s="119">
        <v>633.35000000000628</v>
      </c>
      <c r="AF16" s="2">
        <v>6333500.0000000624</v>
      </c>
      <c r="AG16" s="32">
        <f t="shared" si="3"/>
        <v>488.09001787133582</v>
      </c>
      <c r="AH16" s="6"/>
    </row>
    <row r="17" spans="1:34">
      <c r="A17" s="28"/>
      <c r="B17" s="51">
        <v>6</v>
      </c>
      <c r="C17" s="178">
        <v>89</v>
      </c>
      <c r="D17" s="179">
        <v>807</v>
      </c>
      <c r="E17" s="92">
        <v>20199.999999999818</v>
      </c>
      <c r="F17" s="2">
        <v>21968893.7999998</v>
      </c>
      <c r="G17" s="30">
        <v>4319.9999999999363</v>
      </c>
      <c r="H17" s="2">
        <v>7047447.1199998967</v>
      </c>
      <c r="I17" s="91">
        <f t="shared" si="4"/>
        <v>29016340.919999696</v>
      </c>
      <c r="J17" s="92">
        <v>1879.9999999991996</v>
      </c>
      <c r="K17" s="2">
        <v>2044629.7199991297</v>
      </c>
      <c r="L17" s="150">
        <v>420.00000000007276</v>
      </c>
      <c r="M17" s="151">
        <v>685168.47000011872</v>
      </c>
      <c r="N17" s="84">
        <f t="shared" si="5"/>
        <v>2729798.1899992484</v>
      </c>
      <c r="O17" s="93">
        <f t="shared" si="6"/>
        <v>31746139.109998945</v>
      </c>
      <c r="P17" s="96">
        <f t="shared" si="7"/>
        <v>26819.999999999025</v>
      </c>
      <c r="Q17" s="152">
        <f t="shared" si="8"/>
        <v>1003.5</v>
      </c>
      <c r="R17" s="2">
        <v>225</v>
      </c>
      <c r="S17" s="2">
        <v>4043290.5</v>
      </c>
      <c r="T17" s="26">
        <v>778.5</v>
      </c>
      <c r="U17" s="26">
        <v>3735336.42</v>
      </c>
      <c r="V17" s="26">
        <f t="shared" si="0"/>
        <v>7778626.9199999999</v>
      </c>
      <c r="W17" s="108">
        <f t="shared" si="1"/>
        <v>599.45845936641933</v>
      </c>
      <c r="X17" s="113">
        <v>152.62091999999765</v>
      </c>
      <c r="Y17" s="2"/>
      <c r="Z17" s="2"/>
      <c r="AA17" s="2">
        <v>12</v>
      </c>
      <c r="AB17" s="2">
        <f t="shared" si="9"/>
        <v>164.62091999999765</v>
      </c>
      <c r="AC17" s="2">
        <v>2180957.4259199686</v>
      </c>
      <c r="AD17" s="36">
        <f t="shared" si="2"/>
        <v>168.07508470733237</v>
      </c>
      <c r="AE17" s="119">
        <v>609.92999999999302</v>
      </c>
      <c r="AF17" s="2">
        <v>6099299.9999999302</v>
      </c>
      <c r="AG17" s="32">
        <f t="shared" si="3"/>
        <v>470.04143775204471</v>
      </c>
      <c r="AH17" s="6"/>
    </row>
    <row r="18" spans="1:34">
      <c r="A18" s="28"/>
      <c r="B18" s="51">
        <v>7</v>
      </c>
      <c r="C18" s="178">
        <v>71</v>
      </c>
      <c r="D18" s="179">
        <v>695</v>
      </c>
      <c r="E18" s="92">
        <v>19960.000000000036</v>
      </c>
      <c r="F18" s="2">
        <v>21707877.240000039</v>
      </c>
      <c r="G18" s="30">
        <v>4120.0000000000045</v>
      </c>
      <c r="H18" s="2">
        <v>6721176.4200000083</v>
      </c>
      <c r="I18" s="91">
        <f t="shared" si="4"/>
        <v>28429053.660000049</v>
      </c>
      <c r="J18" s="92">
        <v>1660.000000000764</v>
      </c>
      <c r="K18" s="2">
        <v>1805364.5400008308</v>
      </c>
      <c r="L18" s="150">
        <v>420.00000000007276</v>
      </c>
      <c r="M18" s="151">
        <v>685168.47000011872</v>
      </c>
      <c r="N18" s="84">
        <f t="shared" si="5"/>
        <v>2490533.0100009497</v>
      </c>
      <c r="O18" s="93">
        <f t="shared" si="6"/>
        <v>30919586.670001</v>
      </c>
      <c r="P18" s="96">
        <f t="shared" si="7"/>
        <v>26160.000000000877</v>
      </c>
      <c r="Q18" s="152">
        <f t="shared" si="8"/>
        <v>934.30000000000291</v>
      </c>
      <c r="R18" s="2">
        <v>214</v>
      </c>
      <c r="S18" s="2">
        <v>3845618.52</v>
      </c>
      <c r="T18" s="26">
        <v>720.30000000000291</v>
      </c>
      <c r="U18" s="26">
        <v>3456085.8360000141</v>
      </c>
      <c r="V18" s="26">
        <f t="shared" si="0"/>
        <v>7301704.3560000136</v>
      </c>
      <c r="W18" s="108">
        <f t="shared" si="1"/>
        <v>562.70450929363267</v>
      </c>
      <c r="X18" s="113">
        <v>130.50719999997654</v>
      </c>
      <c r="Y18" s="2"/>
      <c r="Z18" s="2">
        <v>400</v>
      </c>
      <c r="AA18" s="2">
        <v>48</v>
      </c>
      <c r="AB18" s="2">
        <f t="shared" si="9"/>
        <v>578.50719999997659</v>
      </c>
      <c r="AC18" s="2">
        <v>7939664.3071996858</v>
      </c>
      <c r="AD18" s="36">
        <f t="shared" si="2"/>
        <v>611.86877612591206</v>
      </c>
      <c r="AE18" s="119">
        <v>604.82000000000698</v>
      </c>
      <c r="AF18" s="2">
        <v>6048200.0000000698</v>
      </c>
      <c r="AG18" s="32">
        <f t="shared" si="3"/>
        <v>466.10342560818162</v>
      </c>
      <c r="AH18" s="6"/>
    </row>
    <row r="19" spans="1:34">
      <c r="A19" s="28"/>
      <c r="B19" s="51">
        <v>8</v>
      </c>
      <c r="C19" s="178">
        <v>55</v>
      </c>
      <c r="D19" s="179">
        <v>596</v>
      </c>
      <c r="E19" s="92">
        <v>19200.000000000273</v>
      </c>
      <c r="F19" s="2">
        <v>20881324.800000299</v>
      </c>
      <c r="G19" s="30">
        <v>3720.0000000000273</v>
      </c>
      <c r="H19" s="2">
        <v>6068635.0200000443</v>
      </c>
      <c r="I19" s="91">
        <f t="shared" si="4"/>
        <v>26949959.820000343</v>
      </c>
      <c r="J19" s="92">
        <v>1539.9999999999636</v>
      </c>
      <c r="K19" s="2">
        <v>1674856.2599999604</v>
      </c>
      <c r="L19" s="150">
        <v>399.99999999986358</v>
      </c>
      <c r="M19" s="151">
        <v>652541.39999977755</v>
      </c>
      <c r="N19" s="84">
        <f t="shared" si="5"/>
        <v>2327397.659999738</v>
      </c>
      <c r="O19" s="93">
        <f t="shared" si="6"/>
        <v>29277357.480000082</v>
      </c>
      <c r="P19" s="96">
        <f t="shared" si="7"/>
        <v>24860.000000000127</v>
      </c>
      <c r="Q19" s="152">
        <f t="shared" si="8"/>
        <v>779.69999999999709</v>
      </c>
      <c r="R19" s="2">
        <v>219</v>
      </c>
      <c r="S19" s="2">
        <v>3935469.42</v>
      </c>
      <c r="T19" s="26">
        <v>560.69999999999709</v>
      </c>
      <c r="U19" s="26">
        <v>2690305.8839999861</v>
      </c>
      <c r="V19" s="26">
        <f t="shared" si="0"/>
        <v>6625775.3039999865</v>
      </c>
      <c r="W19" s="108">
        <f t="shared" si="1"/>
        <v>510.61416066010537</v>
      </c>
      <c r="X19" s="113">
        <v>155.07799999999997</v>
      </c>
      <c r="Y19" s="2"/>
      <c r="Z19" s="2"/>
      <c r="AA19" s="2">
        <v>12</v>
      </c>
      <c r="AB19" s="2">
        <f t="shared" si="9"/>
        <v>167.07799999999997</v>
      </c>
      <c r="AC19" s="2">
        <v>2213823.3279999997</v>
      </c>
      <c r="AD19" s="36">
        <f t="shared" si="2"/>
        <v>170.60788943356587</v>
      </c>
      <c r="AE19" s="119">
        <v>550.19999999999709</v>
      </c>
      <c r="AF19" s="2">
        <v>5501999.9999999711</v>
      </c>
      <c r="AG19" s="32">
        <f t="shared" si="3"/>
        <v>424.01062261436005</v>
      </c>
      <c r="AH19" s="6"/>
    </row>
    <row r="20" spans="1:34">
      <c r="A20" s="28"/>
      <c r="B20" s="51">
        <v>9</v>
      </c>
      <c r="C20" s="178">
        <v>73</v>
      </c>
      <c r="D20" s="179">
        <v>474</v>
      </c>
      <c r="E20" s="92">
        <v>18079.999999999927</v>
      </c>
      <c r="F20" s="2">
        <v>19663247.519999921</v>
      </c>
      <c r="G20" s="30">
        <v>4120.0000000000045</v>
      </c>
      <c r="H20" s="2">
        <v>6721176.4200000083</v>
      </c>
      <c r="I20" s="91">
        <f t="shared" si="4"/>
        <v>26384423.939999931</v>
      </c>
      <c r="J20" s="92">
        <v>1779.9999999997453</v>
      </c>
      <c r="K20" s="2">
        <v>1935872.819999723</v>
      </c>
      <c r="L20" s="150">
        <v>440.00000000005457</v>
      </c>
      <c r="M20" s="151">
        <v>717795.54000008909</v>
      </c>
      <c r="N20" s="84">
        <f t="shared" si="5"/>
        <v>2653668.3599998122</v>
      </c>
      <c r="O20" s="93">
        <f t="shared" si="6"/>
        <v>29038092.299999744</v>
      </c>
      <c r="P20" s="96">
        <f t="shared" si="7"/>
        <v>24419.999999999731</v>
      </c>
      <c r="Q20" s="152">
        <f t="shared" si="8"/>
        <v>900</v>
      </c>
      <c r="R20" s="2">
        <v>239</v>
      </c>
      <c r="S20" s="2">
        <v>4294873.0200000005</v>
      </c>
      <c r="T20" s="26">
        <v>661</v>
      </c>
      <c r="U20" s="26">
        <v>3171557.32</v>
      </c>
      <c r="V20" s="26">
        <f t="shared" si="0"/>
        <v>7466430.3399999999</v>
      </c>
      <c r="W20" s="108">
        <f t="shared" si="1"/>
        <v>575.39908709017891</v>
      </c>
      <c r="X20" s="113">
        <v>140.85916000000466</v>
      </c>
      <c r="Y20" s="2"/>
      <c r="Z20" s="2"/>
      <c r="AA20" s="2">
        <v>0</v>
      </c>
      <c r="AB20" s="2">
        <f t="shared" si="9"/>
        <v>140.85916000000466</v>
      </c>
      <c r="AC20" s="2">
        <v>1884132.1241600623</v>
      </c>
      <c r="AD20" s="36">
        <f t="shared" si="2"/>
        <v>145.20029717426917</v>
      </c>
      <c r="AE20" s="119">
        <v>413.94999999999709</v>
      </c>
      <c r="AF20" s="2">
        <v>4139499.9999999711</v>
      </c>
      <c r="AG20" s="32">
        <f t="shared" si="3"/>
        <v>319.00980958054168</v>
      </c>
      <c r="AH20" s="6"/>
    </row>
    <row r="21" spans="1:34">
      <c r="A21" s="28"/>
      <c r="B21" s="51">
        <v>10</v>
      </c>
      <c r="C21" s="178">
        <v>83</v>
      </c>
      <c r="D21" s="179">
        <v>586</v>
      </c>
      <c r="E21" s="92">
        <v>17759.999999999764</v>
      </c>
      <c r="F21" s="2">
        <v>19315225.439999744</v>
      </c>
      <c r="G21" s="30">
        <v>3879.9999999999955</v>
      </c>
      <c r="H21" s="2">
        <v>6329651.5799999926</v>
      </c>
      <c r="I21" s="91">
        <f t="shared" si="4"/>
        <v>25644877.019999735</v>
      </c>
      <c r="J21" s="92">
        <v>1800.0000000001819</v>
      </c>
      <c r="K21" s="2">
        <v>1957624.2000001979</v>
      </c>
      <c r="L21" s="150">
        <v>420.00000000007276</v>
      </c>
      <c r="M21" s="151">
        <v>685168.47000011872</v>
      </c>
      <c r="N21" s="84">
        <f t="shared" si="5"/>
        <v>2642792.6700003166</v>
      </c>
      <c r="O21" s="93">
        <f t="shared" si="6"/>
        <v>28287669.69000005</v>
      </c>
      <c r="P21" s="96">
        <f t="shared" si="7"/>
        <v>23860.000000000015</v>
      </c>
      <c r="Q21" s="152">
        <f t="shared" si="8"/>
        <v>678.10000000000582</v>
      </c>
      <c r="R21" s="2">
        <v>193</v>
      </c>
      <c r="S21" s="2">
        <v>3468244.74</v>
      </c>
      <c r="T21" s="26">
        <v>485.10000000000582</v>
      </c>
      <c r="U21" s="26">
        <v>2327568.012000028</v>
      </c>
      <c r="V21" s="26">
        <f t="shared" si="0"/>
        <v>5795812.7520000283</v>
      </c>
      <c r="W21" s="108">
        <f t="shared" si="1"/>
        <v>446.65324855176158</v>
      </c>
      <c r="X21" s="113">
        <v>129.13767999999061</v>
      </c>
      <c r="Y21" s="2">
        <v>250</v>
      </c>
      <c r="Z21" s="2"/>
      <c r="AA21" s="2">
        <v>0</v>
      </c>
      <c r="AB21" s="2">
        <f t="shared" si="9"/>
        <v>379.13767999999061</v>
      </c>
      <c r="AC21" s="2">
        <v>5954345.6076798746</v>
      </c>
      <c r="AD21" s="36">
        <f t="shared" si="2"/>
        <v>458.87055404824372</v>
      </c>
      <c r="AE21" s="119">
        <v>628.77000000000999</v>
      </c>
      <c r="AF21" s="2">
        <v>6287700.0000000997</v>
      </c>
      <c r="AG21" s="32">
        <f t="shared" si="3"/>
        <v>484.56044925706431</v>
      </c>
      <c r="AH21" s="6"/>
    </row>
    <row r="22" spans="1:34">
      <c r="A22" s="28"/>
      <c r="B22" s="51">
        <v>11</v>
      </c>
      <c r="C22" s="178">
        <v>105</v>
      </c>
      <c r="D22" s="179">
        <v>683</v>
      </c>
      <c r="E22" s="92">
        <v>20160.000000000309</v>
      </c>
      <c r="F22" s="2">
        <v>21925391.040000338</v>
      </c>
      <c r="G22" s="30">
        <v>4079.9999999999272</v>
      </c>
      <c r="H22" s="2">
        <v>6655922.279999882</v>
      </c>
      <c r="I22" s="91">
        <f t="shared" si="4"/>
        <v>28581313.32000022</v>
      </c>
      <c r="J22" s="92">
        <v>1859.9999999996726</v>
      </c>
      <c r="K22" s="2">
        <v>2022878.3399996439</v>
      </c>
      <c r="L22" s="150">
        <v>419.99999999984539</v>
      </c>
      <c r="M22" s="151">
        <v>685168.46999974793</v>
      </c>
      <c r="N22" s="84">
        <f t="shared" si="5"/>
        <v>2708046.8099993919</v>
      </c>
      <c r="O22" s="93">
        <f t="shared" si="6"/>
        <v>31289360.129999612</v>
      </c>
      <c r="P22" s="96">
        <f t="shared" si="7"/>
        <v>26519.999999999753</v>
      </c>
      <c r="Q22" s="152">
        <f t="shared" si="8"/>
        <v>877.39999999999418</v>
      </c>
      <c r="R22" s="2">
        <v>213</v>
      </c>
      <c r="S22" s="2">
        <v>3827648.34</v>
      </c>
      <c r="T22" s="26">
        <v>664.39999999999418</v>
      </c>
      <c r="U22" s="26">
        <v>3187870.9279999719</v>
      </c>
      <c r="V22" s="26">
        <f t="shared" si="0"/>
        <v>7015519.2679999713</v>
      </c>
      <c r="W22" s="108">
        <f t="shared" si="1"/>
        <v>540.64970788580933</v>
      </c>
      <c r="X22" s="113">
        <v>141.58420000003517</v>
      </c>
      <c r="Y22" s="2"/>
      <c r="Z22" s="2"/>
      <c r="AA22" s="2">
        <v>0</v>
      </c>
      <c r="AB22" s="2">
        <f t="shared" si="9"/>
        <v>141.58420000003517</v>
      </c>
      <c r="AC22" s="2">
        <v>1893830.2592004703</v>
      </c>
      <c r="AD22" s="36">
        <f t="shared" si="2"/>
        <v>145.94768217548355</v>
      </c>
      <c r="AE22" s="119">
        <v>790.5</v>
      </c>
      <c r="AF22" s="2">
        <v>7905000</v>
      </c>
      <c r="AG22" s="32">
        <f t="shared" si="3"/>
        <v>609.19737763841033</v>
      </c>
      <c r="AH22" s="6"/>
    </row>
    <row r="23" spans="1:34">
      <c r="A23" s="28"/>
      <c r="B23" s="51">
        <v>12</v>
      </c>
      <c r="C23" s="178">
        <v>99</v>
      </c>
      <c r="D23" s="179">
        <v>787</v>
      </c>
      <c r="E23" s="92">
        <v>19599.999999999909</v>
      </c>
      <c r="F23" s="2">
        <v>21316352.399999902</v>
      </c>
      <c r="G23" s="30">
        <v>4320.00000000005</v>
      </c>
      <c r="H23" s="2">
        <v>7047447.1200000821</v>
      </c>
      <c r="I23" s="91">
        <f t="shared" si="4"/>
        <v>28363799.519999985</v>
      </c>
      <c r="J23" s="92">
        <v>1900.0000000005457</v>
      </c>
      <c r="K23" s="2">
        <v>2066381.1000005933</v>
      </c>
      <c r="L23" s="150">
        <v>440.00000000005457</v>
      </c>
      <c r="M23" s="151">
        <v>717795.54000008909</v>
      </c>
      <c r="N23" s="84">
        <f t="shared" si="5"/>
        <v>2784176.6400006823</v>
      </c>
      <c r="O23" s="93">
        <f t="shared" si="6"/>
        <v>31147976.160000667</v>
      </c>
      <c r="P23" s="96">
        <f t="shared" si="7"/>
        <v>26260.00000000056</v>
      </c>
      <c r="Q23" s="152">
        <f t="shared" si="8"/>
        <v>933</v>
      </c>
      <c r="R23" s="2">
        <v>200</v>
      </c>
      <c r="S23" s="2">
        <v>3594036</v>
      </c>
      <c r="T23" s="26">
        <v>733</v>
      </c>
      <c r="U23" s="26">
        <v>3517021.96</v>
      </c>
      <c r="V23" s="26">
        <f t="shared" si="0"/>
        <v>7111057.96</v>
      </c>
      <c r="W23" s="108">
        <f t="shared" si="1"/>
        <v>548.01237969218766</v>
      </c>
      <c r="X23" s="113">
        <v>150.96943999998356</v>
      </c>
      <c r="Y23" s="2"/>
      <c r="Z23" s="2"/>
      <c r="AA23" s="2">
        <v>12</v>
      </c>
      <c r="AB23" s="2">
        <f t="shared" si="9"/>
        <v>162.96943999998356</v>
      </c>
      <c r="AC23" s="2">
        <v>2158867.2294397801</v>
      </c>
      <c r="AD23" s="36">
        <f t="shared" si="2"/>
        <v>166.37270776017891</v>
      </c>
      <c r="AE23" s="119">
        <v>597.97999999999593</v>
      </c>
      <c r="AF23" s="2">
        <v>5979799.999999959</v>
      </c>
      <c r="AG23" s="32">
        <f t="shared" si="3"/>
        <v>460.83219213183315</v>
      </c>
      <c r="AH23" s="6"/>
    </row>
    <row r="24" spans="1:34">
      <c r="A24" s="28"/>
      <c r="B24" s="51">
        <v>13</v>
      </c>
      <c r="C24" s="178">
        <v>83</v>
      </c>
      <c r="D24" s="179">
        <v>772</v>
      </c>
      <c r="E24" s="92">
        <v>18359.999999999673</v>
      </c>
      <c r="F24" s="2">
        <v>19967766.839999646</v>
      </c>
      <c r="G24" s="30">
        <v>3919.9999999999591</v>
      </c>
      <c r="H24" s="2">
        <v>6394905.7199999345</v>
      </c>
      <c r="I24" s="91">
        <f t="shared" si="4"/>
        <v>26362672.559999581</v>
      </c>
      <c r="J24" s="92">
        <v>1919.9999999991633</v>
      </c>
      <c r="K24" s="2">
        <v>2088132.4799990901</v>
      </c>
      <c r="L24" s="150">
        <v>440.00000000005457</v>
      </c>
      <c r="M24" s="151">
        <v>717795.54000008909</v>
      </c>
      <c r="N24" s="84">
        <f t="shared" si="5"/>
        <v>2805928.0199991791</v>
      </c>
      <c r="O24" s="93">
        <f t="shared" si="6"/>
        <v>29168600.579998761</v>
      </c>
      <c r="P24" s="96">
        <f t="shared" si="7"/>
        <v>24639.99999999885</v>
      </c>
      <c r="Q24" s="152">
        <f>T24+R24</f>
        <v>883.30000000000291</v>
      </c>
      <c r="R24" s="2">
        <v>209</v>
      </c>
      <c r="S24" s="2">
        <v>3755767.62</v>
      </c>
      <c r="T24" s="26">
        <v>674.30000000000291</v>
      </c>
      <c r="U24" s="26">
        <v>3235372.3160000141</v>
      </c>
      <c r="V24" s="26">
        <f t="shared" si="0"/>
        <v>6991139.9360000137</v>
      </c>
      <c r="W24" s="108">
        <f t="shared" si="1"/>
        <v>538.77091912895287</v>
      </c>
      <c r="X24" s="113">
        <v>133.56848000001406</v>
      </c>
      <c r="Y24" s="2"/>
      <c r="Z24" s="2">
        <v>400</v>
      </c>
      <c r="AA24" s="2">
        <v>72</v>
      </c>
      <c r="AB24" s="2">
        <f t="shared" si="9"/>
        <v>605.56848000001401</v>
      </c>
      <c r="AC24" s="2">
        <v>8259611.988480188</v>
      </c>
      <c r="AD24" s="36">
        <f t="shared" si="2"/>
        <v>636.52548560315074</v>
      </c>
      <c r="AE24" s="119">
        <v>602.27999999999884</v>
      </c>
      <c r="AF24" s="2">
        <v>6022799.9999999888</v>
      </c>
      <c r="AG24" s="32">
        <f t="shared" si="3"/>
        <v>464.14597925877433</v>
      </c>
      <c r="AH24" s="6"/>
    </row>
    <row r="25" spans="1:34">
      <c r="A25" s="28"/>
      <c r="B25" s="51">
        <v>14</v>
      </c>
      <c r="C25" s="178">
        <v>56</v>
      </c>
      <c r="D25" s="179">
        <v>646</v>
      </c>
      <c r="E25" s="92">
        <v>18760.000000000218</v>
      </c>
      <c r="F25" s="2">
        <v>20402794.440000236</v>
      </c>
      <c r="G25" s="30">
        <v>3680.0000000000637</v>
      </c>
      <c r="H25" s="2">
        <v>6003380.8800001042</v>
      </c>
      <c r="I25" s="91">
        <f t="shared" si="4"/>
        <v>26406175.320000339</v>
      </c>
      <c r="J25" s="92">
        <v>1900.0000000005457</v>
      </c>
      <c r="K25" s="2">
        <v>2066381.1000005933</v>
      </c>
      <c r="L25" s="150">
        <v>440.00000000005457</v>
      </c>
      <c r="M25" s="151">
        <v>717795.54000008909</v>
      </c>
      <c r="N25" s="84">
        <f t="shared" si="5"/>
        <v>2784176.6400006823</v>
      </c>
      <c r="O25" s="93">
        <f t="shared" si="6"/>
        <v>29190351.960001022</v>
      </c>
      <c r="P25" s="96">
        <f t="shared" si="7"/>
        <v>24780.00000000088</v>
      </c>
      <c r="Q25" s="152">
        <f t="shared" si="8"/>
        <v>966.30000000000291</v>
      </c>
      <c r="R25" s="2">
        <v>216</v>
      </c>
      <c r="S25" s="2">
        <v>3881558.88</v>
      </c>
      <c r="T25" s="26">
        <v>750.30000000000291</v>
      </c>
      <c r="U25" s="26">
        <v>3600029.4360000137</v>
      </c>
      <c r="V25" s="26">
        <f t="shared" si="0"/>
        <v>7481588.3160000136</v>
      </c>
      <c r="W25" s="108">
        <f t="shared" si="1"/>
        <v>576.56723373527882</v>
      </c>
      <c r="X25" s="113">
        <v>123.29708000000234</v>
      </c>
      <c r="Y25" s="2"/>
      <c r="Z25" s="2"/>
      <c r="AA25" s="2">
        <v>12</v>
      </c>
      <c r="AB25" s="2">
        <f t="shared" si="9"/>
        <v>135.29708000000232</v>
      </c>
      <c r="AC25" s="2">
        <v>1788721.7420800312</v>
      </c>
      <c r="AD25" s="36">
        <f t="shared" si="2"/>
        <v>137.84751354838255</v>
      </c>
      <c r="AE25" s="119">
        <v>568.72000000000116</v>
      </c>
      <c r="AF25" s="2">
        <v>5687200.0000000112</v>
      </c>
      <c r="AG25" s="32">
        <f t="shared" si="3"/>
        <v>438.28302670527188</v>
      </c>
      <c r="AH25" s="6"/>
    </row>
    <row r="26" spans="1:34">
      <c r="A26" s="28"/>
      <c r="B26" s="51">
        <v>15</v>
      </c>
      <c r="C26" s="178">
        <v>125</v>
      </c>
      <c r="D26" s="179">
        <v>646</v>
      </c>
      <c r="E26" s="92">
        <v>19320.000000000164</v>
      </c>
      <c r="F26" s="2">
        <v>21011833.080000177</v>
      </c>
      <c r="G26" s="30">
        <v>4519.9999999999818</v>
      </c>
      <c r="H26" s="2">
        <v>7373717.8199999714</v>
      </c>
      <c r="I26" s="91">
        <f t="shared" si="4"/>
        <v>28385550.900000148</v>
      </c>
      <c r="J26" s="92">
        <v>1779.9999999997453</v>
      </c>
      <c r="K26" s="2">
        <v>1935872.819999723</v>
      </c>
      <c r="L26" s="150">
        <v>419.99999999984539</v>
      </c>
      <c r="M26" s="151">
        <v>685168.46999974793</v>
      </c>
      <c r="N26" s="84">
        <f t="shared" si="5"/>
        <v>2621041.289999471</v>
      </c>
      <c r="O26" s="93">
        <f t="shared" si="6"/>
        <v>31006592.189999618</v>
      </c>
      <c r="P26" s="96">
        <f t="shared" si="7"/>
        <v>26039.999999999738</v>
      </c>
      <c r="Q26" s="152">
        <f t="shared" si="8"/>
        <v>957.5</v>
      </c>
      <c r="R26" s="2">
        <v>215</v>
      </c>
      <c r="S26" s="2">
        <v>3863588.7</v>
      </c>
      <c r="T26" s="26">
        <v>742.5</v>
      </c>
      <c r="U26" s="26">
        <v>3562604.1</v>
      </c>
      <c r="V26" s="26">
        <f t="shared" si="0"/>
        <v>7426192.8000000007</v>
      </c>
      <c r="W26" s="108">
        <f t="shared" si="1"/>
        <v>572.29818843734904</v>
      </c>
      <c r="X26" s="113">
        <v>134.89771999996248</v>
      </c>
      <c r="Y26" s="2">
        <v>250</v>
      </c>
      <c r="Z26" s="2"/>
      <c r="AA26" s="2">
        <v>0</v>
      </c>
      <c r="AB26" s="2">
        <f t="shared" si="9"/>
        <v>384.89771999996248</v>
      </c>
      <c r="AC26" s="2">
        <v>5326891.9027194977</v>
      </c>
      <c r="AD26" s="36">
        <f t="shared" si="2"/>
        <v>410.51594915876029</v>
      </c>
      <c r="AE26" s="119">
        <v>510.69999999999709</v>
      </c>
      <c r="AF26" s="2">
        <v>5106999.9999999711</v>
      </c>
      <c r="AG26" s="32">
        <f t="shared" si="3"/>
        <v>393.57001993666591</v>
      </c>
      <c r="AH26" s="6"/>
    </row>
    <row r="27" spans="1:34">
      <c r="A27" s="28"/>
      <c r="B27" s="51">
        <v>16</v>
      </c>
      <c r="C27" s="178">
        <v>127</v>
      </c>
      <c r="D27" s="179">
        <v>621</v>
      </c>
      <c r="E27" s="92">
        <v>19039.999999999964</v>
      </c>
      <c r="F27" s="2">
        <v>20707313.759999961</v>
      </c>
      <c r="G27" s="30">
        <v>4240.0000000000091</v>
      </c>
      <c r="H27" s="2">
        <v>6916938.8400000157</v>
      </c>
      <c r="I27" s="91">
        <f t="shared" si="4"/>
        <v>27624252.599999975</v>
      </c>
      <c r="J27" s="92">
        <v>1859.9999999996726</v>
      </c>
      <c r="K27" s="2">
        <v>2022878.3399996439</v>
      </c>
      <c r="L27" s="150">
        <v>460.00000000003638</v>
      </c>
      <c r="M27" s="151">
        <v>750422.61000005936</v>
      </c>
      <c r="N27" s="84">
        <f t="shared" si="5"/>
        <v>2773300.9499997031</v>
      </c>
      <c r="O27" s="93">
        <f t="shared" si="6"/>
        <v>30397553.549999677</v>
      </c>
      <c r="P27" s="96">
        <f t="shared" si="7"/>
        <v>25599.99999999968</v>
      </c>
      <c r="Q27" s="152">
        <f t="shared" si="8"/>
        <v>835.09999999999127</v>
      </c>
      <c r="R27" s="2">
        <v>234</v>
      </c>
      <c r="S27" s="2">
        <v>4205022.12</v>
      </c>
      <c r="T27" s="26">
        <v>601.09999999999127</v>
      </c>
      <c r="U27" s="26">
        <v>2884149.9319999581</v>
      </c>
      <c r="V27" s="26">
        <f t="shared" si="0"/>
        <v>7089172.0519999582</v>
      </c>
      <c r="W27" s="108">
        <f t="shared" si="1"/>
        <v>546.32574619935269</v>
      </c>
      <c r="X27" s="113">
        <v>159.46851999998592</v>
      </c>
      <c r="Y27" s="2"/>
      <c r="Z27" s="2"/>
      <c r="AA27" s="2">
        <v>12</v>
      </c>
      <c r="AB27" s="2">
        <f t="shared" si="9"/>
        <v>171.46851999998592</v>
      </c>
      <c r="AC27" s="2">
        <v>2977050.9235198116</v>
      </c>
      <c r="AD27" s="36">
        <f t="shared" si="2"/>
        <v>229.42588433956698</v>
      </c>
      <c r="AE27" s="119">
        <v>383.30000000000291</v>
      </c>
      <c r="AF27" s="2">
        <v>3833000.0000000289</v>
      </c>
      <c r="AG27" s="32">
        <f t="shared" si="3"/>
        <v>295.3894431989936</v>
      </c>
      <c r="AH27" s="6"/>
    </row>
    <row r="28" spans="1:34">
      <c r="A28" s="28"/>
      <c r="B28" s="51">
        <v>17</v>
      </c>
      <c r="C28" s="178">
        <v>131</v>
      </c>
      <c r="D28" s="179">
        <v>891</v>
      </c>
      <c r="E28" s="92">
        <v>19319.999999999709</v>
      </c>
      <c r="F28" s="2">
        <v>21011833.079999685</v>
      </c>
      <c r="G28" s="30">
        <v>4159.9999999999682</v>
      </c>
      <c r="H28" s="2">
        <v>6786430.5599999484</v>
      </c>
      <c r="I28" s="91">
        <f t="shared" si="4"/>
        <v>27798263.639999636</v>
      </c>
      <c r="J28" s="92">
        <v>1880.0000000001091</v>
      </c>
      <c r="K28" s="2">
        <v>2044629.7200001187</v>
      </c>
      <c r="L28" s="150">
        <v>500</v>
      </c>
      <c r="M28" s="151">
        <v>815676.75</v>
      </c>
      <c r="N28" s="84">
        <f t="shared" si="5"/>
        <v>2860306.4700001189</v>
      </c>
      <c r="O28" s="93">
        <f t="shared" si="6"/>
        <v>30658570.109999754</v>
      </c>
      <c r="P28" s="96">
        <f t="shared" si="7"/>
        <v>25859.999999999785</v>
      </c>
      <c r="Q28" s="152">
        <f t="shared" si="8"/>
        <v>918.60000000000582</v>
      </c>
      <c r="R28" s="2">
        <v>233</v>
      </c>
      <c r="S28" s="2">
        <v>4187051.94</v>
      </c>
      <c r="T28" s="26">
        <v>685.60000000000582</v>
      </c>
      <c r="U28" s="26">
        <v>3289591.0720000276</v>
      </c>
      <c r="V28" s="26">
        <f t="shared" si="0"/>
        <v>7476643.012000028</v>
      </c>
      <c r="W28" s="108">
        <f t="shared" si="1"/>
        <v>576.18612478797763</v>
      </c>
      <c r="X28" s="113">
        <v>141.54391999999763</v>
      </c>
      <c r="Y28" s="2"/>
      <c r="Z28" s="2"/>
      <c r="AA28" s="2">
        <v>0</v>
      </c>
      <c r="AB28" s="2">
        <f t="shared" si="9"/>
        <v>141.54391999999763</v>
      </c>
      <c r="AC28" s="2">
        <v>1893291.4739199684</v>
      </c>
      <c r="AD28" s="36">
        <f t="shared" si="2"/>
        <v>145.90616078649026</v>
      </c>
      <c r="AE28" s="119">
        <v>556.62000000000489</v>
      </c>
      <c r="AF28" s="2">
        <v>5566200.0000000494</v>
      </c>
      <c r="AG28" s="32">
        <f t="shared" si="3"/>
        <v>428.95818385970267</v>
      </c>
      <c r="AH28" s="6"/>
    </row>
    <row r="29" spans="1:34">
      <c r="A29" s="28"/>
      <c r="B29" s="51">
        <v>18</v>
      </c>
      <c r="C29" s="178">
        <v>128</v>
      </c>
      <c r="D29" s="179">
        <v>653</v>
      </c>
      <c r="E29" s="92">
        <v>19440.000000000055</v>
      </c>
      <c r="F29" s="2">
        <v>21142341.360000059</v>
      </c>
      <c r="G29" s="30">
        <v>4000</v>
      </c>
      <c r="H29" s="2">
        <v>6525414</v>
      </c>
      <c r="I29" s="91">
        <f t="shared" si="4"/>
        <v>27667755.360000059</v>
      </c>
      <c r="J29" s="92">
        <v>2039.9999999999636</v>
      </c>
      <c r="K29" s="2">
        <v>2218640.7599999607</v>
      </c>
      <c r="L29" s="150">
        <v>539.99999999996362</v>
      </c>
      <c r="M29" s="151">
        <v>880930.88999994064</v>
      </c>
      <c r="N29" s="84">
        <f t="shared" si="5"/>
        <v>3099571.6499999012</v>
      </c>
      <c r="O29" s="93">
        <f t="shared" si="6"/>
        <v>30767327.009999961</v>
      </c>
      <c r="P29" s="96">
        <f t="shared" si="7"/>
        <v>26019.999999999982</v>
      </c>
      <c r="Q29" s="152">
        <f t="shared" si="8"/>
        <v>859.09999999999127</v>
      </c>
      <c r="R29" s="2">
        <v>228</v>
      </c>
      <c r="S29" s="2">
        <v>4097201.04</v>
      </c>
      <c r="T29" s="26">
        <v>631.09999999999127</v>
      </c>
      <c r="U29" s="26">
        <v>3028093.5319999582</v>
      </c>
      <c r="V29" s="26">
        <f t="shared" si="0"/>
        <v>7125294.5719999578</v>
      </c>
      <c r="W29" s="108">
        <f t="shared" si="1"/>
        <v>549.10952158931991</v>
      </c>
      <c r="X29" s="113">
        <v>142.95372000002109</v>
      </c>
      <c r="Y29" s="2"/>
      <c r="Z29" s="2">
        <v>400</v>
      </c>
      <c r="AA29" s="2">
        <v>24</v>
      </c>
      <c r="AB29" s="2">
        <f t="shared" si="9"/>
        <v>566.95372000002112</v>
      </c>
      <c r="AC29" s="2">
        <v>7827148.9587202817</v>
      </c>
      <c r="AD29" s="36">
        <f t="shared" si="2"/>
        <v>603.1978013962821</v>
      </c>
      <c r="AE29" s="119">
        <v>696.97999999999593</v>
      </c>
      <c r="AF29" s="2">
        <v>6969799.999999959</v>
      </c>
      <c r="AG29" s="32">
        <f t="shared" si="3"/>
        <v>537.12636086833231</v>
      </c>
      <c r="AH29" s="6"/>
    </row>
    <row r="30" spans="1:34">
      <c r="A30" s="28"/>
      <c r="B30" s="51">
        <v>19</v>
      </c>
      <c r="C30" s="178">
        <v>123</v>
      </c>
      <c r="D30" s="179">
        <v>767</v>
      </c>
      <c r="E30" s="92">
        <v>19800.000000000182</v>
      </c>
      <c r="F30" s="2">
        <v>21533866.200000197</v>
      </c>
      <c r="G30" s="30">
        <v>4120.0000000000045</v>
      </c>
      <c r="H30" s="2">
        <v>6721176.4200000083</v>
      </c>
      <c r="I30" s="91">
        <f t="shared" si="4"/>
        <v>28255042.620000206</v>
      </c>
      <c r="J30" s="92">
        <v>1980.0000000004729</v>
      </c>
      <c r="K30" s="2">
        <v>2153386.6200005142</v>
      </c>
      <c r="L30" s="150">
        <v>519.99999999998181</v>
      </c>
      <c r="M30" s="151">
        <v>848303.81999997038</v>
      </c>
      <c r="N30" s="84">
        <f t="shared" si="5"/>
        <v>3001690.4400004847</v>
      </c>
      <c r="O30" s="93">
        <f t="shared" si="6"/>
        <v>31256733.060000692</v>
      </c>
      <c r="P30" s="96">
        <f t="shared" si="7"/>
        <v>26420.00000000064</v>
      </c>
      <c r="Q30" s="152">
        <f t="shared" si="8"/>
        <v>959.10000000000582</v>
      </c>
      <c r="R30" s="2">
        <v>218</v>
      </c>
      <c r="S30" s="2">
        <v>3917499.24</v>
      </c>
      <c r="T30" s="26">
        <v>741.10000000000582</v>
      </c>
      <c r="U30" s="26">
        <v>3555886.7320000278</v>
      </c>
      <c r="V30" s="26">
        <f t="shared" si="0"/>
        <v>7473385.972000028</v>
      </c>
      <c r="W30" s="108">
        <f t="shared" si="1"/>
        <v>575.93512159672355</v>
      </c>
      <c r="X30" s="113">
        <v>151.53335999998123</v>
      </c>
      <c r="Y30" s="2"/>
      <c r="Z30" s="2"/>
      <c r="AA30" s="2">
        <v>12</v>
      </c>
      <c r="AB30" s="2">
        <f t="shared" si="9"/>
        <v>163.53335999998123</v>
      </c>
      <c r="AC30" s="2">
        <v>2166410.2233597487</v>
      </c>
      <c r="AD30" s="36">
        <f t="shared" si="2"/>
        <v>166.95400720554102</v>
      </c>
      <c r="AE30" s="119">
        <v>184.74</v>
      </c>
      <c r="AF30" s="2">
        <v>1847400</v>
      </c>
      <c r="AG30" s="32">
        <f t="shared" si="3"/>
        <v>142.36954275132186</v>
      </c>
      <c r="AH30" s="6"/>
    </row>
    <row r="31" spans="1:34">
      <c r="A31" s="28"/>
      <c r="B31" s="51">
        <v>20</v>
      </c>
      <c r="C31" s="178">
        <v>118</v>
      </c>
      <c r="D31" s="179">
        <v>504</v>
      </c>
      <c r="E31" s="92">
        <v>18000</v>
      </c>
      <c r="F31" s="2">
        <v>19576242</v>
      </c>
      <c r="G31" s="30">
        <v>4200.0000000000455</v>
      </c>
      <c r="H31" s="2">
        <v>6851684.7000000747</v>
      </c>
      <c r="I31" s="91">
        <f t="shared" si="4"/>
        <v>26427926.700000074</v>
      </c>
      <c r="J31" s="92">
        <v>2140.0000000003274</v>
      </c>
      <c r="K31" s="2">
        <v>2327397.6600003564</v>
      </c>
      <c r="L31" s="150">
        <v>539.99999999996362</v>
      </c>
      <c r="M31" s="151">
        <v>880930.88999994064</v>
      </c>
      <c r="N31" s="84">
        <f t="shared" si="5"/>
        <v>3208328.5500002969</v>
      </c>
      <c r="O31" s="93">
        <f t="shared" si="6"/>
        <v>29636255.250000373</v>
      </c>
      <c r="P31" s="96">
        <f t="shared" si="7"/>
        <v>24880.000000000335</v>
      </c>
      <c r="Q31" s="152">
        <f t="shared" si="8"/>
        <v>930.30000000000291</v>
      </c>
      <c r="R31" s="2">
        <v>194</v>
      </c>
      <c r="S31" s="2">
        <v>3486214.92</v>
      </c>
      <c r="T31" s="26">
        <v>736.30000000000291</v>
      </c>
      <c r="U31" s="26">
        <v>3532855.756000014</v>
      </c>
      <c r="V31" s="26">
        <f t="shared" si="0"/>
        <v>7019070.6760000139</v>
      </c>
      <c r="W31" s="108">
        <f t="shared" si="1"/>
        <v>540.92339649308951</v>
      </c>
      <c r="X31" s="113">
        <v>138.68404000003048</v>
      </c>
      <c r="Y31" s="2"/>
      <c r="Z31" s="2"/>
      <c r="AA31" s="2">
        <v>12</v>
      </c>
      <c r="AB31" s="2">
        <f t="shared" si="9"/>
        <v>150.68404000003048</v>
      </c>
      <c r="AC31" s="2">
        <v>1994537.7190404076</v>
      </c>
      <c r="AD31" s="36">
        <f t="shared" si="2"/>
        <v>153.70868412907183</v>
      </c>
      <c r="AE31" s="119">
        <v>1699.7399999999989</v>
      </c>
      <c r="AF31" s="2">
        <v>16997399.999999989</v>
      </c>
      <c r="AG31" s="32">
        <f t="shared" si="3"/>
        <v>1309.9015188704755</v>
      </c>
      <c r="AH31" s="6"/>
    </row>
    <row r="32" spans="1:34">
      <c r="A32" s="28"/>
      <c r="B32" s="51">
        <v>21</v>
      </c>
      <c r="C32" s="178">
        <v>110</v>
      </c>
      <c r="D32" s="179">
        <v>716</v>
      </c>
      <c r="E32" s="92">
        <v>20519.999999999982</v>
      </c>
      <c r="F32" s="2">
        <v>22316915.87999998</v>
      </c>
      <c r="G32" s="30">
        <v>4360.0000000000136</v>
      </c>
      <c r="H32" s="2">
        <v>7112701.2600000231</v>
      </c>
      <c r="I32" s="91">
        <f t="shared" si="4"/>
        <v>29429617.140000004</v>
      </c>
      <c r="J32" s="92">
        <v>2179.9999999993815</v>
      </c>
      <c r="K32" s="2">
        <v>2370900.419999327</v>
      </c>
      <c r="L32" s="150">
        <v>520.00000000020918</v>
      </c>
      <c r="M32" s="151">
        <v>848303.82000034139</v>
      </c>
      <c r="N32" s="84">
        <f>+K32+M32</f>
        <v>3219204.2399996687</v>
      </c>
      <c r="O32" s="93">
        <f t="shared" si="6"/>
        <v>32648821.379999675</v>
      </c>
      <c r="P32" s="96">
        <f t="shared" si="7"/>
        <v>27579.999999999585</v>
      </c>
      <c r="Q32" s="152">
        <f t="shared" si="8"/>
        <v>832.19999999999709</v>
      </c>
      <c r="R32" s="2">
        <v>187</v>
      </c>
      <c r="S32" s="2">
        <v>3360423.66</v>
      </c>
      <c r="T32" s="26">
        <v>645.19999999999709</v>
      </c>
      <c r="U32" s="26">
        <v>3095747.0239999858</v>
      </c>
      <c r="V32" s="26">
        <f t="shared" si="0"/>
        <v>6456170.6839999855</v>
      </c>
      <c r="W32" s="108">
        <f t="shared" si="1"/>
        <v>497.54361167346906</v>
      </c>
      <c r="X32" s="113">
        <v>129.21824000000703</v>
      </c>
      <c r="Y32" s="2">
        <v>250</v>
      </c>
      <c r="Z32" s="2"/>
      <c r="AA32" s="2">
        <v>12</v>
      </c>
      <c r="AB32" s="2">
        <f t="shared" si="9"/>
        <v>391.21824000000703</v>
      </c>
      <c r="AC32" s="2">
        <v>5390423.1782400943</v>
      </c>
      <c r="AD32" s="36">
        <f t="shared" si="2"/>
        <v>415.41197527453141</v>
      </c>
      <c r="AE32" s="119">
        <v>439.11999999999978</v>
      </c>
      <c r="AF32" s="2">
        <v>4391199.9999999981</v>
      </c>
      <c r="AG32" s="32">
        <f t="shared" si="3"/>
        <v>338.40702399567192</v>
      </c>
      <c r="AH32" s="6"/>
    </row>
    <row r="33" spans="1:34">
      <c r="A33" s="28"/>
      <c r="B33" s="51">
        <v>22</v>
      </c>
      <c r="C33" s="178">
        <v>113</v>
      </c>
      <c r="D33" s="179">
        <v>391</v>
      </c>
      <c r="E33" s="92">
        <v>19960.000000000036</v>
      </c>
      <c r="F33" s="2">
        <v>21707877.240000039</v>
      </c>
      <c r="G33" s="30">
        <v>4439.9999999999409</v>
      </c>
      <c r="H33" s="2">
        <v>7243209.5399999041</v>
      </c>
      <c r="I33" s="91">
        <f t="shared" si="4"/>
        <v>28951086.779999942</v>
      </c>
      <c r="J33" s="92">
        <v>2159.9999999998545</v>
      </c>
      <c r="K33" s="2">
        <v>2349149.0399998422</v>
      </c>
      <c r="L33" s="150">
        <v>539.99999999996362</v>
      </c>
      <c r="M33" s="151">
        <v>880930.88999994064</v>
      </c>
      <c r="N33" s="84">
        <f t="shared" si="5"/>
        <v>3230079.9299997827</v>
      </c>
      <c r="O33" s="93">
        <f t="shared" si="6"/>
        <v>32181166.709999725</v>
      </c>
      <c r="P33" s="96">
        <f t="shared" si="7"/>
        <v>27099.999999999796</v>
      </c>
      <c r="Q33" s="152">
        <f t="shared" si="8"/>
        <v>862.30000000000291</v>
      </c>
      <c r="R33" s="2">
        <v>215</v>
      </c>
      <c r="S33" s="2">
        <v>3863588.7</v>
      </c>
      <c r="T33" s="26">
        <v>647.30000000000291</v>
      </c>
      <c r="U33" s="26">
        <v>3105823.0760000139</v>
      </c>
      <c r="V33" s="26">
        <f t="shared" si="0"/>
        <v>6969411.7760000136</v>
      </c>
      <c r="W33" s="108">
        <f t="shared" si="1"/>
        <v>537.0964424568582</v>
      </c>
      <c r="X33" s="113">
        <v>153.95016000000467</v>
      </c>
      <c r="Y33" s="2"/>
      <c r="Z33" s="2"/>
      <c r="AA33" s="2">
        <v>12</v>
      </c>
      <c r="AB33" s="2">
        <f t="shared" si="9"/>
        <v>165.95016000000467</v>
      </c>
      <c r="AC33" s="2">
        <v>2903237.3401600625</v>
      </c>
      <c r="AD33" s="36">
        <f t="shared" si="2"/>
        <v>223.73745405280499</v>
      </c>
      <c r="AE33" s="119">
        <v>508.02</v>
      </c>
      <c r="AF33" s="2">
        <v>5080200</v>
      </c>
      <c r="AG33" s="32">
        <f t="shared" si="3"/>
        <v>391.50468284359926</v>
      </c>
      <c r="AH33" s="6"/>
    </row>
    <row r="34" spans="1:34">
      <c r="A34" s="28"/>
      <c r="B34" s="51">
        <v>23</v>
      </c>
      <c r="C34" s="178">
        <v>122</v>
      </c>
      <c r="D34" s="179">
        <v>611</v>
      </c>
      <c r="E34" s="92">
        <v>20000</v>
      </c>
      <c r="F34" s="2">
        <v>21751380</v>
      </c>
      <c r="G34" s="30">
        <v>4279.9999999999727</v>
      </c>
      <c r="H34" s="2">
        <v>6982192.9799999557</v>
      </c>
      <c r="I34" s="91">
        <f t="shared" si="4"/>
        <v>28733572.979999956</v>
      </c>
      <c r="J34" s="92">
        <v>2079.9999999999272</v>
      </c>
      <c r="K34" s="2">
        <v>2262143.5199999209</v>
      </c>
      <c r="L34" s="150">
        <v>519.99999999998181</v>
      </c>
      <c r="M34" s="151">
        <v>848303.81999997038</v>
      </c>
      <c r="N34" s="84">
        <f t="shared" si="5"/>
        <v>3110447.3399998914</v>
      </c>
      <c r="O34" s="93">
        <f t="shared" si="6"/>
        <v>31844020.319999848</v>
      </c>
      <c r="P34" s="96">
        <f t="shared" si="7"/>
        <v>26879.999999999884</v>
      </c>
      <c r="Q34" s="152">
        <f t="shared" si="8"/>
        <v>960.5</v>
      </c>
      <c r="R34" s="2">
        <v>201</v>
      </c>
      <c r="S34" s="2">
        <v>3612006.18</v>
      </c>
      <c r="T34" s="26">
        <v>759.5</v>
      </c>
      <c r="U34" s="26">
        <v>3644172.14</v>
      </c>
      <c r="V34" s="26">
        <f t="shared" si="0"/>
        <v>7256178.3200000003</v>
      </c>
      <c r="W34" s="108">
        <f t="shared" si="1"/>
        <v>559.19605366485587</v>
      </c>
      <c r="X34" s="113">
        <v>145.45108000000232</v>
      </c>
      <c r="Y34" s="2"/>
      <c r="Z34" s="2">
        <v>400</v>
      </c>
      <c r="AA34" s="2">
        <v>24</v>
      </c>
      <c r="AB34" s="2">
        <f t="shared" si="9"/>
        <v>569.45108000000232</v>
      </c>
      <c r="AC34" s="2">
        <v>7860553.6460800311</v>
      </c>
      <c r="AD34" s="36">
        <f t="shared" si="2"/>
        <v>605.77212751144839</v>
      </c>
      <c r="AE34" s="119">
        <v>435.08000000000015</v>
      </c>
      <c r="AF34" s="2">
        <v>4350800.0000000019</v>
      </c>
      <c r="AG34" s="32">
        <f t="shared" si="3"/>
        <v>335.29360539268777</v>
      </c>
      <c r="AH34" s="6"/>
    </row>
    <row r="35" spans="1:34">
      <c r="A35" s="28"/>
      <c r="B35" s="51">
        <v>24</v>
      </c>
      <c r="C35" s="178">
        <v>123</v>
      </c>
      <c r="D35" s="179">
        <v>572</v>
      </c>
      <c r="E35" s="92">
        <v>19839.999999999691</v>
      </c>
      <c r="F35" s="2">
        <v>21577368.959999662</v>
      </c>
      <c r="G35" s="30">
        <v>4360.0000000000136</v>
      </c>
      <c r="H35" s="2">
        <v>7112701.2600000231</v>
      </c>
      <c r="I35" s="91">
        <f t="shared" si="4"/>
        <v>28690070.219999686</v>
      </c>
      <c r="J35" s="92">
        <v>2039.9999999999636</v>
      </c>
      <c r="K35" s="2">
        <v>2218640.7599999607</v>
      </c>
      <c r="L35" s="150">
        <v>519.99999999998181</v>
      </c>
      <c r="M35" s="151">
        <v>848303.81999997038</v>
      </c>
      <c r="N35" s="84">
        <f t="shared" si="5"/>
        <v>3066944.5799999312</v>
      </c>
      <c r="O35" s="93">
        <f t="shared" si="6"/>
        <v>31757014.799999617</v>
      </c>
      <c r="P35" s="96">
        <f t="shared" si="7"/>
        <v>26759.999999999651</v>
      </c>
      <c r="Q35" s="152">
        <f t="shared" si="8"/>
        <v>939.59999999999127</v>
      </c>
      <c r="R35" s="2">
        <v>223</v>
      </c>
      <c r="S35" s="2">
        <v>4007350.14</v>
      </c>
      <c r="T35" s="26">
        <v>716.59999999999127</v>
      </c>
      <c r="U35" s="26">
        <v>3438332.791999958</v>
      </c>
      <c r="V35" s="26">
        <f t="shared" si="0"/>
        <v>7445682.9319999581</v>
      </c>
      <c r="W35" s="108">
        <f t="shared" si="1"/>
        <v>573.80019189139091</v>
      </c>
      <c r="X35" s="113">
        <v>141.66475999999295</v>
      </c>
      <c r="Y35" s="2"/>
      <c r="Z35" s="2"/>
      <c r="AA35" s="2">
        <v>0</v>
      </c>
      <c r="AB35" s="2">
        <f t="shared" si="9"/>
        <v>141.66475999999295</v>
      </c>
      <c r="AC35" s="2">
        <v>1894907.8297599058</v>
      </c>
      <c r="AD35" s="36">
        <f t="shared" si="2"/>
        <v>146.03072495334925</v>
      </c>
      <c r="AE35" s="119">
        <v>952.05000000000018</v>
      </c>
      <c r="AF35" s="2">
        <v>9520500.0000000019</v>
      </c>
      <c r="AG35" s="32">
        <f t="shared" si="3"/>
        <v>733.69558934933423</v>
      </c>
      <c r="AH35" s="6"/>
    </row>
    <row r="36" spans="1:34">
      <c r="A36" s="28"/>
      <c r="B36" s="51">
        <v>25</v>
      </c>
      <c r="C36" s="178">
        <v>90</v>
      </c>
      <c r="D36" s="179">
        <v>410</v>
      </c>
      <c r="E36" s="92">
        <v>20960.000000000036</v>
      </c>
      <c r="F36" s="2">
        <v>22795446.240000039</v>
      </c>
      <c r="G36" s="30">
        <v>4200.0000000000455</v>
      </c>
      <c r="H36" s="2">
        <v>6851684.7000000747</v>
      </c>
      <c r="I36" s="91">
        <f t="shared" si="4"/>
        <v>29647130.940000113</v>
      </c>
      <c r="J36" s="92">
        <v>1960.0000000000364</v>
      </c>
      <c r="K36" s="2">
        <v>2131635.2400000393</v>
      </c>
      <c r="L36" s="150">
        <v>500</v>
      </c>
      <c r="M36" s="151">
        <v>815676.75</v>
      </c>
      <c r="N36" s="84">
        <f t="shared" si="5"/>
        <v>2947311.9900000393</v>
      </c>
      <c r="O36" s="93">
        <f t="shared" si="6"/>
        <v>32594442.930000152</v>
      </c>
      <c r="P36" s="96">
        <f t="shared" si="7"/>
        <v>27620.000000000116</v>
      </c>
      <c r="Q36" s="152">
        <f t="shared" si="8"/>
        <v>661.10000000000582</v>
      </c>
      <c r="R36" s="2">
        <v>176</v>
      </c>
      <c r="S36" s="2">
        <v>3162751.68</v>
      </c>
      <c r="T36" s="26">
        <v>485.10000000000582</v>
      </c>
      <c r="U36" s="26">
        <v>2327568.012000028</v>
      </c>
      <c r="V36" s="26">
        <f t="shared" si="0"/>
        <v>5490319.6920000277</v>
      </c>
      <c r="W36" s="108">
        <f t="shared" si="1"/>
        <v>423.11048181694389</v>
      </c>
      <c r="X36" s="113">
        <v>149.11655999995779</v>
      </c>
      <c r="Y36" s="2"/>
      <c r="Z36" s="2"/>
      <c r="AA36" s="2">
        <v>12</v>
      </c>
      <c r="AB36" s="2">
        <f t="shared" si="9"/>
        <v>161.11655999995779</v>
      </c>
      <c r="AC36" s="2">
        <v>2134083.1065594354</v>
      </c>
      <c r="AD36" s="36">
        <f t="shared" si="2"/>
        <v>164.46272386824037</v>
      </c>
      <c r="AE36" s="119">
        <v>755.75</v>
      </c>
      <c r="AF36" s="2">
        <v>7557500</v>
      </c>
      <c r="AG36" s="32">
        <f t="shared" si="3"/>
        <v>582.41735376373003</v>
      </c>
      <c r="AH36" s="6"/>
    </row>
    <row r="37" spans="1:34">
      <c r="A37" s="28"/>
      <c r="B37" s="51">
        <v>26</v>
      </c>
      <c r="C37" s="178">
        <v>132</v>
      </c>
      <c r="D37" s="179">
        <v>703</v>
      </c>
      <c r="E37" s="92">
        <v>20840.000000000146</v>
      </c>
      <c r="F37" s="2">
        <v>22664937.960000161</v>
      </c>
      <c r="G37" s="30">
        <v>4519.9999999999818</v>
      </c>
      <c r="H37" s="2">
        <v>7373717.8199999714</v>
      </c>
      <c r="I37" s="91">
        <f t="shared" si="4"/>
        <v>30038655.780000132</v>
      </c>
      <c r="J37" s="92">
        <v>2000</v>
      </c>
      <c r="K37" s="2">
        <v>2175138</v>
      </c>
      <c r="L37" s="150">
        <v>500</v>
      </c>
      <c r="M37" s="151">
        <v>815676.75</v>
      </c>
      <c r="N37" s="84">
        <f t="shared" si="5"/>
        <v>2990814.75</v>
      </c>
      <c r="O37" s="93">
        <f t="shared" si="6"/>
        <v>33029470.530000132</v>
      </c>
      <c r="P37" s="96">
        <f t="shared" si="7"/>
        <v>27860.000000000127</v>
      </c>
      <c r="Q37" s="152">
        <f t="shared" si="8"/>
        <v>1066</v>
      </c>
      <c r="R37" s="2">
        <v>217</v>
      </c>
      <c r="S37" s="2">
        <v>3899529.06</v>
      </c>
      <c r="T37" s="26">
        <v>849</v>
      </c>
      <c r="U37" s="26">
        <v>4073603.88</v>
      </c>
      <c r="V37" s="26">
        <f t="shared" si="0"/>
        <v>7973132.9399999995</v>
      </c>
      <c r="W37" s="108">
        <f t="shared" si="1"/>
        <v>614.44803018474749</v>
      </c>
      <c r="X37" s="113">
        <v>159.18656000001639</v>
      </c>
      <c r="Y37" s="2"/>
      <c r="Z37" s="2"/>
      <c r="AA37" s="2">
        <v>12</v>
      </c>
      <c r="AB37" s="2">
        <f t="shared" si="9"/>
        <v>171.18656000001639</v>
      </c>
      <c r="AC37" s="2">
        <v>2268779.4265602194</v>
      </c>
      <c r="AD37" s="36">
        <f t="shared" si="2"/>
        <v>174.84307110695281</v>
      </c>
      <c r="AE37" s="119">
        <v>612.19999999999982</v>
      </c>
      <c r="AF37" s="2">
        <v>6121999.9999999981</v>
      </c>
      <c r="AG37" s="32">
        <f t="shared" si="3"/>
        <v>471.79080909580608</v>
      </c>
      <c r="AH37" s="6"/>
    </row>
    <row r="38" spans="1:34">
      <c r="A38" s="28"/>
      <c r="B38" s="51">
        <v>27</v>
      </c>
      <c r="C38" s="178">
        <v>125</v>
      </c>
      <c r="D38" s="179">
        <v>515</v>
      </c>
      <c r="E38" s="92">
        <v>19159.999999999854</v>
      </c>
      <c r="F38" s="2">
        <v>20837822.039999843</v>
      </c>
      <c r="G38" s="30">
        <v>4320.00000000005</v>
      </c>
      <c r="H38" s="2">
        <v>7047447.1200000821</v>
      </c>
      <c r="I38" s="91">
        <f t="shared" si="4"/>
        <v>27885269.159999926</v>
      </c>
      <c r="J38" s="92">
        <v>2060.0000000004002</v>
      </c>
      <c r="K38" s="2">
        <v>2240392.1400004351</v>
      </c>
      <c r="L38" s="150">
        <v>500</v>
      </c>
      <c r="M38" s="151">
        <v>815676.75</v>
      </c>
      <c r="N38" s="84">
        <f t="shared" si="5"/>
        <v>3056068.8900004351</v>
      </c>
      <c r="O38" s="93">
        <f t="shared" si="6"/>
        <v>30941338.050000362</v>
      </c>
      <c r="P38" s="96">
        <f t="shared" si="7"/>
        <v>26040.000000000306</v>
      </c>
      <c r="Q38" s="152">
        <f t="shared" si="8"/>
        <v>1007</v>
      </c>
      <c r="R38" s="2">
        <v>235</v>
      </c>
      <c r="S38" s="2">
        <v>4222992.3</v>
      </c>
      <c r="T38" s="26">
        <v>772</v>
      </c>
      <c r="U38" s="26">
        <v>3704148.64</v>
      </c>
      <c r="V38" s="26">
        <f t="shared" si="0"/>
        <v>7927140.9399999995</v>
      </c>
      <c r="W38" s="108">
        <f t="shared" si="1"/>
        <v>610.90366512562719</v>
      </c>
      <c r="X38" s="113">
        <v>119.8732800000375</v>
      </c>
      <c r="Y38" s="2">
        <v>250</v>
      </c>
      <c r="Z38" s="2"/>
      <c r="AA38" s="2">
        <v>0</v>
      </c>
      <c r="AB38" s="2">
        <f t="shared" si="9"/>
        <v>369.87328000003748</v>
      </c>
      <c r="AC38" s="2">
        <v>5125924.993280502</v>
      </c>
      <c r="AD38" s="36">
        <f t="shared" si="2"/>
        <v>395.02847107876886</v>
      </c>
      <c r="AE38" s="119">
        <v>617.60000000000036</v>
      </c>
      <c r="AF38" s="2">
        <v>6176000.0000000037</v>
      </c>
      <c r="AG38" s="32">
        <f t="shared" si="3"/>
        <v>475.95230920870642</v>
      </c>
      <c r="AH38" s="6"/>
    </row>
    <row r="39" spans="1:34">
      <c r="A39" s="28"/>
      <c r="B39" s="51">
        <v>28</v>
      </c>
      <c r="C39" s="178">
        <v>38</v>
      </c>
      <c r="D39" s="179">
        <v>600</v>
      </c>
      <c r="E39" s="92">
        <v>20440.000000000055</v>
      </c>
      <c r="F39" s="2">
        <v>22229910.360000059</v>
      </c>
      <c r="G39" s="30">
        <v>4120.0000000000045</v>
      </c>
      <c r="H39" s="2">
        <v>6721176.4200000083</v>
      </c>
      <c r="I39" s="91">
        <f t="shared" si="4"/>
        <v>28951086.780000068</v>
      </c>
      <c r="J39" s="92">
        <v>2060.0000000004002</v>
      </c>
      <c r="K39" s="2">
        <v>2240392.1400004351</v>
      </c>
      <c r="L39" s="150">
        <v>500</v>
      </c>
      <c r="M39" s="151">
        <v>815676.75</v>
      </c>
      <c r="N39" s="84">
        <f t="shared" si="5"/>
        <v>3056068.8900004351</v>
      </c>
      <c r="O39" s="93">
        <f t="shared" si="6"/>
        <v>32007155.670000505</v>
      </c>
      <c r="P39" s="96">
        <f t="shared" si="7"/>
        <v>27120.000000000458</v>
      </c>
      <c r="Q39" s="152">
        <f t="shared" si="8"/>
        <v>845</v>
      </c>
      <c r="R39" s="2">
        <v>231</v>
      </c>
      <c r="S39" s="2">
        <v>4151111.58</v>
      </c>
      <c r="T39" s="26">
        <v>614</v>
      </c>
      <c r="U39" s="26">
        <v>2946045.6799999997</v>
      </c>
      <c r="V39" s="26">
        <f t="shared" si="0"/>
        <v>7097157.2599999998</v>
      </c>
      <c r="W39" s="108">
        <f t="shared" si="1"/>
        <v>546.94112479182866</v>
      </c>
      <c r="X39" s="113">
        <v>128.57375999999294</v>
      </c>
      <c r="Y39" s="2"/>
      <c r="Z39" s="2">
        <v>400</v>
      </c>
      <c r="AA39" s="2">
        <v>24</v>
      </c>
      <c r="AB39" s="2">
        <f t="shared" si="9"/>
        <v>552.57375999999294</v>
      </c>
      <c r="AC39" s="2">
        <v>7634802.6137599051</v>
      </c>
      <c r="AD39" s="36">
        <f t="shared" si="2"/>
        <v>588.37466553945796</v>
      </c>
      <c r="AE39" s="119">
        <v>553.81999999999971</v>
      </c>
      <c r="AF39" s="2">
        <v>5538199.9999999972</v>
      </c>
      <c r="AG39" s="32">
        <f t="shared" si="3"/>
        <v>426.80036898634313</v>
      </c>
      <c r="AH39" s="6"/>
    </row>
    <row r="40" spans="1:34">
      <c r="A40" s="28"/>
      <c r="B40" s="51">
        <v>29</v>
      </c>
      <c r="C40" s="178">
        <v>86</v>
      </c>
      <c r="D40" s="179">
        <v>375</v>
      </c>
      <c r="E40" s="92">
        <v>18960.000000000036</v>
      </c>
      <c r="F40" s="2">
        <v>20620308.240000039</v>
      </c>
      <c r="G40" s="30">
        <v>4000</v>
      </c>
      <c r="H40" s="2">
        <v>6525414</v>
      </c>
      <c r="I40" s="91">
        <f t="shared" si="4"/>
        <v>27145722.240000039</v>
      </c>
      <c r="J40" s="92">
        <v>2099.9999999994543</v>
      </c>
      <c r="K40" s="2">
        <v>2283894.8999994067</v>
      </c>
      <c r="L40" s="150">
        <v>500</v>
      </c>
      <c r="M40" s="151">
        <v>815676.75</v>
      </c>
      <c r="N40" s="84">
        <f t="shared" si="5"/>
        <v>3099571.6499994067</v>
      </c>
      <c r="O40" s="93">
        <f t="shared" ref="O40:O41" si="10">N40+I40</f>
        <v>30245293.889999446</v>
      </c>
      <c r="P40" s="96">
        <f t="shared" ref="P40:P41" si="11">L40+J40+G40+E40</f>
        <v>25559.999999999491</v>
      </c>
      <c r="Q40" s="152">
        <f t="shared" si="8"/>
        <v>645</v>
      </c>
      <c r="R40" s="2">
        <v>224</v>
      </c>
      <c r="S40" s="2">
        <v>4025320.3200000003</v>
      </c>
      <c r="T40" s="26">
        <v>421</v>
      </c>
      <c r="U40" s="26">
        <v>2020008.52</v>
      </c>
      <c r="V40" s="26">
        <f t="shared" ref="V40:V41" si="12">U40+S40</f>
        <v>6045328.8399999999</v>
      </c>
      <c r="W40" s="108">
        <f t="shared" si="1"/>
        <v>465.8821601884697</v>
      </c>
      <c r="X40" s="113">
        <v>131.0711199999742</v>
      </c>
      <c r="Y40" s="2"/>
      <c r="Z40" s="2"/>
      <c r="AA40" s="2">
        <v>0</v>
      </c>
      <c r="AB40" s="2">
        <f t="shared" si="9"/>
        <v>131.0711199999742</v>
      </c>
      <c r="AC40" s="2">
        <v>2457707.3011196549</v>
      </c>
      <c r="AD40" s="36">
        <f t="shared" si="2"/>
        <v>189.40276316823133</v>
      </c>
      <c r="AE40" s="119">
        <v>497.47999999999956</v>
      </c>
      <c r="AF40" s="2">
        <v>4974799.9999999953</v>
      </c>
      <c r="AG40" s="32">
        <f t="shared" si="3"/>
        <v>383.38205114175344</v>
      </c>
      <c r="AH40" s="6"/>
    </row>
    <row r="41" spans="1:34" ht="17.25" customHeight="1">
      <c r="A41" s="28"/>
      <c r="B41" s="51">
        <v>30</v>
      </c>
      <c r="C41" s="178">
        <v>119</v>
      </c>
      <c r="D41" s="179">
        <v>651</v>
      </c>
      <c r="E41" s="92">
        <v>20280.0000000002</v>
      </c>
      <c r="F41" s="2">
        <v>22055899.32000022</v>
      </c>
      <c r="G41" s="30">
        <v>4239.9999999998954</v>
      </c>
      <c r="H41" s="2">
        <v>6916938.8399998304</v>
      </c>
      <c r="I41" s="91">
        <f t="shared" si="4"/>
        <v>28972838.160000049</v>
      </c>
      <c r="J41" s="92">
        <v>2020.0000000004366</v>
      </c>
      <c r="K41" s="2">
        <v>2196889.3800004749</v>
      </c>
      <c r="L41" s="150">
        <v>500</v>
      </c>
      <c r="M41" s="151">
        <v>815676.75</v>
      </c>
      <c r="N41" s="84">
        <f t="shared" si="5"/>
        <v>3012566.1300004749</v>
      </c>
      <c r="O41" s="93">
        <f t="shared" si="10"/>
        <v>31985404.290000524</v>
      </c>
      <c r="P41" s="96">
        <f t="shared" si="11"/>
        <v>27040.000000000531</v>
      </c>
      <c r="Q41" s="152">
        <f t="shared" si="8"/>
        <v>942</v>
      </c>
      <c r="R41" s="2">
        <v>255</v>
      </c>
      <c r="S41" s="2">
        <v>4582395.9000000004</v>
      </c>
      <c r="T41" s="26">
        <v>687</v>
      </c>
      <c r="U41" s="26">
        <v>3296308.44</v>
      </c>
      <c r="V41" s="26">
        <f t="shared" si="12"/>
        <v>7878704.3399999999</v>
      </c>
      <c r="W41" s="108">
        <f t="shared" si="1"/>
        <v>607.17090741509958</v>
      </c>
      <c r="X41" s="113">
        <v>144.84688000002578</v>
      </c>
      <c r="Y41" s="2"/>
      <c r="Z41" s="2"/>
      <c r="AA41" s="2">
        <v>0</v>
      </c>
      <c r="AB41" s="2">
        <f t="shared" si="9"/>
        <v>144.84688000002578</v>
      </c>
      <c r="AC41" s="2">
        <v>1937471.8668803447</v>
      </c>
      <c r="AD41" s="36">
        <f t="shared" si="2"/>
        <v>149.31091468079711</v>
      </c>
      <c r="AE41" s="119">
        <v>410.38000000000011</v>
      </c>
      <c r="AF41" s="2">
        <v>4103800.0000000009</v>
      </c>
      <c r="AG41" s="32">
        <f t="shared" si="3"/>
        <v>316.25859561701566</v>
      </c>
      <c r="AH41" s="6"/>
    </row>
    <row r="42" spans="1:34">
      <c r="A42" s="28"/>
      <c r="B42" s="104">
        <v>31</v>
      </c>
      <c r="C42" s="178">
        <v>117</v>
      </c>
      <c r="D42" s="179">
        <v>478</v>
      </c>
      <c r="E42" s="166">
        <v>30079.999999999927</v>
      </c>
      <c r="F42" s="85">
        <v>32714075.519999921</v>
      </c>
      <c r="G42" s="167">
        <v>4480.0000000000182</v>
      </c>
      <c r="H42" s="85">
        <v>7308463.6800000304</v>
      </c>
      <c r="I42" s="168">
        <f t="shared" ref="I42" si="13">F42+H42</f>
        <v>40022539.199999951</v>
      </c>
      <c r="J42" s="166">
        <v>2859.9999999996726</v>
      </c>
      <c r="K42" s="85">
        <v>3110447.3399996441</v>
      </c>
      <c r="L42" s="169">
        <v>519.99999999998181</v>
      </c>
      <c r="M42" s="170">
        <v>848303.81999997038</v>
      </c>
      <c r="N42" s="86">
        <f t="shared" ref="N42" si="14">+K42+M42</f>
        <v>3958751.1599996146</v>
      </c>
      <c r="O42" s="94">
        <f t="shared" ref="O42" si="15">N42+I42</f>
        <v>43981290.359999567</v>
      </c>
      <c r="P42" s="97">
        <f t="shared" ref="P42" si="16">L42+J42+G42+E42</f>
        <v>37939.9999999996</v>
      </c>
      <c r="Q42" s="171">
        <f t="shared" ref="Q42" si="17">T42+R42</f>
        <v>952</v>
      </c>
      <c r="R42" s="85">
        <v>247</v>
      </c>
      <c r="S42" s="85">
        <v>4438634.46</v>
      </c>
      <c r="T42" s="172">
        <v>705</v>
      </c>
      <c r="U42" s="172">
        <v>3382674.6</v>
      </c>
      <c r="V42" s="172">
        <f t="shared" ref="V42" si="18">U42+S42</f>
        <v>7821309.0600000005</v>
      </c>
      <c r="W42" s="173">
        <f t="shared" ref="W42" si="19">V42/$AG$47</f>
        <v>602.74775067065661</v>
      </c>
      <c r="X42" s="85">
        <v>133.36708000000232</v>
      </c>
      <c r="Y42" s="85"/>
      <c r="Z42" s="85"/>
      <c r="AA42" s="85">
        <v>12</v>
      </c>
      <c r="AB42" s="2">
        <f t="shared" si="9"/>
        <v>145.36708000000232</v>
      </c>
      <c r="AC42" s="85">
        <v>1923418.062080031</v>
      </c>
      <c r="AD42" s="174">
        <f t="shared" ref="AD42" si="20">AC42/$AG$47</f>
        <v>148.22786078703453</v>
      </c>
      <c r="AE42" s="175">
        <v>576.14000000000033</v>
      </c>
      <c r="AF42" s="85">
        <v>5761400.0000000037</v>
      </c>
      <c r="AG42" s="176">
        <f t="shared" ref="AG42" si="21">AF42/$AG$47</f>
        <v>444.00123611966347</v>
      </c>
      <c r="AH42" s="6"/>
    </row>
    <row r="43" spans="1:34" s="7" customFormat="1" ht="4.5" customHeight="1">
      <c r="B43" s="99"/>
      <c r="C43" s="100"/>
      <c r="D43" s="100"/>
      <c r="E43" s="98"/>
      <c r="F43" s="6"/>
      <c r="H43" s="6"/>
      <c r="L43" s="6"/>
      <c r="M43" s="55"/>
      <c r="N43" s="59"/>
      <c r="P43" s="59"/>
      <c r="Q43" s="109"/>
      <c r="W43" s="27"/>
      <c r="Y43" s="6"/>
      <c r="AE43" s="77"/>
      <c r="AG43" s="27"/>
    </row>
    <row r="44" spans="1:34" s="7" customFormat="1" ht="6" customHeight="1">
      <c r="B44" s="99"/>
      <c r="C44" s="100"/>
      <c r="D44" s="100"/>
      <c r="E44" s="98"/>
      <c r="F44" s="6"/>
      <c r="H44" s="6"/>
      <c r="L44" s="6"/>
      <c r="M44" s="55"/>
      <c r="N44" s="59"/>
      <c r="P44" s="59"/>
      <c r="Q44" s="109"/>
      <c r="W44" s="110"/>
      <c r="Y44" s="6"/>
      <c r="AC44" s="6"/>
      <c r="AE44" s="78"/>
      <c r="AF44" s="4"/>
      <c r="AG44" s="33"/>
    </row>
    <row r="45" spans="1:34" s="7" customFormat="1">
      <c r="B45" s="101"/>
      <c r="C45" s="102"/>
      <c r="D45" s="102"/>
      <c r="E45" s="103"/>
      <c r="F45" s="65"/>
      <c r="G45" s="64"/>
      <c r="H45" s="65"/>
      <c r="I45" s="64"/>
      <c r="J45" s="64"/>
      <c r="K45" s="64"/>
      <c r="L45" s="65"/>
      <c r="M45" s="66"/>
      <c r="N45" s="67"/>
      <c r="O45" s="64"/>
      <c r="P45" s="67"/>
      <c r="Q45" s="111"/>
      <c r="R45" s="69"/>
      <c r="S45" s="64"/>
      <c r="T45" s="64"/>
      <c r="U45" s="64"/>
      <c r="V45" s="64"/>
      <c r="W45" s="68"/>
      <c r="X45" s="70"/>
      <c r="Y45" s="65"/>
      <c r="Z45" s="70"/>
      <c r="AA45" s="70"/>
      <c r="AB45" s="70"/>
      <c r="AC45" s="65"/>
      <c r="AD45" s="64"/>
      <c r="AE45" s="120"/>
      <c r="AF45" s="71"/>
      <c r="AG45" s="72"/>
    </row>
    <row r="46" spans="1:34">
      <c r="A46" s="20"/>
      <c r="B46" s="62"/>
      <c r="C46" s="63">
        <f t="shared" ref="C46:P46" si="22">SUM(C12:C42)</f>
        <v>3221</v>
      </c>
      <c r="D46" s="63">
        <f t="shared" si="22"/>
        <v>20097</v>
      </c>
      <c r="E46" s="63">
        <f t="shared" si="22"/>
        <v>605599.99999999988</v>
      </c>
      <c r="F46" s="63">
        <f t="shared" si="22"/>
        <v>658631786.39999986</v>
      </c>
      <c r="G46" s="63">
        <f t="shared" si="22"/>
        <v>129719.9999999999</v>
      </c>
      <c r="H46" s="63">
        <f>SUM(H12:H42)</f>
        <v>211619176.01999989</v>
      </c>
      <c r="I46" s="63">
        <f>SUM(I12:I42)</f>
        <v>870250962.41999972</v>
      </c>
      <c r="J46" s="63">
        <f>SUM(J12:J42)</f>
        <v>59560.0000000004</v>
      </c>
      <c r="K46" s="63">
        <f>SUM(K12:K42)</f>
        <v>64775609.640000425</v>
      </c>
      <c r="L46" s="63">
        <f>SUM(L12:L42)</f>
        <v>14380.000000000109</v>
      </c>
      <c r="M46" s="63">
        <f>SUM(M12:M42)</f>
        <v>23458863.330000181</v>
      </c>
      <c r="N46" s="63">
        <f>SUM(N12:N42)</f>
        <v>88234472.970000595</v>
      </c>
      <c r="O46" s="63">
        <f>SUM(O12:O42)</f>
        <v>958485435.39000022</v>
      </c>
      <c r="P46" s="73">
        <f>SUM(P12:P42)</f>
        <v>809260.00000000047</v>
      </c>
      <c r="Q46" s="146">
        <f>SUM(Q12:Q42)</f>
        <v>27792.600000000006</v>
      </c>
      <c r="R46" s="45">
        <f>SUM(R12:R42)</f>
        <v>6673</v>
      </c>
      <c r="S46" s="45">
        <f>SUM(S12:S42)</f>
        <v>119915011.14</v>
      </c>
      <c r="T46" s="45">
        <f t="shared" ref="Q46:V46" si="23">SUM(T12:T41)</f>
        <v>20414.600000000006</v>
      </c>
      <c r="U46" s="45">
        <f>SUM(U12:U42)</f>
        <v>101334375.152</v>
      </c>
      <c r="V46" s="114">
        <f>SUM(V12:V42)</f>
        <v>221249386.292</v>
      </c>
      <c r="W46" s="105">
        <f>V46/$AG$47</f>
        <v>17050.543445059335</v>
      </c>
      <c r="X46" s="37">
        <f>SUM(X12:X41)</f>
        <v>4069.0453200000088</v>
      </c>
      <c r="Y46" s="115">
        <f>SUM(Y12:Y41)</f>
        <v>1250</v>
      </c>
      <c r="Z46" s="37">
        <f>SUM(Z12:Z41)</f>
        <v>2400</v>
      </c>
      <c r="AA46" s="37">
        <f>SUM(AA12:AA41)</f>
        <v>360</v>
      </c>
      <c r="AB46" s="162">
        <f>SUM(AB12:AB42)</f>
        <v>8224.4124000000102</v>
      </c>
      <c r="AC46" s="122">
        <f>SUM(AC12:AC42)</f>
        <v>115486968.26240015</v>
      </c>
      <c r="AD46" s="123">
        <f>AC46/$AG$47</f>
        <v>8899.9820641194801</v>
      </c>
      <c r="AE46" s="161">
        <f>SUM(AE12:AE42)</f>
        <v>18667.000000000007</v>
      </c>
      <c r="AF46" s="161">
        <f>SUM(AF12:AF42)</f>
        <v>186670000.00000003</v>
      </c>
      <c r="AG46" s="121">
        <f>AF46/AG47</f>
        <v>14385.689371759909</v>
      </c>
      <c r="AH46" s="20"/>
    </row>
    <row r="47" spans="1:34">
      <c r="A47" s="20"/>
      <c r="B47" s="20"/>
      <c r="C47" s="4"/>
      <c r="D47" s="10"/>
      <c r="E47" s="4"/>
      <c r="F47" s="4"/>
      <c r="G47" s="10"/>
      <c r="H47" s="4"/>
      <c r="I47" s="8"/>
      <c r="J47" s="8"/>
      <c r="K47" s="8"/>
      <c r="L47" s="14"/>
      <c r="M47" s="56"/>
      <c r="N47" s="60"/>
      <c r="O47" s="9"/>
      <c r="P47" s="60"/>
      <c r="Q47" s="153" t="s">
        <v>49</v>
      </c>
      <c r="R47" s="10"/>
      <c r="S47" s="10"/>
      <c r="T47" s="116"/>
      <c r="U47" s="10"/>
      <c r="V47" s="10"/>
      <c r="W47" s="10"/>
      <c r="X47" s="13"/>
      <c r="Y47" s="6"/>
      <c r="Z47" s="13"/>
      <c r="AA47" s="13"/>
      <c r="AB47" s="6"/>
      <c r="AC47" s="164"/>
      <c r="AD47" s="10"/>
      <c r="AE47" s="78"/>
      <c r="AF47" s="10"/>
      <c r="AG47" s="124">
        <v>12976.09</v>
      </c>
      <c r="AH47" s="20"/>
    </row>
    <row r="48" spans="1:34">
      <c r="A48" s="20"/>
      <c r="B48" s="20"/>
      <c r="C48" s="4"/>
      <c r="D48" s="10"/>
      <c r="E48" s="4"/>
      <c r="F48" s="4"/>
      <c r="G48" s="10"/>
      <c r="H48" s="4"/>
      <c r="I48" s="8"/>
      <c r="J48" s="8"/>
      <c r="K48" s="8"/>
      <c r="L48" s="14"/>
      <c r="M48" s="56"/>
      <c r="N48" s="60"/>
      <c r="O48" s="9"/>
      <c r="P48" s="60"/>
      <c r="Q48" s="153"/>
      <c r="R48" s="10"/>
      <c r="S48" s="163"/>
      <c r="T48" s="116"/>
      <c r="U48" s="163"/>
      <c r="V48" s="10"/>
      <c r="W48" s="10"/>
      <c r="X48" s="13"/>
      <c r="Y48" s="6"/>
      <c r="Z48" s="13"/>
      <c r="AA48" s="13"/>
      <c r="AB48" s="6"/>
      <c r="AC48" s="164"/>
      <c r="AD48" s="10"/>
      <c r="AE48" s="78"/>
      <c r="AF48" s="10"/>
      <c r="AG48" s="124"/>
      <c r="AH48" s="20"/>
    </row>
    <row r="49" spans="1:34">
      <c r="A49" s="20"/>
      <c r="B49" s="20"/>
      <c r="C49" s="4"/>
      <c r="D49" s="10"/>
      <c r="E49" s="4"/>
      <c r="F49" s="4"/>
      <c r="G49" s="10"/>
      <c r="H49" s="4"/>
      <c r="I49" s="8"/>
      <c r="J49" s="8"/>
      <c r="K49" s="8"/>
      <c r="L49" s="14"/>
      <c r="M49" s="56"/>
      <c r="N49" s="60"/>
      <c r="O49" s="9"/>
      <c r="P49" s="60">
        <f>O46/P46</f>
        <v>1184.3973943973504</v>
      </c>
      <c r="Q49" s="153"/>
      <c r="R49" s="10"/>
      <c r="S49" s="10"/>
      <c r="T49" s="116"/>
      <c r="U49" s="163"/>
      <c r="V49" s="10">
        <f>V46/Q46</f>
        <v>7960.7300609514741</v>
      </c>
      <c r="W49" s="10"/>
      <c r="X49" s="13"/>
      <c r="Y49" s="6"/>
      <c r="Z49" s="13"/>
      <c r="AA49" s="13"/>
      <c r="AB49" s="6"/>
      <c r="AC49" s="164">
        <f>AC46/AB46</f>
        <v>14041.971954421937</v>
      </c>
      <c r="AD49" s="10"/>
      <c r="AE49" s="78"/>
      <c r="AF49" s="10">
        <f>AF46/AE46</f>
        <v>9999.9999999999982</v>
      </c>
      <c r="AG49" s="124"/>
      <c r="AH49" s="20"/>
    </row>
    <row r="50" spans="1:34" s="156" customFormat="1">
      <c r="A50" s="154"/>
      <c r="B50" s="154"/>
      <c r="C50" s="155"/>
      <c r="E50" s="155"/>
      <c r="F50" s="155"/>
      <c r="H50" s="155"/>
      <c r="L50" s="155"/>
      <c r="M50" s="157"/>
      <c r="N50" s="158"/>
      <c r="P50" s="158"/>
      <c r="T50" s="177"/>
      <c r="Y50" s="155"/>
      <c r="AC50" s="155"/>
      <c r="AE50" s="159"/>
      <c r="AG50" s="160"/>
      <c r="AH50" s="154"/>
    </row>
    <row r="51" spans="1:34" s="156" customFormat="1">
      <c r="A51" s="154"/>
      <c r="B51" s="154"/>
      <c r="C51" s="155"/>
      <c r="E51" s="155"/>
      <c r="F51" s="155"/>
      <c r="H51" s="155"/>
      <c r="L51" s="155"/>
      <c r="M51" s="157"/>
      <c r="N51" s="158"/>
      <c r="P51" s="158"/>
      <c r="Y51" s="155"/>
      <c r="AC51" s="155"/>
      <c r="AE51" s="159"/>
      <c r="AG51" s="160"/>
      <c r="AH51" s="154"/>
    </row>
    <row r="52" spans="1:34" s="156" customFormat="1">
      <c r="A52" s="154"/>
      <c r="B52" s="154"/>
      <c r="C52" s="155"/>
      <c r="E52" s="155"/>
      <c r="F52" s="155"/>
      <c r="H52" s="155"/>
      <c r="L52" s="155"/>
      <c r="M52" s="157"/>
      <c r="N52" s="158"/>
      <c r="P52" s="158"/>
      <c r="Y52" s="155"/>
      <c r="AC52" s="155"/>
      <c r="AE52" s="159"/>
      <c r="AG52" s="160"/>
      <c r="AH52" s="154"/>
    </row>
    <row r="53" spans="1:34" s="156" customFormat="1">
      <c r="A53" s="154"/>
      <c r="B53" s="154"/>
      <c r="C53" s="155"/>
      <c r="E53" s="155"/>
      <c r="F53" s="155"/>
      <c r="H53" s="155"/>
      <c r="L53" s="155"/>
      <c r="M53" s="157"/>
      <c r="N53" s="158"/>
      <c r="P53" s="158"/>
      <c r="Y53" s="155"/>
      <c r="AC53" s="155"/>
      <c r="AE53" s="159"/>
      <c r="AG53" s="160"/>
      <c r="AH53" s="154"/>
    </row>
    <row r="54" spans="1:34" s="156" customFormat="1">
      <c r="A54" s="154"/>
      <c r="B54" s="154"/>
      <c r="C54" s="155"/>
      <c r="E54" s="155"/>
      <c r="F54" s="155"/>
      <c r="H54" s="155"/>
      <c r="L54" s="155"/>
      <c r="M54" s="157"/>
      <c r="N54" s="158"/>
      <c r="P54" s="158"/>
      <c r="Y54" s="155"/>
      <c r="AC54" s="155"/>
      <c r="AE54" s="159"/>
      <c r="AG54" s="160"/>
      <c r="AH54" s="154"/>
    </row>
    <row r="55" spans="1:34" s="156" customFormat="1">
      <c r="A55" s="154"/>
      <c r="B55" s="154"/>
      <c r="C55" s="155"/>
      <c r="E55" s="155"/>
      <c r="F55" s="155"/>
      <c r="H55" s="155"/>
      <c r="L55" s="155"/>
      <c r="M55" s="157"/>
      <c r="N55" s="158"/>
      <c r="P55" s="158"/>
      <c r="Y55" s="155"/>
      <c r="AC55" s="155"/>
      <c r="AE55" s="159"/>
      <c r="AG55" s="160"/>
      <c r="AH55" s="154"/>
    </row>
    <row r="56" spans="1:34" s="156" customFormat="1">
      <c r="A56" s="154"/>
      <c r="B56" s="154"/>
      <c r="C56" s="155"/>
      <c r="E56" s="155"/>
      <c r="F56" s="155"/>
      <c r="H56" s="155"/>
      <c r="L56" s="155"/>
      <c r="M56" s="157"/>
      <c r="N56" s="158"/>
      <c r="P56" s="158"/>
      <c r="Y56" s="155"/>
      <c r="AC56" s="155"/>
      <c r="AE56" s="159"/>
      <c r="AG56" s="160"/>
      <c r="AH56" s="154"/>
    </row>
    <row r="57" spans="1:34" s="156" customFormat="1">
      <c r="A57" s="154"/>
      <c r="B57" s="154"/>
      <c r="C57" s="155"/>
      <c r="E57" s="155"/>
      <c r="F57" s="155"/>
      <c r="H57" s="155"/>
      <c r="L57" s="155"/>
      <c r="M57" s="157"/>
      <c r="N57" s="158"/>
      <c r="P57" s="158"/>
      <c r="Y57" s="155"/>
      <c r="AC57" s="155"/>
      <c r="AE57" s="159"/>
      <c r="AG57" s="160"/>
      <c r="AH57" s="154"/>
    </row>
    <row r="58" spans="1:34" s="156" customFormat="1">
      <c r="A58" s="154"/>
      <c r="B58" s="154"/>
      <c r="C58" s="155"/>
      <c r="E58" s="155"/>
      <c r="F58" s="155"/>
      <c r="H58" s="155"/>
      <c r="L58" s="155"/>
      <c r="M58" s="157"/>
      <c r="N58" s="158"/>
      <c r="P58" s="158"/>
      <c r="Y58" s="155"/>
      <c r="AC58" s="155"/>
      <c r="AE58" s="159"/>
      <c r="AG58" s="160"/>
      <c r="AH58" s="154"/>
    </row>
    <row r="59" spans="1:34" s="156" customFormat="1">
      <c r="A59" s="154"/>
      <c r="B59" s="154"/>
      <c r="C59" s="155"/>
      <c r="E59" s="155"/>
      <c r="F59" s="155"/>
      <c r="H59" s="155"/>
      <c r="L59" s="155"/>
      <c r="M59" s="157"/>
      <c r="N59" s="158"/>
      <c r="P59" s="158"/>
      <c r="Y59" s="155"/>
      <c r="AC59" s="155"/>
      <c r="AE59" s="159"/>
      <c r="AG59" s="160"/>
      <c r="AH59" s="154"/>
    </row>
    <row r="60" spans="1:34" s="156" customFormat="1">
      <c r="A60" s="154"/>
      <c r="B60" s="154"/>
      <c r="C60" s="155"/>
      <c r="E60" s="155"/>
      <c r="F60" s="155"/>
      <c r="H60" s="155"/>
      <c r="L60" s="155"/>
      <c r="M60" s="157"/>
      <c r="N60" s="158"/>
      <c r="P60" s="158"/>
      <c r="Y60" s="155"/>
      <c r="AC60" s="155"/>
      <c r="AE60" s="159"/>
      <c r="AG60" s="160"/>
      <c r="AH60" s="154"/>
    </row>
    <row r="61" spans="1:34" s="156" customFormat="1">
      <c r="A61" s="154"/>
      <c r="B61" s="154"/>
      <c r="C61" s="155"/>
      <c r="E61" s="155"/>
      <c r="F61" s="155"/>
      <c r="H61" s="155"/>
      <c r="L61" s="155"/>
      <c r="M61" s="157"/>
      <c r="N61" s="158"/>
      <c r="P61" s="158"/>
      <c r="Y61" s="155"/>
      <c r="AC61" s="155"/>
      <c r="AE61" s="159"/>
      <c r="AG61" s="160"/>
      <c r="AH61" s="154"/>
    </row>
    <row r="62" spans="1:34" s="156" customFormat="1">
      <c r="A62" s="154"/>
      <c r="B62" s="154"/>
      <c r="C62" s="155"/>
      <c r="E62" s="155"/>
      <c r="F62" s="155"/>
      <c r="H62" s="155"/>
      <c r="I62" s="155"/>
      <c r="J62" s="155"/>
      <c r="L62" s="155"/>
      <c r="M62" s="157"/>
      <c r="N62" s="158"/>
      <c r="P62" s="158"/>
      <c r="Y62" s="155"/>
      <c r="AC62" s="155"/>
      <c r="AE62" s="159"/>
      <c r="AG62" s="160"/>
      <c r="AH62" s="154"/>
    </row>
    <row r="63" spans="1:34" s="156" customFormat="1">
      <c r="A63" s="154"/>
      <c r="B63" s="154"/>
      <c r="C63" s="155"/>
      <c r="E63" s="155"/>
      <c r="F63" s="155"/>
      <c r="H63" s="155"/>
      <c r="L63" s="155"/>
      <c r="M63" s="157"/>
      <c r="N63" s="158"/>
      <c r="P63" s="158"/>
      <c r="Y63" s="155"/>
      <c r="AC63" s="155"/>
      <c r="AE63" s="159"/>
      <c r="AG63" s="160"/>
      <c r="AH63" s="154"/>
    </row>
    <row r="64" spans="1:34" s="156" customFormat="1">
      <c r="A64" s="154"/>
      <c r="B64" s="154"/>
      <c r="C64" s="155"/>
      <c r="E64" s="155"/>
      <c r="F64" s="155"/>
      <c r="H64" s="155"/>
      <c r="L64" s="155"/>
      <c r="M64" s="157"/>
      <c r="N64" s="158"/>
      <c r="P64" s="158"/>
      <c r="Y64" s="155"/>
      <c r="AC64" s="155"/>
      <c r="AE64" s="159"/>
      <c r="AG64" s="160"/>
      <c r="AH64" s="154"/>
    </row>
    <row r="65" spans="1:34" s="156" customFormat="1">
      <c r="A65" s="154"/>
      <c r="B65" s="154"/>
      <c r="C65" s="155"/>
      <c r="E65" s="155"/>
      <c r="F65" s="155"/>
      <c r="H65" s="155"/>
      <c r="L65" s="155"/>
      <c r="M65" s="157"/>
      <c r="N65" s="158"/>
      <c r="P65" s="158"/>
      <c r="Y65" s="155"/>
      <c r="AC65" s="155"/>
      <c r="AE65" s="159"/>
      <c r="AG65" s="160"/>
      <c r="AH65" s="154"/>
    </row>
    <row r="66" spans="1:34" s="156" customFormat="1">
      <c r="A66" s="154"/>
      <c r="B66" s="154"/>
      <c r="C66" s="155"/>
      <c r="E66" s="155"/>
      <c r="F66" s="155"/>
      <c r="H66" s="155"/>
      <c r="L66" s="155"/>
      <c r="M66" s="157"/>
      <c r="N66" s="158"/>
      <c r="P66" s="158"/>
      <c r="Y66" s="155"/>
      <c r="AC66" s="155"/>
      <c r="AE66" s="159"/>
      <c r="AG66" s="160"/>
      <c r="AH66" s="154"/>
    </row>
    <row r="67" spans="1:34" s="156" customFormat="1">
      <c r="A67" s="154"/>
      <c r="B67" s="154"/>
      <c r="C67" s="155"/>
      <c r="E67" s="155"/>
      <c r="F67" s="155"/>
      <c r="H67" s="155"/>
      <c r="L67" s="155"/>
      <c r="M67" s="157"/>
      <c r="N67" s="158"/>
      <c r="P67" s="158"/>
      <c r="Y67" s="155"/>
      <c r="AC67" s="155"/>
      <c r="AE67" s="159"/>
      <c r="AG67" s="160"/>
      <c r="AH67" s="154"/>
    </row>
    <row r="68" spans="1:34" s="156" customFormat="1">
      <c r="A68" s="154"/>
      <c r="B68" s="154"/>
      <c r="C68" s="155"/>
      <c r="E68" s="155"/>
      <c r="F68" s="155"/>
      <c r="H68" s="155"/>
      <c r="L68" s="155"/>
      <c r="M68" s="157"/>
      <c r="N68" s="158"/>
      <c r="P68" s="158"/>
      <c r="Y68" s="155"/>
      <c r="AC68" s="155"/>
      <c r="AE68" s="159"/>
      <c r="AG68" s="160"/>
      <c r="AH68" s="154"/>
    </row>
    <row r="69" spans="1:34" s="156" customFormat="1">
      <c r="A69" s="154"/>
      <c r="B69" s="154"/>
      <c r="C69" s="155"/>
      <c r="E69" s="155"/>
      <c r="F69" s="155"/>
      <c r="H69" s="155"/>
      <c r="L69" s="155"/>
      <c r="M69" s="157"/>
      <c r="N69" s="158"/>
      <c r="P69" s="158"/>
      <c r="Y69" s="155"/>
      <c r="AC69" s="155"/>
      <c r="AE69" s="159"/>
      <c r="AG69" s="160"/>
      <c r="AH69" s="154"/>
    </row>
  </sheetData>
  <mergeCells count="14">
    <mergeCell ref="B7:AG7"/>
    <mergeCell ref="B8:B10"/>
    <mergeCell ref="C8:C10"/>
    <mergeCell ref="D8:D10"/>
    <mergeCell ref="E8:P8"/>
    <mergeCell ref="Q8:W8"/>
    <mergeCell ref="X8:AG8"/>
    <mergeCell ref="E9:I9"/>
    <mergeCell ref="J9:N9"/>
    <mergeCell ref="O9:O10"/>
    <mergeCell ref="X9:AD9"/>
    <mergeCell ref="P9:P10"/>
    <mergeCell ref="AE9:AG9"/>
    <mergeCell ref="V9:W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pane xSplit="1" ySplit="5" topLeftCell="B6" activePane="bottomRight" state="frozen"/>
      <selection pane="bottomRight" activeCell="B6" sqref="B6:C36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1" t="s">
        <v>16</v>
      </c>
    </row>
    <row r="2" spans="1:3" ht="18">
      <c r="A2" s="210">
        <v>43374</v>
      </c>
      <c r="B2" s="211"/>
      <c r="C2" s="211"/>
    </row>
    <row r="3" spans="1:3">
      <c r="A3" s="213" t="s">
        <v>18</v>
      </c>
      <c r="B3" s="212" t="s">
        <v>19</v>
      </c>
      <c r="C3" s="212" t="s">
        <v>13</v>
      </c>
    </row>
    <row r="4" spans="1:3">
      <c r="A4" s="213"/>
      <c r="B4" s="212"/>
      <c r="C4" s="212"/>
    </row>
    <row r="5" spans="1:3">
      <c r="A5" s="213"/>
      <c r="B5" s="212"/>
      <c r="C5" s="212"/>
    </row>
    <row r="6" spans="1:3">
      <c r="A6" s="1">
        <v>1</v>
      </c>
      <c r="B6" s="178">
        <v>103</v>
      </c>
      <c r="C6" s="179">
        <v>616</v>
      </c>
    </row>
    <row r="7" spans="1:3">
      <c r="A7" s="1">
        <v>2</v>
      </c>
      <c r="B7" s="178">
        <v>118</v>
      </c>
      <c r="C7" s="179">
        <v>745</v>
      </c>
    </row>
    <row r="8" spans="1:3">
      <c r="A8" s="1">
        <f>A7+1</f>
        <v>3</v>
      </c>
      <c r="B8" s="178">
        <v>120</v>
      </c>
      <c r="C8" s="179">
        <v>878</v>
      </c>
    </row>
    <row r="9" spans="1:3">
      <c r="A9" s="1">
        <f>A8+1</f>
        <v>4</v>
      </c>
      <c r="B9" s="178">
        <v>124</v>
      </c>
      <c r="C9" s="179">
        <v>790</v>
      </c>
    </row>
    <row r="10" spans="1:3">
      <c r="A10" s="1">
        <f t="shared" ref="A10:A36" si="0">A9+1</f>
        <v>5</v>
      </c>
      <c r="B10" s="178">
        <v>115</v>
      </c>
      <c r="C10" s="179">
        <v>918</v>
      </c>
    </row>
    <row r="11" spans="1:3">
      <c r="A11" s="1">
        <f t="shared" si="0"/>
        <v>6</v>
      </c>
      <c r="B11" s="178">
        <v>89</v>
      </c>
      <c r="C11" s="179">
        <v>807</v>
      </c>
    </row>
    <row r="12" spans="1:3">
      <c r="A12" s="1">
        <f t="shared" si="0"/>
        <v>7</v>
      </c>
      <c r="B12" s="178">
        <v>71</v>
      </c>
      <c r="C12" s="179">
        <v>695</v>
      </c>
    </row>
    <row r="13" spans="1:3">
      <c r="A13" s="1">
        <f t="shared" si="0"/>
        <v>8</v>
      </c>
      <c r="B13" s="178">
        <v>55</v>
      </c>
      <c r="C13" s="179">
        <v>596</v>
      </c>
    </row>
    <row r="14" spans="1:3">
      <c r="A14" s="1">
        <f t="shared" si="0"/>
        <v>9</v>
      </c>
      <c r="B14" s="178">
        <v>73</v>
      </c>
      <c r="C14" s="179">
        <v>474</v>
      </c>
    </row>
    <row r="15" spans="1:3">
      <c r="A15" s="1">
        <f t="shared" si="0"/>
        <v>10</v>
      </c>
      <c r="B15" s="178">
        <v>83</v>
      </c>
      <c r="C15" s="179">
        <v>586</v>
      </c>
    </row>
    <row r="16" spans="1:3">
      <c r="A16" s="1">
        <f t="shared" si="0"/>
        <v>11</v>
      </c>
      <c r="B16" s="178">
        <v>105</v>
      </c>
      <c r="C16" s="179">
        <v>683</v>
      </c>
    </row>
    <row r="17" spans="1:3">
      <c r="A17" s="1">
        <f t="shared" si="0"/>
        <v>12</v>
      </c>
      <c r="B17" s="178">
        <v>99</v>
      </c>
      <c r="C17" s="179">
        <v>787</v>
      </c>
    </row>
    <row r="18" spans="1:3">
      <c r="A18" s="1">
        <f t="shared" si="0"/>
        <v>13</v>
      </c>
      <c r="B18" s="178">
        <v>83</v>
      </c>
      <c r="C18" s="179">
        <v>772</v>
      </c>
    </row>
    <row r="19" spans="1:3">
      <c r="A19" s="1">
        <f t="shared" si="0"/>
        <v>14</v>
      </c>
      <c r="B19" s="178">
        <v>56</v>
      </c>
      <c r="C19" s="179">
        <v>646</v>
      </c>
    </row>
    <row r="20" spans="1:3">
      <c r="A20" s="1">
        <f t="shared" si="0"/>
        <v>15</v>
      </c>
      <c r="B20" s="178">
        <v>125</v>
      </c>
      <c r="C20" s="179">
        <v>646</v>
      </c>
    </row>
    <row r="21" spans="1:3">
      <c r="A21" s="1">
        <f t="shared" si="0"/>
        <v>16</v>
      </c>
      <c r="B21" s="178">
        <v>127</v>
      </c>
      <c r="C21" s="179">
        <v>621</v>
      </c>
    </row>
    <row r="22" spans="1:3">
      <c r="A22" s="1">
        <f t="shared" si="0"/>
        <v>17</v>
      </c>
      <c r="B22" s="178">
        <v>131</v>
      </c>
      <c r="C22" s="179">
        <v>891</v>
      </c>
    </row>
    <row r="23" spans="1:3">
      <c r="A23" s="1">
        <f t="shared" si="0"/>
        <v>18</v>
      </c>
      <c r="B23" s="178">
        <v>128</v>
      </c>
      <c r="C23" s="179">
        <v>653</v>
      </c>
    </row>
    <row r="24" spans="1:3">
      <c r="A24" s="1">
        <f t="shared" si="0"/>
        <v>19</v>
      </c>
      <c r="B24" s="178">
        <v>123</v>
      </c>
      <c r="C24" s="179">
        <v>767</v>
      </c>
    </row>
    <row r="25" spans="1:3">
      <c r="A25" s="1">
        <f t="shared" si="0"/>
        <v>20</v>
      </c>
      <c r="B25" s="178">
        <v>118</v>
      </c>
      <c r="C25" s="179">
        <v>504</v>
      </c>
    </row>
    <row r="26" spans="1:3">
      <c r="A26" s="1">
        <f t="shared" si="0"/>
        <v>21</v>
      </c>
      <c r="B26" s="178">
        <v>110</v>
      </c>
      <c r="C26" s="179">
        <v>716</v>
      </c>
    </row>
    <row r="27" spans="1:3">
      <c r="A27" s="1">
        <f t="shared" si="0"/>
        <v>22</v>
      </c>
      <c r="B27" s="178">
        <v>113</v>
      </c>
      <c r="C27" s="179">
        <v>391</v>
      </c>
    </row>
    <row r="28" spans="1:3">
      <c r="A28" s="1">
        <f t="shared" si="0"/>
        <v>23</v>
      </c>
      <c r="B28" s="178">
        <v>122</v>
      </c>
      <c r="C28" s="179">
        <v>611</v>
      </c>
    </row>
    <row r="29" spans="1:3">
      <c r="A29" s="1">
        <f t="shared" si="0"/>
        <v>24</v>
      </c>
      <c r="B29" s="178">
        <v>123</v>
      </c>
      <c r="C29" s="179">
        <v>572</v>
      </c>
    </row>
    <row r="30" spans="1:3">
      <c r="A30" s="1">
        <f t="shared" si="0"/>
        <v>25</v>
      </c>
      <c r="B30" s="178">
        <v>90</v>
      </c>
      <c r="C30" s="179">
        <v>410</v>
      </c>
    </row>
    <row r="31" spans="1:3">
      <c r="A31" s="1">
        <f t="shared" si="0"/>
        <v>26</v>
      </c>
      <c r="B31" s="178">
        <v>132</v>
      </c>
      <c r="C31" s="179">
        <v>703</v>
      </c>
    </row>
    <row r="32" spans="1:3">
      <c r="A32" s="1">
        <f t="shared" si="0"/>
        <v>27</v>
      </c>
      <c r="B32" s="178">
        <v>125</v>
      </c>
      <c r="C32" s="179">
        <v>515</v>
      </c>
    </row>
    <row r="33" spans="1:3">
      <c r="A33" s="1">
        <f t="shared" si="0"/>
        <v>28</v>
      </c>
      <c r="B33" s="178">
        <v>38</v>
      </c>
      <c r="C33" s="179">
        <v>600</v>
      </c>
    </row>
    <row r="34" spans="1:3">
      <c r="A34" s="1">
        <f t="shared" si="0"/>
        <v>29</v>
      </c>
      <c r="B34" s="178">
        <v>86</v>
      </c>
      <c r="C34" s="179">
        <v>375</v>
      </c>
    </row>
    <row r="35" spans="1:3">
      <c r="A35" s="1">
        <f t="shared" si="0"/>
        <v>30</v>
      </c>
      <c r="B35" s="178">
        <v>119</v>
      </c>
      <c r="C35" s="179">
        <v>651</v>
      </c>
    </row>
    <row r="36" spans="1:3">
      <c r="A36" s="1">
        <f t="shared" si="0"/>
        <v>31</v>
      </c>
      <c r="B36" s="178">
        <v>117</v>
      </c>
      <c r="C36" s="179">
        <v>478</v>
      </c>
    </row>
    <row r="37" spans="1:3">
      <c r="B37" s="5">
        <f>SUM(B6:B36)</f>
        <v>3221</v>
      </c>
      <c r="C37" s="5">
        <f>SUM(C6:C36)</f>
        <v>20097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164D5B33-7D74-47F9-AC56-CA18F5850B90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2023-02-23T11:45:22Z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1893700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