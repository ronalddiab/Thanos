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DB7CBF97-92E5-48EA-BBA9-95FBC7E9598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<sst xmlns="http://schemas.openxmlformats.org/spreadsheetml/2006/main" count="201" uniqueCount="128">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</sst>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-407660.00000000006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9" sqref="M19:O1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18020.000000000211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28610.000000000124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/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>
        <v>23489.999999999327</v>
      </c>
      <c r="F19" s="48">
        <v>0.14000000000000001</v>
      </c>
      <c r="G19" s="107">
        <v>6276</v>
      </c>
      <c r="H19" s="48">
        <v>0.4453480216384178</v>
      </c>
      <c r="I19" s="65">
        <v>327</v>
      </c>
      <c r="J19" s="76">
        <v>0.4</v>
      </c>
      <c r="K19" s="108"/>
      <c r="L19" s="76">
        <v>1.5287027707808565</v>
      </c>
      <c r="M19" s="72">
        <v>17</v>
      </c>
      <c r="N19" s="72">
        <v>41</v>
      </c>
      <c r="O19" s="72">
        <v>120</v>
      </c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413829.99999999988</v>
      </c>
      <c r="F33" s="104">
        <v>0</v>
      </c>
      <c r="G33" s="101">
        <f>SUM(G2:G32)</f>
        <v>113195</v>
      </c>
      <c r="H33" s="102">
        <v>0</v>
      </c>
      <c r="I33" s="103">
        <f>SUM(I2:I32)</f>
        <v>5751</v>
      </c>
      <c r="J33" s="104">
        <v>0</v>
      </c>
      <c r="K33" s="105">
        <v>0</v>
      </c>
      <c r="L33" s="102">
        <v>0</v>
      </c>
      <c r="M33" s="106">
        <f t="shared" ref="M33:O33" si="1">SUM(M2:M32)</f>
        <v>275</v>
      </c>
      <c r="N33" s="106">
        <f t="shared" si="1"/>
        <v>696</v>
      </c>
      <c r="O33" s="106">
        <f t="shared" si="1"/>
        <v>2017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21" sqref="V21:X2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>
        <v>17</v>
      </c>
      <c r="W21" s="71">
        <v>41</v>
      </c>
      <c r="X21" s="71">
        <v>120</v>
      </c>
      <c r="Y21" s="17"/>
    </row>
    <row r="22" spans="1:25" ht="21" customHeight="1" x14ac:dyDescent="0.25">
      <c r="A22" s="8">
        <v>44366</v>
      </c>
      <c r="B22" s="1">
        <v>965.35</v>
      </c>
      <c r="C22" s="1">
        <v>226.83</v>
      </c>
      <c r="D22" s="1">
        <v>7451994.2999999998</v>
      </c>
      <c r="E22" s="1">
        <v>8145341.4699999997</v>
      </c>
      <c r="F22" s="1">
        <v>2.3515000000000001</v>
      </c>
      <c r="G22" s="1">
        <v>736.29</v>
      </c>
      <c r="H22" s="1">
        <v>616.39</v>
      </c>
      <c r="I22" s="1">
        <v>232.13</v>
      </c>
      <c r="J22" s="1">
        <v>313.92</v>
      </c>
      <c r="K22" s="1">
        <v>337.71</v>
      </c>
      <c r="L22" s="1">
        <v>231.63</v>
      </c>
      <c r="M22" s="1">
        <v>509.35</v>
      </c>
      <c r="N22" s="1">
        <v>463.65</v>
      </c>
      <c r="O22" s="1">
        <v>148.79</v>
      </c>
      <c r="P22" s="1">
        <v>606.41999999999996</v>
      </c>
      <c r="Q22" s="1">
        <v>452.59</v>
      </c>
      <c r="R22" s="28">
        <v>154.1</v>
      </c>
      <c r="S22" s="28">
        <v>113.65</v>
      </c>
      <c r="T22" s="1">
        <v>415.4</v>
      </c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275</v>
      </c>
      <c r="W35" s="78">
        <f>SUM(W4:W34)</f>
        <v>696</v>
      </c>
      <c r="X35" s="78">
        <f>SUM(X4:X34)</f>
        <v>2017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18020.000000000211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1214.3399999997418</v>
      </c>
    </row>
    <row r="20" spans="1:22" x14ac:dyDescent="0.25">
      <c r="A20" s="3">
        <f>'Kwh Reading'!A20</f>
        <v>44364</v>
      </c>
      <c r="B20" s="26">
        <f>TOTAL!E18</f>
        <v>28610.000000000124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Reading'!A21</f>
        <v>44365</v>
      </c>
      <c r="B21" s="26">
        <f>TOTAL!E19</f>
        <v>23489.999999999327</v>
      </c>
      <c r="C21" s="4">
        <f>('Kwh Reading'!T22-'Kwh Reading'!T21)*1000</f>
        <v>299.99999999995453</v>
      </c>
      <c r="D21" s="2">
        <f>('Kwh Reading'!F22-'Kwh Reading'!F21)*1000000</f>
        <v>2600.0000000001578</v>
      </c>
      <c r="E21" s="2">
        <f>('Kwh Reading'!C22-'Kwh Reading'!C21)*1000</f>
        <v>230.00000000001819</v>
      </c>
      <c r="F21" s="2">
        <f>('Kwh Reading'!J22-'Kwh Reading'!J21)*1000</f>
        <v>199.99999999998863</v>
      </c>
      <c r="G21" s="2">
        <f>('Kwh Reading'!K22-'Kwh Reading'!K21)*1000</f>
        <v>250</v>
      </c>
      <c r="H21" s="2">
        <f>('Kwh Reading'!L22-'Kwh Reading'!L21)*1000</f>
        <v>189.99999999999773</v>
      </c>
      <c r="I21" s="2">
        <f>('Kwh Reading'!R22-'Kwh Reading'!R21)*1000</f>
        <v>280.00000000000114</v>
      </c>
      <c r="J21" s="2">
        <f>('Kwh Reading'!S22-'Kwh Reading'!S21)*1000</f>
        <v>90.000000000003411</v>
      </c>
      <c r="K21" s="2">
        <f>('Kwh Reading'!I22-'Kwh Reading'!I21)*1000</f>
        <v>389.99999999998636</v>
      </c>
      <c r="L21" s="2">
        <f>('Kwh Reading'!B22-'Kwh Reading'!B21)*1000</f>
        <v>1460.0000000000364</v>
      </c>
      <c r="M21" s="2">
        <f>('Kwh Reading'!M22-'Kwh Reading'!M21)*1000</f>
        <v>850.00000000002274</v>
      </c>
      <c r="N21" s="2">
        <f>('Kwh Reading'!H22-'Kwh Reading'!H21)*1000</f>
        <v>389.99999999998636</v>
      </c>
      <c r="O21" s="2">
        <f>('Kwh Reading'!P22-'Kwh Reading'!P21)*1000</f>
        <v>1139.9999999999864</v>
      </c>
      <c r="P21" s="2">
        <f>('Kwh Reading'!G22-'Kwh Reading'!G21)*1000</f>
        <v>939.99999999994088</v>
      </c>
      <c r="Q21" s="2">
        <f>('Kwh Reading'!Q22-'Kwh Reading'!Q21)*1000</f>
        <v>859.9999999999568</v>
      </c>
      <c r="R21" s="2">
        <f>('Kwh Reading'!N22-'Kwh Reading'!N21)*1000</f>
        <v>789.99999999996362</v>
      </c>
      <c r="S21" s="34">
        <f>'Kwh Reading'!E22-'Kwh Reading'!E21</f>
        <v>3202.0499999998137</v>
      </c>
      <c r="T21" s="34">
        <f>'Kwh Reading'!D22-'Kwh Reading'!D21</f>
        <v>2726.3899999996647</v>
      </c>
      <c r="U21" s="27">
        <f>('Kwh Reading'!O22-'Kwh Reading'!O21)*1000</f>
        <v>269.99999999998181</v>
      </c>
      <c r="V21" s="16">
        <f t="shared" si="1"/>
        <v>6331.5599999998667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-415400</v>
      </c>
      <c r="D22" s="2">
        <f>('Kwh Reading'!F23-'Kwh Reading'!F22)*1000000</f>
        <v>-2351500</v>
      </c>
      <c r="E22" s="2">
        <f>('Kwh Reading'!C23-'Kwh Reading'!C22)*1000</f>
        <v>-226830</v>
      </c>
      <c r="F22" s="2">
        <f>('Kwh Reading'!J23-'Kwh Reading'!J22)*1000</f>
        <v>-313920</v>
      </c>
      <c r="G22" s="2">
        <f>('Kwh Reading'!K23-'Kwh Reading'!K22)*1000</f>
        <v>-337710</v>
      </c>
      <c r="H22" s="2">
        <f>('Kwh Reading'!L23-'Kwh Reading'!L22)*1000</f>
        <v>-231630</v>
      </c>
      <c r="I22" s="2">
        <f>('Kwh Reading'!R23-'Kwh Reading'!R22)*1000</f>
        <v>-154100</v>
      </c>
      <c r="J22" s="2">
        <f>('Kwh Reading'!S23-'Kwh Reading'!S22)*1000</f>
        <v>-113650</v>
      </c>
      <c r="K22" s="2">
        <f>('Kwh Reading'!I23-'Kwh Reading'!I22)*1000</f>
        <v>-232130</v>
      </c>
      <c r="L22" s="2">
        <f>('Kwh Reading'!B23-'Kwh Reading'!B22)*1000</f>
        <v>-965350</v>
      </c>
      <c r="M22" s="2">
        <f>('Kwh Reading'!M23-'Kwh Reading'!M22)*1000</f>
        <v>-509350</v>
      </c>
      <c r="N22" s="2">
        <f>('Kwh Reading'!H23-'Kwh Reading'!H22)*1000</f>
        <v>-616390</v>
      </c>
      <c r="O22" s="2">
        <f>('Kwh Reading'!P23-'Kwh Reading'!P22)*1000</f>
        <v>-606420</v>
      </c>
      <c r="P22" s="2">
        <f>('Kwh Reading'!G23-'Kwh Reading'!G22)*1000</f>
        <v>-736290</v>
      </c>
      <c r="Q22" s="2">
        <f>('Kwh Reading'!Q23-'Kwh Reading'!Q22)*1000</f>
        <v>-452590</v>
      </c>
      <c r="R22" s="2">
        <f>('Kwh Reading'!N23-'Kwh Reading'!N22)*1000</f>
        <v>-463650</v>
      </c>
      <c r="S22" s="34">
        <f>'Kwh Reading'!E23-'Kwh Reading'!E22</f>
        <v>-8145341.4699999997</v>
      </c>
      <c r="T22" s="34">
        <f>'Kwh Reading'!D23-'Kwh Reading'!D22</f>
        <v>-7451994.2999999998</v>
      </c>
      <c r="U22" s="27">
        <f>('Kwh Reading'!O23-'Kwh Reading'!O22)*1000</f>
        <v>-148790</v>
      </c>
      <c r="V22" s="16">
        <f t="shared" si="1"/>
        <v>24473035.77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416599.99999999919</v>
      </c>
      <c r="C35" s="75">
        <f t="shared" ref="C35" si="2">SUM(C4:C34)</f>
        <v>-407660.00000000006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-586590.00000000012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-448540.00000000006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24590012.77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1214.3399999997382</v>
      </c>
    </row>
    <row r="19" spans="1:12" x14ac:dyDescent="0.25">
      <c r="A19" s="14">
        <f>'Kwh Reading'!A20</f>
        <v>44364</v>
      </c>
      <c r="B19" s="83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11278.000000000269</v>
      </c>
    </row>
    <row r="20" spans="1:12" x14ac:dyDescent="0.25">
      <c r="A20" s="14">
        <f>'Kwh Reading'!A21</f>
        <v>44365</v>
      </c>
      <c r="B20" s="83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2">
        <f t="shared" si="0"/>
        <v>6331.5599999998722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-415400</v>
      </c>
      <c r="D21" s="1">
        <f>'Kwh Consumption'!D22</f>
        <v>-2351500</v>
      </c>
      <c r="E21" s="1">
        <f>'Kwh Consumption'!E22</f>
        <v>-226830</v>
      </c>
      <c r="F21" s="1">
        <f>('Kwh Consumption'!F22+'Kwh Consumption'!G22+'Kwh Consumption'!H22)</f>
        <v>-883260</v>
      </c>
      <c r="G21" s="16">
        <f>('Kwh Consumption'!I22+'Kwh Consumption'!J22)</f>
        <v>-267750</v>
      </c>
      <c r="H21" s="1">
        <f>('Kwh Consumption'!K22+'Kwh Consumption'!L22)</f>
        <v>-1197480</v>
      </c>
      <c r="I21" s="1">
        <f>('Kwh Consumption'!M22+'Kwh Consumption'!N22+'Kwh Consumption'!O22+'Kwh Consumption'!P22+'Kwh Consumption'!Q22+'Kwh Consumption'!R22)</f>
        <v>-3384690</v>
      </c>
      <c r="J21" s="1">
        <f>('Kwh Consumption'!S22+'Kwh Consumption'!T22)</f>
        <v>-15597335.77</v>
      </c>
      <c r="K21" s="1">
        <f>'Kwh Consumption'!U22</f>
        <v>-148790</v>
      </c>
      <c r="L21" s="32">
        <f t="shared" si="0"/>
        <v>24473035.77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413829.99999999988</v>
      </c>
      <c r="C34" s="75">
        <f>SUM(C3:C33)</f>
        <v>-407660.00000000006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24587242.77</v>
      </c>
      <c r="M34" s="84">
        <f>C34+D34+E34+F34+G34+H34+I34+J34+K34+L34</f>
        <v>413830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-57072.400000000016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3442213.9878000002</v>
      </c>
      <c r="M36" s="84">
        <f>C36+D36+E36+F36+G36+H36+I36+J36+K36+L36</f>
        <v>57936.199999999721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-58156.000000000007</v>
      </c>
      <c r="E21" s="1">
        <f>'Kwh Consumption'!D22*' Kwh area wise $ '!B21</f>
        <v>-329210.00000000006</v>
      </c>
      <c r="F21" s="1">
        <f>'Kwh Consumption'!E22*' Kwh area wise $ '!B21</f>
        <v>-31756.200000000004</v>
      </c>
      <c r="G21" s="1">
        <f>('Kwh Consumption'!F22+'Kwh Consumption'!G22+'Kwh Consumption'!H22)*' Kwh area wise $ '!B21</f>
        <v>-123656.40000000001</v>
      </c>
      <c r="H21" s="16">
        <f>('Kwh Consumption'!I22+'Kwh Consumption'!J22)*' Kwh area wise $ '!B21</f>
        <v>-37485</v>
      </c>
      <c r="I21" s="1">
        <f>('Kwh Consumption'!K22+'Kwh Consumption'!L22)*' Kwh area wise $ '!B21</f>
        <v>-167647.20000000001</v>
      </c>
      <c r="J21" s="1">
        <f>('Kwh Consumption'!M22+'Kwh Consumption'!N22+'Kwh Consumption'!O22+'Kwh Consumption'!P22+'Kwh Consumption'!Q22+'Kwh Consumption'!R22)*' Kwh area wise $ '!B21</f>
        <v>-473856.60000000003</v>
      </c>
      <c r="K21" s="1">
        <f>('Kwh Consumption'!S22+'Kwh Consumption'!T22)*' Kwh area wise $ '!B21</f>
        <v>-2183627.0078000003</v>
      </c>
      <c r="L21" s="1">
        <f>'Kwh Consumption'!U22*' Kwh area wise $ '!B21</f>
        <v>-20830.600000000002</v>
      </c>
      <c r="M21" s="1">
        <f>'Kwh Consumption'!V22*' Kwh area wise $ '!B21</f>
        <v>3426225.0078000003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58323.999999999905</v>
      </c>
      <c r="D34" s="75">
        <f t="shared" si="0"/>
        <v>-57072.400000000016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-36397.199999999997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-20165.600000000002</v>
      </c>
      <c r="M34" s="75">
        <f>SUM(M3:M33)</f>
        <v>3442601.7878000005</v>
      </c>
      <c r="N34" s="84">
        <f>D34+E34+F34+G34+H34+I34+J34+K34+L34+M34</f>
        <v>58323.999999999534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H17" sqref="H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124453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51927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124460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165111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>
        <v>165363</v>
      </c>
      <c r="C21" s="33">
        <v>125484</v>
      </c>
      <c r="D21" s="55">
        <v>207548</v>
      </c>
      <c r="E21" s="55">
        <v>247193</v>
      </c>
      <c r="F21" s="55">
        <v>66921</v>
      </c>
      <c r="G21" s="55">
        <v>111439</v>
      </c>
      <c r="H21" s="33">
        <v>52307</v>
      </c>
      <c r="I21" s="55">
        <v>63384</v>
      </c>
      <c r="J21" s="55">
        <v>20050</v>
      </c>
      <c r="K21" s="55">
        <v>1024</v>
      </c>
      <c r="L21" s="55">
        <v>17150</v>
      </c>
      <c r="M21" s="55">
        <v>23983</v>
      </c>
      <c r="N21" s="55">
        <v>7213</v>
      </c>
      <c r="O21" s="55">
        <v>1658</v>
      </c>
      <c r="P21" s="55">
        <v>26930</v>
      </c>
      <c r="Q21" s="33">
        <v>579</v>
      </c>
      <c r="R21" s="55">
        <v>6175</v>
      </c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210</v>
      </c>
      <c r="D16" s="67">
        <f t="shared" si="2"/>
        <v>0.72164948453608246</v>
      </c>
      <c r="E16" s="87">
        <f>'Water Reading'!H16-'Water Reading'!H15</f>
        <v>6</v>
      </c>
      <c r="F16" s="89">
        <f t="shared" si="3"/>
        <v>2.8571428571428571E-2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1.0047619047619047</v>
      </c>
      <c r="I16" s="90">
        <f>'Water Reading'!P16-'Water Reading'!P15</f>
        <v>12</v>
      </c>
      <c r="J16" s="68">
        <f t="shared" si="5"/>
        <v>5.7142857142857141E-2</v>
      </c>
      <c r="K16" s="91">
        <f>('Water Reading'!I16-'Water Reading'!I15)-('Water Reading'!P16-'Water Reading'!P15)</f>
        <v>23</v>
      </c>
      <c r="L16" s="68">
        <f t="shared" si="6"/>
        <v>0.10952380952380952</v>
      </c>
      <c r="M16" s="90">
        <f>'Water Reading'!R16-'Water Reading'!R15</f>
        <v>5</v>
      </c>
      <c r="N16" s="92">
        <f t="shared" si="7"/>
        <v>2.3809523809523808E-2</v>
      </c>
      <c r="O16" s="90">
        <f>'Water Reading'!Q16-'Water Reading'!Q15</f>
        <v>5</v>
      </c>
      <c r="P16" s="99">
        <f t="shared" si="8"/>
        <v>2.3809523809523808E-2</v>
      </c>
      <c r="Q16" s="91">
        <f>'Water Reading'!F16-'Water Reading'!F15</f>
        <v>1</v>
      </c>
      <c r="R16" s="100">
        <f t="shared" si="9"/>
        <v>4.7619047619047623E-3</v>
      </c>
      <c r="S16" s="94">
        <f>'Water Reading'!E16-'Water Reading'!E15</f>
        <v>63</v>
      </c>
      <c r="T16" s="100">
        <f t="shared" si="10"/>
        <v>0.3</v>
      </c>
      <c r="U16" s="90">
        <f>'Water Reading'!G16-'Water Reading'!G15</f>
        <v>18</v>
      </c>
      <c r="V16" s="100">
        <f t="shared" si="11"/>
        <v>8.5714285714285715E-2</v>
      </c>
      <c r="W16" s="90">
        <f>'Water Reading'!J16-'Water Reading'!J15</f>
        <v>19</v>
      </c>
      <c r="X16" s="100">
        <f t="shared" si="12"/>
        <v>9.0476190476190474E-2</v>
      </c>
      <c r="Y16" s="66">
        <f t="shared" si="0"/>
        <v>363</v>
      </c>
      <c r="Z16" s="67">
        <f t="shared" si="1"/>
        <v>1.2474226804123711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238</v>
      </c>
      <c r="D17" s="67">
        <f t="shared" si="2"/>
        <v>0.86861313868613144</v>
      </c>
      <c r="E17" s="87">
        <f>'Water Reading'!H17-'Water Reading'!H16</f>
        <v>121</v>
      </c>
      <c r="F17" s="89">
        <f t="shared" si="3"/>
        <v>0.50840336134453779</v>
      </c>
      <c r="G17" s="93">
        <f>('Water Reading'!D17-'Water Reading'!D16)-('Water Reading'!R17-'Water Reading'!R16)-('Water Reading'!Q17-'Water Reading'!Q16)</f>
        <v>111</v>
      </c>
      <c r="H17" s="89">
        <f t="shared" si="4"/>
        <v>0.46638655462184875</v>
      </c>
      <c r="I17" s="90">
        <f>'Water Reading'!P17-'Water Reading'!P16</f>
        <v>10</v>
      </c>
      <c r="J17" s="68">
        <f t="shared" si="5"/>
        <v>4.2016806722689079E-2</v>
      </c>
      <c r="K17" s="91">
        <f>('Water Reading'!I17-'Water Reading'!I16)-('Water Reading'!P17-'Water Reading'!P16)</f>
        <v>16</v>
      </c>
      <c r="L17" s="68">
        <f t="shared" si="6"/>
        <v>6.7226890756302518E-2</v>
      </c>
      <c r="M17" s="90">
        <f>'Water Reading'!R17-'Water Reading'!R16</f>
        <v>3</v>
      </c>
      <c r="N17" s="92">
        <f t="shared" si="7"/>
        <v>1.2605042016806723E-2</v>
      </c>
      <c r="O17" s="90">
        <f>'Water Reading'!Q17-'Water Reading'!Q16</f>
        <v>6</v>
      </c>
      <c r="P17" s="99">
        <f t="shared" si="8"/>
        <v>2.5210084033613446E-2</v>
      </c>
      <c r="Q17" s="91">
        <f>'Water Reading'!F17-'Water Reading'!F16</f>
        <v>1</v>
      </c>
      <c r="R17" s="100">
        <f t="shared" si="9"/>
        <v>4.2016806722689074E-3</v>
      </c>
      <c r="S17" s="94">
        <f>'Water Reading'!E17-'Water Reading'!E16</f>
        <v>54</v>
      </c>
      <c r="T17" s="100">
        <f t="shared" si="10"/>
        <v>0.22689075630252101</v>
      </c>
      <c r="U17" s="90">
        <f>'Water Reading'!G17-'Water Reading'!G16</f>
        <v>15</v>
      </c>
      <c r="V17" s="100">
        <f t="shared" si="11"/>
        <v>6.3025210084033612E-2</v>
      </c>
      <c r="W17" s="90">
        <f>'Water Reading'!J17-'Water Reading'!J16</f>
        <v>18</v>
      </c>
      <c r="X17" s="100">
        <f t="shared" si="12"/>
        <v>7.5630252100840331E-2</v>
      </c>
      <c r="Y17" s="66">
        <f t="shared" si="0"/>
        <v>355</v>
      </c>
      <c r="Z17" s="67">
        <f t="shared" si="1"/>
        <v>1.2956204379562044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325</v>
      </c>
      <c r="D18" s="67">
        <f t="shared" si="2"/>
        <v>0.9878419452887538</v>
      </c>
      <c r="E18" s="87">
        <f>'Water Reading'!H18-'Water Reading'!H17</f>
        <v>95</v>
      </c>
      <c r="F18" s="89">
        <f t="shared" si="3"/>
        <v>0.29230769230769232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0.42153846153846153</v>
      </c>
      <c r="I18" s="90">
        <f>'Water Reading'!P18-'Water Reading'!P17</f>
        <v>14</v>
      </c>
      <c r="J18" s="68">
        <f t="shared" si="5"/>
        <v>4.3076923076923075E-2</v>
      </c>
      <c r="K18" s="91">
        <f>('Water Reading'!I18-'Water Reading'!I17)-('Water Reading'!P18-'Water Reading'!P17)</f>
        <v>11</v>
      </c>
      <c r="L18" s="68">
        <f t="shared" si="6"/>
        <v>3.3846153846153845E-2</v>
      </c>
      <c r="M18" s="90">
        <f>'Water Reading'!R18-'Water Reading'!R17</f>
        <v>4</v>
      </c>
      <c r="N18" s="92">
        <f t="shared" si="7"/>
        <v>1.2307692307692308E-2</v>
      </c>
      <c r="O18" s="90">
        <f>'Water Reading'!Q18-'Water Reading'!Q17</f>
        <v>1</v>
      </c>
      <c r="P18" s="99">
        <f t="shared" si="8"/>
        <v>3.0769230769230769E-3</v>
      </c>
      <c r="Q18" s="91">
        <f>'Water Reading'!F18-'Water Reading'!F17</f>
        <v>1</v>
      </c>
      <c r="R18" s="100">
        <f t="shared" si="9"/>
        <v>3.0769230769230769E-3</v>
      </c>
      <c r="S18" s="94">
        <f>'Water Reading'!E18-'Water Reading'!E17</f>
        <v>59</v>
      </c>
      <c r="T18" s="100">
        <f t="shared" si="10"/>
        <v>0.18153846153846154</v>
      </c>
      <c r="U18" s="90">
        <f>'Water Reading'!G18-'Water Reading'!G17</f>
        <v>15</v>
      </c>
      <c r="V18" s="100">
        <f t="shared" si="11"/>
        <v>4.6153846153846156E-2</v>
      </c>
      <c r="W18" s="90">
        <f>'Water Reading'!J18-'Water Reading'!J17</f>
        <v>18</v>
      </c>
      <c r="X18" s="100">
        <f t="shared" si="12"/>
        <v>5.5384615384615386E-2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323</v>
      </c>
      <c r="D20" s="67">
        <f t="shared" si="2"/>
        <v>0.93352601156069359</v>
      </c>
      <c r="E20" s="87">
        <f>'Water Reading'!H20-'Water Reading'!H19</f>
        <v>42</v>
      </c>
      <c r="F20" s="89">
        <f t="shared" si="3"/>
        <v>0.13003095975232198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0.46749226006191952</v>
      </c>
      <c r="I20" s="90">
        <f>'Water Reading'!P20-'Water Reading'!P19</f>
        <v>15</v>
      </c>
      <c r="J20" s="68">
        <f t="shared" si="5"/>
        <v>4.6439628482972138E-2</v>
      </c>
      <c r="K20" s="91">
        <f>('Water Reading'!I20-'Water Reading'!I19)-('Water Reading'!P20-'Water Reading'!P19)</f>
        <v>16</v>
      </c>
      <c r="L20" s="68">
        <f t="shared" si="6"/>
        <v>4.9535603715170282E-2</v>
      </c>
      <c r="M20" s="90">
        <f>'Water Reading'!R20-'Water Reading'!R19</f>
        <v>4</v>
      </c>
      <c r="N20" s="92">
        <f t="shared" si="7"/>
        <v>1.238390092879257E-2</v>
      </c>
      <c r="O20" s="90">
        <f>'Water Reading'!Q20-'Water Reading'!Q19</f>
        <v>6</v>
      </c>
      <c r="P20" s="99">
        <f t="shared" si="8"/>
        <v>1.8575851393188854E-2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0.29721362229102166</v>
      </c>
      <c r="U20" s="90">
        <f>'Water Reading'!G20-'Water Reading'!G19</f>
        <v>18</v>
      </c>
      <c r="V20" s="100">
        <f t="shared" si="11"/>
        <v>5.5727554179566562E-2</v>
      </c>
      <c r="W20" s="90">
        <f>'Water Reading'!J20-'Water Reading'!J19</f>
        <v>21</v>
      </c>
      <c r="X20" s="100">
        <f t="shared" si="12"/>
        <v>6.5015479876160992E-2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327</v>
      </c>
      <c r="C21" s="66">
        <f>('Water Reading'!B21-'Water Reading'!B20)+('Water Reading'!C21-'Water Reading'!C20)</f>
        <v>297</v>
      </c>
      <c r="D21" s="67">
        <f t="shared" si="2"/>
        <v>0.90825688073394495</v>
      </c>
      <c r="E21" s="87">
        <f>'Water Reading'!H21-'Water Reading'!H20</f>
        <v>55</v>
      </c>
      <c r="F21" s="89">
        <f t="shared" si="3"/>
        <v>0.18518518518518517</v>
      </c>
      <c r="G21" s="93">
        <f>('Water Reading'!D21-'Water Reading'!D20)-('Water Reading'!R21-'Water Reading'!R20)-('Water Reading'!Q21-'Water Reading'!Q20)</f>
        <v>140</v>
      </c>
      <c r="H21" s="89">
        <f t="shared" si="4"/>
        <v>0.4713804713804714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4.3771043771043773E-2</v>
      </c>
      <c r="M21" s="90">
        <f>'Water Reading'!R21-'Water Reading'!R20</f>
        <v>1</v>
      </c>
      <c r="N21" s="92">
        <f t="shared" si="7"/>
        <v>3.3670033670033669E-3</v>
      </c>
      <c r="O21" s="90">
        <f>'Water Reading'!Q21-'Water Reading'!Q20</f>
        <v>2</v>
      </c>
      <c r="P21" s="99">
        <f t="shared" si="8"/>
        <v>6.7340067340067337E-3</v>
      </c>
      <c r="Q21" s="91">
        <f>'Water Reading'!F21-'Water Reading'!F20</f>
        <v>2</v>
      </c>
      <c r="R21" s="100">
        <f t="shared" si="9"/>
        <v>6.7340067340067337E-3</v>
      </c>
      <c r="S21" s="94">
        <f>'Water Reading'!E21-'Water Reading'!E20</f>
        <v>103</v>
      </c>
      <c r="T21" s="100">
        <f t="shared" si="10"/>
        <v>0.34680134680134678</v>
      </c>
      <c r="U21" s="90">
        <f>'Water Reading'!G21-'Water Reading'!G20</f>
        <v>17</v>
      </c>
      <c r="V21" s="100">
        <f t="shared" si="11"/>
        <v>5.7239057239057242E-2</v>
      </c>
      <c r="W21" s="90">
        <f>'Water Reading'!J21-'Water Reading'!J20</f>
        <v>16</v>
      </c>
      <c r="X21" s="100">
        <f t="shared" si="12"/>
        <v>5.387205387205387E-2</v>
      </c>
      <c r="Y21" s="66">
        <f t="shared" si="0"/>
        <v>349</v>
      </c>
      <c r="Z21" s="67">
        <f t="shared" si="1"/>
        <v>1.0672782874617737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-290847</v>
      </c>
      <c r="D22" s="67" t="e">
        <f t="shared" si="2"/>
        <v>#DIV/0!</v>
      </c>
      <c r="E22" s="87">
        <f>'Water Reading'!H22-'Water Reading'!H21</f>
        <v>-52307</v>
      </c>
      <c r="F22" s="89">
        <f t="shared" si="3"/>
        <v>0.17984369788926824</v>
      </c>
      <c r="G22" s="93">
        <f>('Water Reading'!D22-'Water Reading'!D21)-('Water Reading'!R22-'Water Reading'!R21)-('Water Reading'!Q22-'Water Reading'!Q21)</f>
        <v>-200794</v>
      </c>
      <c r="H22" s="89">
        <f t="shared" si="4"/>
        <v>0.69037672728272936</v>
      </c>
      <c r="I22" s="90">
        <f>'Water Reading'!P22-'Water Reading'!P21</f>
        <v>-26930</v>
      </c>
      <c r="J22" s="68">
        <f t="shared" si="5"/>
        <v>9.2591637527634801E-2</v>
      </c>
      <c r="K22" s="91">
        <f>('Water Reading'!I22-'Water Reading'!I21)-('Water Reading'!P22-'Water Reading'!P21)</f>
        <v>-36454</v>
      </c>
      <c r="L22" s="68">
        <f t="shared" si="6"/>
        <v>0.12533737669633863</v>
      </c>
      <c r="M22" s="90">
        <f>'Water Reading'!R22-'Water Reading'!R21</f>
        <v>-6175</v>
      </c>
      <c r="N22" s="92">
        <f t="shared" si="7"/>
        <v>2.1231094011628107E-2</v>
      </c>
      <c r="O22" s="90">
        <f>'Water Reading'!Q22-'Water Reading'!Q21</f>
        <v>-579</v>
      </c>
      <c r="P22" s="99">
        <f t="shared" si="8"/>
        <v>1.9907373980133885E-3</v>
      </c>
      <c r="Q22" s="91">
        <f>'Water Reading'!F22-'Water Reading'!F21</f>
        <v>-66921</v>
      </c>
      <c r="R22" s="100">
        <f t="shared" si="9"/>
        <v>0.23009004734448008</v>
      </c>
      <c r="S22" s="94">
        <f>'Water Reading'!E22-'Water Reading'!E21</f>
        <v>-247193</v>
      </c>
      <c r="T22" s="100">
        <f t="shared" si="10"/>
        <v>0.84990733959779541</v>
      </c>
      <c r="U22" s="90">
        <f>'Water Reading'!G22-'Water Reading'!G21</f>
        <v>-111439</v>
      </c>
      <c r="V22" s="100">
        <f t="shared" si="11"/>
        <v>0.3831533417913886</v>
      </c>
      <c r="W22" s="90">
        <f>'Water Reading'!J22-'Water Reading'!J21</f>
        <v>-20050</v>
      </c>
      <c r="X22" s="100">
        <f t="shared" si="12"/>
        <v>6.893658865314066E-2</v>
      </c>
      <c r="Y22" s="66">
        <f t="shared" si="0"/>
        <v>-768842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5792</v>
      </c>
      <c r="C35" s="75">
        <f>SUM(C4:C34)</f>
        <v>-282428</v>
      </c>
      <c r="D35" s="96">
        <f>C35/B35</f>
        <v>-48.761740331491715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-131.62638121546962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2021-06-19T05:19:03Z</dcterms:modified>
  <cp:category/>
  <cp:contentStatus/>
</cp:coreProperties>
</file>