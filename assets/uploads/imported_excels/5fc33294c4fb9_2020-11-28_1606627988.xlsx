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32" i="31" l="1"/>
  <c r="L30" i="31"/>
  <c r="L31" i="31"/>
  <c r="I30" i="31"/>
  <c r="I31" i="31"/>
  <c r="I32" i="31"/>
  <c r="G30" i="31"/>
  <c r="G31" i="31"/>
  <c r="G32" i="31"/>
  <c r="L29" i="31" l="1"/>
  <c r="I29" i="31"/>
  <c r="G29" i="31"/>
  <c r="L28" i="31" l="1"/>
  <c r="I28" i="31"/>
  <c r="G28" i="31"/>
  <c r="I27" i="31" l="1"/>
  <c r="G27" i="31"/>
  <c r="G26" i="31" l="1"/>
  <c r="L26" i="31"/>
  <c r="I26" i="31"/>
  <c r="L25" i="31" l="1"/>
  <c r="I25" i="31"/>
  <c r="G25" i="31"/>
  <c r="G22" i="31" l="1"/>
  <c r="G23" i="31"/>
  <c r="G24" i="31"/>
  <c r="I22" i="31"/>
  <c r="I23" i="31"/>
  <c r="I24" i="31"/>
  <c r="L22" i="31"/>
  <c r="L23" i="31"/>
  <c r="L24" i="31"/>
  <c r="G21" i="31" l="1"/>
  <c r="L21" i="31"/>
  <c r="I21" i="31"/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<sst xmlns="http://schemas.openxmlformats.org/spreadsheetml/2006/main" count="66" uniqueCount="33">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</sst>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31021</v>
      </c>
      <c r="F18" s="10">
        <v>2.9000000000000001E-2</v>
      </c>
      <c r="G18" s="1">
        <f>'Nov2020'!J21</f>
        <v>1</v>
      </c>
      <c r="H18" s="10">
        <v>0.112</v>
      </c>
      <c r="I18" s="1">
        <f>'Nov2020'!G21*1000</f>
        <v>43000</v>
      </c>
      <c r="J18" s="10">
        <v>3.61E-2</v>
      </c>
      <c r="K18" s="1">
        <f>'Nov2020'!I21</f>
        <v>186</v>
      </c>
      <c r="L18" s="10">
        <v>0.75</v>
      </c>
      <c r="M18" s="10">
        <f>'Nov2020'!L21</f>
        <v>120</v>
      </c>
      <c r="N18" s="10">
        <v>0.56299999999999994</v>
      </c>
      <c r="O18" s="15">
        <f>'Nov2020'!D21</f>
        <v>69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29307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47000</v>
      </c>
      <c r="J19" s="10">
        <v>3.61E-2</v>
      </c>
      <c r="K19" s="1">
        <f>'Nov2020'!I22</f>
        <v>180</v>
      </c>
      <c r="L19" s="10">
        <v>0.75</v>
      </c>
      <c r="M19" s="10">
        <f>'Nov2020'!L22</f>
        <v>100</v>
      </c>
      <c r="N19" s="10">
        <v>0.56299999999999994</v>
      </c>
      <c r="O19" s="15">
        <f>'Nov2020'!D22</f>
        <v>86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33028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40000</v>
      </c>
      <c r="J20" s="10">
        <v>3.61E-2</v>
      </c>
      <c r="K20" s="1">
        <f>'Nov2020'!I23</f>
        <v>197</v>
      </c>
      <c r="L20" s="10">
        <v>0.75</v>
      </c>
      <c r="M20" s="10">
        <f>'Nov2020'!L23</f>
        <v>173</v>
      </c>
      <c r="N20" s="10">
        <v>0.56299999999999994</v>
      </c>
      <c r="O20" s="15">
        <f>'Nov2020'!D23</f>
        <v>116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33790</v>
      </c>
      <c r="F21" s="10">
        <v>2.9000000000000001E-2</v>
      </c>
      <c r="G21" s="1">
        <f>'Nov2020'!J24</f>
        <v>1</v>
      </c>
      <c r="H21" s="10">
        <v>0.112</v>
      </c>
      <c r="I21" s="1">
        <f>'Nov2020'!G24*1000</f>
        <v>50000</v>
      </c>
      <c r="J21" s="10">
        <v>3.61E-2</v>
      </c>
      <c r="K21" s="1">
        <f>'Nov2020'!I24</f>
        <v>303</v>
      </c>
      <c r="L21" s="10">
        <v>0.75</v>
      </c>
      <c r="M21" s="10">
        <f>'Nov2020'!L24</f>
        <v>40</v>
      </c>
      <c r="N21" s="10">
        <v>0.56299999999999994</v>
      </c>
      <c r="O21" s="15">
        <f>'Nov2020'!D24</f>
        <v>121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32018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45000</v>
      </c>
      <c r="J22" s="10">
        <v>3.61E-2</v>
      </c>
      <c r="K22" s="1">
        <f>'Nov2020'!I25</f>
        <v>387</v>
      </c>
      <c r="L22" s="10">
        <v>0.75</v>
      </c>
      <c r="M22" s="10">
        <f>'Nov2020'!L25</f>
        <v>154</v>
      </c>
      <c r="N22" s="10">
        <v>0.56299999999999994</v>
      </c>
      <c r="O22" s="15">
        <f>'Nov2020'!D25</f>
        <v>69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30471</v>
      </c>
      <c r="F23" s="10">
        <v>2.9000000000000001E-2</v>
      </c>
      <c r="G23" s="1">
        <f>'Nov2020'!J26</f>
        <v>2</v>
      </c>
      <c r="H23" s="10">
        <v>0.112</v>
      </c>
      <c r="I23" s="1">
        <f>'Nov2020'!G26*1000</f>
        <v>36000</v>
      </c>
      <c r="J23" s="10">
        <v>3.61E-2</v>
      </c>
      <c r="K23" s="1">
        <f>'Nov2020'!I26</f>
        <v>277</v>
      </c>
      <c r="L23" s="10">
        <v>0.75</v>
      </c>
      <c r="M23" s="10">
        <f>'Nov2020'!L26</f>
        <v>99</v>
      </c>
      <c r="N23" s="10">
        <v>0.56299999999999994</v>
      </c>
      <c r="O23" s="15">
        <f>'Nov2020'!D26</f>
        <v>44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30891</v>
      </c>
      <c r="F24" s="10">
        <v>2.9000000000000001E-2</v>
      </c>
      <c r="G24" s="1">
        <f>'Nov2020'!J27</f>
        <v>1</v>
      </c>
      <c r="H24" s="10">
        <v>0.112</v>
      </c>
      <c r="I24" s="1">
        <f>'Nov2020'!G27*1000</f>
        <v>40000</v>
      </c>
      <c r="J24" s="10">
        <v>3.61E-2</v>
      </c>
      <c r="K24" s="1">
        <f>'Nov2020'!I27</f>
        <v>180</v>
      </c>
      <c r="L24" s="10">
        <v>0.75</v>
      </c>
      <c r="M24" s="10" t="str">
        <f>'Nov2020'!L27</f>
        <v>ed</v>
      </c>
      <c r="N24" s="10">
        <v>0.56299999999999994</v>
      </c>
      <c r="O24" s="15">
        <f>'Nov2020'!D27</f>
        <v>49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28930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29000</v>
      </c>
      <c r="J25" s="10">
        <v>3.61E-2</v>
      </c>
      <c r="K25" s="1">
        <f>'Nov2020'!I28</f>
        <v>268</v>
      </c>
      <c r="L25" s="10">
        <v>0.75</v>
      </c>
      <c r="M25" s="10">
        <f>'Nov2020'!L28</f>
        <v>94</v>
      </c>
      <c r="N25" s="10">
        <v>0.56299999999999994</v>
      </c>
      <c r="O25" s="15">
        <f>'Nov2020'!D28</f>
        <v>58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32866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34000</v>
      </c>
      <c r="J26" s="10">
        <v>3.61E-2</v>
      </c>
      <c r="K26" s="1">
        <f>'Nov2020'!I29</f>
        <v>430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71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30864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42000</v>
      </c>
      <c r="J27" s="10">
        <v>3.61E-2</v>
      </c>
      <c r="K27" s="1">
        <f>'Nov2020'!I30</f>
        <v>376</v>
      </c>
      <c r="L27" s="10">
        <v>0.75</v>
      </c>
      <c r="M27" s="10">
        <f>'Nov2020'!L30</f>
        <v>105</v>
      </c>
      <c r="N27" s="10">
        <v>0.56299999999999994</v>
      </c>
      <c r="O27" s="15">
        <f>'Nov2020'!D30</f>
        <v>78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31512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40000</v>
      </c>
      <c r="J28" s="10">
        <v>3.61E-2</v>
      </c>
      <c r="K28" s="1">
        <f>'Nov2020'!I31</f>
        <v>256</v>
      </c>
      <c r="L28" s="10">
        <v>0.75</v>
      </c>
      <c r="M28" s="10">
        <f>'Nov2020'!L31</f>
        <v>102</v>
      </c>
      <c r="N28" s="10">
        <v>0.56299999999999994</v>
      </c>
      <c r="O28" s="15">
        <f>'Nov2020'!D31</f>
        <v>74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30358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40000</v>
      </c>
      <c r="J29" s="10">
        <v>3.61E-2</v>
      </c>
      <c r="K29" s="1">
        <f>'Nov2020'!I32</f>
        <v>218</v>
      </c>
      <c r="L29" s="10">
        <v>0.75</v>
      </c>
      <c r="M29" s="10">
        <f>'Nov2020'!L32</f>
        <v>106</v>
      </c>
      <c r="N29" s="10">
        <v>0.56299999999999994</v>
      </c>
      <c r="O29" s="15">
        <f>'Nov2020'!D32</f>
        <v>71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B1" workbookViewId="0">
      <selection activeCell="F37" sqref="F3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32" si="0">F10-F9</f>
        <v>48</v>
      </c>
      <c r="H9" s="7">
        <v>421872</v>
      </c>
      <c r="I9" s="3">
        <f t="shared" ref="I9:I32" si="1">H10-H9</f>
        <v>246</v>
      </c>
      <c r="J9" s="3">
        <v>0</v>
      </c>
      <c r="K9" s="4">
        <v>263343</v>
      </c>
      <c r="L9" s="9">
        <f t="shared" ref="L9:L32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>
        <v>69</v>
      </c>
      <c r="E21" s="12">
        <v>31021</v>
      </c>
      <c r="F21" s="4">
        <v>182332</v>
      </c>
      <c r="G21" s="8">
        <f t="shared" si="0"/>
        <v>43</v>
      </c>
      <c r="H21" s="4">
        <v>424969</v>
      </c>
      <c r="I21" s="3">
        <f t="shared" si="1"/>
        <v>186</v>
      </c>
      <c r="J21" s="3">
        <v>1</v>
      </c>
      <c r="K21" s="4">
        <v>264740</v>
      </c>
      <c r="L21" s="9">
        <f t="shared" si="2"/>
        <v>120</v>
      </c>
      <c r="N21" s="1"/>
    </row>
    <row r="22" spans="1:14" x14ac:dyDescent="0.2">
      <c r="B22" s="2">
        <v>18</v>
      </c>
      <c r="C22" s="11">
        <v>44153</v>
      </c>
      <c r="D22" s="7">
        <v>86</v>
      </c>
      <c r="E22" s="12">
        <v>29307</v>
      </c>
      <c r="F22" s="4">
        <v>182375</v>
      </c>
      <c r="G22" s="8">
        <f t="shared" si="0"/>
        <v>47</v>
      </c>
      <c r="H22" s="4">
        <v>425155</v>
      </c>
      <c r="I22" s="3">
        <f t="shared" si="1"/>
        <v>180</v>
      </c>
      <c r="J22" s="3">
        <v>0</v>
      </c>
      <c r="K22" s="4">
        <v>264860</v>
      </c>
      <c r="L22" s="9">
        <f t="shared" si="2"/>
        <v>100</v>
      </c>
      <c r="N22" s="1"/>
    </row>
    <row r="23" spans="1:14" x14ac:dyDescent="0.2">
      <c r="B23" s="2">
        <v>19</v>
      </c>
      <c r="C23" s="11">
        <v>44154</v>
      </c>
      <c r="D23" s="7">
        <v>116</v>
      </c>
      <c r="E23" s="13">
        <v>33028</v>
      </c>
      <c r="F23" s="4">
        <v>182422</v>
      </c>
      <c r="G23" s="8">
        <f t="shared" si="0"/>
        <v>40</v>
      </c>
      <c r="H23" s="31">
        <v>425335</v>
      </c>
      <c r="I23" s="3">
        <f t="shared" si="1"/>
        <v>197</v>
      </c>
      <c r="J23" s="3">
        <v>0</v>
      </c>
      <c r="K23" s="4">
        <v>264960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44155</v>
      </c>
      <c r="D24" s="7">
        <v>121</v>
      </c>
      <c r="E24" s="13">
        <v>33790</v>
      </c>
      <c r="F24" s="31">
        <v>182462</v>
      </c>
      <c r="G24" s="8">
        <f t="shared" si="0"/>
        <v>50</v>
      </c>
      <c r="H24" s="31">
        <v>425532</v>
      </c>
      <c r="I24" s="3">
        <f t="shared" si="1"/>
        <v>303</v>
      </c>
      <c r="J24" s="3">
        <v>1</v>
      </c>
      <c r="K24" s="31">
        <v>265133</v>
      </c>
      <c r="L24" s="9">
        <f t="shared" si="2"/>
        <v>40</v>
      </c>
      <c r="N24" s="1"/>
    </row>
    <row r="25" spans="1:14" x14ac:dyDescent="0.2">
      <c r="B25" s="2">
        <v>21</v>
      </c>
      <c r="C25" s="11">
        <v>44156</v>
      </c>
      <c r="D25" s="7">
        <v>69</v>
      </c>
      <c r="E25" s="12">
        <v>32018</v>
      </c>
      <c r="F25" s="31">
        <v>182512</v>
      </c>
      <c r="G25" s="8">
        <f t="shared" si="0"/>
        <v>45</v>
      </c>
      <c r="H25" s="31">
        <v>425835</v>
      </c>
      <c r="I25" s="3">
        <f t="shared" si="1"/>
        <v>387</v>
      </c>
      <c r="J25" s="3">
        <v>0</v>
      </c>
      <c r="K25" s="31">
        <v>265173</v>
      </c>
      <c r="L25" s="9">
        <f t="shared" si="2"/>
        <v>154</v>
      </c>
      <c r="N25" s="1"/>
    </row>
    <row r="26" spans="1:14" x14ac:dyDescent="0.2">
      <c r="B26" s="2">
        <v>22</v>
      </c>
      <c r="C26" s="11">
        <v>44157</v>
      </c>
      <c r="D26" s="7">
        <v>44</v>
      </c>
      <c r="E26" s="12">
        <v>30471</v>
      </c>
      <c r="F26" s="4">
        <v>182557</v>
      </c>
      <c r="G26" s="8">
        <f t="shared" si="0"/>
        <v>36</v>
      </c>
      <c r="H26" s="4">
        <v>426222</v>
      </c>
      <c r="I26" s="3">
        <f t="shared" si="1"/>
        <v>277</v>
      </c>
      <c r="J26" s="3">
        <v>2</v>
      </c>
      <c r="K26" s="4">
        <v>265327</v>
      </c>
      <c r="L26" s="9">
        <f t="shared" si="2"/>
        <v>99</v>
      </c>
      <c r="N26" s="1"/>
    </row>
    <row r="27" spans="1:14" x14ac:dyDescent="0.2">
      <c r="B27" s="2">
        <v>23</v>
      </c>
      <c r="C27" s="11">
        <v>44158</v>
      </c>
      <c r="D27" s="7">
        <v>49</v>
      </c>
      <c r="E27" s="12">
        <v>30891</v>
      </c>
      <c r="F27" s="4">
        <v>182593</v>
      </c>
      <c r="G27" s="8">
        <f t="shared" si="0"/>
        <v>40</v>
      </c>
      <c r="H27" s="7">
        <v>426499</v>
      </c>
      <c r="I27" s="3">
        <f t="shared" si="1"/>
        <v>180</v>
      </c>
      <c r="J27" s="3">
        <v>1</v>
      </c>
      <c r="K27" s="4">
        <v>265426</v>
      </c>
      <c r="L27" s="9" t="s">
        <v>32</v>
      </c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>
        <v>58</v>
      </c>
      <c r="E28" s="12">
        <v>28930</v>
      </c>
      <c r="F28" s="4">
        <v>182633</v>
      </c>
      <c r="G28" s="8">
        <f t="shared" si="0"/>
        <v>29</v>
      </c>
      <c r="H28" s="7">
        <v>426679</v>
      </c>
      <c r="I28" s="3">
        <f t="shared" si="1"/>
        <v>268</v>
      </c>
      <c r="J28" s="3">
        <v>0</v>
      </c>
      <c r="K28" s="4">
        <v>265612</v>
      </c>
      <c r="L28" s="9">
        <f t="shared" si="2"/>
        <v>94</v>
      </c>
      <c r="N28" s="1"/>
    </row>
    <row r="29" spans="1:14" x14ac:dyDescent="0.2">
      <c r="A29" t="s">
        <v>30</v>
      </c>
      <c r="B29" s="2">
        <v>25</v>
      </c>
      <c r="C29" s="11">
        <v>44160</v>
      </c>
      <c r="D29" s="7">
        <v>71</v>
      </c>
      <c r="E29" s="12">
        <v>32866</v>
      </c>
      <c r="F29" s="4">
        <v>182662</v>
      </c>
      <c r="G29" s="8">
        <f t="shared" si="0"/>
        <v>34</v>
      </c>
      <c r="H29" s="7">
        <v>426947</v>
      </c>
      <c r="I29" s="3">
        <f t="shared" si="1"/>
        <v>430</v>
      </c>
      <c r="J29" s="3">
        <v>0</v>
      </c>
      <c r="K29" s="4">
        <v>265706</v>
      </c>
      <c r="L29" s="9">
        <f t="shared" si="2"/>
        <v>0</v>
      </c>
      <c r="N29" s="1"/>
    </row>
    <row r="30" spans="1:14" x14ac:dyDescent="0.2">
      <c r="B30" s="2">
        <v>26</v>
      </c>
      <c r="C30" s="11">
        <v>44161</v>
      </c>
      <c r="D30" s="7">
        <v>78</v>
      </c>
      <c r="E30" s="12">
        <v>30864</v>
      </c>
      <c r="F30" s="4">
        <v>182696</v>
      </c>
      <c r="G30" s="8">
        <f t="shared" si="0"/>
        <v>42</v>
      </c>
      <c r="H30" s="7">
        <v>427377</v>
      </c>
      <c r="I30" s="3">
        <f t="shared" si="1"/>
        <v>376</v>
      </c>
      <c r="J30" s="3">
        <v>0</v>
      </c>
      <c r="K30" s="33">
        <v>265706</v>
      </c>
      <c r="L30" s="9">
        <f t="shared" si="2"/>
        <v>105</v>
      </c>
      <c r="N30" s="1"/>
    </row>
    <row r="31" spans="1:14" x14ac:dyDescent="0.2">
      <c r="A31" t="s">
        <v>29</v>
      </c>
      <c r="B31" s="2">
        <v>27</v>
      </c>
      <c r="C31" s="11">
        <v>44162</v>
      </c>
      <c r="D31" s="7">
        <v>74</v>
      </c>
      <c r="E31" s="12">
        <v>31512</v>
      </c>
      <c r="F31" s="4">
        <v>182738</v>
      </c>
      <c r="G31" s="8">
        <f t="shared" si="0"/>
        <v>40</v>
      </c>
      <c r="H31" s="7">
        <v>427753</v>
      </c>
      <c r="I31" s="3">
        <f t="shared" si="1"/>
        <v>256</v>
      </c>
      <c r="J31" s="3"/>
      <c r="K31" s="4">
        <v>265811</v>
      </c>
      <c r="L31" s="9">
        <f t="shared" si="2"/>
        <v>102</v>
      </c>
      <c r="N31" s="1"/>
    </row>
    <row r="32" spans="1:14" x14ac:dyDescent="0.2">
      <c r="B32" s="2">
        <v>28</v>
      </c>
      <c r="C32" s="11">
        <v>44163</v>
      </c>
      <c r="D32" s="7">
        <v>71</v>
      </c>
      <c r="E32" s="12">
        <v>30358</v>
      </c>
      <c r="F32" s="26">
        <v>182778</v>
      </c>
      <c r="G32" s="8">
        <f t="shared" si="0"/>
        <v>40</v>
      </c>
      <c r="H32" s="7">
        <v>428009</v>
      </c>
      <c r="I32" s="3">
        <f t="shared" si="1"/>
        <v>218</v>
      </c>
      <c r="J32" s="3"/>
      <c r="K32" s="4">
        <v>265913</v>
      </c>
      <c r="L32" s="9">
        <f t="shared" si="2"/>
        <v>106</v>
      </c>
      <c r="N32" s="1"/>
    </row>
    <row r="33" spans="2:14" x14ac:dyDescent="0.2">
      <c r="B33" s="23">
        <v>29</v>
      </c>
      <c r="C33" s="11">
        <v>44164</v>
      </c>
      <c r="D33" s="24"/>
      <c r="E33" s="25"/>
      <c r="F33" s="31">
        <v>182818</v>
      </c>
      <c r="G33" s="8"/>
      <c r="H33" s="24">
        <v>428227</v>
      </c>
      <c r="I33" s="3"/>
      <c r="J33" s="27"/>
      <c r="K33" s="32">
        <v>266019</v>
      </c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2020-11-29T05:32:17Z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