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3"/>
  <workbookPr filterPrivacy="1" defaultThemeVersion="124226"/>
  <xr:revisionPtr revIDLastSave="0" documentId="13_ncr:1_{FC56E8A6-6DE6-4F61-969F-6B549BBDAEBD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G30" i="6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<sst xmlns="http://schemas.openxmlformats.org/spreadsheetml/2006/main" count="201" uniqueCount="130">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</sst>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0" fontId="13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-524179.99999999994</c:v>
                </c:pt>
                <c:pt idx="1">
                  <c:v>-2927000</c:v>
                </c:pt>
                <c:pt idx="2">
                  <c:v>-283840</c:v>
                </c:pt>
                <c:pt idx="3">
                  <c:v>-1095670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-59861</c:v>
                </c:pt>
                <c:pt idx="1">
                  <c:v>0.29069886024252017</c:v>
                </c:pt>
                <c:pt idx="2" formatCode="_(* #,##0.00_);_(* \(#,##0.00\);_(* &quot;-&quot;??_);_(@_)">
                  <c:v>-237179</c:v>
                </c:pt>
                <c:pt idx="3">
                  <c:v>1.1517960771363775</c:v>
                </c:pt>
                <c:pt idx="4" formatCode="0.00">
                  <c:v>-29565</c:v>
                </c:pt>
                <c:pt idx="5">
                  <c:v>0.14357447759092079</c:v>
                </c:pt>
                <c:pt idx="6" formatCode="0.00">
                  <c:v>-41440</c:v>
                </c:pt>
                <c:pt idx="7">
                  <c:v>0.20124222395967387</c:v>
                </c:pt>
                <c:pt idx="8" formatCode="0.00">
                  <c:v>-7557</c:v>
                </c:pt>
                <c:pt idx="9">
                  <c:v>3.6698539731256162E-2</c:v>
                </c:pt>
                <c:pt idx="10" formatCode="0.00">
                  <c:v>-1295</c:v>
                </c:pt>
                <c:pt idx="11">
                  <c:v>6.2888194987398083E-3</c:v>
                </c:pt>
                <c:pt idx="12" formatCode="0.00">
                  <c:v>-8303</c:v>
                </c:pt>
                <c:pt idx="13">
                  <c:v>4.0321288261032144E-2</c:v>
                </c:pt>
                <c:pt idx="14" formatCode="_(* #,##0.00_);_(* \(#,##0.00\);_(* &quot;-&quot;??_);_(@_)">
                  <c:v>-261977</c:v>
                </c:pt>
                <c:pt idx="15">
                  <c:v>1.2722209002481535</c:v>
                </c:pt>
                <c:pt idx="16" formatCode="0.00">
                  <c:v>-1953</c:v>
                </c:pt>
                <c:pt idx="17">
                  <c:v>9.4842196764778723E-3</c:v>
                </c:pt>
                <c:pt idx="18" formatCode="0.00">
                  <c:v>-7557</c:v>
                </c:pt>
                <c:pt idx="19">
                  <c:v>3.6698539731256162E-2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8190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-205921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-656687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912960"/>
        <c:axId val="145914496"/>
      </c:barChart>
      <c:catAx>
        <c:axId val="1459129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5914496"/>
        <c:crosses val="autoZero"/>
        <c:auto val="1"/>
        <c:lblAlgn val="ctr"/>
        <c:lblOffset val="100"/>
        <c:noMultiLvlLbl val="0"/>
      </c:catAx>
      <c:valAx>
        <c:axId val="14591449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5912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zoomScale="85" zoomScaleNormal="85" workbookViewId="0">
      <selection activeCell="M2" sqref="M2:O2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129</v>
      </c>
      <c r="H1" s="113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/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>
        <v>21490.000000001601</v>
      </c>
      <c r="F9" s="117">
        <v>0.18</v>
      </c>
      <c r="G9" s="101">
        <v>5644</v>
      </c>
      <c r="H9" s="114">
        <v>0.63500000000000001</v>
      </c>
      <c r="I9" s="62">
        <v>361</v>
      </c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>
        <v>22419.999999999163</v>
      </c>
      <c r="F10" s="117">
        <v>0.18</v>
      </c>
      <c r="G10" s="101">
        <v>5628</v>
      </c>
      <c r="H10" s="114">
        <v>0.63500000000000001</v>
      </c>
      <c r="I10" s="62">
        <v>359</v>
      </c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>
        <v>24009.99999999908</v>
      </c>
      <c r="F11" s="117">
        <v>0.18</v>
      </c>
      <c r="G11" s="101">
        <v>5606</v>
      </c>
      <c r="H11" s="114">
        <v>0.63500000000000001</v>
      </c>
      <c r="I11" s="62">
        <v>353</v>
      </c>
      <c r="J11" s="72">
        <v>1.8</v>
      </c>
      <c r="K11" s="98"/>
      <c r="L11" s="72">
        <v>0.9</v>
      </c>
      <c r="M11" s="68">
        <v>48</v>
      </c>
      <c r="N11" s="68">
        <v>122</v>
      </c>
      <c r="O11" s="68">
        <v>336</v>
      </c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>
        <v>20460.000000000036</v>
      </c>
      <c r="F12" s="117">
        <v>0.18</v>
      </c>
      <c r="G12" s="101">
        <v>5590</v>
      </c>
      <c r="H12" s="114">
        <v>0.63500000000000001</v>
      </c>
      <c r="I12" s="62">
        <v>402</v>
      </c>
      <c r="J12" s="72">
        <v>1.8</v>
      </c>
      <c r="K12" s="98"/>
      <c r="L12" s="72">
        <v>0.9</v>
      </c>
      <c r="M12" s="68">
        <v>50</v>
      </c>
      <c r="N12" s="68">
        <v>127</v>
      </c>
      <c r="O12" s="68">
        <v>365</v>
      </c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>
        <v>21459.999999999582</v>
      </c>
      <c r="F13" s="117">
        <v>0.18</v>
      </c>
      <c r="G13" s="101">
        <v>5538</v>
      </c>
      <c r="H13" s="114">
        <v>0.63500000000000001</v>
      </c>
      <c r="I13" s="62">
        <v>369</v>
      </c>
      <c r="J13" s="72">
        <v>1.8</v>
      </c>
      <c r="K13" s="98"/>
      <c r="L13" s="72">
        <v>0.9</v>
      </c>
      <c r="M13" s="68">
        <v>63</v>
      </c>
      <c r="N13" s="68">
        <v>169</v>
      </c>
      <c r="O13" s="68">
        <v>482</v>
      </c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>
        <v>22780.000000001339</v>
      </c>
      <c r="F14" s="117">
        <v>0.18</v>
      </c>
      <c r="G14" s="101">
        <v>5769</v>
      </c>
      <c r="H14" s="114">
        <v>0.63500000000000001</v>
      </c>
      <c r="I14" s="62">
        <v>386</v>
      </c>
      <c r="J14" s="72">
        <v>1.8</v>
      </c>
      <c r="K14" s="98"/>
      <c r="L14" s="72">
        <v>0.9</v>
      </c>
      <c r="M14" s="68">
        <v>64</v>
      </c>
      <c r="N14" s="68">
        <v>169</v>
      </c>
      <c r="O14" s="68">
        <v>496</v>
      </c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>
        <v>23590.000000000146</v>
      </c>
      <c r="F15" s="117">
        <v>0.18</v>
      </c>
      <c r="G15" s="101">
        <v>6167</v>
      </c>
      <c r="H15" s="114">
        <v>0.63500000000000001</v>
      </c>
      <c r="I15" s="62">
        <v>387</v>
      </c>
      <c r="J15" s="72">
        <v>1.8</v>
      </c>
      <c r="K15" s="98"/>
      <c r="L15" s="72">
        <v>0.9</v>
      </c>
      <c r="M15" s="68">
        <v>64</v>
      </c>
      <c r="N15" s="68">
        <v>174</v>
      </c>
      <c r="O15" s="68">
        <v>488</v>
      </c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>
        <v>23419.999999999389</v>
      </c>
      <c r="F16" s="117">
        <v>0.18</v>
      </c>
      <c r="G16" s="101">
        <v>5843</v>
      </c>
      <c r="H16" s="114">
        <v>0.63500000000000001</v>
      </c>
      <c r="I16" s="62">
        <v>386</v>
      </c>
      <c r="J16" s="72">
        <v>1.8</v>
      </c>
      <c r="K16" s="98"/>
      <c r="L16" s="72">
        <v>0.9</v>
      </c>
      <c r="M16" s="68">
        <v>62</v>
      </c>
      <c r="N16" s="68">
        <v>172</v>
      </c>
      <c r="O16" s="68">
        <v>497</v>
      </c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>
        <v>23739.999999999327</v>
      </c>
      <c r="F17" s="117">
        <v>0.18</v>
      </c>
      <c r="G17" s="101">
        <v>6091</v>
      </c>
      <c r="H17" s="114">
        <v>0.63500000000000001</v>
      </c>
      <c r="I17" s="62">
        <v>393</v>
      </c>
      <c r="J17" s="72">
        <v>1.8</v>
      </c>
      <c r="K17" s="98"/>
      <c r="L17" s="72">
        <v>0.9</v>
      </c>
      <c r="M17" s="68">
        <v>61</v>
      </c>
      <c r="N17" s="68">
        <v>170</v>
      </c>
      <c r="O17" s="68">
        <v>491</v>
      </c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>
        <v>23889.999999999643</v>
      </c>
      <c r="F18" s="117">
        <v>0.18</v>
      </c>
      <c r="G18" s="101">
        <v>6028</v>
      </c>
      <c r="H18" s="114">
        <v>0.63500000000000001</v>
      </c>
      <c r="I18" s="62">
        <v>393</v>
      </c>
      <c r="J18" s="72">
        <v>1.8</v>
      </c>
      <c r="K18" s="98"/>
      <c r="L18" s="72">
        <v>0.9</v>
      </c>
      <c r="M18" s="68">
        <v>63</v>
      </c>
      <c r="N18" s="68">
        <v>177</v>
      </c>
      <c r="O18" s="68">
        <v>506</v>
      </c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>
        <v>24410.000000002128</v>
      </c>
      <c r="F19" s="117">
        <v>0.18</v>
      </c>
      <c r="G19" s="101">
        <v>6145</v>
      </c>
      <c r="H19" s="114">
        <v>0.63500000000000001</v>
      </c>
      <c r="I19" s="62">
        <v>404</v>
      </c>
      <c r="J19" s="72">
        <v>1.8</v>
      </c>
      <c r="K19" s="98"/>
      <c r="L19" s="72">
        <v>0.9</v>
      </c>
      <c r="M19" s="68">
        <v>58</v>
      </c>
      <c r="N19" s="68">
        <v>157</v>
      </c>
      <c r="O19" s="68">
        <v>443</v>
      </c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>
        <v>24759.999999998174</v>
      </c>
      <c r="F20" s="117">
        <v>0.18</v>
      </c>
      <c r="G20" s="101">
        <v>6225</v>
      </c>
      <c r="H20" s="114">
        <v>0.63500000000000001</v>
      </c>
      <c r="I20" s="62">
        <v>364</v>
      </c>
      <c r="J20" s="72">
        <v>1.8</v>
      </c>
      <c r="K20" s="98"/>
      <c r="L20" s="72">
        <v>0.9</v>
      </c>
      <c r="M20" s="68">
        <v>69</v>
      </c>
      <c r="N20" s="68">
        <v>182</v>
      </c>
      <c r="O20" s="68">
        <v>576</v>
      </c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>
        <v>24710.000000002081</v>
      </c>
      <c r="F21" s="117">
        <v>0.18</v>
      </c>
      <c r="G21" s="101">
        <v>6301</v>
      </c>
      <c r="H21" s="114">
        <v>0.63500000000000001</v>
      </c>
      <c r="I21" s="62">
        <v>385</v>
      </c>
      <c r="J21" s="72">
        <v>1.8</v>
      </c>
      <c r="K21" s="98"/>
      <c r="L21" s="72">
        <v>0.9</v>
      </c>
      <c r="M21" s="68">
        <v>58</v>
      </c>
      <c r="N21" s="68">
        <v>149</v>
      </c>
      <c r="O21" s="68">
        <v>441</v>
      </c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>
        <v>23229.999999998654</v>
      </c>
      <c r="F22" s="117">
        <v>0.18</v>
      </c>
      <c r="G22" s="101"/>
      <c r="H22" s="114">
        <v>0.63500000000000001</v>
      </c>
      <c r="I22" s="62">
        <v>394</v>
      </c>
      <c r="J22" s="72">
        <v>1.8</v>
      </c>
      <c r="K22" s="98"/>
      <c r="L22" s="72">
        <v>0.9</v>
      </c>
      <c r="M22" s="68">
        <v>67</v>
      </c>
      <c r="N22" s="68">
        <v>168</v>
      </c>
      <c r="O22" s="68">
        <v>484</v>
      </c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>
        <v>23879.999999999654</v>
      </c>
      <c r="F23" s="117">
        <v>0.18</v>
      </c>
      <c r="G23" s="101"/>
      <c r="H23" s="114">
        <v>0.63500000000000001</v>
      </c>
      <c r="I23" s="62">
        <v>380</v>
      </c>
      <c r="J23" s="72">
        <v>1.8</v>
      </c>
      <c r="K23" s="98"/>
      <c r="L23" s="72">
        <v>0.9</v>
      </c>
      <c r="M23" s="68">
        <v>64</v>
      </c>
      <c r="N23" s="68">
        <v>168</v>
      </c>
      <c r="O23" s="68">
        <v>486</v>
      </c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/>
      <c r="F24" s="117">
        <v>0.18</v>
      </c>
      <c r="G24" s="101"/>
      <c r="H24" s="114">
        <v>0.63500000000000001</v>
      </c>
      <c r="I24" s="62"/>
      <c r="J24" s="72">
        <v>1.8</v>
      </c>
      <c r="K24" s="98"/>
      <c r="L24" s="72">
        <v>0.9</v>
      </c>
      <c r="M24" s="68">
        <v>64</v>
      </c>
      <c r="N24" s="68">
        <v>166</v>
      </c>
      <c r="O24" s="68">
        <v>455</v>
      </c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/>
      <c r="F25" s="117">
        <v>0.18</v>
      </c>
      <c r="G25" s="101"/>
      <c r="H25" s="114">
        <v>0.63500000000000001</v>
      </c>
      <c r="I25" s="62"/>
      <c r="J25" s="72">
        <v>1.8</v>
      </c>
      <c r="K25" s="98"/>
      <c r="L25" s="72">
        <v>0.9</v>
      </c>
      <c r="M25" s="68">
        <v>64</v>
      </c>
      <c r="N25" s="68">
        <v>169</v>
      </c>
      <c r="O25" s="68">
        <v>506</v>
      </c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/>
      <c r="F26" s="117">
        <v>0.18</v>
      </c>
      <c r="G26" s="101"/>
      <c r="H26" s="114">
        <v>0.63500000000000001</v>
      </c>
      <c r="I26" s="62"/>
      <c r="J26" s="72">
        <v>1.8</v>
      </c>
      <c r="K26" s="98"/>
      <c r="L26" s="72">
        <v>0.9</v>
      </c>
      <c r="M26" s="68"/>
      <c r="N26" s="68"/>
      <c r="O26" s="68"/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/>
      <c r="F27" s="117">
        <v>0.18</v>
      </c>
      <c r="G27" s="101"/>
      <c r="H27" s="114">
        <v>0.63500000000000001</v>
      </c>
      <c r="I27" s="62"/>
      <c r="J27" s="72">
        <v>1.8</v>
      </c>
      <c r="K27" s="98"/>
      <c r="L27" s="72">
        <v>0.9</v>
      </c>
      <c r="M27" s="68"/>
      <c r="N27" s="68"/>
      <c r="O27" s="68"/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/>
      <c r="F28" s="117">
        <v>0.18</v>
      </c>
      <c r="G28" s="101"/>
      <c r="H28" s="114">
        <v>0.63500000000000001</v>
      </c>
      <c r="I28" s="62"/>
      <c r="J28" s="72">
        <v>1.8</v>
      </c>
      <c r="K28" s="98"/>
      <c r="L28" s="72">
        <v>0.9</v>
      </c>
      <c r="M28" s="68"/>
      <c r="N28" s="68"/>
      <c r="O28" s="68"/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/>
      <c r="F29" s="117">
        <v>0.18</v>
      </c>
      <c r="G29" s="101"/>
      <c r="H29" s="114">
        <v>0.63500000000000001</v>
      </c>
      <c r="I29" s="62"/>
      <c r="J29" s="72">
        <v>1.8</v>
      </c>
      <c r="K29" s="98"/>
      <c r="L29" s="72">
        <v>0.9</v>
      </c>
      <c r="M29" s="68"/>
      <c r="N29" s="68"/>
      <c r="O29" s="68"/>
    </row>
    <row r="30" spans="1:15" ht="18.75" customHeight="1" x14ac:dyDescent="0.2">
      <c r="A30" s="122" t="s">
        <v>52</v>
      </c>
      <c r="B30" s="122"/>
      <c r="C30" s="122"/>
      <c r="D30" s="122"/>
      <c r="E30" s="115">
        <f>SUM(E2:E29)</f>
        <v>503660.00000000029</v>
      </c>
      <c r="F30" s="95">
        <v>0</v>
      </c>
      <c r="G30" s="115">
        <f>SUM(G2:G29)</f>
        <v>116909</v>
      </c>
      <c r="H30" s="93">
        <v>0</v>
      </c>
      <c r="I30" s="94">
        <f>SUM(I2:I29)</f>
        <v>8190</v>
      </c>
      <c r="J30" s="95">
        <v>0</v>
      </c>
      <c r="K30" s="96">
        <f>SUM(K2:K29)</f>
        <v>0</v>
      </c>
      <c r="L30" s="93">
        <v>0</v>
      </c>
      <c r="M30" s="97">
        <f>SUM(M2:M29)</f>
        <v>1248</v>
      </c>
      <c r="N30" s="97">
        <f>SUM(N2:N29)</f>
        <v>3243</v>
      </c>
      <c r="O30" s="97">
        <f>SUM(O2:O29)</f>
        <v>9224</v>
      </c>
    </row>
    <row r="37" spans="3:3" x14ac:dyDescent="0.2">
      <c r="C37" s="43" t="s">
        <v>128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abSelected="1" zoomScale="78" zoomScaleNormal="78" workbookViewId="0">
      <selection activeCell="V4" sqref="V4:X2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3" t="s">
        <v>10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73"/>
      <c r="V1" s="73"/>
    </row>
    <row r="2" spans="1:25" s="17" customFormat="1" ht="33" customHeight="1" x14ac:dyDescent="0.25">
      <c r="A2" s="28" t="s">
        <v>2</v>
      </c>
      <c r="B2" s="130" t="s">
        <v>126</v>
      </c>
      <c r="C2" s="130" t="s">
        <v>11</v>
      </c>
      <c r="D2" s="130" t="s">
        <v>12</v>
      </c>
      <c r="E2" s="130" t="s">
        <v>13</v>
      </c>
      <c r="F2" s="130" t="s">
        <v>14</v>
      </c>
      <c r="G2" s="125" t="s">
        <v>15</v>
      </c>
      <c r="H2" s="127" t="s">
        <v>16</v>
      </c>
      <c r="I2" s="130" t="s">
        <v>17</v>
      </c>
      <c r="J2" s="132" t="s">
        <v>18</v>
      </c>
      <c r="K2" s="133"/>
      <c r="L2" s="134"/>
      <c r="M2" s="125" t="s">
        <v>19</v>
      </c>
      <c r="N2" s="127" t="s">
        <v>20</v>
      </c>
      <c r="O2" s="128" t="s">
        <v>21</v>
      </c>
      <c r="P2" s="127" t="s">
        <v>22</v>
      </c>
      <c r="Q2" s="135" t="s">
        <v>23</v>
      </c>
      <c r="R2" s="130" t="s">
        <v>24</v>
      </c>
      <c r="S2" s="130" t="s">
        <v>25</v>
      </c>
      <c r="T2" s="130" t="s">
        <v>26</v>
      </c>
      <c r="V2" s="137" t="s">
        <v>6</v>
      </c>
      <c r="W2" s="137" t="s">
        <v>7</v>
      </c>
      <c r="X2" s="137" t="s">
        <v>8</v>
      </c>
    </row>
    <row r="3" spans="1:25" s="17" customFormat="1" ht="45" customHeight="1" x14ac:dyDescent="0.25">
      <c r="A3" s="29"/>
      <c r="B3" s="131"/>
      <c r="C3" s="131"/>
      <c r="D3" s="131"/>
      <c r="E3" s="131"/>
      <c r="F3" s="131"/>
      <c r="G3" s="126"/>
      <c r="H3" s="127"/>
      <c r="I3" s="131"/>
      <c r="J3" s="18" t="s">
        <v>27</v>
      </c>
      <c r="K3" s="18" t="s">
        <v>28</v>
      </c>
      <c r="L3" s="18" t="s">
        <v>29</v>
      </c>
      <c r="M3" s="126"/>
      <c r="N3" s="127"/>
      <c r="O3" s="129"/>
      <c r="P3" s="127"/>
      <c r="Q3" s="136"/>
      <c r="R3" s="131"/>
      <c r="S3" s="131"/>
      <c r="T3" s="131"/>
      <c r="V3" s="137"/>
      <c r="W3" s="137"/>
      <c r="X3" s="137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8591418.9199999999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284.18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>
        <v>1.2513000000000001</v>
      </c>
      <c r="C12" s="106">
        <v>285.83</v>
      </c>
      <c r="D12" s="106">
        <v>7959083.6200000001</v>
      </c>
      <c r="E12" s="106">
        <v>8807575.6600000001</v>
      </c>
      <c r="F12" s="106">
        <v>2.9477000000000002</v>
      </c>
      <c r="G12" s="106">
        <v>939.31</v>
      </c>
      <c r="H12" s="106">
        <v>800.7</v>
      </c>
      <c r="I12" s="106">
        <v>299.69</v>
      </c>
      <c r="J12" s="106">
        <v>403.27</v>
      </c>
      <c r="K12" s="106">
        <v>416.04</v>
      </c>
      <c r="L12" s="106">
        <v>284.2</v>
      </c>
      <c r="M12" s="106">
        <v>685.56</v>
      </c>
      <c r="N12" s="106">
        <v>640.96</v>
      </c>
      <c r="O12" s="106">
        <v>198.68</v>
      </c>
      <c r="P12" s="106">
        <v>836.49</v>
      </c>
      <c r="Q12" s="106">
        <v>616.71</v>
      </c>
      <c r="R12" s="106">
        <v>190.15</v>
      </c>
      <c r="S12" s="106">
        <v>144.58000000000001</v>
      </c>
      <c r="T12" s="106">
        <v>527.69000000000005</v>
      </c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>
        <v>1.2524</v>
      </c>
      <c r="C13" s="106">
        <v>286.07</v>
      </c>
      <c r="D13" s="106">
        <v>7960872.7699999996</v>
      </c>
      <c r="E13" s="106">
        <v>8809927.1600000001</v>
      </c>
      <c r="F13" s="106">
        <v>2.9502999999999999</v>
      </c>
      <c r="G13" s="106">
        <v>940.26</v>
      </c>
      <c r="H13" s="106">
        <v>801.87</v>
      </c>
      <c r="I13" s="106">
        <v>300.01</v>
      </c>
      <c r="J13" s="106">
        <v>403.74</v>
      </c>
      <c r="K13" s="106">
        <v>416.43</v>
      </c>
      <c r="L13" s="106">
        <v>284.47000000000003</v>
      </c>
      <c r="M13" s="106">
        <v>686.32</v>
      </c>
      <c r="N13" s="106">
        <v>641.75</v>
      </c>
      <c r="O13" s="106">
        <v>198.87</v>
      </c>
      <c r="P13" s="106">
        <v>837.5</v>
      </c>
      <c r="Q13" s="106">
        <v>617.52</v>
      </c>
      <c r="R13" s="106">
        <v>190.15</v>
      </c>
      <c r="S13" s="106">
        <v>144.72999999999999</v>
      </c>
      <c r="T13" s="106">
        <v>528.23</v>
      </c>
      <c r="V13" s="100">
        <v>48</v>
      </c>
      <c r="W13" s="100">
        <v>122</v>
      </c>
      <c r="X13" s="100">
        <v>336</v>
      </c>
      <c r="Y13" s="17"/>
    </row>
    <row r="14" spans="1:25" ht="21" customHeight="1" x14ac:dyDescent="0.25">
      <c r="A14" s="8">
        <v>44603</v>
      </c>
      <c r="B14" s="105">
        <v>1.2535000000000001</v>
      </c>
      <c r="C14" s="106">
        <v>286.32</v>
      </c>
      <c r="D14" s="106">
        <v>7962561.75</v>
      </c>
      <c r="E14" s="106">
        <v>8812242.2400000002</v>
      </c>
      <c r="F14" s="106">
        <v>2.9529000000000001</v>
      </c>
      <c r="G14" s="106">
        <v>941.21</v>
      </c>
      <c r="H14" s="106">
        <v>802.88</v>
      </c>
      <c r="I14" s="106">
        <v>300.31</v>
      </c>
      <c r="J14" s="106">
        <v>404.16</v>
      </c>
      <c r="K14" s="106">
        <v>416.79</v>
      </c>
      <c r="L14" s="106">
        <v>284.70999999999998</v>
      </c>
      <c r="M14" s="106">
        <v>686.99</v>
      </c>
      <c r="N14" s="106">
        <v>642.49</v>
      </c>
      <c r="O14" s="106">
        <v>199.05</v>
      </c>
      <c r="P14" s="106">
        <v>838.42</v>
      </c>
      <c r="Q14" s="106">
        <v>618.28</v>
      </c>
      <c r="R14" s="106">
        <v>190.15</v>
      </c>
      <c r="S14" s="106">
        <v>144.87</v>
      </c>
      <c r="T14" s="106">
        <v>528.75</v>
      </c>
      <c r="V14" s="100">
        <v>50</v>
      </c>
      <c r="W14" s="100">
        <v>127</v>
      </c>
      <c r="X14" s="100">
        <v>365</v>
      </c>
      <c r="Y14" s="17"/>
    </row>
    <row r="15" spans="1:25" ht="21" customHeight="1" x14ac:dyDescent="0.25">
      <c r="A15" s="8">
        <v>44604</v>
      </c>
      <c r="B15" s="105">
        <v>1.2545999999999999</v>
      </c>
      <c r="C15" s="106">
        <v>286.55</v>
      </c>
      <c r="D15" s="106">
        <v>7964277.25</v>
      </c>
      <c r="E15" s="106">
        <v>8814457.6199999992</v>
      </c>
      <c r="F15" s="106">
        <v>2.9554999999999998</v>
      </c>
      <c r="G15" s="106">
        <v>942.16</v>
      </c>
      <c r="H15" s="106">
        <v>804.03</v>
      </c>
      <c r="I15" s="106">
        <v>300.64999999999998</v>
      </c>
      <c r="J15" s="106">
        <v>404.59</v>
      </c>
      <c r="K15" s="106">
        <v>417.07</v>
      </c>
      <c r="L15" s="106">
        <v>284.94</v>
      </c>
      <c r="M15" s="106">
        <v>687.61</v>
      </c>
      <c r="N15" s="106">
        <v>643.27</v>
      </c>
      <c r="O15" s="106">
        <v>199.26</v>
      </c>
      <c r="P15" s="106">
        <v>839.39</v>
      </c>
      <c r="Q15" s="106">
        <v>619.04999999999995</v>
      </c>
      <c r="R15" s="106">
        <v>190.15</v>
      </c>
      <c r="S15" s="106">
        <v>145.02000000000001</v>
      </c>
      <c r="T15" s="106">
        <v>529.04999999999995</v>
      </c>
      <c r="V15" s="100">
        <v>63</v>
      </c>
      <c r="W15" s="100">
        <v>169</v>
      </c>
      <c r="X15" s="100">
        <v>482</v>
      </c>
      <c r="Y15" s="17"/>
    </row>
    <row r="16" spans="1:25" ht="21" customHeight="1" x14ac:dyDescent="0.25">
      <c r="A16" s="8">
        <v>44605</v>
      </c>
      <c r="B16" s="105">
        <v>1.2557</v>
      </c>
      <c r="C16" s="106">
        <v>286.8</v>
      </c>
      <c r="D16" s="106">
        <v>7965975.5700000003</v>
      </c>
      <c r="E16" s="106">
        <v>8817019.5600000005</v>
      </c>
      <c r="F16" s="106">
        <v>2.9581</v>
      </c>
      <c r="G16" s="106">
        <v>943.15</v>
      </c>
      <c r="H16" s="106">
        <v>805.08</v>
      </c>
      <c r="I16" s="106">
        <v>300.98</v>
      </c>
      <c r="J16" s="106">
        <v>405</v>
      </c>
      <c r="K16" s="106">
        <v>417.41</v>
      </c>
      <c r="L16" s="106">
        <v>285.16000000000003</v>
      </c>
      <c r="M16" s="106">
        <v>688.22</v>
      </c>
      <c r="N16" s="106">
        <v>644.11</v>
      </c>
      <c r="O16" s="106">
        <v>199.44</v>
      </c>
      <c r="P16" s="106">
        <v>840.38</v>
      </c>
      <c r="Q16" s="106">
        <v>619.79</v>
      </c>
      <c r="R16" s="106">
        <v>190.15</v>
      </c>
      <c r="S16" s="106">
        <v>145.16999999999999</v>
      </c>
      <c r="T16" s="106">
        <v>529.59</v>
      </c>
      <c r="V16" s="100">
        <v>64</v>
      </c>
      <c r="W16" s="100">
        <v>169</v>
      </c>
      <c r="X16" s="100">
        <v>496</v>
      </c>
      <c r="Y16" s="17"/>
    </row>
    <row r="17" spans="1:25" ht="21" customHeight="1" x14ac:dyDescent="0.25">
      <c r="A17" s="8">
        <v>44606</v>
      </c>
      <c r="B17" s="105">
        <v>1.2567999999999999</v>
      </c>
      <c r="C17" s="106">
        <v>287.04000000000002</v>
      </c>
      <c r="D17" s="106">
        <v>7967887.5</v>
      </c>
      <c r="E17" s="106">
        <v>8819833.6099999994</v>
      </c>
      <c r="F17" s="106">
        <v>2.9607000000000001</v>
      </c>
      <c r="G17" s="106">
        <v>944.15</v>
      </c>
      <c r="H17" s="106">
        <v>806.16</v>
      </c>
      <c r="I17" s="106">
        <v>301.32</v>
      </c>
      <c r="J17" s="106">
        <v>405.38</v>
      </c>
      <c r="K17" s="106">
        <v>417.74</v>
      </c>
      <c r="L17" s="106">
        <v>285.35000000000002</v>
      </c>
      <c r="M17" s="106">
        <v>688.92</v>
      </c>
      <c r="N17" s="106">
        <v>644.95000000000005</v>
      </c>
      <c r="O17" s="106">
        <v>199.66</v>
      </c>
      <c r="P17" s="106">
        <v>841.37</v>
      </c>
      <c r="Q17" s="106">
        <v>620.5</v>
      </c>
      <c r="R17" s="106">
        <v>190.15</v>
      </c>
      <c r="S17" s="106">
        <v>145.32</v>
      </c>
      <c r="T17" s="106">
        <v>530.15</v>
      </c>
      <c r="V17" s="100">
        <v>64</v>
      </c>
      <c r="W17" s="100">
        <v>174</v>
      </c>
      <c r="X17" s="100">
        <v>488</v>
      </c>
      <c r="Y17" s="17"/>
    </row>
    <row r="18" spans="1:25" ht="21" customHeight="1" x14ac:dyDescent="0.25">
      <c r="A18" s="8">
        <v>44607</v>
      </c>
      <c r="B18" s="105">
        <v>1.2579</v>
      </c>
      <c r="C18" s="106">
        <v>287.27999999999997</v>
      </c>
      <c r="D18" s="106">
        <v>7969918.5700000003</v>
      </c>
      <c r="E18" s="106">
        <v>8822834.4199999999</v>
      </c>
      <c r="F18" s="106">
        <v>2.9632999999999998</v>
      </c>
      <c r="G18" s="106">
        <v>945.18</v>
      </c>
      <c r="H18" s="106">
        <v>807.28</v>
      </c>
      <c r="I18" s="106">
        <v>301.7</v>
      </c>
      <c r="J18" s="106">
        <v>405.8</v>
      </c>
      <c r="K18" s="106">
        <v>418.09</v>
      </c>
      <c r="L18" s="106">
        <v>285.57</v>
      </c>
      <c r="M18" s="106">
        <v>689.74</v>
      </c>
      <c r="N18" s="106">
        <v>645.76</v>
      </c>
      <c r="O18" s="106">
        <v>199.88</v>
      </c>
      <c r="P18" s="106">
        <v>842.46</v>
      </c>
      <c r="Q18" s="106">
        <v>621.19000000000005</v>
      </c>
      <c r="R18" s="106">
        <v>190.15</v>
      </c>
      <c r="S18" s="106">
        <v>145.46</v>
      </c>
      <c r="T18" s="106">
        <v>530.75</v>
      </c>
      <c r="V18" s="100">
        <v>62</v>
      </c>
      <c r="W18" s="100">
        <v>172</v>
      </c>
      <c r="X18" s="100">
        <v>497</v>
      </c>
      <c r="Y18" s="17"/>
    </row>
    <row r="19" spans="1:25" ht="21" customHeight="1" x14ac:dyDescent="0.25">
      <c r="A19" s="8">
        <v>44608</v>
      </c>
      <c r="B19" s="105">
        <v>1.2589999999999999</v>
      </c>
      <c r="C19" s="106">
        <v>287.52999999999997</v>
      </c>
      <c r="D19" s="106">
        <v>7971821.6900000004</v>
      </c>
      <c r="E19" s="106">
        <v>8825564.4600000009</v>
      </c>
      <c r="F19" s="106">
        <v>2.9659</v>
      </c>
      <c r="G19" s="106">
        <v>946.19</v>
      </c>
      <c r="H19" s="106">
        <v>808.43</v>
      </c>
      <c r="I19" s="106">
        <v>302.06</v>
      </c>
      <c r="J19" s="106">
        <v>406.25</v>
      </c>
      <c r="K19" s="106">
        <v>418.47</v>
      </c>
      <c r="L19" s="106">
        <v>285.81</v>
      </c>
      <c r="M19" s="106">
        <v>690.53</v>
      </c>
      <c r="N19" s="106">
        <v>646.6</v>
      </c>
      <c r="O19" s="106">
        <v>200.13</v>
      </c>
      <c r="P19" s="106">
        <v>843.63</v>
      </c>
      <c r="Q19" s="106">
        <v>621.98</v>
      </c>
      <c r="R19" s="106">
        <v>190.15</v>
      </c>
      <c r="S19" s="106">
        <v>145.61000000000001</v>
      </c>
      <c r="T19" s="106">
        <v>531.29</v>
      </c>
      <c r="V19" s="100">
        <v>61</v>
      </c>
      <c r="W19" s="100">
        <v>170</v>
      </c>
      <c r="X19" s="100">
        <v>491</v>
      </c>
      <c r="Y19" s="17"/>
    </row>
    <row r="20" spans="1:25" ht="21" customHeight="1" x14ac:dyDescent="0.25">
      <c r="A20" s="8">
        <v>44609</v>
      </c>
      <c r="B20" s="105">
        <v>1.2602</v>
      </c>
      <c r="C20" s="106">
        <v>287.8</v>
      </c>
      <c r="D20" s="106">
        <v>7973713.1100000003</v>
      </c>
      <c r="E20" s="106">
        <v>8828271.0700000003</v>
      </c>
      <c r="F20" s="106">
        <v>2.9685999999999999</v>
      </c>
      <c r="G20" s="106">
        <v>947.16</v>
      </c>
      <c r="H20" s="106">
        <v>809.61</v>
      </c>
      <c r="I20" s="106">
        <v>302.43</v>
      </c>
      <c r="J20" s="106">
        <v>406.85</v>
      </c>
      <c r="K20" s="106">
        <v>418.92</v>
      </c>
      <c r="L20" s="106">
        <v>286.07</v>
      </c>
      <c r="M20" s="106">
        <v>691.28</v>
      </c>
      <c r="N20" s="106">
        <v>647.41999999999996</v>
      </c>
      <c r="O20" s="106">
        <v>200.38</v>
      </c>
      <c r="P20" s="106">
        <v>844.73</v>
      </c>
      <c r="Q20" s="106">
        <v>622.79</v>
      </c>
      <c r="R20" s="106">
        <v>190.15</v>
      </c>
      <c r="S20" s="106">
        <v>145.77000000000001</v>
      </c>
      <c r="T20" s="106">
        <v>531.83000000000004</v>
      </c>
      <c r="V20" s="100">
        <v>63</v>
      </c>
      <c r="W20" s="100">
        <v>177</v>
      </c>
      <c r="X20" s="100">
        <v>506</v>
      </c>
      <c r="Y20" s="17"/>
    </row>
    <row r="21" spans="1:25" ht="21" customHeight="1" x14ac:dyDescent="0.25">
      <c r="A21" s="8">
        <v>44610</v>
      </c>
      <c r="B21" s="105">
        <v>1.2613000000000001</v>
      </c>
      <c r="C21" s="106">
        <v>288.08</v>
      </c>
      <c r="D21" s="106">
        <v>7975755.0099999998</v>
      </c>
      <c r="E21" s="106">
        <v>8830853.5999999996</v>
      </c>
      <c r="F21" s="106">
        <v>2.9710999999999999</v>
      </c>
      <c r="G21" s="106">
        <v>948.15</v>
      </c>
      <c r="H21" s="106">
        <v>810.66</v>
      </c>
      <c r="I21" s="106">
        <v>302.77999999999997</v>
      </c>
      <c r="J21" s="106">
        <v>407.5</v>
      </c>
      <c r="K21" s="106">
        <v>419.39</v>
      </c>
      <c r="L21" s="106">
        <v>286.33999999999997</v>
      </c>
      <c r="M21" s="106">
        <v>691.96</v>
      </c>
      <c r="N21" s="106">
        <v>648.22</v>
      </c>
      <c r="O21" s="106">
        <v>200.6</v>
      </c>
      <c r="P21" s="106">
        <v>845.84</v>
      </c>
      <c r="Q21" s="106">
        <v>623.5</v>
      </c>
      <c r="R21" s="106">
        <v>190.15</v>
      </c>
      <c r="S21" s="106">
        <v>145.93</v>
      </c>
      <c r="T21" s="106">
        <v>532.37</v>
      </c>
      <c r="V21" s="100">
        <v>58</v>
      </c>
      <c r="W21" s="100">
        <v>157</v>
      </c>
      <c r="X21" s="100">
        <v>443</v>
      </c>
      <c r="Y21" s="17"/>
    </row>
    <row r="22" spans="1:25" ht="21" customHeight="1" x14ac:dyDescent="0.25">
      <c r="A22" s="8">
        <v>44611</v>
      </c>
      <c r="B22" s="105">
        <v>1.2624</v>
      </c>
      <c r="C22" s="106">
        <v>288.36</v>
      </c>
      <c r="D22" s="106">
        <v>7978025.5099999998</v>
      </c>
      <c r="E22" s="106">
        <v>8833375.5800000001</v>
      </c>
      <c r="F22" s="106">
        <v>2.9737</v>
      </c>
      <c r="G22" s="106">
        <v>949.16</v>
      </c>
      <c r="H22" s="106">
        <v>811.81</v>
      </c>
      <c r="I22" s="106">
        <v>303.10000000000002</v>
      </c>
      <c r="J22" s="106">
        <v>408.4</v>
      </c>
      <c r="K22" s="106">
        <v>419.92</v>
      </c>
      <c r="L22" s="106">
        <v>286.62</v>
      </c>
      <c r="M22" s="106">
        <v>692.7</v>
      </c>
      <c r="N22" s="106">
        <v>649.09</v>
      </c>
      <c r="O22" s="106">
        <v>200.83</v>
      </c>
      <c r="P22" s="106">
        <v>846.97</v>
      </c>
      <c r="Q22" s="106">
        <v>624.25</v>
      </c>
      <c r="R22" s="110">
        <v>190.15</v>
      </c>
      <c r="S22" s="106">
        <v>146.07</v>
      </c>
      <c r="T22" s="106">
        <v>532.69000000000005</v>
      </c>
      <c r="V22" s="100">
        <v>69</v>
      </c>
      <c r="W22" s="100">
        <v>182</v>
      </c>
      <c r="X22" s="100">
        <v>576</v>
      </c>
      <c r="Y22" s="17"/>
    </row>
    <row r="23" spans="1:25" ht="21" customHeight="1" x14ac:dyDescent="0.25">
      <c r="A23" s="8">
        <v>44612</v>
      </c>
      <c r="B23" s="105">
        <v>1.2636000000000001</v>
      </c>
      <c r="C23" s="106">
        <v>288.62</v>
      </c>
      <c r="D23" s="106">
        <v>7980484.5899999999</v>
      </c>
      <c r="E23" s="106">
        <v>8836456.6400000006</v>
      </c>
      <c r="F23" s="106">
        <v>2.9763999999999999</v>
      </c>
      <c r="G23" s="106">
        <v>950.27</v>
      </c>
      <c r="H23" s="106">
        <v>813.01</v>
      </c>
      <c r="I23" s="106">
        <v>303.45999999999998</v>
      </c>
      <c r="J23" s="106">
        <v>408.94</v>
      </c>
      <c r="K23" s="106">
        <v>420.36</v>
      </c>
      <c r="L23" s="106">
        <v>286.87</v>
      </c>
      <c r="M23" s="106">
        <v>693.42</v>
      </c>
      <c r="N23" s="106">
        <v>650.03</v>
      </c>
      <c r="O23" s="106">
        <v>201.04</v>
      </c>
      <c r="P23" s="106">
        <v>848.2</v>
      </c>
      <c r="Q23" s="106">
        <v>625.05999999999995</v>
      </c>
      <c r="R23" s="106">
        <v>190.15</v>
      </c>
      <c r="S23" s="106">
        <v>146.22</v>
      </c>
      <c r="T23" s="106">
        <v>533.25</v>
      </c>
      <c r="V23" s="100">
        <v>58</v>
      </c>
      <c r="W23" s="100">
        <v>149</v>
      </c>
      <c r="X23" s="100">
        <v>441</v>
      </c>
      <c r="Y23" s="17"/>
    </row>
    <row r="24" spans="1:25" ht="21" customHeight="1" x14ac:dyDescent="0.25">
      <c r="A24" s="8">
        <v>44613</v>
      </c>
      <c r="B24" s="105">
        <v>1.2646999999999999</v>
      </c>
      <c r="C24" s="106">
        <v>288.88</v>
      </c>
      <c r="D24" s="106">
        <v>7982781.5300000003</v>
      </c>
      <c r="E24" s="106">
        <v>8839475.3100000005</v>
      </c>
      <c r="F24" s="106">
        <v>2.9794</v>
      </c>
      <c r="G24" s="106">
        <v>951.3</v>
      </c>
      <c r="H24" s="106">
        <v>814.21</v>
      </c>
      <c r="I24" s="106">
        <v>303.83999999999997</v>
      </c>
      <c r="J24" s="106">
        <v>409.71</v>
      </c>
      <c r="K24" s="106">
        <v>420.89</v>
      </c>
      <c r="L24" s="106">
        <v>287.14999999999998</v>
      </c>
      <c r="M24" s="106">
        <v>694.23</v>
      </c>
      <c r="N24" s="106">
        <v>650.85</v>
      </c>
      <c r="O24" s="106">
        <v>201.29</v>
      </c>
      <c r="P24" s="106">
        <v>849.43</v>
      </c>
      <c r="Q24" s="106">
        <v>625.86</v>
      </c>
      <c r="R24" s="106">
        <v>190.15</v>
      </c>
      <c r="S24" s="106">
        <v>146.38999999999999</v>
      </c>
      <c r="T24" s="106">
        <v>533.80999999999995</v>
      </c>
      <c r="V24" s="100">
        <v>67</v>
      </c>
      <c r="W24" s="100">
        <v>168</v>
      </c>
      <c r="X24" s="100">
        <v>484</v>
      </c>
      <c r="Y24" s="17"/>
    </row>
    <row r="25" spans="1:25" ht="21" customHeight="1" x14ac:dyDescent="0.25">
      <c r="A25" s="8">
        <v>44614</v>
      </c>
      <c r="B25" s="105">
        <v>1.2659</v>
      </c>
      <c r="C25" s="106">
        <v>289.13</v>
      </c>
      <c r="D25" s="106">
        <v>7984534.54</v>
      </c>
      <c r="E25" s="106">
        <v>8842068.7100000009</v>
      </c>
      <c r="F25" s="106">
        <v>2.9820000000000002</v>
      </c>
      <c r="G25" s="106">
        <v>952.23</v>
      </c>
      <c r="H25" s="106">
        <v>815.3</v>
      </c>
      <c r="I25" s="106">
        <v>304.17</v>
      </c>
      <c r="J25" s="106">
        <v>410.37</v>
      </c>
      <c r="K25" s="106">
        <v>421.35</v>
      </c>
      <c r="L25" s="106">
        <v>287.39</v>
      </c>
      <c r="M25" s="106">
        <v>694.92</v>
      </c>
      <c r="N25" s="106">
        <v>651.55999999999995</v>
      </c>
      <c r="O25" s="106">
        <v>201.56</v>
      </c>
      <c r="P25" s="106">
        <v>850.52</v>
      </c>
      <c r="Q25" s="106">
        <v>626.53</v>
      </c>
      <c r="R25" s="106">
        <v>190.15</v>
      </c>
      <c r="S25" s="106">
        <v>146.54</v>
      </c>
      <c r="T25" s="106">
        <v>534.36</v>
      </c>
      <c r="V25" s="100">
        <v>64</v>
      </c>
      <c r="W25" s="100">
        <v>168</v>
      </c>
      <c r="X25" s="100">
        <v>486</v>
      </c>
      <c r="Y25" s="17"/>
    </row>
    <row r="26" spans="1:25" ht="21" customHeight="1" x14ac:dyDescent="0.25">
      <c r="A26" s="8">
        <v>44615</v>
      </c>
      <c r="B26" s="105">
        <v>1.2669999999999999</v>
      </c>
      <c r="C26" s="106">
        <v>289.39</v>
      </c>
      <c r="D26" s="106">
        <v>7986439.96</v>
      </c>
      <c r="E26" s="106">
        <v>8844718.7899999991</v>
      </c>
      <c r="F26" s="106">
        <v>2.9847000000000001</v>
      </c>
      <c r="G26" s="106">
        <v>953.23</v>
      </c>
      <c r="H26" s="106">
        <v>816.42</v>
      </c>
      <c r="I26" s="106">
        <v>304.51</v>
      </c>
      <c r="J26" s="106">
        <v>411</v>
      </c>
      <c r="K26" s="106">
        <v>421.8</v>
      </c>
      <c r="L26" s="106">
        <v>187.64</v>
      </c>
      <c r="M26" s="106">
        <v>695.61</v>
      </c>
      <c r="N26" s="106">
        <v>652.4</v>
      </c>
      <c r="O26" s="106">
        <v>201.77</v>
      </c>
      <c r="P26" s="106">
        <v>851.61</v>
      </c>
      <c r="Q26" s="106">
        <v>627.30999999999995</v>
      </c>
      <c r="R26" s="106">
        <v>190.15</v>
      </c>
      <c r="S26" s="106">
        <v>146.69999999999999</v>
      </c>
      <c r="T26" s="106">
        <v>534.59</v>
      </c>
      <c r="V26" s="100">
        <v>64</v>
      </c>
      <c r="W26" s="100">
        <v>166</v>
      </c>
      <c r="X26" s="100">
        <v>455</v>
      </c>
      <c r="Y26" s="17"/>
    </row>
    <row r="27" spans="1:25" ht="21" customHeight="1" x14ac:dyDescent="0.25">
      <c r="A27" s="8">
        <v>44616</v>
      </c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V27" s="100">
        <v>64</v>
      </c>
      <c r="W27" s="100">
        <v>169</v>
      </c>
      <c r="X27" s="100">
        <v>506</v>
      </c>
      <c r="Y27" s="17"/>
    </row>
    <row r="28" spans="1:25" ht="21" customHeight="1" x14ac:dyDescent="0.25">
      <c r="A28" s="8">
        <v>44617</v>
      </c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V28" s="100"/>
      <c r="W28" s="100"/>
      <c r="X28" s="100"/>
      <c r="Y28" s="17"/>
    </row>
    <row r="29" spans="1:25" ht="21" customHeight="1" x14ac:dyDescent="0.25">
      <c r="A29" s="8">
        <v>44618</v>
      </c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V29" s="100"/>
      <c r="W29" s="100"/>
      <c r="X29" s="100"/>
      <c r="Y29" s="17"/>
    </row>
    <row r="30" spans="1:25" ht="21" customHeight="1" x14ac:dyDescent="0.25">
      <c r="A30" s="8">
        <v>44619</v>
      </c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V30" s="100"/>
      <c r="W30" s="100"/>
      <c r="X30" s="100"/>
      <c r="Y30" s="17"/>
    </row>
    <row r="31" spans="1:25" ht="21" customHeight="1" x14ac:dyDescent="0.25">
      <c r="A31" s="8">
        <v>44620</v>
      </c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V31" s="100"/>
      <c r="W31" s="100"/>
      <c r="X31" s="100"/>
      <c r="Y31" s="17"/>
    </row>
    <row r="32" spans="1:25" ht="21" customHeight="1" x14ac:dyDescent="0.25">
      <c r="A32" s="8">
        <v>44621</v>
      </c>
      <c r="B32" s="103"/>
      <c r="C32" s="103"/>
      <c r="D32" s="103"/>
      <c r="E32" s="111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20"/>
      <c r="T32" s="103"/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2"/>
  <sheetViews>
    <sheetView zoomScaleNormal="10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V35" sqref="V3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8" t="s">
        <v>31</v>
      </c>
      <c r="B2" s="130" t="s">
        <v>32</v>
      </c>
      <c r="C2" s="130" t="s">
        <v>33</v>
      </c>
      <c r="D2" s="130" t="s">
        <v>119</v>
      </c>
      <c r="E2" s="128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29"/>
      <c r="B3" s="131"/>
      <c r="C3" s="131"/>
      <c r="D3" s="131"/>
      <c r="E3" s="129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2">
        <f>'Kwh Reading'!E5-'Kwh Reading'!E4</f>
        <v>-197246.58999999985</v>
      </c>
      <c r="T4" s="2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206748.60000000184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2">
        <f>'Kwh Reading'!E6-'Kwh Reading'!E5</f>
        <v>202605.8200000003</v>
      </c>
      <c r="T5" s="2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-193898.28000000134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2">
        <f>'Kwh Reading'!E7-'Kwh Reading'!E6</f>
        <v>2307.4599999990314</v>
      </c>
      <c r="T6" s="2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-360.00000000001364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2">
        <f>'Kwh Reading'!E8-'Kwh Reading'!E7</f>
        <v>2103.339999999851</v>
      </c>
      <c r="T7" s="2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8708.1400000024896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899.99999999997726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2">
        <f>'Kwh Reading'!E9-'Kwh Reading'!E8</f>
        <v>2316.0500000007451</v>
      </c>
      <c r="T8" s="2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5455.7199999967252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2">
        <f>'Kwh Reading'!E10-'Kwh Reading'!E9</f>
        <v>2429.160000000149</v>
      </c>
      <c r="T9" s="2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21490.000000001601</v>
      </c>
      <c r="C11" s="4">
        <f>('Kwh Reading'!T12-'Kwh Reading'!T11)*1000</f>
        <v>490.00000000000909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409.99999999996817</v>
      </c>
      <c r="G11" s="2">
        <f>('Kwh Reading'!K12-'Kwh Reading'!K11)*1000</f>
        <v>180.00000000000682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110.00000000001364</v>
      </c>
      <c r="K11" s="2">
        <f>('Kwh Reading'!I12-'Kwh Reading'!I11)*1000</f>
        <v>269.99999999998181</v>
      </c>
      <c r="L11" s="2">
        <f>('Kwh Reading'!B12-'Kwh Reading'!B11)*1000000</f>
        <v>1100.000000000101</v>
      </c>
      <c r="M11" s="2">
        <f>('Kwh Reading'!M12-'Kwh Reading'!M11)*1000</f>
        <v>779.99999999997272</v>
      </c>
      <c r="N11" s="2">
        <f>('Kwh Reading'!H12-'Kwh Reading'!H11)*1000</f>
        <v>1210.0000000000364</v>
      </c>
      <c r="O11" s="2">
        <f>('Kwh Reading'!P12-'Kwh Reading'!P11)*1000</f>
        <v>960.00000000003638</v>
      </c>
      <c r="P11" s="2">
        <f>('Kwh Reading'!G12-'Kwh Reading'!G11)*1000</f>
        <v>969.9999999999136</v>
      </c>
      <c r="Q11" s="2">
        <f>('Kwh Reading'!Q12-'Kwh Reading'!Q11)*1000</f>
        <v>769.99999999998181</v>
      </c>
      <c r="R11" s="2">
        <f>('Kwh Reading'!N12-'Kwh Reading'!N11)*1000</f>
        <v>800.00000000006821</v>
      </c>
      <c r="S11" s="33">
        <f>'Kwh Reading'!E12-'Kwh Reading'!E11</f>
        <v>2177.6899999994785</v>
      </c>
      <c r="T11" s="33">
        <f>'Kwh Reading'!D12-'Kwh Reading'!D11</f>
        <v>1710.6100000003353</v>
      </c>
      <c r="U11" s="27">
        <f>('Kwh Reading'!O12-'Kwh Reading'!O11)*1000</f>
        <v>260.00000000001933</v>
      </c>
      <c r="V11" s="16">
        <f t="shared" si="0"/>
        <v>6221.7000000015487</v>
      </c>
    </row>
    <row r="12" spans="1:22" x14ac:dyDescent="0.25">
      <c r="A12" s="3">
        <f>'Kwh Reading'!A12</f>
        <v>44601</v>
      </c>
      <c r="B12" s="26">
        <f>TOTAL!E10</f>
        <v>22419.999999999163</v>
      </c>
      <c r="C12" s="4">
        <f>('Kwh Reading'!T13-'Kwh Reading'!T12)*1000</f>
        <v>539.99999999996362</v>
      </c>
      <c r="D12" s="2">
        <f>('Kwh Reading'!F13-'Kwh Reading'!F12)*1000000</f>
        <v>2599.9999999997135</v>
      </c>
      <c r="E12" s="2">
        <f>('Kwh Reading'!C13-'Kwh Reading'!C12)*1000</f>
        <v>240.00000000000909</v>
      </c>
      <c r="F12" s="2">
        <f>('Kwh Reading'!J13-'Kwh Reading'!J12)*1000</f>
        <v>470.00000000002728</v>
      </c>
      <c r="G12" s="2">
        <f>('Kwh Reading'!K13-'Kwh Reading'!K12)*1000</f>
        <v>389.99999999998636</v>
      </c>
      <c r="H12" s="2">
        <f>('Kwh Reading'!L13-'Kwh Reading'!L12)*1000</f>
        <v>270.00000000003865</v>
      </c>
      <c r="I12" s="2">
        <f>('Kwh Reading'!R13-'Kwh Reading'!R12)*1000</f>
        <v>0</v>
      </c>
      <c r="J12" s="2">
        <f>('Kwh Reading'!S13-'Kwh Reading'!S12)*1000</f>
        <v>149.99999999997726</v>
      </c>
      <c r="K12" s="2">
        <f>('Kwh Reading'!I13-'Kwh Reading'!I12)*1000</f>
        <v>319.99999999999318</v>
      </c>
      <c r="L12" s="2">
        <f>('Kwh Reading'!B13-'Kwh Reading'!B12)*1000000</f>
        <v>1099.9999999998788</v>
      </c>
      <c r="M12" s="2">
        <f>('Kwh Reading'!M13-'Kwh Reading'!M12)*1000</f>
        <v>760.00000000010459</v>
      </c>
      <c r="N12" s="2">
        <f>('Kwh Reading'!H13-'Kwh Reading'!H12)*1000</f>
        <v>1169.9999999999591</v>
      </c>
      <c r="O12" s="2">
        <f>('Kwh Reading'!P13-'Kwh Reading'!P12)*1000</f>
        <v>1009.9999999999909</v>
      </c>
      <c r="P12" s="2">
        <f>('Kwh Reading'!G13-'Kwh Reading'!G12)*1000</f>
        <v>950.00000000004547</v>
      </c>
      <c r="Q12" s="2">
        <f>('Kwh Reading'!Q13-'Kwh Reading'!Q12)*1000</f>
        <v>809.99999999994543</v>
      </c>
      <c r="R12" s="2">
        <f>('Kwh Reading'!N13-'Kwh Reading'!N12)*1000</f>
        <v>789.99999999996362</v>
      </c>
      <c r="S12" s="33">
        <f>'Kwh Reading'!E13-'Kwh Reading'!E12</f>
        <v>2351.5</v>
      </c>
      <c r="T12" s="33">
        <f>'Kwh Reading'!D13-'Kwh Reading'!D12</f>
        <v>1789.1499999994412</v>
      </c>
      <c r="U12" s="27">
        <f>('Kwh Reading'!O13-'Kwh Reading'!O12)*1000</f>
        <v>189.99999999999773</v>
      </c>
      <c r="V12" s="16">
        <f t="shared" ref="V12:V31" si="1">B12-(SUM(C12:U12))</f>
        <v>6519.3500000001259</v>
      </c>
    </row>
    <row r="13" spans="1:22" x14ac:dyDescent="0.25">
      <c r="A13" s="3">
        <f>'Kwh Reading'!A13</f>
        <v>44602</v>
      </c>
      <c r="B13" s="26">
        <f>TOTAL!E11</f>
        <v>24009.99999999908</v>
      </c>
      <c r="C13" s="4">
        <f>('Kwh Reading'!T14-'Kwh Reading'!T13)*1000</f>
        <v>519.99999999998181</v>
      </c>
      <c r="D13" s="2">
        <f>('Kwh Reading'!F14-'Kwh Reading'!F13)*1000000</f>
        <v>2600.0000000001578</v>
      </c>
      <c r="E13" s="2">
        <f>('Kwh Reading'!C14-'Kwh Reading'!C13)*1000</f>
        <v>250</v>
      </c>
      <c r="F13" s="2">
        <f>('Kwh Reading'!J14-'Kwh Reading'!J13)*1000</f>
        <v>420.00000000001592</v>
      </c>
      <c r="G13" s="2">
        <f>('Kwh Reading'!K14-'Kwh Reading'!K13)*1000</f>
        <v>360.00000000001364</v>
      </c>
      <c r="H13" s="2">
        <f>('Kwh Reading'!L14-'Kwh Reading'!L13)*1000</f>
        <v>239.99999999995225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300.00000000001137</v>
      </c>
      <c r="L13" s="2">
        <f>('Kwh Reading'!B14-'Kwh Reading'!B13)*1000000</f>
        <v>1100.000000000101</v>
      </c>
      <c r="M13" s="2">
        <f>('Kwh Reading'!M14-'Kwh Reading'!M13)*1000</f>
        <v>669.99999999995907</v>
      </c>
      <c r="N13" s="2">
        <f>('Kwh Reading'!H14-'Kwh Reading'!H13)*1000</f>
        <v>1009.9999999999909</v>
      </c>
      <c r="O13" s="2">
        <f>('Kwh Reading'!P14-'Kwh Reading'!P13)*1000</f>
        <v>919.99999999995907</v>
      </c>
      <c r="P13" s="2">
        <f>('Kwh Reading'!G14-'Kwh Reading'!G13)*1000</f>
        <v>950.00000000004547</v>
      </c>
      <c r="Q13" s="2">
        <f>('Kwh Reading'!Q14-'Kwh Reading'!Q13)*1000</f>
        <v>759.99999999999091</v>
      </c>
      <c r="R13" s="2">
        <f>('Kwh Reading'!N14-'Kwh Reading'!N13)*1000</f>
        <v>740.00000000000909</v>
      </c>
      <c r="S13" s="33">
        <f>'Kwh Reading'!E14-'Kwh Reading'!E13</f>
        <v>2315.0800000000745</v>
      </c>
      <c r="T13" s="33">
        <f>'Kwh Reading'!D14-'Kwh Reading'!D13</f>
        <v>1688.980000000447</v>
      </c>
      <c r="U13" s="27">
        <f>('Kwh Reading'!O14-'Kwh Reading'!O13)*1000</f>
        <v>180.00000000000682</v>
      </c>
      <c r="V13" s="16">
        <f t="shared" si="1"/>
        <v>8845.9399999983489</v>
      </c>
    </row>
    <row r="14" spans="1:22" x14ac:dyDescent="0.25">
      <c r="A14" s="3">
        <f>'Kwh Reading'!A14</f>
        <v>44603</v>
      </c>
      <c r="B14" s="26">
        <f>TOTAL!E12</f>
        <v>20460.000000000036</v>
      </c>
      <c r="C14" s="4">
        <f>('Kwh Reading'!T15-'Kwh Reading'!T14)*1000</f>
        <v>299.99999999995453</v>
      </c>
      <c r="D14" s="2">
        <f>('Kwh Reading'!F15-'Kwh Reading'!F14)*1000000</f>
        <v>2599.9999999997135</v>
      </c>
      <c r="E14" s="2">
        <f>('Kwh Reading'!C15-'Kwh Reading'!C14)*1000</f>
        <v>230.00000000001819</v>
      </c>
      <c r="F14" s="2">
        <f>('Kwh Reading'!J15-'Kwh Reading'!J14)*1000</f>
        <v>429.99999999994998</v>
      </c>
      <c r="G14" s="2">
        <f>('Kwh Reading'!K15-'Kwh Reading'!K14)*1000</f>
        <v>279.99999999997272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339.99999999997499</v>
      </c>
      <c r="L14" s="2">
        <f>('Kwh Reading'!B15-'Kwh Reading'!B14)*1000000</f>
        <v>1099.9999999998788</v>
      </c>
      <c r="M14" s="2">
        <f>('Kwh Reading'!M15-'Kwh Reading'!M14)*1000</f>
        <v>620.00000000000455</v>
      </c>
      <c r="N14" s="2">
        <f>('Kwh Reading'!H15-'Kwh Reading'!H14)*1000</f>
        <v>1149.9999999999773</v>
      </c>
      <c r="O14" s="2">
        <f>('Kwh Reading'!P15-'Kwh Reading'!P14)*1000</f>
        <v>970.00000000002728</v>
      </c>
      <c r="P14" s="2">
        <f>('Kwh Reading'!G15-'Kwh Reading'!G14)*1000</f>
        <v>949.99999999993179</v>
      </c>
      <c r="Q14" s="2">
        <f>('Kwh Reading'!Q15-'Kwh Reading'!Q14)*1000</f>
        <v>769.99999999998181</v>
      </c>
      <c r="R14" s="2">
        <f>('Kwh Reading'!N15-'Kwh Reading'!N14)*1000</f>
        <v>779.99999999997272</v>
      </c>
      <c r="S14" s="33">
        <f>'Kwh Reading'!E15-'Kwh Reading'!E14</f>
        <v>2215.3799999989569</v>
      </c>
      <c r="T14" s="33">
        <f>'Kwh Reading'!D15-'Kwh Reading'!D14</f>
        <v>1715.5</v>
      </c>
      <c r="U14" s="27">
        <f>('Kwh Reading'!O15-'Kwh Reading'!O14)*1000</f>
        <v>209.99999999997954</v>
      </c>
      <c r="V14" s="16">
        <f t="shared" si="1"/>
        <v>5419.1200000017197</v>
      </c>
    </row>
    <row r="15" spans="1:22" x14ac:dyDescent="0.25">
      <c r="A15" s="3">
        <f>'Kwh Reading'!A15</f>
        <v>44604</v>
      </c>
      <c r="B15" s="26">
        <f>TOTAL!E13</f>
        <v>21459.999999999582</v>
      </c>
      <c r="C15" s="4">
        <f>('Kwh Reading'!T16-'Kwh Reading'!T15)*1000</f>
        <v>540.00000000007731</v>
      </c>
      <c r="D15" s="2">
        <f>('Kwh Reading'!F16-'Kwh Reading'!F15)*1000000</f>
        <v>2600.0000000001578</v>
      </c>
      <c r="E15" s="2">
        <f>('Kwh Reading'!C16-'Kwh Reading'!C15)*1000</f>
        <v>250</v>
      </c>
      <c r="F15" s="2">
        <f>('Kwh Reading'!J16-'Kwh Reading'!J15)*1000</f>
        <v>410.00000000002501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0</v>
      </c>
      <c r="J15" s="2">
        <f>('Kwh Reading'!S16-'Kwh Reading'!S15)*1000</f>
        <v>149.99999999997726</v>
      </c>
      <c r="K15" s="2">
        <f>('Kwh Reading'!I16-'Kwh Reading'!I15)*1000</f>
        <v>330.00000000004093</v>
      </c>
      <c r="L15" s="2">
        <f>('Kwh Reading'!B16-'Kwh Reading'!B15)*1000000</f>
        <v>1100.000000000101</v>
      </c>
      <c r="M15" s="2">
        <f>('Kwh Reading'!M16-'Kwh Reading'!M15)*1000</f>
        <v>610.00000000001364</v>
      </c>
      <c r="N15" s="2">
        <f>('Kwh Reading'!H16-'Kwh Reading'!H15)*1000</f>
        <v>1050.0000000000682</v>
      </c>
      <c r="O15" s="2">
        <f>('Kwh Reading'!P16-'Kwh Reading'!P15)*1000</f>
        <v>990.00000000000909</v>
      </c>
      <c r="P15" s="2">
        <f>('Kwh Reading'!G16-'Kwh Reading'!G15)*1000</f>
        <v>990.00000000000909</v>
      </c>
      <c r="Q15" s="2">
        <f>('Kwh Reading'!Q16-'Kwh Reading'!Q15)*1000</f>
        <v>740.00000000000909</v>
      </c>
      <c r="R15" s="2">
        <f>('Kwh Reading'!N16-'Kwh Reading'!N15)*1000</f>
        <v>840.00000000003183</v>
      </c>
      <c r="S15" s="33">
        <f>'Kwh Reading'!E16-'Kwh Reading'!E15</f>
        <v>2561.9400000013411</v>
      </c>
      <c r="T15" s="33">
        <f>'Kwh Reading'!D16-'Kwh Reading'!D15</f>
        <v>1698.320000000298</v>
      </c>
      <c r="U15" s="27">
        <f>('Kwh Reading'!O16-'Kwh Reading'!O15)*1000</f>
        <v>180.00000000000682</v>
      </c>
      <c r="V15" s="16">
        <f t="shared" si="1"/>
        <v>5859.7399999973568</v>
      </c>
    </row>
    <row r="16" spans="1:22" x14ac:dyDescent="0.25">
      <c r="A16" s="3">
        <f>'Kwh Reading'!A16</f>
        <v>44605</v>
      </c>
      <c r="B16" s="26">
        <f>TOTAL!E14</f>
        <v>22780.000000001339</v>
      </c>
      <c r="C16" s="4">
        <f>('Kwh Reading'!T17-'Kwh Reading'!T16)*1000</f>
        <v>559.99999999994543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379.99999999999545</v>
      </c>
      <c r="G16" s="2">
        <f>('Kwh Reading'!K17-'Kwh Reading'!K16)*1000</f>
        <v>329.99999999998408</v>
      </c>
      <c r="H16" s="2">
        <f>('Kwh Reading'!L17-'Kwh Reading'!L16)*1000</f>
        <v>189.99999999999773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339.99999999997499</v>
      </c>
      <c r="L16" s="2">
        <f>('Kwh Reading'!B17-'Kwh Reading'!B16)*1000000</f>
        <v>1099.9999999998788</v>
      </c>
      <c r="M16" s="2">
        <f>('Kwh Reading'!M17-'Kwh Reading'!M16)*1000</f>
        <v>699.99999999993179</v>
      </c>
      <c r="N16" s="2">
        <f>('Kwh Reading'!H17-'Kwh Reading'!H16)*1000</f>
        <v>1079.9999999999272</v>
      </c>
      <c r="O16" s="2">
        <f>('Kwh Reading'!P17-'Kwh Reading'!P16)*1000</f>
        <v>990.00000000000909</v>
      </c>
      <c r="P16" s="2">
        <f>('Kwh Reading'!G17-'Kwh Reading'!G16)*1000</f>
        <v>1000</v>
      </c>
      <c r="Q16" s="2">
        <f>('Kwh Reading'!Q17-'Kwh Reading'!Q16)*1000</f>
        <v>710.00000000003638</v>
      </c>
      <c r="R16" s="2">
        <f>('Kwh Reading'!N17-'Kwh Reading'!N16)*1000</f>
        <v>840.00000000003183</v>
      </c>
      <c r="S16" s="33">
        <f>'Kwh Reading'!E17-'Kwh Reading'!E16</f>
        <v>2814.0499999988824</v>
      </c>
      <c r="T16" s="33">
        <f>'Kwh Reading'!D17-'Kwh Reading'!D16</f>
        <v>1911.929999999702</v>
      </c>
      <c r="U16" s="27">
        <f>('Kwh Reading'!O17-'Kwh Reading'!O16)*1000</f>
        <v>219.99999999999886</v>
      </c>
      <c r="V16" s="16">
        <f t="shared" si="1"/>
        <v>6624.0200000028726</v>
      </c>
    </row>
    <row r="17" spans="1:22" x14ac:dyDescent="0.25">
      <c r="A17" s="3">
        <f>'Kwh Reading'!A17</f>
        <v>44606</v>
      </c>
      <c r="B17" s="26">
        <f>TOTAL!E15</f>
        <v>23590.000000000146</v>
      </c>
      <c r="C17" s="4">
        <f>('Kwh Reading'!T18-'Kwh Reading'!T17)*1000</f>
        <v>600.00000000002274</v>
      </c>
      <c r="D17" s="2">
        <f>('Kwh Reading'!F18-'Kwh Reading'!F17)*1000000</f>
        <v>2599.9999999997135</v>
      </c>
      <c r="E17" s="2">
        <f>('Kwh Reading'!C18-'Kwh Reading'!C17)*1000</f>
        <v>239.99999999995225</v>
      </c>
      <c r="F17" s="2">
        <f>('Kwh Reading'!J18-'Kwh Reading'!J17)*1000</f>
        <v>420.00000000001592</v>
      </c>
      <c r="G17" s="2">
        <f>('Kwh Reading'!K18-'Kwh Reading'!K17)*1000</f>
        <v>349.99999999996589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140.00000000001478</v>
      </c>
      <c r="K17" s="2">
        <f>('Kwh Reading'!I18-'Kwh Reading'!I17)*1000</f>
        <v>379.99999999999545</v>
      </c>
      <c r="L17" s="2">
        <f>('Kwh Reading'!B18-'Kwh Reading'!B17)*1000000</f>
        <v>1100.000000000101</v>
      </c>
      <c r="M17" s="2">
        <f>('Kwh Reading'!M18-'Kwh Reading'!M17)*1000</f>
        <v>820.00000000005002</v>
      </c>
      <c r="N17" s="2">
        <f>('Kwh Reading'!H18-'Kwh Reading'!H17)*1000</f>
        <v>1120.0000000000045</v>
      </c>
      <c r="O17" s="2">
        <f>('Kwh Reading'!P18-'Kwh Reading'!P17)*1000</f>
        <v>1090.0000000000318</v>
      </c>
      <c r="P17" s="2">
        <f>('Kwh Reading'!G18-'Kwh Reading'!G17)*1000</f>
        <v>1029.9999999999727</v>
      </c>
      <c r="Q17" s="2">
        <f>('Kwh Reading'!Q18-'Kwh Reading'!Q17)*1000</f>
        <v>690.00000000005457</v>
      </c>
      <c r="R17" s="2">
        <f>('Kwh Reading'!N18-'Kwh Reading'!N17)*1000</f>
        <v>809.99999999994543</v>
      </c>
      <c r="S17" s="33">
        <f>'Kwh Reading'!E18-'Kwh Reading'!E17</f>
        <v>3000.8100000005215</v>
      </c>
      <c r="T17" s="33">
        <f>'Kwh Reading'!D18-'Kwh Reading'!D17</f>
        <v>2031.070000000298</v>
      </c>
      <c r="U17" s="27">
        <f>('Kwh Reading'!O18-'Kwh Reading'!O17)*1000</f>
        <v>219.99999999999886</v>
      </c>
      <c r="V17" s="16">
        <f t="shared" si="1"/>
        <v>6728.1199999995151</v>
      </c>
    </row>
    <row r="18" spans="1:22" x14ac:dyDescent="0.25">
      <c r="A18" s="3">
        <f>'Kwh Reading'!A18</f>
        <v>44607</v>
      </c>
      <c r="B18" s="26">
        <f>TOTAL!E16</f>
        <v>23419.999999999389</v>
      </c>
      <c r="C18" s="4">
        <f>('Kwh Reading'!T19-'Kwh Reading'!T18)*1000</f>
        <v>539.99999999996362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449.99999999998863</v>
      </c>
      <c r="G18" s="2">
        <f>('Kwh Reading'!K19-'Kwh Reading'!K18)*1000</f>
        <v>380.0000000000523</v>
      </c>
      <c r="H18" s="2">
        <f>('Kwh Reading'!L19-'Kwh Reading'!L18)*1000</f>
        <v>240.00000000000909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360.00000000001364</v>
      </c>
      <c r="L18" s="2">
        <f>('Kwh Reading'!B19-'Kwh Reading'!B18)*1000000</f>
        <v>1099.9999999998788</v>
      </c>
      <c r="M18" s="2">
        <f>('Kwh Reading'!M19-'Kwh Reading'!M18)*1000</f>
        <v>789.99999999996362</v>
      </c>
      <c r="N18" s="2">
        <f>('Kwh Reading'!H19-'Kwh Reading'!H18)*1000</f>
        <v>1149.9999999999773</v>
      </c>
      <c r="O18" s="2">
        <f>('Kwh Reading'!P19-'Kwh Reading'!P18)*1000</f>
        <v>1169.9999999999591</v>
      </c>
      <c r="P18" s="2">
        <f>('Kwh Reading'!G19-'Kwh Reading'!G18)*1000</f>
        <v>1010.0000000001046</v>
      </c>
      <c r="Q18" s="2">
        <f>('Kwh Reading'!Q19-'Kwh Reading'!Q18)*1000</f>
        <v>789.99999999996362</v>
      </c>
      <c r="R18" s="2">
        <f>('Kwh Reading'!N19-'Kwh Reading'!N18)*1000</f>
        <v>840.00000000003183</v>
      </c>
      <c r="S18" s="33">
        <f>'Kwh Reading'!E19-'Kwh Reading'!E18</f>
        <v>2730.0400000009686</v>
      </c>
      <c r="T18" s="33">
        <f>'Kwh Reading'!D19-'Kwh Reading'!D18</f>
        <v>1903.1200000001118</v>
      </c>
      <c r="U18" s="27">
        <f>('Kwh Reading'!O19-'Kwh Reading'!O18)*1000</f>
        <v>250</v>
      </c>
      <c r="V18" s="16">
        <f t="shared" si="1"/>
        <v>6716.8399999982394</v>
      </c>
    </row>
    <row r="19" spans="1:22" x14ac:dyDescent="0.25">
      <c r="A19" s="3">
        <f>'Kwh Reading'!A19</f>
        <v>44608</v>
      </c>
      <c r="B19" s="26">
        <f>TOTAL!E17</f>
        <v>23739.999999999327</v>
      </c>
      <c r="C19" s="4">
        <f>('Kwh Reading'!T20-'Kwh Reading'!T19)*1000</f>
        <v>540.00000000007731</v>
      </c>
      <c r="D19" s="2">
        <f>('Kwh Reading'!F20-'Kwh Reading'!F19)*1000000</f>
        <v>2699.9999999999245</v>
      </c>
      <c r="E19" s="2">
        <f>('Kwh Reading'!C20-'Kwh Reading'!C19)*1000</f>
        <v>270.00000000003865</v>
      </c>
      <c r="F19" s="2">
        <f>('Kwh Reading'!J20-'Kwh Reading'!J19)*1000</f>
        <v>600.00000000002274</v>
      </c>
      <c r="G19" s="2">
        <f>('Kwh Reading'!K20-'Kwh Reading'!K19)*1000</f>
        <v>449.99999999998863</v>
      </c>
      <c r="H19" s="2">
        <f>('Kwh Reading'!L20-'Kwh Reading'!L19)*1000</f>
        <v>259.99999999999091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370.00000000000455</v>
      </c>
      <c r="L19" s="2">
        <f>('Kwh Reading'!B20-'Kwh Reading'!B19)*1000000</f>
        <v>1200.0000000000898</v>
      </c>
      <c r="M19" s="2">
        <f>('Kwh Reading'!M20-'Kwh Reading'!M19)*1000</f>
        <v>750</v>
      </c>
      <c r="N19" s="2">
        <f>('Kwh Reading'!H20-'Kwh Reading'!H19)*1000</f>
        <v>1180.0000000000637</v>
      </c>
      <c r="O19" s="2">
        <f>('Kwh Reading'!P20-'Kwh Reading'!P19)*1000</f>
        <v>1100.0000000000227</v>
      </c>
      <c r="P19" s="2">
        <f>('Kwh Reading'!G20-'Kwh Reading'!G19)*1000</f>
        <v>969.9999999999136</v>
      </c>
      <c r="Q19" s="2">
        <f>('Kwh Reading'!Q20-'Kwh Reading'!Q19)*1000</f>
        <v>809.99999999994543</v>
      </c>
      <c r="R19" s="2">
        <f>('Kwh Reading'!N20-'Kwh Reading'!N19)*1000</f>
        <v>819.99999999993634</v>
      </c>
      <c r="S19" s="33">
        <f>'Kwh Reading'!E20-'Kwh Reading'!E19</f>
        <v>2706.609999999404</v>
      </c>
      <c r="T19" s="33">
        <f>'Kwh Reading'!D20-'Kwh Reading'!D19</f>
        <v>1891.4199999999255</v>
      </c>
      <c r="U19" s="27">
        <f>('Kwh Reading'!O20-'Kwh Reading'!O19)*1000</f>
        <v>250</v>
      </c>
      <c r="V19" s="16">
        <f t="shared" si="1"/>
        <v>6711.969999999983</v>
      </c>
    </row>
    <row r="20" spans="1:22" x14ac:dyDescent="0.25">
      <c r="A20" s="3">
        <f>'Kwh Reading'!A20</f>
        <v>44609</v>
      </c>
      <c r="B20" s="26">
        <f>TOTAL!E18</f>
        <v>23889.999999999643</v>
      </c>
      <c r="C20" s="4">
        <f>('Kwh Reading'!T21-'Kwh Reading'!T20)*1000</f>
        <v>539.99999999996362</v>
      </c>
      <c r="D20" s="2">
        <f>('Kwh Reading'!F21-'Kwh Reading'!F20)*1000000</f>
        <v>2499.9999999999468</v>
      </c>
      <c r="E20" s="2">
        <f>('Kwh Reading'!C21-'Kwh Reading'!C20)*1000</f>
        <v>279.99999999997272</v>
      </c>
      <c r="F20" s="2">
        <f>('Kwh Reading'!J21-'Kwh Reading'!J20)*1000</f>
        <v>649.99999999997726</v>
      </c>
      <c r="G20" s="2">
        <f>('Kwh Reading'!K21-'Kwh Reading'!K20)*1000</f>
        <v>469.99999999997044</v>
      </c>
      <c r="H20" s="2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349.99999999996589</v>
      </c>
      <c r="L20" s="2">
        <f>('Kwh Reading'!B21-'Kwh Reading'!B20)*1000000</f>
        <v>1100.000000000101</v>
      </c>
      <c r="M20" s="2">
        <f>('Kwh Reading'!M21-'Kwh Reading'!M20)*1000</f>
        <v>680.00000000006366</v>
      </c>
      <c r="N20" s="2">
        <f>('Kwh Reading'!H21-'Kwh Reading'!H20)*1000</f>
        <v>1049.9999999999545</v>
      </c>
      <c r="O20" s="2">
        <f>('Kwh Reading'!P21-'Kwh Reading'!P20)*1000</f>
        <v>1110.0000000000136</v>
      </c>
      <c r="P20" s="2">
        <f>('Kwh Reading'!G21-'Kwh Reading'!G20)*1000</f>
        <v>990.00000000000909</v>
      </c>
      <c r="Q20" s="2">
        <f>('Kwh Reading'!Q21-'Kwh Reading'!Q20)*1000</f>
        <v>710.00000000003638</v>
      </c>
      <c r="R20" s="2">
        <f>('Kwh Reading'!N21-'Kwh Reading'!N20)*1000</f>
        <v>800.00000000006821</v>
      </c>
      <c r="S20" s="33">
        <f>'Kwh Reading'!E21-'Kwh Reading'!E20</f>
        <v>2582.5299999993294</v>
      </c>
      <c r="T20" s="33">
        <f>'Kwh Reading'!D21-'Kwh Reading'!D20</f>
        <v>2041.8999999994412</v>
      </c>
      <c r="U20" s="27">
        <f>('Kwh Reading'!O21-'Kwh Reading'!O20)*1000</f>
        <v>219.99999999999886</v>
      </c>
      <c r="V20" s="16">
        <f t="shared" si="1"/>
        <v>7385.570000000851</v>
      </c>
    </row>
    <row r="21" spans="1:22" ht="16.5" customHeight="1" x14ac:dyDescent="0.25">
      <c r="A21" s="3">
        <f>'Kwh Reading'!A21</f>
        <v>44610</v>
      </c>
      <c r="B21" s="26">
        <f>TOTAL!E19</f>
        <v>24410.000000002128</v>
      </c>
      <c r="C21" s="4">
        <f>('Kwh Reading'!T22-'Kwh Reading'!T21)*1000</f>
        <v>320.00000000005002</v>
      </c>
      <c r="D21" s="2">
        <f>('Kwh Reading'!F22-'Kwh Reading'!F21)*1000000</f>
        <v>2600.0000000001578</v>
      </c>
      <c r="E21" s="2">
        <f>('Kwh Reading'!C22-'Kwh Reading'!C21)*1000</f>
        <v>280.00000000002956</v>
      </c>
      <c r="F21" s="2">
        <f>('Kwh Reading'!J22-'Kwh Reading'!J21)*1000</f>
        <v>899.99999999997726</v>
      </c>
      <c r="G21" s="2">
        <f>('Kwh Reading'!K22-'Kwh Reading'!K21)*1000</f>
        <v>530.00000000002956</v>
      </c>
      <c r="H21" s="2">
        <f>('Kwh Reading'!L22-'Kwh Reading'!L21)*1000</f>
        <v>280.00000000002956</v>
      </c>
      <c r="I21" s="2">
        <f>('Kwh Reading'!R22-'Kwh Reading'!R21)*1000</f>
        <v>0</v>
      </c>
      <c r="J21" s="2">
        <f>('Kwh Reading'!S22-'Kwh Reading'!S21)*1000</f>
        <v>139.99999999998636</v>
      </c>
      <c r="K21" s="2">
        <f>('Kwh Reading'!I22-'Kwh Reading'!I21)*1000</f>
        <v>320.00000000005002</v>
      </c>
      <c r="L21" s="2">
        <f>('Kwh Reading'!B22-'Kwh Reading'!B21)*1000000</f>
        <v>1099.9999999998788</v>
      </c>
      <c r="M21" s="2">
        <f>('Kwh Reading'!M22-'Kwh Reading'!M21)*1000</f>
        <v>740.00000000000909</v>
      </c>
      <c r="N21" s="2">
        <f>('Kwh Reading'!H22-'Kwh Reading'!H21)*1000</f>
        <v>1149.9999999999773</v>
      </c>
      <c r="O21" s="2">
        <f>('Kwh Reading'!P22-'Kwh Reading'!P21)*1000</f>
        <v>1129.9999999999955</v>
      </c>
      <c r="P21" s="2">
        <f>('Kwh Reading'!G22-'Kwh Reading'!G21)*1000</f>
        <v>1009.9999999999909</v>
      </c>
      <c r="Q21" s="2">
        <f>('Kwh Reading'!Q22-'Kwh Reading'!Q21)*1000</f>
        <v>750</v>
      </c>
      <c r="R21" s="2">
        <f>('Kwh Reading'!N22-'Kwh Reading'!N21)*1000</f>
        <v>870.00000000000455</v>
      </c>
      <c r="S21" s="33">
        <f>'Kwh Reading'!E22-'Kwh Reading'!E21</f>
        <v>2521.980000000447</v>
      </c>
      <c r="T21" s="33">
        <f>'Kwh Reading'!D22-'Kwh Reading'!D21</f>
        <v>2270.5</v>
      </c>
      <c r="U21" s="27">
        <f>('Kwh Reading'!O22-'Kwh Reading'!O21)*1000</f>
        <v>230.00000000001819</v>
      </c>
      <c r="V21" s="16">
        <f t="shared" si="1"/>
        <v>7267.5200000014956</v>
      </c>
    </row>
    <row r="22" spans="1:22" x14ac:dyDescent="0.25">
      <c r="A22" s="3">
        <f>'Kwh Reading'!A22</f>
        <v>44611</v>
      </c>
      <c r="B22" s="26">
        <f>TOTAL!E20</f>
        <v>24759.999999998174</v>
      </c>
      <c r="C22" s="4">
        <f>('Kwh Reading'!T23-'Kwh Reading'!T22)*1000</f>
        <v>559.99999999994543</v>
      </c>
      <c r="D22" s="2">
        <f>('Kwh Reading'!F23-'Kwh Reading'!F22)*1000000</f>
        <v>2699.9999999999245</v>
      </c>
      <c r="E22" s="2">
        <f>('Kwh Reading'!C23-'Kwh Reading'!C22)*1000</f>
        <v>259.99999999999091</v>
      </c>
      <c r="F22" s="2">
        <f>('Kwh Reading'!J23-'Kwh Reading'!J22)*1000</f>
        <v>540.00000000002046</v>
      </c>
      <c r="G22" s="2">
        <f>('Kwh Reading'!K23-'Kwh Reading'!K22)*1000</f>
        <v>439.99999999999773</v>
      </c>
      <c r="H22" s="2">
        <f>('Kwh Reading'!L23-'Kwh Reading'!L22)*1000</f>
        <v>250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359.9999999999568</v>
      </c>
      <c r="L22" s="2">
        <f>('Kwh Reading'!B23-'Kwh Reading'!B22)*1000000</f>
        <v>1200.0000000000898</v>
      </c>
      <c r="M22" s="2">
        <f>('Kwh Reading'!M23-'Kwh Reading'!M22)*1000</f>
        <v>719.9999999999136</v>
      </c>
      <c r="N22" s="2">
        <f>('Kwh Reading'!H23-'Kwh Reading'!H22)*1000</f>
        <v>1200.0000000000455</v>
      </c>
      <c r="O22" s="2">
        <f>('Kwh Reading'!P23-'Kwh Reading'!P22)*1000</f>
        <v>1230.0000000000182</v>
      </c>
      <c r="P22" s="2">
        <f>('Kwh Reading'!G23-'Kwh Reading'!G22)*1000</f>
        <v>1110.0000000000136</v>
      </c>
      <c r="Q22" s="2">
        <f>('Kwh Reading'!Q23-'Kwh Reading'!Q22)*1000</f>
        <v>809.99999999994543</v>
      </c>
      <c r="R22" s="2">
        <f>('Kwh Reading'!N23-'Kwh Reading'!N22)*1000</f>
        <v>939.99999999994088</v>
      </c>
      <c r="S22" s="33">
        <f>'Kwh Reading'!E23-'Kwh Reading'!E22</f>
        <v>3081.0600000005215</v>
      </c>
      <c r="T22" s="33">
        <f>'Kwh Reading'!D23-'Kwh Reading'!D22</f>
        <v>2459.0800000000745</v>
      </c>
      <c r="U22" s="27">
        <f>('Kwh Reading'!O23-'Kwh Reading'!O22)*1000</f>
        <v>209.99999999997954</v>
      </c>
      <c r="V22" s="16">
        <f t="shared" si="1"/>
        <v>6539.8599999977887</v>
      </c>
    </row>
    <row r="23" spans="1:22" x14ac:dyDescent="0.25">
      <c r="A23" s="3">
        <f>'Kwh Reading'!A23</f>
        <v>44612</v>
      </c>
      <c r="B23" s="26">
        <f>TOTAL!E21</f>
        <v>24710.000000002081</v>
      </c>
      <c r="C23" s="4">
        <f>('Kwh Reading'!T24-'Kwh Reading'!T23)*1000</f>
        <v>559.99999999994543</v>
      </c>
      <c r="D23" s="2">
        <f>('Kwh Reading'!F24-'Kwh Reading'!F23)*1000000</f>
        <v>3000.0000000001137</v>
      </c>
      <c r="E23" s="2">
        <f>('Kwh Reading'!C24-'Kwh Reading'!C23)*1000</f>
        <v>259.99999999999091</v>
      </c>
      <c r="F23" s="2">
        <f>('Kwh Reading'!J24-'Kwh Reading'!J23)*1000</f>
        <v>769.99999999998181</v>
      </c>
      <c r="G23" s="2">
        <f>('Kwh Reading'!K24-'Kwh Reading'!K23)*1000</f>
        <v>529.99999999997272</v>
      </c>
      <c r="H23" s="2">
        <f>('Kwh Reading'!L24-'Kwh Reading'!L23)*1000</f>
        <v>279.99999999997272</v>
      </c>
      <c r="I23" s="2">
        <f>('Kwh Reading'!R24-'Kwh Reading'!R23)*1000</f>
        <v>0</v>
      </c>
      <c r="J23" s="2">
        <f>('Kwh Reading'!S24-'Kwh Reading'!S23)*1000</f>
        <v>169.99999999998749</v>
      </c>
      <c r="K23" s="2">
        <f>('Kwh Reading'!I24-'Kwh Reading'!I23)*1000</f>
        <v>379.99999999999545</v>
      </c>
      <c r="L23" s="2">
        <f>('Kwh Reading'!B24-'Kwh Reading'!B23)*1000000</f>
        <v>1099.9999999998788</v>
      </c>
      <c r="M23" s="2">
        <f>('Kwh Reading'!M24-'Kwh Reading'!M23)*1000</f>
        <v>810.00000000005912</v>
      </c>
      <c r="N23" s="2">
        <f>('Kwh Reading'!H24-'Kwh Reading'!H23)*1000</f>
        <v>1200.0000000000455</v>
      </c>
      <c r="O23" s="2">
        <f>('Kwh Reading'!P24-'Kwh Reading'!P23)*1000</f>
        <v>1229.9999999999045</v>
      </c>
      <c r="P23" s="2">
        <f>('Kwh Reading'!G24-'Kwh Reading'!G23)*1000</f>
        <v>1029.9999999999727</v>
      </c>
      <c r="Q23" s="2">
        <f>('Kwh Reading'!Q24-'Kwh Reading'!Q23)*1000</f>
        <v>800.00000000006821</v>
      </c>
      <c r="R23" s="2">
        <f>('Kwh Reading'!N24-'Kwh Reading'!N23)*1000</f>
        <v>820.00000000005002</v>
      </c>
      <c r="S23" s="33">
        <f>'Kwh Reading'!E24-'Kwh Reading'!E23</f>
        <v>3018.6699999999255</v>
      </c>
      <c r="T23" s="33">
        <f>'Kwh Reading'!D24-'Kwh Reading'!D23</f>
        <v>2296.9400000004098</v>
      </c>
      <c r="U23" s="27">
        <f>('Kwh Reading'!O24-'Kwh Reading'!O23)*1000</f>
        <v>250</v>
      </c>
      <c r="V23" s="16">
        <f t="shared" si="1"/>
        <v>6204.3900000018075</v>
      </c>
    </row>
    <row r="24" spans="1:22" x14ac:dyDescent="0.25">
      <c r="A24" s="3">
        <f>'Kwh Reading'!A24</f>
        <v>44613</v>
      </c>
      <c r="B24" s="26">
        <f>TOTAL!E22</f>
        <v>23229.999999998654</v>
      </c>
      <c r="C24" s="4">
        <f>('Kwh Reading'!T25-'Kwh Reading'!T24)*1000</f>
        <v>550.00000000006821</v>
      </c>
      <c r="D24" s="2">
        <f>('Kwh Reading'!F25-'Kwh Reading'!F24)*1000000</f>
        <v>2600.0000000001578</v>
      </c>
      <c r="E24" s="2">
        <f>('Kwh Reading'!C25-'Kwh Reading'!C24)*1000</f>
        <v>250</v>
      </c>
      <c r="F24" s="2">
        <f>('Kwh Reading'!J25-'Kwh Reading'!J24)*1000</f>
        <v>660.00000000002501</v>
      </c>
      <c r="G24" s="2">
        <f>('Kwh Reading'!K25-'Kwh Reading'!K24)*1000</f>
        <v>460.00000000003638</v>
      </c>
      <c r="H24" s="2">
        <f>('Kwh Reading'!L25-'Kwh Reading'!L24)*1000</f>
        <v>240.00000000000909</v>
      </c>
      <c r="I24" s="2">
        <f>('Kwh Reading'!R25-'Kwh Reading'!R24)*1000</f>
        <v>0</v>
      </c>
      <c r="J24" s="2">
        <f>('Kwh Reading'!S25-'Kwh Reading'!S24)*1000</f>
        <v>150.00000000000568</v>
      </c>
      <c r="K24" s="2">
        <f>('Kwh Reading'!I25-'Kwh Reading'!I24)*1000</f>
        <v>330.00000000004093</v>
      </c>
      <c r="L24" s="2">
        <f>('Kwh Reading'!B25-'Kwh Reading'!B24)*1000000</f>
        <v>1200.0000000000898</v>
      </c>
      <c r="M24" s="2">
        <f>('Kwh Reading'!M25-'Kwh Reading'!M24)*1000</f>
        <v>689.99999999994088</v>
      </c>
      <c r="N24" s="2">
        <f>('Kwh Reading'!H25-'Kwh Reading'!H24)*1000</f>
        <v>1089.9999999999181</v>
      </c>
      <c r="O24" s="2">
        <f>('Kwh Reading'!P25-'Kwh Reading'!P24)*1000</f>
        <v>1090.0000000000318</v>
      </c>
      <c r="P24" s="2">
        <f>('Kwh Reading'!G25-'Kwh Reading'!G24)*1000</f>
        <v>930.00000000006366</v>
      </c>
      <c r="Q24" s="2">
        <f>('Kwh Reading'!Q25-'Kwh Reading'!Q24)*1000</f>
        <v>669.99999999995907</v>
      </c>
      <c r="R24" s="2">
        <f>('Kwh Reading'!N25-'Kwh Reading'!N24)*1000</f>
        <v>709.99999999992269</v>
      </c>
      <c r="S24" s="2">
        <f>'Kwh Reading'!E25-'Kwh Reading'!E24</f>
        <v>2593.4000000003725</v>
      </c>
      <c r="T24" s="2">
        <f>'Kwh Reading'!D25-'Kwh Reading'!D24</f>
        <v>1753.0099999997765</v>
      </c>
      <c r="U24" s="27">
        <f>('Kwh Reading'!O25-'Kwh Reading'!O24)*1000</f>
        <v>270.00000000001023</v>
      </c>
      <c r="V24" s="16">
        <f t="shared" si="1"/>
        <v>6993.5899999982248</v>
      </c>
    </row>
    <row r="25" spans="1:22" x14ac:dyDescent="0.25">
      <c r="A25" s="3">
        <f>'Kwh Reading'!A25</f>
        <v>44614</v>
      </c>
      <c r="B25" s="26">
        <f>TOTAL!E23</f>
        <v>23879.999999999654</v>
      </c>
      <c r="C25" s="4">
        <f>('Kwh Reading'!T26-'Kwh Reading'!T25)*1000</f>
        <v>230.00000000001819</v>
      </c>
      <c r="D25" s="2">
        <f>('Kwh Reading'!F26-'Kwh Reading'!F25)*1000000</f>
        <v>2699.9999999999245</v>
      </c>
      <c r="E25" s="2">
        <f>('Kwh Reading'!C26-'Kwh Reading'!C25)*1000</f>
        <v>259.99999999999091</v>
      </c>
      <c r="F25" s="2">
        <f>('Kwh Reading'!J26-'Kwh Reading'!J25)*1000</f>
        <v>629.99999999999545</v>
      </c>
      <c r="G25" s="2">
        <f>('Kwh Reading'!K26-'Kwh Reading'!K25)*1000</f>
        <v>449.99999999998863</v>
      </c>
      <c r="H25" s="2">
        <f>('Kwh Reading'!L26-'Kwh Reading'!L25)*1000</f>
        <v>-99750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339.99999999997499</v>
      </c>
      <c r="L25" s="2">
        <f>('Kwh Reading'!B26-'Kwh Reading'!B25)*1000000</f>
        <v>1099.9999999998788</v>
      </c>
      <c r="M25" s="2">
        <f>('Kwh Reading'!M26-'Kwh Reading'!M25)*1000</f>
        <v>690.00000000005457</v>
      </c>
      <c r="N25" s="2">
        <f>('Kwh Reading'!H26-'Kwh Reading'!H25)*1000</f>
        <v>1120.0000000000045</v>
      </c>
      <c r="O25" s="2">
        <f>('Kwh Reading'!P26-'Kwh Reading'!P25)*1000</f>
        <v>1090.0000000000318</v>
      </c>
      <c r="P25" s="2">
        <f>('Kwh Reading'!G26-'Kwh Reading'!G25)*1000</f>
        <v>1000</v>
      </c>
      <c r="Q25" s="2">
        <f>('Kwh Reading'!Q26-'Kwh Reading'!Q25)*1000</f>
        <v>779.99999999997272</v>
      </c>
      <c r="R25" s="2">
        <f>('Kwh Reading'!N26-'Kwh Reading'!N25)*1000</f>
        <v>840.00000000003183</v>
      </c>
      <c r="S25" s="2">
        <f>'Kwh Reading'!E26-'Kwh Reading'!E25</f>
        <v>2650.0799999982119</v>
      </c>
      <c r="T25" s="2">
        <f>'Kwh Reading'!D26-'Kwh Reading'!D25</f>
        <v>1905.4199999999255</v>
      </c>
      <c r="U25" s="27">
        <f>('Kwh Reading'!O26-'Kwh Reading'!O25)*1000</f>
        <v>210.00000000000796</v>
      </c>
      <c r="V25" s="16">
        <f t="shared" si="1"/>
        <v>107474.50000000164</v>
      </c>
    </row>
    <row r="26" spans="1:22" x14ac:dyDescent="0.25">
      <c r="A26" s="3">
        <f>'Kwh Reading'!A26</f>
        <v>44615</v>
      </c>
      <c r="B26" s="26">
        <f>TOTAL!E24</f>
        <v>0</v>
      </c>
      <c r="C26" s="4">
        <f>('Kwh Reading'!T27-'Kwh Reading'!T26)*1000</f>
        <v>-534590</v>
      </c>
      <c r="D26" s="2">
        <f>('Kwh Reading'!F27-'Kwh Reading'!F26)*1000000</f>
        <v>-2984700</v>
      </c>
      <c r="E26" s="2">
        <f>('Kwh Reading'!C27-'Kwh Reading'!C26)*1000</f>
        <v>-289390</v>
      </c>
      <c r="F26" s="2">
        <f>('Kwh Reading'!J27-'Kwh Reading'!J26)*1000</f>
        <v>-411000</v>
      </c>
      <c r="G26" s="2">
        <f>('Kwh Reading'!K27-'Kwh Reading'!K26)*1000</f>
        <v>-421800</v>
      </c>
      <c r="H26" s="2">
        <f>('Kwh Reading'!L27-'Kwh Reading'!L26)*1000</f>
        <v>-187640</v>
      </c>
      <c r="I26" s="2">
        <f>('Kwh Reading'!R27-'Kwh Reading'!R26)*1000</f>
        <v>-190150</v>
      </c>
      <c r="J26" s="2">
        <f>('Kwh Reading'!S27-'Kwh Reading'!S26)*1000</f>
        <v>-146700</v>
      </c>
      <c r="K26" s="2">
        <f>('Kwh Reading'!I27-'Kwh Reading'!I26)*1000</f>
        <v>-304510</v>
      </c>
      <c r="L26" s="2">
        <f>('Kwh Reading'!B27-'Kwh Reading'!B26)*1000000</f>
        <v>-1267000</v>
      </c>
      <c r="M26" s="2">
        <f>('Kwh Reading'!M27-'Kwh Reading'!M26)*1000</f>
        <v>-695610</v>
      </c>
      <c r="N26" s="2">
        <f>('Kwh Reading'!H27-'Kwh Reading'!H26)*1000</f>
        <v>-816420</v>
      </c>
      <c r="O26" s="2">
        <f>('Kwh Reading'!P27-'Kwh Reading'!P26)*1000</f>
        <v>-851610</v>
      </c>
      <c r="P26" s="2">
        <f>('Kwh Reading'!G27-'Kwh Reading'!G26)*1000</f>
        <v>-953230</v>
      </c>
      <c r="Q26" s="2">
        <f>('Kwh Reading'!Q27-'Kwh Reading'!Q26)*1000</f>
        <v>-627310</v>
      </c>
      <c r="R26" s="2">
        <f>('Kwh Reading'!N27-'Kwh Reading'!N26)*1000</f>
        <v>-652400</v>
      </c>
      <c r="S26" s="2">
        <f>'Kwh Reading'!E27-'Kwh Reading'!E26</f>
        <v>-8844718.7899999991</v>
      </c>
      <c r="T26" s="2">
        <f>'Kwh Reading'!D27-'Kwh Reading'!D26</f>
        <v>-7986439.96</v>
      </c>
      <c r="U26" s="27">
        <f>('Kwh Reading'!O27-'Kwh Reading'!O26)*1000</f>
        <v>-201770</v>
      </c>
      <c r="V26" s="16">
        <f t="shared" si="1"/>
        <v>28366988.75</v>
      </c>
    </row>
    <row r="27" spans="1:22" x14ac:dyDescent="0.25">
      <c r="A27" s="3">
        <f>'Kwh Reading'!A27</f>
        <v>44616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44617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44618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44619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44620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75" t="s">
        <v>52</v>
      </c>
      <c r="B32" s="74">
        <f t="shared" ref="B32:V32" si="2">SUM(B4:B31)</f>
        <v>503660.00000000029</v>
      </c>
      <c r="C32" s="71">
        <f t="shared" si="2"/>
        <v>-524179.99999999994</v>
      </c>
      <c r="D32" s="71">
        <f t="shared" si="2"/>
        <v>-2927000</v>
      </c>
      <c r="E32" s="71">
        <f t="shared" si="2"/>
        <v>-283840</v>
      </c>
      <c r="F32" s="71">
        <f t="shared" si="2"/>
        <v>-400070</v>
      </c>
      <c r="G32" s="71">
        <f t="shared" si="2"/>
        <v>-413250</v>
      </c>
      <c r="H32" s="71">
        <f t="shared" si="2"/>
        <v>-282350</v>
      </c>
      <c r="I32" s="71">
        <f t="shared" si="2"/>
        <v>-190150</v>
      </c>
      <c r="J32" s="71">
        <f t="shared" si="2"/>
        <v>-143460.00000000003</v>
      </c>
      <c r="K32" s="71">
        <f t="shared" si="2"/>
        <v>-297020</v>
      </c>
      <c r="L32" s="71">
        <f t="shared" si="2"/>
        <v>-1242400</v>
      </c>
      <c r="M32" s="71">
        <f t="shared" si="2"/>
        <v>-679660</v>
      </c>
      <c r="N32" s="71">
        <f t="shared" si="2"/>
        <v>-791190.00000000012</v>
      </c>
      <c r="O32" s="71">
        <f t="shared" si="2"/>
        <v>-828570</v>
      </c>
      <c r="P32" s="71">
        <f t="shared" si="2"/>
        <v>-931940</v>
      </c>
      <c r="Q32" s="71">
        <f t="shared" si="2"/>
        <v>-610900</v>
      </c>
      <c r="R32" s="71">
        <f t="shared" si="2"/>
        <v>-634620</v>
      </c>
      <c r="S32" s="71">
        <f t="shared" si="2"/>
        <v>-8788665.5099999998</v>
      </c>
      <c r="T32" s="71">
        <f t="shared" si="2"/>
        <v>-7945515.8600000003</v>
      </c>
      <c r="U32" s="71">
        <f t="shared" si="2"/>
        <v>-196849.99999999997</v>
      </c>
      <c r="V32" s="71">
        <f t="shared" si="2"/>
        <v>28615291.370000001</v>
      </c>
    </row>
    <row r="37" spans="19:20" x14ac:dyDescent="0.25">
      <c r="S37" s="76"/>
    </row>
    <row r="42" spans="19:20" x14ac:dyDescent="0.25">
      <c r="T42" t="s">
        <v>128</v>
      </c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-195318.60000000056</v>
      </c>
      <c r="K3" s="1">
        <f>'Kwh Consumption'!U4</f>
        <v>230.00000000001819</v>
      </c>
      <c r="L3" s="31">
        <f t="shared" ref="L3:L30" si="0">B3-C3-D3-E3-F3-G3-H3-I3-J3-K3</f>
        <v>206748.60000000184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204308.28000000026</v>
      </c>
      <c r="K4" s="1">
        <f>'Kwh Consumption'!U5</f>
        <v>219.99999999999886</v>
      </c>
      <c r="L4" s="31">
        <f t="shared" si="0"/>
        <v>-193898.28000000134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-360.00000000001364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8708.1400000024933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899.99999999997726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5455.7199999967243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21490.000000001601</v>
      </c>
      <c r="C10" s="1">
        <f>'Kwh Consumption'!C11</f>
        <v>490.00000000000909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819.99999999993634</v>
      </c>
      <c r="G10" s="16">
        <f>('Kwh Consumption'!I11+'Kwh Consumption'!J11)</f>
        <v>110.00000000001364</v>
      </c>
      <c r="H10" s="1">
        <f>('Kwh Consumption'!K11+'Kwh Consumption'!L11)</f>
        <v>1370.0000000000828</v>
      </c>
      <c r="I10" s="1">
        <f>('Kwh Consumption'!M11+'Kwh Consumption'!N11+'Kwh Consumption'!O11+'Kwh Consumption'!P11+'Kwh Consumption'!Q11+'Kwh Consumption'!R11)</f>
        <v>5490.0000000000091</v>
      </c>
      <c r="J10" s="1">
        <f>('Kwh Consumption'!S11+'Kwh Consumption'!T11)</f>
        <v>3888.2999999998137</v>
      </c>
      <c r="K10" s="1">
        <f>'Kwh Consumption'!U11</f>
        <v>260.00000000001933</v>
      </c>
      <c r="L10" s="31">
        <f t="shared" si="0"/>
        <v>6221.7000000015514</v>
      </c>
    </row>
    <row r="11" spans="1:12" x14ac:dyDescent="0.25">
      <c r="A11" s="14">
        <f>'Kwh Reading'!A12</f>
        <v>44601</v>
      </c>
      <c r="B11" s="78">
        <f>TOTAL!E10</f>
        <v>22419.999999999163</v>
      </c>
      <c r="C11" s="1">
        <f>'Kwh Consumption'!C12</f>
        <v>539.99999999996362</v>
      </c>
      <c r="D11" s="1">
        <f>'Kwh Consumption'!D12</f>
        <v>2599.9999999997135</v>
      </c>
      <c r="E11" s="1">
        <f>'Kwh Consumption'!E12</f>
        <v>240.00000000000909</v>
      </c>
      <c r="F11" s="1">
        <f>('Kwh Consumption'!F12+'Kwh Consumption'!G12+'Kwh Consumption'!H12)</f>
        <v>1130.0000000000523</v>
      </c>
      <c r="G11" s="16">
        <f>('Kwh Consumption'!I12+'Kwh Consumption'!J12)</f>
        <v>149.99999999997726</v>
      </c>
      <c r="H11" s="1">
        <f>('Kwh Consumption'!K12+'Kwh Consumption'!L12)</f>
        <v>1419.999999999872</v>
      </c>
      <c r="I11" s="1">
        <f>('Kwh Consumption'!M12+'Kwh Consumption'!N12+'Kwh Consumption'!O12+'Kwh Consumption'!P12+'Kwh Consumption'!Q12+'Kwh Consumption'!R12)</f>
        <v>5490.0000000000091</v>
      </c>
      <c r="J11" s="1">
        <f>('Kwh Consumption'!S12+'Kwh Consumption'!T12)</f>
        <v>4140.6499999994412</v>
      </c>
      <c r="K11" s="1">
        <f>'Kwh Consumption'!U12</f>
        <v>189.99999999999773</v>
      </c>
      <c r="L11" s="31">
        <f t="shared" si="0"/>
        <v>6519.3500000001259</v>
      </c>
    </row>
    <row r="12" spans="1:12" x14ac:dyDescent="0.25">
      <c r="A12" s="14">
        <f>'Kwh Reading'!A13</f>
        <v>44602</v>
      </c>
      <c r="B12" s="78">
        <f>TOTAL!E11</f>
        <v>24009.99999999908</v>
      </c>
      <c r="C12" s="1">
        <f>'Kwh Consumption'!C13</f>
        <v>519.99999999998181</v>
      </c>
      <c r="D12" s="1">
        <f>'Kwh Consumption'!D13</f>
        <v>2600.0000000001578</v>
      </c>
      <c r="E12" s="1">
        <f>'Kwh Consumption'!E13</f>
        <v>250</v>
      </c>
      <c r="F12" s="1">
        <f>('Kwh Consumption'!F13+'Kwh Consumption'!G13+'Kwh Consumption'!H13)</f>
        <v>1019.9999999999818</v>
      </c>
      <c r="G12" s="16">
        <f>('Kwh Consumption'!I13+'Kwh Consumption'!J13)</f>
        <v>140.00000000001478</v>
      </c>
      <c r="H12" s="1">
        <f>('Kwh Consumption'!K13+'Kwh Consumption'!L13)</f>
        <v>1400.0000000001123</v>
      </c>
      <c r="I12" s="1">
        <f>('Kwh Consumption'!M13+'Kwh Consumption'!N13+'Kwh Consumption'!O13+'Kwh Consumption'!P13+'Kwh Consumption'!Q13+'Kwh Consumption'!R13)</f>
        <v>5049.9999999999545</v>
      </c>
      <c r="J12" s="1">
        <f>('Kwh Consumption'!S13+'Kwh Consumption'!T13)</f>
        <v>4004.0600000005215</v>
      </c>
      <c r="K12" s="1">
        <f>'Kwh Consumption'!U13</f>
        <v>180.00000000000682</v>
      </c>
      <c r="L12" s="31">
        <f t="shared" si="0"/>
        <v>8845.9399999983489</v>
      </c>
    </row>
    <row r="13" spans="1:12" x14ac:dyDescent="0.25">
      <c r="A13" s="14">
        <f>'Kwh Reading'!A14</f>
        <v>44603</v>
      </c>
      <c r="B13" s="78">
        <f>TOTAL!E12</f>
        <v>20460.000000000036</v>
      </c>
      <c r="C13" s="1">
        <f>'Kwh Consumption'!C14</f>
        <v>299.99999999995453</v>
      </c>
      <c r="D13" s="1">
        <f>'Kwh Consumption'!D14</f>
        <v>2599.9999999997135</v>
      </c>
      <c r="E13" s="1">
        <f>'Kwh Consumption'!E14</f>
        <v>230.00000000001819</v>
      </c>
      <c r="F13" s="1">
        <f>('Kwh Consumption'!F14+'Kwh Consumption'!G14+'Kwh Consumption'!H14)</f>
        <v>939.99999999994088</v>
      </c>
      <c r="G13" s="16">
        <f>('Kwh Consumption'!I14+'Kwh Consumption'!J14)</f>
        <v>150.00000000000568</v>
      </c>
      <c r="H13" s="1">
        <f>('Kwh Consumption'!K14+'Kwh Consumption'!L14)</f>
        <v>1439.9999999998538</v>
      </c>
      <c r="I13" s="1">
        <f>('Kwh Consumption'!M14+'Kwh Consumption'!N14+'Kwh Consumption'!O14+'Kwh Consumption'!P14+'Kwh Consumption'!Q14+'Kwh Consumption'!R14)</f>
        <v>5239.9999999998954</v>
      </c>
      <c r="J13" s="1">
        <f>('Kwh Consumption'!S14+'Kwh Consumption'!T14)</f>
        <v>3930.8799999989569</v>
      </c>
      <c r="K13" s="1">
        <f>'Kwh Consumption'!U14</f>
        <v>209.99999999997954</v>
      </c>
      <c r="L13" s="31">
        <f t="shared" si="0"/>
        <v>5419.1200000017143</v>
      </c>
    </row>
    <row r="14" spans="1:12" x14ac:dyDescent="0.25">
      <c r="A14" s="14">
        <f>'Kwh Reading'!A15</f>
        <v>44604</v>
      </c>
      <c r="B14" s="78">
        <f>TOTAL!E13</f>
        <v>21459.999999999582</v>
      </c>
      <c r="C14" s="1">
        <f>'Kwh Consumption'!C15</f>
        <v>540.00000000007731</v>
      </c>
      <c r="D14" s="1">
        <f>'Kwh Consumption'!D15</f>
        <v>2600.0000000001578</v>
      </c>
      <c r="E14" s="1">
        <f>'Kwh Consumption'!E15</f>
        <v>250</v>
      </c>
      <c r="F14" s="1">
        <f>('Kwh Consumption'!F15+'Kwh Consumption'!G15+'Kwh Consumption'!H15)</f>
        <v>970.00000000008413</v>
      </c>
      <c r="G14" s="16">
        <f>('Kwh Consumption'!I15+'Kwh Consumption'!J15)</f>
        <v>149.99999999997726</v>
      </c>
      <c r="H14" s="1">
        <f>('Kwh Consumption'!K15+'Kwh Consumption'!L15)</f>
        <v>1430.0000000001419</v>
      </c>
      <c r="I14" s="1">
        <f>('Kwh Consumption'!M15+'Kwh Consumption'!N15+'Kwh Consumption'!O15+'Kwh Consumption'!P15+'Kwh Consumption'!Q15+'Kwh Consumption'!R15)</f>
        <v>5220.000000000141</v>
      </c>
      <c r="J14" s="1">
        <f>('Kwh Consumption'!S15+'Kwh Consumption'!T15)</f>
        <v>4260.2600000016391</v>
      </c>
      <c r="K14" s="1">
        <f>'Kwh Consumption'!U15</f>
        <v>180.00000000000682</v>
      </c>
      <c r="L14" s="31">
        <f t="shared" si="0"/>
        <v>5859.7399999973568</v>
      </c>
    </row>
    <row r="15" spans="1:12" x14ac:dyDescent="0.25">
      <c r="A15" s="14">
        <f>'Kwh Reading'!A16</f>
        <v>44605</v>
      </c>
      <c r="B15" s="78">
        <f>TOTAL!E14</f>
        <v>22780.000000001339</v>
      </c>
      <c r="C15" s="1">
        <f>'Kwh Consumption'!C16</f>
        <v>559.99999999994543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899.99999999997726</v>
      </c>
      <c r="G15" s="16">
        <f>('Kwh Consumption'!I16+'Kwh Consumption'!J16)</f>
        <v>150.00000000000568</v>
      </c>
      <c r="H15" s="1">
        <f>('Kwh Consumption'!K16+'Kwh Consumption'!L16)</f>
        <v>1439.9999999998538</v>
      </c>
      <c r="I15" s="1">
        <f>('Kwh Consumption'!M16+'Kwh Consumption'!N16+'Kwh Consumption'!O16+'Kwh Consumption'!P16+'Kwh Consumption'!Q16+'Kwh Consumption'!R16)</f>
        <v>5319.9999999999363</v>
      </c>
      <c r="J15" s="1">
        <f>('Kwh Consumption'!S16+'Kwh Consumption'!T16)</f>
        <v>4725.9799999985844</v>
      </c>
      <c r="K15" s="1">
        <f>'Kwh Consumption'!U16</f>
        <v>219.99999999999886</v>
      </c>
      <c r="L15" s="31">
        <f t="shared" si="0"/>
        <v>6624.0200000028699</v>
      </c>
    </row>
    <row r="16" spans="1:12" x14ac:dyDescent="0.25">
      <c r="A16" s="14">
        <f>'Kwh Reading'!A17</f>
        <v>44606</v>
      </c>
      <c r="B16" s="78">
        <f>TOTAL!E15</f>
        <v>23590.000000000146</v>
      </c>
      <c r="C16" s="1">
        <f>'Kwh Consumption'!C17</f>
        <v>600.00000000002274</v>
      </c>
      <c r="D16" s="1">
        <f>'Kwh Consumption'!D17</f>
        <v>2599.9999999997135</v>
      </c>
      <c r="E16" s="1">
        <f>'Kwh Consumption'!E17</f>
        <v>239.99999999995225</v>
      </c>
      <c r="F16" s="1">
        <f>('Kwh Consumption'!F17+'Kwh Consumption'!G17+'Kwh Consumption'!H17)</f>
        <v>989.99999999995225</v>
      </c>
      <c r="G16" s="16">
        <f>('Kwh Consumption'!I17+'Kwh Consumption'!J17)</f>
        <v>140.00000000001478</v>
      </c>
      <c r="H16" s="1">
        <f>('Kwh Consumption'!K17+'Kwh Consumption'!L17)</f>
        <v>1480.0000000000964</v>
      </c>
      <c r="I16" s="1">
        <f>('Kwh Consumption'!M17+'Kwh Consumption'!N17+'Kwh Consumption'!O17+'Kwh Consumption'!P17+'Kwh Consumption'!Q17+'Kwh Consumption'!R17)</f>
        <v>5560.0000000000591</v>
      </c>
      <c r="J16" s="1">
        <f>('Kwh Consumption'!S17+'Kwh Consumption'!T17)</f>
        <v>5031.8800000008196</v>
      </c>
      <c r="K16" s="1">
        <f>'Kwh Consumption'!U17</f>
        <v>219.99999999999886</v>
      </c>
      <c r="L16" s="31">
        <f t="shared" si="0"/>
        <v>6728.119999999516</v>
      </c>
    </row>
    <row r="17" spans="1:13" x14ac:dyDescent="0.25">
      <c r="A17" s="14">
        <f>'Kwh Reading'!A18</f>
        <v>44607</v>
      </c>
      <c r="B17" s="78">
        <f>TOTAL!E16</f>
        <v>23419.999999999389</v>
      </c>
      <c r="C17" s="1">
        <f>'Kwh Consumption'!C18</f>
        <v>539.99999999996362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1070.00000000005</v>
      </c>
      <c r="G17" s="16">
        <f>('Kwh Consumption'!I18+'Kwh Consumption'!J18)</f>
        <v>150.00000000000568</v>
      </c>
      <c r="H17" s="1">
        <f>('Kwh Consumption'!K18+'Kwh Consumption'!L18)</f>
        <v>1459.9999999998925</v>
      </c>
      <c r="I17" s="1">
        <f>('Kwh Consumption'!M18+'Kwh Consumption'!N18+'Kwh Consumption'!O18+'Kwh Consumption'!P18+'Kwh Consumption'!Q18+'Kwh Consumption'!R18)</f>
        <v>5750</v>
      </c>
      <c r="J17" s="1">
        <f>('Kwh Consumption'!S18+'Kwh Consumption'!T18)</f>
        <v>4633.1600000010803</v>
      </c>
      <c r="K17" s="30">
        <f>'Kwh Consumption'!U18</f>
        <v>250</v>
      </c>
      <c r="L17" s="31">
        <f t="shared" si="0"/>
        <v>6716.8399999982394</v>
      </c>
    </row>
    <row r="18" spans="1:13" x14ac:dyDescent="0.25">
      <c r="A18" s="14">
        <f>'Kwh Reading'!A19</f>
        <v>44608</v>
      </c>
      <c r="B18" s="78">
        <f>TOTAL!E17</f>
        <v>23739.999999999327</v>
      </c>
      <c r="C18" s="1">
        <f>'Kwh Consumption'!C19</f>
        <v>540.00000000007731</v>
      </c>
      <c r="D18" s="1">
        <f>'Kwh Consumption'!D19</f>
        <v>2699.9999999999245</v>
      </c>
      <c r="E18" s="1">
        <f>'Kwh Consumption'!E19</f>
        <v>270.00000000003865</v>
      </c>
      <c r="F18" s="1">
        <f>('Kwh Consumption'!F19+'Kwh Consumption'!G19+'Kwh Consumption'!H19)</f>
        <v>1310.0000000000023</v>
      </c>
      <c r="G18" s="16">
        <f>('Kwh Consumption'!I19+'Kwh Consumption'!J19)</f>
        <v>159.99999999999659</v>
      </c>
      <c r="H18" s="1">
        <f>('Kwh Consumption'!K19+'Kwh Consumption'!L19)</f>
        <v>1570.0000000000944</v>
      </c>
      <c r="I18" s="1">
        <f>('Kwh Consumption'!M19+'Kwh Consumption'!N19+'Kwh Consumption'!O19+'Kwh Consumption'!P19+'Kwh Consumption'!Q19+'Kwh Consumption'!R19)</f>
        <v>5629.9999999998818</v>
      </c>
      <c r="J18" s="1">
        <f>('Kwh Consumption'!S19+'Kwh Consumption'!T19)</f>
        <v>4598.0299999993294</v>
      </c>
      <c r="K18" s="30">
        <f>'Kwh Consumption'!U19</f>
        <v>250</v>
      </c>
      <c r="L18" s="31">
        <f t="shared" si="0"/>
        <v>6711.9699999999812</v>
      </c>
    </row>
    <row r="19" spans="1:13" x14ac:dyDescent="0.25">
      <c r="A19" s="14">
        <f>'Kwh Reading'!A20</f>
        <v>44609</v>
      </c>
      <c r="B19" s="78">
        <f>TOTAL!E18</f>
        <v>23889.999999999643</v>
      </c>
      <c r="C19" s="1">
        <f>'Kwh Consumption'!C20</f>
        <v>539.99999999996362</v>
      </c>
      <c r="D19" s="1">
        <f>'Kwh Consumption'!D20</f>
        <v>2499.9999999999468</v>
      </c>
      <c r="E19" s="1">
        <f>'Kwh Consumption'!E20</f>
        <v>279.99999999997272</v>
      </c>
      <c r="F19" s="1">
        <f>('Kwh Consumption'!F20+'Kwh Consumption'!G20+'Kwh Consumption'!H20)</f>
        <v>1389.9999999999295</v>
      </c>
      <c r="G19" s="16">
        <f>('Kwh Consumption'!I20+'Kwh Consumption'!J20)</f>
        <v>159.99999999999659</v>
      </c>
      <c r="H19" s="1">
        <f>('Kwh Consumption'!K20+'Kwh Consumption'!L20)</f>
        <v>1450.0000000000668</v>
      </c>
      <c r="I19" s="1">
        <f>('Kwh Consumption'!M20+'Kwh Consumption'!N20+'Kwh Consumption'!O20+'Kwh Consumption'!P20+'Kwh Consumption'!Q20+'Kwh Consumption'!R20)</f>
        <v>5340.0000000001455</v>
      </c>
      <c r="J19" s="1">
        <f>('Kwh Consumption'!S20+'Kwh Consumption'!T20)</f>
        <v>4624.4299999987707</v>
      </c>
      <c r="K19" s="1">
        <f>'Kwh Consumption'!U20</f>
        <v>219.99999999999886</v>
      </c>
      <c r="L19" s="31">
        <f t="shared" si="0"/>
        <v>7385.5700000008519</v>
      </c>
    </row>
    <row r="20" spans="1:13" x14ac:dyDescent="0.25">
      <c r="A20" s="14">
        <f>'Kwh Reading'!A21</f>
        <v>44610</v>
      </c>
      <c r="B20" s="78">
        <f>TOTAL!E19</f>
        <v>24410.000000002128</v>
      </c>
      <c r="C20" s="1">
        <f>'Kwh Consumption'!C21</f>
        <v>320.00000000005002</v>
      </c>
      <c r="D20" s="1">
        <f>'Kwh Consumption'!D21</f>
        <v>2600.0000000001578</v>
      </c>
      <c r="E20" s="1">
        <f>'Kwh Consumption'!E21</f>
        <v>280.00000000002956</v>
      </c>
      <c r="F20" s="1">
        <f>('Kwh Consumption'!F21+'Kwh Consumption'!G21+'Kwh Consumption'!H21)</f>
        <v>1710.0000000000364</v>
      </c>
      <c r="G20" s="16">
        <f>('Kwh Consumption'!I21+'Kwh Consumption'!J21)</f>
        <v>139.99999999998636</v>
      </c>
      <c r="H20" s="1">
        <f>('Kwh Consumption'!K21+'Kwh Consumption'!L21)</f>
        <v>1419.9999999999288</v>
      </c>
      <c r="I20" s="1">
        <f>('Kwh Consumption'!M21+'Kwh Consumption'!N21+'Kwh Consumption'!O21+'Kwh Consumption'!P21+'Kwh Consumption'!Q21+'Kwh Consumption'!R21)</f>
        <v>5649.9999999999773</v>
      </c>
      <c r="J20" s="1">
        <f>('Kwh Consumption'!S21+'Kwh Consumption'!T21)</f>
        <v>4792.480000000447</v>
      </c>
      <c r="K20" s="1">
        <f>'Kwh Consumption'!U21</f>
        <v>230.00000000001819</v>
      </c>
      <c r="L20" s="31">
        <f t="shared" si="0"/>
        <v>7267.5200000014993</v>
      </c>
    </row>
    <row r="21" spans="1:13" x14ac:dyDescent="0.25">
      <c r="A21" s="14">
        <f>'Kwh Reading'!A22</f>
        <v>44611</v>
      </c>
      <c r="B21" s="78">
        <f>TOTAL!E20</f>
        <v>24759.999999998174</v>
      </c>
      <c r="C21" s="1">
        <f>'Kwh Consumption'!C22</f>
        <v>559.99999999994543</v>
      </c>
      <c r="D21" s="1">
        <f>'Kwh Consumption'!D22</f>
        <v>2699.9999999999245</v>
      </c>
      <c r="E21" s="1">
        <f>'Kwh Consumption'!E22</f>
        <v>259.99999999999091</v>
      </c>
      <c r="F21" s="1">
        <f>('Kwh Consumption'!F22+'Kwh Consumption'!G22+'Kwh Consumption'!H22)</f>
        <v>1230.0000000000182</v>
      </c>
      <c r="G21" s="16">
        <f>('Kwh Consumption'!I22+'Kwh Consumption'!J22)</f>
        <v>150.00000000000568</v>
      </c>
      <c r="H21" s="1">
        <f>('Kwh Consumption'!K22+'Kwh Consumption'!L22)</f>
        <v>1560.0000000000466</v>
      </c>
      <c r="I21" s="1">
        <f>('Kwh Consumption'!M22+'Kwh Consumption'!N22+'Kwh Consumption'!O22+'Kwh Consumption'!P22+'Kwh Consumption'!Q22+'Kwh Consumption'!R22)</f>
        <v>6009.9999999998772</v>
      </c>
      <c r="J21" s="1">
        <f>('Kwh Consumption'!S22+'Kwh Consumption'!T22)</f>
        <v>5540.140000000596</v>
      </c>
      <c r="K21" s="1">
        <f>'Kwh Consumption'!U22</f>
        <v>209.99999999997954</v>
      </c>
      <c r="L21" s="31">
        <f t="shared" si="0"/>
        <v>6539.8599999977869</v>
      </c>
    </row>
    <row r="22" spans="1:13" x14ac:dyDescent="0.25">
      <c r="A22" s="14">
        <f>'Kwh Reading'!A23</f>
        <v>44612</v>
      </c>
      <c r="B22" s="78">
        <f>TOTAL!E21</f>
        <v>24710.000000002081</v>
      </c>
      <c r="C22" s="1">
        <f>'Kwh Consumption'!C23</f>
        <v>559.99999999994543</v>
      </c>
      <c r="D22" s="1">
        <f>'Kwh Consumption'!D23</f>
        <v>3000.0000000001137</v>
      </c>
      <c r="E22" s="1">
        <f>'Kwh Consumption'!E23</f>
        <v>259.99999999999091</v>
      </c>
      <c r="F22" s="1">
        <f>('Kwh Consumption'!F23+'Kwh Consumption'!G23+'Kwh Consumption'!H23)</f>
        <v>1579.9999999999272</v>
      </c>
      <c r="G22" s="16">
        <f>('Kwh Consumption'!I23+'Kwh Consumption'!J23)</f>
        <v>169.99999999998749</v>
      </c>
      <c r="H22" s="1">
        <f>('Kwh Consumption'!K23+'Kwh Consumption'!L23)</f>
        <v>1479.9999999998743</v>
      </c>
      <c r="I22" s="1">
        <f>('Kwh Consumption'!M23+'Kwh Consumption'!N23+'Kwh Consumption'!O23+'Kwh Consumption'!P23+'Kwh Consumption'!Q23+'Kwh Consumption'!R23)</f>
        <v>5890.0000000001</v>
      </c>
      <c r="J22" s="1">
        <f>('Kwh Consumption'!S23+'Kwh Consumption'!T23)</f>
        <v>5315.6100000003353</v>
      </c>
      <c r="K22" s="1">
        <f>'Kwh Consumption'!U23</f>
        <v>250</v>
      </c>
      <c r="L22" s="31">
        <f t="shared" si="0"/>
        <v>6204.3900000018057</v>
      </c>
    </row>
    <row r="23" spans="1:13" x14ac:dyDescent="0.25">
      <c r="A23" s="14">
        <f>'Kwh Reading'!A24</f>
        <v>44613</v>
      </c>
      <c r="B23" s="78">
        <f>TOTAL!E22</f>
        <v>23229.999999998654</v>
      </c>
      <c r="C23" s="1">
        <f>'Kwh Consumption'!C24</f>
        <v>550.00000000006821</v>
      </c>
      <c r="D23" s="1">
        <f>'Kwh Consumption'!D24</f>
        <v>2600.0000000001578</v>
      </c>
      <c r="E23" s="1">
        <f>'Kwh Consumption'!E24</f>
        <v>250</v>
      </c>
      <c r="F23" s="1">
        <f>('Kwh Consumption'!F24+'Kwh Consumption'!G24+'Kwh Consumption'!H24)</f>
        <v>1360.0000000000705</v>
      </c>
      <c r="G23" s="16">
        <f>('Kwh Consumption'!I24+'Kwh Consumption'!J24)</f>
        <v>150.00000000000568</v>
      </c>
      <c r="H23" s="1">
        <f>('Kwh Consumption'!K24+'Kwh Consumption'!L24)</f>
        <v>1530.0000000001307</v>
      </c>
      <c r="I23" s="1">
        <f>('Kwh Consumption'!M24+'Kwh Consumption'!N24+'Kwh Consumption'!O24+'Kwh Consumption'!P24+'Kwh Consumption'!Q24+'Kwh Consumption'!R24)</f>
        <v>5179.9999999998363</v>
      </c>
      <c r="J23" s="1">
        <f>('Kwh Consumption'!S24+'Kwh Consumption'!T24)</f>
        <v>4346.410000000149</v>
      </c>
      <c r="K23" s="1">
        <f>'Kwh Consumption'!U24</f>
        <v>270.00000000001023</v>
      </c>
      <c r="L23" s="31">
        <f t="shared" si="0"/>
        <v>6993.5899999982257</v>
      </c>
    </row>
    <row r="24" spans="1:13" x14ac:dyDescent="0.25">
      <c r="A24" s="14">
        <f>'Kwh Reading'!A25</f>
        <v>44614</v>
      </c>
      <c r="B24" s="78">
        <f>TOTAL!E23</f>
        <v>23879.999999999654</v>
      </c>
      <c r="C24" s="1">
        <f>'Kwh Consumption'!C25</f>
        <v>230.00000000001819</v>
      </c>
      <c r="D24" s="1">
        <f>'Kwh Consumption'!D25</f>
        <v>2699.9999999999245</v>
      </c>
      <c r="E24" s="1">
        <f>'Kwh Consumption'!E25</f>
        <v>259.99999999999091</v>
      </c>
      <c r="F24" s="1">
        <f>('Kwh Consumption'!F25+'Kwh Consumption'!G25+'Kwh Consumption'!H25)</f>
        <v>-98670.000000000015</v>
      </c>
      <c r="G24" s="16">
        <f>('Kwh Consumption'!I25+'Kwh Consumption'!J25)</f>
        <v>159.99999999999659</v>
      </c>
      <c r="H24" s="1">
        <f>('Kwh Consumption'!K25+'Kwh Consumption'!L25)</f>
        <v>1439.9999999998538</v>
      </c>
      <c r="I24" s="1">
        <f>('Kwh Consumption'!M25+'Kwh Consumption'!N25+'Kwh Consumption'!O25+'Kwh Consumption'!P25+'Kwh Consumption'!Q25+'Kwh Consumption'!R25)</f>
        <v>5520.0000000000955</v>
      </c>
      <c r="J24" s="1">
        <f>('Kwh Consumption'!S25+'Kwh Consumption'!T25)</f>
        <v>4555.4999999981374</v>
      </c>
      <c r="K24" s="1">
        <f>'Kwh Consumption'!U25</f>
        <v>210.00000000000796</v>
      </c>
      <c r="L24" s="31">
        <f t="shared" si="0"/>
        <v>107474.50000000163</v>
      </c>
    </row>
    <row r="25" spans="1:13" x14ac:dyDescent="0.25">
      <c r="A25" s="14">
        <f>'Kwh Reading'!A26</f>
        <v>44615</v>
      </c>
      <c r="B25" s="78">
        <f>TOTAL!E24</f>
        <v>0</v>
      </c>
      <c r="C25" s="1">
        <f>'Kwh Consumption'!C26</f>
        <v>-534590</v>
      </c>
      <c r="D25" s="1">
        <f>'Kwh Consumption'!D26</f>
        <v>-2984700</v>
      </c>
      <c r="E25" s="1">
        <f>'Kwh Consumption'!E26</f>
        <v>-289390</v>
      </c>
      <c r="F25" s="1">
        <f>('Kwh Consumption'!F26+'Kwh Consumption'!G26+'Kwh Consumption'!H26)</f>
        <v>-1020440</v>
      </c>
      <c r="G25" s="16">
        <f>('Kwh Consumption'!I26+'Kwh Consumption'!J26)</f>
        <v>-336850</v>
      </c>
      <c r="H25" s="1">
        <f>('Kwh Consumption'!K26+'Kwh Consumption'!L26)</f>
        <v>-1571510</v>
      </c>
      <c r="I25" s="1">
        <f>('Kwh Consumption'!M26+'Kwh Consumption'!N26+'Kwh Consumption'!O26+'Kwh Consumption'!P26+'Kwh Consumption'!Q26+'Kwh Consumption'!R26)</f>
        <v>-4596580</v>
      </c>
      <c r="J25" s="1">
        <f>('Kwh Consumption'!S26+'Kwh Consumption'!T26)</f>
        <v>-16831158.75</v>
      </c>
      <c r="K25" s="1">
        <f>'Kwh Consumption'!U26</f>
        <v>-201770</v>
      </c>
      <c r="L25" s="31">
        <f t="shared" si="0"/>
        <v>28366988.75</v>
      </c>
    </row>
    <row r="26" spans="1:13" x14ac:dyDescent="0.25">
      <c r="A26" s="14">
        <f>'Kwh Reading'!A27</f>
        <v>44616</v>
      </c>
      <c r="B26" s="78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3" x14ac:dyDescent="0.25">
      <c r="A27" s="14">
        <f>'Kwh Reading'!A28</f>
        <v>44617</v>
      </c>
      <c r="B27" s="78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3" x14ac:dyDescent="0.25">
      <c r="A28" s="14">
        <f>'Kwh Reading'!A29</f>
        <v>44618</v>
      </c>
      <c r="B28" s="78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3" x14ac:dyDescent="0.25">
      <c r="A29" s="14">
        <f>'Kwh Reading'!A30</f>
        <v>44619</v>
      </c>
      <c r="B29" s="78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3" x14ac:dyDescent="0.25">
      <c r="A30" s="14">
        <f>'Kwh Reading'!A31</f>
        <v>44620</v>
      </c>
      <c r="B30" s="78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3" ht="15.75" x14ac:dyDescent="0.25">
      <c r="A31" s="80" t="s">
        <v>120</v>
      </c>
      <c r="B31" s="71">
        <f t="shared" ref="B31:L31" si="1">SUM(B3:B30)</f>
        <v>503660.00000000029</v>
      </c>
      <c r="C31" s="71">
        <f t="shared" si="1"/>
        <v>-524179.99999999994</v>
      </c>
      <c r="D31" s="71">
        <f t="shared" si="1"/>
        <v>-2927000</v>
      </c>
      <c r="E31" s="71">
        <f t="shared" si="1"/>
        <v>-283840</v>
      </c>
      <c r="F31" s="71">
        <f t="shared" si="1"/>
        <v>-1095670</v>
      </c>
      <c r="G31" s="71">
        <f t="shared" si="1"/>
        <v>-333610</v>
      </c>
      <c r="H31" s="71">
        <f t="shared" si="1"/>
        <v>-1539420</v>
      </c>
      <c r="I31" s="71">
        <f t="shared" si="1"/>
        <v>-4476880</v>
      </c>
      <c r="J31" s="71">
        <f t="shared" si="1"/>
        <v>-16734181.370000001</v>
      </c>
      <c r="K31" s="71">
        <f t="shared" si="1"/>
        <v>-196849.99999999997</v>
      </c>
      <c r="L31" s="71">
        <f t="shared" si="1"/>
        <v>28615291.370000001</v>
      </c>
      <c r="M31" s="79">
        <f>C31+D31+E31+F31+G31+H31+I31+J31+K31+L31</f>
        <v>503660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-94352.39999999998</v>
      </c>
      <c r="D33" s="71">
        <f>D31*B33</f>
        <v>-526860</v>
      </c>
      <c r="E33" s="71">
        <f>E31*B33</f>
        <v>-51091.199999999997</v>
      </c>
      <c r="F33" s="71">
        <f>F31*B33</f>
        <v>-197220.6</v>
      </c>
      <c r="G33" s="71">
        <f>G31*B33</f>
        <v>-60049.799999999996</v>
      </c>
      <c r="H33" s="71">
        <f>H31*B33</f>
        <v>-277095.59999999998</v>
      </c>
      <c r="I33" s="71">
        <f>I31*B33</f>
        <v>-805838.4</v>
      </c>
      <c r="J33" s="71">
        <f>J31*B33</f>
        <v>-3012152.6466000001</v>
      </c>
      <c r="K33" s="71">
        <f>K31*B33</f>
        <v>-35432.999999999993</v>
      </c>
      <c r="L33" s="71">
        <f>L31*B33</f>
        <v>5150752.4466000004</v>
      </c>
      <c r="M33" s="79">
        <f>C33+D33+E33+F33+G33+H33+I33+J33+K33+L33</f>
        <v>90658.799999999814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-35157.3480000001</v>
      </c>
      <c r="L3" s="1">
        <f>'Kwh Consumption'!U4*' Kwh area wise $ '!B3</f>
        <v>41.400000000003274</v>
      </c>
      <c r="M3" s="1">
        <f>'Kwh Consumption'!V4*' Kwh area wise $ '!B3</f>
        <v>37214.748000000327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36775.490400000046</v>
      </c>
      <c r="L4" s="1">
        <f>'Kwh Consumption'!U5*' Kwh area wise $ '!B4</f>
        <v>39.599999999999795</v>
      </c>
      <c r="M4" s="1">
        <f>'Kwh Consumption'!V5*' Kwh area wise $ '!B4</f>
        <v>-34901.69040000024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-64.800000000002456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1567.465200000448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161.99999999999591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982.02959999941049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3868.2000000002881</v>
      </c>
      <c r="D10" s="1">
        <f>'Kwh Consumption'!C11*' Kwh area wise $ '!B10</f>
        <v>88.200000000001637</v>
      </c>
      <c r="E10" s="1">
        <f>'Kwh Consumption'!D11*' Kwh area wise $ '!B10</f>
        <v>468.00000000002836</v>
      </c>
      <c r="F10" s="1">
        <f>'Kwh Consumption'!E11*' Kwh area wise $ '!B10</f>
        <v>43.200000000001637</v>
      </c>
      <c r="G10" s="1">
        <f>('Kwh Consumption'!F11+'Kwh Consumption'!G11+'Kwh Consumption'!H11)*' Kwh area wise $ '!B10</f>
        <v>147.59999999998854</v>
      </c>
      <c r="H10" s="16">
        <f>('Kwh Consumption'!I11+'Kwh Consumption'!J11)*' Kwh area wise $ '!B10</f>
        <v>19.800000000002456</v>
      </c>
      <c r="I10" s="1">
        <f>('Kwh Consumption'!K11+'Kwh Consumption'!L11)*' Kwh area wise $ '!B10</f>
        <v>246.60000000001489</v>
      </c>
      <c r="J10" s="1">
        <f>('Kwh Consumption'!M11+'Kwh Consumption'!N11+'Kwh Consumption'!O11+'Kwh Consumption'!P11+'Kwh Consumption'!Q11+'Kwh Consumption'!R11)*' Kwh area wise $ '!B10</f>
        <v>988.20000000000164</v>
      </c>
      <c r="K10" s="1">
        <f>('Kwh Consumption'!S11+'Kwh Consumption'!T11)*' Kwh area wise $ '!B10</f>
        <v>699.89399999996647</v>
      </c>
      <c r="L10" s="1">
        <f>'Kwh Consumption'!U11*' Kwh area wise $ '!B10</f>
        <v>46.800000000003479</v>
      </c>
      <c r="M10" s="1">
        <f>'Kwh Consumption'!V11*' Kwh area wise $ '!B10</f>
        <v>1119.9060000002787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4035.5999999998494</v>
      </c>
      <c r="D11" s="1">
        <f>'Kwh Consumption'!C12*' Kwh area wise $ '!B11</f>
        <v>97.199999999993452</v>
      </c>
      <c r="E11" s="1">
        <f>'Kwh Consumption'!D12*' Kwh area wise $ '!B11</f>
        <v>467.99999999994839</v>
      </c>
      <c r="F11" s="1">
        <f>'Kwh Consumption'!E12*' Kwh area wise $ '!B11</f>
        <v>43.200000000001637</v>
      </c>
      <c r="G11" s="1">
        <f>('Kwh Consumption'!F12+'Kwh Consumption'!G12+'Kwh Consumption'!H12)*' Kwh area wise $ '!B11</f>
        <v>203.40000000000941</v>
      </c>
      <c r="H11" s="16">
        <f>('Kwh Consumption'!I12+'Kwh Consumption'!J12)*' Kwh area wise $ '!B11</f>
        <v>26.999999999995907</v>
      </c>
      <c r="I11" s="1">
        <f>('Kwh Consumption'!K12+'Kwh Consumption'!L12)*' Kwh area wise $ '!B11</f>
        <v>255.59999999997694</v>
      </c>
      <c r="J11" s="1">
        <f>('Kwh Consumption'!M12+'Kwh Consumption'!N12+'Kwh Consumption'!O12+'Kwh Consumption'!P12+'Kwh Consumption'!Q12+'Kwh Consumption'!R12)*' Kwh area wise $ '!B11</f>
        <v>988.20000000000164</v>
      </c>
      <c r="K11" s="1">
        <f>('Kwh Consumption'!S12+'Kwh Consumption'!T12)*' Kwh area wise $ '!B11</f>
        <v>745.31699999989939</v>
      </c>
      <c r="L11" s="1">
        <f>'Kwh Consumption'!U12*' Kwh area wise $ '!B11</f>
        <v>34.199999999999591</v>
      </c>
      <c r="M11" s="1">
        <f>'Kwh Consumption'!V12*' Kwh area wise $ '!B11</f>
        <v>1173.4830000000227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4321.7999999998337</v>
      </c>
      <c r="D12" s="1">
        <f>'Kwh Consumption'!C13*' Kwh area wise $ '!B12</f>
        <v>93.599999999996726</v>
      </c>
      <c r="E12" s="1">
        <f>'Kwh Consumption'!D13*' Kwh area wise $ '!B12</f>
        <v>468.00000000002836</v>
      </c>
      <c r="F12" s="1">
        <f>'Kwh Consumption'!E13*' Kwh area wise $ '!B12</f>
        <v>45</v>
      </c>
      <c r="G12" s="1">
        <f>('Kwh Consumption'!F13+'Kwh Consumption'!G13+'Kwh Consumption'!H13)*' Kwh area wise $ '!B12</f>
        <v>183.59999999999673</v>
      </c>
      <c r="H12" s="16">
        <f>('Kwh Consumption'!I13+'Kwh Consumption'!J13)*' Kwh area wise $ '!B12</f>
        <v>25.20000000000266</v>
      </c>
      <c r="I12" s="1">
        <f>('Kwh Consumption'!K13+'Kwh Consumption'!L13)*' Kwh area wise $ '!B12</f>
        <v>252.00000000002021</v>
      </c>
      <c r="J12" s="1">
        <f>('Kwh Consumption'!M13+'Kwh Consumption'!N13+'Kwh Consumption'!O13+'Kwh Consumption'!P13+'Kwh Consumption'!Q13+'Kwh Consumption'!R13)*' Kwh area wise $ '!B12</f>
        <v>908.99999999999181</v>
      </c>
      <c r="K12" s="1">
        <f>('Kwh Consumption'!S13+'Kwh Consumption'!T13)*' Kwh area wise $ '!B12</f>
        <v>720.73080000009384</v>
      </c>
      <c r="L12" s="1">
        <f>'Kwh Consumption'!U13*' Kwh area wise $ '!B12</f>
        <v>32.400000000001228</v>
      </c>
      <c r="M12" s="1">
        <f>'Kwh Consumption'!V13*' Kwh area wise $ '!B12</f>
        <v>1592.2691999997028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3682.8000000000065</v>
      </c>
      <c r="D13" s="1">
        <f>'Kwh Consumption'!C14*' Kwh area wise $ '!B13</f>
        <v>53.999999999991815</v>
      </c>
      <c r="E13" s="1">
        <f>'Kwh Consumption'!D14*' Kwh area wise $ '!B13</f>
        <v>467.99999999994839</v>
      </c>
      <c r="F13" s="1">
        <f>'Kwh Consumption'!E14*' Kwh area wise $ '!B13</f>
        <v>41.400000000003274</v>
      </c>
      <c r="G13" s="1">
        <f>('Kwh Consumption'!F14+'Kwh Consumption'!G14+'Kwh Consumption'!H14)*' Kwh area wise $ '!B13</f>
        <v>169.19999999998936</v>
      </c>
      <c r="H13" s="16">
        <f>('Kwh Consumption'!I14+'Kwh Consumption'!J14)*' Kwh area wise $ '!B13</f>
        <v>27.000000000001023</v>
      </c>
      <c r="I13" s="1">
        <f>('Kwh Consumption'!K14+'Kwh Consumption'!L14)*' Kwh area wise $ '!B13</f>
        <v>259.19999999997367</v>
      </c>
      <c r="J13" s="1">
        <f>('Kwh Consumption'!M14+'Kwh Consumption'!N14+'Kwh Consumption'!O14+'Kwh Consumption'!P14+'Kwh Consumption'!Q14+'Kwh Consumption'!R14)*' Kwh area wise $ '!B13</f>
        <v>943.19999999998117</v>
      </c>
      <c r="K13" s="1">
        <f>('Kwh Consumption'!S14+'Kwh Consumption'!T14)*' Kwh area wise $ '!B13</f>
        <v>707.5583999998122</v>
      </c>
      <c r="L13" s="1">
        <f>'Kwh Consumption'!U14*' Kwh area wise $ '!B13</f>
        <v>37.799999999996317</v>
      </c>
      <c r="M13" s="1">
        <f>'Kwh Consumption'!V14*' Kwh area wise $ '!B13</f>
        <v>975.44160000030956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3862.7999999999247</v>
      </c>
      <c r="D14" s="1">
        <f>'Kwh Consumption'!C15*' Kwh area wise $ '!B14</f>
        <v>97.200000000013915</v>
      </c>
      <c r="E14" s="1">
        <f>'Kwh Consumption'!D15*' Kwh area wise $ '!B14</f>
        <v>468.00000000002836</v>
      </c>
      <c r="F14" s="1">
        <f>'Kwh Consumption'!E15*' Kwh area wise $ '!B14</f>
        <v>45</v>
      </c>
      <c r="G14" s="1">
        <f>('Kwh Consumption'!F15+'Kwh Consumption'!G15+'Kwh Consumption'!H15)*' Kwh area wise $ '!B14</f>
        <v>174.60000000001514</v>
      </c>
      <c r="H14" s="16">
        <f>('Kwh Consumption'!I15+'Kwh Consumption'!J15)*' Kwh area wise $ '!B14</f>
        <v>26.999999999995907</v>
      </c>
      <c r="I14" s="1">
        <f>('Kwh Consumption'!K15+'Kwh Consumption'!L15)*' Kwh area wise $ '!B14</f>
        <v>257.40000000002556</v>
      </c>
      <c r="J14" s="1">
        <f>('Kwh Consumption'!M15+'Kwh Consumption'!N15+'Kwh Consumption'!O15+'Kwh Consumption'!P15+'Kwh Consumption'!Q15+'Kwh Consumption'!R15)*' Kwh area wise $ '!B14</f>
        <v>939.60000000002537</v>
      </c>
      <c r="K14" s="1">
        <f>('Kwh Consumption'!S15+'Kwh Consumption'!T15)*' Kwh area wise $ '!B14</f>
        <v>766.84680000029505</v>
      </c>
      <c r="L14" s="1">
        <f>'Kwh Consumption'!U15*' Kwh area wise $ '!B14</f>
        <v>32.400000000001228</v>
      </c>
      <c r="M14" s="1">
        <f>'Kwh Consumption'!V15*' Kwh area wise $ '!B14</f>
        <v>1054.7531999995242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4100.4000000002407</v>
      </c>
      <c r="D15" s="1">
        <f>'Kwh Consumption'!C16*' Kwh area wise $ '!B15</f>
        <v>100.79999999999018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161.99999999999591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259.19999999997367</v>
      </c>
      <c r="J15" s="1">
        <f>('Kwh Consumption'!M16+'Kwh Consumption'!N16+'Kwh Consumption'!O16+'Kwh Consumption'!P16+'Kwh Consumption'!Q16+'Kwh Consumption'!R16)*' Kwh area wise $ '!B15</f>
        <v>957.59999999998854</v>
      </c>
      <c r="K15" s="1">
        <f>('Kwh Consumption'!S16+'Kwh Consumption'!T16)*' Kwh area wise $ '!B15</f>
        <v>850.67639999974517</v>
      </c>
      <c r="L15" s="1">
        <f>'Kwh Consumption'!U16*' Kwh area wise $ '!B15</f>
        <v>39.599999999999795</v>
      </c>
      <c r="M15" s="1">
        <f>'Kwh Consumption'!V16*' Kwh area wise $ '!B15</f>
        <v>1192.323600000517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4246.2000000000262</v>
      </c>
      <c r="D16" s="1">
        <f>'Kwh Consumption'!C17*' Kwh area wise $ '!B16</f>
        <v>108.00000000000409</v>
      </c>
      <c r="E16" s="1">
        <f>'Kwh Consumption'!D17*' Kwh area wise $ '!B16</f>
        <v>467.99999999994839</v>
      </c>
      <c r="F16" s="1">
        <f>'Kwh Consumption'!E17*' Kwh area wise $ '!B16</f>
        <v>43.199999999991405</v>
      </c>
      <c r="G16" s="1">
        <f>('Kwh Consumption'!F17+'Kwh Consumption'!G17+'Kwh Consumption'!H17)*' Kwh area wise $ '!B16</f>
        <v>178.19999999999141</v>
      </c>
      <c r="H16" s="16">
        <f>('Kwh Consumption'!I17+'Kwh Consumption'!J17)*' Kwh area wise $ '!B16</f>
        <v>25.20000000000266</v>
      </c>
      <c r="I16" s="1">
        <f>('Kwh Consumption'!K17+'Kwh Consumption'!L17)*' Kwh area wise $ '!B16</f>
        <v>266.40000000001737</v>
      </c>
      <c r="J16" s="1">
        <f>('Kwh Consumption'!M17+'Kwh Consumption'!N17+'Kwh Consumption'!O17+'Kwh Consumption'!P17+'Kwh Consumption'!Q17+'Kwh Consumption'!R17)*' Kwh area wise $ '!B16</f>
        <v>1000.8000000000106</v>
      </c>
      <c r="K16" s="1">
        <f>('Kwh Consumption'!S17+'Kwh Consumption'!T17)*' Kwh area wise $ '!B16</f>
        <v>905.73840000014752</v>
      </c>
      <c r="L16" s="1">
        <f>'Kwh Consumption'!U17*' Kwh area wise $ '!B16</f>
        <v>39.599999999999795</v>
      </c>
      <c r="M16" s="1">
        <f>'Kwh Consumption'!V17*' Kwh area wise $ '!B16</f>
        <v>1211.0615999999127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4215.5999999998894</v>
      </c>
      <c r="D17" s="1">
        <f>'Kwh Consumption'!C18*' Kwh area wise $ '!B17</f>
        <v>97.199999999993452</v>
      </c>
      <c r="E17" s="1">
        <f>'Kwh Consumption'!D18*' Kwh area wise $ '!B17</f>
        <v>468.00000000002836</v>
      </c>
      <c r="F17" s="1">
        <f>'Kwh Consumption'!E18*' Kwh area wise $ '!B17</f>
        <v>45</v>
      </c>
      <c r="G17" s="1">
        <f>('Kwh Consumption'!F18+'Kwh Consumption'!G18+'Kwh Consumption'!H18)*' Kwh area wise $ '!B17</f>
        <v>192.600000000009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262.79999999998063</v>
      </c>
      <c r="J17" s="1">
        <f>('Kwh Consumption'!M18+'Kwh Consumption'!N18+'Kwh Consumption'!O18+'Kwh Consumption'!P18+'Kwh Consumption'!Q18+'Kwh Consumption'!R18)*' Kwh area wise $ '!B17</f>
        <v>1035</v>
      </c>
      <c r="K17" s="1">
        <f>('Kwh Consumption'!S18+'Kwh Consumption'!T18)*' Kwh area wise $ '!B17</f>
        <v>833.96880000019439</v>
      </c>
      <c r="L17" s="1">
        <f>'Kwh Consumption'!U18*' Kwh area wise $ '!B17</f>
        <v>45</v>
      </c>
      <c r="M17" s="1">
        <f>'Kwh Consumption'!V18*' Kwh area wise $ '!B17</f>
        <v>1209.0311999996829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4273.1999999998789</v>
      </c>
      <c r="D18" s="1">
        <f>'Kwh Consumption'!C19*' Kwh area wise $ '!B18</f>
        <v>97.200000000013915</v>
      </c>
      <c r="E18" s="1">
        <f>'Kwh Consumption'!D19*' Kwh area wise $ '!B18</f>
        <v>485.99999999998641</v>
      </c>
      <c r="F18" s="1">
        <f>'Kwh Consumption'!E19*' Kwh area wise $ '!B18</f>
        <v>48.600000000006958</v>
      </c>
      <c r="G18" s="1">
        <f>('Kwh Consumption'!F19+'Kwh Consumption'!G19+'Kwh Consumption'!H19)*' Kwh area wise $ '!B18</f>
        <v>235.80000000000041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282.60000000001696</v>
      </c>
      <c r="J18" s="1">
        <f>('Kwh Consumption'!M19+'Kwh Consumption'!N19+'Kwh Consumption'!O19+'Kwh Consumption'!P19+'Kwh Consumption'!Q19+'Kwh Consumption'!R19)*' Kwh area wise $ '!B18</f>
        <v>1013.3999999999787</v>
      </c>
      <c r="K18" s="1">
        <f>('Kwh Consumption'!S19+'Kwh Consumption'!T19)*' Kwh area wise $ '!B18</f>
        <v>827.64539999987926</v>
      </c>
      <c r="L18" s="1">
        <f>'Kwh Consumption'!U19*' Kwh area wise $ '!B18</f>
        <v>45</v>
      </c>
      <c r="M18" s="1">
        <f>'Kwh Consumption'!V19*' Kwh area wise $ '!B18</f>
        <v>1208.1545999999969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4300.1999999999352</v>
      </c>
      <c r="D19" s="1">
        <f>'Kwh Consumption'!C20*' Kwh area wise $ '!B19</f>
        <v>97.199999999993452</v>
      </c>
      <c r="E19" s="1">
        <f>'Kwh Consumption'!D20*' Kwh area wise $ '!B19</f>
        <v>449.99999999999039</v>
      </c>
      <c r="F19" s="1">
        <f>'Kwh Consumption'!E20*' Kwh area wise $ '!B19</f>
        <v>50.399999999995089</v>
      </c>
      <c r="G19" s="1">
        <f>('Kwh Consumption'!F20+'Kwh Consumption'!G20+'Kwh Consumption'!H20)*' Kwh area wise $ '!B19</f>
        <v>250.19999999998731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261.00000000001205</v>
      </c>
      <c r="J19" s="1">
        <f>('Kwh Consumption'!M20+'Kwh Consumption'!N20+'Kwh Consumption'!O20+'Kwh Consumption'!P20+'Kwh Consumption'!Q20+'Kwh Consumption'!R20)*' Kwh area wise $ '!B19</f>
        <v>961.20000000002619</v>
      </c>
      <c r="K19" s="1">
        <f>('Kwh Consumption'!S20+'Kwh Consumption'!T20)*' Kwh area wise $ '!B19</f>
        <v>832.39739999977871</v>
      </c>
      <c r="L19" s="1">
        <f>'Kwh Consumption'!U20*' Kwh area wise $ '!B19</f>
        <v>39.599999999999795</v>
      </c>
      <c r="M19" s="1">
        <f>'Kwh Consumption'!V20*' Kwh area wise $ '!B19</f>
        <v>1329.4026000001531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4393.8000000003831</v>
      </c>
      <c r="D20" s="1">
        <f>'Kwh Consumption'!C21*' Kwh area wise $ '!B20</f>
        <v>57.600000000009004</v>
      </c>
      <c r="E20" s="1">
        <f>'Kwh Consumption'!D21*' Kwh area wise $ '!B20</f>
        <v>468.00000000002836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307.80000000000655</v>
      </c>
      <c r="H20" s="16">
        <f>('Kwh Consumption'!I21+'Kwh Consumption'!J21)*' Kwh area wise $ '!B20</f>
        <v>25.199999999997544</v>
      </c>
      <c r="I20" s="1">
        <f>('Kwh Consumption'!K21+'Kwh Consumption'!L21)*' Kwh area wise $ '!B20</f>
        <v>255.59999999998718</v>
      </c>
      <c r="J20" s="1">
        <f>('Kwh Consumption'!M21+'Kwh Consumption'!N21+'Kwh Consumption'!O21+'Kwh Consumption'!P21+'Kwh Consumption'!Q21+'Kwh Consumption'!R21)*' Kwh area wise $ '!B20</f>
        <v>1016.9999999999959</v>
      </c>
      <c r="K20" s="1">
        <f>('Kwh Consumption'!S21+'Kwh Consumption'!T21)*' Kwh area wise $ '!B20</f>
        <v>862.64640000008046</v>
      </c>
      <c r="L20" s="1">
        <f>'Kwh Consumption'!U21*' Kwh area wise $ '!B20</f>
        <v>41.400000000003274</v>
      </c>
      <c r="M20" s="1">
        <f>'Kwh Consumption'!V21*' Kwh area wise $ '!B20</f>
        <v>1308.1536000002691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4456.7999999996709</v>
      </c>
      <c r="D21" s="1">
        <f>'Kwh Consumption'!C22*' Kwh area wise $ '!B21</f>
        <v>100.79999999999018</v>
      </c>
      <c r="E21" s="1">
        <f>'Kwh Consumption'!D22*' Kwh area wise $ '!B21</f>
        <v>485.99999999998641</v>
      </c>
      <c r="F21" s="1">
        <f>'Kwh Consumption'!E22*' Kwh area wise $ '!B21</f>
        <v>46.799999999998363</v>
      </c>
      <c r="G21" s="1">
        <f>('Kwh Consumption'!F22+'Kwh Consumption'!G22+'Kwh Consumption'!H22)*' Kwh area wise $ '!B21</f>
        <v>221.40000000000327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280.80000000000837</v>
      </c>
      <c r="J21" s="1">
        <f>('Kwh Consumption'!M22+'Kwh Consumption'!N22+'Kwh Consumption'!O22+'Kwh Consumption'!P22+'Kwh Consumption'!Q22+'Kwh Consumption'!R22)*' Kwh area wise $ '!B21</f>
        <v>1081.7999999999779</v>
      </c>
      <c r="K21" s="1">
        <f>('Kwh Consumption'!S22+'Kwh Consumption'!T22)*' Kwh area wise $ '!B21</f>
        <v>997.22520000010729</v>
      </c>
      <c r="L21" s="1">
        <f>'Kwh Consumption'!U22*' Kwh area wise $ '!B21</f>
        <v>37.799999999996317</v>
      </c>
      <c r="M21" s="1">
        <f>'Kwh Consumption'!V22*' Kwh area wise $ '!B21</f>
        <v>1177.1747999996019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4447.800000000374</v>
      </c>
      <c r="D22" s="1">
        <f>'Kwh Consumption'!C23*' Kwh area wise $ '!B22</f>
        <v>100.79999999999018</v>
      </c>
      <c r="E22" s="1">
        <f>'Kwh Consumption'!D23*' Kwh area wise $ '!B22</f>
        <v>540.00000000002046</v>
      </c>
      <c r="F22" s="1">
        <f>'Kwh Consumption'!E23*' Kwh area wise $ '!B22</f>
        <v>46.799999999998363</v>
      </c>
      <c r="G22" s="1">
        <f>('Kwh Consumption'!F23+'Kwh Consumption'!G23+'Kwh Consumption'!H23)*' Kwh area wise $ '!B22</f>
        <v>284.3999999999869</v>
      </c>
      <c r="H22" s="16">
        <f>('Kwh Consumption'!I23+'Kwh Consumption'!J23)*' Kwh area wise $ '!B22</f>
        <v>30.599999999997749</v>
      </c>
      <c r="I22" s="1">
        <f>('Kwh Consumption'!K23+'Kwh Consumption'!L23)*' Kwh area wise $ '!B22</f>
        <v>266.39999999997735</v>
      </c>
      <c r="J22" s="1">
        <f>('Kwh Consumption'!M23+'Kwh Consumption'!N23+'Kwh Consumption'!O23+'Kwh Consumption'!P23+'Kwh Consumption'!Q23+'Kwh Consumption'!R23)*' Kwh area wise $ '!B22</f>
        <v>1060.200000000018</v>
      </c>
      <c r="K22" s="1">
        <f>('Kwh Consumption'!S23+'Kwh Consumption'!T23)*' Kwh area wise $ '!B22</f>
        <v>956.80980000006036</v>
      </c>
      <c r="L22" s="1">
        <f>'Kwh Consumption'!U23*' Kwh area wise $ '!B22</f>
        <v>45</v>
      </c>
      <c r="M22" s="1">
        <f>'Kwh Consumption'!V23*' Kwh area wise $ '!B22</f>
        <v>1116.7902000003253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4181.3999999997577</v>
      </c>
      <c r="D23" s="1">
        <f>'Kwh Consumption'!C24*' Kwh area wise $ '!B23</f>
        <v>99.000000000012278</v>
      </c>
      <c r="E23" s="1">
        <f>'Kwh Consumption'!D24*' Kwh area wise $ '!B23</f>
        <v>468.00000000002836</v>
      </c>
      <c r="F23" s="1">
        <f>'Kwh Consumption'!E24*' Kwh area wise $ '!B23</f>
        <v>45</v>
      </c>
      <c r="G23" s="1">
        <f>('Kwh Consumption'!F24+'Kwh Consumption'!G24+'Kwh Consumption'!H24)*' Kwh area wise $ '!B23</f>
        <v>244.80000000001269</v>
      </c>
      <c r="H23" s="16">
        <f>('Kwh Consumption'!I24+'Kwh Consumption'!J24)*' Kwh area wise $ '!B23</f>
        <v>27.000000000001023</v>
      </c>
      <c r="I23" s="1">
        <f>('Kwh Consumption'!K24+'Kwh Consumption'!L24)*' Kwh area wise $ '!B23</f>
        <v>275.40000000002351</v>
      </c>
      <c r="J23" s="1">
        <f>('Kwh Consumption'!M24+'Kwh Consumption'!N24+'Kwh Consumption'!O24+'Kwh Consumption'!P24+'Kwh Consumption'!Q24+'Kwh Consumption'!R24)*' Kwh area wise $ '!B23</f>
        <v>932.39999999997053</v>
      </c>
      <c r="K23" s="1">
        <f>('Kwh Consumption'!S24+'Kwh Consumption'!T24)*' Kwh area wise $ '!B23</f>
        <v>782.35380000002681</v>
      </c>
      <c r="L23" s="1">
        <f>'Kwh Consumption'!U24*' Kwh area wise $ '!B23</f>
        <v>48.600000000001842</v>
      </c>
      <c r="M23" s="1">
        <f>'Kwh Consumption'!V24*' Kwh area wise $ '!B23</f>
        <v>1258.8461999996805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4298.3999999999378</v>
      </c>
      <c r="D24" s="1">
        <f>'Kwh Consumption'!C25*' Kwh area wise $ '!B24</f>
        <v>41.400000000003274</v>
      </c>
      <c r="E24" s="1">
        <f>'Kwh Consumption'!D25*' Kwh area wise $ '!B24</f>
        <v>485.99999999998641</v>
      </c>
      <c r="F24" s="1">
        <f>'Kwh Consumption'!E25*' Kwh area wise $ '!B24</f>
        <v>46.799999999998363</v>
      </c>
      <c r="G24" s="1">
        <f>('Kwh Consumption'!F25+'Kwh Consumption'!G25+'Kwh Consumption'!H25)*' Kwh area wise $ '!B24</f>
        <v>-17760.600000000002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259.19999999997367</v>
      </c>
      <c r="J24" s="1">
        <f>('Kwh Consumption'!M25+'Kwh Consumption'!N25+'Kwh Consumption'!O25+'Kwh Consumption'!P25+'Kwh Consumption'!Q25+'Kwh Consumption'!R25)*' Kwh area wise $ '!B24</f>
        <v>993.60000000001719</v>
      </c>
      <c r="K24" s="1">
        <f>('Kwh Consumption'!S25+'Kwh Consumption'!T25)*' Kwh area wise $ '!B24</f>
        <v>819.98999999966475</v>
      </c>
      <c r="L24" s="1">
        <f>'Kwh Consumption'!U25*' Kwh area wise $ '!B24</f>
        <v>37.800000000001432</v>
      </c>
      <c r="M24" s="1">
        <f>'Kwh Consumption'!V25*' Kwh area wise $ '!B24</f>
        <v>19345.410000000295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-96226.2</v>
      </c>
      <c r="E25" s="1">
        <f>'Kwh Consumption'!D26*' Kwh area wise $ '!B25</f>
        <v>-537246</v>
      </c>
      <c r="F25" s="1">
        <f>'Kwh Consumption'!E26*' Kwh area wise $ '!B25</f>
        <v>-52090.2</v>
      </c>
      <c r="G25" s="1">
        <f>('Kwh Consumption'!F26+'Kwh Consumption'!G26+'Kwh Consumption'!H26)*' Kwh area wise $ '!B25</f>
        <v>-183679.19999999998</v>
      </c>
      <c r="H25" s="16">
        <f>('Kwh Consumption'!I26+'Kwh Consumption'!J26)*' Kwh area wise $ '!B25</f>
        <v>-60633</v>
      </c>
      <c r="I25" s="1">
        <f>('Kwh Consumption'!K26+'Kwh Consumption'!L26)*' Kwh area wise $ '!B25</f>
        <v>-282871.8</v>
      </c>
      <c r="J25" s="1">
        <f>('Kwh Consumption'!M26+'Kwh Consumption'!N26+'Kwh Consumption'!O26+'Kwh Consumption'!P26+'Kwh Consumption'!Q26+'Kwh Consumption'!R26)*' Kwh area wise $ '!B25</f>
        <v>-827384.4</v>
      </c>
      <c r="K25" s="1">
        <f>('Kwh Consumption'!S26+'Kwh Consumption'!T26)*' Kwh area wise $ '!B25</f>
        <v>-3029608.5749999997</v>
      </c>
      <c r="L25" s="1">
        <f>'Kwh Consumption'!U26*' Kwh area wise $ '!B25</f>
        <v>-36318.6</v>
      </c>
      <c r="M25" s="1">
        <f>'Kwh Consumption'!V26*' Kwh area wise $ '!B25</f>
        <v>5106057.9749999996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4" ht="15.75" x14ac:dyDescent="0.25">
      <c r="A31" s="144" t="s">
        <v>52</v>
      </c>
      <c r="B31" s="144"/>
      <c r="C31" s="71">
        <f t="shared" ref="C31:M31" si="0">SUM(C3:C30)</f>
        <v>90658.800000000047</v>
      </c>
      <c r="D31" s="71">
        <f t="shared" si="0"/>
        <v>-94352.39999999998</v>
      </c>
      <c r="E31" s="71">
        <f t="shared" si="0"/>
        <v>-526860</v>
      </c>
      <c r="F31" s="71">
        <f t="shared" si="0"/>
        <v>-51091.199999999997</v>
      </c>
      <c r="G31" s="71">
        <f t="shared" si="0"/>
        <v>-197220.59999999998</v>
      </c>
      <c r="H31" s="71">
        <f t="shared" si="0"/>
        <v>-60049.8</v>
      </c>
      <c r="I31" s="71">
        <f t="shared" si="0"/>
        <v>-277095.59999999998</v>
      </c>
      <c r="J31" s="71">
        <f t="shared" si="0"/>
        <v>-805838.4</v>
      </c>
      <c r="K31" s="71">
        <f t="shared" si="0"/>
        <v>-3012152.6466000001</v>
      </c>
      <c r="L31" s="71">
        <f t="shared" si="0"/>
        <v>-35432.999999999993</v>
      </c>
      <c r="M31" s="71">
        <f t="shared" si="0"/>
        <v>5150752.4465999994</v>
      </c>
      <c r="N31" s="79">
        <f>D31+E31+F31+G31+H31+I31+J31+K31+L31+M31</f>
        <v>90658.799999998882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Normal="100" workbookViewId="0">
      <pane xSplit="1" ySplit="2" topLeftCell="E3" activePane="bottomRight" state="frozen"/>
      <selection pane="topRight" activeCell="C25" sqref="C25"/>
      <selection pane="bottomLeft" activeCell="C25" sqref="C25"/>
      <selection pane="bottomRight" activeCell="R25" sqref="R25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>
        <v>207339</v>
      </c>
      <c r="C11" s="32"/>
      <c r="D11" s="101">
        <v>247848</v>
      </c>
      <c r="E11" s="101">
        <v>262608</v>
      </c>
      <c r="F11" s="101">
        <v>67085</v>
      </c>
      <c r="G11" s="101">
        <v>116623</v>
      </c>
      <c r="H11" s="101">
        <v>59861</v>
      </c>
      <c r="I11" s="101">
        <v>71223</v>
      </c>
      <c r="J11" s="101">
        <v>22176</v>
      </c>
      <c r="K11" s="101">
        <v>1024</v>
      </c>
      <c r="L11" s="101">
        <v>18515</v>
      </c>
      <c r="M11" s="101">
        <v>26802</v>
      </c>
      <c r="N11" s="101">
        <v>8327</v>
      </c>
      <c r="O11" s="101">
        <v>1962</v>
      </c>
      <c r="P11" s="101">
        <v>29629</v>
      </c>
      <c r="Q11" s="101">
        <v>1297</v>
      </c>
      <c r="R11" s="101">
        <v>7597</v>
      </c>
    </row>
    <row r="12" spans="1:21" x14ac:dyDescent="0.25">
      <c r="A12" s="52">
        <v>44602</v>
      </c>
      <c r="B12" s="32">
        <v>207558</v>
      </c>
      <c r="C12" s="54"/>
      <c r="D12" s="101">
        <v>248061</v>
      </c>
      <c r="E12" s="101">
        <v>262686</v>
      </c>
      <c r="F12" s="101">
        <v>67085</v>
      </c>
      <c r="G12" s="101">
        <v>116652</v>
      </c>
      <c r="H12" s="101">
        <v>59861</v>
      </c>
      <c r="I12" s="101">
        <v>71258</v>
      </c>
      <c r="J12" s="101">
        <v>22181</v>
      </c>
      <c r="K12" s="101">
        <v>1024</v>
      </c>
      <c r="L12" s="101">
        <v>18518</v>
      </c>
      <c r="M12" s="101">
        <v>26810</v>
      </c>
      <c r="N12" s="101">
        <v>8330</v>
      </c>
      <c r="O12" s="101">
        <v>1963</v>
      </c>
      <c r="P12" s="101">
        <v>29644</v>
      </c>
      <c r="Q12" s="101">
        <v>1299</v>
      </c>
      <c r="R12" s="101">
        <v>7604</v>
      </c>
    </row>
    <row r="13" spans="1:21" x14ac:dyDescent="0.25">
      <c r="A13" s="52">
        <v>44603</v>
      </c>
      <c r="B13" s="54">
        <v>207724</v>
      </c>
      <c r="C13" s="32"/>
      <c r="D13" s="101">
        <v>248297</v>
      </c>
      <c r="E13" s="101">
        <v>262757</v>
      </c>
      <c r="F13" s="101">
        <v>67085</v>
      </c>
      <c r="G13" s="101">
        <v>116678</v>
      </c>
      <c r="H13" s="101">
        <v>59861</v>
      </c>
      <c r="I13" s="101">
        <v>71285</v>
      </c>
      <c r="J13" s="101">
        <v>22186</v>
      </c>
      <c r="K13" s="101">
        <v>1024</v>
      </c>
      <c r="L13" s="101">
        <v>18522</v>
      </c>
      <c r="M13" s="101">
        <v>26817</v>
      </c>
      <c r="N13" s="101">
        <v>8332</v>
      </c>
      <c r="O13" s="101">
        <v>1963</v>
      </c>
      <c r="P13" s="101">
        <v>29651</v>
      </c>
      <c r="Q13" s="101">
        <v>1302</v>
      </c>
      <c r="R13" s="101">
        <v>7609</v>
      </c>
    </row>
    <row r="14" spans="1:21" x14ac:dyDescent="0.25">
      <c r="A14" s="52">
        <v>44604</v>
      </c>
      <c r="B14" s="32">
        <v>207908</v>
      </c>
      <c r="C14" s="32"/>
      <c r="D14" s="101">
        <v>248550</v>
      </c>
      <c r="E14" s="101">
        <v>262831</v>
      </c>
      <c r="F14" s="101">
        <v>67086</v>
      </c>
      <c r="G14" s="101">
        <v>116698</v>
      </c>
      <c r="H14" s="101">
        <v>59861</v>
      </c>
      <c r="I14" s="101">
        <v>71302</v>
      </c>
      <c r="J14" s="101">
        <v>22192</v>
      </c>
      <c r="K14" s="101">
        <v>1024</v>
      </c>
      <c r="L14" s="101">
        <v>18525</v>
      </c>
      <c r="M14" s="101">
        <v>26824</v>
      </c>
      <c r="N14" s="101">
        <v>8334</v>
      </c>
      <c r="O14" s="101">
        <v>1964</v>
      </c>
      <c r="P14" s="101">
        <v>29655</v>
      </c>
      <c r="Q14" s="101">
        <v>1306</v>
      </c>
      <c r="R14" s="101">
        <v>7612</v>
      </c>
    </row>
    <row r="15" spans="1:21" x14ac:dyDescent="0.25">
      <c r="A15" s="52">
        <v>44605</v>
      </c>
      <c r="B15" s="32">
        <v>208181</v>
      </c>
      <c r="C15" s="32"/>
      <c r="D15" s="101">
        <v>248821</v>
      </c>
      <c r="E15" s="101">
        <v>262908</v>
      </c>
      <c r="F15" s="101">
        <v>67086</v>
      </c>
      <c r="G15" s="101">
        <v>116723</v>
      </c>
      <c r="H15" s="101">
        <v>59861</v>
      </c>
      <c r="I15" s="101">
        <v>71333</v>
      </c>
      <c r="J15" s="101">
        <v>22197</v>
      </c>
      <c r="K15" s="101">
        <v>1024</v>
      </c>
      <c r="L15" s="101">
        <v>18529</v>
      </c>
      <c r="M15" s="101">
        <v>26831</v>
      </c>
      <c r="N15" s="101">
        <v>8340</v>
      </c>
      <c r="O15" s="101">
        <v>1965</v>
      </c>
      <c r="P15" s="101">
        <v>29664</v>
      </c>
      <c r="Q15" s="101">
        <v>1307</v>
      </c>
      <c r="R15" s="101">
        <v>7619</v>
      </c>
      <c r="T15" s="99"/>
      <c r="U15" s="99"/>
    </row>
    <row r="16" spans="1:21" x14ac:dyDescent="0.25">
      <c r="A16" s="52">
        <v>44606</v>
      </c>
      <c r="B16" s="32">
        <v>208458</v>
      </c>
      <c r="C16" s="54"/>
      <c r="D16" s="101">
        <v>249112</v>
      </c>
      <c r="E16" s="101">
        <v>262987</v>
      </c>
      <c r="F16" s="101">
        <v>67086</v>
      </c>
      <c r="G16" s="101">
        <v>116741</v>
      </c>
      <c r="H16" s="101">
        <v>59861</v>
      </c>
      <c r="I16" s="101">
        <v>71370</v>
      </c>
      <c r="J16" s="101">
        <v>22203</v>
      </c>
      <c r="K16" s="101">
        <v>1024</v>
      </c>
      <c r="L16" s="101">
        <v>18532</v>
      </c>
      <c r="M16" s="101">
        <v>26840</v>
      </c>
      <c r="N16" s="101">
        <v>8343</v>
      </c>
      <c r="O16" s="101">
        <v>1967</v>
      </c>
      <c r="P16" s="101">
        <v>29679</v>
      </c>
      <c r="Q16" s="101">
        <v>1313</v>
      </c>
      <c r="R16" s="101">
        <v>7627</v>
      </c>
    </row>
    <row r="17" spans="1:22" x14ac:dyDescent="0.25">
      <c r="A17" s="52">
        <v>44607</v>
      </c>
      <c r="B17" s="32">
        <v>208657</v>
      </c>
      <c r="C17" s="32"/>
      <c r="D17" s="101">
        <v>249273</v>
      </c>
      <c r="E17" s="101">
        <v>263059</v>
      </c>
      <c r="F17" s="101">
        <v>67087</v>
      </c>
      <c r="G17" s="101">
        <v>116767</v>
      </c>
      <c r="H17" s="101">
        <v>59861</v>
      </c>
      <c r="I17" s="101">
        <v>71402</v>
      </c>
      <c r="J17" s="101">
        <v>22208</v>
      </c>
      <c r="K17" s="101">
        <v>1024</v>
      </c>
      <c r="L17" s="101">
        <v>18536</v>
      </c>
      <c r="M17" s="101">
        <v>26846</v>
      </c>
      <c r="N17" s="101">
        <v>8346</v>
      </c>
      <c r="O17" s="101">
        <v>1968</v>
      </c>
      <c r="P17" s="101">
        <v>29689</v>
      </c>
      <c r="Q17" s="101">
        <v>1315</v>
      </c>
      <c r="R17" s="101">
        <v>7635</v>
      </c>
    </row>
    <row r="18" spans="1:22" x14ac:dyDescent="0.25">
      <c r="A18" s="52">
        <v>44608</v>
      </c>
      <c r="B18" s="32">
        <v>208895</v>
      </c>
      <c r="C18" s="54"/>
      <c r="D18" s="101">
        <v>249483</v>
      </c>
      <c r="E18" s="101">
        <v>263145</v>
      </c>
      <c r="F18" s="101">
        <v>67087</v>
      </c>
      <c r="G18" s="101">
        <v>116790</v>
      </c>
      <c r="H18" s="101">
        <v>59861</v>
      </c>
      <c r="I18" s="101">
        <v>71434</v>
      </c>
      <c r="J18" s="101">
        <v>22214</v>
      </c>
      <c r="K18" s="101">
        <v>1024</v>
      </c>
      <c r="L18" s="101">
        <v>18540</v>
      </c>
      <c r="M18" s="101">
        <v>26854</v>
      </c>
      <c r="N18" s="101">
        <v>8349</v>
      </c>
      <c r="O18" s="101">
        <v>1969</v>
      </c>
      <c r="P18" s="101">
        <v>29698</v>
      </c>
      <c r="Q18" s="101">
        <v>1323</v>
      </c>
      <c r="R18" s="101">
        <v>7642</v>
      </c>
      <c r="U18" s="99"/>
    </row>
    <row r="19" spans="1:22" x14ac:dyDescent="0.25">
      <c r="A19" s="52">
        <v>44609</v>
      </c>
      <c r="B19" s="32">
        <v>209155</v>
      </c>
      <c r="C19" s="32"/>
      <c r="D19" s="101">
        <v>249718</v>
      </c>
      <c r="E19" s="101">
        <v>263326</v>
      </c>
      <c r="F19" s="101">
        <v>67088</v>
      </c>
      <c r="G19" s="101">
        <v>116819</v>
      </c>
      <c r="H19" s="101">
        <v>59951</v>
      </c>
      <c r="I19" s="101">
        <v>71468</v>
      </c>
      <c r="J19" s="101">
        <v>22219</v>
      </c>
      <c r="K19" s="101">
        <v>1024</v>
      </c>
      <c r="L19" s="101">
        <v>18544</v>
      </c>
      <c r="M19" s="101">
        <v>26862</v>
      </c>
      <c r="N19" s="101">
        <v>8352</v>
      </c>
      <c r="O19" s="101">
        <v>1970</v>
      </c>
      <c r="P19" s="101">
        <v>29707</v>
      </c>
      <c r="Q19" s="101">
        <v>1325</v>
      </c>
      <c r="R19" s="101">
        <v>7650</v>
      </c>
    </row>
    <row r="20" spans="1:22" x14ac:dyDescent="0.25">
      <c r="A20" s="52">
        <v>44610</v>
      </c>
      <c r="B20" s="32">
        <v>209410</v>
      </c>
      <c r="C20" s="54"/>
      <c r="D20" s="102">
        <v>249930</v>
      </c>
      <c r="E20" s="101">
        <v>263365</v>
      </c>
      <c r="F20" s="101">
        <v>67088</v>
      </c>
      <c r="G20" s="101">
        <v>116848</v>
      </c>
      <c r="H20" s="101">
        <v>60041</v>
      </c>
      <c r="I20" s="101">
        <v>71511</v>
      </c>
      <c r="J20" s="101">
        <v>22225</v>
      </c>
      <c r="K20" s="101">
        <v>1024</v>
      </c>
      <c r="L20" s="101">
        <v>18547</v>
      </c>
      <c r="M20" s="101">
        <v>26872</v>
      </c>
      <c r="N20" s="101">
        <v>8355</v>
      </c>
      <c r="O20" s="101">
        <v>1971</v>
      </c>
      <c r="P20" s="101">
        <v>29727</v>
      </c>
      <c r="Q20" s="101">
        <v>1326</v>
      </c>
      <c r="R20" s="101">
        <v>7658</v>
      </c>
    </row>
    <row r="21" spans="1:22" x14ac:dyDescent="0.25">
      <c r="A21" s="52">
        <v>44611</v>
      </c>
      <c r="B21" s="32">
        <v>209663</v>
      </c>
      <c r="C21" s="32"/>
      <c r="D21" s="101">
        <v>250150</v>
      </c>
      <c r="E21" s="101">
        <v>263383</v>
      </c>
      <c r="F21" s="101">
        <v>67088</v>
      </c>
      <c r="G21" s="101">
        <v>116885</v>
      </c>
      <c r="H21" s="101">
        <v>60133</v>
      </c>
      <c r="I21" s="101">
        <v>71536</v>
      </c>
      <c r="J21" s="101">
        <v>22230</v>
      </c>
      <c r="K21" s="101">
        <v>1024</v>
      </c>
      <c r="L21" s="101">
        <v>18550</v>
      </c>
      <c r="M21" s="101">
        <v>26880</v>
      </c>
      <c r="N21" s="101">
        <v>8357</v>
      </c>
      <c r="O21" s="101">
        <v>1972</v>
      </c>
      <c r="P21" s="101">
        <v>29727</v>
      </c>
      <c r="Q21" s="101">
        <v>1332</v>
      </c>
      <c r="R21" s="101">
        <v>7659</v>
      </c>
    </row>
    <row r="22" spans="1:22" x14ac:dyDescent="0.25">
      <c r="A22" s="52">
        <v>44612</v>
      </c>
      <c r="B22" s="32">
        <v>209914</v>
      </c>
      <c r="C22" s="54"/>
      <c r="D22" s="101">
        <v>250349</v>
      </c>
      <c r="E22" s="101">
        <v>263463</v>
      </c>
      <c r="F22" s="101">
        <v>67089</v>
      </c>
      <c r="G22" s="101">
        <v>116911</v>
      </c>
      <c r="H22" s="101">
        <v>60224</v>
      </c>
      <c r="I22" s="101">
        <v>71570</v>
      </c>
      <c r="J22" s="101">
        <v>22236</v>
      </c>
      <c r="K22" s="101">
        <v>1024</v>
      </c>
      <c r="L22" s="101">
        <v>18554</v>
      </c>
      <c r="M22" s="101">
        <v>26888</v>
      </c>
      <c r="N22" s="101">
        <v>8360</v>
      </c>
      <c r="O22" s="101">
        <v>1974</v>
      </c>
      <c r="P22" s="101">
        <v>29739</v>
      </c>
      <c r="Q22" s="101">
        <v>1334</v>
      </c>
      <c r="R22" s="101">
        <v>7667</v>
      </c>
    </row>
    <row r="23" spans="1:22" x14ac:dyDescent="0.25">
      <c r="A23" s="52">
        <v>44613</v>
      </c>
      <c r="B23" s="32">
        <v>210142</v>
      </c>
      <c r="C23" s="32"/>
      <c r="D23" s="101">
        <v>250499</v>
      </c>
      <c r="E23" s="101">
        <v>263543</v>
      </c>
      <c r="F23" s="101">
        <v>67091</v>
      </c>
      <c r="G23" s="101">
        <v>116941</v>
      </c>
      <c r="H23" s="101">
        <v>60314</v>
      </c>
      <c r="I23" s="101">
        <v>71619</v>
      </c>
      <c r="J23" s="101">
        <v>22241</v>
      </c>
      <c r="K23" s="101">
        <v>1024</v>
      </c>
      <c r="L23" s="101">
        <v>18557</v>
      </c>
      <c r="M23" s="101">
        <v>26897</v>
      </c>
      <c r="N23" s="101">
        <v>8362</v>
      </c>
      <c r="O23" s="101">
        <v>1975</v>
      </c>
      <c r="P23" s="101">
        <v>29759</v>
      </c>
      <c r="Q23" s="101">
        <v>1340</v>
      </c>
      <c r="R23" s="101">
        <v>7675</v>
      </c>
      <c r="S23" s="10" t="s">
        <v>127</v>
      </c>
    </row>
    <row r="24" spans="1:22" x14ac:dyDescent="0.25">
      <c r="A24" s="52">
        <v>44614</v>
      </c>
      <c r="B24" s="32">
        <v>210403</v>
      </c>
      <c r="C24" s="54"/>
      <c r="D24" s="101">
        <v>250718</v>
      </c>
      <c r="E24" s="101">
        <v>263630</v>
      </c>
      <c r="F24" s="101">
        <v>67091</v>
      </c>
      <c r="G24" s="101">
        <v>116977</v>
      </c>
      <c r="H24" s="101">
        <v>60404</v>
      </c>
      <c r="I24" s="101">
        <v>71666</v>
      </c>
      <c r="J24" s="101">
        <v>22241</v>
      </c>
      <c r="K24" s="101">
        <v>1024</v>
      </c>
      <c r="L24" s="101">
        <v>18561</v>
      </c>
      <c r="M24" s="101">
        <v>26907</v>
      </c>
      <c r="N24" s="101">
        <v>8365</v>
      </c>
      <c r="O24" s="101">
        <v>1976</v>
      </c>
      <c r="P24" s="101">
        <v>29777</v>
      </c>
      <c r="Q24" s="101">
        <v>1341</v>
      </c>
      <c r="R24" s="101">
        <v>7684</v>
      </c>
    </row>
    <row r="25" spans="1:22" x14ac:dyDescent="0.25">
      <c r="A25" s="52">
        <v>44615</v>
      </c>
      <c r="B25" s="32">
        <v>210689</v>
      </c>
      <c r="C25" s="32"/>
      <c r="D25" s="101">
        <v>250945</v>
      </c>
      <c r="E25" s="101">
        <v>263700</v>
      </c>
      <c r="F25" s="101">
        <v>67092</v>
      </c>
      <c r="G25" s="101">
        <v>117013</v>
      </c>
      <c r="H25" s="101">
        <v>60507</v>
      </c>
      <c r="I25" s="101">
        <v>71719</v>
      </c>
      <c r="J25" s="101">
        <v>22253</v>
      </c>
      <c r="K25" s="101">
        <v>1024</v>
      </c>
      <c r="L25" s="101">
        <v>18565</v>
      </c>
      <c r="M25" s="101">
        <v>26916</v>
      </c>
      <c r="N25" s="101">
        <v>8368</v>
      </c>
      <c r="O25" s="101">
        <v>1978</v>
      </c>
      <c r="P25" s="101">
        <v>29777</v>
      </c>
      <c r="Q25" s="101">
        <v>1347</v>
      </c>
      <c r="R25" s="101">
        <v>7691</v>
      </c>
    </row>
    <row r="26" spans="1:22" x14ac:dyDescent="0.25">
      <c r="A26" s="52">
        <v>44616</v>
      </c>
      <c r="B26" s="32"/>
      <c r="C26" s="54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</row>
    <row r="27" spans="1:22" x14ac:dyDescent="0.25">
      <c r="A27" s="52">
        <v>44617</v>
      </c>
      <c r="B27" s="32"/>
      <c r="C27" s="3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22" x14ac:dyDescent="0.25">
      <c r="A28" s="52">
        <v>44618</v>
      </c>
      <c r="B28" s="32"/>
      <c r="C28" s="54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22" x14ac:dyDescent="0.25">
      <c r="A29" s="52">
        <v>44619</v>
      </c>
      <c r="B29" s="32"/>
      <c r="C29" s="32"/>
      <c r="D29" s="101"/>
      <c r="E29" s="101"/>
      <c r="F29" s="101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</row>
    <row r="30" spans="1:22" x14ac:dyDescent="0.25">
      <c r="A30" s="52">
        <v>44620</v>
      </c>
      <c r="B30" s="32"/>
      <c r="C30" s="5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22" x14ac:dyDescent="0.25">
      <c r="A31" s="52">
        <v>44621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69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S19" sqref="S19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5" t="s">
        <v>31</v>
      </c>
      <c r="B2" s="146" t="s">
        <v>108</v>
      </c>
      <c r="C2" s="146" t="s">
        <v>109</v>
      </c>
      <c r="D2" s="146"/>
      <c r="E2" s="147" t="s">
        <v>97</v>
      </c>
      <c r="F2" s="148"/>
      <c r="G2" s="149" t="s">
        <v>112</v>
      </c>
      <c r="H2" s="148"/>
      <c r="I2" s="149" t="s">
        <v>110</v>
      </c>
      <c r="J2" s="148"/>
      <c r="K2" s="149" t="s">
        <v>111</v>
      </c>
      <c r="L2" s="148"/>
      <c r="M2" s="149" t="s">
        <v>107</v>
      </c>
      <c r="N2" s="148"/>
      <c r="O2" s="149" t="s">
        <v>106</v>
      </c>
      <c r="P2" s="148"/>
      <c r="Q2" s="149" t="s">
        <v>113</v>
      </c>
      <c r="R2" s="148"/>
      <c r="S2" s="149" t="s">
        <v>114</v>
      </c>
      <c r="T2" s="148"/>
      <c r="U2" s="149" t="s">
        <v>115</v>
      </c>
      <c r="V2" s="148"/>
      <c r="W2" s="149" t="s">
        <v>99</v>
      </c>
      <c r="X2" s="150"/>
      <c r="Y2" s="151" t="s">
        <v>52</v>
      </c>
      <c r="Z2" s="151"/>
    </row>
    <row r="3" spans="1:26" ht="30" x14ac:dyDescent="0.35">
      <c r="A3" s="145"/>
      <c r="B3" s="146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361</v>
      </c>
      <c r="C11" s="63">
        <f>('Water Reading'!B11-'Water Reading'!B10)+('Water Reading'!C11-'Water Reading'!C10)</f>
        <v>220</v>
      </c>
      <c r="D11" s="64">
        <f t="shared" si="2"/>
        <v>0.60941828254847641</v>
      </c>
      <c r="E11" s="82">
        <f>'Water Reading'!H11-'Water Reading'!H10</f>
        <v>0</v>
      </c>
      <c r="F11" s="83">
        <f t="shared" si="3"/>
        <v>0</v>
      </c>
      <c r="G11" s="87">
        <f>('Water Reading'!D11-'Water Reading'!D10)-('Water Reading'!R11-'Water Reading'!R10)-('Water Reading'!Q11-'Water Reading'!Q10)</f>
        <v>212</v>
      </c>
      <c r="H11" s="83">
        <f t="shared" si="4"/>
        <v>0.96363636363636362</v>
      </c>
      <c r="I11" s="84">
        <f>'Water Reading'!P11-'Water Reading'!P10</f>
        <v>6</v>
      </c>
      <c r="J11" s="65">
        <f t="shared" si="5"/>
        <v>2.7272727272727271E-2</v>
      </c>
      <c r="K11" s="85">
        <f>('Water Reading'!I11-'Water Reading'!I10)-('Water Reading'!P11-'Water Reading'!P10)</f>
        <v>21</v>
      </c>
      <c r="L11" s="65">
        <f t="shared" si="6"/>
        <v>9.5454545454545459E-2</v>
      </c>
      <c r="M11" s="84">
        <f>'Water Reading'!R11-'Water Reading'!R10</f>
        <v>6</v>
      </c>
      <c r="N11" s="86">
        <f t="shared" si="7"/>
        <v>2.7272727272727271E-2</v>
      </c>
      <c r="O11" s="84">
        <f>'Water Reading'!Q11-'Water Reading'!Q10</f>
        <v>2</v>
      </c>
      <c r="P11" s="91">
        <f t="shared" si="8"/>
        <v>9.0909090909090905E-3</v>
      </c>
      <c r="Q11" s="85">
        <f>'Water Reading'!N11-'Water Reading'!N10</f>
        <v>3</v>
      </c>
      <c r="R11" s="92">
        <f t="shared" si="9"/>
        <v>1.3636363636363636E-2</v>
      </c>
      <c r="S11" s="84">
        <f>'Water Reading'!E11-'Water Reading'!E10</f>
        <v>74</v>
      </c>
      <c r="T11" s="92">
        <f t="shared" si="10"/>
        <v>0.33636363636363636</v>
      </c>
      <c r="U11" s="84">
        <f>'Water Reading'!O11-'Water Reading'!O10</f>
        <v>1</v>
      </c>
      <c r="V11" s="92">
        <f t="shared" si="11"/>
        <v>4.5454545454545452E-3</v>
      </c>
      <c r="W11" s="84">
        <f>'Water Reading'!R11-'Water Reading'!R10</f>
        <v>6</v>
      </c>
      <c r="X11" s="92">
        <f t="shared" si="12"/>
        <v>2.7272727272727271E-2</v>
      </c>
      <c r="Y11" s="63">
        <f t="shared" si="0"/>
        <v>331</v>
      </c>
      <c r="Z11" s="64">
        <f t="shared" si="1"/>
        <v>0.91689750692520777</v>
      </c>
    </row>
    <row r="12" spans="1:26" x14ac:dyDescent="0.25">
      <c r="A12" s="8">
        <f>'Water Reading'!A11</f>
        <v>44601</v>
      </c>
      <c r="B12" s="62">
        <f>TOTAL!I10</f>
        <v>359</v>
      </c>
      <c r="C12" s="63">
        <f>('Water Reading'!B12-'Water Reading'!B11)+('Water Reading'!C12-'Water Reading'!C11)</f>
        <v>219</v>
      </c>
      <c r="D12" s="64">
        <f t="shared" si="2"/>
        <v>0.61002785515320335</v>
      </c>
      <c r="E12" s="82">
        <f>'Water Reading'!H12-'Water Reading'!H11</f>
        <v>0</v>
      </c>
      <c r="F12" s="83">
        <f t="shared" si="3"/>
        <v>0</v>
      </c>
      <c r="G12" s="87">
        <f>('Water Reading'!D12-'Water Reading'!D11)-('Water Reading'!R12-'Water Reading'!R11)-('Water Reading'!Q12-'Water Reading'!Q11)</f>
        <v>204</v>
      </c>
      <c r="H12" s="83">
        <f t="shared" si="4"/>
        <v>0.93150684931506844</v>
      </c>
      <c r="I12" s="84">
        <f>'Water Reading'!P12-'Water Reading'!P11</f>
        <v>15</v>
      </c>
      <c r="J12" s="65">
        <f t="shared" si="5"/>
        <v>6.8493150684931503E-2</v>
      </c>
      <c r="K12" s="85">
        <f>('Water Reading'!I12-'Water Reading'!I11)-('Water Reading'!P12-'Water Reading'!P11)</f>
        <v>20</v>
      </c>
      <c r="L12" s="65">
        <f t="shared" si="6"/>
        <v>9.1324200913242004E-2</v>
      </c>
      <c r="M12" s="84">
        <f>'Water Reading'!R12-'Water Reading'!R11</f>
        <v>7</v>
      </c>
      <c r="N12" s="86">
        <f t="shared" si="7"/>
        <v>3.1963470319634701E-2</v>
      </c>
      <c r="O12" s="84">
        <f>'Water Reading'!Q12-'Water Reading'!Q11</f>
        <v>2</v>
      </c>
      <c r="P12" s="91">
        <f t="shared" si="8"/>
        <v>9.1324200913242004E-3</v>
      </c>
      <c r="Q12" s="85">
        <f>'Water Reading'!N12-'Water Reading'!N11</f>
        <v>3</v>
      </c>
      <c r="R12" s="92">
        <f t="shared" si="9"/>
        <v>1.3698630136986301E-2</v>
      </c>
      <c r="S12" s="84">
        <f>'Water Reading'!E12-'Water Reading'!E11</f>
        <v>78</v>
      </c>
      <c r="T12" s="92">
        <f t="shared" si="10"/>
        <v>0.35616438356164382</v>
      </c>
      <c r="U12" s="84">
        <f>'Water Reading'!O12-'Water Reading'!O11</f>
        <v>1</v>
      </c>
      <c r="V12" s="92">
        <f t="shared" si="11"/>
        <v>4.5662100456621002E-3</v>
      </c>
      <c r="W12" s="84">
        <f>'Water Reading'!R12-'Water Reading'!R11</f>
        <v>7</v>
      </c>
      <c r="X12" s="92">
        <f t="shared" si="12"/>
        <v>3.1963470319634701E-2</v>
      </c>
      <c r="Y12" s="63">
        <f t="shared" si="0"/>
        <v>337</v>
      </c>
      <c r="Z12" s="64">
        <f t="shared" si="1"/>
        <v>0.93871866295264628</v>
      </c>
    </row>
    <row r="13" spans="1:26" x14ac:dyDescent="0.25">
      <c r="A13" s="8">
        <f>'Water Reading'!A12</f>
        <v>44602</v>
      </c>
      <c r="B13" s="62">
        <f>TOTAL!I11</f>
        <v>353</v>
      </c>
      <c r="C13" s="63">
        <f>('Water Reading'!B13-'Water Reading'!B12)+('Water Reading'!C13-'Water Reading'!C12)</f>
        <v>166</v>
      </c>
      <c r="D13" s="64">
        <f t="shared" si="2"/>
        <v>0.47025495750708213</v>
      </c>
      <c r="E13" s="82">
        <f>'Water Reading'!H13-'Water Reading'!H12</f>
        <v>0</v>
      </c>
      <c r="F13" s="83">
        <f t="shared" si="3"/>
        <v>0</v>
      </c>
      <c r="G13" s="87">
        <f>('Water Reading'!D13-'Water Reading'!D12)-('Water Reading'!R13-'Water Reading'!R12)-('Water Reading'!Q13-'Water Reading'!Q12)</f>
        <v>228</v>
      </c>
      <c r="H13" s="83">
        <f t="shared" si="4"/>
        <v>1.3734939759036144</v>
      </c>
      <c r="I13" s="84">
        <f>'Water Reading'!P13-'Water Reading'!P12</f>
        <v>7</v>
      </c>
      <c r="J13" s="65">
        <f t="shared" si="5"/>
        <v>4.2168674698795178E-2</v>
      </c>
      <c r="K13" s="85">
        <f>('Water Reading'!I13-'Water Reading'!I12)-('Water Reading'!P13-'Water Reading'!P12)</f>
        <v>20</v>
      </c>
      <c r="L13" s="65">
        <f t="shared" si="6"/>
        <v>0.12048192771084337</v>
      </c>
      <c r="M13" s="84">
        <f>'Water Reading'!R13-'Water Reading'!R12</f>
        <v>5</v>
      </c>
      <c r="N13" s="86">
        <f t="shared" si="7"/>
        <v>3.0120481927710843E-2</v>
      </c>
      <c r="O13" s="84">
        <f>'Water Reading'!Q13-'Water Reading'!Q12</f>
        <v>3</v>
      </c>
      <c r="P13" s="91">
        <f t="shared" si="8"/>
        <v>1.8072289156626505E-2</v>
      </c>
      <c r="Q13" s="85">
        <f>'Water Reading'!N13-'Water Reading'!N12</f>
        <v>2</v>
      </c>
      <c r="R13" s="92">
        <f t="shared" si="9"/>
        <v>1.2048192771084338E-2</v>
      </c>
      <c r="S13" s="84">
        <f>'Water Reading'!E13-'Water Reading'!E12</f>
        <v>71</v>
      </c>
      <c r="T13" s="92">
        <f t="shared" si="10"/>
        <v>0.42771084337349397</v>
      </c>
      <c r="U13" s="84">
        <f>'Water Reading'!O13-'Water Reading'!O12</f>
        <v>0</v>
      </c>
      <c r="V13" s="92">
        <f t="shared" si="11"/>
        <v>0</v>
      </c>
      <c r="W13" s="84">
        <f>'Water Reading'!R13-'Water Reading'!R12</f>
        <v>5</v>
      </c>
      <c r="X13" s="92">
        <f t="shared" si="12"/>
        <v>3.0120481927710843E-2</v>
      </c>
      <c r="Y13" s="63">
        <f t="shared" si="0"/>
        <v>341</v>
      </c>
      <c r="Z13" s="64">
        <f t="shared" si="1"/>
        <v>0.96600566572237956</v>
      </c>
    </row>
    <row r="14" spans="1:26" x14ac:dyDescent="0.25">
      <c r="A14" s="8">
        <f>'Water Reading'!A13</f>
        <v>44603</v>
      </c>
      <c r="B14" s="62">
        <f>TOTAL!I12</f>
        <v>402</v>
      </c>
      <c r="C14" s="63">
        <f>('Water Reading'!B14-'Water Reading'!B13)+('Water Reading'!C14-'Water Reading'!C13)</f>
        <v>184</v>
      </c>
      <c r="D14" s="64">
        <f t="shared" si="2"/>
        <v>0.45771144278606968</v>
      </c>
      <c r="E14" s="82">
        <f>'Water Reading'!H14-'Water Reading'!H13</f>
        <v>0</v>
      </c>
      <c r="F14" s="83">
        <f t="shared" si="3"/>
        <v>0</v>
      </c>
      <c r="G14" s="87">
        <f>('Water Reading'!D14-'Water Reading'!D13)-('Water Reading'!R14-'Water Reading'!R13)-('Water Reading'!Q14-'Water Reading'!Q13)</f>
        <v>246</v>
      </c>
      <c r="H14" s="83">
        <f t="shared" si="4"/>
        <v>1.3369565217391304</v>
      </c>
      <c r="I14" s="84">
        <f>'Water Reading'!P14-'Water Reading'!P13</f>
        <v>4</v>
      </c>
      <c r="J14" s="65">
        <f t="shared" si="5"/>
        <v>2.1739130434782608E-2</v>
      </c>
      <c r="K14" s="85">
        <f>('Water Reading'!I14-'Water Reading'!I13)-('Water Reading'!P14-'Water Reading'!P13)</f>
        <v>13</v>
      </c>
      <c r="L14" s="65">
        <f t="shared" si="6"/>
        <v>7.0652173913043473E-2</v>
      </c>
      <c r="M14" s="84">
        <f>'Water Reading'!R14-'Water Reading'!R13</f>
        <v>3</v>
      </c>
      <c r="N14" s="86">
        <f t="shared" si="7"/>
        <v>1.6304347826086956E-2</v>
      </c>
      <c r="O14" s="84">
        <f>'Water Reading'!Q14-'Water Reading'!Q13</f>
        <v>4</v>
      </c>
      <c r="P14" s="91">
        <f t="shared" si="8"/>
        <v>2.1739130434782608E-2</v>
      </c>
      <c r="Q14" s="85">
        <f>'Water Reading'!N14-'Water Reading'!N13</f>
        <v>2</v>
      </c>
      <c r="R14" s="92">
        <f t="shared" si="9"/>
        <v>1.0869565217391304E-2</v>
      </c>
      <c r="S14" s="84">
        <f>'Water Reading'!E14-'Water Reading'!E13</f>
        <v>74</v>
      </c>
      <c r="T14" s="92">
        <f t="shared" si="10"/>
        <v>0.40217391304347827</v>
      </c>
      <c r="U14" s="84">
        <f>'Water Reading'!O14-'Water Reading'!O13</f>
        <v>1</v>
      </c>
      <c r="V14" s="92">
        <f t="shared" si="11"/>
        <v>5.434782608695652E-3</v>
      </c>
      <c r="W14" s="84">
        <f>'Water Reading'!R14-'Water Reading'!R13</f>
        <v>3</v>
      </c>
      <c r="X14" s="92">
        <f t="shared" si="12"/>
        <v>1.6304347826086956E-2</v>
      </c>
      <c r="Y14" s="63">
        <f t="shared" si="0"/>
        <v>350</v>
      </c>
      <c r="Z14" s="64">
        <f t="shared" si="1"/>
        <v>0.87064676616915426</v>
      </c>
    </row>
    <row r="15" spans="1:26" x14ac:dyDescent="0.25">
      <c r="A15" s="8">
        <f>'Water Reading'!A14</f>
        <v>44604</v>
      </c>
      <c r="B15" s="62">
        <f>TOTAL!I13</f>
        <v>369</v>
      </c>
      <c r="C15" s="63">
        <f>('Water Reading'!B15-'Water Reading'!B14)+('Water Reading'!C15-'Water Reading'!C14)</f>
        <v>273</v>
      </c>
      <c r="D15" s="64">
        <f t="shared" si="2"/>
        <v>0.73983739837398377</v>
      </c>
      <c r="E15" s="82">
        <f>'Water Reading'!H15-'Water Reading'!H14</f>
        <v>0</v>
      </c>
      <c r="F15" s="83">
        <f t="shared" si="3"/>
        <v>0</v>
      </c>
      <c r="G15" s="87">
        <f>('Water Reading'!D15-'Water Reading'!D14)-('Water Reading'!R15-'Water Reading'!R14)-('Water Reading'!Q15-'Water Reading'!Q14)</f>
        <v>263</v>
      </c>
      <c r="H15" s="83">
        <f t="shared" si="4"/>
        <v>0.96336996336996339</v>
      </c>
      <c r="I15" s="84">
        <f>'Water Reading'!P15-'Water Reading'!P14</f>
        <v>9</v>
      </c>
      <c r="J15" s="65">
        <f t="shared" si="5"/>
        <v>3.2967032967032968E-2</v>
      </c>
      <c r="K15" s="85">
        <f>('Water Reading'!I15-'Water Reading'!I14)-('Water Reading'!P15-'Water Reading'!P14)</f>
        <v>22</v>
      </c>
      <c r="L15" s="65">
        <f t="shared" si="6"/>
        <v>8.0586080586080591E-2</v>
      </c>
      <c r="M15" s="84">
        <f>'Water Reading'!R15-'Water Reading'!R14</f>
        <v>7</v>
      </c>
      <c r="N15" s="86">
        <f t="shared" si="7"/>
        <v>2.564102564102564E-2</v>
      </c>
      <c r="O15" s="84">
        <f>'Water Reading'!Q15-'Water Reading'!Q14</f>
        <v>1</v>
      </c>
      <c r="P15" s="91">
        <f t="shared" si="8"/>
        <v>3.663003663003663E-3</v>
      </c>
      <c r="Q15" s="85">
        <f>'Water Reading'!N15-'Water Reading'!N14</f>
        <v>6</v>
      </c>
      <c r="R15" s="92">
        <f t="shared" si="9"/>
        <v>2.197802197802198E-2</v>
      </c>
      <c r="S15" s="84">
        <f>'Water Reading'!E15-'Water Reading'!E14</f>
        <v>77</v>
      </c>
      <c r="T15" s="92">
        <f t="shared" si="10"/>
        <v>0.28205128205128205</v>
      </c>
      <c r="U15" s="84">
        <f>'Water Reading'!O15-'Water Reading'!O14</f>
        <v>1</v>
      </c>
      <c r="V15" s="92">
        <f t="shared" si="11"/>
        <v>3.663003663003663E-3</v>
      </c>
      <c r="W15" s="84">
        <f>'Water Reading'!R15-'Water Reading'!R14</f>
        <v>7</v>
      </c>
      <c r="X15" s="92">
        <f t="shared" si="12"/>
        <v>2.564102564102564E-2</v>
      </c>
      <c r="Y15" s="63">
        <f t="shared" si="0"/>
        <v>393</v>
      </c>
      <c r="Z15" s="64">
        <f t="shared" si="1"/>
        <v>1.065040650406504</v>
      </c>
    </row>
    <row r="16" spans="1:26" x14ac:dyDescent="0.25">
      <c r="A16" s="8">
        <f>'Water Reading'!A15</f>
        <v>44605</v>
      </c>
      <c r="B16" s="62">
        <f>TOTAL!I14</f>
        <v>386</v>
      </c>
      <c r="C16" s="63">
        <f>('Water Reading'!B16-'Water Reading'!B15)+('Water Reading'!C16-'Water Reading'!C15)</f>
        <v>277</v>
      </c>
      <c r="D16" s="64">
        <f t="shared" si="2"/>
        <v>0.71761658031088082</v>
      </c>
      <c r="E16" s="82">
        <f>'Water Reading'!H16-'Water Reading'!H15</f>
        <v>0</v>
      </c>
      <c r="F16" s="83">
        <f t="shared" si="3"/>
        <v>0</v>
      </c>
      <c r="G16" s="87">
        <f>('Water Reading'!D16-'Water Reading'!D15)-('Water Reading'!R16-'Water Reading'!R15)-('Water Reading'!Q16-'Water Reading'!Q15)</f>
        <v>277</v>
      </c>
      <c r="H16" s="83">
        <f t="shared" si="4"/>
        <v>1</v>
      </c>
      <c r="I16" s="84">
        <f>'Water Reading'!P16-'Water Reading'!P15</f>
        <v>15</v>
      </c>
      <c r="J16" s="65">
        <f t="shared" si="5"/>
        <v>5.4151624548736461E-2</v>
      </c>
      <c r="K16" s="85">
        <f>('Water Reading'!I16-'Water Reading'!I15)-('Water Reading'!P16-'Water Reading'!P15)</f>
        <v>22</v>
      </c>
      <c r="L16" s="65">
        <f t="shared" si="6"/>
        <v>7.9422382671480149E-2</v>
      </c>
      <c r="M16" s="84">
        <f>'Water Reading'!R16-'Water Reading'!R15</f>
        <v>8</v>
      </c>
      <c r="N16" s="86">
        <f t="shared" si="7"/>
        <v>2.8880866425992781E-2</v>
      </c>
      <c r="O16" s="84">
        <f>'Water Reading'!Q16-'Water Reading'!Q15</f>
        <v>6</v>
      </c>
      <c r="P16" s="91">
        <f t="shared" si="8"/>
        <v>2.1660649819494584E-2</v>
      </c>
      <c r="Q16" s="85">
        <f>'Water Reading'!N16-'Water Reading'!N15</f>
        <v>3</v>
      </c>
      <c r="R16" s="92">
        <f t="shared" si="9"/>
        <v>1.0830324909747292E-2</v>
      </c>
      <c r="S16" s="84">
        <f>'Water Reading'!E16-'Water Reading'!E15</f>
        <v>79</v>
      </c>
      <c r="T16" s="92">
        <f t="shared" si="10"/>
        <v>0.2851985559566787</v>
      </c>
      <c r="U16" s="84">
        <f>'Water Reading'!O16-'Water Reading'!O15</f>
        <v>2</v>
      </c>
      <c r="V16" s="92">
        <f t="shared" si="11"/>
        <v>7.2202166064981952E-3</v>
      </c>
      <c r="W16" s="84">
        <f>'Water Reading'!R16-'Water Reading'!R15</f>
        <v>8</v>
      </c>
      <c r="X16" s="92">
        <f t="shared" si="12"/>
        <v>2.8880866425992781E-2</v>
      </c>
      <c r="Y16" s="63">
        <f t="shared" si="0"/>
        <v>420</v>
      </c>
      <c r="Z16" s="64">
        <f t="shared" si="1"/>
        <v>1.0880829015544042</v>
      </c>
    </row>
    <row r="17" spans="1:26" x14ac:dyDescent="0.25">
      <c r="A17" s="8">
        <f>'Water Reading'!A16</f>
        <v>44606</v>
      </c>
      <c r="B17" s="62">
        <f>TOTAL!I15</f>
        <v>387</v>
      </c>
      <c r="C17" s="63">
        <f>('Water Reading'!B17-'Water Reading'!B16)+('Water Reading'!C17-'Water Reading'!C16)</f>
        <v>199</v>
      </c>
      <c r="D17" s="64">
        <f t="shared" si="2"/>
        <v>0.51421188630490955</v>
      </c>
      <c r="E17" s="82">
        <f>'Water Reading'!H17-'Water Reading'!H16</f>
        <v>0</v>
      </c>
      <c r="F17" s="83">
        <f t="shared" si="3"/>
        <v>0</v>
      </c>
      <c r="G17" s="87">
        <f>('Water Reading'!D17-'Water Reading'!D16)-('Water Reading'!R17-'Water Reading'!R16)-('Water Reading'!Q17-'Water Reading'!Q16)</f>
        <v>151</v>
      </c>
      <c r="H17" s="83">
        <f t="shared" si="4"/>
        <v>0.75879396984924619</v>
      </c>
      <c r="I17" s="84">
        <f>'Water Reading'!P17-'Water Reading'!P16</f>
        <v>10</v>
      </c>
      <c r="J17" s="65">
        <f t="shared" si="5"/>
        <v>5.0251256281407038E-2</v>
      </c>
      <c r="K17" s="85">
        <f>('Water Reading'!I17-'Water Reading'!I16)-('Water Reading'!P17-'Water Reading'!P16)</f>
        <v>22</v>
      </c>
      <c r="L17" s="65">
        <f t="shared" si="6"/>
        <v>0.11055276381909548</v>
      </c>
      <c r="M17" s="84">
        <f>'Water Reading'!R17-'Water Reading'!R16</f>
        <v>8</v>
      </c>
      <c r="N17" s="86">
        <f t="shared" si="7"/>
        <v>4.0201005025125629E-2</v>
      </c>
      <c r="O17" s="84">
        <f>'Water Reading'!Q17-'Water Reading'!Q16</f>
        <v>2</v>
      </c>
      <c r="P17" s="91">
        <f t="shared" si="8"/>
        <v>1.0050251256281407E-2</v>
      </c>
      <c r="Q17" s="85">
        <f>'Water Reading'!N17-'Water Reading'!N16</f>
        <v>3</v>
      </c>
      <c r="R17" s="92">
        <f t="shared" si="9"/>
        <v>1.507537688442211E-2</v>
      </c>
      <c r="S17" s="84">
        <f>'Water Reading'!E17-'Water Reading'!E16</f>
        <v>72</v>
      </c>
      <c r="T17" s="92">
        <f t="shared" si="10"/>
        <v>0.36180904522613067</v>
      </c>
      <c r="U17" s="84">
        <f>'Water Reading'!O17-'Water Reading'!O16</f>
        <v>1</v>
      </c>
      <c r="V17" s="92">
        <f t="shared" si="11"/>
        <v>5.0251256281407036E-3</v>
      </c>
      <c r="W17" s="84">
        <f>'Water Reading'!R17-'Water Reading'!R16</f>
        <v>8</v>
      </c>
      <c r="X17" s="92">
        <f t="shared" si="12"/>
        <v>4.0201005025125629E-2</v>
      </c>
      <c r="Y17" s="63">
        <f t="shared" si="0"/>
        <v>277</v>
      </c>
      <c r="Z17" s="64">
        <f t="shared" si="1"/>
        <v>0.7157622739018088</v>
      </c>
    </row>
    <row r="18" spans="1:26" x14ac:dyDescent="0.25">
      <c r="A18" s="8">
        <f>'Water Reading'!A17</f>
        <v>44607</v>
      </c>
      <c r="B18" s="62">
        <f>TOTAL!I16</f>
        <v>386</v>
      </c>
      <c r="C18" s="63">
        <f>('Water Reading'!B18-'Water Reading'!B17)+('Water Reading'!C18-'Water Reading'!C17)</f>
        <v>238</v>
      </c>
      <c r="D18" s="64">
        <f t="shared" si="2"/>
        <v>0.61658031088082899</v>
      </c>
      <c r="E18" s="82">
        <f>'Water Reading'!H18-'Water Reading'!H17</f>
        <v>0</v>
      </c>
      <c r="F18" s="83">
        <f t="shared" si="3"/>
        <v>0</v>
      </c>
      <c r="G18" s="87">
        <f>('Water Reading'!D18-'Water Reading'!D17)-('Water Reading'!R18-'Water Reading'!R17)-('Water Reading'!Q18-'Water Reading'!Q17)</f>
        <v>195</v>
      </c>
      <c r="H18" s="83">
        <f t="shared" si="4"/>
        <v>0.81932773109243695</v>
      </c>
      <c r="I18" s="84">
        <f>'Water Reading'!P18-'Water Reading'!P17</f>
        <v>9</v>
      </c>
      <c r="J18" s="65">
        <f t="shared" si="5"/>
        <v>3.7815126050420166E-2</v>
      </c>
      <c r="K18" s="85">
        <f>('Water Reading'!I18-'Water Reading'!I17)-('Water Reading'!P18-'Water Reading'!P17)</f>
        <v>23</v>
      </c>
      <c r="L18" s="65">
        <f t="shared" si="6"/>
        <v>9.6638655462184878E-2</v>
      </c>
      <c r="M18" s="84">
        <f>'Water Reading'!R18-'Water Reading'!R17</f>
        <v>7</v>
      </c>
      <c r="N18" s="86">
        <f t="shared" si="7"/>
        <v>2.9411764705882353E-2</v>
      </c>
      <c r="O18" s="84">
        <f>'Water Reading'!Q18-'Water Reading'!Q17</f>
        <v>8</v>
      </c>
      <c r="P18" s="91">
        <f t="shared" si="8"/>
        <v>3.3613445378151259E-2</v>
      </c>
      <c r="Q18" s="85">
        <f>'Water Reading'!N18-'Water Reading'!N17</f>
        <v>3</v>
      </c>
      <c r="R18" s="92">
        <f t="shared" si="9"/>
        <v>1.2605042016806723E-2</v>
      </c>
      <c r="S18" s="84">
        <f>'Water Reading'!E18-'Water Reading'!E17</f>
        <v>86</v>
      </c>
      <c r="T18" s="92">
        <f t="shared" si="10"/>
        <v>0.36134453781512604</v>
      </c>
      <c r="U18" s="84">
        <f>'Water Reading'!O18-'Water Reading'!O17</f>
        <v>1</v>
      </c>
      <c r="V18" s="92">
        <f t="shared" si="11"/>
        <v>4.2016806722689074E-3</v>
      </c>
      <c r="W18" s="84">
        <f>'Water Reading'!R18-'Water Reading'!R17</f>
        <v>7</v>
      </c>
      <c r="X18" s="92">
        <f t="shared" si="12"/>
        <v>2.9411764705882353E-2</v>
      </c>
      <c r="Y18" s="63">
        <f t="shared" si="0"/>
        <v>339</v>
      </c>
      <c r="Z18" s="64">
        <f t="shared" si="1"/>
        <v>0.87823834196891193</v>
      </c>
    </row>
    <row r="19" spans="1:26" x14ac:dyDescent="0.25">
      <c r="A19" s="8">
        <f>'Water Reading'!A18</f>
        <v>44608</v>
      </c>
      <c r="B19" s="62">
        <f>TOTAL!I17</f>
        <v>393</v>
      </c>
      <c r="C19" s="63">
        <f>('Water Reading'!B19-'Water Reading'!B18)+('Water Reading'!C19-'Water Reading'!C18)</f>
        <v>260</v>
      </c>
      <c r="D19" s="64">
        <f t="shared" si="2"/>
        <v>0.66157760814249367</v>
      </c>
      <c r="E19" s="82">
        <f>'Water Reading'!H19-'Water Reading'!H18</f>
        <v>90</v>
      </c>
      <c r="F19" s="83">
        <f t="shared" si="3"/>
        <v>0.34615384615384615</v>
      </c>
      <c r="G19" s="87">
        <f>('Water Reading'!D19-'Water Reading'!D18)-('Water Reading'!R19-'Water Reading'!R18)-('Water Reading'!Q19-'Water Reading'!Q18)</f>
        <v>225</v>
      </c>
      <c r="H19" s="83">
        <f t="shared" si="4"/>
        <v>0.86538461538461542</v>
      </c>
      <c r="I19" s="84">
        <f>'Water Reading'!P19-'Water Reading'!P18</f>
        <v>9</v>
      </c>
      <c r="J19" s="65">
        <f t="shared" si="5"/>
        <v>3.4615384615384617E-2</v>
      </c>
      <c r="K19" s="85">
        <f>('Water Reading'!I19-'Water Reading'!I18)-('Water Reading'!P19-'Water Reading'!P18)</f>
        <v>25</v>
      </c>
      <c r="L19" s="65">
        <f t="shared" si="6"/>
        <v>9.6153846153846159E-2</v>
      </c>
      <c r="M19" s="84">
        <f>'Water Reading'!R19-'Water Reading'!R18</f>
        <v>8</v>
      </c>
      <c r="N19" s="86">
        <f t="shared" si="7"/>
        <v>3.0769230769230771E-2</v>
      </c>
      <c r="O19" s="84">
        <f>'Water Reading'!Q19-'Water Reading'!Q18</f>
        <v>2</v>
      </c>
      <c r="P19" s="91">
        <f t="shared" si="8"/>
        <v>7.6923076923076927E-3</v>
      </c>
      <c r="Q19" s="85">
        <f>'Water Reading'!N19-'Water Reading'!N18</f>
        <v>3</v>
      </c>
      <c r="R19" s="92">
        <f t="shared" si="9"/>
        <v>1.1538461538461539E-2</v>
      </c>
      <c r="S19" s="84">
        <f>'Water Reading'!E19-'Water Reading'!E18</f>
        <v>181</v>
      </c>
      <c r="T19" s="92">
        <f t="shared" si="10"/>
        <v>0.69615384615384612</v>
      </c>
      <c r="U19" s="84">
        <f>'Water Reading'!O19-'Water Reading'!O18</f>
        <v>1</v>
      </c>
      <c r="V19" s="92">
        <f t="shared" si="11"/>
        <v>3.8461538461538464E-3</v>
      </c>
      <c r="W19" s="84">
        <f>'Water Reading'!R19-'Water Reading'!R18</f>
        <v>8</v>
      </c>
      <c r="X19" s="92">
        <f t="shared" si="12"/>
        <v>3.0769230769230771E-2</v>
      </c>
      <c r="Y19" s="63">
        <f t="shared" si="0"/>
        <v>552</v>
      </c>
      <c r="Z19" s="64">
        <f t="shared" si="1"/>
        <v>1.4045801526717556</v>
      </c>
    </row>
    <row r="20" spans="1:26" x14ac:dyDescent="0.25">
      <c r="A20" s="8">
        <f>'Water Reading'!A19</f>
        <v>44609</v>
      </c>
      <c r="B20" s="62">
        <f>TOTAL!I18</f>
        <v>393</v>
      </c>
      <c r="C20" s="63">
        <f>('Water Reading'!B20-'Water Reading'!B19)+('Water Reading'!C20-'Water Reading'!C19)</f>
        <v>255</v>
      </c>
      <c r="D20" s="64">
        <f t="shared" si="2"/>
        <v>0.64885496183206104</v>
      </c>
      <c r="E20" s="82">
        <f>'Water Reading'!H20-'Water Reading'!H19</f>
        <v>90</v>
      </c>
      <c r="F20" s="83">
        <f t="shared" si="3"/>
        <v>0.35294117647058826</v>
      </c>
      <c r="G20" s="87">
        <f>('Water Reading'!D20-'Water Reading'!D19)-('Water Reading'!R20-'Water Reading'!R19)-('Water Reading'!Q20-'Water Reading'!Q19)</f>
        <v>203</v>
      </c>
      <c r="H20" s="83">
        <f t="shared" si="4"/>
        <v>0.79607843137254897</v>
      </c>
      <c r="I20" s="84">
        <f>'Water Reading'!P20-'Water Reading'!P19</f>
        <v>20</v>
      </c>
      <c r="J20" s="65">
        <f t="shared" si="5"/>
        <v>7.8431372549019607E-2</v>
      </c>
      <c r="K20" s="85">
        <f>('Water Reading'!I20-'Water Reading'!I19)-('Water Reading'!P20-'Water Reading'!P19)</f>
        <v>23</v>
      </c>
      <c r="L20" s="65">
        <f t="shared" si="6"/>
        <v>9.0196078431372548E-2</v>
      </c>
      <c r="M20" s="84">
        <f>'Water Reading'!R20-'Water Reading'!R19</f>
        <v>8</v>
      </c>
      <c r="N20" s="86">
        <f t="shared" si="7"/>
        <v>3.1372549019607843E-2</v>
      </c>
      <c r="O20" s="84">
        <f>'Water Reading'!Q20-'Water Reading'!Q19</f>
        <v>1</v>
      </c>
      <c r="P20" s="91">
        <f t="shared" si="8"/>
        <v>3.9215686274509803E-3</v>
      </c>
      <c r="Q20" s="85">
        <f>'Water Reading'!N20-'Water Reading'!N19</f>
        <v>3</v>
      </c>
      <c r="R20" s="92">
        <f t="shared" si="9"/>
        <v>1.1764705882352941E-2</v>
      </c>
      <c r="S20" s="84">
        <f>'Water Reading'!E20-'Water Reading'!E19</f>
        <v>39</v>
      </c>
      <c r="T20" s="92">
        <f t="shared" si="10"/>
        <v>0.15294117647058825</v>
      </c>
      <c r="U20" s="84">
        <f>'Water Reading'!O20-'Water Reading'!O19</f>
        <v>1</v>
      </c>
      <c r="V20" s="92">
        <f t="shared" si="11"/>
        <v>3.9215686274509803E-3</v>
      </c>
      <c r="W20" s="84">
        <f>'Water Reading'!R20-'Water Reading'!R19</f>
        <v>8</v>
      </c>
      <c r="X20" s="92">
        <f t="shared" si="12"/>
        <v>3.1372549019607843E-2</v>
      </c>
      <c r="Y20" s="63">
        <f t="shared" si="0"/>
        <v>396</v>
      </c>
      <c r="Z20" s="64">
        <f t="shared" si="1"/>
        <v>1.0076335877862594</v>
      </c>
    </row>
    <row r="21" spans="1:26" x14ac:dyDescent="0.25">
      <c r="A21" s="8">
        <f>'Water Reading'!A20</f>
        <v>44610</v>
      </c>
      <c r="B21" s="62">
        <f>TOTAL!I19</f>
        <v>404</v>
      </c>
      <c r="C21" s="63">
        <f>('Water Reading'!B21-'Water Reading'!B20)+('Water Reading'!C21-'Water Reading'!C20)</f>
        <v>253</v>
      </c>
      <c r="D21" s="64">
        <f t="shared" si="2"/>
        <v>0.62623762376237624</v>
      </c>
      <c r="E21" s="82">
        <f>'Water Reading'!H21-'Water Reading'!H20</f>
        <v>92</v>
      </c>
      <c r="F21" s="83">
        <f t="shared" si="3"/>
        <v>0.36363636363636365</v>
      </c>
      <c r="G21" s="87">
        <f>('Water Reading'!D21-'Water Reading'!D20)-('Water Reading'!R21-'Water Reading'!R20)-('Water Reading'!Q21-'Water Reading'!Q20)</f>
        <v>213</v>
      </c>
      <c r="H21" s="83">
        <f t="shared" si="4"/>
        <v>0.84189723320158105</v>
      </c>
      <c r="I21" s="84">
        <f>'Water Reading'!P21-'Water Reading'!P20</f>
        <v>0</v>
      </c>
      <c r="J21" s="65">
        <f t="shared" si="5"/>
        <v>0</v>
      </c>
      <c r="K21" s="85">
        <f>('Water Reading'!I21-'Water Reading'!I20)-('Water Reading'!P21-'Water Reading'!P20)</f>
        <v>25</v>
      </c>
      <c r="L21" s="65">
        <f t="shared" si="6"/>
        <v>9.8814229249011856E-2</v>
      </c>
      <c r="M21" s="84">
        <f>'Water Reading'!R21-'Water Reading'!R20</f>
        <v>1</v>
      </c>
      <c r="N21" s="86">
        <f t="shared" si="7"/>
        <v>3.952569169960474E-3</v>
      </c>
      <c r="O21" s="84">
        <f>'Water Reading'!Q21-'Water Reading'!Q20</f>
        <v>6</v>
      </c>
      <c r="P21" s="91">
        <f t="shared" si="8"/>
        <v>2.3715415019762844E-2</v>
      </c>
      <c r="Q21" s="85">
        <f>'Water Reading'!N21-'Water Reading'!N20</f>
        <v>2</v>
      </c>
      <c r="R21" s="92">
        <f t="shared" si="9"/>
        <v>7.9051383399209481E-3</v>
      </c>
      <c r="S21" s="84">
        <f>'Water Reading'!E21-'Water Reading'!E20</f>
        <v>18</v>
      </c>
      <c r="T21" s="92">
        <f t="shared" si="10"/>
        <v>7.1146245059288543E-2</v>
      </c>
      <c r="U21" s="84">
        <f>'Water Reading'!O21-'Water Reading'!O20</f>
        <v>1</v>
      </c>
      <c r="V21" s="92">
        <f t="shared" si="11"/>
        <v>3.952569169960474E-3</v>
      </c>
      <c r="W21" s="84">
        <f>'Water Reading'!R21-'Water Reading'!R20</f>
        <v>1</v>
      </c>
      <c r="X21" s="92">
        <f t="shared" si="12"/>
        <v>3.952569169960474E-3</v>
      </c>
      <c r="Y21" s="63">
        <f t="shared" si="0"/>
        <v>359</v>
      </c>
      <c r="Z21" s="64">
        <f t="shared" si="1"/>
        <v>0.88861386138613863</v>
      </c>
    </row>
    <row r="22" spans="1:26" x14ac:dyDescent="0.25">
      <c r="A22" s="8">
        <f>'Water Reading'!A21</f>
        <v>44611</v>
      </c>
      <c r="B22" s="62">
        <f>TOTAL!I20</f>
        <v>364</v>
      </c>
      <c r="C22" s="63">
        <f>('Water Reading'!B22-'Water Reading'!B21)+('Water Reading'!C22-'Water Reading'!C21)</f>
        <v>251</v>
      </c>
      <c r="D22" s="64">
        <f t="shared" si="2"/>
        <v>0.68956043956043955</v>
      </c>
      <c r="E22" s="82">
        <f>'Water Reading'!H22-'Water Reading'!H21</f>
        <v>91</v>
      </c>
      <c r="F22" s="83">
        <f t="shared" si="3"/>
        <v>0.36254980079681276</v>
      </c>
      <c r="G22" s="87">
        <f>('Water Reading'!D22-'Water Reading'!D21)-('Water Reading'!R22-'Water Reading'!R21)-('Water Reading'!Q22-'Water Reading'!Q21)</f>
        <v>189</v>
      </c>
      <c r="H22" s="83">
        <f t="shared" si="4"/>
        <v>0.75298804780876494</v>
      </c>
      <c r="I22" s="84">
        <f>'Water Reading'!P22-'Water Reading'!P21</f>
        <v>12</v>
      </c>
      <c r="J22" s="65">
        <f t="shared" si="5"/>
        <v>4.7808764940239043E-2</v>
      </c>
      <c r="K22" s="85">
        <f>('Water Reading'!I22-'Water Reading'!I21)-('Water Reading'!P22-'Water Reading'!P21)</f>
        <v>22</v>
      </c>
      <c r="L22" s="65">
        <f t="shared" si="6"/>
        <v>8.7649402390438252E-2</v>
      </c>
      <c r="M22" s="84">
        <f>'Water Reading'!R22-'Water Reading'!R21</f>
        <v>8</v>
      </c>
      <c r="N22" s="86">
        <f t="shared" si="7"/>
        <v>3.1872509960159362E-2</v>
      </c>
      <c r="O22" s="84">
        <f>'Water Reading'!Q22-'Water Reading'!Q21</f>
        <v>2</v>
      </c>
      <c r="P22" s="91">
        <f t="shared" si="8"/>
        <v>7.9681274900398405E-3</v>
      </c>
      <c r="Q22" s="85">
        <f>'Water Reading'!N22-'Water Reading'!N21</f>
        <v>3</v>
      </c>
      <c r="R22" s="92">
        <f t="shared" si="9"/>
        <v>1.1952191235059761E-2</v>
      </c>
      <c r="S22" s="84">
        <f>'Water Reading'!E22-'Water Reading'!E21</f>
        <v>80</v>
      </c>
      <c r="T22" s="92">
        <f t="shared" si="10"/>
        <v>0.31872509960159362</v>
      </c>
      <c r="U22" s="84">
        <f>'Water Reading'!O22-'Water Reading'!O21</f>
        <v>2</v>
      </c>
      <c r="V22" s="92">
        <f t="shared" si="11"/>
        <v>7.9681274900398405E-3</v>
      </c>
      <c r="W22" s="84">
        <f>'Water Reading'!R22-'Water Reading'!R21</f>
        <v>8</v>
      </c>
      <c r="X22" s="92">
        <f t="shared" si="12"/>
        <v>3.1872509960159362E-2</v>
      </c>
      <c r="Y22" s="63">
        <f t="shared" si="0"/>
        <v>417</v>
      </c>
      <c r="Z22" s="64">
        <f t="shared" si="1"/>
        <v>1.1456043956043955</v>
      </c>
    </row>
    <row r="23" spans="1:26" x14ac:dyDescent="0.25">
      <c r="A23" s="8">
        <f>'Water Reading'!A22</f>
        <v>44612</v>
      </c>
      <c r="B23" s="62">
        <f>TOTAL!I21</f>
        <v>385</v>
      </c>
      <c r="C23" s="63">
        <f>('Water Reading'!B23-'Water Reading'!B22)+('Water Reading'!C23-'Water Reading'!C22)</f>
        <v>228</v>
      </c>
      <c r="D23" s="64">
        <f t="shared" si="2"/>
        <v>0.59220779220779218</v>
      </c>
      <c r="E23" s="82">
        <f>'Water Reading'!H23-'Water Reading'!H22</f>
        <v>90</v>
      </c>
      <c r="F23" s="83">
        <f t="shared" si="3"/>
        <v>0.39473684210526316</v>
      </c>
      <c r="G23" s="87">
        <f>('Water Reading'!D23-'Water Reading'!D22)-('Water Reading'!R23-'Water Reading'!R22)-('Water Reading'!Q23-'Water Reading'!Q22)</f>
        <v>136</v>
      </c>
      <c r="H23" s="83">
        <f t="shared" si="4"/>
        <v>0.59649122807017541</v>
      </c>
      <c r="I23" s="84">
        <f>'Water Reading'!P23-'Water Reading'!P22</f>
        <v>20</v>
      </c>
      <c r="J23" s="65">
        <f t="shared" si="5"/>
        <v>8.771929824561403E-2</v>
      </c>
      <c r="K23" s="85">
        <f>('Water Reading'!I23-'Water Reading'!I22)-('Water Reading'!P23-'Water Reading'!P22)</f>
        <v>29</v>
      </c>
      <c r="L23" s="65">
        <f t="shared" si="6"/>
        <v>0.12719298245614036</v>
      </c>
      <c r="M23" s="84">
        <f>'Water Reading'!R23-'Water Reading'!R22</f>
        <v>8</v>
      </c>
      <c r="N23" s="86">
        <f t="shared" si="7"/>
        <v>3.5087719298245612E-2</v>
      </c>
      <c r="O23" s="84">
        <f>'Water Reading'!Q23-'Water Reading'!Q22</f>
        <v>6</v>
      </c>
      <c r="P23" s="91">
        <f t="shared" si="8"/>
        <v>2.6315789473684209E-2</v>
      </c>
      <c r="Q23" s="85">
        <f>'Water Reading'!N23-'Water Reading'!N22</f>
        <v>2</v>
      </c>
      <c r="R23" s="92">
        <f t="shared" si="9"/>
        <v>8.771929824561403E-3</v>
      </c>
      <c r="S23" s="84">
        <f>'Water Reading'!E23-'Water Reading'!E22</f>
        <v>80</v>
      </c>
      <c r="T23" s="92">
        <f t="shared" si="10"/>
        <v>0.35087719298245612</v>
      </c>
      <c r="U23" s="84">
        <f>'Water Reading'!O23-'Water Reading'!O22</f>
        <v>1</v>
      </c>
      <c r="V23" s="92">
        <f t="shared" si="11"/>
        <v>4.3859649122807015E-3</v>
      </c>
      <c r="W23" s="84">
        <f>'Water Reading'!R23-'Water Reading'!R22</f>
        <v>8</v>
      </c>
      <c r="X23" s="92">
        <f t="shared" si="12"/>
        <v>3.5087719298245612E-2</v>
      </c>
      <c r="Y23" s="63">
        <f t="shared" si="0"/>
        <v>380</v>
      </c>
      <c r="Z23" s="64">
        <f t="shared" si="1"/>
        <v>0.98701298701298701</v>
      </c>
    </row>
    <row r="24" spans="1:26" x14ac:dyDescent="0.25">
      <c r="A24" s="8">
        <f>'Water Reading'!A23</f>
        <v>44613</v>
      </c>
      <c r="B24" s="62">
        <f>TOTAL!I22</f>
        <v>394</v>
      </c>
      <c r="C24" s="63">
        <f>('Water Reading'!B24-'Water Reading'!B23)+('Water Reading'!C24-'Water Reading'!C23)</f>
        <v>261</v>
      </c>
      <c r="D24" s="64">
        <f t="shared" si="2"/>
        <v>0.6624365482233503</v>
      </c>
      <c r="E24" s="82">
        <f>'Water Reading'!H24-'Water Reading'!H23</f>
        <v>90</v>
      </c>
      <c r="F24" s="83">
        <f t="shared" si="3"/>
        <v>0.34482758620689657</v>
      </c>
      <c r="G24" s="87">
        <f>('Water Reading'!D24-'Water Reading'!D23)-('Water Reading'!R24-'Water Reading'!R23)-('Water Reading'!Q24-'Water Reading'!Q23)</f>
        <v>209</v>
      </c>
      <c r="H24" s="83">
        <f t="shared" si="4"/>
        <v>0.8007662835249042</v>
      </c>
      <c r="I24" s="84">
        <f>'Water Reading'!P24-'Water Reading'!P23</f>
        <v>18</v>
      </c>
      <c r="J24" s="65">
        <f t="shared" si="5"/>
        <v>6.8965517241379309E-2</v>
      </c>
      <c r="K24" s="85">
        <f>('Water Reading'!I24-'Water Reading'!I23)-('Water Reading'!P24-'Water Reading'!P23)</f>
        <v>29</v>
      </c>
      <c r="L24" s="65">
        <f t="shared" si="6"/>
        <v>0.1111111111111111</v>
      </c>
      <c r="M24" s="84">
        <f>'Water Reading'!R24-'Water Reading'!R23</f>
        <v>9</v>
      </c>
      <c r="N24" s="86">
        <f t="shared" si="7"/>
        <v>3.4482758620689655E-2</v>
      </c>
      <c r="O24" s="84">
        <f>'Water Reading'!Q24-'Water Reading'!Q23</f>
        <v>1</v>
      </c>
      <c r="P24" s="91">
        <f t="shared" si="8"/>
        <v>3.8314176245210726E-3</v>
      </c>
      <c r="Q24" s="85">
        <f>'Water Reading'!N24-'Water Reading'!N23</f>
        <v>3</v>
      </c>
      <c r="R24" s="92">
        <f t="shared" si="9"/>
        <v>1.1494252873563218E-2</v>
      </c>
      <c r="S24" s="84">
        <f>'Water Reading'!E24-'Water Reading'!E23</f>
        <v>87</v>
      </c>
      <c r="T24" s="92">
        <f t="shared" si="10"/>
        <v>0.33333333333333331</v>
      </c>
      <c r="U24" s="84">
        <f>'Water Reading'!O24-'Water Reading'!O23</f>
        <v>1</v>
      </c>
      <c r="V24" s="92">
        <f t="shared" si="11"/>
        <v>3.8314176245210726E-3</v>
      </c>
      <c r="W24" s="84">
        <f>'Water Reading'!R24-'Water Reading'!R23</f>
        <v>9</v>
      </c>
      <c r="X24" s="92">
        <f t="shared" si="12"/>
        <v>3.4482758620689655E-2</v>
      </c>
      <c r="Y24" s="63">
        <f t="shared" si="0"/>
        <v>456</v>
      </c>
      <c r="Z24" s="64">
        <f t="shared" si="1"/>
        <v>1.1573604060913705</v>
      </c>
    </row>
    <row r="25" spans="1:26" x14ac:dyDescent="0.25">
      <c r="A25" s="8">
        <f>'Water Reading'!A24</f>
        <v>44614</v>
      </c>
      <c r="B25" s="62">
        <f>TOTAL!I23</f>
        <v>380</v>
      </c>
      <c r="C25" s="63">
        <f>('Water Reading'!B25-'Water Reading'!B24)+('Water Reading'!C25-'Water Reading'!C24)</f>
        <v>286</v>
      </c>
      <c r="D25" s="64">
        <f t="shared" si="2"/>
        <v>0.75263157894736843</v>
      </c>
      <c r="E25" s="82">
        <f>'Water Reading'!H25-'Water Reading'!H24</f>
        <v>103</v>
      </c>
      <c r="F25" s="83">
        <f t="shared" si="3"/>
        <v>0.36013986013986016</v>
      </c>
      <c r="G25" s="87">
        <f>('Water Reading'!D25-'Water Reading'!D24)-('Water Reading'!R25-'Water Reading'!R24)-('Water Reading'!Q25-'Water Reading'!Q24)</f>
        <v>214</v>
      </c>
      <c r="H25" s="83">
        <f t="shared" si="4"/>
        <v>0.74825174825174823</v>
      </c>
      <c r="I25" s="84">
        <f>'Water Reading'!P25-'Water Reading'!P24</f>
        <v>0</v>
      </c>
      <c r="J25" s="65">
        <f t="shared" si="5"/>
        <v>0</v>
      </c>
      <c r="K25" s="85">
        <f>('Water Reading'!I25-'Water Reading'!I24)-('Water Reading'!P25-'Water Reading'!P24)</f>
        <v>53</v>
      </c>
      <c r="L25" s="65">
        <f t="shared" si="6"/>
        <v>0.18531468531468531</v>
      </c>
      <c r="M25" s="84">
        <f>'Water Reading'!R25-'Water Reading'!R24</f>
        <v>7</v>
      </c>
      <c r="N25" s="86">
        <f t="shared" si="7"/>
        <v>2.4475524475524476E-2</v>
      </c>
      <c r="O25" s="84">
        <f>'Water Reading'!Q25-'Water Reading'!Q24</f>
        <v>6</v>
      </c>
      <c r="P25" s="91">
        <f t="shared" si="8"/>
        <v>2.097902097902098E-2</v>
      </c>
      <c r="Q25" s="85">
        <f>'Water Reading'!N25-'Water Reading'!N24</f>
        <v>3</v>
      </c>
      <c r="R25" s="92">
        <f t="shared" si="9"/>
        <v>1.048951048951049E-2</v>
      </c>
      <c r="S25" s="84">
        <f>'Water Reading'!E25-'Water Reading'!E24</f>
        <v>70</v>
      </c>
      <c r="T25" s="92">
        <f t="shared" si="10"/>
        <v>0.24475524475524477</v>
      </c>
      <c r="U25" s="84">
        <f>'Water Reading'!O25-'Water Reading'!O24</f>
        <v>2</v>
      </c>
      <c r="V25" s="92">
        <f t="shared" si="11"/>
        <v>6.993006993006993E-3</v>
      </c>
      <c r="W25" s="84">
        <f>'Water Reading'!R25-'Water Reading'!R24</f>
        <v>7</v>
      </c>
      <c r="X25" s="92">
        <f t="shared" si="12"/>
        <v>2.4475524475524476E-2</v>
      </c>
      <c r="Y25" s="63">
        <f t="shared" si="0"/>
        <v>465</v>
      </c>
      <c r="Z25" s="64">
        <f t="shared" si="1"/>
        <v>1.2236842105263157</v>
      </c>
    </row>
    <row r="26" spans="1:26" x14ac:dyDescent="0.25">
      <c r="A26" s="8">
        <f>'Water Reading'!A25</f>
        <v>44615</v>
      </c>
      <c r="B26" s="62">
        <f>TOTAL!I24</f>
        <v>0</v>
      </c>
      <c r="C26" s="63">
        <f>('Water Reading'!B26-'Water Reading'!B25)+('Water Reading'!C26-'Water Reading'!C25)</f>
        <v>-210689</v>
      </c>
      <c r="D26" s="64" t="e">
        <f t="shared" si="2"/>
        <v>#DIV/0!</v>
      </c>
      <c r="E26" s="82">
        <f>'Water Reading'!H26-'Water Reading'!H25</f>
        <v>-60507</v>
      </c>
      <c r="F26" s="83">
        <f t="shared" si="3"/>
        <v>0.2871863267659916</v>
      </c>
      <c r="G26" s="87">
        <f>('Water Reading'!D26-'Water Reading'!D25)-('Water Reading'!R26-'Water Reading'!R25)-('Water Reading'!Q26-'Water Reading'!Q25)</f>
        <v>-241907</v>
      </c>
      <c r="H26" s="83">
        <f t="shared" si="4"/>
        <v>1.1481710008590862</v>
      </c>
      <c r="I26" s="84">
        <f>'Water Reading'!P26-'Water Reading'!P25</f>
        <v>-29777</v>
      </c>
      <c r="J26" s="65">
        <f t="shared" si="5"/>
        <v>0.1413315360555131</v>
      </c>
      <c r="K26" s="85">
        <f>('Water Reading'!I26-'Water Reading'!I25)-('Water Reading'!P26-'Water Reading'!P25)</f>
        <v>-41942</v>
      </c>
      <c r="L26" s="65">
        <f t="shared" si="6"/>
        <v>0.1990706681411939</v>
      </c>
      <c r="M26" s="84">
        <f>'Water Reading'!R26-'Water Reading'!R25</f>
        <v>-7691</v>
      </c>
      <c r="N26" s="86">
        <f t="shared" si="7"/>
        <v>3.6504041501929381E-2</v>
      </c>
      <c r="O26" s="84">
        <f>'Water Reading'!Q26-'Water Reading'!Q25</f>
        <v>-1347</v>
      </c>
      <c r="P26" s="91">
        <f t="shared" si="8"/>
        <v>6.3933095700297593E-3</v>
      </c>
      <c r="Q26" s="85">
        <f>'Water Reading'!N26-'Water Reading'!N25</f>
        <v>-8368</v>
      </c>
      <c r="R26" s="92">
        <f t="shared" si="9"/>
        <v>3.9717308449895343E-2</v>
      </c>
      <c r="S26" s="84">
        <f>'Water Reading'!E26-'Water Reading'!E25</f>
        <v>-263700</v>
      </c>
      <c r="T26" s="92">
        <f t="shared" si="10"/>
        <v>1.2516078200570508</v>
      </c>
      <c r="U26" s="84">
        <f>'Water Reading'!O26-'Water Reading'!O25</f>
        <v>-1978</v>
      </c>
      <c r="V26" s="92">
        <f t="shared" si="11"/>
        <v>9.3882452334958164E-3</v>
      </c>
      <c r="W26" s="84">
        <f>'Water Reading'!R26-'Water Reading'!R25</f>
        <v>-7691</v>
      </c>
      <c r="X26" s="92">
        <f t="shared" si="12"/>
        <v>3.6504041501929381E-2</v>
      </c>
      <c r="Y26" s="63">
        <f t="shared" si="0"/>
        <v>-664908</v>
      </c>
      <c r="Z26" s="64" t="e">
        <f t="shared" si="1"/>
        <v>#DIV/0!</v>
      </c>
    </row>
    <row r="27" spans="1:26" x14ac:dyDescent="0.25">
      <c r="A27" s="8">
        <f>'Water Reading'!A26</f>
        <v>44616</v>
      </c>
      <c r="B27" s="62">
        <f>TOTAL!I25</f>
        <v>0</v>
      </c>
      <c r="C27" s="63">
        <f>('Water Reading'!B27-'Water Reading'!B26)+('Water Reading'!C27-'Water Reading'!C26)</f>
        <v>0</v>
      </c>
      <c r="D27" s="64" t="e">
        <f t="shared" si="2"/>
        <v>#DIV/0!</v>
      </c>
      <c r="E27" s="82">
        <f>'Water Reading'!H27-'Water Reading'!H26</f>
        <v>0</v>
      </c>
      <c r="F27" s="83" t="e">
        <f t="shared" si="3"/>
        <v>#DIV/0!</v>
      </c>
      <c r="G27" s="87">
        <f>('Water Reading'!D27-'Water Reading'!D26)-('Water Reading'!R27-'Water Reading'!R26)-('Water Reading'!Q27-'Water Reading'!Q26)</f>
        <v>0</v>
      </c>
      <c r="H27" s="83" t="e">
        <f t="shared" si="4"/>
        <v>#DIV/0!</v>
      </c>
      <c r="I27" s="84">
        <f>'Water Reading'!P27-'Water Reading'!P26</f>
        <v>0</v>
      </c>
      <c r="J27" s="65" t="e">
        <f t="shared" si="5"/>
        <v>#DIV/0!</v>
      </c>
      <c r="K27" s="85">
        <f>('Water Reading'!I27-'Water Reading'!I26)-('Water Reading'!P27-'Water Reading'!P26)</f>
        <v>0</v>
      </c>
      <c r="L27" s="65" t="e">
        <f t="shared" si="6"/>
        <v>#DIV/0!</v>
      </c>
      <c r="M27" s="84">
        <f>'Water Reading'!R27-'Water Reading'!R26</f>
        <v>0</v>
      </c>
      <c r="N27" s="86" t="e">
        <f t="shared" si="7"/>
        <v>#DIV/0!</v>
      </c>
      <c r="O27" s="84">
        <f>'Water Reading'!Q27-'Water Reading'!Q26</f>
        <v>0</v>
      </c>
      <c r="P27" s="91" t="e">
        <f t="shared" si="8"/>
        <v>#DIV/0!</v>
      </c>
      <c r="Q27" s="85">
        <f>'Water Reading'!N27-'Water Reading'!N26</f>
        <v>0</v>
      </c>
      <c r="R27" s="92" t="e">
        <f t="shared" si="9"/>
        <v>#DIV/0!</v>
      </c>
      <c r="S27" s="84">
        <f>'Water Reading'!E27-'Water Reading'!E26</f>
        <v>0</v>
      </c>
      <c r="T27" s="92" t="e">
        <f t="shared" si="10"/>
        <v>#DIV/0!</v>
      </c>
      <c r="U27" s="84">
        <f>'Water Reading'!O27-'Water Reading'!O26</f>
        <v>0</v>
      </c>
      <c r="V27" s="92" t="e">
        <f t="shared" si="11"/>
        <v>#DIV/0!</v>
      </c>
      <c r="W27" s="84">
        <f>'Water Reading'!R27-'Water Reading'!R26</f>
        <v>0</v>
      </c>
      <c r="X27" s="92" t="e">
        <f t="shared" si="12"/>
        <v>#DIV/0!</v>
      </c>
      <c r="Y27" s="63">
        <f t="shared" si="0"/>
        <v>0</v>
      </c>
      <c r="Z27" s="64" t="e">
        <f t="shared" si="1"/>
        <v>#DIV/0!</v>
      </c>
    </row>
    <row r="28" spans="1:26" x14ac:dyDescent="0.25">
      <c r="A28" s="8">
        <f>'Water Reading'!A27</f>
        <v>44617</v>
      </c>
      <c r="B28" s="62">
        <f>TOTAL!I26</f>
        <v>0</v>
      </c>
      <c r="C28" s="63">
        <f>('Water Reading'!B28-'Water Reading'!B27)+('Water Reading'!C28-'Water Reading'!C27)</f>
        <v>0</v>
      </c>
      <c r="D28" s="64" t="e">
        <f t="shared" si="2"/>
        <v>#DIV/0!</v>
      </c>
      <c r="E28" s="82">
        <f>'Water Reading'!H28-'Water Reading'!H27</f>
        <v>0</v>
      </c>
      <c r="F28" s="83" t="e">
        <f t="shared" si="3"/>
        <v>#DIV/0!</v>
      </c>
      <c r="G28" s="87">
        <f>('Water Reading'!D28-'Water Reading'!D27)-('Water Reading'!R28-'Water Reading'!R27)-('Water Reading'!Q28-'Water Reading'!Q27)</f>
        <v>0</v>
      </c>
      <c r="H28" s="83" t="e">
        <f t="shared" si="4"/>
        <v>#DIV/0!</v>
      </c>
      <c r="I28" s="84">
        <f>'Water Reading'!P28-'Water Reading'!P27</f>
        <v>0</v>
      </c>
      <c r="J28" s="65" t="e">
        <f t="shared" si="5"/>
        <v>#DIV/0!</v>
      </c>
      <c r="K28" s="85">
        <f>('Water Reading'!I28-'Water Reading'!I27)-('Water Reading'!P28-'Water Reading'!P27)</f>
        <v>0</v>
      </c>
      <c r="L28" s="65" t="e">
        <f t="shared" si="6"/>
        <v>#DIV/0!</v>
      </c>
      <c r="M28" s="84">
        <f>'Water Reading'!R28-'Water Reading'!R27</f>
        <v>0</v>
      </c>
      <c r="N28" s="86" t="e">
        <f t="shared" si="7"/>
        <v>#DIV/0!</v>
      </c>
      <c r="O28" s="84">
        <f>'Water Reading'!Q28-'Water Reading'!Q27</f>
        <v>0</v>
      </c>
      <c r="P28" s="91" t="e">
        <f t="shared" si="8"/>
        <v>#DIV/0!</v>
      </c>
      <c r="Q28" s="85">
        <f>'Water Reading'!N28-'Water Reading'!N27</f>
        <v>0</v>
      </c>
      <c r="R28" s="92" t="e">
        <f t="shared" si="9"/>
        <v>#DIV/0!</v>
      </c>
      <c r="S28" s="84">
        <f>'Water Reading'!E28-'Water Reading'!E27</f>
        <v>0</v>
      </c>
      <c r="T28" s="92" t="e">
        <f t="shared" si="10"/>
        <v>#DIV/0!</v>
      </c>
      <c r="U28" s="84">
        <f>'Water Reading'!O28-'Water Reading'!O27</f>
        <v>0</v>
      </c>
      <c r="V28" s="92" t="e">
        <f t="shared" si="11"/>
        <v>#DIV/0!</v>
      </c>
      <c r="W28" s="84">
        <f>'Water Reading'!R28-'Water Reading'!R27</f>
        <v>0</v>
      </c>
      <c r="X28" s="92" t="e">
        <f t="shared" si="12"/>
        <v>#DIV/0!</v>
      </c>
      <c r="Y28" s="63">
        <f t="shared" si="0"/>
        <v>0</v>
      </c>
      <c r="Z28" s="64" t="e">
        <f t="shared" si="1"/>
        <v>#DIV/0!</v>
      </c>
    </row>
    <row r="29" spans="1:26" x14ac:dyDescent="0.25">
      <c r="A29" s="8">
        <f>'Water Reading'!A28</f>
        <v>44618</v>
      </c>
      <c r="B29" s="62">
        <f>TOTAL!I27</f>
        <v>0</v>
      </c>
      <c r="C29" s="63">
        <f>('Water Reading'!B29-'Water Reading'!B28)+('Water Reading'!C29-'Water Reading'!C28)</f>
        <v>0</v>
      </c>
      <c r="D29" s="64" t="e">
        <f t="shared" si="2"/>
        <v>#DIV/0!</v>
      </c>
      <c r="E29" s="82">
        <f>'Water Reading'!H29-'Water Reading'!H28</f>
        <v>0</v>
      </c>
      <c r="F29" s="83" t="e">
        <f t="shared" si="3"/>
        <v>#DIV/0!</v>
      </c>
      <c r="G29" s="87">
        <f>('Water Reading'!D29-'Water Reading'!D28)-('Water Reading'!R29-'Water Reading'!R28)-('Water Reading'!Q29-'Water Reading'!Q28)</f>
        <v>0</v>
      </c>
      <c r="H29" s="83" t="e">
        <f t="shared" si="4"/>
        <v>#DIV/0!</v>
      </c>
      <c r="I29" s="84">
        <f>'Water Reading'!P29-'Water Reading'!P28</f>
        <v>0</v>
      </c>
      <c r="J29" s="65" t="e">
        <f t="shared" si="5"/>
        <v>#DIV/0!</v>
      </c>
      <c r="K29" s="85">
        <f>('Water Reading'!I29-'Water Reading'!I28)-('Water Reading'!P29-'Water Reading'!P28)</f>
        <v>0</v>
      </c>
      <c r="L29" s="65" t="e">
        <f t="shared" si="6"/>
        <v>#DIV/0!</v>
      </c>
      <c r="M29" s="84">
        <f>'Water Reading'!R29-'Water Reading'!R28</f>
        <v>0</v>
      </c>
      <c r="N29" s="86" t="e">
        <f t="shared" si="7"/>
        <v>#DIV/0!</v>
      </c>
      <c r="O29" s="84">
        <f>'Water Reading'!Q29-'Water Reading'!Q28</f>
        <v>0</v>
      </c>
      <c r="P29" s="91" t="e">
        <f t="shared" si="8"/>
        <v>#DIV/0!</v>
      </c>
      <c r="Q29" s="85">
        <f>'Water Reading'!N29-'Water Reading'!N28</f>
        <v>0</v>
      </c>
      <c r="R29" s="92" t="e">
        <f t="shared" si="9"/>
        <v>#DIV/0!</v>
      </c>
      <c r="S29" s="84">
        <f>'Water Reading'!E29-'Water Reading'!E28</f>
        <v>0</v>
      </c>
      <c r="T29" s="92" t="e">
        <f t="shared" si="10"/>
        <v>#DIV/0!</v>
      </c>
      <c r="U29" s="84">
        <f>'Water Reading'!O29-'Water Reading'!O28</f>
        <v>0</v>
      </c>
      <c r="V29" s="92" t="e">
        <f t="shared" si="11"/>
        <v>#DIV/0!</v>
      </c>
      <c r="W29" s="84">
        <f>'Water Reading'!R29-'Water Reading'!R28</f>
        <v>0</v>
      </c>
      <c r="X29" s="92" t="e">
        <f t="shared" si="12"/>
        <v>#DIV/0!</v>
      </c>
      <c r="Y29" s="63">
        <f t="shared" si="0"/>
        <v>0</v>
      </c>
      <c r="Z29" s="64" t="e">
        <f t="shared" si="1"/>
        <v>#DIV/0!</v>
      </c>
    </row>
    <row r="30" spans="1:26" x14ac:dyDescent="0.25">
      <c r="A30" s="8">
        <f>'Water Reading'!A29</f>
        <v>44619</v>
      </c>
      <c r="B30" s="62">
        <f>TOTAL!I28</f>
        <v>0</v>
      </c>
      <c r="C30" s="63">
        <f>('Water Reading'!B30-'Water Reading'!B29)+('Water Reading'!C30-'Water Reading'!C29)</f>
        <v>0</v>
      </c>
      <c r="D30" s="64" t="e">
        <f t="shared" si="2"/>
        <v>#DIV/0!</v>
      </c>
      <c r="E30" s="82">
        <f>'Water Reading'!H30-'Water Reading'!H29</f>
        <v>0</v>
      </c>
      <c r="F30" s="83" t="e">
        <f t="shared" si="3"/>
        <v>#DIV/0!</v>
      </c>
      <c r="G30" s="87">
        <f>('Water Reading'!D30-'Water Reading'!D29)-('Water Reading'!R30-'Water Reading'!R29)-('Water Reading'!Q30-'Water Reading'!Q29)</f>
        <v>0</v>
      </c>
      <c r="H30" s="83" t="e">
        <f t="shared" si="4"/>
        <v>#DIV/0!</v>
      </c>
      <c r="I30" s="84">
        <f>'Water Reading'!P30-'Water Reading'!P29</f>
        <v>0</v>
      </c>
      <c r="J30" s="65" t="e">
        <f t="shared" si="5"/>
        <v>#DIV/0!</v>
      </c>
      <c r="K30" s="85">
        <f>('Water Reading'!I30-'Water Reading'!I29)-('Water Reading'!P30-'Water Reading'!P29)</f>
        <v>0</v>
      </c>
      <c r="L30" s="65" t="e">
        <f t="shared" si="6"/>
        <v>#DIV/0!</v>
      </c>
      <c r="M30" s="84">
        <f>'Water Reading'!R30-'Water Reading'!R29</f>
        <v>0</v>
      </c>
      <c r="N30" s="86" t="e">
        <f t="shared" si="7"/>
        <v>#DIV/0!</v>
      </c>
      <c r="O30" s="84">
        <f>'Water Reading'!Q30-'Water Reading'!Q29</f>
        <v>0</v>
      </c>
      <c r="P30" s="91" t="e">
        <f t="shared" si="8"/>
        <v>#DIV/0!</v>
      </c>
      <c r="Q30" s="85">
        <f>'Water Reading'!N30-'Water Reading'!N29</f>
        <v>0</v>
      </c>
      <c r="R30" s="92" t="e">
        <f t="shared" si="9"/>
        <v>#DIV/0!</v>
      </c>
      <c r="S30" s="84">
        <f>'Water Reading'!E30-'Water Reading'!E29</f>
        <v>0</v>
      </c>
      <c r="T30" s="92" t="e">
        <f t="shared" si="10"/>
        <v>#DIV/0!</v>
      </c>
      <c r="U30" s="84">
        <f>'Water Reading'!O30-'Water Reading'!O29</f>
        <v>0</v>
      </c>
      <c r="V30" s="92" t="e">
        <f t="shared" si="11"/>
        <v>#DIV/0!</v>
      </c>
      <c r="W30" s="84">
        <f>'Water Reading'!R30-'Water Reading'!R29</f>
        <v>0</v>
      </c>
      <c r="X30" s="92" t="e">
        <f t="shared" si="12"/>
        <v>#DIV/0!</v>
      </c>
      <c r="Y30" s="63">
        <f t="shared" si="0"/>
        <v>0</v>
      </c>
      <c r="Z30" s="64" t="e">
        <f t="shared" si="1"/>
        <v>#DIV/0!</v>
      </c>
    </row>
    <row r="31" spans="1:26" x14ac:dyDescent="0.25">
      <c r="A31" s="8">
        <f>'Water Reading'!A30</f>
        <v>44620</v>
      </c>
      <c r="B31" s="62">
        <f>TOTAL!I29</f>
        <v>0</v>
      </c>
      <c r="C31" s="63">
        <f>('Water Reading'!B31-'Water Reading'!B30)+('Water Reading'!C31-'Water Reading'!C30)</f>
        <v>0</v>
      </c>
      <c r="D31" s="64" t="e">
        <f t="shared" si="2"/>
        <v>#DIV/0!</v>
      </c>
      <c r="E31" s="82">
        <f>'Water Reading'!H31-'Water Reading'!H30</f>
        <v>0</v>
      </c>
      <c r="F31" s="83" t="e">
        <f t="shared" si="3"/>
        <v>#DIV/0!</v>
      </c>
      <c r="G31" s="87">
        <f>('Water Reading'!D31-'Water Reading'!D30)-('Water Reading'!R31-'Water Reading'!R30)-('Water Reading'!Q31-'Water Reading'!Q30)</f>
        <v>0</v>
      </c>
      <c r="H31" s="83" t="e">
        <f t="shared" si="4"/>
        <v>#DIV/0!</v>
      </c>
      <c r="I31" s="84">
        <f>'Water Reading'!P31-'Water Reading'!P30</f>
        <v>0</v>
      </c>
      <c r="J31" s="65" t="e">
        <f t="shared" si="5"/>
        <v>#DIV/0!</v>
      </c>
      <c r="K31" s="85">
        <f>('Water Reading'!I31-'Water Reading'!I30)-('Water Reading'!P31-'Water Reading'!P30)</f>
        <v>0</v>
      </c>
      <c r="L31" s="65" t="e">
        <f t="shared" si="6"/>
        <v>#DIV/0!</v>
      </c>
      <c r="M31" s="84">
        <f>'Water Reading'!R31-'Water Reading'!R30</f>
        <v>0</v>
      </c>
      <c r="N31" s="86" t="e">
        <f t="shared" si="7"/>
        <v>#DIV/0!</v>
      </c>
      <c r="O31" s="84">
        <f>'Water Reading'!Q31-'Water Reading'!Q30</f>
        <v>0</v>
      </c>
      <c r="P31" s="91" t="e">
        <f t="shared" si="8"/>
        <v>#DIV/0!</v>
      </c>
      <c r="Q31" s="85">
        <f>'Water Reading'!N31-'Water Reading'!N30</f>
        <v>0</v>
      </c>
      <c r="R31" s="92" t="e">
        <f t="shared" si="9"/>
        <v>#DIV/0!</v>
      </c>
      <c r="S31" s="84">
        <f>'Water Reading'!E31-'Water Reading'!E30</f>
        <v>0</v>
      </c>
      <c r="T31" s="92" t="e">
        <f t="shared" si="10"/>
        <v>#DIV/0!</v>
      </c>
      <c r="U31" s="84">
        <f>'Water Reading'!O31-'Water Reading'!O30</f>
        <v>0</v>
      </c>
      <c r="V31" s="92" t="e">
        <f t="shared" si="11"/>
        <v>#DIV/0!</v>
      </c>
      <c r="W31" s="84">
        <f>'Water Reading'!R31-'Water Reading'!R30</f>
        <v>0</v>
      </c>
      <c r="X31" s="92" t="e">
        <f t="shared" si="12"/>
        <v>#DIV/0!</v>
      </c>
      <c r="Y31" s="63">
        <f t="shared" si="0"/>
        <v>0</v>
      </c>
      <c r="Z31" s="64" t="e">
        <f t="shared" si="1"/>
        <v>#DIV/0!</v>
      </c>
    </row>
    <row r="32" spans="1:26" ht="24" customHeight="1" x14ac:dyDescent="0.25">
      <c r="A32" s="66" t="s">
        <v>52</v>
      </c>
      <c r="B32" s="90">
        <f>SUM(B4:B31)</f>
        <v>8190</v>
      </c>
      <c r="C32" s="71">
        <f>SUM(C4:C31)</f>
        <v>-205921</v>
      </c>
      <c r="D32" s="89">
        <f>C32/B32</f>
        <v>-25.142979242979244</v>
      </c>
      <c r="E32" s="7">
        <f>SUM(E4:E31)</f>
        <v>-59861</v>
      </c>
      <c r="F32" s="88">
        <f>E32/C32</f>
        <v>0.29069886024252017</v>
      </c>
      <c r="G32" s="71">
        <f>SUM(G4:G31)</f>
        <v>-237179</v>
      </c>
      <c r="H32" s="88">
        <f>G32/C32</f>
        <v>1.1517960771363775</v>
      </c>
      <c r="I32" s="7">
        <f>SUM(I4:I31)</f>
        <v>-29565</v>
      </c>
      <c r="J32" s="88">
        <f>I32/C32</f>
        <v>0.14357447759092079</v>
      </c>
      <c r="K32" s="7">
        <f>SUM(K4:K31)</f>
        <v>-41440</v>
      </c>
      <c r="L32" s="88">
        <f>K32/C32</f>
        <v>0.20124222395967387</v>
      </c>
      <c r="M32" s="7">
        <f>SUM(M4:M31)</f>
        <v>-7557</v>
      </c>
      <c r="N32" s="88">
        <f>M32/C32</f>
        <v>3.6698539731256162E-2</v>
      </c>
      <c r="O32" s="7">
        <f>SUM(O4:O31)</f>
        <v>-1295</v>
      </c>
      <c r="P32" s="88">
        <f>O32/C32</f>
        <v>6.2888194987398083E-3</v>
      </c>
      <c r="Q32" s="7">
        <f>SUM(Q4:Q31)</f>
        <v>-8303</v>
      </c>
      <c r="R32" s="88">
        <f>Q32/C32</f>
        <v>4.0321288261032144E-2</v>
      </c>
      <c r="S32" s="71">
        <f>SUM(S4:S31)</f>
        <v>-261977</v>
      </c>
      <c r="T32" s="88">
        <f>S32/C32</f>
        <v>1.2722209002481535</v>
      </c>
      <c r="U32" s="7">
        <f>SUM(U4:U31)</f>
        <v>-1953</v>
      </c>
      <c r="V32" s="88">
        <f>U32/C32</f>
        <v>9.4842196764778723E-3</v>
      </c>
      <c r="W32" s="7">
        <f>SUM(W4:W31)</f>
        <v>-7557</v>
      </c>
      <c r="X32" s="88">
        <f>W32/C32</f>
        <v>3.6698539731256162E-2</v>
      </c>
      <c r="Y32" s="71">
        <f>SUM(Y4:Y31)</f>
        <v>-656687</v>
      </c>
      <c r="Z32" s="88">
        <f t="shared" si="1"/>
        <v>-80.181562881562883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2022-02-25T08:08:14Z</dcterms:modified>
  <cp:category/>
  <cp:contentStatus/>
</cp:coreProperties>
</file>