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02"/>
  <workbookPr/>
  <mc:AlternateContent xmlns:mc="http://schemas.openxmlformats.org/markup-compatibility/2006">
    <mc:Choice Requires="x15">
      <x15ac:absPath xmlns:x15ac="http://schemas.microsoft.com/office/spreadsheetml/2010/11/ac" url="C:\Users\Joe El Khoury\Desktop\"/>
    </mc:Choice>
  </mc:AlternateContent>
  <xr:revisionPtr revIDLastSave="2423" documentId="13_ncr:1_{A7340E9E-C331-4990-B5AF-CD9D91A9C779}" xr6:coauthVersionLast="47" xr6:coauthVersionMax="47" xr10:uidLastSave="{1AF20FA6-5DC2-4613-85E4-763366B5AE0A}"/>
  <bookViews>
    <workbookView xWindow="-120" yWindow="-120" windowWidth="20730" windowHeight="11160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1" l="1"/>
  <c r="S11" i="1"/>
  <c r="B32" i="4"/>
  <c r="S4" i="1"/>
  <c r="S5" i="1"/>
  <c r="S6" i="1"/>
  <c r="S7" i="1"/>
  <c r="S8" i="1"/>
  <c r="S9" i="1"/>
  <c r="S10" i="1"/>
  <c r="S3" i="1"/>
  <c r="B30" i="4"/>
  <c r="B31" i="4"/>
  <c r="AC15" i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T3" i="4"/>
  <c r="O3" i="4"/>
  <c r="P3" i="4"/>
  <c r="Q3" i="4"/>
  <c r="R3" i="4"/>
  <c r="S3" i="4"/>
  <c r="AC10" i="1" l="1"/>
  <c r="AB3" i="4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G32" i="3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G31" i="3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1" i="3"/>
  <c r="G24" i="3"/>
  <c r="G29" i="3"/>
  <c r="G2" i="3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G22" i="3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G23" i="3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G25" i="3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G26" i="3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G27" i="3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G28" i="3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G30" i="3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<sst xmlns="http://schemas.openxmlformats.org/spreadsheetml/2006/main" count="140" uniqueCount="73">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</sst>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2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2" fontId="14" fillId="0" borderId="18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4" fontId="14" fillId="0" borderId="13" xfId="0" applyNumberFormat="1" applyFont="1" applyBorder="1" applyAlignment="1">
      <alignment horizontal="right"/>
    </xf>
    <xf numFmtId="0" fontId="12" fillId="0" borderId="0" xfId="0" applyFont="1" applyBorder="1" applyAlignment="1">
      <alignment horizontal="center"/>
    </xf>
    <xf numFmtId="4" fontId="12" fillId="0" borderId="17" xfId="0" applyNumberFormat="1" applyFont="1" applyBorder="1" applyAlignment="1">
      <alignment vertical="center" wrapText="1"/>
    </xf>
    <xf numFmtId="4" fontId="12" fillId="0" borderId="17" xfId="0" applyNumberFormat="1" applyFont="1" applyBorder="1"/>
    <xf numFmtId="0" fontId="13" fillId="9" borderId="2" xfId="0" applyFont="1" applyFill="1" applyBorder="1" applyAlignment="1">
      <alignment vertical="center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C2" sqref="C2:C3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5</v>
      </c>
      <c r="D2" s="1">
        <v>2021</v>
      </c>
      <c r="E2" s="12">
        <f>'Submetering '!O2+'Submetering '!P2+'Submetering '!Q2+'Submetering '!R2+'Submetering '!S2</f>
        <v>35076</v>
      </c>
      <c r="F2" s="11" t="e">
        <f>('FS Seychelles'!#REF!*'FS Seychelles'!S3)/TOTAL!E2</f>
        <v>#REF!</v>
      </c>
      <c r="G2" s="12">
        <f>'Submetering '!AB2</f>
        <v>0</v>
      </c>
      <c r="H2" s="11">
        <v>18.899999999999999</v>
      </c>
      <c r="I2" s="12">
        <f>'FS Seychelles'!T3+'FS Seychelles'!V3+'FS Seychelles'!W3+'FS Seychelles'!X3</f>
        <v>310</v>
      </c>
      <c r="J2" s="11">
        <v>0</v>
      </c>
      <c r="K2" s="29">
        <f>'Submetering '!Z2</f>
        <v>4</v>
      </c>
      <c r="L2" s="11">
        <v>0</v>
      </c>
      <c r="M2" s="59">
        <f>'FS Seychelles'!B3</f>
        <v>45</v>
      </c>
    </row>
    <row r="3" spans="1:13" s="15" customFormat="1">
      <c r="A3" s="1" t="s">
        <v>13</v>
      </c>
      <c r="B3" s="14">
        <f>B2+1</f>
        <v>2</v>
      </c>
      <c r="C3" s="11">
        <v>5</v>
      </c>
      <c r="D3" s="1">
        <v>2021</v>
      </c>
      <c r="E3" s="12">
        <f>'Submetering '!O3+'Submetering '!P3+'Submetering '!Q3+'Submetering '!R3+'Submetering '!S3</f>
        <v>32383</v>
      </c>
      <c r="F3" s="11" t="e">
        <f>('FS Seychelles'!#REF!*'FS Seychelles'!S4)/TOTAL!E3</f>
        <v>#REF!</v>
      </c>
      <c r="G3" s="12">
        <f>'Submetering '!AB3</f>
        <v>0</v>
      </c>
      <c r="H3" s="11">
        <f>H2</f>
        <v>18.899999999999999</v>
      </c>
      <c r="I3" s="12">
        <f>'FS Seychelles'!T4+'FS Seychelles'!V4+'FS Seychelles'!W4+'FS Seychelles'!X4</f>
        <v>375</v>
      </c>
      <c r="J3" s="11">
        <f>J2</f>
        <v>0</v>
      </c>
      <c r="K3" s="29">
        <f>'Submetering '!Z3</f>
        <v>4</v>
      </c>
      <c r="L3" s="11">
        <f>L2</f>
        <v>0</v>
      </c>
      <c r="M3" s="59">
        <f>'FS Seychelles'!B4</f>
        <v>55.26</v>
      </c>
    </row>
    <row r="4" spans="1:13" s="15" customFormat="1">
      <c r="A4" s="1" t="s">
        <v>13</v>
      </c>
      <c r="B4" s="14">
        <f t="shared" ref="B4:B32" si="0">B3+1</f>
        <v>3</v>
      </c>
      <c r="C4" s="11">
        <v>5</v>
      </c>
      <c r="D4" s="1">
        <v>2021</v>
      </c>
      <c r="E4" s="12">
        <f>'Submetering '!O4+'Submetering '!P4+'Submetering '!Q4+'Submetering '!R4+'Submetering '!S4</f>
        <v>34173</v>
      </c>
      <c r="F4" s="11" t="e">
        <f>('FS Seychelles'!#REF!*'FS Seychelles'!S5)/TOTAL!E4</f>
        <v>#REF!</v>
      </c>
      <c r="G4" s="12">
        <f>'Submetering '!AB4</f>
        <v>0</v>
      </c>
      <c r="H4" s="11">
        <f t="shared" ref="H4:H32" si="1">H3</f>
        <v>18.899999999999999</v>
      </c>
      <c r="I4" s="12">
        <f>'FS Seychelles'!T5+'FS Seychelles'!V5+'FS Seychelles'!W5+'FS Seychelles'!X5</f>
        <v>328</v>
      </c>
      <c r="J4" s="11">
        <f t="shared" ref="J4:L32" si="2">J3</f>
        <v>0</v>
      </c>
      <c r="K4" s="29">
        <f>'Submetering '!Z4</f>
        <v>3</v>
      </c>
      <c r="L4" s="11">
        <f t="shared" si="2"/>
        <v>0</v>
      </c>
      <c r="M4" s="59">
        <f>'FS Seychelles'!B5</f>
        <v>52.63</v>
      </c>
    </row>
    <row r="5" spans="1:13" s="15" customFormat="1">
      <c r="A5" s="1" t="s">
        <v>13</v>
      </c>
      <c r="B5" s="14">
        <f t="shared" si="0"/>
        <v>4</v>
      </c>
      <c r="C5" s="11">
        <v>5</v>
      </c>
      <c r="D5" s="1">
        <v>2021</v>
      </c>
      <c r="E5" s="12">
        <f>'Submetering '!O5+'Submetering '!P5+'Submetering '!Q5+'Submetering '!R5+'Submetering '!S5</f>
        <v>25537</v>
      </c>
      <c r="F5" s="11" t="e">
        <f>('FS Seychelles'!#REF!*'FS Seychelles'!S6)/TOTAL!E5</f>
        <v>#REF!</v>
      </c>
      <c r="G5" s="12">
        <f>'Submetering '!AB5</f>
        <v>0</v>
      </c>
      <c r="H5" s="11">
        <f t="shared" si="1"/>
        <v>18.899999999999999</v>
      </c>
      <c r="I5" s="12">
        <f>'FS Seychelles'!T6+'FS Seychelles'!V6+'FS Seychelles'!W6+'FS Seychelles'!X6</f>
        <v>428</v>
      </c>
      <c r="J5" s="11">
        <f t="shared" si="2"/>
        <v>0</v>
      </c>
      <c r="K5" s="29">
        <f>'Submetering '!Z5</f>
        <v>62</v>
      </c>
      <c r="L5" s="11">
        <f t="shared" si="2"/>
        <v>0</v>
      </c>
      <c r="M5" s="59">
        <f>'FS Seychelles'!B6</f>
        <v>60.53</v>
      </c>
    </row>
    <row r="6" spans="1:13" s="15" customFormat="1">
      <c r="A6" s="1" t="s">
        <v>13</v>
      </c>
      <c r="B6" s="14">
        <f t="shared" si="0"/>
        <v>5</v>
      </c>
      <c r="C6" s="11">
        <v>5</v>
      </c>
      <c r="D6" s="1">
        <v>2021</v>
      </c>
      <c r="E6" s="12">
        <f>'Submetering '!O6+'Submetering '!P6+'Submetering '!Q6+'Submetering '!R6+'Submetering '!S6</f>
        <v>31490</v>
      </c>
      <c r="F6" s="11" t="e">
        <f>('FS Seychelles'!#REF!*'FS Seychelles'!S7)/TOTAL!E6</f>
        <v>#REF!</v>
      </c>
      <c r="G6" s="12">
        <f>'Submetering '!AB6</f>
        <v>0</v>
      </c>
      <c r="H6" s="11">
        <f t="shared" si="1"/>
        <v>18.899999999999999</v>
      </c>
      <c r="I6" s="12">
        <f>'FS Seychelles'!T7+'FS Seychelles'!V7+'FS Seychelles'!W7+'FS Seychelles'!X7</f>
        <v>370</v>
      </c>
      <c r="J6" s="11">
        <f t="shared" si="2"/>
        <v>0</v>
      </c>
      <c r="K6" s="29">
        <f>'Submetering '!Z6</f>
        <v>91</v>
      </c>
      <c r="L6" s="11">
        <f t="shared" si="2"/>
        <v>0</v>
      </c>
      <c r="M6" s="59">
        <f>'FS Seychelles'!B7</f>
        <v>57.89</v>
      </c>
    </row>
    <row r="7" spans="1:13" s="15" customFormat="1">
      <c r="A7" s="1" t="s">
        <v>13</v>
      </c>
      <c r="B7" s="14">
        <f t="shared" si="0"/>
        <v>6</v>
      </c>
      <c r="C7" s="11">
        <v>5</v>
      </c>
      <c r="D7" s="1">
        <v>2021</v>
      </c>
      <c r="E7" s="12">
        <f>'Submetering '!O7+'Submetering '!P7+'Submetering '!Q7+'Submetering '!R7+'Submetering '!S7</f>
        <v>44518</v>
      </c>
      <c r="F7" s="11" t="e">
        <f>('FS Seychelles'!#REF!*'FS Seychelles'!S8)/TOTAL!E7</f>
        <v>#REF!</v>
      </c>
      <c r="G7" s="12">
        <f>'Submetering '!AB7</f>
        <v>0</v>
      </c>
      <c r="H7" s="11">
        <f t="shared" si="1"/>
        <v>18.899999999999999</v>
      </c>
      <c r="I7" s="12">
        <f>'FS Seychelles'!T8+'FS Seychelles'!V8+'FS Seychelles'!W8+'FS Seychelles'!X8</f>
        <v>410</v>
      </c>
      <c r="J7" s="11">
        <f t="shared" si="2"/>
        <v>0</v>
      </c>
      <c r="K7" s="29">
        <f>'Submetering '!Z7</f>
        <v>46</v>
      </c>
      <c r="L7" s="11">
        <f t="shared" si="2"/>
        <v>0</v>
      </c>
      <c r="M7" s="59">
        <f>'FS Seychelles'!B8</f>
        <v>61.84</v>
      </c>
    </row>
    <row r="8" spans="1:13" s="15" customFormat="1">
      <c r="A8" s="1" t="s">
        <v>13</v>
      </c>
      <c r="B8" s="14">
        <f t="shared" si="0"/>
        <v>7</v>
      </c>
      <c r="C8" s="11">
        <v>5</v>
      </c>
      <c r="D8" s="1">
        <v>2021</v>
      </c>
      <c r="E8" s="12">
        <f>'Submetering '!O8+'Submetering '!P8+'Submetering '!Q8+'Submetering '!R8+'Submetering '!S8</f>
        <v>20892</v>
      </c>
      <c r="F8" s="11" t="e">
        <f>('FS Seychelles'!#REF!*'FS Seychelles'!S9)/TOTAL!E8</f>
        <v>#REF!</v>
      </c>
      <c r="G8" s="12">
        <f>'Submetering '!AB8</f>
        <v>0</v>
      </c>
      <c r="H8" s="11">
        <f t="shared" si="1"/>
        <v>18.899999999999999</v>
      </c>
      <c r="I8" s="12">
        <f>'FS Seychelles'!T9+'FS Seychelles'!V9+'FS Seychelles'!W9+'FS Seychelles'!X9</f>
        <v>414</v>
      </c>
      <c r="J8" s="11">
        <f t="shared" si="2"/>
        <v>0</v>
      </c>
      <c r="K8" s="29">
        <f>'Submetering '!Z8</f>
        <v>86</v>
      </c>
      <c r="L8" s="11">
        <f t="shared" si="2"/>
        <v>0</v>
      </c>
      <c r="M8" s="59">
        <f>'FS Seychelles'!B9</f>
        <v>68.42</v>
      </c>
    </row>
    <row r="9" spans="1:13" s="15" customFormat="1">
      <c r="A9" s="1" t="s">
        <v>13</v>
      </c>
      <c r="B9" s="14">
        <f t="shared" si="0"/>
        <v>8</v>
      </c>
      <c r="C9" s="11">
        <v>5</v>
      </c>
      <c r="D9" s="1">
        <v>2021</v>
      </c>
      <c r="E9" s="12">
        <f>'Submetering '!O9+'Submetering '!P9+'Submetering '!Q9+'Submetering '!R9+'Submetering '!S9</f>
        <v>30487</v>
      </c>
      <c r="F9" s="11" t="e">
        <f>('FS Seychelles'!#REF!*'FS Seychelles'!S10)/TOTAL!E9</f>
        <v>#REF!</v>
      </c>
      <c r="G9" s="12">
        <f>'Submetering '!AB9</f>
        <v>0</v>
      </c>
      <c r="H9" s="11">
        <f t="shared" si="1"/>
        <v>18.899999999999999</v>
      </c>
      <c r="I9" s="12">
        <f>'FS Seychelles'!T10+'FS Seychelles'!V10+'FS Seychelles'!W10+'FS Seychelles'!X10</f>
        <v>435</v>
      </c>
      <c r="J9" s="11">
        <f t="shared" si="2"/>
        <v>0</v>
      </c>
      <c r="K9" s="29">
        <f>'Submetering '!Z9</f>
        <v>128</v>
      </c>
      <c r="L9" s="11">
        <f t="shared" si="2"/>
        <v>0</v>
      </c>
      <c r="M9" s="59">
        <f>'FS Seychelles'!B10</f>
        <v>69.73</v>
      </c>
    </row>
    <row r="10" spans="1:13" s="15" customFormat="1">
      <c r="A10" s="1" t="s">
        <v>13</v>
      </c>
      <c r="B10" s="14">
        <f t="shared" si="0"/>
        <v>9</v>
      </c>
      <c r="C10" s="11">
        <v>5</v>
      </c>
      <c r="D10" s="1">
        <v>2021</v>
      </c>
      <c r="E10" s="12">
        <f>'Submetering '!O10+'Submetering '!P10+'Submetering '!Q10+'Submetering '!R10+'Submetering '!S10</f>
        <v>21171</v>
      </c>
      <c r="F10" s="11" t="e">
        <f>('FS Seychelles'!#REF!*'FS Seychelles'!S14)/TOTAL!E10</f>
        <v>#REF!</v>
      </c>
      <c r="G10" s="12">
        <f>'Submetering '!AB10</f>
        <v>0</v>
      </c>
      <c r="H10" s="11">
        <f t="shared" si="1"/>
        <v>18.899999999999999</v>
      </c>
      <c r="I10" s="12">
        <f>'FS Seychelles'!T11+'FS Seychelles'!V11+'FS Seychelles'!W11+'FS Seychelles'!X11</f>
        <v>352</v>
      </c>
      <c r="J10" s="11">
        <f t="shared" si="2"/>
        <v>0</v>
      </c>
      <c r="K10" s="29">
        <f>'Submetering '!Z10</f>
        <v>74</v>
      </c>
      <c r="L10" s="11">
        <f t="shared" si="2"/>
        <v>0</v>
      </c>
      <c r="M10" s="59">
        <f>'FS Seychelles'!B11</f>
        <v>64.47</v>
      </c>
    </row>
    <row r="11" spans="1:13" s="15" customFormat="1">
      <c r="A11" s="1" t="s">
        <v>13</v>
      </c>
      <c r="B11" s="14">
        <f t="shared" si="0"/>
        <v>10</v>
      </c>
      <c r="C11" s="11">
        <v>5</v>
      </c>
      <c r="D11" s="1">
        <v>2021</v>
      </c>
      <c r="E11" s="12">
        <f>'Submetering '!O11+'Submetering '!P11+'Submetering '!Q11+'Submetering '!R11+'Submetering '!S11</f>
        <v>28949</v>
      </c>
      <c r="F11" s="11" t="e">
        <f>('FS Seychelles'!#REF!*'FS Seychelles'!S12)/TOTAL!E11</f>
        <v>#REF!</v>
      </c>
      <c r="G11" s="12">
        <f>'Submetering '!AB11</f>
        <v>0</v>
      </c>
      <c r="H11" s="11">
        <f t="shared" si="1"/>
        <v>18.899999999999999</v>
      </c>
      <c r="I11" s="12">
        <f>'FS Seychelles'!T12+'FS Seychelles'!V12+'FS Seychelles'!W12+'FS Seychelles'!X12</f>
        <v>0</v>
      </c>
      <c r="J11" s="11">
        <f t="shared" si="2"/>
        <v>0</v>
      </c>
      <c r="K11" s="29">
        <f>'Submetering '!Z11</f>
        <v>0</v>
      </c>
      <c r="L11" s="11">
        <f t="shared" si="2"/>
        <v>0</v>
      </c>
      <c r="M11" s="59">
        <f>'FS Seychelles'!B12</f>
        <v>44.74</v>
      </c>
    </row>
    <row r="12" spans="1:13" s="15" customFormat="1">
      <c r="A12" s="1" t="s">
        <v>13</v>
      </c>
      <c r="B12" s="14">
        <f t="shared" si="0"/>
        <v>11</v>
      </c>
      <c r="C12" s="11">
        <v>5</v>
      </c>
      <c r="D12" s="1">
        <v>2021</v>
      </c>
      <c r="E12" s="12">
        <f>'Submetering '!O12+'Submetering '!P12+'Submetering '!Q12+'Submetering '!R12+'Submetering '!S12</f>
        <v>0</v>
      </c>
      <c r="F12" s="11" t="e">
        <f>('FS Seychelles'!#REF!*'FS Seychelles'!S13)/TOTAL!E12</f>
        <v>#REF!</v>
      </c>
      <c r="G12" s="12">
        <f>'Submetering '!AB12</f>
        <v>0</v>
      </c>
      <c r="H12" s="11">
        <f t="shared" si="1"/>
        <v>18.899999999999999</v>
      </c>
      <c r="I12" s="12">
        <f>'FS Seychelles'!T13+'FS Seychelles'!V13+'FS Seychelles'!W13+'FS Seychelles'!X13</f>
        <v>0</v>
      </c>
      <c r="J12" s="11">
        <f t="shared" si="2"/>
        <v>0</v>
      </c>
      <c r="K12" s="29">
        <f>'Submetering '!Z12</f>
        <v>0</v>
      </c>
      <c r="L12" s="11">
        <f t="shared" si="2"/>
        <v>0</v>
      </c>
      <c r="M12" s="59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v>5</v>
      </c>
      <c r="D13" s="1">
        <v>2021</v>
      </c>
      <c r="E13" s="12">
        <f>'Submetering '!O13+'Submetering '!P13+'Submetering '!Q13+'Submetering '!R13+'Submetering '!S13</f>
        <v>0</v>
      </c>
      <c r="F13" s="11" t="e">
        <f>('FS Seychelles'!#REF!*'FS Seychelles'!#REF!)/TOTAL!E13</f>
        <v>#REF!</v>
      </c>
      <c r="G13" s="12">
        <f>'Submetering '!AB13</f>
        <v>0</v>
      </c>
      <c r="H13" s="11">
        <f t="shared" si="1"/>
        <v>18.899999999999999</v>
      </c>
      <c r="I13" s="12">
        <f>'FS Seychelles'!T14+'FS Seychelles'!V14+'FS Seychelles'!W14+'FS Seychelles'!X14</f>
        <v>0</v>
      </c>
      <c r="J13" s="11">
        <f t="shared" si="2"/>
        <v>0</v>
      </c>
      <c r="K13" s="29">
        <f>'Submetering '!Z13</f>
        <v>0</v>
      </c>
      <c r="L13" s="11">
        <f t="shared" si="2"/>
        <v>0</v>
      </c>
      <c r="M13" s="59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v>5</v>
      </c>
      <c r="D14" s="1">
        <v>2021</v>
      </c>
      <c r="E14" s="12">
        <f>'Submetering '!O14+'Submetering '!P14+'Submetering '!Q14+'Submetering '!R14+'Submetering '!S14</f>
        <v>0</v>
      </c>
      <c r="F14" s="11" t="e">
        <f>('FS Seychelles'!#REF!*'FS Seychelles'!S15)/TOTAL!E14</f>
        <v>#REF!</v>
      </c>
      <c r="G14" s="12">
        <f>'Submetering '!AB14</f>
        <v>0</v>
      </c>
      <c r="H14" s="11">
        <f t="shared" si="1"/>
        <v>18.899999999999999</v>
      </c>
      <c r="I14" s="12">
        <f>'FS Seychelles'!T15+'FS Seychelles'!V15+'FS Seychelles'!W15+'FS Seychelles'!X15</f>
        <v>0</v>
      </c>
      <c r="J14" s="11">
        <f t="shared" si="2"/>
        <v>0</v>
      </c>
      <c r="K14" s="29">
        <f>'Submetering '!Z14</f>
        <v>0</v>
      </c>
      <c r="L14" s="11">
        <f t="shared" si="2"/>
        <v>0</v>
      </c>
      <c r="M14" s="59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v>5</v>
      </c>
      <c r="D15" s="1">
        <v>2021</v>
      </c>
      <c r="E15" s="12">
        <f>'Submetering '!O15+'Submetering '!P15+'Submetering '!Q15+'Submetering '!R15+'Submetering '!S15</f>
        <v>0</v>
      </c>
      <c r="F15" s="11" t="e">
        <f>('FS Seychelles'!#REF!*'FS Seychelles'!S16)/TOTAL!E15</f>
        <v>#REF!</v>
      </c>
      <c r="G15" s="12">
        <f>'Submetering '!AB15</f>
        <v>0</v>
      </c>
      <c r="H15" s="11">
        <f t="shared" si="1"/>
        <v>18.899999999999999</v>
      </c>
      <c r="I15" s="12">
        <f>'FS Seychelles'!T16+'FS Seychelles'!V16+'FS Seychelles'!W16+'FS Seychelles'!X16</f>
        <v>0</v>
      </c>
      <c r="J15" s="11">
        <f t="shared" si="2"/>
        <v>0</v>
      </c>
      <c r="K15" s="29">
        <f>'Submetering '!Z15</f>
        <v>0</v>
      </c>
      <c r="L15" s="11">
        <f t="shared" si="2"/>
        <v>0</v>
      </c>
      <c r="M15" s="59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v>5</v>
      </c>
      <c r="D16" s="1">
        <v>2021</v>
      </c>
      <c r="E16" s="12">
        <f>'Submetering '!O16+'Submetering '!P16+'Submetering '!Q16+'Submetering '!R16+'Submetering '!S16</f>
        <v>0</v>
      </c>
      <c r="F16" s="11" t="e">
        <f>('FS Seychelles'!#REF!*'FS Seychelles'!S17)/TOTAL!E16</f>
        <v>#REF!</v>
      </c>
      <c r="G16" s="12">
        <f>'Submetering '!AB16</f>
        <v>0</v>
      </c>
      <c r="H16" s="11">
        <f t="shared" si="1"/>
        <v>18.899999999999999</v>
      </c>
      <c r="I16" s="12">
        <f>'FS Seychelles'!T17+'FS Seychelles'!V17+'FS Seychelles'!W17+'FS Seychelles'!X17</f>
        <v>0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59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5</v>
      </c>
      <c r="D17" s="1">
        <v>2021</v>
      </c>
      <c r="E17" s="12">
        <f>'Submetering '!O17+'Submetering '!P17+'Submetering '!Q17+'Submetering '!R17+'Submetering '!S17</f>
        <v>0</v>
      </c>
      <c r="F17" s="11" t="e">
        <f>('FS Seychelles'!#REF!*'FS Seychelles'!S18)/TOTAL!E17</f>
        <v>#REF!</v>
      </c>
      <c r="G17" s="12">
        <f>'Submetering '!AB17</f>
        <v>0</v>
      </c>
      <c r="H17" s="11">
        <f t="shared" si="1"/>
        <v>18.899999999999999</v>
      </c>
      <c r="I17" s="12">
        <f>'FS Seychelles'!T18+'FS Seychelles'!V18+'FS Seychelles'!W18+'FS Seychelles'!X18</f>
        <v>0</v>
      </c>
      <c r="J17" s="11">
        <f t="shared" si="2"/>
        <v>0</v>
      </c>
      <c r="K17" s="29">
        <f>'Submetering '!Z17</f>
        <v>0</v>
      </c>
      <c r="L17" s="11">
        <f t="shared" si="2"/>
        <v>0</v>
      </c>
      <c r="M17" s="59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5</v>
      </c>
      <c r="D18" s="1">
        <v>2021</v>
      </c>
      <c r="E18" s="12">
        <f>'Submetering '!O18+'Submetering '!P18+'Submetering '!Q18+'Submetering '!R18+'Submetering '!S18</f>
        <v>0</v>
      </c>
      <c r="F18" s="11" t="e">
        <f>('FS Seychelles'!#REF!*'FS Seychelles'!S19)/TOTAL!E18</f>
        <v>#REF!</v>
      </c>
      <c r="G18" s="12">
        <f>'Submetering '!AB18</f>
        <v>0</v>
      </c>
      <c r="H18" s="11">
        <f t="shared" si="1"/>
        <v>18.899999999999999</v>
      </c>
      <c r="I18" s="12">
        <f>'FS Seychelles'!T19+'FS Seychelles'!V19+'FS Seychelles'!W19+'FS Seychelles'!X19</f>
        <v>0</v>
      </c>
      <c r="J18" s="11">
        <f t="shared" si="2"/>
        <v>0</v>
      </c>
      <c r="K18" s="29">
        <f>'Submetering '!Z18</f>
        <v>0</v>
      </c>
      <c r="L18" s="11">
        <f t="shared" si="2"/>
        <v>0</v>
      </c>
      <c r="M18" s="59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5</v>
      </c>
      <c r="D19" s="1">
        <v>2021</v>
      </c>
      <c r="E19" s="12">
        <f>'Submetering '!O19+'Submetering '!P19+'Submetering '!Q19+'Submetering '!R19+'Submetering '!S19</f>
        <v>0</v>
      </c>
      <c r="F19" s="11" t="e">
        <f>('FS Seychelles'!#REF!*'FS Seychelles'!S20)/TOTAL!E19</f>
        <v>#REF!</v>
      </c>
      <c r="G19" s="12">
        <f>'Submetering '!AB19</f>
        <v>0</v>
      </c>
      <c r="H19" s="11">
        <f t="shared" si="1"/>
        <v>18.899999999999999</v>
      </c>
      <c r="I19" s="12">
        <f>'FS Seychelles'!T20+'FS Seychelles'!V20+'FS Seychelles'!W20+'FS Seychelles'!X20</f>
        <v>0</v>
      </c>
      <c r="J19" s="11">
        <f t="shared" si="2"/>
        <v>0</v>
      </c>
      <c r="K19" s="29">
        <f>'Submetering '!Z19</f>
        <v>0</v>
      </c>
      <c r="L19" s="11">
        <f t="shared" si="2"/>
        <v>0</v>
      </c>
      <c r="M19" s="59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5</v>
      </c>
      <c r="D20" s="1">
        <v>2021</v>
      </c>
      <c r="E20" s="12">
        <f>'Submetering '!O20+'Submetering '!P20+'Submetering '!Q20+'Submetering '!R20+'Submetering '!S20</f>
        <v>0</v>
      </c>
      <c r="F20" s="11" t="e">
        <f>('FS Seychelles'!#REF!*'FS Seychelles'!S21)/TOTAL!E20</f>
        <v>#REF!</v>
      </c>
      <c r="G20" s="12">
        <f>'Submetering '!AB20</f>
        <v>0</v>
      </c>
      <c r="H20" s="11">
        <f t="shared" si="1"/>
        <v>18.899999999999999</v>
      </c>
      <c r="I20" s="12">
        <f>'FS Seychelles'!T21+'FS Seychelles'!V21+'FS Seychelles'!W21+'FS Seychelles'!X21</f>
        <v>0</v>
      </c>
      <c r="J20" s="11">
        <f t="shared" si="2"/>
        <v>0</v>
      </c>
      <c r="K20" s="29">
        <f>'Submetering '!Z20</f>
        <v>0</v>
      </c>
      <c r="L20" s="11">
        <f t="shared" si="2"/>
        <v>0</v>
      </c>
      <c r="M20" s="59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5</v>
      </c>
      <c r="D21" s="1">
        <v>2021</v>
      </c>
      <c r="E21" s="12">
        <f>'Submetering '!O21+'Submetering '!P21+'Submetering '!Q21+'Submetering '!R21+'Submetering '!S21</f>
        <v>0</v>
      </c>
      <c r="F21" s="11" t="e">
        <f>('FS Seychelles'!#REF!*'FS Seychelles'!S22)/TOTAL!E21</f>
        <v>#REF!</v>
      </c>
      <c r="G21" s="12" t="e">
        <f>'Submetering '!AB21</f>
        <v>#REF!</v>
      </c>
      <c r="H21" s="11">
        <f t="shared" si="1"/>
        <v>18.899999999999999</v>
      </c>
      <c r="I21" s="12">
        <f>'FS Seychelles'!T22+'FS Seychelles'!V22+'FS Seychelles'!W22+'FS Seychelles'!X22</f>
        <v>0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59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5</v>
      </c>
      <c r="D22" s="1">
        <v>2021</v>
      </c>
      <c r="E22" s="12">
        <f>'Submetering '!O22+'Submetering '!P22+'Submetering '!Q22+'Submetering '!R22+'Submetering '!S22</f>
        <v>0</v>
      </c>
      <c r="F22" s="11" t="e">
        <f>('FS Seychelles'!#REF!*'FS Seychelles'!S23)/TOTAL!E22</f>
        <v>#REF!</v>
      </c>
      <c r="G22" s="12" t="e">
        <f>'Submetering '!AB22</f>
        <v>#REF!</v>
      </c>
      <c r="H22" s="11">
        <f t="shared" si="1"/>
        <v>18.899999999999999</v>
      </c>
      <c r="I22" s="12">
        <f>'FS Seychelles'!T23+'FS Seychelles'!V23+'FS Seychelles'!W23+'FS Seychelles'!X23</f>
        <v>0</v>
      </c>
      <c r="J22" s="11">
        <f t="shared" si="2"/>
        <v>0</v>
      </c>
      <c r="K22" s="29">
        <f>'Submetering '!Z22</f>
        <v>0</v>
      </c>
      <c r="L22" s="11">
        <f t="shared" si="2"/>
        <v>0</v>
      </c>
      <c r="M22" s="59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5</v>
      </c>
      <c r="D23" s="1">
        <v>2021</v>
      </c>
      <c r="E23" s="12">
        <f>'Submetering '!O23+'Submetering '!P23+'Submetering '!Q23+'Submetering '!R23+'Submetering '!S23</f>
        <v>0</v>
      </c>
      <c r="F23" s="11" t="e">
        <f>('FS Seychelles'!#REF!*'FS Seychelles'!S24)/TOTAL!E23</f>
        <v>#REF!</v>
      </c>
      <c r="G23" s="12" t="e">
        <f>'Submetering '!AB23</f>
        <v>#REF!</v>
      </c>
      <c r="H23" s="11">
        <f t="shared" si="1"/>
        <v>18.899999999999999</v>
      </c>
      <c r="I23" s="12">
        <f>'FS Seychelles'!T24+'FS Seychelles'!V24+'FS Seychelles'!W24+'FS Seychelles'!X24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59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5</v>
      </c>
      <c r="D24" s="1">
        <v>2021</v>
      </c>
      <c r="E24" s="12">
        <f>'Submetering '!O24+'Submetering '!P24+'Submetering '!Q24+'Submetering '!R24+'Submetering '!S24</f>
        <v>0</v>
      </c>
      <c r="F24" s="11" t="e">
        <f>('FS Seychelles'!#REF!*'FS Seychelles'!S25)/TOTAL!E24</f>
        <v>#REF!</v>
      </c>
      <c r="G24" s="12" t="e">
        <f>'Submetering '!AB24</f>
        <v>#REF!</v>
      </c>
      <c r="H24" s="11">
        <f t="shared" si="1"/>
        <v>18.899999999999999</v>
      </c>
      <c r="I24" s="12">
        <f>'FS Seychelles'!T25+'FS Seychelles'!V25+'FS Seychelles'!W25+'FS Seychelles'!X25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59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5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Seychelles'!#REF!*'FS Seychelles'!S26)/TOTAL!E25</f>
        <v>#REF!</v>
      </c>
      <c r="G25" s="12" t="e">
        <f>'Submetering '!AB25</f>
        <v>#REF!</v>
      </c>
      <c r="H25" s="11">
        <f t="shared" si="1"/>
        <v>18.899999999999999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9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5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Seychelles'!#REF!*'FS Seychelles'!S27)/TOTAL!E26</f>
        <v>#REF!</v>
      </c>
      <c r="G26" s="12" t="e">
        <f>'Submetering '!AB26</f>
        <v>#REF!</v>
      </c>
      <c r="H26" s="11">
        <f t="shared" si="1"/>
        <v>18.899999999999999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9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5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Seychelles'!#REF!*'FS Seychelles'!S28)/TOTAL!E27</f>
        <v>#REF!</v>
      </c>
      <c r="G27" s="12" t="e">
        <f>'Submetering '!AB27</f>
        <v>#REF!</v>
      </c>
      <c r="H27" s="11">
        <f t="shared" si="1"/>
        <v>18.899999999999999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9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5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Seychelles'!#REF!*'FS Seychelles'!S29)/TOTAL!E28</f>
        <v>#REF!</v>
      </c>
      <c r="G28" s="12" t="e">
        <f>'Submetering '!AB28</f>
        <v>#REF!</v>
      </c>
      <c r="H28" s="11">
        <f t="shared" si="1"/>
        <v>18.899999999999999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9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5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Seychelles'!#REF!*'FS Seychelles'!S30)/TOTAL!E29</f>
        <v>#REF!</v>
      </c>
      <c r="G29" s="12" t="e">
        <f>'Submetering '!AB29</f>
        <v>#REF!</v>
      </c>
      <c r="H29" s="11">
        <f t="shared" si="1"/>
        <v>18.899999999999999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9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5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Seychelles'!#REF!*'FS Seychelles'!S31)/TOTAL!E30</f>
        <v>#REF!</v>
      </c>
      <c r="G30" s="12" t="e">
        <f>'Submetering '!AB30</f>
        <v>#REF!</v>
      </c>
      <c r="H30" s="11">
        <f t="shared" si="1"/>
        <v>18.899999999999999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9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5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Seychelles'!#REF!*'FS Seychelles'!S32)/TOTAL!E31</f>
        <v>#REF!</v>
      </c>
      <c r="G31" s="12" t="e">
        <f>'Submetering '!AB31</f>
        <v>#REF!</v>
      </c>
      <c r="H31" s="11">
        <f t="shared" si="1"/>
        <v>18.899999999999999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9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v>5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Seychelles'!#REF!*'FS Seychelles'!S33)/TOTAL!E32</f>
        <v>#REF!</v>
      </c>
      <c r="G32" s="12" t="e">
        <f>'Submetering '!AB32</f>
        <v>#REF!</v>
      </c>
      <c r="H32" s="11">
        <f t="shared" si="1"/>
        <v>18.899999999999999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9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N1" workbookViewId="0">
      <selection activeCell="D33" sqref="D33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5</v>
      </c>
      <c r="D2" s="11">
        <v>2021</v>
      </c>
      <c r="E2" s="18">
        <f>'FS Seychelles'!B3</f>
        <v>45</v>
      </c>
      <c r="F2" s="18">
        <f>'FS Seychelles'!D3*1000</f>
        <v>3696.64</v>
      </c>
      <c r="G2" s="18">
        <f>'FS Seychelles'!E3*1000</f>
        <v>5747.2000000000007</v>
      </c>
      <c r="H2" s="18">
        <f>'FS Seychelles'!F3*1000</f>
        <v>5398.0160000000005</v>
      </c>
      <c r="I2" s="18">
        <f>'FS Seychelles'!G3*1000</f>
        <v>1838.848</v>
      </c>
      <c r="J2" s="18">
        <f>'FS Seychelles'!H3*1000</f>
        <v>3007.7440000000001</v>
      </c>
      <c r="K2" s="18">
        <f>'FS Seychelles'!I3*1000</f>
        <v>3032.8319999999999</v>
      </c>
      <c r="L2" s="18">
        <f>'FS Seychelles'!J3*1000</f>
        <v>1430.7840000000001</v>
      </c>
      <c r="M2" s="18">
        <f>'FS Seychelles'!K3*1000</f>
        <v>1749.2479999999998</v>
      </c>
      <c r="N2" s="18">
        <f>'FS Seychelles'!L3*1000</f>
        <v>3978.24</v>
      </c>
      <c r="O2" s="18">
        <f>'FS Seychelles'!M3</f>
        <v>0</v>
      </c>
      <c r="P2" s="18">
        <f>'FS Seychelles'!N3</f>
        <v>6868</v>
      </c>
      <c r="Q2" s="18">
        <f>'FS Seychelles'!O3</f>
        <v>7735</v>
      </c>
      <c r="R2" s="18">
        <f>'FS Seychelles'!P3</f>
        <v>11302</v>
      </c>
      <c r="S2" s="18">
        <f>'FS Seychelles'!Q3</f>
        <v>9171</v>
      </c>
      <c r="T2" s="18" t="e">
        <f>'FS Seychelles'!#REF!</f>
        <v>#REF!</v>
      </c>
      <c r="U2" s="18">
        <f>'FS Seychelles'!T3</f>
        <v>51</v>
      </c>
      <c r="V2" s="18">
        <f>'FS Seychelles'!U3</f>
        <v>47</v>
      </c>
      <c r="W2" s="18">
        <f>'FS Seychelles'!V3</f>
        <v>38</v>
      </c>
      <c r="X2" s="18">
        <f>'FS Seychelles'!W3</f>
        <v>77</v>
      </c>
      <c r="Y2" s="18">
        <f>'FS Seychelles'!X3</f>
        <v>144</v>
      </c>
      <c r="Z2" s="18">
        <f>'FS Seychelles'!Y3</f>
        <v>4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5</v>
      </c>
      <c r="D3" s="11">
        <v>2021</v>
      </c>
      <c r="E3" s="18">
        <f>'FS Seychelles'!B4</f>
        <v>55.26</v>
      </c>
      <c r="F3" s="18">
        <f>'FS Seychelles'!D4*1000</f>
        <v>3937.7919999999999</v>
      </c>
      <c r="G3" s="18">
        <f>'FS Seychelles'!E4*1000</f>
        <v>5858.8159999999998</v>
      </c>
      <c r="H3" s="18">
        <f>'FS Seychelles'!F4*1000</f>
        <v>5402.1120000000001</v>
      </c>
      <c r="I3" s="18">
        <f>'FS Seychelles'!G4*1000</f>
        <v>1933.8240000000001</v>
      </c>
      <c r="J3" s="18">
        <f>'FS Seychelles'!H4*1000</f>
        <v>3232.2559999999999</v>
      </c>
      <c r="K3" s="18">
        <f>'FS Seychelles'!I4*1000</f>
        <v>3105.5360000000001</v>
      </c>
      <c r="L3" s="18">
        <f>'FS Seychelles'!J4*1000</f>
        <v>1304.576</v>
      </c>
      <c r="M3" s="18">
        <f>'FS Seychelles'!K4*1000</f>
        <v>1952.768</v>
      </c>
      <c r="N3" s="18">
        <f>'FS Seychelles'!L4*1000</f>
        <v>3857.92</v>
      </c>
      <c r="O3" s="18">
        <f>'FS Seychelles'!M4</f>
        <v>0</v>
      </c>
      <c r="P3" s="18">
        <f>'FS Seychelles'!N4</f>
        <v>9662</v>
      </c>
      <c r="Q3" s="18">
        <f>'FS Seychelles'!O4</f>
        <v>6534</v>
      </c>
      <c r="R3" s="18">
        <f>'FS Seychelles'!P4</f>
        <v>16187</v>
      </c>
      <c r="S3" s="18">
        <f>'FS Seychelles'!Q4</f>
        <v>0</v>
      </c>
      <c r="T3" s="18" t="e">
        <f>'FS Seychelles'!#REF!</f>
        <v>#REF!</v>
      </c>
      <c r="U3" s="18">
        <f>'FS Seychelles'!T4</f>
        <v>54</v>
      </c>
      <c r="V3" s="18">
        <f>'FS Seychelles'!U4</f>
        <v>26</v>
      </c>
      <c r="W3" s="18">
        <f>'FS Seychelles'!V4</f>
        <v>73</v>
      </c>
      <c r="X3" s="18">
        <f>'FS Seychelles'!W4</f>
        <v>101</v>
      </c>
      <c r="Y3" s="18">
        <f>'FS Seychelles'!X4</f>
        <v>147</v>
      </c>
      <c r="Z3" s="18">
        <f>'FS Seychelles'!Y4</f>
        <v>4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5</v>
      </c>
      <c r="D4" s="11">
        <v>2021</v>
      </c>
      <c r="E4" s="18">
        <f>'FS Seychelles'!B5</f>
        <v>52.63</v>
      </c>
      <c r="F4" s="18">
        <f>'FS Seychelles'!D5*1000</f>
        <v>3957.7599999999998</v>
      </c>
      <c r="G4" s="18">
        <f>'FS Seychelles'!E5*1000</f>
        <v>6141.4400000000005</v>
      </c>
      <c r="H4" s="18">
        <f>'FS Seychelles'!F5*1000</f>
        <v>5505.0239999999994</v>
      </c>
      <c r="I4" s="18">
        <f>'FS Seychelles'!G5*1000</f>
        <v>1950.9760000000001</v>
      </c>
      <c r="J4" s="18">
        <f>'FS Seychelles'!H5*1000</f>
        <v>3254.7840000000001</v>
      </c>
      <c r="K4" s="18">
        <f>'FS Seychelles'!I5*1000</f>
        <v>3238.9119999999998</v>
      </c>
      <c r="L4" s="18">
        <f>'FS Seychelles'!J5*1000</f>
        <v>1429.376</v>
      </c>
      <c r="M4" s="18">
        <f>'FS Seychelles'!K5*1000</f>
        <v>2088.192</v>
      </c>
      <c r="N4" s="18">
        <f>'FS Seychelles'!L5*1000</f>
        <v>4065.7919999999999</v>
      </c>
      <c r="O4" s="18">
        <f>'FS Seychelles'!M5</f>
        <v>0</v>
      </c>
      <c r="P4" s="18">
        <f>'FS Seychelles'!N5</f>
        <v>9674</v>
      </c>
      <c r="Q4" s="18">
        <f>'FS Seychelles'!O5</f>
        <v>6545</v>
      </c>
      <c r="R4" s="18">
        <f>'FS Seychelles'!P5</f>
        <v>9089</v>
      </c>
      <c r="S4" s="18">
        <f>'FS Seychelles'!Q5</f>
        <v>8865</v>
      </c>
      <c r="T4" s="18" t="e">
        <f>'FS Seychelles'!#REF!</f>
        <v>#REF!</v>
      </c>
      <c r="U4" s="18">
        <f>'FS Seychelles'!T5</f>
        <v>55</v>
      </c>
      <c r="V4" s="18">
        <f>'FS Seychelles'!U5</f>
        <v>20</v>
      </c>
      <c r="W4" s="18">
        <f>'FS Seychelles'!V5</f>
        <v>57</v>
      </c>
      <c r="X4" s="18">
        <f>'FS Seychelles'!W5</f>
        <v>87</v>
      </c>
      <c r="Y4" s="18">
        <f>'FS Seychelles'!X5</f>
        <v>129</v>
      </c>
      <c r="Z4" s="18">
        <f>'FS Seychelles'!Y5</f>
        <v>3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5</v>
      </c>
      <c r="D5" s="11">
        <v>2021</v>
      </c>
      <c r="E5" s="18">
        <f>'FS Seychelles'!B6</f>
        <v>60.53</v>
      </c>
      <c r="F5" s="18">
        <f>'FS Seychelles'!D6*1000</f>
        <v>2863.8720000000003</v>
      </c>
      <c r="G5" s="18">
        <f>'FS Seychelles'!E6*1000</f>
        <v>4583.9359999999997</v>
      </c>
      <c r="H5" s="18">
        <f>'FS Seychelles'!F6*1000</f>
        <v>4869.12</v>
      </c>
      <c r="I5" s="18">
        <f>'FS Seychelles'!G6*1000</f>
        <v>1531.904</v>
      </c>
      <c r="J5" s="18">
        <f>'FS Seychelles'!H6*1000</f>
        <v>2360.8319999999999</v>
      </c>
      <c r="K5" s="18">
        <f>'FS Seychelles'!I6*1000</f>
        <v>2352.64</v>
      </c>
      <c r="L5" s="18">
        <f>'FS Seychelles'!J6*1000</f>
        <v>1457.92</v>
      </c>
      <c r="M5" s="18">
        <f>'FS Seychelles'!K6*1000</f>
        <v>1623.296</v>
      </c>
      <c r="N5" s="18">
        <f>'FS Seychelles'!L6*1000</f>
        <v>3856.8959999999997</v>
      </c>
      <c r="O5" s="18">
        <f>'FS Seychelles'!M6</f>
        <v>0</v>
      </c>
      <c r="P5" s="18">
        <f>'FS Seychelles'!N6</f>
        <v>5980</v>
      </c>
      <c r="Q5" s="18">
        <f>'FS Seychelles'!O6</f>
        <v>11921</v>
      </c>
      <c r="R5" s="18">
        <f>'FS Seychelles'!P6</f>
        <v>7636</v>
      </c>
      <c r="S5" s="18">
        <f>'FS Seychelles'!Q6</f>
        <v>0</v>
      </c>
      <c r="T5" s="18" t="e">
        <f>'FS Seychelles'!#REF!</f>
        <v>#REF!</v>
      </c>
      <c r="U5" s="18">
        <f>'FS Seychelles'!T6</f>
        <v>53</v>
      </c>
      <c r="V5" s="18">
        <f>'FS Seychelles'!U6</f>
        <v>31</v>
      </c>
      <c r="W5" s="18">
        <f>'FS Seychelles'!V6</f>
        <v>106</v>
      </c>
      <c r="X5" s="18">
        <f>'FS Seychelles'!W6</f>
        <v>97</v>
      </c>
      <c r="Y5" s="18">
        <f>'FS Seychelles'!X6</f>
        <v>172</v>
      </c>
      <c r="Z5" s="18">
        <f>'FS Seychelles'!Y6</f>
        <v>62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5</v>
      </c>
      <c r="D6" s="11">
        <v>2021</v>
      </c>
      <c r="E6" s="18">
        <f>'FS Seychelles'!B7</f>
        <v>57.89</v>
      </c>
      <c r="F6" s="18">
        <f>'FS Seychelles'!D7*1000</f>
        <v>3833.0880000000002</v>
      </c>
      <c r="G6" s="18">
        <f>'FS Seychelles'!E7*1000</f>
        <v>5977.5999999999995</v>
      </c>
      <c r="H6" s="18">
        <f>'FS Seychelles'!F7*1000</f>
        <v>5429.76</v>
      </c>
      <c r="I6" s="18">
        <f>'FS Seychelles'!G7*1000</f>
        <v>1964.288</v>
      </c>
      <c r="J6" s="18">
        <f>'FS Seychelles'!H7*1000</f>
        <v>2927.8719999999998</v>
      </c>
      <c r="K6" s="18">
        <f>'FS Seychelles'!I7*1000</f>
        <v>2844.16</v>
      </c>
      <c r="L6" s="18">
        <f>'FS Seychelles'!J7*1000</f>
        <v>1472.768</v>
      </c>
      <c r="M6" s="18">
        <f>'FS Seychelles'!K7*1000</f>
        <v>1885.184</v>
      </c>
      <c r="N6" s="18">
        <f>'FS Seychelles'!L7*1000</f>
        <v>3951.616</v>
      </c>
      <c r="O6" s="18">
        <f>'FS Seychelles'!M7</f>
        <v>0</v>
      </c>
      <c r="P6" s="18">
        <f>'FS Seychelles'!N7</f>
        <v>9975</v>
      </c>
      <c r="Q6" s="18">
        <f>'FS Seychelles'!O7</f>
        <v>4629</v>
      </c>
      <c r="R6" s="18">
        <f>'FS Seychelles'!P7</f>
        <v>8474</v>
      </c>
      <c r="S6" s="18">
        <f>'FS Seychelles'!Q7</f>
        <v>8412</v>
      </c>
      <c r="T6" s="18" t="e">
        <f>'FS Seychelles'!#REF!</f>
        <v>#REF!</v>
      </c>
      <c r="U6" s="18">
        <f>'FS Seychelles'!T7</f>
        <v>57</v>
      </c>
      <c r="V6" s="18">
        <f>'FS Seychelles'!U7</f>
        <v>64</v>
      </c>
      <c r="W6" s="18">
        <f>'FS Seychelles'!V7</f>
        <v>72</v>
      </c>
      <c r="X6" s="18">
        <f>'FS Seychelles'!W7</f>
        <v>97</v>
      </c>
      <c r="Y6" s="18">
        <f>'FS Seychelles'!X7</f>
        <v>144</v>
      </c>
      <c r="Z6" s="18">
        <f>'FS Seychelles'!Y7</f>
        <v>91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5</v>
      </c>
      <c r="D7" s="11">
        <v>2021</v>
      </c>
      <c r="E7" s="18">
        <f>'FS Seychelles'!B8</f>
        <v>61.84</v>
      </c>
      <c r="F7" s="18">
        <f>'FS Seychelles'!D8*1000</f>
        <v>3860.48</v>
      </c>
      <c r="G7" s="18">
        <f>'FS Seychelles'!E8*1000</f>
        <v>6109.6959999999999</v>
      </c>
      <c r="H7" s="18">
        <f>'FS Seychelles'!F8*1000</f>
        <v>5585.4080000000004</v>
      </c>
      <c r="I7" s="18">
        <f>'FS Seychelles'!G8*1000</f>
        <v>1998.3359999999998</v>
      </c>
      <c r="J7" s="18">
        <f>'FS Seychelles'!H8*1000</f>
        <v>2898.9440000000004</v>
      </c>
      <c r="K7" s="18">
        <f>'FS Seychelles'!I8*1000</f>
        <v>3025.4079999999999</v>
      </c>
      <c r="L7" s="18">
        <f>'FS Seychelles'!J8*1000</f>
        <v>1424.5119999999999</v>
      </c>
      <c r="M7" s="18">
        <f>'FS Seychelles'!K8*1000</f>
        <v>1947.6480000000001</v>
      </c>
      <c r="N7" s="18">
        <f>'FS Seychelles'!L8*1000</f>
        <v>3880.96</v>
      </c>
      <c r="O7" s="18">
        <f>'FS Seychelles'!M8</f>
        <v>0</v>
      </c>
      <c r="P7" s="18">
        <f>'FS Seychelles'!N8</f>
        <v>10607</v>
      </c>
      <c r="Q7" s="18">
        <f>'FS Seychelles'!O8</f>
        <v>9131</v>
      </c>
      <c r="R7" s="18">
        <f>'FS Seychelles'!P8</f>
        <v>12870</v>
      </c>
      <c r="S7" s="18">
        <f>'FS Seychelles'!Q8</f>
        <v>11910</v>
      </c>
      <c r="T7" s="18" t="e">
        <f>'FS Seychelles'!#REF!</f>
        <v>#REF!</v>
      </c>
      <c r="U7" s="18">
        <f>'FS Seychelles'!T8</f>
        <v>58</v>
      </c>
      <c r="V7" s="18">
        <f>'FS Seychelles'!U8</f>
        <v>22</v>
      </c>
      <c r="W7" s="18">
        <f>'FS Seychelles'!V8</f>
        <v>78</v>
      </c>
      <c r="X7" s="18">
        <f>'FS Seychelles'!W8</f>
        <v>123</v>
      </c>
      <c r="Y7" s="18">
        <f>'FS Seychelles'!X8</f>
        <v>151</v>
      </c>
      <c r="Z7" s="18">
        <f>'FS Seychelles'!Y8</f>
        <v>46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5</v>
      </c>
      <c r="D8" s="11">
        <v>2021</v>
      </c>
      <c r="E8" s="18">
        <f>'FS Seychelles'!B9</f>
        <v>68.42</v>
      </c>
      <c r="F8" s="18">
        <f>'FS Seychelles'!D9*1000</f>
        <v>3935.4879999999998</v>
      </c>
      <c r="G8" s="18">
        <f>'FS Seychelles'!E9*1000</f>
        <v>6085.12</v>
      </c>
      <c r="H8" s="18">
        <f>'FS Seychelles'!F9*1000</f>
        <v>5732.3519999999999</v>
      </c>
      <c r="I8" s="18">
        <f>'FS Seychelles'!G9*1000</f>
        <v>1997.3119999999999</v>
      </c>
      <c r="J8" s="18">
        <f>'FS Seychelles'!H9*1000</f>
        <v>3079.1680000000001</v>
      </c>
      <c r="K8" s="18">
        <f>'FS Seychelles'!I9*1000</f>
        <v>2987.0079999999998</v>
      </c>
      <c r="L8" s="18">
        <f>'FS Seychelles'!J9*1000</f>
        <v>1345.5360000000001</v>
      </c>
      <c r="M8" s="18">
        <f>'FS Seychelles'!K9*1000</f>
        <v>1865.9840000000002</v>
      </c>
      <c r="N8" s="18">
        <f>'FS Seychelles'!L9*1000</f>
        <v>3770.3679999999999</v>
      </c>
      <c r="O8" s="18">
        <f>'FS Seychelles'!M9</f>
        <v>0</v>
      </c>
      <c r="P8" s="18">
        <f>'FS Seychelles'!N9</f>
        <v>12118</v>
      </c>
      <c r="Q8" s="18">
        <f>'FS Seychelles'!O9</f>
        <v>4235</v>
      </c>
      <c r="R8" s="18">
        <f>'FS Seychelles'!P9</f>
        <v>0</v>
      </c>
      <c r="S8" s="18">
        <f>'FS Seychelles'!Q9</f>
        <v>4539</v>
      </c>
      <c r="T8" s="18" t="e">
        <f>'FS Seychelles'!#REF!</f>
        <v>#REF!</v>
      </c>
      <c r="U8" s="18">
        <f>'FS Seychelles'!T9</f>
        <v>52</v>
      </c>
      <c r="V8" s="18">
        <f>'FS Seychelles'!U9</f>
        <v>19</v>
      </c>
      <c r="W8" s="18">
        <f>'FS Seychelles'!V9</f>
        <v>68</v>
      </c>
      <c r="X8" s="18">
        <f>'FS Seychelles'!W9</f>
        <v>108</v>
      </c>
      <c r="Y8" s="18">
        <f>'FS Seychelles'!X9</f>
        <v>186</v>
      </c>
      <c r="Z8" s="18">
        <f>'FS Seychelles'!Y9</f>
        <v>86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5</v>
      </c>
      <c r="D9" s="11">
        <v>2021</v>
      </c>
      <c r="E9" s="18">
        <f>'FS Seychelles'!B10</f>
        <v>69.73</v>
      </c>
      <c r="F9" s="18">
        <f>'FS Seychelles'!D10*1000</f>
        <v>3695.1040000000003</v>
      </c>
      <c r="G9" s="18">
        <f>'FS Seychelles'!E10*1000</f>
        <v>5480.4480000000003</v>
      </c>
      <c r="H9" s="18">
        <f>'FS Seychelles'!F10*1000</f>
        <v>5529.6</v>
      </c>
      <c r="I9" s="18">
        <f>'FS Seychelles'!G10*1000</f>
        <v>1905.152</v>
      </c>
      <c r="J9" s="18">
        <f>'FS Seychelles'!H10*1000</f>
        <v>2803.712</v>
      </c>
      <c r="K9" s="18">
        <f>'FS Seychelles'!I10*1000</f>
        <v>2879.7440000000001</v>
      </c>
      <c r="L9" s="18">
        <f>'FS Seychelles'!J10*1000</f>
        <v>1263.104</v>
      </c>
      <c r="M9" s="18">
        <f>'FS Seychelles'!K10*1000</f>
        <v>1869.056</v>
      </c>
      <c r="N9" s="18">
        <f>'FS Seychelles'!L10*1000</f>
        <v>3703.808</v>
      </c>
      <c r="O9" s="18">
        <f>'FS Seychelles'!M10</f>
        <v>0</v>
      </c>
      <c r="P9" s="18">
        <f>'FS Seychelles'!N10</f>
        <v>10401</v>
      </c>
      <c r="Q9" s="18">
        <f>'FS Seychelles'!O10</f>
        <v>5213</v>
      </c>
      <c r="R9" s="18">
        <f>'FS Seychelles'!P10</f>
        <v>11081</v>
      </c>
      <c r="S9" s="18">
        <f>'FS Seychelles'!Q10</f>
        <v>3792</v>
      </c>
      <c r="T9" s="18" t="e">
        <f>'FS Seychelles'!#REF!</f>
        <v>#REF!</v>
      </c>
      <c r="U9" s="18">
        <f>'FS Seychelles'!T10</f>
        <v>53</v>
      </c>
      <c r="V9" s="18">
        <f>'FS Seychelles'!U10</f>
        <v>23</v>
      </c>
      <c r="W9" s="18">
        <f>'FS Seychelles'!V10</f>
        <v>64</v>
      </c>
      <c r="X9" s="18">
        <f>'FS Seychelles'!W10</f>
        <v>155</v>
      </c>
      <c r="Y9" s="18">
        <f>'FS Seychelles'!X10</f>
        <v>163</v>
      </c>
      <c r="Z9" s="18">
        <f>'FS Seychelles'!Y10</f>
        <v>128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5</v>
      </c>
      <c r="D10" s="11">
        <v>2021</v>
      </c>
      <c r="E10" s="18">
        <f>'FS Seychelles'!B11</f>
        <v>64.47</v>
      </c>
      <c r="F10" s="18">
        <f>'FS Seychelles'!D11*1000</f>
        <v>2865.92</v>
      </c>
      <c r="G10" s="18">
        <f>'FS Seychelles'!E11*1000</f>
        <v>4255.7439999999997</v>
      </c>
      <c r="H10" s="18">
        <f>'FS Seychelles'!F11*1000</f>
        <v>4779.5199999999995</v>
      </c>
      <c r="I10" s="18">
        <f>'FS Seychelles'!G11*1000</f>
        <v>1413.8879999999999</v>
      </c>
      <c r="J10" s="18">
        <f>'FS Seychelles'!H11*1000</f>
        <v>2104.8319999999999</v>
      </c>
      <c r="K10" s="18">
        <f>'FS Seychelles'!I11*1000</f>
        <v>2213.8879999999999</v>
      </c>
      <c r="L10" s="18">
        <f>'FS Seychelles'!J11*1000</f>
        <v>1427.712</v>
      </c>
      <c r="M10" s="18">
        <f>'FS Seychelles'!K11*1000</f>
        <v>1426.432</v>
      </c>
      <c r="N10" s="18">
        <f>'FS Seychelles'!L11*1000</f>
        <v>3222.5280000000002</v>
      </c>
      <c r="O10" s="18">
        <f>'FS Seychelles'!M11</f>
        <v>0</v>
      </c>
      <c r="P10" s="18">
        <f>'FS Seychelles'!N11</f>
        <v>0</v>
      </c>
      <c r="Q10" s="18">
        <f>'FS Seychelles'!O11</f>
        <v>7612</v>
      </c>
      <c r="R10" s="18">
        <f>'FS Seychelles'!P11</f>
        <v>12353</v>
      </c>
      <c r="S10" s="18">
        <f>'FS Seychelles'!Q11</f>
        <v>1206</v>
      </c>
      <c r="T10" s="18" t="e">
        <f>'FS Seychelles'!#REF!</f>
        <v>#REF!</v>
      </c>
      <c r="U10" s="18">
        <f>'FS Seychelles'!T11</f>
        <v>49</v>
      </c>
      <c r="V10" s="18">
        <f>'FS Seychelles'!U11</f>
        <v>27</v>
      </c>
      <c r="W10" s="18">
        <f>'FS Seychelles'!V11</f>
        <v>54</v>
      </c>
      <c r="X10" s="18">
        <f>'FS Seychelles'!W11</f>
        <v>83</v>
      </c>
      <c r="Y10" s="18">
        <f>'FS Seychelles'!X11</f>
        <v>166</v>
      </c>
      <c r="Z10" s="18">
        <f>'FS Seychelles'!Y11</f>
        <v>74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5</v>
      </c>
      <c r="D11" s="11">
        <v>2021</v>
      </c>
      <c r="E11" s="18">
        <f>'FS Seychelles'!B12</f>
        <v>44.74</v>
      </c>
      <c r="F11" s="18">
        <f>'FS Seychelles'!D12*1000</f>
        <v>3297.0239999999999</v>
      </c>
      <c r="G11" s="18">
        <f>'FS Seychelles'!E12*1000</f>
        <v>5255.68</v>
      </c>
      <c r="H11" s="18">
        <f>'FS Seychelles'!F12*1000</f>
        <v>4993.0240000000003</v>
      </c>
      <c r="I11" s="18">
        <f>'FS Seychelles'!G12*1000</f>
        <v>1971.2</v>
      </c>
      <c r="J11" s="18">
        <f>'FS Seychelles'!H12*1000</f>
        <v>2560</v>
      </c>
      <c r="K11" s="18">
        <f>'FS Seychelles'!I12*1000</f>
        <v>2592.5120000000002</v>
      </c>
      <c r="L11" s="18">
        <f>'FS Seychelles'!J12*1000</f>
        <v>1486.9760000000001</v>
      </c>
      <c r="M11" s="18">
        <f>'FS Seychelles'!K12*1000</f>
        <v>1530.624</v>
      </c>
      <c r="N11" s="18">
        <f>'FS Seychelles'!L12*1000</f>
        <v>3783.68</v>
      </c>
      <c r="O11" s="18">
        <f>'FS Seychelles'!M12</f>
        <v>0</v>
      </c>
      <c r="P11" s="18">
        <f>'FS Seychelles'!N12</f>
        <v>8861</v>
      </c>
      <c r="Q11" s="18">
        <f>'FS Seychelles'!O12</f>
        <v>5932</v>
      </c>
      <c r="R11" s="18">
        <f>'FS Seychelles'!P12</f>
        <v>8844</v>
      </c>
      <c r="S11" s="18">
        <f>'FS Seychelles'!Q12</f>
        <v>5312</v>
      </c>
      <c r="T11" s="18" t="e">
        <f>'FS Seychelles'!#REF!</f>
        <v>#REF!</v>
      </c>
      <c r="U11" s="18">
        <f>'FS Seychelles'!T12</f>
        <v>0</v>
      </c>
      <c r="V11" s="18">
        <f>'FS Seychelles'!U12</f>
        <v>0</v>
      </c>
      <c r="W11" s="18">
        <f>'FS Seychelles'!V12</f>
        <v>0</v>
      </c>
      <c r="X11" s="18">
        <f>'FS Seychelles'!W12</f>
        <v>0</v>
      </c>
      <c r="Y11" s="18">
        <f>'FS Seychelles'!X12</f>
        <v>0</v>
      </c>
      <c r="Z11" s="18">
        <f>'FS Seychelles'!Y12</f>
        <v>0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5</v>
      </c>
      <c r="D12" s="11">
        <v>2021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0</v>
      </c>
      <c r="P12" s="18">
        <f>'FS Seychelles'!N13</f>
        <v>0</v>
      </c>
      <c r="Q12" s="18">
        <f>'FS Seychelles'!O13</f>
        <v>0</v>
      </c>
      <c r="R12" s="18">
        <f>'FS Seychelles'!P13</f>
        <v>0</v>
      </c>
      <c r="S12" s="18">
        <f>'FS Seychelles'!Q13</f>
        <v>0</v>
      </c>
      <c r="T12" s="18" t="e">
        <f>'FS Seychelles'!#REF!</f>
        <v>#REF!</v>
      </c>
      <c r="U12" s="18">
        <f>'FS Seychelles'!T13</f>
        <v>0</v>
      </c>
      <c r="V12" s="18">
        <f>'FS Seychelles'!U13</f>
        <v>0</v>
      </c>
      <c r="W12" s="18">
        <f>'FS Seychelles'!V13</f>
        <v>0</v>
      </c>
      <c r="X12" s="18">
        <f>'FS Seychelles'!W13</f>
        <v>0</v>
      </c>
      <c r="Y12" s="18">
        <f>'FS Seychelles'!X13</f>
        <v>0</v>
      </c>
      <c r="Z12" s="18">
        <f>'FS Seychelles'!Y13</f>
        <v>0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5</v>
      </c>
      <c r="D13" s="11">
        <v>2021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 t="e">
        <f>'FS Seychelles'!#REF!</f>
        <v>#REF!</v>
      </c>
      <c r="U13" s="18">
        <f>'FS Seychelles'!T14</f>
        <v>0</v>
      </c>
      <c r="V13" s="18">
        <f>'FS Seychelles'!U14</f>
        <v>0</v>
      </c>
      <c r="W13" s="18">
        <f>'FS Seychelles'!V14</f>
        <v>0</v>
      </c>
      <c r="X13" s="18">
        <f>'FS Seychelles'!W14</f>
        <v>0</v>
      </c>
      <c r="Y13" s="18">
        <f>'FS Seychelles'!X14</f>
        <v>0</v>
      </c>
      <c r="Z13" s="18">
        <f>'FS Seychelles'!Y14</f>
        <v>0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5</v>
      </c>
      <c r="D14" s="11">
        <v>2021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 t="e">
        <f>'FS Seychelles'!#REF!</f>
        <v>#REF!</v>
      </c>
      <c r="U14" s="18">
        <f>'FS Seychelles'!T15</f>
        <v>0</v>
      </c>
      <c r="V14" s="18">
        <f>'FS Seychelles'!U15</f>
        <v>0</v>
      </c>
      <c r="W14" s="18">
        <f>'FS Seychelles'!V15</f>
        <v>0</v>
      </c>
      <c r="X14" s="18">
        <f>'FS Seychelles'!W15</f>
        <v>0</v>
      </c>
      <c r="Y14" s="18">
        <f>'FS Seychelles'!X15</f>
        <v>0</v>
      </c>
      <c r="Z14" s="18">
        <f>'FS Seychelles'!Y15</f>
        <v>0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5</v>
      </c>
      <c r="D15" s="11">
        <v>2021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 t="e">
        <f>'FS Seychelles'!#REF!</f>
        <v>#REF!</v>
      </c>
      <c r="U15" s="18">
        <f>'FS Seychelles'!T16</f>
        <v>0</v>
      </c>
      <c r="V15" s="18">
        <f>'FS Seychelles'!U16</f>
        <v>0</v>
      </c>
      <c r="W15" s="18">
        <f>'FS Seychelles'!V16</f>
        <v>0</v>
      </c>
      <c r="X15" s="18">
        <f>'FS Seychelles'!W16</f>
        <v>0</v>
      </c>
      <c r="Y15" s="18">
        <f>'FS Seychelles'!X16</f>
        <v>0</v>
      </c>
      <c r="Z15" s="18">
        <f>'FS Seychelles'!Y16</f>
        <v>0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5</v>
      </c>
      <c r="D16" s="11">
        <v>2021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 t="e">
        <f>'FS Seychelles'!#REF!</f>
        <v>#REF!</v>
      </c>
      <c r="U16" s="18">
        <f>'FS Seychelles'!T17</f>
        <v>0</v>
      </c>
      <c r="V16" s="18">
        <f>'FS Seychelles'!U17</f>
        <v>0</v>
      </c>
      <c r="W16" s="18">
        <f>'FS Seychelles'!V17</f>
        <v>0</v>
      </c>
      <c r="X16" s="18">
        <f>'FS Seychelles'!W17</f>
        <v>0</v>
      </c>
      <c r="Y16" s="18">
        <f>'FS Seychelles'!X17</f>
        <v>0</v>
      </c>
      <c r="Z16" s="18">
        <f>'FS Seychelles'!Y17</f>
        <v>0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5</v>
      </c>
      <c r="D17" s="11">
        <v>2021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 t="e">
        <f>'FS Seychelles'!#REF!</f>
        <v>#REF!</v>
      </c>
      <c r="U17" s="18">
        <f>'FS Seychelles'!T18</f>
        <v>0</v>
      </c>
      <c r="V17" s="18">
        <f>'FS Seychelles'!U18</f>
        <v>0</v>
      </c>
      <c r="W17" s="18">
        <f>'FS Seychelles'!V18</f>
        <v>0</v>
      </c>
      <c r="X17" s="18">
        <f>'FS Seychelles'!W18</f>
        <v>0</v>
      </c>
      <c r="Y17" s="18">
        <f>'FS Seychelles'!X18</f>
        <v>0</v>
      </c>
      <c r="Z17" s="18">
        <f>'FS Seychelles'!Y18</f>
        <v>0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5</v>
      </c>
      <c r="D18" s="11">
        <v>2021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 t="e">
        <f>'FS Seychelles'!#REF!</f>
        <v>#REF!</v>
      </c>
      <c r="U18" s="18">
        <f>'FS Seychelles'!T19</f>
        <v>0</v>
      </c>
      <c r="V18" s="18">
        <f>'FS Seychelles'!U19</f>
        <v>0</v>
      </c>
      <c r="W18" s="18">
        <f>'FS Seychelles'!V19</f>
        <v>0</v>
      </c>
      <c r="X18" s="18">
        <f>'FS Seychelles'!W19</f>
        <v>0</v>
      </c>
      <c r="Y18" s="18">
        <f>'FS Seychelles'!X19</f>
        <v>0</v>
      </c>
      <c r="Z18" s="18">
        <f>'FS Seychelles'!Y19</f>
        <v>0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5</v>
      </c>
      <c r="D19" s="11">
        <v>2021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 t="e">
        <f>'FS Seychelles'!#REF!</f>
        <v>#REF!</v>
      </c>
      <c r="U19" s="18">
        <f>'FS Seychelles'!T20</f>
        <v>0</v>
      </c>
      <c r="V19" s="18">
        <f>'FS Seychelles'!U20</f>
        <v>0</v>
      </c>
      <c r="W19" s="18">
        <f>'FS Seychelles'!V20</f>
        <v>0</v>
      </c>
      <c r="X19" s="18">
        <f>'FS Seychelles'!W20</f>
        <v>0</v>
      </c>
      <c r="Y19" s="18">
        <f>'FS Seychelles'!X20</f>
        <v>0</v>
      </c>
      <c r="Z19" s="18">
        <f>'FS Seychelles'!Y20</f>
        <v>0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5</v>
      </c>
      <c r="D20" s="11">
        <v>2021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 t="e">
        <f>'FS Seychelles'!#REF!</f>
        <v>#REF!</v>
      </c>
      <c r="U20" s="18">
        <f>'FS Seychelles'!T21</f>
        <v>0</v>
      </c>
      <c r="V20" s="18">
        <f>'FS Seychelles'!U21</f>
        <v>0</v>
      </c>
      <c r="W20" s="18">
        <f>'FS Seychelles'!V21</f>
        <v>0</v>
      </c>
      <c r="X20" s="18">
        <f>'FS Seychelles'!W21</f>
        <v>0</v>
      </c>
      <c r="Y20" s="18">
        <f>'FS Seychelles'!X21</f>
        <v>0</v>
      </c>
      <c r="Z20" s="18">
        <f>'FS Seychelles'!Y21</f>
        <v>0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5</v>
      </c>
      <c r="D21" s="11">
        <v>2021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 t="e">
        <f>'FS Seychelles'!#REF!</f>
        <v>#REF!</v>
      </c>
      <c r="U21" s="18">
        <f>'FS Seychelles'!T22</f>
        <v>0</v>
      </c>
      <c r="V21" s="18">
        <f>'FS Seychelles'!U22</f>
        <v>0</v>
      </c>
      <c r="W21" s="18">
        <f>'FS Seychelles'!V22</f>
        <v>0</v>
      </c>
      <c r="X21" s="18">
        <f>'FS Seychelles'!W22</f>
        <v>0</v>
      </c>
      <c r="Y21" s="18">
        <f>'FS Seychelles'!X22</f>
        <v>0</v>
      </c>
      <c r="Z21" s="18">
        <f>'FS Seychelles'!Y22</f>
        <v>0</v>
      </c>
      <c r="AA21" s="18">
        <f>'FS Seychelles'!Z22</f>
        <v>0</v>
      </c>
      <c r="AB21" s="18" t="e">
        <f>('FS Seychelles'!AC28+'FS Seychelles'!#REF!)/30</f>
        <v>#REF!</v>
      </c>
    </row>
    <row r="22" spans="1:28">
      <c r="A22" s="1" t="s">
        <v>13</v>
      </c>
      <c r="B22" s="11">
        <f t="shared" si="0"/>
        <v>21</v>
      </c>
      <c r="C22" s="11">
        <v>5</v>
      </c>
      <c r="D22" s="11">
        <v>2021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 t="e">
        <f>'FS Seychelles'!#REF!</f>
        <v>#REF!</v>
      </c>
      <c r="U22" s="18">
        <f>'FS Seychelles'!T23</f>
        <v>0</v>
      </c>
      <c r="V22" s="18">
        <f>'FS Seychelles'!U23</f>
        <v>0</v>
      </c>
      <c r="W22" s="18">
        <f>'FS Seychelles'!V23</f>
        <v>0</v>
      </c>
      <c r="X22" s="18">
        <f>'FS Seychelles'!W23</f>
        <v>0</v>
      </c>
      <c r="Y22" s="18">
        <f>'FS Seychelles'!X23</f>
        <v>0</v>
      </c>
      <c r="Z22" s="18">
        <f>'FS Seychelles'!Y23</f>
        <v>0</v>
      </c>
      <c r="AA22" s="18">
        <f>'FS Seychelles'!Z23</f>
        <v>0</v>
      </c>
      <c r="AB22" s="18" t="e">
        <f>('FS Seychelles'!AC29+'FS Seychelles'!#REF!)/30</f>
        <v>#REF!</v>
      </c>
    </row>
    <row r="23" spans="1:28">
      <c r="A23" s="1" t="s">
        <v>13</v>
      </c>
      <c r="B23" s="11">
        <f t="shared" si="0"/>
        <v>22</v>
      </c>
      <c r="C23" s="11">
        <v>5</v>
      </c>
      <c r="D23" s="11">
        <v>2021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 t="e">
        <f>'FS Seychelles'!#REF!</f>
        <v>#REF!</v>
      </c>
      <c r="U23" s="18">
        <f>'FS Seychelles'!T24</f>
        <v>0</v>
      </c>
      <c r="V23" s="18">
        <f>'FS Seychelles'!U24</f>
        <v>0</v>
      </c>
      <c r="W23" s="18">
        <f>'FS Seychelles'!V24</f>
        <v>0</v>
      </c>
      <c r="X23" s="18">
        <f>'FS Seychelles'!W24</f>
        <v>0</v>
      </c>
      <c r="Y23" s="18">
        <f>'FS Seychelles'!X24</f>
        <v>0</v>
      </c>
      <c r="Z23" s="18">
        <f>'FS Seychelles'!Y24</f>
        <v>0</v>
      </c>
      <c r="AA23" s="18">
        <f>'FS Seychelles'!Z24</f>
        <v>0</v>
      </c>
      <c r="AB23" s="18" t="e">
        <f>('FS Seychelles'!AC30+'FS Seychelles'!#REF!)/30</f>
        <v>#REF!</v>
      </c>
    </row>
    <row r="24" spans="1:28">
      <c r="A24" s="1" t="s">
        <v>13</v>
      </c>
      <c r="B24" s="11">
        <f t="shared" si="0"/>
        <v>23</v>
      </c>
      <c r="C24" s="11">
        <v>5</v>
      </c>
      <c r="D24" s="11">
        <v>2021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 t="e">
        <f>'FS Seychelles'!#REF!</f>
        <v>#REF!</v>
      </c>
      <c r="U24" s="18">
        <f>'FS Seychelles'!T25</f>
        <v>0</v>
      </c>
      <c r="V24" s="18">
        <f>'FS Seychelles'!U25</f>
        <v>0</v>
      </c>
      <c r="W24" s="18">
        <f>'FS Seychelles'!V25</f>
        <v>0</v>
      </c>
      <c r="X24" s="18">
        <f>'FS Seychelles'!W25</f>
        <v>0</v>
      </c>
      <c r="Y24" s="18">
        <f>'FS Seychelles'!X25</f>
        <v>0</v>
      </c>
      <c r="Z24" s="18">
        <f>'FS Seychelles'!Y25</f>
        <v>0</v>
      </c>
      <c r="AA24" s="18">
        <f>'FS Seychelles'!Z25</f>
        <v>0</v>
      </c>
      <c r="AB24" s="18" t="e">
        <f>('FS Seychelles'!AC31+'FS Seychelles'!#REF!)/30</f>
        <v>#REF!</v>
      </c>
    </row>
    <row r="25" spans="1:28">
      <c r="A25" s="1" t="s">
        <v>13</v>
      </c>
      <c r="B25" s="11">
        <f t="shared" si="0"/>
        <v>24</v>
      </c>
      <c r="C25" s="11">
        <v>5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 t="e">
        <f>'FS Seychelles'!#REF!</f>
        <v>#REF!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 t="e">
        <f>('FS Seychelles'!AC32+'FS Seychelles'!#REF!)/30</f>
        <v>#REF!</v>
      </c>
    </row>
    <row r="26" spans="1:28">
      <c r="A26" s="1" t="s">
        <v>13</v>
      </c>
      <c r="B26" s="11">
        <f>B25+1</f>
        <v>25</v>
      </c>
      <c r="C26" s="11">
        <v>5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 t="e">
        <f>'FS Seychelles'!#REF!</f>
        <v>#REF!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 t="e">
        <f>('FS Seychelles'!AC33+'FS Seychelles'!#REF!)/30</f>
        <v>#REF!</v>
      </c>
    </row>
    <row r="27" spans="1:28">
      <c r="A27" s="1" t="s">
        <v>13</v>
      </c>
      <c r="B27" s="11">
        <f t="shared" si="0"/>
        <v>26</v>
      </c>
      <c r="C27" s="11">
        <v>5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 t="e">
        <f>'FS Seychelles'!#REF!</f>
        <v>#REF!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 t="e">
        <f>('FS Seychelles'!#REF!+'FS Seychelles'!#REF!)/30</f>
        <v>#REF!</v>
      </c>
    </row>
    <row r="28" spans="1:28">
      <c r="A28" s="1" t="s">
        <v>13</v>
      </c>
      <c r="B28" s="11">
        <f t="shared" si="0"/>
        <v>27</v>
      </c>
      <c r="C28" s="11">
        <v>5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 t="e">
        <f>'FS Seychelles'!#REF!</f>
        <v>#REF!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 t="e">
        <f>('FS Seychelles'!#REF!+'FS Seychelles'!#REF!)/30</f>
        <v>#REF!</v>
      </c>
    </row>
    <row r="29" spans="1:28">
      <c r="A29" s="1" t="s">
        <v>13</v>
      </c>
      <c r="B29" s="11">
        <f t="shared" si="0"/>
        <v>28</v>
      </c>
      <c r="C29" s="11">
        <v>5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 t="e">
        <f>'FS Seychelles'!#REF!</f>
        <v>#REF!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 t="e">
        <f>('FS Seychelles'!#REF!+'FS Seychelles'!AC34)/30</f>
        <v>#REF!</v>
      </c>
    </row>
    <row r="30" spans="1:28">
      <c r="A30" s="1" t="s">
        <v>13</v>
      </c>
      <c r="B30" s="11">
        <f t="shared" si="0"/>
        <v>29</v>
      </c>
      <c r="C30" s="11">
        <v>5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 t="e">
        <f>'FS Seychelles'!#REF!</f>
        <v>#REF!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 t="e">
        <f>('FS Seychelles'!#REF!+'FS Seychelles'!AC35)/30</f>
        <v>#REF!</v>
      </c>
    </row>
    <row r="31" spans="1:28">
      <c r="A31" s="1" t="s">
        <v>13</v>
      </c>
      <c r="B31" s="11">
        <f t="shared" si="0"/>
        <v>30</v>
      </c>
      <c r="C31" s="11">
        <v>5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 t="e">
        <f>'FS Seychelles'!#REF!</f>
        <v>#REF!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 t="e">
        <f>('FS Seychelles'!#REF!+'FS Seychelles'!AC36)/30</f>
        <v>#REF!</v>
      </c>
    </row>
    <row r="32" spans="1:28">
      <c r="A32" s="1" t="s">
        <v>13</v>
      </c>
      <c r="B32" s="11">
        <f t="shared" si="0"/>
        <v>31</v>
      </c>
      <c r="C32" s="11">
        <v>5</v>
      </c>
      <c r="D32" s="11">
        <v>2021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 t="e">
        <f>'FS Seychelles'!#REF!</f>
        <v>#REF!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 t="e">
        <f>('FS Seychelles'!#REF!+'FS Seychelles'!AC37)/30</f>
        <v>#REF!</v>
      </c>
    </row>
    <row r="33" spans="15:18">
      <c r="O33" s="18">
        <f>SUM(O2:O32)</f>
        <v>0</v>
      </c>
      <c r="P33" s="18">
        <f>SUM(P2:P32)</f>
        <v>84146</v>
      </c>
      <c r="Q33" s="18">
        <f>SUM(Q2:Q32)</f>
        <v>69487</v>
      </c>
      <c r="R33" s="18">
        <f>SUM(R2:R32)</f>
        <v>97836</v>
      </c>
    </row>
    <row r="35" spans="15:18">
      <c r="R35" s="18">
        <f>SUM(O33:R33)</f>
        <v>251469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3"/>
  <sheetViews>
    <sheetView tabSelected="1" zoomScaleNormal="100" workbookViewId="0">
      <pane xSplit="1" topLeftCell="B1" activePane="topRight" state="frozen"/>
      <selection pane="topRight" activeCell="A2" sqref="A2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100"/>
      <c r="E1" s="100"/>
      <c r="F1" s="100"/>
      <c r="G1" s="100"/>
      <c r="H1" s="100"/>
      <c r="I1" s="100"/>
      <c r="J1" s="100"/>
      <c r="K1" s="100"/>
      <c r="L1" s="100"/>
    </row>
    <row r="2" spans="1:29" s="23" customFormat="1" ht="31.5" customHeight="1">
      <c r="A2" s="103" t="s">
        <v>38</v>
      </c>
      <c r="B2" s="62" t="s">
        <v>39</v>
      </c>
      <c r="C2" s="95" t="s">
        <v>40</v>
      </c>
      <c r="D2" s="93" t="s">
        <v>41</v>
      </c>
      <c r="E2" s="94" t="s">
        <v>42</v>
      </c>
      <c r="F2" s="94" t="s">
        <v>43</v>
      </c>
      <c r="G2" s="94" t="s">
        <v>44</v>
      </c>
      <c r="H2" s="94" t="s">
        <v>45</v>
      </c>
      <c r="I2" s="94" t="s">
        <v>46</v>
      </c>
      <c r="J2" s="94" t="s">
        <v>47</v>
      </c>
      <c r="K2" s="94" t="s">
        <v>48</v>
      </c>
      <c r="L2" s="94" t="s">
        <v>49</v>
      </c>
      <c r="M2" s="9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87" t="s">
        <v>37</v>
      </c>
      <c r="AB2" s="87"/>
      <c r="AC2" s="87"/>
    </row>
    <row r="3" spans="1:29" ht="15" customHeight="1">
      <c r="A3" s="60">
        <v>44317</v>
      </c>
      <c r="B3" s="73">
        <v>45</v>
      </c>
      <c r="C3" s="73"/>
      <c r="D3" s="77">
        <v>3.6966399999999999</v>
      </c>
      <c r="E3" s="72">
        <v>5.7472000000000003</v>
      </c>
      <c r="F3" s="72">
        <v>5.3980160000000001</v>
      </c>
      <c r="G3" s="72">
        <v>1.838848</v>
      </c>
      <c r="H3" s="72">
        <v>3.0077440000000002</v>
      </c>
      <c r="I3" s="72">
        <v>3.032832</v>
      </c>
      <c r="J3" s="72">
        <v>1.4307840000000001</v>
      </c>
      <c r="K3" s="72">
        <v>1.7492479999999999</v>
      </c>
      <c r="L3" s="72">
        <v>3.97824</v>
      </c>
      <c r="M3" s="97">
        <v>0</v>
      </c>
      <c r="N3" s="61">
        <v>6868</v>
      </c>
      <c r="O3" s="32">
        <v>7735</v>
      </c>
      <c r="P3" s="32">
        <v>11302</v>
      </c>
      <c r="Q3" s="32">
        <v>9171</v>
      </c>
      <c r="R3" s="21">
        <v>9278</v>
      </c>
      <c r="S3" s="21">
        <f>17.54*0.055</f>
        <v>0.9647</v>
      </c>
      <c r="T3" s="31">
        <v>51</v>
      </c>
      <c r="U3" s="20">
        <v>47</v>
      </c>
      <c r="V3" s="20">
        <v>38</v>
      </c>
      <c r="W3" s="20">
        <v>77</v>
      </c>
      <c r="X3" s="20">
        <v>144</v>
      </c>
      <c r="Y3" s="31">
        <v>4</v>
      </c>
      <c r="Z3" s="35">
        <v>0</v>
      </c>
      <c r="AA3" s="88" t="s">
        <v>64</v>
      </c>
      <c r="AB3" s="88"/>
      <c r="AC3" s="88"/>
    </row>
    <row r="4" spans="1:29" ht="16.5" customHeight="1">
      <c r="A4" s="60">
        <v>44318</v>
      </c>
      <c r="B4" s="73">
        <v>55.26</v>
      </c>
      <c r="C4" s="73"/>
      <c r="D4" s="77">
        <v>3.937792</v>
      </c>
      <c r="E4" s="72">
        <v>5.858816</v>
      </c>
      <c r="F4" s="72">
        <v>5.4021119999999998</v>
      </c>
      <c r="G4" s="72">
        <v>1.933824</v>
      </c>
      <c r="H4" s="72">
        <v>3.232256</v>
      </c>
      <c r="I4" s="72">
        <v>3.1055359999999999</v>
      </c>
      <c r="J4" s="72">
        <v>1.304576</v>
      </c>
      <c r="K4" s="72">
        <v>1.9527680000000001</v>
      </c>
      <c r="L4" s="72">
        <v>3.85792</v>
      </c>
      <c r="M4" s="98">
        <v>0</v>
      </c>
      <c r="N4" s="61">
        <v>9662</v>
      </c>
      <c r="O4" s="32">
        <v>6534</v>
      </c>
      <c r="P4" s="32">
        <v>16187</v>
      </c>
      <c r="Q4" s="32">
        <v>0</v>
      </c>
      <c r="R4" s="21">
        <v>9129</v>
      </c>
      <c r="S4" s="21">
        <f t="shared" ref="S4:T14" si="0">17.54*0.055</f>
        <v>0.9647</v>
      </c>
      <c r="T4" s="31">
        <v>54</v>
      </c>
      <c r="U4" s="20">
        <v>26</v>
      </c>
      <c r="V4" s="20">
        <v>73</v>
      </c>
      <c r="W4" s="20">
        <v>101</v>
      </c>
      <c r="X4" s="20">
        <v>147</v>
      </c>
      <c r="Y4" s="31">
        <v>4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60">
        <v>44319</v>
      </c>
      <c r="B5" s="73">
        <v>52.63</v>
      </c>
      <c r="C5" s="73"/>
      <c r="D5" s="77">
        <v>3.9577599999999999</v>
      </c>
      <c r="E5" s="72">
        <v>6.1414400000000002</v>
      </c>
      <c r="F5" s="72">
        <v>5.5050239999999997</v>
      </c>
      <c r="G5" s="72">
        <v>1.950976</v>
      </c>
      <c r="H5" s="72">
        <v>3.2547839999999999</v>
      </c>
      <c r="I5" s="72">
        <v>3.238912</v>
      </c>
      <c r="J5" s="72">
        <v>1.429376</v>
      </c>
      <c r="K5" s="72">
        <v>2.0881919999999998</v>
      </c>
      <c r="L5" s="72">
        <v>4.0657920000000001</v>
      </c>
      <c r="M5" s="97">
        <v>0</v>
      </c>
      <c r="N5" s="61">
        <v>9674</v>
      </c>
      <c r="O5" s="32">
        <v>6545</v>
      </c>
      <c r="P5" s="32">
        <v>9089</v>
      </c>
      <c r="Q5" s="32">
        <v>8865</v>
      </c>
      <c r="R5" s="21">
        <v>9522</v>
      </c>
      <c r="S5" s="21">
        <f t="shared" si="0"/>
        <v>0.9647</v>
      </c>
      <c r="T5" s="31">
        <v>55</v>
      </c>
      <c r="U5" s="20">
        <v>20</v>
      </c>
      <c r="V5" s="20">
        <v>57</v>
      </c>
      <c r="W5" s="20">
        <v>87</v>
      </c>
      <c r="X5" s="20">
        <v>129</v>
      </c>
      <c r="Y5" s="20">
        <v>3</v>
      </c>
      <c r="Z5" s="35">
        <v>0</v>
      </c>
      <c r="AA5" s="34">
        <v>4.5</v>
      </c>
      <c r="AB5" s="37"/>
      <c r="AC5" s="34"/>
    </row>
    <row r="6" spans="1:29" ht="15">
      <c r="A6" s="60">
        <v>44320</v>
      </c>
      <c r="B6" s="73">
        <v>60.53</v>
      </c>
      <c r="C6" s="73"/>
      <c r="D6" s="77">
        <v>2.8638720000000002</v>
      </c>
      <c r="E6" s="72">
        <v>4.5839359999999996</v>
      </c>
      <c r="F6" s="72">
        <v>4.8691199999999997</v>
      </c>
      <c r="G6" s="72">
        <v>1.5319039999999999</v>
      </c>
      <c r="H6" s="72">
        <v>2.3608319999999998</v>
      </c>
      <c r="I6" s="72">
        <v>2.3526400000000001</v>
      </c>
      <c r="J6" s="72">
        <v>1.4579200000000001</v>
      </c>
      <c r="K6" s="72">
        <v>1.6232960000000001</v>
      </c>
      <c r="L6" s="72">
        <v>3.8568959999999999</v>
      </c>
      <c r="M6" s="97">
        <v>0</v>
      </c>
      <c r="N6" s="61">
        <v>5980</v>
      </c>
      <c r="O6" s="32">
        <v>11921</v>
      </c>
      <c r="P6" s="32">
        <v>7636</v>
      </c>
      <c r="Q6" s="32">
        <v>0</v>
      </c>
      <c r="R6" s="21">
        <v>7089</v>
      </c>
      <c r="S6" s="21">
        <f t="shared" si="0"/>
        <v>0.9647</v>
      </c>
      <c r="T6" s="31">
        <v>53</v>
      </c>
      <c r="U6" s="20">
        <v>31</v>
      </c>
      <c r="V6" s="20">
        <v>106</v>
      </c>
      <c r="W6" s="20">
        <v>97</v>
      </c>
      <c r="X6" s="20">
        <v>172</v>
      </c>
      <c r="Y6" s="20">
        <v>62</v>
      </c>
      <c r="Z6" s="35">
        <v>0</v>
      </c>
      <c r="AA6" s="34">
        <v>9</v>
      </c>
      <c r="AB6" s="37"/>
      <c r="AC6" s="34"/>
    </row>
    <row r="7" spans="1:29" ht="15">
      <c r="A7" s="60">
        <v>44321</v>
      </c>
      <c r="B7" s="73">
        <v>57.89</v>
      </c>
      <c r="C7" s="73"/>
      <c r="D7" s="77">
        <v>3.8330880000000001</v>
      </c>
      <c r="E7" s="72">
        <v>5.9775999999999998</v>
      </c>
      <c r="F7" s="72">
        <v>5.4297599999999999</v>
      </c>
      <c r="G7" s="72">
        <v>1.964288</v>
      </c>
      <c r="H7" s="72">
        <v>2.9278719999999998</v>
      </c>
      <c r="I7" s="72">
        <v>2.84416</v>
      </c>
      <c r="J7" s="72">
        <v>1.4727680000000001</v>
      </c>
      <c r="K7" s="72">
        <v>1.885184</v>
      </c>
      <c r="L7" s="72">
        <v>3.951616</v>
      </c>
      <c r="M7" s="97">
        <v>0</v>
      </c>
      <c r="N7" s="61">
        <v>9975</v>
      </c>
      <c r="O7" s="32">
        <v>4629</v>
      </c>
      <c r="P7" s="32">
        <v>8474</v>
      </c>
      <c r="Q7" s="32">
        <v>8412</v>
      </c>
      <c r="R7" s="21">
        <v>8830</v>
      </c>
      <c r="S7" s="21">
        <f t="shared" si="0"/>
        <v>0.9647</v>
      </c>
      <c r="T7" s="31">
        <v>57</v>
      </c>
      <c r="U7" s="20">
        <v>64</v>
      </c>
      <c r="V7" s="20">
        <v>72</v>
      </c>
      <c r="W7" s="20">
        <v>97</v>
      </c>
      <c r="X7" s="20">
        <v>144</v>
      </c>
      <c r="Y7" s="47">
        <v>91</v>
      </c>
      <c r="Z7" s="35">
        <v>0</v>
      </c>
      <c r="AA7" s="34">
        <v>5</v>
      </c>
      <c r="AB7" s="65"/>
      <c r="AC7" s="34"/>
    </row>
    <row r="8" spans="1:29" ht="15">
      <c r="A8" s="60">
        <v>44322</v>
      </c>
      <c r="B8" s="73">
        <v>61.84</v>
      </c>
      <c r="C8" s="73"/>
      <c r="D8" s="77">
        <v>3.8604799999999999</v>
      </c>
      <c r="E8" s="72">
        <v>6.1096959999999996</v>
      </c>
      <c r="F8" s="72">
        <v>5.5854080000000002</v>
      </c>
      <c r="G8" s="72">
        <v>1.9983359999999999</v>
      </c>
      <c r="H8" s="72">
        <v>2.8989440000000002</v>
      </c>
      <c r="I8" s="72">
        <v>3.0254080000000001</v>
      </c>
      <c r="J8" s="72">
        <v>1.424512</v>
      </c>
      <c r="K8" s="72">
        <v>1.947648</v>
      </c>
      <c r="L8" s="72">
        <v>3.88096</v>
      </c>
      <c r="M8" s="97">
        <v>0</v>
      </c>
      <c r="N8" s="61">
        <v>10607</v>
      </c>
      <c r="O8" s="32">
        <v>9131</v>
      </c>
      <c r="P8" s="32">
        <v>12870</v>
      </c>
      <c r="Q8" s="32">
        <v>11910</v>
      </c>
      <c r="R8" s="21">
        <v>12213</v>
      </c>
      <c r="S8" s="21">
        <f t="shared" si="0"/>
        <v>0.9647</v>
      </c>
      <c r="T8" s="47">
        <v>58</v>
      </c>
      <c r="U8" s="47">
        <v>22</v>
      </c>
      <c r="V8" s="47">
        <v>78</v>
      </c>
      <c r="W8" s="47">
        <v>123</v>
      </c>
      <c r="X8" s="47">
        <v>151</v>
      </c>
      <c r="Y8" s="47">
        <v>46</v>
      </c>
      <c r="Z8" s="35">
        <v>0</v>
      </c>
      <c r="AA8" s="67">
        <v>20</v>
      </c>
      <c r="AB8" s="66"/>
      <c r="AC8" s="34"/>
    </row>
    <row r="9" spans="1:29" ht="15" customHeight="1">
      <c r="A9" s="60">
        <v>44323</v>
      </c>
      <c r="B9" s="73">
        <v>68.42</v>
      </c>
      <c r="C9" s="73"/>
      <c r="D9" s="77">
        <v>3.9354879999999999</v>
      </c>
      <c r="E9" s="72">
        <v>6.0851199999999999</v>
      </c>
      <c r="F9" s="72">
        <v>5.7323519999999997</v>
      </c>
      <c r="G9" s="72">
        <v>1.997312</v>
      </c>
      <c r="H9" s="72">
        <v>3.0791680000000001</v>
      </c>
      <c r="I9" s="72">
        <v>2.9870079999999999</v>
      </c>
      <c r="J9" s="72">
        <v>1.3455360000000001</v>
      </c>
      <c r="K9" s="72">
        <v>1.8659840000000001</v>
      </c>
      <c r="L9" s="72">
        <v>3.7703679999999999</v>
      </c>
      <c r="M9" s="97">
        <v>0</v>
      </c>
      <c r="N9" s="61">
        <v>12118</v>
      </c>
      <c r="O9" s="32">
        <v>4235</v>
      </c>
      <c r="P9" s="32">
        <v>0</v>
      </c>
      <c r="Q9" s="32">
        <v>4539</v>
      </c>
      <c r="R9" s="21">
        <v>5597</v>
      </c>
      <c r="S9" s="21">
        <f t="shared" si="0"/>
        <v>0.9647</v>
      </c>
      <c r="T9" s="31">
        <v>52</v>
      </c>
      <c r="U9" s="20">
        <v>19</v>
      </c>
      <c r="V9" s="20">
        <v>68</v>
      </c>
      <c r="W9" s="20">
        <v>108</v>
      </c>
      <c r="X9" s="20">
        <v>186</v>
      </c>
      <c r="Y9" s="31">
        <v>86</v>
      </c>
      <c r="Z9" s="35">
        <v>0</v>
      </c>
      <c r="AA9" s="68">
        <v>10</v>
      </c>
      <c r="AB9" s="66"/>
      <c r="AC9" s="34"/>
    </row>
    <row r="10" spans="1:29" ht="15.75" customHeight="1">
      <c r="A10" s="60">
        <v>44324</v>
      </c>
      <c r="B10" s="73">
        <v>69.73</v>
      </c>
      <c r="C10" s="73"/>
      <c r="D10" s="77">
        <v>3.6951040000000002</v>
      </c>
      <c r="E10" s="72">
        <v>5.480448</v>
      </c>
      <c r="F10" s="72">
        <v>5.5296000000000003</v>
      </c>
      <c r="G10" s="72">
        <v>1.905152</v>
      </c>
      <c r="H10" s="72">
        <v>2.803712</v>
      </c>
      <c r="I10" s="72">
        <v>2.8797440000000001</v>
      </c>
      <c r="J10" s="72">
        <v>1.263104</v>
      </c>
      <c r="K10" s="72">
        <v>1.8690560000000001</v>
      </c>
      <c r="L10" s="72">
        <v>3.703808</v>
      </c>
      <c r="M10" s="97">
        <v>0</v>
      </c>
      <c r="N10" s="61">
        <v>10401</v>
      </c>
      <c r="O10" s="32">
        <v>5213</v>
      </c>
      <c r="P10" s="32">
        <v>11081</v>
      </c>
      <c r="Q10" s="32">
        <v>3792</v>
      </c>
      <c r="R10" s="21">
        <v>8514</v>
      </c>
      <c r="S10" s="21">
        <f t="shared" si="0"/>
        <v>0.9647</v>
      </c>
      <c r="T10" s="31">
        <v>53</v>
      </c>
      <c r="U10" s="20">
        <v>23</v>
      </c>
      <c r="V10" s="20">
        <v>64</v>
      </c>
      <c r="W10" s="20">
        <v>155</v>
      </c>
      <c r="X10" s="20">
        <v>163</v>
      </c>
      <c r="Y10" s="31">
        <v>128</v>
      </c>
      <c r="Z10" s="35">
        <v>0</v>
      </c>
      <c r="AA10" s="46"/>
      <c r="AB10" s="63" t="s">
        <v>68</v>
      </c>
      <c r="AC10" s="64">
        <f>SUM(AC6:AC9)</f>
        <v>0</v>
      </c>
    </row>
    <row r="11" spans="1:29" ht="15" customHeight="1">
      <c r="A11" s="60">
        <v>44325</v>
      </c>
      <c r="B11" s="73">
        <v>64.47</v>
      </c>
      <c r="C11" s="73"/>
      <c r="D11" s="77">
        <v>2.86592</v>
      </c>
      <c r="E11" s="72">
        <v>4.255744</v>
      </c>
      <c r="F11" s="72">
        <v>4.7795199999999998</v>
      </c>
      <c r="G11" s="72">
        <v>1.413888</v>
      </c>
      <c r="H11" s="72">
        <v>2.104832</v>
      </c>
      <c r="I11" s="72">
        <v>2.2138879999999999</v>
      </c>
      <c r="J11" s="72">
        <v>1.4277120000000001</v>
      </c>
      <c r="K11" s="72">
        <v>1.4264319999999999</v>
      </c>
      <c r="L11" s="72">
        <v>3.2225280000000001</v>
      </c>
      <c r="M11" s="97">
        <v>0</v>
      </c>
      <c r="N11" s="61">
        <v>0</v>
      </c>
      <c r="O11" s="32">
        <v>7612</v>
      </c>
      <c r="P11" s="32">
        <v>12353</v>
      </c>
      <c r="Q11" s="32">
        <v>1206</v>
      </c>
      <c r="R11" s="21">
        <v>6940</v>
      </c>
      <c r="S11" s="21">
        <f t="shared" si="0"/>
        <v>0.9647</v>
      </c>
      <c r="T11" s="31">
        <v>49</v>
      </c>
      <c r="U11" s="20">
        <v>27</v>
      </c>
      <c r="V11" s="20">
        <v>54</v>
      </c>
      <c r="W11" s="20">
        <v>83</v>
      </c>
      <c r="X11" s="20">
        <v>166</v>
      </c>
      <c r="Y11" s="31">
        <v>74</v>
      </c>
      <c r="Z11" s="35">
        <v>0</v>
      </c>
      <c r="AA11" s="89" t="s">
        <v>69</v>
      </c>
      <c r="AB11" s="90"/>
      <c r="AC11" s="90"/>
    </row>
    <row r="12" spans="1:29" ht="15" customHeight="1">
      <c r="A12" s="60">
        <v>44326</v>
      </c>
      <c r="B12" s="73">
        <v>44.74</v>
      </c>
      <c r="C12" s="73"/>
      <c r="D12" s="77">
        <v>3.297024</v>
      </c>
      <c r="E12" s="72">
        <v>5.2556799999999999</v>
      </c>
      <c r="F12" s="72">
        <v>4.9930240000000001</v>
      </c>
      <c r="G12" s="72">
        <v>1.9712000000000001</v>
      </c>
      <c r="H12" s="72">
        <v>2.56</v>
      </c>
      <c r="I12" s="72">
        <v>2.5925120000000001</v>
      </c>
      <c r="J12" s="72">
        <v>1.4869760000000001</v>
      </c>
      <c r="K12" s="72">
        <v>1.530624</v>
      </c>
      <c r="L12" s="72">
        <v>3.7836799999999999</v>
      </c>
      <c r="M12" s="97">
        <v>0</v>
      </c>
      <c r="N12" s="61">
        <v>8861</v>
      </c>
      <c r="O12" s="32">
        <v>5932</v>
      </c>
      <c r="P12" s="32">
        <v>8844</v>
      </c>
      <c r="Q12" s="32">
        <v>5312</v>
      </c>
      <c r="R12" s="21">
        <v>7924</v>
      </c>
      <c r="S12" s="21">
        <f t="shared" si="0"/>
        <v>0.9647</v>
      </c>
      <c r="T12" s="31"/>
      <c r="U12" s="20"/>
      <c r="V12" s="20"/>
      <c r="W12" s="20"/>
      <c r="X12" s="20"/>
      <c r="Y12" s="31"/>
      <c r="Z12" s="35">
        <v>0</v>
      </c>
      <c r="AA12" s="69"/>
      <c r="AB12" s="91" t="s">
        <v>70</v>
      </c>
      <c r="AC12" s="92"/>
    </row>
    <row r="13" spans="1:29" ht="15" customHeight="1">
      <c r="A13" s="60">
        <v>44327</v>
      </c>
      <c r="B13" s="73"/>
      <c r="C13" s="73"/>
      <c r="D13" s="77"/>
      <c r="E13" s="72"/>
      <c r="F13" s="72"/>
      <c r="G13" s="72"/>
      <c r="H13" s="72"/>
      <c r="I13" s="72"/>
      <c r="J13" s="72"/>
      <c r="K13" s="72"/>
      <c r="L13" s="72"/>
      <c r="M13" s="97"/>
      <c r="N13" s="61"/>
      <c r="O13" s="32"/>
      <c r="P13" s="32"/>
      <c r="Q13" s="32"/>
      <c r="R13" s="21"/>
      <c r="S13" s="21"/>
      <c r="T13" s="31"/>
      <c r="U13" s="31"/>
      <c r="V13" s="31"/>
      <c r="W13" s="31"/>
      <c r="X13" s="31"/>
      <c r="Y13" s="31"/>
      <c r="Z13" s="35">
        <v>0</v>
      </c>
      <c r="AA13" s="45" t="s">
        <v>71</v>
      </c>
      <c r="AB13" s="79"/>
      <c r="AC13" s="80"/>
    </row>
    <row r="14" spans="1:29" ht="15" customHeight="1">
      <c r="A14" s="60">
        <v>44328</v>
      </c>
      <c r="B14" s="73"/>
      <c r="C14" s="73"/>
      <c r="D14" s="77"/>
      <c r="E14" s="72"/>
      <c r="F14" s="72"/>
      <c r="G14" s="72"/>
      <c r="H14" s="72"/>
      <c r="I14" s="72"/>
      <c r="J14" s="72"/>
      <c r="K14" s="72"/>
      <c r="L14" s="72"/>
      <c r="M14" s="99"/>
      <c r="N14" s="51"/>
      <c r="O14" s="49"/>
      <c r="P14" s="49"/>
      <c r="Q14" s="49"/>
      <c r="R14" s="21"/>
      <c r="S14" s="21"/>
      <c r="T14" s="31"/>
      <c r="U14" s="20"/>
      <c r="V14" s="20"/>
      <c r="W14" s="20"/>
      <c r="X14" s="20"/>
      <c r="Y14" s="20"/>
      <c r="Z14" s="35">
        <v>0</v>
      </c>
      <c r="AA14" s="45" t="s">
        <v>72</v>
      </c>
      <c r="AB14" s="79"/>
      <c r="AC14" s="80"/>
    </row>
    <row r="15" spans="1:29" ht="15">
      <c r="A15" s="60">
        <v>44329</v>
      </c>
      <c r="B15" s="73"/>
      <c r="C15" s="73"/>
      <c r="D15" s="101"/>
      <c r="E15" s="102"/>
      <c r="F15" s="102"/>
      <c r="G15" s="102"/>
      <c r="H15" s="102"/>
      <c r="I15" s="102"/>
      <c r="J15" s="102"/>
      <c r="K15" s="102"/>
      <c r="L15" s="102"/>
      <c r="M15" s="71"/>
      <c r="N15" s="51"/>
      <c r="O15" s="49"/>
      <c r="P15" s="49"/>
      <c r="Q15" s="49"/>
      <c r="R15" s="21"/>
      <c r="S15" s="21"/>
      <c r="T15" s="31"/>
      <c r="U15" s="31"/>
      <c r="V15" s="20"/>
      <c r="W15" s="20"/>
      <c r="X15" s="20"/>
      <c r="Y15" s="20"/>
      <c r="Z15" s="35">
        <v>0</v>
      </c>
      <c r="AA15" s="70"/>
      <c r="AB15" s="38" t="s">
        <v>68</v>
      </c>
      <c r="AC15" s="34">
        <f>SUM(AB13:AC14)</f>
        <v>0</v>
      </c>
    </row>
    <row r="16" spans="1:29" ht="15" customHeight="1">
      <c r="A16" s="60">
        <v>44330</v>
      </c>
      <c r="B16" s="73"/>
      <c r="C16" s="73"/>
      <c r="D16" s="77"/>
      <c r="E16" s="72"/>
      <c r="F16" s="72"/>
      <c r="G16" s="72"/>
      <c r="H16" s="72"/>
      <c r="I16" s="72"/>
      <c r="J16" s="72"/>
      <c r="K16" s="72"/>
      <c r="L16" s="72"/>
      <c r="M16" s="71"/>
      <c r="N16" s="51"/>
      <c r="O16" s="49"/>
      <c r="P16" s="49"/>
      <c r="Q16" s="49"/>
      <c r="R16" s="21"/>
      <c r="S16" s="21"/>
      <c r="T16" s="31"/>
      <c r="U16" s="31"/>
      <c r="V16" s="31"/>
      <c r="W16" s="31"/>
      <c r="X16" s="31"/>
      <c r="Y16" s="31"/>
      <c r="Z16" s="35">
        <v>0</v>
      </c>
      <c r="AA16" s="81"/>
      <c r="AB16" s="82"/>
      <c r="AC16" s="83"/>
    </row>
    <row r="17" spans="1:30" ht="15" customHeight="1">
      <c r="A17" s="60">
        <v>44331</v>
      </c>
      <c r="B17" s="73"/>
      <c r="C17" s="73"/>
      <c r="D17" s="77"/>
      <c r="E17" s="72"/>
      <c r="F17" s="72"/>
      <c r="G17" s="72"/>
      <c r="H17" s="72"/>
      <c r="I17" s="72"/>
      <c r="J17" s="72"/>
      <c r="K17" s="72"/>
      <c r="L17" s="72"/>
      <c r="M17" s="71"/>
      <c r="N17" s="51"/>
      <c r="O17" s="49"/>
      <c r="P17" s="49"/>
      <c r="Q17" s="49"/>
      <c r="R17" s="21"/>
      <c r="S17" s="21"/>
      <c r="T17" s="31"/>
      <c r="U17" s="31"/>
      <c r="V17" s="31"/>
      <c r="W17" s="31"/>
      <c r="X17" s="31"/>
      <c r="Y17" s="31"/>
      <c r="Z17" s="35">
        <v>0</v>
      </c>
      <c r="AA17" s="81"/>
      <c r="AB17" s="82"/>
      <c r="AC17" s="83"/>
    </row>
    <row r="18" spans="1:30" ht="15" customHeight="1">
      <c r="A18" s="60">
        <v>44332</v>
      </c>
      <c r="B18" s="73"/>
      <c r="C18" s="73"/>
      <c r="D18" s="77"/>
      <c r="E18" s="72"/>
      <c r="F18" s="72"/>
      <c r="G18" s="72"/>
      <c r="H18" s="72"/>
      <c r="I18" s="72"/>
      <c r="J18" s="72"/>
      <c r="K18" s="72"/>
      <c r="L18" s="72"/>
      <c r="M18" s="71"/>
      <c r="N18" s="51"/>
      <c r="O18" s="49"/>
      <c r="P18" s="49"/>
      <c r="Q18" s="49"/>
      <c r="R18" s="21"/>
      <c r="S18" s="21"/>
      <c r="T18" s="31"/>
      <c r="U18" s="31"/>
      <c r="V18" s="31"/>
      <c r="W18" s="31"/>
      <c r="X18" s="31"/>
      <c r="Y18" s="31"/>
      <c r="Z18" s="35">
        <v>0</v>
      </c>
      <c r="AA18" s="81"/>
      <c r="AB18" s="82"/>
      <c r="AC18" s="83"/>
    </row>
    <row r="19" spans="1:30" ht="15" customHeight="1">
      <c r="A19" s="60">
        <v>44333</v>
      </c>
      <c r="B19" s="73"/>
      <c r="C19" s="73"/>
      <c r="D19" s="77"/>
      <c r="E19" s="72"/>
      <c r="F19" s="72"/>
      <c r="G19" s="72"/>
      <c r="H19" s="72"/>
      <c r="I19" s="72"/>
      <c r="J19" s="72"/>
      <c r="K19" s="72"/>
      <c r="L19" s="72"/>
      <c r="M19" s="71"/>
      <c r="N19" s="51"/>
      <c r="O19" s="49"/>
      <c r="P19" s="49"/>
      <c r="Q19" s="49"/>
      <c r="R19" s="21"/>
      <c r="S19" s="21"/>
      <c r="T19" s="31"/>
      <c r="U19" s="31"/>
      <c r="V19" s="31"/>
      <c r="W19" s="31"/>
      <c r="X19" s="31"/>
      <c r="Y19" s="31"/>
      <c r="Z19" s="35">
        <v>0</v>
      </c>
      <c r="AA19" s="81"/>
      <c r="AB19" s="82"/>
      <c r="AC19" s="83"/>
    </row>
    <row r="20" spans="1:30" ht="15" customHeight="1">
      <c r="A20" s="60">
        <v>44334</v>
      </c>
      <c r="B20" s="73"/>
      <c r="C20" s="73"/>
      <c r="D20" s="77"/>
      <c r="E20" s="72"/>
      <c r="F20" s="72"/>
      <c r="G20" s="72"/>
      <c r="H20" s="72"/>
      <c r="I20" s="72"/>
      <c r="J20" s="72"/>
      <c r="K20" s="72"/>
      <c r="L20" s="72"/>
      <c r="M20" s="71"/>
      <c r="N20" s="51"/>
      <c r="O20" s="49"/>
      <c r="P20" s="49"/>
      <c r="Q20" s="49"/>
      <c r="R20" s="21"/>
      <c r="S20" s="21"/>
      <c r="T20" s="31"/>
      <c r="U20" s="31"/>
      <c r="V20" s="31"/>
      <c r="W20" s="31"/>
      <c r="X20" s="31"/>
      <c r="Y20" s="31"/>
      <c r="Z20" s="35">
        <v>0</v>
      </c>
      <c r="AA20" s="81"/>
      <c r="AB20" s="82"/>
      <c r="AC20" s="83"/>
    </row>
    <row r="21" spans="1:30" ht="15" customHeight="1">
      <c r="A21" s="60">
        <v>44335</v>
      </c>
      <c r="B21" s="73"/>
      <c r="C21" s="73"/>
      <c r="D21" s="77"/>
      <c r="E21" s="72"/>
      <c r="F21" s="72"/>
      <c r="G21" s="72"/>
      <c r="H21" s="72"/>
      <c r="I21" s="72"/>
      <c r="J21" s="72"/>
      <c r="K21" s="72"/>
      <c r="L21" s="72"/>
      <c r="M21" s="71"/>
      <c r="N21" s="51"/>
      <c r="O21" s="49"/>
      <c r="P21" s="49"/>
      <c r="Q21" s="49"/>
      <c r="R21" s="21"/>
      <c r="S21" s="21"/>
      <c r="T21" s="31"/>
      <c r="U21" s="31"/>
      <c r="V21" s="31"/>
      <c r="W21" s="31"/>
      <c r="X21" s="31"/>
      <c r="Y21" s="31"/>
      <c r="Z21" s="35">
        <v>0</v>
      </c>
      <c r="AA21" s="81"/>
      <c r="AB21" s="82"/>
      <c r="AC21" s="83"/>
      <c r="AD21" s="22"/>
    </row>
    <row r="22" spans="1:30" ht="15" customHeight="1">
      <c r="A22" s="60">
        <v>44336</v>
      </c>
      <c r="B22" s="73"/>
      <c r="C22" s="73"/>
      <c r="D22" s="77"/>
      <c r="E22" s="72"/>
      <c r="F22" s="72"/>
      <c r="G22" s="72"/>
      <c r="H22" s="72"/>
      <c r="I22" s="72"/>
      <c r="J22" s="72"/>
      <c r="K22" s="72"/>
      <c r="L22" s="72"/>
      <c r="M22" s="71"/>
      <c r="N22" s="51"/>
      <c r="O22" s="49"/>
      <c r="P22" s="49"/>
      <c r="Q22" s="49"/>
      <c r="R22" s="21"/>
      <c r="S22" s="21"/>
      <c r="T22" s="31"/>
      <c r="U22" s="31"/>
      <c r="V22" s="31"/>
      <c r="W22" s="31"/>
      <c r="X22" s="31"/>
      <c r="Y22" s="31"/>
      <c r="Z22" s="35">
        <v>0</v>
      </c>
      <c r="AA22" s="81"/>
      <c r="AB22" s="82"/>
      <c r="AC22" s="83"/>
      <c r="AD22" s="22"/>
    </row>
    <row r="23" spans="1:30" ht="15" customHeight="1">
      <c r="A23" s="60">
        <v>44337</v>
      </c>
      <c r="B23" s="73"/>
      <c r="C23" s="73"/>
      <c r="D23" s="77"/>
      <c r="E23" s="72"/>
      <c r="F23" s="72"/>
      <c r="G23" s="72"/>
      <c r="H23" s="72"/>
      <c r="I23" s="72"/>
      <c r="J23" s="72"/>
      <c r="K23" s="72"/>
      <c r="L23" s="72"/>
      <c r="M23" s="71"/>
      <c r="N23" s="51"/>
      <c r="O23" s="49"/>
      <c r="P23" s="49"/>
      <c r="Q23" s="49"/>
      <c r="R23" s="21"/>
      <c r="S23" s="21"/>
      <c r="T23" s="31"/>
      <c r="U23" s="31"/>
      <c r="V23" s="31"/>
      <c r="W23" s="31"/>
      <c r="X23" s="31"/>
      <c r="Y23" s="31"/>
      <c r="Z23" s="35">
        <v>0</v>
      </c>
      <c r="AA23" s="81"/>
      <c r="AB23" s="82"/>
      <c r="AC23" s="83"/>
      <c r="AD23" s="22"/>
    </row>
    <row r="24" spans="1:30" ht="15" customHeight="1">
      <c r="A24" s="60">
        <v>44338</v>
      </c>
      <c r="B24" s="73"/>
      <c r="C24" s="73"/>
      <c r="D24" s="77"/>
      <c r="E24" s="72"/>
      <c r="F24" s="72"/>
      <c r="G24" s="72"/>
      <c r="H24" s="72"/>
      <c r="I24" s="72"/>
      <c r="J24" s="72"/>
      <c r="K24" s="72"/>
      <c r="L24" s="72"/>
      <c r="M24" s="72"/>
      <c r="N24" s="48"/>
      <c r="O24" s="21"/>
      <c r="P24" s="21"/>
      <c r="Q24" s="21"/>
      <c r="R24" s="21"/>
      <c r="S24" s="21"/>
      <c r="T24" s="31"/>
      <c r="U24" s="31"/>
      <c r="V24" s="31"/>
      <c r="W24" s="31"/>
      <c r="X24" s="31"/>
      <c r="Y24" s="31"/>
      <c r="Z24" s="35">
        <v>0</v>
      </c>
      <c r="AA24" s="81"/>
      <c r="AB24" s="82"/>
      <c r="AC24" s="83"/>
      <c r="AD24" s="22"/>
    </row>
    <row r="25" spans="1:30" ht="15" customHeight="1">
      <c r="A25" s="60">
        <v>44339</v>
      </c>
      <c r="B25" s="73"/>
      <c r="C25" s="73"/>
      <c r="D25" s="77"/>
      <c r="E25" s="72"/>
      <c r="F25" s="72"/>
      <c r="G25" s="72"/>
      <c r="H25" s="72"/>
      <c r="I25" s="72"/>
      <c r="J25" s="72"/>
      <c r="K25" s="72"/>
      <c r="L25" s="72"/>
      <c r="M25" s="71"/>
      <c r="N25" s="51"/>
      <c r="O25" s="49"/>
      <c r="P25" s="49"/>
      <c r="Q25" s="49"/>
      <c r="R25" s="21"/>
      <c r="S25" s="21"/>
      <c r="T25" s="31"/>
      <c r="U25" s="31"/>
      <c r="V25" s="20"/>
      <c r="W25" s="20"/>
      <c r="X25" s="20"/>
      <c r="Y25" s="20"/>
      <c r="Z25" s="35">
        <v>0</v>
      </c>
      <c r="AA25" s="81"/>
      <c r="AB25" s="82"/>
      <c r="AC25" s="83"/>
      <c r="AD25" s="22"/>
    </row>
    <row r="26" spans="1:30" ht="15" customHeight="1">
      <c r="A26" s="60">
        <v>44340</v>
      </c>
      <c r="B26" s="73"/>
      <c r="C26" s="73"/>
      <c r="D26" s="77"/>
      <c r="E26" s="72"/>
      <c r="F26" s="72"/>
      <c r="G26" s="72"/>
      <c r="H26" s="72"/>
      <c r="I26" s="72"/>
      <c r="J26" s="72"/>
      <c r="K26" s="72"/>
      <c r="L26" s="72"/>
      <c r="M26" s="71"/>
      <c r="N26" s="51"/>
      <c r="O26" s="49"/>
      <c r="P26" s="49"/>
      <c r="Q26" s="49"/>
      <c r="R26" s="21"/>
      <c r="S26" s="21"/>
      <c r="T26" s="31"/>
      <c r="U26" s="31"/>
      <c r="V26" s="20"/>
      <c r="W26" s="20"/>
      <c r="X26" s="20"/>
      <c r="Y26" s="20"/>
      <c r="Z26" s="35">
        <v>0</v>
      </c>
      <c r="AA26" s="81"/>
      <c r="AB26" s="82"/>
      <c r="AC26" s="83"/>
      <c r="AD26" s="22"/>
    </row>
    <row r="27" spans="1:30" ht="15" customHeight="1">
      <c r="A27" s="60">
        <v>44341</v>
      </c>
      <c r="B27" s="73"/>
      <c r="C27" s="73"/>
      <c r="D27" s="77"/>
      <c r="E27" s="72"/>
      <c r="F27" s="72"/>
      <c r="G27" s="72"/>
      <c r="H27" s="72"/>
      <c r="I27" s="72"/>
      <c r="J27" s="72"/>
      <c r="K27" s="72"/>
      <c r="L27" s="72"/>
      <c r="M27" s="71"/>
      <c r="N27" s="51"/>
      <c r="O27" s="49"/>
      <c r="P27" s="49"/>
      <c r="Q27" s="49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81"/>
      <c r="AB27" s="82"/>
      <c r="AC27" s="83"/>
      <c r="AD27" s="22"/>
    </row>
    <row r="28" spans="1:30" ht="15" customHeight="1">
      <c r="A28" s="60">
        <v>44342</v>
      </c>
      <c r="B28" s="73"/>
      <c r="C28" s="73"/>
      <c r="D28" s="77"/>
      <c r="E28" s="72"/>
      <c r="F28" s="72"/>
      <c r="G28" s="72"/>
      <c r="H28" s="72"/>
      <c r="I28" s="72"/>
      <c r="J28" s="72"/>
      <c r="K28" s="72"/>
      <c r="L28" s="72"/>
      <c r="M28" s="71"/>
      <c r="N28" s="51"/>
      <c r="O28" s="49"/>
      <c r="P28" s="49"/>
      <c r="Q28" s="49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81"/>
      <c r="AB28" s="82"/>
      <c r="AC28" s="83"/>
      <c r="AD28" s="22"/>
    </row>
    <row r="29" spans="1:30" ht="15" customHeight="1">
      <c r="A29" s="60">
        <v>44343</v>
      </c>
      <c r="B29" s="73"/>
      <c r="C29" s="73"/>
      <c r="D29" s="77"/>
      <c r="E29" s="72"/>
      <c r="F29" s="72"/>
      <c r="G29" s="72"/>
      <c r="H29" s="72"/>
      <c r="I29" s="72"/>
      <c r="J29" s="72"/>
      <c r="K29" s="72"/>
      <c r="L29" s="72"/>
      <c r="M29" s="71"/>
      <c r="N29" s="51"/>
      <c r="O29" s="49"/>
      <c r="P29" s="49"/>
      <c r="Q29" s="49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81"/>
      <c r="AB29" s="82"/>
      <c r="AC29" s="83"/>
      <c r="AD29" s="22"/>
    </row>
    <row r="30" spans="1:30" ht="15" customHeight="1">
      <c r="A30" s="60">
        <v>44344</v>
      </c>
      <c r="B30" s="73"/>
      <c r="C30" s="73"/>
      <c r="D30" s="77"/>
      <c r="E30" s="72"/>
      <c r="F30" s="72"/>
      <c r="G30" s="72"/>
      <c r="H30" s="72"/>
      <c r="I30" s="72"/>
      <c r="J30" s="72"/>
      <c r="K30" s="72"/>
      <c r="L30" s="72"/>
      <c r="M30" s="71"/>
      <c r="N30" s="51"/>
      <c r="O30" s="49"/>
      <c r="P30" s="49"/>
      <c r="Q30" s="49"/>
      <c r="R30" s="21"/>
      <c r="S30" s="21"/>
      <c r="T30" s="31"/>
      <c r="U30" s="31"/>
      <c r="V30" s="20"/>
      <c r="W30" s="20"/>
      <c r="X30" s="20"/>
      <c r="Y30" s="20"/>
      <c r="Z30" s="35">
        <v>0</v>
      </c>
      <c r="AA30" s="81"/>
      <c r="AB30" s="82"/>
      <c r="AC30" s="83"/>
      <c r="AD30" s="22"/>
    </row>
    <row r="31" spans="1:30" ht="15" customHeight="1">
      <c r="A31" s="60">
        <v>44345</v>
      </c>
      <c r="B31" s="73"/>
      <c r="C31" s="73"/>
      <c r="D31" s="77"/>
      <c r="E31" s="72"/>
      <c r="F31" s="72"/>
      <c r="G31" s="72"/>
      <c r="H31" s="72"/>
      <c r="I31" s="72"/>
      <c r="J31" s="72"/>
      <c r="K31" s="72"/>
      <c r="L31" s="72"/>
      <c r="M31" s="71"/>
      <c r="N31" s="52"/>
      <c r="O31" s="53"/>
      <c r="P31" s="49"/>
      <c r="Q31" s="49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81"/>
      <c r="AB31" s="82"/>
      <c r="AC31" s="83"/>
      <c r="AD31" s="22"/>
    </row>
    <row r="32" spans="1:30" ht="15" customHeight="1">
      <c r="A32" s="60">
        <v>44346</v>
      </c>
      <c r="B32" s="73"/>
      <c r="C32" s="73"/>
      <c r="D32" s="77"/>
      <c r="E32" s="72"/>
      <c r="F32" s="72"/>
      <c r="G32" s="72"/>
      <c r="H32" s="72"/>
      <c r="I32" s="72"/>
      <c r="J32" s="72"/>
      <c r="K32" s="72"/>
      <c r="L32" s="72"/>
      <c r="M32" s="55"/>
      <c r="N32" s="54"/>
      <c r="O32" s="55"/>
      <c r="P32" s="55"/>
      <c r="Q32" s="55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81"/>
      <c r="AB32" s="82"/>
      <c r="AC32" s="83"/>
      <c r="AD32" s="22"/>
    </row>
    <row r="33" spans="1:29" ht="12.75" customHeight="1">
      <c r="A33" s="60">
        <v>44347</v>
      </c>
      <c r="B33" s="50"/>
      <c r="C33" s="78"/>
      <c r="D33" s="74"/>
      <c r="E33" s="75"/>
      <c r="F33" s="75"/>
      <c r="G33" s="75"/>
      <c r="H33" s="75"/>
      <c r="I33" s="75"/>
      <c r="J33" s="75"/>
      <c r="K33" s="75"/>
      <c r="L33" s="75"/>
      <c r="M33" s="76"/>
      <c r="N33" s="55"/>
      <c r="O33" s="55"/>
      <c r="P33" s="56"/>
      <c r="Q33" s="57"/>
      <c r="R33" s="21"/>
      <c r="S33" s="21"/>
      <c r="T33" s="58"/>
      <c r="U33" s="58"/>
      <c r="V33" s="58"/>
      <c r="W33" s="58"/>
      <c r="X33" s="58"/>
      <c r="Y33" s="58"/>
      <c r="Z33" s="35"/>
      <c r="AA33" s="84"/>
      <c r="AB33" s="85"/>
      <c r="AC33" s="86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53C1FFEE-54E3-4891-B98C-21C3BE451C87}"/>
</file>

<file path=customXml/itemProps3.xml><?xml version="1.0" encoding="utf-8"?>
<ds:datastoreItem xmlns:ds="http://schemas.openxmlformats.org/officeDocument/2006/customXml" ds:itemID="{E99E6936-EF7E-451B-BDFB-80F884242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2021-05-11T09:18:40Z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