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 filterPrivacy="1" defaultThemeVersion="124226"/>
  <xr:revisionPtr revIDLastSave="0" documentId="13_ncr:1_{DF2F954F-B39A-470F-9FA0-0A013E615DC5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O33" i="6" l="1"/>
  <c r="N33" i="6"/>
  <c r="M33" i="6"/>
  <c r="G33" i="6" l="1"/>
  <c r="B31" i="4" l="1"/>
  <c r="I33" i="6"/>
  <c r="B34" i="8"/>
  <c r="C34" i="8"/>
  <c r="D34" i="8" s="1"/>
  <c r="E34" i="8"/>
  <c r="G34" i="8"/>
  <c r="I34" i="8"/>
  <c r="K34" i="8"/>
  <c r="M34" i="8"/>
  <c r="O34" i="8"/>
  <c r="Q34" i="8"/>
  <c r="S34" i="8"/>
  <c r="U34" i="8"/>
  <c r="W34" i="8"/>
  <c r="A34" i="8"/>
  <c r="X34" i="8" l="1"/>
  <c r="V34" i="8"/>
  <c r="T34" i="8"/>
  <c r="R34" i="8"/>
  <c r="P34" i="8"/>
  <c r="H34" i="8"/>
  <c r="F34" i="8"/>
  <c r="N34" i="8"/>
  <c r="L34" i="8"/>
  <c r="J34" i="8"/>
  <c r="Y34" i="8"/>
  <c r="Z34" i="8" s="1"/>
  <c r="E33" i="6"/>
  <c r="B32" i="6" l="1"/>
  <c r="B10" i="8" l="1"/>
  <c r="C10" i="8"/>
  <c r="D10" i="8" s="1"/>
  <c r="G10" i="8"/>
  <c r="G11" i="8"/>
  <c r="C11" i="8"/>
  <c r="E5" i="8"/>
  <c r="E6" i="8"/>
  <c r="E7" i="8"/>
  <c r="E8" i="8"/>
  <c r="E9" i="8"/>
  <c r="E11" i="8"/>
  <c r="E12" i="8"/>
  <c r="E13" i="8"/>
  <c r="E14" i="8"/>
  <c r="F14" i="8" s="1"/>
  <c r="E15" i="8"/>
  <c r="E16" i="8"/>
  <c r="F16" i="8" s="1"/>
  <c r="E17" i="8"/>
  <c r="E18" i="8"/>
  <c r="E19" i="8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E20" i="2"/>
  <c r="M7" i="2"/>
  <c r="K33" i="6"/>
  <c r="B18" i="8"/>
  <c r="B4" i="8"/>
  <c r="B5" i="8"/>
  <c r="B6" i="8"/>
  <c r="B7" i="8"/>
  <c r="B8" i="8"/>
  <c r="B9" i="8"/>
  <c r="B11" i="8"/>
  <c r="B12" i="8"/>
  <c r="B13" i="8"/>
  <c r="B14" i="8"/>
  <c r="B15" i="8"/>
  <c r="B16" i="8"/>
  <c r="C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D32" i="8" s="1"/>
  <c r="B33" i="8"/>
  <c r="O17" i="2"/>
  <c r="O18" i="2"/>
  <c r="O19" i="2"/>
  <c r="O20" i="2"/>
  <c r="O21" i="2"/>
  <c r="C18" i="8"/>
  <c r="C19" i="8"/>
  <c r="C20" i="8"/>
  <c r="C21" i="8"/>
  <c r="C22" i="8"/>
  <c r="F11" i="2"/>
  <c r="D12" i="4"/>
  <c r="F12" i="2"/>
  <c r="F13" i="2"/>
  <c r="D14" i="4"/>
  <c r="F14" i="2"/>
  <c r="D15" i="4"/>
  <c r="F15" i="2"/>
  <c r="D16" i="4"/>
  <c r="S5" i="8"/>
  <c r="S6" i="8"/>
  <c r="S7" i="8"/>
  <c r="S8" i="8"/>
  <c r="S9" i="8"/>
  <c r="S10" i="8"/>
  <c r="B31" i="3"/>
  <c r="B32" i="3"/>
  <c r="C32" i="3" s="1"/>
  <c r="W29" i="8"/>
  <c r="X29" i="8" s="1"/>
  <c r="W30" i="8"/>
  <c r="X30" i="8" s="1"/>
  <c r="W31" i="8"/>
  <c r="W32" i="8"/>
  <c r="X32" i="8" s="1"/>
  <c r="W33" i="8"/>
  <c r="U29" i="8"/>
  <c r="U30" i="8"/>
  <c r="U31" i="8"/>
  <c r="C31" i="8"/>
  <c r="U32" i="8"/>
  <c r="U33" i="8"/>
  <c r="S30" i="8"/>
  <c r="S31" i="8"/>
  <c r="S32" i="8"/>
  <c r="S33" i="8"/>
  <c r="Q30" i="8"/>
  <c r="Q31" i="8"/>
  <c r="Q32" i="8"/>
  <c r="R32" i="8" s="1"/>
  <c r="Q33" i="8"/>
  <c r="O31" i="8"/>
  <c r="O32" i="8"/>
  <c r="C32" i="8"/>
  <c r="O33" i="8"/>
  <c r="M31" i="8"/>
  <c r="M32" i="8"/>
  <c r="N32" i="8" s="1"/>
  <c r="M33" i="8"/>
  <c r="G31" i="8"/>
  <c r="G32" i="8"/>
  <c r="G33" i="8"/>
  <c r="K31" i="8"/>
  <c r="K32" i="8"/>
  <c r="K33" i="8"/>
  <c r="I31" i="8"/>
  <c r="I32" i="8"/>
  <c r="J32" i="8" s="1"/>
  <c r="I33" i="8"/>
  <c r="E32" i="8"/>
  <c r="F32" i="8" s="1"/>
  <c r="E33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/>
  <c r="X29" i="2"/>
  <c r="K30" i="4" s="1"/>
  <c r="X30" i="2"/>
  <c r="K31" i="4"/>
  <c r="X31" i="2"/>
  <c r="K32" i="4" s="1"/>
  <c r="W29" i="2"/>
  <c r="W30" i="2"/>
  <c r="W31" i="2"/>
  <c r="J32" i="4" s="1"/>
  <c r="V29" i="2"/>
  <c r="J30" i="4" s="1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P29" i="2"/>
  <c r="B30" i="3"/>
  <c r="Q30" i="2"/>
  <c r="Q31" i="2"/>
  <c r="P28" i="2"/>
  <c r="P30" i="2"/>
  <c r="P31" i="2"/>
  <c r="O28" i="2"/>
  <c r="O29" i="2"/>
  <c r="N29" i="2"/>
  <c r="O30" i="2"/>
  <c r="O32" i="2" s="1"/>
  <c r="O31" i="2"/>
  <c r="N31" i="2"/>
  <c r="N28" i="2"/>
  <c r="N30" i="2"/>
  <c r="M28" i="2"/>
  <c r="M29" i="2"/>
  <c r="L29" i="2"/>
  <c r="G30" i="4" s="1"/>
  <c r="M30" i="2"/>
  <c r="G31" i="4" s="1"/>
  <c r="M31" i="2"/>
  <c r="L30" i="2"/>
  <c r="L31" i="2"/>
  <c r="L32" i="2" s="1"/>
  <c r="K29" i="2"/>
  <c r="K30" i="2"/>
  <c r="K31" i="2"/>
  <c r="J29" i="2"/>
  <c r="I29" i="2"/>
  <c r="F30" i="4"/>
  <c r="J30" i="2"/>
  <c r="J31" i="2"/>
  <c r="I30" i="2"/>
  <c r="I31" i="2"/>
  <c r="G29" i="2"/>
  <c r="E30" i="4" s="1"/>
  <c r="G30" i="2"/>
  <c r="E31" i="4" s="1"/>
  <c r="E30" i="2"/>
  <c r="C31" i="4" s="1"/>
  <c r="F30" i="2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/>
  <c r="E27" i="2"/>
  <c r="C28" i="4"/>
  <c r="E28" i="2"/>
  <c r="C29" i="4"/>
  <c r="V34" i="1"/>
  <c r="W34" i="1"/>
  <c r="X34" i="1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H20" i="8" s="1"/>
  <c r="B32" i="4"/>
  <c r="K21" i="8"/>
  <c r="E21" i="8"/>
  <c r="I21" i="8"/>
  <c r="M21" i="8"/>
  <c r="O21" i="8"/>
  <c r="G21" i="8"/>
  <c r="Q21" i="8"/>
  <c r="S21" i="8"/>
  <c r="U21" i="8"/>
  <c r="W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H13" i="8" s="1"/>
  <c r="L18" i="2"/>
  <c r="L19" i="2"/>
  <c r="M19" i="8"/>
  <c r="M20" i="8"/>
  <c r="B35" i="4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L14" i="8" s="1"/>
  <c r="C14" i="8"/>
  <c r="G24" i="8"/>
  <c r="H24" i="8" s="1"/>
  <c r="G25" i="8"/>
  <c r="C25" i="8"/>
  <c r="G19" i="8"/>
  <c r="G22" i="8"/>
  <c r="H22" i="8"/>
  <c r="G5" i="8"/>
  <c r="H5" i="8" s="1"/>
  <c r="S4" i="8"/>
  <c r="Q5" i="8"/>
  <c r="Q6" i="8"/>
  <c r="Q7" i="8"/>
  <c r="Q8" i="8"/>
  <c r="Q9" i="8"/>
  <c r="Q10" i="8"/>
  <c r="Q11" i="8"/>
  <c r="R11" i="8" s="1"/>
  <c r="Q12" i="8"/>
  <c r="Q13" i="8"/>
  <c r="R13" i="8" s="1"/>
  <c r="Q14" i="8"/>
  <c r="R14" i="8" s="1"/>
  <c r="Q15" i="8"/>
  <c r="Q16" i="8"/>
  <c r="Q17" i="8"/>
  <c r="Q18" i="8"/>
  <c r="R18" i="8" s="1"/>
  <c r="Q19" i="8"/>
  <c r="Q20" i="8"/>
  <c r="R20" i="8" s="1"/>
  <c r="Q22" i="8"/>
  <c r="R22" i="8" s="1"/>
  <c r="Q23" i="8"/>
  <c r="Q24" i="8"/>
  <c r="Q25" i="8"/>
  <c r="Q26" i="8"/>
  <c r="Q27" i="8"/>
  <c r="Q28" i="8"/>
  <c r="Q29" i="8"/>
  <c r="Q4" i="8"/>
  <c r="R4" i="8" s="1"/>
  <c r="C4" i="8"/>
  <c r="S11" i="8"/>
  <c r="S12" i="8"/>
  <c r="S13" i="8"/>
  <c r="S14" i="8"/>
  <c r="T14" i="8" s="1"/>
  <c r="S15" i="8"/>
  <c r="S16" i="8"/>
  <c r="S17" i="8"/>
  <c r="S18" i="8"/>
  <c r="S19" i="8"/>
  <c r="S20" i="8"/>
  <c r="S22" i="8"/>
  <c r="T22" i="8" s="1"/>
  <c r="S23" i="8"/>
  <c r="S24" i="8"/>
  <c r="T24" i="8" s="1"/>
  <c r="S25" i="8"/>
  <c r="S26" i="8"/>
  <c r="S27" i="8"/>
  <c r="S28" i="8"/>
  <c r="T28" i="8" s="1"/>
  <c r="C28" i="8"/>
  <c r="S29" i="8"/>
  <c r="T29" i="8" s="1"/>
  <c r="U5" i="8"/>
  <c r="V5" i="8" s="1"/>
  <c r="U6" i="8"/>
  <c r="U7" i="8"/>
  <c r="C7" i="8"/>
  <c r="T7" i="8" s="1"/>
  <c r="U8" i="8"/>
  <c r="U9" i="8"/>
  <c r="U10" i="8"/>
  <c r="U11" i="8"/>
  <c r="U12" i="8"/>
  <c r="U13" i="8"/>
  <c r="U14" i="8"/>
  <c r="V14" i="8"/>
  <c r="U15" i="8"/>
  <c r="U16" i="8"/>
  <c r="U17" i="8"/>
  <c r="U18" i="8"/>
  <c r="U19" i="8"/>
  <c r="U20" i="8"/>
  <c r="U22" i="8"/>
  <c r="V22" i="8" s="1"/>
  <c r="U23" i="8"/>
  <c r="U24" i="8"/>
  <c r="U25" i="8"/>
  <c r="U26" i="8"/>
  <c r="U27" i="8"/>
  <c r="U28" i="8"/>
  <c r="V28" i="8" s="1"/>
  <c r="U4" i="8"/>
  <c r="G6" i="8"/>
  <c r="G7" i="8"/>
  <c r="G8" i="8"/>
  <c r="G9" i="8"/>
  <c r="G12" i="8"/>
  <c r="G13" i="8"/>
  <c r="G14" i="8"/>
  <c r="H14" i="8" s="1"/>
  <c r="G15" i="8"/>
  <c r="G16" i="8"/>
  <c r="H16" i="8" s="1"/>
  <c r="G17" i="8"/>
  <c r="G18" i="8"/>
  <c r="H18" i="8" s="1"/>
  <c r="G23" i="8"/>
  <c r="G26" i="8"/>
  <c r="G27" i="8"/>
  <c r="C27" i="8"/>
  <c r="G28" i="8"/>
  <c r="G29" i="8"/>
  <c r="G30" i="8"/>
  <c r="C30" i="8"/>
  <c r="W6" i="8"/>
  <c r="W7" i="8"/>
  <c r="W8" i="8"/>
  <c r="W9" i="8"/>
  <c r="W10" i="8"/>
  <c r="X10" i="8" s="1"/>
  <c r="W11" i="8"/>
  <c r="X11" i="8" s="1"/>
  <c r="W12" i="8"/>
  <c r="W13" i="8"/>
  <c r="W14" i="8"/>
  <c r="W15" i="8"/>
  <c r="W16" i="8"/>
  <c r="W17" i="8"/>
  <c r="W18" i="8"/>
  <c r="X18" i="8" s="1"/>
  <c r="W19" i="8"/>
  <c r="W20" i="8"/>
  <c r="X20" i="8" s="1"/>
  <c r="W22" i="8"/>
  <c r="X22" i="8" s="1"/>
  <c r="W23" i="8"/>
  <c r="W24" i="8"/>
  <c r="W25" i="8"/>
  <c r="W26" i="8"/>
  <c r="W27" i="8"/>
  <c r="W28" i="8"/>
  <c r="W5" i="8"/>
  <c r="W4" i="8"/>
  <c r="T22" i="2"/>
  <c r="T23" i="2"/>
  <c r="P14" i="2"/>
  <c r="O14" i="2"/>
  <c r="T14" i="2"/>
  <c r="U14" i="2"/>
  <c r="V14" i="2"/>
  <c r="W14" i="2"/>
  <c r="X14" i="2"/>
  <c r="K15" i="4"/>
  <c r="B9" i="4"/>
  <c r="B10" i="4"/>
  <c r="L10" i="4" s="1"/>
  <c r="B11" i="4"/>
  <c r="L11" i="4" s="1"/>
  <c r="B12" i="4"/>
  <c r="L12" i="4" s="1"/>
  <c r="O5" i="8"/>
  <c r="O6" i="8"/>
  <c r="O7" i="8"/>
  <c r="O8" i="8"/>
  <c r="P8" i="8" s="1"/>
  <c r="O9" i="8"/>
  <c r="O10" i="8"/>
  <c r="P10" i="8" s="1"/>
  <c r="O11" i="8"/>
  <c r="O12" i="8"/>
  <c r="O13" i="8"/>
  <c r="O14" i="8"/>
  <c r="P14" i="8" s="1"/>
  <c r="O15" i="8"/>
  <c r="O16" i="8"/>
  <c r="P16" i="8" s="1"/>
  <c r="O17" i="8"/>
  <c r="O18" i="8"/>
  <c r="O19" i="8"/>
  <c r="P19" i="8" s="1"/>
  <c r="O20" i="8"/>
  <c r="O22" i="8"/>
  <c r="P22" i="8" s="1"/>
  <c r="O23" i="8"/>
  <c r="C23" i="8"/>
  <c r="H23" i="8" s="1"/>
  <c r="O24" i="8"/>
  <c r="O25" i="8"/>
  <c r="P25" i="8" s="1"/>
  <c r="O26" i="8"/>
  <c r="O27" i="8"/>
  <c r="O28" i="8"/>
  <c r="P28" i="8"/>
  <c r="O29" i="8"/>
  <c r="O30" i="8"/>
  <c r="O4" i="8"/>
  <c r="P4" i="8" s="1"/>
  <c r="M5" i="8"/>
  <c r="M6" i="8"/>
  <c r="M7" i="8"/>
  <c r="M8" i="8"/>
  <c r="C8" i="8"/>
  <c r="M9" i="8"/>
  <c r="M10" i="8"/>
  <c r="M11" i="8"/>
  <c r="M12" i="8"/>
  <c r="N12" i="8" s="1"/>
  <c r="M13" i="8"/>
  <c r="M14" i="8"/>
  <c r="N14" i="8" s="1"/>
  <c r="M15" i="8"/>
  <c r="M16" i="8"/>
  <c r="M17" i="8"/>
  <c r="M18" i="8"/>
  <c r="N18" i="8" s="1"/>
  <c r="M22" i="8"/>
  <c r="N22" i="8" s="1"/>
  <c r="M23" i="8"/>
  <c r="N23" i="8" s="1"/>
  <c r="M24" i="8"/>
  <c r="N24" i="8" s="1"/>
  <c r="M25" i="8"/>
  <c r="N25" i="8" s="1"/>
  <c r="M26" i="8"/>
  <c r="C26" i="8"/>
  <c r="M27" i="8"/>
  <c r="M28" i="8"/>
  <c r="M29" i="8"/>
  <c r="M30" i="8"/>
  <c r="M4" i="8"/>
  <c r="N4" i="8" s="1"/>
  <c r="K5" i="8"/>
  <c r="L5" i="8" s="1"/>
  <c r="K6" i="8"/>
  <c r="K7" i="8"/>
  <c r="K8" i="8"/>
  <c r="L8" i="8" s="1"/>
  <c r="K9" i="8"/>
  <c r="K10" i="8"/>
  <c r="L10" i="8" s="1"/>
  <c r="K11" i="8"/>
  <c r="K12" i="8"/>
  <c r="K13" i="8"/>
  <c r="K15" i="8"/>
  <c r="K16" i="8"/>
  <c r="K17" i="8"/>
  <c r="K18" i="8"/>
  <c r="K19" i="8"/>
  <c r="L19" i="8" s="1"/>
  <c r="K20" i="8"/>
  <c r="K22" i="8"/>
  <c r="K23" i="8"/>
  <c r="K24" i="8"/>
  <c r="K25" i="8"/>
  <c r="L25" i="8" s="1"/>
  <c r="K26" i="8"/>
  <c r="K27" i="8"/>
  <c r="K28" i="8"/>
  <c r="L28" i="8" s="1"/>
  <c r="K29" i="8"/>
  <c r="K30" i="8"/>
  <c r="K4" i="8"/>
  <c r="L4" i="8" s="1"/>
  <c r="I5" i="8"/>
  <c r="I6" i="8"/>
  <c r="I7" i="8"/>
  <c r="I8" i="8"/>
  <c r="I9" i="8"/>
  <c r="I10" i="8"/>
  <c r="J10" i="8" s="1"/>
  <c r="I11" i="8"/>
  <c r="I12" i="8"/>
  <c r="J12" i="8" s="1"/>
  <c r="I13" i="8"/>
  <c r="I14" i="8"/>
  <c r="I15" i="8"/>
  <c r="I16" i="8"/>
  <c r="J16" i="8" s="1"/>
  <c r="I17" i="8"/>
  <c r="I18" i="8"/>
  <c r="J18" i="8" s="1"/>
  <c r="I19" i="8"/>
  <c r="J19" i="8" s="1"/>
  <c r="I20" i="8"/>
  <c r="I22" i="8"/>
  <c r="I23" i="8"/>
  <c r="I24" i="8"/>
  <c r="C24" i="8"/>
  <c r="D24" i="8" s="1"/>
  <c r="I25" i="8"/>
  <c r="J25" i="8" s="1"/>
  <c r="I26" i="8"/>
  <c r="J26" i="8" s="1"/>
  <c r="I27" i="8"/>
  <c r="I28" i="8"/>
  <c r="J28" i="8" s="1"/>
  <c r="E28" i="8"/>
  <c r="I29" i="8"/>
  <c r="I30" i="8"/>
  <c r="I4" i="8"/>
  <c r="J4" i="8" s="1"/>
  <c r="G4" i="8"/>
  <c r="C9" i="8"/>
  <c r="H9" i="8" s="1"/>
  <c r="E20" i="8"/>
  <c r="Y20" i="8" s="1"/>
  <c r="Z20" i="8" s="1"/>
  <c r="F21" i="8"/>
  <c r="E22" i="8"/>
  <c r="F22" i="8" s="1"/>
  <c r="E23" i="8"/>
  <c r="F23" i="8" s="1"/>
  <c r="E24" i="8"/>
  <c r="F24" i="8" s="1"/>
  <c r="E25" i="8"/>
  <c r="E26" i="8"/>
  <c r="E27" i="8"/>
  <c r="Y27" i="8" s="1"/>
  <c r="E29" i="8"/>
  <c r="E30" i="8"/>
  <c r="Y30" i="8" s="1"/>
  <c r="Z30" i="8" s="1"/>
  <c r="E31" i="8"/>
  <c r="E4" i="8"/>
  <c r="F4" i="8" s="1"/>
  <c r="C5" i="8"/>
  <c r="C6" i="8"/>
  <c r="P6" i="8" s="1"/>
  <c r="X8" i="8"/>
  <c r="C12" i="8"/>
  <c r="R12" i="8" s="1"/>
  <c r="C15" i="8"/>
  <c r="F15" i="8" s="1"/>
  <c r="C17" i="8"/>
  <c r="C29" i="8"/>
  <c r="E25" i="2"/>
  <c r="C26" i="4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/>
  <c r="W21" i="2"/>
  <c r="V21" i="2"/>
  <c r="U21" i="2"/>
  <c r="T21" i="2"/>
  <c r="P21" i="2"/>
  <c r="N21" i="2"/>
  <c r="M21" i="2"/>
  <c r="L21" i="2"/>
  <c r="G22" i="4"/>
  <c r="K21" i="2"/>
  <c r="J21" i="2"/>
  <c r="I21" i="2"/>
  <c r="G21" i="2"/>
  <c r="E22" i="4"/>
  <c r="F21" i="2"/>
  <c r="D22" i="4"/>
  <c r="E21" i="2"/>
  <c r="C22" i="4"/>
  <c r="M10" i="2"/>
  <c r="M6" i="2"/>
  <c r="L6" i="2"/>
  <c r="L7" i="2"/>
  <c r="G8" i="4"/>
  <c r="K6" i="2"/>
  <c r="K7" i="2"/>
  <c r="J6" i="2"/>
  <c r="J7" i="2"/>
  <c r="I7" i="2"/>
  <c r="I6" i="2"/>
  <c r="G6" i="2"/>
  <c r="E7" i="4"/>
  <c r="G7" i="2"/>
  <c r="E8" i="4"/>
  <c r="F6" i="2"/>
  <c r="D7" i="4"/>
  <c r="F7" i="2"/>
  <c r="D8" i="4"/>
  <c r="E6" i="2"/>
  <c r="C7" i="4"/>
  <c r="E7" i="2"/>
  <c r="C8" i="4"/>
  <c r="X6" i="2"/>
  <c r="K7" i="4"/>
  <c r="X7" i="2"/>
  <c r="K8" i="4"/>
  <c r="W6" i="2"/>
  <c r="W7" i="2"/>
  <c r="V6" i="2"/>
  <c r="V7" i="2"/>
  <c r="U6" i="2"/>
  <c r="U7" i="2"/>
  <c r="T6" i="2"/>
  <c r="T7" i="2"/>
  <c r="P6" i="2"/>
  <c r="P7" i="2"/>
  <c r="N6" i="2"/>
  <c r="N7" i="2"/>
  <c r="E15" i="2"/>
  <c r="C16" i="4"/>
  <c r="E16" i="2"/>
  <c r="E17" i="2"/>
  <c r="C18" i="4"/>
  <c r="V25" i="2"/>
  <c r="B20" i="4"/>
  <c r="L20" i="4" s="1"/>
  <c r="B3" i="4"/>
  <c r="L3" i="4" s="1"/>
  <c r="K19" i="2"/>
  <c r="E19" i="2"/>
  <c r="C20" i="4"/>
  <c r="C21" i="4"/>
  <c r="E22" i="2"/>
  <c r="C23" i="4"/>
  <c r="B4" i="4"/>
  <c r="B5" i="4"/>
  <c r="B6" i="4"/>
  <c r="L6" i="4" s="1"/>
  <c r="B7" i="4"/>
  <c r="B8" i="4"/>
  <c r="L8" i="4" s="1"/>
  <c r="B13" i="4"/>
  <c r="L13" i="4" s="1"/>
  <c r="B14" i="4"/>
  <c r="L14" i="4" s="1"/>
  <c r="B15" i="4"/>
  <c r="B16" i="4"/>
  <c r="B17" i="4"/>
  <c r="L17" i="4" s="1"/>
  <c r="B18" i="4"/>
  <c r="L18" i="4" s="1"/>
  <c r="B19" i="4"/>
  <c r="L19" i="4" s="1"/>
  <c r="B21" i="4"/>
  <c r="L21" i="4" s="1"/>
  <c r="B22" i="4"/>
  <c r="L22" i="4" s="1"/>
  <c r="B23" i="4"/>
  <c r="L23" i="4" s="1"/>
  <c r="B24" i="4"/>
  <c r="L24" i="4" s="1"/>
  <c r="B25" i="4"/>
  <c r="B26" i="4"/>
  <c r="B27" i="4"/>
  <c r="B28" i="4"/>
  <c r="B29" i="4"/>
  <c r="B30" i="4"/>
  <c r="F3" i="2"/>
  <c r="F4" i="2"/>
  <c r="D5" i="4"/>
  <c r="F5" i="2"/>
  <c r="D6" i="4"/>
  <c r="F8" i="2"/>
  <c r="D9" i="4"/>
  <c r="F9" i="2"/>
  <c r="D10" i="4"/>
  <c r="F10" i="2"/>
  <c r="D11" i="4"/>
  <c r="F16" i="2"/>
  <c r="D17" i="4"/>
  <c r="F17" i="2"/>
  <c r="F18" i="2"/>
  <c r="D19" i="4"/>
  <c r="F19" i="2"/>
  <c r="D20" i="4"/>
  <c r="F20" i="2"/>
  <c r="D21" i="4"/>
  <c r="F22" i="2"/>
  <c r="D23" i="4"/>
  <c r="F23" i="2"/>
  <c r="F24" i="2"/>
  <c r="D25" i="4"/>
  <c r="F25" i="2"/>
  <c r="D26" i="4"/>
  <c r="F26" i="2"/>
  <c r="D27" i="4"/>
  <c r="F27" i="2"/>
  <c r="F28" i="2"/>
  <c r="D29" i="4"/>
  <c r="F2" i="2"/>
  <c r="D3" i="4"/>
  <c r="B4" i="3"/>
  <c r="E4" i="3" s="1"/>
  <c r="B5" i="3"/>
  <c r="B6" i="3"/>
  <c r="B7" i="3"/>
  <c r="B8" i="3"/>
  <c r="C8" i="3" s="1"/>
  <c r="B9" i="3"/>
  <c r="C9" i="3" s="1"/>
  <c r="B10" i="3"/>
  <c r="C10" i="3" s="1"/>
  <c r="B11" i="3"/>
  <c r="B12" i="3"/>
  <c r="C12" i="3" s="1"/>
  <c r="B13" i="3"/>
  <c r="B14" i="3"/>
  <c r="B15" i="3"/>
  <c r="D15" i="3" s="1"/>
  <c r="B16" i="3"/>
  <c r="F16" i="3" s="1"/>
  <c r="B17" i="3"/>
  <c r="D17" i="3" s="1"/>
  <c r="B18" i="3"/>
  <c r="F18" i="3" s="1"/>
  <c r="B19" i="3"/>
  <c r="C19" i="3" s="1"/>
  <c r="B20" i="3"/>
  <c r="L20" i="3" s="1"/>
  <c r="X19" i="2"/>
  <c r="B21" i="3"/>
  <c r="B22" i="3"/>
  <c r="B23" i="3"/>
  <c r="B24" i="3"/>
  <c r="B25" i="3"/>
  <c r="B26" i="3"/>
  <c r="I26" i="3" s="1"/>
  <c r="B27" i="3"/>
  <c r="E27" i="3" s="1"/>
  <c r="B28" i="3"/>
  <c r="D28" i="3" s="1"/>
  <c r="B29" i="3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X3" i="2"/>
  <c r="K4" i="4"/>
  <c r="A30" i="3"/>
  <c r="A31" i="3"/>
  <c r="E3" i="2"/>
  <c r="C4" i="4"/>
  <c r="E2" i="2"/>
  <c r="W18" i="2"/>
  <c r="M5" i="2"/>
  <c r="X5" i="2"/>
  <c r="K6" i="4"/>
  <c r="K13" i="2"/>
  <c r="L10" i="2"/>
  <c r="J9" i="2"/>
  <c r="I9" i="2"/>
  <c r="E9" i="2"/>
  <c r="C10" i="4"/>
  <c r="X8" i="2"/>
  <c r="K9" i="4"/>
  <c r="W8" i="2"/>
  <c r="V8" i="2"/>
  <c r="U8" i="2"/>
  <c r="T8" i="2"/>
  <c r="P8" i="2"/>
  <c r="N8" i="2"/>
  <c r="M8" i="2"/>
  <c r="L8" i="2"/>
  <c r="K8" i="2"/>
  <c r="J8" i="2"/>
  <c r="I8" i="2"/>
  <c r="G8" i="2"/>
  <c r="E9" i="4"/>
  <c r="E8" i="2"/>
  <c r="C9" i="4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M3" i="2"/>
  <c r="L4" i="2"/>
  <c r="M4" i="2"/>
  <c r="L5" i="2"/>
  <c r="L9" i="2"/>
  <c r="M9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M18" i="2"/>
  <c r="G19" i="4"/>
  <c r="M19" i="2"/>
  <c r="L20" i="2"/>
  <c r="M20" i="2"/>
  <c r="G21" i="4"/>
  <c r="L22" i="2"/>
  <c r="L23" i="2"/>
  <c r="L24" i="2"/>
  <c r="L25" i="2"/>
  <c r="L26" i="2"/>
  <c r="M26" i="2"/>
  <c r="L27" i="2"/>
  <c r="M27" i="2"/>
  <c r="H28" i="3"/>
  <c r="L28" i="2"/>
  <c r="M2" i="2"/>
  <c r="L2" i="2"/>
  <c r="E4" i="2"/>
  <c r="C5" i="4"/>
  <c r="E5" i="2"/>
  <c r="C6" i="4"/>
  <c r="E10" i="2"/>
  <c r="C11" i="4"/>
  <c r="E11" i="2"/>
  <c r="E12" i="2"/>
  <c r="C13" i="4"/>
  <c r="E13" i="2"/>
  <c r="C14" i="4"/>
  <c r="E14" i="2"/>
  <c r="E18" i="2"/>
  <c r="E23" i="2"/>
  <c r="D24" i="3"/>
  <c r="E24" i="2"/>
  <c r="C25" i="4"/>
  <c r="X4" i="2"/>
  <c r="K5" i="4"/>
  <c r="X9" i="2"/>
  <c r="L10" i="3"/>
  <c r="X10" i="2"/>
  <c r="K11" i="4"/>
  <c r="X11" i="2"/>
  <c r="K12" i="4"/>
  <c r="X12" i="2"/>
  <c r="K13" i="4"/>
  <c r="X13" i="2"/>
  <c r="K14" i="4"/>
  <c r="X15" i="2"/>
  <c r="K16" i="4"/>
  <c r="X16" i="2"/>
  <c r="X17" i="2"/>
  <c r="K18" i="4"/>
  <c r="X18" i="2"/>
  <c r="K19" i="4"/>
  <c r="X20" i="2"/>
  <c r="K21" i="4"/>
  <c r="X22" i="2"/>
  <c r="K23" i="4"/>
  <c r="X23" i="2"/>
  <c r="K24" i="4"/>
  <c r="X24" i="2"/>
  <c r="K25" i="4"/>
  <c r="X25" i="2"/>
  <c r="K26" i="4"/>
  <c r="X26" i="2"/>
  <c r="K27" i="4"/>
  <c r="X27" i="2"/>
  <c r="K28" i="4"/>
  <c r="X2" i="2"/>
  <c r="K3" i="4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/>
  <c r="G4" i="2"/>
  <c r="F5" i="3"/>
  <c r="G5" i="2"/>
  <c r="E6" i="4"/>
  <c r="G9" i="2"/>
  <c r="E10" i="4"/>
  <c r="G10" i="2"/>
  <c r="E11" i="4"/>
  <c r="G11" i="2"/>
  <c r="E12" i="4"/>
  <c r="G12" i="2"/>
  <c r="E13" i="4"/>
  <c r="G13" i="2"/>
  <c r="E14" i="4"/>
  <c r="G14" i="2"/>
  <c r="G15" i="2"/>
  <c r="E16" i="4"/>
  <c r="G16" i="2"/>
  <c r="E17" i="4"/>
  <c r="G17" i="2"/>
  <c r="G18" i="2"/>
  <c r="E19" i="4"/>
  <c r="G19" i="2"/>
  <c r="E20" i="4"/>
  <c r="G20" i="2"/>
  <c r="E21" i="4"/>
  <c r="G22" i="2"/>
  <c r="F23" i="3"/>
  <c r="G23" i="2"/>
  <c r="E24" i="4"/>
  <c r="G24" i="2"/>
  <c r="E25" i="4"/>
  <c r="G25" i="2"/>
  <c r="E26" i="4"/>
  <c r="G26" i="2"/>
  <c r="E27" i="4"/>
  <c r="G27" i="2"/>
  <c r="G28" i="2"/>
  <c r="E29" i="4"/>
  <c r="G2" i="2"/>
  <c r="E3" i="4"/>
  <c r="N3" i="2"/>
  <c r="N4" i="2"/>
  <c r="N5" i="2"/>
  <c r="N9" i="2"/>
  <c r="N10" i="2"/>
  <c r="N11" i="2"/>
  <c r="N12" i="2"/>
  <c r="H13" i="4"/>
  <c r="N13" i="2"/>
  <c r="N14" i="2"/>
  <c r="N15" i="2"/>
  <c r="N16" i="2"/>
  <c r="N17" i="2"/>
  <c r="N18" i="2"/>
  <c r="H19" i="4"/>
  <c r="N19" i="2"/>
  <c r="H20" i="4"/>
  <c r="N20" i="2"/>
  <c r="N22" i="2"/>
  <c r="N23" i="2"/>
  <c r="H24" i="4"/>
  <c r="N24" i="2"/>
  <c r="I25" i="3"/>
  <c r="N25" i="2"/>
  <c r="N26" i="2"/>
  <c r="H27" i="4"/>
  <c r="N27" i="2"/>
  <c r="N2" i="2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V9" i="2"/>
  <c r="V10" i="2"/>
  <c r="V11" i="2"/>
  <c r="V12" i="2"/>
  <c r="V13" i="2"/>
  <c r="V15" i="2"/>
  <c r="V16" i="2"/>
  <c r="V17" i="2"/>
  <c r="V18" i="2"/>
  <c r="V19" i="2"/>
  <c r="V20" i="2"/>
  <c r="V22" i="2"/>
  <c r="V23" i="2"/>
  <c r="V24" i="2"/>
  <c r="V26" i="2"/>
  <c r="J27" i="4"/>
  <c r="V27" i="2"/>
  <c r="V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C31" i="3"/>
  <c r="G30" i="3"/>
  <c r="C30" i="3"/>
  <c r="D30" i="3"/>
  <c r="K29" i="3"/>
  <c r="C29" i="3"/>
  <c r="L29" i="3"/>
  <c r="F29" i="3"/>
  <c r="D29" i="3"/>
  <c r="V33" i="8"/>
  <c r="D33" i="8"/>
  <c r="C25" i="3"/>
  <c r="C24" i="3"/>
  <c r="R16" i="8"/>
  <c r="X25" i="8"/>
  <c r="L3" i="3"/>
  <c r="J22" i="8"/>
  <c r="C7" i="3"/>
  <c r="L25" i="3"/>
  <c r="D22" i="3"/>
  <c r="L21" i="3"/>
  <c r="C23" i="3"/>
  <c r="N21" i="8"/>
  <c r="F9" i="3"/>
  <c r="C22" i="3"/>
  <c r="N31" i="8"/>
  <c r="H28" i="4"/>
  <c r="V29" i="8"/>
  <c r="H23" i="3"/>
  <c r="X14" i="8"/>
  <c r="D23" i="3"/>
  <c r="J14" i="8"/>
  <c r="C11" i="3"/>
  <c r="J29" i="8"/>
  <c r="H26" i="4"/>
  <c r="K25" i="3"/>
  <c r="I22" i="3"/>
  <c r="H22" i="4"/>
  <c r="C17" i="4"/>
  <c r="J20" i="8"/>
  <c r="L26" i="8"/>
  <c r="R26" i="8"/>
  <c r="D24" i="4"/>
  <c r="E24" i="3"/>
  <c r="D4" i="4"/>
  <c r="K20" i="4"/>
  <c r="C21" i="3"/>
  <c r="D21" i="3"/>
  <c r="C13" i="3"/>
  <c r="H13" i="3"/>
  <c r="E5" i="3"/>
  <c r="C5" i="3"/>
  <c r="R8" i="8"/>
  <c r="T8" i="8"/>
  <c r="N20" i="8"/>
  <c r="C19" i="4"/>
  <c r="H4" i="8"/>
  <c r="P33" i="8"/>
  <c r="T33" i="8"/>
  <c r="F26" i="8"/>
  <c r="I21" i="3"/>
  <c r="H21" i="4"/>
  <c r="C14" i="3"/>
  <c r="C6" i="3"/>
  <c r="C3" i="3"/>
  <c r="F6" i="8"/>
  <c r="X4" i="8"/>
  <c r="F5" i="8"/>
  <c r="X15" i="8"/>
  <c r="X5" i="8"/>
  <c r="V12" i="8"/>
  <c r="L5" i="3"/>
  <c r="H9" i="4"/>
  <c r="J3" i="4"/>
  <c r="G11" i="4"/>
  <c r="D14" i="3"/>
  <c r="I13" i="3"/>
  <c r="J18" i="4"/>
  <c r="J6" i="4"/>
  <c r="K17" i="4"/>
  <c r="H16" i="3"/>
  <c r="H12" i="3"/>
  <c r="J9" i="4"/>
  <c r="F11" i="3"/>
  <c r="D10" i="3"/>
  <c r="I11" i="3"/>
  <c r="K14" i="3"/>
  <c r="L11" i="3"/>
  <c r="F12" i="3"/>
  <c r="J5" i="8"/>
  <c r="J11" i="8"/>
  <c r="F8" i="8"/>
  <c r="D14" i="8"/>
  <c r="N17" i="8"/>
  <c r="N10" i="8"/>
  <c r="R10" i="8"/>
  <c r="T11" i="8"/>
  <c r="H8" i="8"/>
  <c r="L16" i="8"/>
  <c r="F18" i="8"/>
  <c r="F12" i="8"/>
  <c r="V11" i="8"/>
  <c r="D22" i="8"/>
  <c r="D4" i="8"/>
  <c r="P18" i="8"/>
  <c r="D11" i="8"/>
  <c r="D18" i="8"/>
  <c r="F9" i="4"/>
  <c r="J8" i="4"/>
  <c r="D7" i="3"/>
  <c r="H11" i="3"/>
  <c r="J14" i="4"/>
  <c r="E5" i="4"/>
  <c r="I3" i="3"/>
  <c r="E14" i="3"/>
  <c r="L13" i="3"/>
  <c r="D17" i="8"/>
  <c r="D12" i="3"/>
  <c r="E28" i="3"/>
  <c r="C28" i="3"/>
  <c r="I28" i="3"/>
  <c r="G9" i="3"/>
  <c r="C24" i="4"/>
  <c r="D3" i="3"/>
  <c r="G16" i="4"/>
  <c r="G4" i="4"/>
  <c r="L28" i="3"/>
  <c r="F13" i="3"/>
  <c r="H21" i="3"/>
  <c r="H22" i="2"/>
  <c r="H27" i="3"/>
  <c r="F21" i="3"/>
  <c r="G12" i="4"/>
  <c r="H28" i="2"/>
  <c r="H5" i="2"/>
  <c r="K10" i="4"/>
  <c r="G28" i="4"/>
  <c r="F3" i="3"/>
  <c r="E23" i="3"/>
  <c r="K28" i="3"/>
  <c r="H15" i="4"/>
  <c r="L24" i="3"/>
  <c r="C3" i="4"/>
  <c r="I29" i="3"/>
  <c r="J29" i="3"/>
  <c r="H17" i="2"/>
  <c r="I5" i="3"/>
  <c r="G28" i="3"/>
  <c r="H20" i="2"/>
  <c r="F17" i="4"/>
  <c r="F14" i="4"/>
  <c r="G5" i="3"/>
  <c r="G23" i="4"/>
  <c r="H32" i="4"/>
  <c r="I32" i="4"/>
  <c r="L8" i="3"/>
  <c r="H4" i="4"/>
  <c r="E18" i="4"/>
  <c r="J25" i="4"/>
  <c r="H8" i="4"/>
  <c r="J20" i="4"/>
  <c r="D28" i="4"/>
  <c r="D11" i="3"/>
  <c r="H22" i="3"/>
  <c r="I21" i="4"/>
  <c r="L22" i="3"/>
  <c r="H11" i="4"/>
  <c r="H12" i="4"/>
  <c r="J22" i="4"/>
  <c r="H14" i="4"/>
  <c r="I6" i="3"/>
  <c r="F6" i="3"/>
  <c r="H2" i="2"/>
  <c r="G17" i="3"/>
  <c r="G7" i="4"/>
  <c r="H29" i="3"/>
  <c r="H23" i="2"/>
  <c r="G3" i="4"/>
  <c r="J32" i="3"/>
  <c r="K22" i="3"/>
  <c r="E32" i="3"/>
  <c r="I14" i="3"/>
  <c r="J12" i="3"/>
  <c r="I5" i="4"/>
  <c r="I23" i="3"/>
  <c r="J10" i="4"/>
  <c r="H6" i="4"/>
  <c r="F7" i="4"/>
  <c r="I12" i="4"/>
  <c r="J29" i="4"/>
  <c r="H24" i="2"/>
  <c r="M25" i="3"/>
  <c r="F22" i="4"/>
  <c r="H21" i="2"/>
  <c r="M22" i="3"/>
  <c r="J4" i="3"/>
  <c r="E23" i="4"/>
  <c r="E10" i="3"/>
  <c r="E29" i="3"/>
  <c r="H19" i="2"/>
  <c r="H10" i="2"/>
  <c r="H18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/>
  <c r="H30" i="2"/>
  <c r="H16" i="2"/>
  <c r="H7" i="4"/>
  <c r="G25" i="3"/>
  <c r="G27" i="4"/>
  <c r="E3" i="3"/>
  <c r="E11" i="3"/>
  <c r="D6" i="3"/>
  <c r="H25" i="4"/>
  <c r="K23" i="3"/>
  <c r="H26" i="2"/>
  <c r="H15" i="2"/>
  <c r="F13" i="4"/>
  <c r="H12" i="2"/>
  <c r="M13" i="3"/>
  <c r="G4" i="3"/>
  <c r="H3" i="2"/>
  <c r="J21" i="3"/>
  <c r="G29" i="4"/>
  <c r="G13" i="4"/>
  <c r="H5" i="3"/>
  <c r="H6" i="2"/>
  <c r="H29" i="2"/>
  <c r="M30" i="3"/>
  <c r="I28" i="4"/>
  <c r="H27" i="2"/>
  <c r="M28" i="3"/>
  <c r="D5" i="3"/>
  <c r="G21" i="3"/>
  <c r="G22" i="3"/>
  <c r="E15" i="4"/>
  <c r="J12" i="4"/>
  <c r="F26" i="4"/>
  <c r="F12" i="4"/>
  <c r="J10" i="3"/>
  <c r="H8" i="2"/>
  <c r="H7" i="2"/>
  <c r="K6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F22" i="3"/>
  <c r="F10" i="3"/>
  <c r="G5" i="4"/>
  <c r="K3" i="3"/>
  <c r="F28" i="3"/>
  <c r="F19" i="3"/>
  <c r="J16" i="4"/>
  <c r="E12" i="3"/>
  <c r="I8" i="3"/>
  <c r="I12" i="3"/>
  <c r="F31" i="3"/>
  <c r="J13" i="4"/>
  <c r="I25" i="4"/>
  <c r="F29" i="4"/>
  <c r="G6" i="3"/>
  <c r="J23" i="4"/>
  <c r="I4" i="4"/>
  <c r="J26" i="4"/>
  <c r="G17" i="4"/>
  <c r="J28" i="4"/>
  <c r="F10" i="4"/>
  <c r="E6" i="3"/>
  <c r="H23" i="4"/>
  <c r="K12" i="3"/>
  <c r="I7" i="3"/>
  <c r="E7" i="3"/>
  <c r="L31" i="3"/>
  <c r="G6" i="4"/>
  <c r="G20" i="4"/>
  <c r="I18" i="4"/>
  <c r="G32" i="3"/>
  <c r="H29" i="4"/>
  <c r="J5" i="3"/>
  <c r="J4" i="4"/>
  <c r="L19" i="3"/>
  <c r="F11" i="4"/>
  <c r="G15" i="4"/>
  <c r="H10" i="3"/>
  <c r="F18" i="4"/>
  <c r="H10" i="4"/>
  <c r="M31" i="3"/>
  <c r="F23" i="4"/>
  <c r="G12" i="3"/>
  <c r="G18" i="4"/>
  <c r="H14" i="3"/>
  <c r="G25" i="4"/>
  <c r="F25" i="3"/>
  <c r="E22" i="3"/>
  <c r="I20" i="4"/>
  <c r="H17" i="4"/>
  <c r="H3" i="3"/>
  <c r="H24" i="3"/>
  <c r="H6" i="3"/>
  <c r="I26" i="4"/>
  <c r="J13" i="3"/>
  <c r="F19" i="4"/>
  <c r="J22" i="3"/>
  <c r="H3" i="4"/>
  <c r="D13" i="3"/>
  <c r="I10" i="4"/>
  <c r="D25" i="3"/>
  <c r="E25" i="3"/>
  <c r="J17" i="4"/>
  <c r="J5" i="4"/>
  <c r="K21" i="3"/>
  <c r="K11" i="3"/>
  <c r="J23" i="3"/>
  <c r="F32" i="3"/>
  <c r="I3" i="4"/>
  <c r="K13" i="3"/>
  <c r="J24" i="4"/>
  <c r="K10" i="3"/>
  <c r="F6" i="4"/>
  <c r="G10" i="4"/>
  <c r="L4" i="3"/>
  <c r="H19" i="3"/>
  <c r="G29" i="3"/>
  <c r="J7" i="3"/>
  <c r="I29" i="4"/>
  <c r="M32" i="3"/>
  <c r="J32" i="2"/>
  <c r="G23" i="3"/>
  <c r="I10" i="3"/>
  <c r="E17" i="3"/>
  <c r="G7" i="3"/>
  <c r="G24" i="3"/>
  <c r="F16" i="4"/>
  <c r="G13" i="3"/>
  <c r="K32" i="2"/>
  <c r="I24" i="4"/>
  <c r="J14" i="3"/>
  <c r="F32" i="4"/>
  <c r="F15" i="4"/>
  <c r="L7" i="3"/>
  <c r="I15" i="4"/>
  <c r="J8" i="3"/>
  <c r="J25" i="3"/>
  <c r="J17" i="3"/>
  <c r="R32" i="2"/>
  <c r="I27" i="4"/>
  <c r="I19" i="4"/>
  <c r="Q32" i="2"/>
  <c r="M3" i="3"/>
  <c r="M33" i="3" s="1"/>
  <c r="I9" i="4"/>
  <c r="M12" i="3"/>
  <c r="J6" i="3"/>
  <c r="K5" i="3"/>
  <c r="M17" i="3"/>
  <c r="F27" i="4"/>
  <c r="I13" i="4"/>
  <c r="C12" i="4"/>
  <c r="F4" i="4"/>
  <c r="I4" i="3"/>
  <c r="M14" i="3"/>
  <c r="I14" i="4"/>
  <c r="G14" i="4"/>
  <c r="E13" i="3"/>
  <c r="M19" i="3"/>
  <c r="P32" i="2"/>
  <c r="J7" i="4"/>
  <c r="E21" i="3"/>
  <c r="X32" i="2"/>
  <c r="I7" i="4"/>
  <c r="J11" i="4"/>
  <c r="I8" i="4"/>
  <c r="F3" i="4"/>
  <c r="H7" i="3"/>
  <c r="F7" i="3"/>
  <c r="D13" i="4"/>
  <c r="D31" i="4"/>
  <c r="M6" i="3"/>
  <c r="J21" i="4"/>
  <c r="I6" i="4"/>
  <c r="J24" i="3"/>
  <c r="K7" i="3"/>
  <c r="I22" i="4"/>
  <c r="M4" i="3"/>
  <c r="L18" i="3"/>
  <c r="F20" i="4"/>
  <c r="M5" i="3"/>
  <c r="G9" i="4"/>
  <c r="L9" i="4"/>
  <c r="I23" i="4"/>
  <c r="G26" i="4"/>
  <c r="H30" i="3"/>
  <c r="G31" i="3"/>
  <c r="M29" i="3"/>
  <c r="J11" i="3"/>
  <c r="J19" i="3"/>
  <c r="S32" i="2"/>
  <c r="V32" i="2"/>
  <c r="H18" i="4"/>
  <c r="M21" i="3"/>
  <c r="M23" i="3"/>
  <c r="I24" i="3"/>
  <c r="M16" i="3"/>
  <c r="F24" i="4"/>
  <c r="I15" i="3"/>
  <c r="C33" i="3"/>
  <c r="I11" i="4"/>
  <c r="K17" i="3"/>
  <c r="G19" i="3"/>
  <c r="M11" i="3"/>
  <c r="L30" i="3"/>
  <c r="G24" i="4"/>
  <c r="I17" i="4"/>
  <c r="I32" i="2"/>
  <c r="M7" i="3"/>
  <c r="M24" i="3"/>
  <c r="G11" i="3"/>
  <c r="L12" i="3"/>
  <c r="L6" i="3"/>
  <c r="I16" i="4"/>
  <c r="E32" i="2"/>
  <c r="F30" i="3"/>
  <c r="L15" i="4"/>
  <c r="L28" i="4"/>
  <c r="L4" i="4"/>
  <c r="L25" i="4"/>
  <c r="L16" i="4"/>
  <c r="L5" i="4"/>
  <c r="L29" i="4"/>
  <c r="L27" i="4"/>
  <c r="L7" i="4"/>
  <c r="L26" i="4"/>
  <c r="H12" i="8" l="1"/>
  <c r="F20" i="8"/>
  <c r="F29" i="8"/>
  <c r="N13" i="8"/>
  <c r="P26" i="8"/>
  <c r="H6" i="8"/>
  <c r="T25" i="8"/>
  <c r="D15" i="8"/>
  <c r="J8" i="8"/>
  <c r="L18" i="8"/>
  <c r="V27" i="8"/>
  <c r="R9" i="8"/>
  <c r="J24" i="8"/>
  <c r="J7" i="8"/>
  <c r="N27" i="8"/>
  <c r="X13" i="8"/>
  <c r="V26" i="8"/>
  <c r="V10" i="8"/>
  <c r="Y11" i="8"/>
  <c r="H29" i="8"/>
  <c r="T19" i="8"/>
  <c r="T32" i="8"/>
  <c r="T10" i="8"/>
  <c r="J21" i="8"/>
  <c r="V6" i="8"/>
  <c r="L15" i="8"/>
  <c r="N26" i="8"/>
  <c r="X28" i="8"/>
  <c r="V8" i="8"/>
  <c r="X21" i="8"/>
  <c r="T31" i="8"/>
  <c r="D20" i="8"/>
  <c r="T15" i="8"/>
  <c r="L13" i="8"/>
  <c r="X27" i="8"/>
  <c r="R5" i="8"/>
  <c r="R19" i="8"/>
  <c r="L12" i="8"/>
  <c r="N6" i="8"/>
  <c r="V7" i="8"/>
  <c r="L27" i="8"/>
  <c r="T13" i="8"/>
  <c r="H11" i="8"/>
  <c r="T12" i="8"/>
  <c r="J6" i="8"/>
  <c r="T5" i="8"/>
  <c r="P29" i="8"/>
  <c r="P13" i="8"/>
  <c r="N30" i="8"/>
  <c r="J13" i="8"/>
  <c r="Y6" i="8"/>
  <c r="N15" i="8"/>
  <c r="V4" i="8"/>
  <c r="H25" i="8"/>
  <c r="N19" i="8"/>
  <c r="J9" i="8"/>
  <c r="X7" i="8"/>
  <c r="P21" i="8"/>
  <c r="T6" i="8"/>
  <c r="X19" i="8"/>
  <c r="X6" i="8"/>
  <c r="R7" i="8"/>
  <c r="L33" i="8"/>
  <c r="H7" i="8"/>
  <c r="F13" i="8"/>
  <c r="N28" i="8"/>
  <c r="P11" i="8"/>
  <c r="H30" i="8"/>
  <c r="R6" i="8"/>
  <c r="L32" i="8"/>
  <c r="D12" i="8"/>
  <c r="Z11" i="8"/>
  <c r="Y13" i="8"/>
  <c r="Z13" i="8" s="1"/>
  <c r="L30" i="8"/>
  <c r="N11" i="8"/>
  <c r="P9" i="8"/>
  <c r="V16" i="8"/>
  <c r="T4" i="8"/>
  <c r="V21" i="8"/>
  <c r="T9" i="8"/>
  <c r="D26" i="8"/>
  <c r="F9" i="8"/>
  <c r="R21" i="8"/>
  <c r="T30" i="8"/>
  <c r="Y4" i="8"/>
  <c r="Z4" i="8" s="1"/>
  <c r="J17" i="8"/>
  <c r="L29" i="8"/>
  <c r="V15" i="8"/>
  <c r="H28" i="8"/>
  <c r="T21" i="8"/>
  <c r="T20" i="8"/>
  <c r="D25" i="8"/>
  <c r="Y8" i="8"/>
  <c r="Z8" i="8" s="1"/>
  <c r="S35" i="8"/>
  <c r="D7" i="8"/>
  <c r="J30" i="8"/>
  <c r="N9" i="8"/>
  <c r="V30" i="8"/>
  <c r="P12" i="8"/>
  <c r="F7" i="8"/>
  <c r="Y15" i="8"/>
  <c r="Z15" i="8" s="1"/>
  <c r="L11" i="8"/>
  <c r="P23" i="8"/>
  <c r="J27" i="8"/>
  <c r="H21" i="8"/>
  <c r="N33" i="8"/>
  <c r="T18" i="8"/>
  <c r="Y14" i="8"/>
  <c r="Z14" i="8" s="1"/>
  <c r="N29" i="8"/>
  <c r="F30" i="8"/>
  <c r="Y28" i="8"/>
  <c r="M35" i="8"/>
  <c r="H27" i="8"/>
  <c r="V13" i="8"/>
  <c r="T26" i="8"/>
  <c r="R15" i="8"/>
  <c r="H19" i="8"/>
  <c r="D30" i="8"/>
  <c r="N7" i="8"/>
  <c r="H26" i="8"/>
  <c r="P30" i="8"/>
  <c r="X12" i="8"/>
  <c r="F25" i="8"/>
  <c r="P7" i="8"/>
  <c r="R30" i="8"/>
  <c r="V17" i="8"/>
  <c r="L7" i="8"/>
  <c r="X26" i="8"/>
  <c r="T23" i="8"/>
  <c r="R29" i="8"/>
  <c r="Y19" i="8"/>
  <c r="Z19" i="8" s="1"/>
  <c r="H10" i="8"/>
  <c r="P17" i="8"/>
  <c r="H17" i="8"/>
  <c r="V9" i="8"/>
  <c r="R28" i="8"/>
  <c r="L21" i="8"/>
  <c r="F33" i="8"/>
  <c r="X33" i="8"/>
  <c r="O35" i="8"/>
  <c r="Y25" i="8"/>
  <c r="Z25" i="8" s="1"/>
  <c r="Y22" i="8"/>
  <c r="Z22" i="8" s="1"/>
  <c r="V24" i="8"/>
  <c r="X16" i="8"/>
  <c r="Y17" i="8"/>
  <c r="Z17" i="8" s="1"/>
  <c r="I35" i="8"/>
  <c r="P15" i="8"/>
  <c r="V23" i="8"/>
  <c r="J33" i="8"/>
  <c r="X24" i="8"/>
  <c r="C35" i="8"/>
  <c r="D35" i="8" s="1"/>
  <c r="L24" i="8"/>
  <c r="Y23" i="8"/>
  <c r="Z23" i="8" s="1"/>
  <c r="X23" i="8"/>
  <c r="Y9" i="8"/>
  <c r="Z9" i="8" s="1"/>
  <c r="Y26" i="8"/>
  <c r="Z26" i="8" s="1"/>
  <c r="W35" i="8"/>
  <c r="Y12" i="8"/>
  <c r="Z12" i="8" s="1"/>
  <c r="Y5" i="8"/>
  <c r="Z5" i="8" s="1"/>
  <c r="V19" i="8"/>
  <c r="X9" i="8"/>
  <c r="L17" i="8"/>
  <c r="N8" i="8"/>
  <c r="V25" i="8"/>
  <c r="Y21" i="8"/>
  <c r="Z21" i="8" s="1"/>
  <c r="Z28" i="8"/>
  <c r="D13" i="8"/>
  <c r="P5" i="8"/>
  <c r="T16" i="8"/>
  <c r="N5" i="8"/>
  <c r="F19" i="8"/>
  <c r="D27" i="8"/>
  <c r="P20" i="8"/>
  <c r="D6" i="8"/>
  <c r="F11" i="8"/>
  <c r="Y18" i="8"/>
  <c r="Z18" i="8" s="1"/>
  <c r="J23" i="8"/>
  <c r="L6" i="8"/>
  <c r="L9" i="8"/>
  <c r="X17" i="8"/>
  <c r="F27" i="8"/>
  <c r="V20" i="8"/>
  <c r="N16" i="8"/>
  <c r="R25" i="8"/>
  <c r="Y10" i="8"/>
  <c r="Z10" i="8" s="1"/>
  <c r="R27" i="8"/>
  <c r="R23" i="8"/>
  <c r="Y7" i="8"/>
  <c r="Z7" i="8" s="1"/>
  <c r="D23" i="8"/>
  <c r="Y29" i="8"/>
  <c r="Z29" i="8" s="1"/>
  <c r="Y24" i="8"/>
  <c r="Z24" i="8" s="1"/>
  <c r="L20" i="8"/>
  <c r="Y16" i="8"/>
  <c r="Z16" i="8" s="1"/>
  <c r="D5" i="8"/>
  <c r="V18" i="8"/>
  <c r="D21" i="8"/>
  <c r="L23" i="8"/>
  <c r="F17" i="8"/>
  <c r="T27" i="8"/>
  <c r="D9" i="8"/>
  <c r="F28" i="8"/>
  <c r="H15" i="8"/>
  <c r="T17" i="8"/>
  <c r="J15" i="8"/>
  <c r="P24" i="8"/>
  <c r="D19" i="8"/>
  <c r="P27" i="8"/>
  <c r="Q35" i="8"/>
  <c r="D16" i="8"/>
  <c r="R17" i="8"/>
  <c r="L22" i="8"/>
  <c r="R24" i="8"/>
  <c r="D20" i="3"/>
  <c r="I27" i="3"/>
  <c r="F8" i="3"/>
  <c r="D27" i="3"/>
  <c r="I9" i="3"/>
  <c r="K9" i="3"/>
  <c r="G27" i="3"/>
  <c r="H20" i="3"/>
  <c r="H8" i="3"/>
  <c r="J20" i="3"/>
  <c r="G20" i="3"/>
  <c r="J27" i="3"/>
  <c r="I20" i="3"/>
  <c r="M9" i="3"/>
  <c r="L9" i="3"/>
  <c r="G8" i="3"/>
  <c r="E9" i="3"/>
  <c r="H17" i="3"/>
  <c r="E8" i="3"/>
  <c r="D9" i="3"/>
  <c r="K27" i="3"/>
  <c r="F17" i="3"/>
  <c r="K8" i="3"/>
  <c r="I17" i="3"/>
  <c r="M27" i="3"/>
  <c r="E20" i="3"/>
  <c r="D8" i="3"/>
  <c r="J9" i="3"/>
  <c r="F20" i="3"/>
  <c r="L27" i="3"/>
  <c r="K20" i="3"/>
  <c r="M20" i="3"/>
  <c r="C20" i="3"/>
  <c r="C17" i="3"/>
  <c r="H9" i="3"/>
  <c r="E18" i="3"/>
  <c r="M18" i="3"/>
  <c r="J16" i="3"/>
  <c r="Z27" i="8"/>
  <c r="G16" i="3"/>
  <c r="D16" i="3"/>
  <c r="K16" i="3"/>
  <c r="J18" i="3"/>
  <c r="I16" i="3"/>
  <c r="E16" i="3"/>
  <c r="K18" i="3"/>
  <c r="L16" i="3"/>
  <c r="Z6" i="8"/>
  <c r="C16" i="3"/>
  <c r="H18" i="3"/>
  <c r="I18" i="3"/>
  <c r="G18" i="3"/>
  <c r="G15" i="3"/>
  <c r="E15" i="3"/>
  <c r="L17" i="3"/>
  <c r="F15" i="3"/>
  <c r="K15" i="3"/>
  <c r="D18" i="3"/>
  <c r="C15" i="3"/>
  <c r="D29" i="8"/>
  <c r="F27" i="3"/>
  <c r="C18" i="3"/>
  <c r="C27" i="3"/>
  <c r="E31" i="3"/>
  <c r="L15" i="3"/>
  <c r="H15" i="3"/>
  <c r="M15" i="3"/>
  <c r="J15" i="3"/>
  <c r="E26" i="3"/>
  <c r="I19" i="3"/>
  <c r="J26" i="3"/>
  <c r="F4" i="3"/>
  <c r="H4" i="3"/>
  <c r="D28" i="8"/>
  <c r="F26" i="3"/>
  <c r="K4" i="3"/>
  <c r="D26" i="3"/>
  <c r="D4" i="3"/>
  <c r="D19" i="3"/>
  <c r="M26" i="3"/>
  <c r="C4" i="3"/>
  <c r="K26" i="3"/>
  <c r="L26" i="3"/>
  <c r="K19" i="3"/>
  <c r="G26" i="3"/>
  <c r="C26" i="3"/>
  <c r="E19" i="3"/>
  <c r="H26" i="3"/>
  <c r="D8" i="8"/>
  <c r="B33" i="4"/>
  <c r="G35" i="8"/>
  <c r="H33" i="8"/>
  <c r="H32" i="3"/>
  <c r="G32" i="4"/>
  <c r="L32" i="4" s="1"/>
  <c r="W32" i="2"/>
  <c r="K32" i="3"/>
  <c r="I32" i="3"/>
  <c r="K35" i="8"/>
  <c r="L35" i="8" s="1"/>
  <c r="E35" i="8"/>
  <c r="U35" i="8"/>
  <c r="R33" i="8"/>
  <c r="Y33" i="8"/>
  <c r="Z33" i="8" s="1"/>
  <c r="D32" i="3"/>
  <c r="C33" i="4"/>
  <c r="C35" i="4" s="1"/>
  <c r="D31" i="3"/>
  <c r="G33" i="4"/>
  <c r="G35" i="4" s="1"/>
  <c r="T32" i="2"/>
  <c r="L32" i="3"/>
  <c r="K33" i="4"/>
  <c r="K35" i="4" s="1"/>
  <c r="U32" i="2"/>
  <c r="I31" i="4"/>
  <c r="H31" i="2"/>
  <c r="N32" i="2"/>
  <c r="D33" i="4"/>
  <c r="D35" i="4" s="1"/>
  <c r="K31" i="3"/>
  <c r="E33" i="4"/>
  <c r="E35" i="4" s="1"/>
  <c r="I31" i="3"/>
  <c r="H31" i="4"/>
  <c r="H32" i="8"/>
  <c r="Y31" i="8"/>
  <c r="Z31" i="8" s="1"/>
  <c r="X31" i="8"/>
  <c r="Y32" i="8"/>
  <c r="Z32" i="8" s="1"/>
  <c r="F31" i="8"/>
  <c r="V32" i="8"/>
  <c r="P32" i="8"/>
  <c r="J31" i="8"/>
  <c r="D31" i="8"/>
  <c r="V31" i="8"/>
  <c r="P31" i="8"/>
  <c r="L31" i="8"/>
  <c r="R31" i="8"/>
  <c r="H31" i="8"/>
  <c r="M32" i="2"/>
  <c r="H31" i="3"/>
  <c r="I30" i="4"/>
  <c r="J30" i="3"/>
  <c r="J31" i="3"/>
  <c r="F31" i="4"/>
  <c r="F33" i="4" s="1"/>
  <c r="F35" i="4" s="1"/>
  <c r="H30" i="4"/>
  <c r="F32" i="2"/>
  <c r="E30" i="3"/>
  <c r="K30" i="3"/>
  <c r="J31" i="4"/>
  <c r="J33" i="4" s="1"/>
  <c r="J35" i="4" s="1"/>
  <c r="G32" i="2"/>
  <c r="H33" i="4"/>
  <c r="I30" i="3"/>
  <c r="N35" i="8" l="1"/>
  <c r="J35" i="8"/>
  <c r="R35" i="8"/>
  <c r="T35" i="8"/>
  <c r="H35" i="8"/>
  <c r="P35" i="8"/>
  <c r="V35" i="8"/>
  <c r="X35" i="8"/>
  <c r="F35" i="8"/>
  <c r="F33" i="3"/>
  <c r="L33" i="3"/>
  <c r="G33" i="3"/>
  <c r="H33" i="3"/>
  <c r="E33" i="3"/>
  <c r="K33" i="3"/>
  <c r="D33" i="3"/>
  <c r="I33" i="4"/>
  <c r="I35" i="4" s="1"/>
  <c r="J33" i="3"/>
  <c r="L31" i="4"/>
  <c r="I33" i="3"/>
  <c r="Y35" i="8"/>
  <c r="Z35" i="8" s="1"/>
  <c r="L30" i="4"/>
  <c r="H35" i="4"/>
  <c r="L33" i="4" l="1"/>
  <c r="L35" i="4" s="1"/>
  <c r="M35" i="4" s="1"/>
  <c r="N33" i="3"/>
  <c r="M33" i="4" l="1"/>
</calcChain>
</file>

<file path=xl/sharedStrings.xml><?xml version="1.0" encoding="utf-8"?>
<sst xmlns="http://schemas.openxmlformats.org/spreadsheetml/2006/main" count="235" uniqueCount="130">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</sst>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68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15470.000000000025</c:v>
                </c:pt>
                <c:pt idx="1">
                  <c:v>76299.99999999984</c:v>
                </c:pt>
                <c:pt idx="2">
                  <c:v>8040.0000000000182</c:v>
                </c:pt>
                <c:pt idx="3">
                  <c:v>37069.999999999985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571</c:v>
                </c:pt>
                <c:pt idx="1">
                  <c:v>5.6228458887247659E-2</c:v>
                </c:pt>
                <c:pt idx="2" formatCode="_(* #,##0.00_);_(* \(#,##0.00\);_(* &quot;-&quot;??_);_(@_)">
                  <c:v>4262</c:v>
                </c:pt>
                <c:pt idx="3">
                  <c:v>0.41969473165928112</c:v>
                </c:pt>
                <c:pt idx="4" formatCode="0.00">
                  <c:v>259</c:v>
                </c:pt>
                <c:pt idx="5">
                  <c:v>2.5504677498769078E-2</c:v>
                </c:pt>
                <c:pt idx="6" formatCode="0.00">
                  <c:v>148</c:v>
                </c:pt>
                <c:pt idx="7">
                  <c:v>1.4574101427868046E-2</c:v>
                </c:pt>
                <c:pt idx="8" formatCode="0.00">
                  <c:v>137</c:v>
                </c:pt>
                <c:pt idx="9">
                  <c:v>1.3490891186607583E-2</c:v>
                </c:pt>
                <c:pt idx="10" formatCode="0.00">
                  <c:v>143</c:v>
                </c:pt>
                <c:pt idx="11">
                  <c:v>1.4081733136386016E-2</c:v>
                </c:pt>
                <c:pt idx="12" formatCode="0.00">
                  <c:v>23</c:v>
                </c:pt>
                <c:pt idx="13">
                  <c:v>2.2648941408173313E-3</c:v>
                </c:pt>
                <c:pt idx="14" formatCode="_(* #,##0.00_);_(* \(#,##0.00\);_(* &quot;-&quot;??_);_(@_)">
                  <c:v>2586</c:v>
                </c:pt>
                <c:pt idx="15">
                  <c:v>0.25465288035450517</c:v>
                </c:pt>
                <c:pt idx="16" formatCode="0.00">
                  <c:v>798</c:v>
                </c:pt>
                <c:pt idx="17">
                  <c:v>7.8581979320531764E-2</c:v>
                </c:pt>
                <c:pt idx="18" formatCode="0.00">
                  <c:v>189</c:v>
                </c:pt>
                <c:pt idx="19">
                  <c:v>1.8611521418020679E-2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10155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39</xdr:row>
      <xdr:rowOff>74084</xdr:rowOff>
    </xdr:from>
    <xdr:to>
      <xdr:col>17</xdr:col>
      <xdr:colOff>603250</xdr:colOff>
      <xdr:row>58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22" zoomScale="115" zoomScaleNormal="115" workbookViewId="0">
      <selection activeCell="N32" sqref="N32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29" customWidth="1"/>
    <col min="7" max="7" width="10.28515625" style="35" customWidth="1"/>
    <col min="8" max="8" width="10.42578125" style="129" customWidth="1"/>
    <col min="9" max="9" width="10.85546875" style="35" customWidth="1"/>
    <col min="10" max="10" width="9.85546875" style="129" customWidth="1"/>
    <col min="11" max="11" width="9.85546875" style="35" customWidth="1"/>
    <col min="12" max="12" width="9.5703125" style="136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27" t="s">
        <v>5</v>
      </c>
      <c r="G1" s="33" t="s">
        <v>118</v>
      </c>
      <c r="H1" s="130" t="s">
        <v>110</v>
      </c>
      <c r="I1" s="33" t="s">
        <v>111</v>
      </c>
      <c r="J1" s="132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12</v>
      </c>
      <c r="D2" s="93">
        <v>2022</v>
      </c>
      <c r="E2" s="45">
        <v>16850.000000001273</v>
      </c>
      <c r="F2" s="97"/>
      <c r="G2" s="85">
        <v>4682</v>
      </c>
      <c r="H2" s="131"/>
      <c r="I2" s="52">
        <v>251</v>
      </c>
      <c r="J2" s="133"/>
      <c r="K2" s="82"/>
      <c r="L2" s="134"/>
      <c r="M2" s="58">
        <v>30.2</v>
      </c>
      <c r="N2" s="58">
        <v>72</v>
      </c>
      <c r="O2" s="58">
        <v>176</v>
      </c>
    </row>
    <row r="3" spans="1:15" ht="15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45">
        <v>17159.999999998945</v>
      </c>
      <c r="F3" s="97"/>
      <c r="G3" s="85">
        <v>4716</v>
      </c>
      <c r="H3" s="131"/>
      <c r="I3" s="52">
        <v>221</v>
      </c>
      <c r="J3" s="133"/>
      <c r="K3" s="82"/>
      <c r="L3" s="134"/>
      <c r="M3" s="58">
        <v>32.299999999999997</v>
      </c>
      <c r="N3" s="58">
        <v>77</v>
      </c>
      <c r="O3" s="58">
        <v>237</v>
      </c>
    </row>
    <row r="4" spans="1:15" ht="15" x14ac:dyDescent="0.25">
      <c r="A4" s="36" t="s">
        <v>9</v>
      </c>
      <c r="B4" s="37">
        <f t="shared" ref="B4:B30" si="0">B3+1</f>
        <v>3</v>
      </c>
      <c r="C4" s="38">
        <v>12</v>
      </c>
      <c r="D4" s="93">
        <v>2022</v>
      </c>
      <c r="E4" s="45">
        <v>16599.999999999</v>
      </c>
      <c r="F4" s="97"/>
      <c r="G4" s="85">
        <v>4532</v>
      </c>
      <c r="H4" s="131"/>
      <c r="I4" s="52">
        <v>281</v>
      </c>
      <c r="J4" s="133"/>
      <c r="K4" s="82"/>
      <c r="L4" s="134"/>
      <c r="M4" s="58">
        <v>30.2</v>
      </c>
      <c r="N4" s="58">
        <v>77</v>
      </c>
      <c r="O4" s="58">
        <v>174</v>
      </c>
    </row>
    <row r="5" spans="1:15" ht="15" x14ac:dyDescent="0.25">
      <c r="A5" s="36" t="s">
        <v>9</v>
      </c>
      <c r="B5" s="37">
        <f t="shared" si="0"/>
        <v>4</v>
      </c>
      <c r="C5" s="38">
        <v>12</v>
      </c>
      <c r="D5" s="93">
        <v>2022</v>
      </c>
      <c r="E5" s="45">
        <v>16519.999999999982</v>
      </c>
      <c r="F5" s="97"/>
      <c r="G5" s="85">
        <v>4586</v>
      </c>
      <c r="H5" s="131"/>
      <c r="I5" s="52">
        <v>345</v>
      </c>
      <c r="J5" s="133"/>
      <c r="K5" s="82"/>
      <c r="L5" s="134"/>
      <c r="M5" s="58">
        <v>30.2</v>
      </c>
      <c r="N5" s="58">
        <v>69</v>
      </c>
      <c r="O5" s="58">
        <v>208</v>
      </c>
    </row>
    <row r="6" spans="1:15" ht="15" x14ac:dyDescent="0.25">
      <c r="A6" s="36" t="s">
        <v>9</v>
      </c>
      <c r="B6" s="37">
        <f t="shared" si="0"/>
        <v>5</v>
      </c>
      <c r="C6" s="38">
        <v>12</v>
      </c>
      <c r="D6" s="93">
        <v>2022</v>
      </c>
      <c r="E6" s="45">
        <v>18500.000000000407</v>
      </c>
      <c r="F6" s="97"/>
      <c r="G6" s="85">
        <v>4968</v>
      </c>
      <c r="H6" s="131"/>
      <c r="I6" s="52">
        <v>252</v>
      </c>
      <c r="J6" s="133"/>
      <c r="K6" s="82"/>
      <c r="L6" s="134"/>
      <c r="M6" s="58">
        <v>22.9</v>
      </c>
      <c r="N6" s="58">
        <v>57</v>
      </c>
      <c r="O6" s="58">
        <v>189</v>
      </c>
    </row>
    <row r="7" spans="1:15" ht="15" x14ac:dyDescent="0.25">
      <c r="A7" s="36" t="s">
        <v>9</v>
      </c>
      <c r="B7" s="37">
        <f t="shared" si="0"/>
        <v>6</v>
      </c>
      <c r="C7" s="38">
        <v>12</v>
      </c>
      <c r="D7" s="93">
        <v>2022</v>
      </c>
      <c r="E7" s="45">
        <v>17509.999999999993</v>
      </c>
      <c r="F7" s="97"/>
      <c r="G7" s="85">
        <v>5020</v>
      </c>
      <c r="H7" s="131"/>
      <c r="I7" s="52">
        <v>266</v>
      </c>
      <c r="J7" s="133"/>
      <c r="K7" s="82"/>
      <c r="L7" s="134"/>
      <c r="M7" s="58">
        <v>20.8</v>
      </c>
      <c r="N7" s="58">
        <v>54</v>
      </c>
      <c r="O7" s="58">
        <v>142</v>
      </c>
    </row>
    <row r="8" spans="1:15" ht="15" x14ac:dyDescent="0.25">
      <c r="A8" s="36" t="s">
        <v>9</v>
      </c>
      <c r="B8" s="37">
        <f t="shared" si="0"/>
        <v>7</v>
      </c>
      <c r="C8" s="38">
        <v>12</v>
      </c>
      <c r="D8" s="93">
        <v>2022</v>
      </c>
      <c r="E8" s="85">
        <v>16309.999999999491</v>
      </c>
      <c r="F8" s="97"/>
      <c r="G8" s="85">
        <v>4600</v>
      </c>
      <c r="H8" s="131"/>
      <c r="I8" s="52">
        <v>275</v>
      </c>
      <c r="J8" s="133"/>
      <c r="K8" s="82"/>
      <c r="L8" s="134"/>
      <c r="M8" s="58">
        <v>20.8</v>
      </c>
      <c r="N8" s="58">
        <v>51</v>
      </c>
      <c r="O8" s="58">
        <v>126</v>
      </c>
    </row>
    <row r="9" spans="1:15" ht="15" x14ac:dyDescent="0.25">
      <c r="A9" s="36" t="s">
        <v>9</v>
      </c>
      <c r="B9" s="37">
        <f t="shared" si="0"/>
        <v>8</v>
      </c>
      <c r="C9" s="38">
        <v>12</v>
      </c>
      <c r="D9" s="93">
        <v>2022</v>
      </c>
      <c r="E9" s="85">
        <v>17980.000000001608</v>
      </c>
      <c r="F9" s="97"/>
      <c r="G9" s="53">
        <v>4830</v>
      </c>
      <c r="H9" s="131"/>
      <c r="I9" s="52">
        <v>265</v>
      </c>
      <c r="J9" s="133"/>
      <c r="K9" s="82"/>
      <c r="L9" s="134"/>
      <c r="M9" s="58">
        <v>18.8</v>
      </c>
      <c r="N9" s="58">
        <v>51</v>
      </c>
      <c r="O9" s="58">
        <v>128</v>
      </c>
    </row>
    <row r="10" spans="1:15" ht="15" x14ac:dyDescent="0.25">
      <c r="A10" s="36" t="s">
        <v>9</v>
      </c>
      <c r="B10" s="37">
        <f t="shared" si="0"/>
        <v>9</v>
      </c>
      <c r="C10" s="38">
        <v>12</v>
      </c>
      <c r="D10" s="93">
        <v>2022</v>
      </c>
      <c r="E10" s="85">
        <v>17699.999999999363</v>
      </c>
      <c r="F10" s="97"/>
      <c r="G10" s="85">
        <v>4871</v>
      </c>
      <c r="H10" s="131"/>
      <c r="I10" s="52">
        <v>289</v>
      </c>
      <c r="J10" s="133"/>
      <c r="K10" s="82"/>
      <c r="L10" s="134"/>
      <c r="M10" s="58">
        <v>16.7</v>
      </c>
      <c r="N10" s="58">
        <v>42</v>
      </c>
      <c r="O10" s="58">
        <v>117</v>
      </c>
    </row>
    <row r="11" spans="1:15" ht="15" x14ac:dyDescent="0.25">
      <c r="A11" s="36" t="s">
        <v>9</v>
      </c>
      <c r="B11" s="37">
        <f t="shared" si="0"/>
        <v>10</v>
      </c>
      <c r="C11" s="38">
        <v>12</v>
      </c>
      <c r="D11" s="93">
        <v>2022</v>
      </c>
      <c r="E11" s="85">
        <v>19260.000000000218</v>
      </c>
      <c r="F11" s="97"/>
      <c r="G11" s="85">
        <v>5191</v>
      </c>
      <c r="H11" s="131"/>
      <c r="I11" s="52">
        <v>247</v>
      </c>
      <c r="J11" s="133"/>
      <c r="K11" s="82"/>
      <c r="L11" s="134"/>
      <c r="M11" s="58">
        <v>19.8</v>
      </c>
      <c r="N11" s="58">
        <v>60</v>
      </c>
      <c r="O11" s="58">
        <v>123</v>
      </c>
    </row>
    <row r="12" spans="1:15" ht="15" x14ac:dyDescent="0.25">
      <c r="A12" s="36" t="s">
        <v>9</v>
      </c>
      <c r="B12" s="37">
        <f t="shared" si="0"/>
        <v>11</v>
      </c>
      <c r="C12" s="38">
        <v>12</v>
      </c>
      <c r="D12" s="93">
        <v>2022</v>
      </c>
      <c r="E12" s="85">
        <v>18669.999999998254</v>
      </c>
      <c r="F12" s="97"/>
      <c r="G12" s="85">
        <v>5121</v>
      </c>
      <c r="H12" s="131"/>
      <c r="I12" s="52">
        <v>286</v>
      </c>
      <c r="J12" s="133"/>
      <c r="K12" s="82"/>
      <c r="L12" s="134"/>
      <c r="M12" s="58">
        <v>20.8</v>
      </c>
      <c r="N12" s="58">
        <v>65</v>
      </c>
      <c r="O12" s="58">
        <v>136</v>
      </c>
    </row>
    <row r="13" spans="1:15" ht="15" x14ac:dyDescent="0.25">
      <c r="A13" s="36" t="s">
        <v>9</v>
      </c>
      <c r="B13" s="37">
        <f t="shared" si="0"/>
        <v>12</v>
      </c>
      <c r="C13" s="38">
        <v>12</v>
      </c>
      <c r="D13" s="93">
        <v>2022</v>
      </c>
      <c r="E13" s="85">
        <v>18949.999999999818</v>
      </c>
      <c r="F13" s="97"/>
      <c r="G13" s="85">
        <v>5217</v>
      </c>
      <c r="H13" s="131"/>
      <c r="I13" s="52">
        <v>280</v>
      </c>
      <c r="J13" s="133"/>
      <c r="K13" s="82"/>
      <c r="L13" s="134"/>
      <c r="M13" s="58">
        <v>26</v>
      </c>
      <c r="N13" s="58">
        <v>77</v>
      </c>
      <c r="O13" s="58">
        <v>173</v>
      </c>
    </row>
    <row r="14" spans="1:15" ht="15" x14ac:dyDescent="0.25">
      <c r="A14" s="36" t="s">
        <v>9</v>
      </c>
      <c r="B14" s="37">
        <f t="shared" si="0"/>
        <v>13</v>
      </c>
      <c r="C14" s="38">
        <v>12</v>
      </c>
      <c r="D14" s="93">
        <v>2022</v>
      </c>
      <c r="E14" s="85">
        <v>17860.000000002856</v>
      </c>
      <c r="F14" s="97"/>
      <c r="G14" s="85">
        <v>5073</v>
      </c>
      <c r="H14" s="131"/>
      <c r="I14" s="52">
        <v>284</v>
      </c>
      <c r="J14" s="133"/>
      <c r="K14" s="82"/>
      <c r="L14" s="134"/>
      <c r="M14" s="58">
        <v>27.1</v>
      </c>
      <c r="N14" s="58">
        <v>75</v>
      </c>
      <c r="O14" s="58">
        <v>191</v>
      </c>
    </row>
    <row r="15" spans="1:15" ht="15" x14ac:dyDescent="0.25">
      <c r="A15" s="36" t="s">
        <v>9</v>
      </c>
      <c r="B15" s="37">
        <f t="shared" si="0"/>
        <v>14</v>
      </c>
      <c r="C15" s="38">
        <v>12</v>
      </c>
      <c r="D15" s="93">
        <v>2022</v>
      </c>
      <c r="E15" s="85">
        <v>18519.999999999072</v>
      </c>
      <c r="F15" s="97"/>
      <c r="G15" s="85">
        <v>5126</v>
      </c>
      <c r="H15" s="131"/>
      <c r="I15" s="52">
        <v>255</v>
      </c>
      <c r="J15" s="133"/>
      <c r="K15" s="82"/>
      <c r="L15" s="134"/>
      <c r="M15" s="58">
        <v>26</v>
      </c>
      <c r="N15" s="58">
        <v>74</v>
      </c>
      <c r="O15" s="58">
        <v>196</v>
      </c>
    </row>
    <row r="16" spans="1:15" ht="15" x14ac:dyDescent="0.25">
      <c r="A16" s="36" t="s">
        <v>9</v>
      </c>
      <c r="B16" s="37">
        <f t="shared" si="0"/>
        <v>15</v>
      </c>
      <c r="C16" s="38">
        <v>12</v>
      </c>
      <c r="D16" s="93">
        <v>2022</v>
      </c>
      <c r="E16" s="85">
        <v>17569.999999999709</v>
      </c>
      <c r="F16" s="97"/>
      <c r="G16" s="85">
        <v>4809</v>
      </c>
      <c r="H16" s="131"/>
      <c r="I16" s="52">
        <v>272</v>
      </c>
      <c r="J16" s="133"/>
      <c r="K16" s="82"/>
      <c r="L16" s="134"/>
      <c r="M16" s="58">
        <v>31.3</v>
      </c>
      <c r="N16" s="58">
        <v>89</v>
      </c>
      <c r="O16" s="58">
        <v>210</v>
      </c>
    </row>
    <row r="17" spans="1:15" ht="15" x14ac:dyDescent="0.25">
      <c r="A17" s="36" t="s">
        <v>9</v>
      </c>
      <c r="B17" s="37">
        <f t="shared" si="0"/>
        <v>16</v>
      </c>
      <c r="C17" s="38">
        <v>12</v>
      </c>
      <c r="D17" s="93">
        <v>2022</v>
      </c>
      <c r="E17" s="85">
        <v>19269.999999999527</v>
      </c>
      <c r="F17" s="97"/>
      <c r="G17" s="85">
        <v>5208</v>
      </c>
      <c r="H17" s="131"/>
      <c r="I17" s="52">
        <v>306</v>
      </c>
      <c r="J17" s="133"/>
      <c r="K17" s="82"/>
      <c r="L17" s="134"/>
      <c r="M17" s="58">
        <v>36.5</v>
      </c>
      <c r="N17" s="58">
        <v>109</v>
      </c>
      <c r="O17" s="58">
        <v>233</v>
      </c>
    </row>
    <row r="18" spans="1:15" ht="15" x14ac:dyDescent="0.25">
      <c r="A18" s="36" t="s">
        <v>9</v>
      </c>
      <c r="B18" s="37">
        <f t="shared" si="0"/>
        <v>17</v>
      </c>
      <c r="C18" s="38">
        <v>12</v>
      </c>
      <c r="D18" s="93">
        <v>2022</v>
      </c>
      <c r="E18" s="85">
        <v>18439.9999999996</v>
      </c>
      <c r="F18" s="97"/>
      <c r="G18" s="85">
        <v>5131</v>
      </c>
      <c r="H18" s="131"/>
      <c r="I18" s="52">
        <v>336</v>
      </c>
      <c r="J18" s="133"/>
      <c r="K18" s="82"/>
      <c r="L18" s="134"/>
      <c r="M18" s="58">
        <v>34.4</v>
      </c>
      <c r="N18" s="58">
        <v>94</v>
      </c>
      <c r="O18" s="58">
        <v>232</v>
      </c>
    </row>
    <row r="19" spans="1:15" ht="15" x14ac:dyDescent="0.25">
      <c r="A19" s="36" t="s">
        <v>9</v>
      </c>
      <c r="B19" s="37">
        <f t="shared" si="0"/>
        <v>18</v>
      </c>
      <c r="C19" s="38">
        <v>12</v>
      </c>
      <c r="D19" s="93">
        <v>2022</v>
      </c>
      <c r="E19" s="85">
        <v>18700.000000001637</v>
      </c>
      <c r="F19" s="97"/>
      <c r="G19" s="85">
        <v>5191</v>
      </c>
      <c r="H19" s="131"/>
      <c r="I19" s="52">
        <v>307</v>
      </c>
      <c r="J19" s="133"/>
      <c r="K19" s="82"/>
      <c r="L19" s="134"/>
      <c r="M19" s="58">
        <v>31.3</v>
      </c>
      <c r="N19" s="58">
        <v>89</v>
      </c>
      <c r="O19" s="58">
        <v>235</v>
      </c>
    </row>
    <row r="20" spans="1:15" ht="15" x14ac:dyDescent="0.25">
      <c r="A20" s="36" t="s">
        <v>9</v>
      </c>
      <c r="B20" s="37">
        <f t="shared" si="0"/>
        <v>19</v>
      </c>
      <c r="C20" s="38">
        <v>12</v>
      </c>
      <c r="D20" s="93">
        <v>2022</v>
      </c>
      <c r="E20" s="85">
        <v>17719.999999999345</v>
      </c>
      <c r="F20" s="97"/>
      <c r="G20" s="85">
        <v>5489</v>
      </c>
      <c r="H20" s="131"/>
      <c r="I20" s="52">
        <v>294</v>
      </c>
      <c r="J20" s="133"/>
      <c r="K20" s="82"/>
      <c r="L20" s="134"/>
      <c r="M20" s="58">
        <v>25</v>
      </c>
      <c r="N20" s="58">
        <v>77</v>
      </c>
      <c r="O20" s="58">
        <v>188</v>
      </c>
    </row>
    <row r="21" spans="1:15" ht="15" x14ac:dyDescent="0.25">
      <c r="A21" s="36" t="s">
        <v>9</v>
      </c>
      <c r="B21" s="37">
        <f t="shared" si="0"/>
        <v>20</v>
      </c>
      <c r="C21" s="38">
        <v>12</v>
      </c>
      <c r="D21" s="93">
        <v>2022</v>
      </c>
      <c r="E21" s="85">
        <v>17259.999999998399</v>
      </c>
      <c r="F21" s="97"/>
      <c r="G21" s="85">
        <v>4364</v>
      </c>
      <c r="H21" s="131"/>
      <c r="I21" s="52">
        <v>269</v>
      </c>
      <c r="J21" s="133"/>
      <c r="K21" s="82"/>
      <c r="L21" s="134"/>
      <c r="M21" s="58">
        <v>25</v>
      </c>
      <c r="N21" s="58">
        <v>77</v>
      </c>
      <c r="O21" s="58">
        <v>189</v>
      </c>
    </row>
    <row r="22" spans="1:15" ht="15" x14ac:dyDescent="0.25">
      <c r="A22" s="36" t="s">
        <v>9</v>
      </c>
      <c r="B22" s="37">
        <f t="shared" si="0"/>
        <v>21</v>
      </c>
      <c r="C22" s="38">
        <v>12</v>
      </c>
      <c r="D22" s="93">
        <v>2022</v>
      </c>
      <c r="E22" s="85">
        <v>16960.000000001401</v>
      </c>
      <c r="F22" s="97"/>
      <c r="G22" s="85">
        <v>4697</v>
      </c>
      <c r="H22" s="131"/>
      <c r="I22" s="52">
        <v>259</v>
      </c>
      <c r="J22" s="133"/>
      <c r="K22" s="82"/>
      <c r="L22" s="134"/>
      <c r="M22" s="58">
        <v>32.299999999999997</v>
      </c>
      <c r="N22" s="58">
        <v>92</v>
      </c>
      <c r="O22" s="58">
        <v>244</v>
      </c>
    </row>
    <row r="23" spans="1:15" ht="15" x14ac:dyDescent="0.25">
      <c r="A23" s="36" t="s">
        <v>9</v>
      </c>
      <c r="B23" s="37">
        <f t="shared" si="0"/>
        <v>22</v>
      </c>
      <c r="C23" s="38">
        <v>12</v>
      </c>
      <c r="D23" s="93">
        <v>2022</v>
      </c>
      <c r="E23" s="85">
        <v>18500.000000000909</v>
      </c>
      <c r="F23" s="97"/>
      <c r="G23" s="85">
        <v>5065</v>
      </c>
      <c r="H23" s="131"/>
      <c r="I23" s="52">
        <v>300</v>
      </c>
      <c r="J23" s="133"/>
      <c r="K23" s="82"/>
      <c r="L23" s="134"/>
      <c r="M23" s="58">
        <v>32.299999999999997</v>
      </c>
      <c r="N23" s="58">
        <v>85</v>
      </c>
      <c r="O23" s="58">
        <v>240</v>
      </c>
    </row>
    <row r="24" spans="1:15" ht="15" x14ac:dyDescent="0.25">
      <c r="A24" s="36" t="s">
        <v>9</v>
      </c>
      <c r="B24" s="37">
        <f t="shared" si="0"/>
        <v>23</v>
      </c>
      <c r="C24" s="38">
        <v>12</v>
      </c>
      <c r="D24" s="93">
        <v>2022</v>
      </c>
      <c r="E24" s="85">
        <v>18689.999999998236</v>
      </c>
      <c r="F24" s="97"/>
      <c r="G24" s="85">
        <v>5085</v>
      </c>
      <c r="H24" s="131"/>
      <c r="I24" s="52">
        <v>312</v>
      </c>
      <c r="J24" s="133"/>
      <c r="K24" s="82"/>
      <c r="L24" s="134"/>
      <c r="M24" s="58">
        <v>50</v>
      </c>
      <c r="N24" s="58">
        <v>140</v>
      </c>
      <c r="O24" s="58">
        <v>356</v>
      </c>
    </row>
    <row r="25" spans="1:15" ht="15" x14ac:dyDescent="0.25">
      <c r="A25" s="36" t="s">
        <v>9</v>
      </c>
      <c r="B25" s="37">
        <f t="shared" si="0"/>
        <v>24</v>
      </c>
      <c r="C25" s="38">
        <v>12</v>
      </c>
      <c r="D25" s="93">
        <v>2022</v>
      </c>
      <c r="E25" s="85">
        <v>19039.999999999054</v>
      </c>
      <c r="F25" s="97"/>
      <c r="G25" s="85">
        <v>5252</v>
      </c>
      <c r="H25" s="131"/>
      <c r="I25" s="52">
        <v>280</v>
      </c>
      <c r="J25" s="133"/>
      <c r="K25" s="82"/>
      <c r="L25" s="134"/>
      <c r="M25" s="58">
        <v>52.1</v>
      </c>
      <c r="N25" s="58">
        <v>142</v>
      </c>
      <c r="O25" s="58">
        <v>407</v>
      </c>
    </row>
    <row r="26" spans="1:15" ht="15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85">
        <v>20450.000000002547</v>
      </c>
      <c r="F26" s="97"/>
      <c r="G26" s="85">
        <v>5653</v>
      </c>
      <c r="H26" s="131"/>
      <c r="I26" s="52">
        <v>343</v>
      </c>
      <c r="J26" s="133"/>
      <c r="K26" s="82"/>
      <c r="L26" s="134"/>
      <c r="M26" s="58">
        <v>61.5</v>
      </c>
      <c r="N26" s="58">
        <v>165</v>
      </c>
      <c r="O26" s="58">
        <v>451</v>
      </c>
    </row>
    <row r="27" spans="1:15" ht="15" x14ac:dyDescent="0.25">
      <c r="A27" s="36" t="s">
        <v>9</v>
      </c>
      <c r="B27" s="37">
        <f t="shared" si="0"/>
        <v>26</v>
      </c>
      <c r="C27" s="38">
        <v>12</v>
      </c>
      <c r="D27" s="93">
        <v>2022</v>
      </c>
      <c r="E27" s="85">
        <v>20969.99999999889</v>
      </c>
      <c r="F27" s="97"/>
      <c r="G27" s="85">
        <v>5829</v>
      </c>
      <c r="H27" s="131"/>
      <c r="I27" s="52">
        <v>363</v>
      </c>
      <c r="J27" s="133"/>
      <c r="K27" s="82"/>
      <c r="L27" s="134"/>
      <c r="M27" s="58">
        <v>64.599999999999994</v>
      </c>
      <c r="N27" s="58">
        <v>177</v>
      </c>
      <c r="O27" s="58">
        <v>527</v>
      </c>
    </row>
    <row r="28" spans="1:15" ht="15" x14ac:dyDescent="0.25">
      <c r="A28" s="36" t="s">
        <v>9</v>
      </c>
      <c r="B28" s="37">
        <f t="shared" si="0"/>
        <v>27</v>
      </c>
      <c r="C28" s="38">
        <v>12</v>
      </c>
      <c r="D28" s="93">
        <v>2022</v>
      </c>
      <c r="E28" s="85">
        <v>21030.000000001</v>
      </c>
      <c r="F28" s="97"/>
      <c r="G28" s="85">
        <v>8101</v>
      </c>
      <c r="H28" s="131"/>
      <c r="I28" s="52">
        <v>322</v>
      </c>
      <c r="J28" s="133"/>
      <c r="K28" s="82"/>
      <c r="L28" s="134"/>
      <c r="M28" s="58">
        <v>62.5</v>
      </c>
      <c r="N28" s="58">
        <v>175</v>
      </c>
      <c r="O28" s="58">
        <v>455</v>
      </c>
    </row>
    <row r="29" spans="1:15" ht="15" x14ac:dyDescent="0.25">
      <c r="A29" s="36" t="s">
        <v>9</v>
      </c>
      <c r="B29" s="37">
        <f t="shared" si="0"/>
        <v>28</v>
      </c>
      <c r="C29" s="38">
        <v>12</v>
      </c>
      <c r="D29" s="93">
        <v>2022</v>
      </c>
      <c r="E29" s="85">
        <v>19869.999999997799</v>
      </c>
      <c r="F29" s="97"/>
      <c r="G29" s="85">
        <v>5509</v>
      </c>
      <c r="H29" s="131"/>
      <c r="I29" s="52">
        <v>361</v>
      </c>
      <c r="J29" s="133"/>
      <c r="K29" s="82"/>
      <c r="L29" s="134"/>
      <c r="M29" s="58">
        <v>78.099999999999994</v>
      </c>
      <c r="N29" s="58">
        <v>203</v>
      </c>
      <c r="O29" s="58">
        <v>529</v>
      </c>
    </row>
    <row r="30" spans="1:15" ht="15" x14ac:dyDescent="0.25">
      <c r="A30" s="36" t="s">
        <v>9</v>
      </c>
      <c r="B30" s="37">
        <f t="shared" si="0"/>
        <v>29</v>
      </c>
      <c r="C30" s="38">
        <v>12</v>
      </c>
      <c r="D30" s="93">
        <v>2022</v>
      </c>
      <c r="E30" s="85">
        <v>21670.000000001437</v>
      </c>
      <c r="F30" s="97"/>
      <c r="G30" s="85">
        <v>6035</v>
      </c>
      <c r="H30" s="131"/>
      <c r="I30" s="52">
        <v>427</v>
      </c>
      <c r="J30" s="133"/>
      <c r="K30" s="82"/>
      <c r="L30" s="134"/>
      <c r="M30" s="58">
        <v>83.3</v>
      </c>
      <c r="N30" s="58">
        <v>213</v>
      </c>
      <c r="O30" s="58">
        <v>591</v>
      </c>
    </row>
    <row r="31" spans="1:15" ht="15" x14ac:dyDescent="0.25">
      <c r="A31" s="36" t="s">
        <v>9</v>
      </c>
      <c r="B31" s="37">
        <f>B30+1</f>
        <v>30</v>
      </c>
      <c r="C31" s="38">
        <v>12</v>
      </c>
      <c r="D31" s="93">
        <v>2022</v>
      </c>
      <c r="E31" s="81">
        <v>21670.000000001437</v>
      </c>
      <c r="F31" s="97"/>
      <c r="G31" s="81">
        <v>6067</v>
      </c>
      <c r="H31" s="131"/>
      <c r="I31" s="52">
        <v>427</v>
      </c>
      <c r="J31" s="133"/>
      <c r="K31" s="82"/>
      <c r="L31" s="134"/>
      <c r="M31" s="58">
        <v>84.4</v>
      </c>
      <c r="N31" s="58">
        <v>219</v>
      </c>
      <c r="O31" s="58">
        <v>653</v>
      </c>
    </row>
    <row r="32" spans="1:15" ht="15" x14ac:dyDescent="0.25">
      <c r="A32" s="36" t="s">
        <v>9</v>
      </c>
      <c r="B32" s="37">
        <f>B31+1</f>
        <v>31</v>
      </c>
      <c r="C32" s="38">
        <v>12</v>
      </c>
      <c r="D32" s="93">
        <v>2022</v>
      </c>
      <c r="E32" s="81">
        <v>22460.000000000036</v>
      </c>
      <c r="F32" s="97"/>
      <c r="G32" s="81">
        <v>6258</v>
      </c>
      <c r="H32" s="131"/>
      <c r="I32" s="52">
        <v>523</v>
      </c>
      <c r="J32" s="133"/>
      <c r="K32" s="82"/>
      <c r="L32" s="134"/>
      <c r="M32" s="58">
        <v>88.5</v>
      </c>
      <c r="N32" s="58">
        <v>231</v>
      </c>
      <c r="O32" s="58">
        <v>673</v>
      </c>
    </row>
    <row r="33" spans="1:15" ht="18.75" customHeight="1" x14ac:dyDescent="0.2">
      <c r="A33" s="144" t="s">
        <v>41</v>
      </c>
      <c r="B33" s="144"/>
      <c r="C33" s="144"/>
      <c r="D33" s="144"/>
      <c r="E33" s="80">
        <f>SUM(E2:E32)</f>
        <v>578660.00000000116</v>
      </c>
      <c r="F33" s="128">
        <v>0</v>
      </c>
      <c r="G33" s="80">
        <f>SUM(G2:G32)</f>
        <v>162276</v>
      </c>
      <c r="H33" s="128">
        <v>0</v>
      </c>
      <c r="I33" s="80">
        <f>SUM(I2:I32)</f>
        <v>9498</v>
      </c>
      <c r="J33" s="128">
        <v>0</v>
      </c>
      <c r="K33" s="79">
        <f>SUM(K2:K31)</f>
        <v>0</v>
      </c>
      <c r="L33" s="135">
        <v>0</v>
      </c>
      <c r="M33" s="80">
        <f>SUM(M2:M32)</f>
        <v>1215.7000000000003</v>
      </c>
      <c r="N33" s="80">
        <f>SUM(N2:N32)</f>
        <v>3278</v>
      </c>
      <c r="O33" s="80">
        <f>SUM(O2:O32)</f>
        <v>8729</v>
      </c>
    </row>
    <row r="40" spans="1:15" x14ac:dyDescent="0.2">
      <c r="C40" s="35" t="s">
        <v>115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zoomScale="80" zoomScaleNormal="80" workbookViewId="0">
      <pane xSplit="4" ySplit="1" topLeftCell="G2" activePane="bottomRight" state="frozen"/>
      <selection pane="topRight" activeCell="C1" sqref="C1"/>
      <selection pane="bottomLeft" activeCell="A4" sqref="A4"/>
      <selection pane="bottomRight" activeCell="D30" sqref="D30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x14ac:dyDescent="0.25">
      <c r="A1" s="31" t="s">
        <v>0</v>
      </c>
      <c r="B1" s="31" t="s">
        <v>1</v>
      </c>
      <c r="C1" s="32" t="s">
        <v>2</v>
      </c>
      <c r="D1" s="31" t="s">
        <v>3</v>
      </c>
      <c r="E1" s="137" t="s">
        <v>123</v>
      </c>
      <c r="F1" s="137" t="s">
        <v>124</v>
      </c>
      <c r="G1" s="138" t="s">
        <v>125</v>
      </c>
      <c r="H1" s="138" t="s">
        <v>104</v>
      </c>
      <c r="I1" s="139" t="s">
        <v>120</v>
      </c>
      <c r="J1" s="139" t="s">
        <v>121</v>
      </c>
      <c r="K1" s="139" t="s">
        <v>122</v>
      </c>
      <c r="L1" s="140" t="s">
        <v>126</v>
      </c>
      <c r="M1" s="140" t="s">
        <v>127</v>
      </c>
      <c r="N1" s="140" t="s">
        <v>128</v>
      </c>
      <c r="O1" s="140" t="s">
        <v>129</v>
      </c>
      <c r="P1" s="141" t="s">
        <v>33</v>
      </c>
      <c r="Q1" s="141" t="s">
        <v>34</v>
      </c>
      <c r="R1" s="141" t="s">
        <v>35</v>
      </c>
      <c r="S1" s="141" t="s">
        <v>36</v>
      </c>
      <c r="T1" s="141" t="s">
        <v>37</v>
      </c>
      <c r="U1" s="141" t="s">
        <v>38</v>
      </c>
      <c r="V1" s="141" t="s">
        <v>39</v>
      </c>
      <c r="W1" s="142" t="s">
        <v>40</v>
      </c>
      <c r="X1" s="143" t="s">
        <v>92</v>
      </c>
    </row>
    <row r="2" spans="1:24" x14ac:dyDescent="0.25">
      <c r="A2" s="36" t="s">
        <v>9</v>
      </c>
      <c r="B2" s="37">
        <v>1</v>
      </c>
      <c r="C2" s="38">
        <v>12</v>
      </c>
      <c r="D2" s="93">
        <v>2022</v>
      </c>
      <c r="E2" s="3">
        <f>('Kwh Reading'!T5-'Kwh Reading'!T4)*1000</f>
        <v>480.00000000001819</v>
      </c>
      <c r="F2" s="2">
        <f>('Kwh Reading'!F5-'Kwh Reading'!F4)*1000000</f>
        <v>2599.9999999997135</v>
      </c>
      <c r="G2" s="2">
        <f>('Kwh Reading'!C5-'Kwh Reading'!C4)*1000</f>
        <v>260.00000000004775</v>
      </c>
      <c r="H2" s="2">
        <f>I2+J2+K2</f>
        <v>949.99999999998863</v>
      </c>
      <c r="I2" s="2">
        <f>('Kwh Reading'!J5-'Kwh Reading'!J4)*1000</f>
        <v>450.00000000004547</v>
      </c>
      <c r="J2" s="2">
        <f>('Kwh Reading'!K5-'Kwh Reading'!K4)*1000</f>
        <v>309.99999999994543</v>
      </c>
      <c r="K2" s="2">
        <f>('Kwh Reading'!L5-'Kwh Reading'!L4)*1000</f>
        <v>189.99999999999773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259.99999999999091</v>
      </c>
      <c r="O2" s="2">
        <f>('Kwh Reading'!B5-'Kwh Reading'!B4)*1000000</f>
        <v>899.99999999990087</v>
      </c>
      <c r="P2" s="2">
        <f>('Kwh Reading'!M5-'Kwh Reading'!M4)*1000</f>
        <v>340.00000000003183</v>
      </c>
      <c r="Q2" s="2">
        <f>('Kwh Reading'!H5-'Kwh Reading'!H4)*1000000</f>
        <v>500.00000000016701</v>
      </c>
      <c r="R2" s="2">
        <f>('Kwh Reading'!P5-'Kwh Reading'!P4)*1000000</f>
        <v>399.99999999995595</v>
      </c>
      <c r="S2" s="2">
        <f>('Kwh Reading'!G5-'Kwh Reading'!G4)*1000000</f>
        <v>399.99999999995595</v>
      </c>
      <c r="T2" s="2">
        <f>('Kwh Reading'!Q5-'Kwh Reading'!Q4)*1000</f>
        <v>259.99999999999091</v>
      </c>
      <c r="U2" s="2">
        <f>('Kwh Reading'!N5-'Kwh Reading'!N4)*1000</f>
        <v>269.99999999998181</v>
      </c>
      <c r="V2" s="2">
        <f>'Kwh Reading'!E5-'Kwh Reading'!E4</f>
        <v>2021.3899999987334</v>
      </c>
      <c r="W2" s="2">
        <f>'Kwh Reading'!D5-'Kwh Reading'!D4</f>
        <v>1554.0599999999977</v>
      </c>
      <c r="X2" s="21">
        <f>('Kwh Reading'!O5-'Kwh Reading'!O4)*1000</f>
        <v>240.00000000000909</v>
      </c>
    </row>
    <row r="3" spans="1:24" x14ac:dyDescent="0.25">
      <c r="A3" s="36" t="s">
        <v>9</v>
      </c>
      <c r="B3" s="37">
        <f>B2+1</f>
        <v>2</v>
      </c>
      <c r="C3" s="38">
        <v>12</v>
      </c>
      <c r="D3" s="93">
        <v>2022</v>
      </c>
      <c r="E3" s="3">
        <f>('Kwh Reading'!T6-'Kwh Reading'!T5)*1000</f>
        <v>419.99999999995907</v>
      </c>
      <c r="F3" s="2">
        <f>('Kwh Reading'!F6-'Kwh Reading'!F5)*1000000</f>
        <v>2600.0000000001578</v>
      </c>
      <c r="G3" s="2">
        <f>('Kwh Reading'!C6-'Kwh Reading'!C5)*1000</f>
        <v>259.99999999999091</v>
      </c>
      <c r="H3" s="2">
        <f t="shared" ref="H3:H31" si="0">I3+J3+K3</f>
        <v>889.99999999992951</v>
      </c>
      <c r="I3" s="2">
        <f>('Kwh Reading'!J6-'Kwh Reading'!J5)*1000</f>
        <v>399.99999999997726</v>
      </c>
      <c r="J3" s="2">
        <f>('Kwh Reading'!K6-'Kwh Reading'!K5)*1000</f>
        <v>269.99999999998181</v>
      </c>
      <c r="K3" s="2">
        <f>('Kwh Reading'!L6-'Kwh Reading'!L5)*1000</f>
        <v>219.99999999997044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1000.0000000001119</v>
      </c>
      <c r="P3" s="2">
        <f>('Kwh Reading'!M6-'Kwh Reading'!M5)*1000</f>
        <v>370.00000000000455</v>
      </c>
      <c r="Q3" s="2">
        <f>('Kwh Reading'!H6-'Kwh Reading'!H5)*1000000</f>
        <v>599.99999999993395</v>
      </c>
      <c r="R3" s="2">
        <f>('Kwh Reading'!P6-'Kwh Reading'!P5)*1000000</f>
        <v>399.99999999995595</v>
      </c>
      <c r="S3" s="2">
        <f>('Kwh Reading'!G6-'Kwh Reading'!G5)*1000000</f>
        <v>499.99999999994492</v>
      </c>
      <c r="T3" s="2">
        <f>('Kwh Reading'!Q6-'Kwh Reading'!Q5)*1000</f>
        <v>289.99999999996362</v>
      </c>
      <c r="U3" s="2">
        <f>('Kwh Reading'!N6-'Kwh Reading'!N5)*1000</f>
        <v>269.99999999998181</v>
      </c>
      <c r="V3" s="2">
        <f>'Kwh Reading'!E6-'Kwh Reading'!E5</f>
        <v>2016.6900000013411</v>
      </c>
      <c r="W3" s="2">
        <f>'Kwh Reading'!D6-'Kwh Reading'!D5</f>
        <v>1335.7000000000116</v>
      </c>
      <c r="X3" s="21">
        <f>('Kwh Reading'!O6-'Kwh Reading'!O5)*1000</f>
        <v>269.99999999998181</v>
      </c>
    </row>
    <row r="4" spans="1:24" x14ac:dyDescent="0.25">
      <c r="A4" s="36" t="s">
        <v>9</v>
      </c>
      <c r="B4" s="37">
        <f t="shared" ref="B4:B31" si="1">B3+1</f>
        <v>3</v>
      </c>
      <c r="C4" s="38">
        <v>12</v>
      </c>
      <c r="D4" s="93">
        <v>2022</v>
      </c>
      <c r="E4" s="3">
        <f>('Kwh Reading'!T7-'Kwh Reading'!T6)*1000</f>
        <v>539.99999999996362</v>
      </c>
      <c r="F4" s="2">
        <f>('Kwh Reading'!F7-'Kwh Reading'!F6)*1000000</f>
        <v>2600.0000000001578</v>
      </c>
      <c r="G4" s="2">
        <f>('Kwh Reading'!C7-'Kwh Reading'!C6)*1000</f>
        <v>250</v>
      </c>
      <c r="H4" s="2">
        <f t="shared" si="0"/>
        <v>890.0000000000432</v>
      </c>
      <c r="I4" s="2">
        <f>('Kwh Reading'!J7-'Kwh Reading'!J6)*1000</f>
        <v>409.99999999996817</v>
      </c>
      <c r="J4" s="2">
        <f>('Kwh Reading'!K7-'Kwh Reading'!K6)*1000</f>
        <v>280.0000000000864</v>
      </c>
      <c r="K4" s="2">
        <f>('Kwh Reading'!L7-'Kwh Reading'!L6)*1000</f>
        <v>199.99999999998863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279.99999999997272</v>
      </c>
      <c r="O4" s="2">
        <f>('Kwh Reading'!B7-'Kwh Reading'!B6)*1000000</f>
        <v>899.99999999990087</v>
      </c>
      <c r="P4" s="2">
        <f>('Kwh Reading'!M7-'Kwh Reading'!M6)*1000</f>
        <v>340.00000000003183</v>
      </c>
      <c r="Q4" s="2">
        <f>('Kwh Reading'!H7-'Kwh Reading'!H6)*1000000</f>
        <v>399.99999999995595</v>
      </c>
      <c r="R4" s="2">
        <f>('Kwh Reading'!P7-'Kwh Reading'!P6)*1000000</f>
        <v>400.00000000017798</v>
      </c>
      <c r="S4" s="2">
        <f>('Kwh Reading'!G7-'Kwh Reading'!G6)*1000000</f>
        <v>499.99999999994492</v>
      </c>
      <c r="T4" s="2">
        <f>('Kwh Reading'!Q7-'Kwh Reading'!Q6)*1000</f>
        <v>259.99999999999091</v>
      </c>
      <c r="U4" s="2">
        <f>('Kwh Reading'!N7-'Kwh Reading'!N6)*1000</f>
        <v>290.00000000007731</v>
      </c>
      <c r="V4" s="2">
        <f>'Kwh Reading'!E7-'Kwh Reading'!E6</f>
        <v>2040.0800000000745</v>
      </c>
      <c r="W4" s="2">
        <f>'Kwh Reading'!D7-'Kwh Reading'!D6</f>
        <v>1304.5599999999977</v>
      </c>
      <c r="X4" s="21">
        <f>('Kwh Reading'!O7-'Kwh Reading'!O6)*1000</f>
        <v>240.00000000000909</v>
      </c>
    </row>
    <row r="5" spans="1:24" x14ac:dyDescent="0.25">
      <c r="A5" s="36" t="s">
        <v>9</v>
      </c>
      <c r="B5" s="37">
        <f t="shared" si="1"/>
        <v>4</v>
      </c>
      <c r="C5" s="38">
        <v>12</v>
      </c>
      <c r="D5" s="93">
        <v>2022</v>
      </c>
      <c r="E5" s="3">
        <f>('Kwh Reading'!T8-'Kwh Reading'!T7)*1000</f>
        <v>460.00000000003638</v>
      </c>
      <c r="F5" s="2">
        <f>('Kwh Reading'!F8-'Kwh Reading'!F7)*1000000</f>
        <v>2599.9999999997135</v>
      </c>
      <c r="G5" s="2">
        <f>('Kwh Reading'!C8-'Kwh Reading'!C7)*1000</f>
        <v>269.99999999998181</v>
      </c>
      <c r="H5" s="2">
        <f t="shared" si="0"/>
        <v>889.99999999992951</v>
      </c>
      <c r="I5" s="2">
        <f>('Kwh Reading'!J8-'Kwh Reading'!J7)*1000</f>
        <v>370.00000000000455</v>
      </c>
      <c r="J5" s="2">
        <f>('Kwh Reading'!K8-'Kwh Reading'!K7)*1000</f>
        <v>319.99999999993634</v>
      </c>
      <c r="K5" s="2">
        <f>('Kwh Reading'!L8-'Kwh Reading'!L7)*1000</f>
        <v>199.99999999998863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230.00000000001819</v>
      </c>
      <c r="O5" s="2">
        <f>('Kwh Reading'!B8-'Kwh Reading'!B7)*1000000</f>
        <v>900.0000000001229</v>
      </c>
      <c r="P5" s="2">
        <f>('Kwh Reading'!M8-'Kwh Reading'!M7)*1000</f>
        <v>379.99999999999545</v>
      </c>
      <c r="Q5" s="2">
        <f>('Kwh Reading'!H8-'Kwh Reading'!H7)*1000000</f>
        <v>399.99999999995595</v>
      </c>
      <c r="R5" s="2">
        <f>('Kwh Reading'!P8-'Kwh Reading'!P7)*1000000</f>
        <v>399.99999999995595</v>
      </c>
      <c r="S5" s="2">
        <f>('Kwh Reading'!G8-'Kwh Reading'!G7)*1000000</f>
        <v>400.00000000017798</v>
      </c>
      <c r="T5" s="2">
        <f>('Kwh Reading'!Q8-'Kwh Reading'!Q7)*1000</f>
        <v>210.00000000003638</v>
      </c>
      <c r="U5" s="2">
        <f>('Kwh Reading'!N8-'Kwh Reading'!N7)*1000</f>
        <v>240.00000000000909</v>
      </c>
      <c r="V5" s="2">
        <f>'Kwh Reading'!E8-'Kwh Reading'!E7</f>
        <v>1954.8799999989569</v>
      </c>
      <c r="W5" s="2">
        <f>'Kwh Reading'!D8-'Kwh Reading'!D7</f>
        <v>1117.8399999999965</v>
      </c>
      <c r="X5" s="21">
        <f>('Kwh Reading'!O8-'Kwh Reading'!O7)*1000</f>
        <v>250</v>
      </c>
    </row>
    <row r="6" spans="1:24" x14ac:dyDescent="0.25">
      <c r="A6" s="36" t="s">
        <v>9</v>
      </c>
      <c r="B6" s="37">
        <f t="shared" si="1"/>
        <v>5</v>
      </c>
      <c r="C6" s="38">
        <v>12</v>
      </c>
      <c r="D6" s="93">
        <v>2022</v>
      </c>
      <c r="E6" s="3">
        <f>('Kwh Reading'!T9-'Kwh Reading'!T8)*1000</f>
        <v>370.00000000000455</v>
      </c>
      <c r="F6" s="2">
        <f>('Kwh Reading'!F9-'Kwh Reading'!F8)*1000000</f>
        <v>2600.0000000001578</v>
      </c>
      <c r="G6" s="2">
        <f>('Kwh Reading'!C9-'Kwh Reading'!C8)*1000</f>
        <v>250</v>
      </c>
      <c r="H6" s="2">
        <f t="shared" si="0"/>
        <v>1010.0000000001046</v>
      </c>
      <c r="I6" s="2">
        <f>('Kwh Reading'!J9-'Kwh Reading'!J8)*1000</f>
        <v>500</v>
      </c>
      <c r="J6" s="2">
        <f>('Kwh Reading'!K9-'Kwh Reading'!K8)*1000</f>
        <v>300.00000000006821</v>
      </c>
      <c r="K6" s="2">
        <f>('Kwh Reading'!L9-'Kwh Reading'!L8)*1000</f>
        <v>210.00000000003638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259.99999999999091</v>
      </c>
      <c r="O6" s="2">
        <f>('Kwh Reading'!B9-'Kwh Reading'!B8)*1000000</f>
        <v>1099.9999999998788</v>
      </c>
      <c r="P6" s="2">
        <f>('Kwh Reading'!M9-'Kwh Reading'!M8)*1000</f>
        <v>460.00000000003638</v>
      </c>
      <c r="Q6" s="2">
        <f>('Kwh Reading'!H9-'Kwh Reading'!H8)*1000000</f>
        <v>500.00000000016701</v>
      </c>
      <c r="R6" s="2">
        <f>('Kwh Reading'!P9-'Kwh Reading'!P8)*1000000</f>
        <v>499.99999999994492</v>
      </c>
      <c r="S6" s="2">
        <f>('Kwh Reading'!G9-'Kwh Reading'!G8)*1000000</f>
        <v>499.99999999994492</v>
      </c>
      <c r="T6" s="2">
        <f>('Kwh Reading'!Q9-'Kwh Reading'!Q8)*1000</f>
        <v>299.99999999995453</v>
      </c>
      <c r="U6" s="2">
        <f>('Kwh Reading'!N9-'Kwh Reading'!N8)*1000</f>
        <v>329.99999999992724</v>
      </c>
      <c r="V6" s="2">
        <f>'Kwh Reading'!E9-'Kwh Reading'!E8</f>
        <v>2321.4400000013411</v>
      </c>
      <c r="W6" s="2">
        <f>'Kwh Reading'!D9-'Kwh Reading'!D8</f>
        <v>1614.5200000000041</v>
      </c>
      <c r="X6" s="21">
        <f>('Kwh Reading'!O9-'Kwh Reading'!O8)*1000</f>
        <v>230.00000000001819</v>
      </c>
    </row>
    <row r="7" spans="1:24" x14ac:dyDescent="0.25">
      <c r="A7" s="36" t="s">
        <v>9</v>
      </c>
      <c r="B7" s="37">
        <f t="shared" si="1"/>
        <v>6</v>
      </c>
      <c r="C7" s="38">
        <v>12</v>
      </c>
      <c r="D7" s="93">
        <v>2022</v>
      </c>
      <c r="E7" s="3">
        <f>('Kwh Reading'!T10-'Kwh Reading'!T9)*1000</f>
        <v>340.00000000003183</v>
      </c>
      <c r="F7" s="2">
        <f>('Kwh Reading'!F10-'Kwh Reading'!F9)*1000000</f>
        <v>2499.9999999999468</v>
      </c>
      <c r="G7" s="2">
        <f>('Kwh Reading'!C10-'Kwh Reading'!C9)*1000</f>
        <v>269.99999999998181</v>
      </c>
      <c r="H7" s="2">
        <f t="shared" si="0"/>
        <v>870.00000000000455</v>
      </c>
      <c r="I7" s="2">
        <f>('Kwh Reading'!J10-'Kwh Reading'!J9)*1000</f>
        <v>340.00000000003183</v>
      </c>
      <c r="J7" s="2">
        <f>('Kwh Reading'!K10-'Kwh Reading'!K9)*1000</f>
        <v>289.99999999996362</v>
      </c>
      <c r="K7" s="2">
        <f>('Kwh Reading'!L10-'Kwh Reading'!L9)*1000</f>
        <v>240.00000000000909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279.99999999997272</v>
      </c>
      <c r="O7" s="2">
        <f>('Kwh Reading'!B10-'Kwh Reading'!B9)*1000000</f>
        <v>1100.000000000101</v>
      </c>
      <c r="P7" s="2">
        <f>('Kwh Reading'!M10-'Kwh Reading'!M9)*1000</f>
        <v>379.99999999999545</v>
      </c>
      <c r="Q7" s="2">
        <f>('Kwh Reading'!H10-'Kwh Reading'!H9)*1000000</f>
        <v>599.99999999993395</v>
      </c>
      <c r="R7" s="2">
        <f>('Kwh Reading'!P10-'Kwh Reading'!P9)*1000000</f>
        <v>399.99999999995595</v>
      </c>
      <c r="S7" s="2">
        <f>('Kwh Reading'!G10-'Kwh Reading'!G9)*1000000</f>
        <v>499.99999999994492</v>
      </c>
      <c r="T7" s="2">
        <f>('Kwh Reading'!Q10-'Kwh Reading'!Q9)*1000</f>
        <v>320.00000000005002</v>
      </c>
      <c r="U7" s="2">
        <f>('Kwh Reading'!N10-'Kwh Reading'!N9)*1000</f>
        <v>320.00000000005002</v>
      </c>
      <c r="V7" s="2">
        <f>'Kwh Reading'!E10-'Kwh Reading'!E9</f>
        <v>2413.1599999982864</v>
      </c>
      <c r="W7" s="2">
        <f>'Kwh Reading'!D10-'Kwh Reading'!D9</f>
        <v>1637.0399999999936</v>
      </c>
      <c r="X7" s="21">
        <f>('Kwh Reading'!O10-'Kwh Reading'!O9)*1000</f>
        <v>199.99999999998863</v>
      </c>
    </row>
    <row r="8" spans="1:24" x14ac:dyDescent="0.25">
      <c r="A8" s="36" t="s">
        <v>9</v>
      </c>
      <c r="B8" s="37">
        <f t="shared" si="1"/>
        <v>7</v>
      </c>
      <c r="C8" s="38">
        <v>12</v>
      </c>
      <c r="D8" s="93">
        <v>2022</v>
      </c>
      <c r="E8" s="3">
        <f>('Kwh Reading'!T11-'Kwh Reading'!T10)*1000</f>
        <v>709.99999999992269</v>
      </c>
      <c r="F8" s="2">
        <f>('Kwh Reading'!F11-'Kwh Reading'!F10)*1000000</f>
        <v>2499.9999999999468</v>
      </c>
      <c r="G8" s="2">
        <f>('Kwh Reading'!C11-'Kwh Reading'!C10)*1000</f>
        <v>270.00000000003865</v>
      </c>
      <c r="H8" s="2">
        <f t="shared" si="0"/>
        <v>899.99999999992042</v>
      </c>
      <c r="I8" s="2">
        <f>('Kwh Reading'!J11-'Kwh Reading'!J10)*1000</f>
        <v>379.99999999999545</v>
      </c>
      <c r="J8" s="2">
        <f>('Kwh Reading'!K11-'Kwh Reading'!K10)*1000</f>
        <v>289.99999999996362</v>
      </c>
      <c r="K8" s="2">
        <f>('Kwh Reading'!L11-'Kwh Reading'!L10)*1000</f>
        <v>229.99999999996135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259.99999999999091</v>
      </c>
      <c r="O8" s="2">
        <f>('Kwh Reading'!B11-'Kwh Reading'!B10)*1000000</f>
        <v>999.99999999988984</v>
      </c>
      <c r="P8" s="2">
        <f>('Kwh Reading'!M11-'Kwh Reading'!M10)*1000</f>
        <v>339.99999999991815</v>
      </c>
      <c r="Q8" s="2">
        <f>('Kwh Reading'!H11-'Kwh Reading'!H10)*1000000</f>
        <v>499.99999999994492</v>
      </c>
      <c r="R8" s="2">
        <f>('Kwh Reading'!P11-'Kwh Reading'!P10)*1000000</f>
        <v>400.00000000017798</v>
      </c>
      <c r="S8" s="2">
        <f>('Kwh Reading'!G11-'Kwh Reading'!G10)*1000000</f>
        <v>399.99999999995595</v>
      </c>
      <c r="T8" s="2">
        <f>('Kwh Reading'!Q11-'Kwh Reading'!Q10)*1000</f>
        <v>250</v>
      </c>
      <c r="U8" s="2">
        <f>('Kwh Reading'!N11-'Kwh Reading'!N10)*1000</f>
        <v>289.99999999996362</v>
      </c>
      <c r="V8" s="26">
        <f>'Kwh Reading'!E11-'Kwh Reading'!E10</f>
        <v>2223.2000000011176</v>
      </c>
      <c r="W8" s="26">
        <f>'Kwh Reading'!D11-'Kwh Reading'!D10</f>
        <v>1465.9300000000076</v>
      </c>
      <c r="X8" s="21">
        <f>('Kwh Reading'!O11-'Kwh Reading'!O10)*1000</f>
        <v>209.99999999997954</v>
      </c>
    </row>
    <row r="9" spans="1:24" x14ac:dyDescent="0.25">
      <c r="A9" s="36" t="s">
        <v>9</v>
      </c>
      <c r="B9" s="37">
        <f t="shared" si="1"/>
        <v>8</v>
      </c>
      <c r="C9" s="38">
        <v>12</v>
      </c>
      <c r="D9" s="93">
        <v>2022</v>
      </c>
      <c r="E9" s="3">
        <f>('Kwh Reading'!T12-'Kwh Reading'!T11)*1000</f>
        <v>460.00000000003638</v>
      </c>
      <c r="F9" s="2">
        <f>('Kwh Reading'!F12-'Kwh Reading'!F11)*1000000</f>
        <v>2600.0000000001578</v>
      </c>
      <c r="G9" s="2">
        <f>('Kwh Reading'!C12-'Kwh Reading'!C11)*1000</f>
        <v>269.99999999998181</v>
      </c>
      <c r="H9" s="2">
        <f t="shared" si="0"/>
        <v>920.00000000007276</v>
      </c>
      <c r="I9" s="2">
        <f>('Kwh Reading'!J12-'Kwh Reading'!J11)*1000</f>
        <v>409.99999999996817</v>
      </c>
      <c r="J9" s="2">
        <f>('Kwh Reading'!K12-'Kwh Reading'!K11)*1000</f>
        <v>280.0000000000864</v>
      </c>
      <c r="K9" s="2">
        <f>('Kwh Reading'!L12-'Kwh Reading'!L11)*1000</f>
        <v>230.00000000001819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290.00000000002046</v>
      </c>
      <c r="O9" s="2">
        <f>('Kwh Reading'!B12-'Kwh Reading'!B11)*1000000</f>
        <v>900.0000000001229</v>
      </c>
      <c r="P9" s="2">
        <f>('Kwh Reading'!M12-'Kwh Reading'!M11)*1000</f>
        <v>389.99999999998636</v>
      </c>
      <c r="Q9" s="2">
        <f>('Kwh Reading'!H12-'Kwh Reading'!H11)*1000000</f>
        <v>499.99999999994492</v>
      </c>
      <c r="R9" s="2">
        <f>('Kwh Reading'!P12-'Kwh Reading'!P11)*1000000</f>
        <v>499.99999999994492</v>
      </c>
      <c r="S9" s="2">
        <f>('Kwh Reading'!G12-'Kwh Reading'!G11)*1000000</f>
        <v>399.99999999995595</v>
      </c>
      <c r="T9" s="2">
        <f>('Kwh Reading'!Q12-'Kwh Reading'!Q11)*1000</f>
        <v>320.00000000005002</v>
      </c>
      <c r="U9" s="2">
        <f>('Kwh Reading'!N12-'Kwh Reading'!N11)*1000</f>
        <v>310.00000000005912</v>
      </c>
      <c r="V9" s="26">
        <f>'Kwh Reading'!E12-'Kwh Reading'!E11</f>
        <v>2533.640000000596</v>
      </c>
      <c r="W9" s="26">
        <f>'Kwh Reading'!D12-'Kwh Reading'!D11</f>
        <v>1634.8199999999924</v>
      </c>
      <c r="X9" s="21">
        <f>('Kwh Reading'!O12-'Kwh Reading'!O11)*1000</f>
        <v>210.00000000003638</v>
      </c>
    </row>
    <row r="10" spans="1:24" x14ac:dyDescent="0.25">
      <c r="A10" s="36" t="s">
        <v>9</v>
      </c>
      <c r="B10" s="37">
        <f t="shared" si="1"/>
        <v>9</v>
      </c>
      <c r="C10" s="38">
        <v>12</v>
      </c>
      <c r="D10" s="93">
        <v>2022</v>
      </c>
      <c r="E10" s="3">
        <f>('Kwh Reading'!T13-'Kwh Reading'!T12)*1000</f>
        <v>500</v>
      </c>
      <c r="F10" s="2">
        <f>('Kwh Reading'!F13-'Kwh Reading'!F12)*1000000</f>
        <v>2599.9999999997135</v>
      </c>
      <c r="G10" s="2">
        <f>('Kwh Reading'!C13-'Kwh Reading'!C12)*1000</f>
        <v>269.99999999998181</v>
      </c>
      <c r="H10" s="2">
        <f t="shared" si="0"/>
        <v>1279.9999999999727</v>
      </c>
      <c r="I10" s="2">
        <f>('Kwh Reading'!J13-'Kwh Reading'!J12)*1000</f>
        <v>680.00000000006366</v>
      </c>
      <c r="J10" s="2">
        <f>('Kwh Reading'!K13-'Kwh Reading'!K12)*1000</f>
        <v>329.99999999992724</v>
      </c>
      <c r="K10" s="2">
        <f>('Kwh Reading'!L13-'Kwh Reading'!L12)*1000</f>
        <v>269.99999999998181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300.00000000001137</v>
      </c>
      <c r="O10" s="2">
        <f>('Kwh Reading'!B13-'Kwh Reading'!B12)*1000000</f>
        <v>999.99999999988984</v>
      </c>
      <c r="P10" s="2">
        <f>('Kwh Reading'!M13-'Kwh Reading'!M12)*1000</f>
        <v>360.00000000001364</v>
      </c>
      <c r="Q10" s="2">
        <f>('Kwh Reading'!H13-'Kwh Reading'!H12)*1000000</f>
        <v>500.00000000016701</v>
      </c>
      <c r="R10" s="2">
        <f>('Kwh Reading'!P13-'Kwh Reading'!P12)*1000000</f>
        <v>499.99999999994492</v>
      </c>
      <c r="S10" s="2">
        <f>('Kwh Reading'!G13-'Kwh Reading'!G12)*1000000</f>
        <v>400.00000000017798</v>
      </c>
      <c r="T10" s="2">
        <f>('Kwh Reading'!Q13-'Kwh Reading'!Q12)*1000</f>
        <v>339.99999999991815</v>
      </c>
      <c r="U10" s="2">
        <f>('Kwh Reading'!N13-'Kwh Reading'!N12)*1000</f>
        <v>309.99999999994543</v>
      </c>
      <c r="V10" s="26">
        <f>'Kwh Reading'!E13-'Kwh Reading'!E12</f>
        <v>2553.4099999982864</v>
      </c>
      <c r="W10" s="26">
        <f>'Kwh Reading'!D13-'Kwh Reading'!D12</f>
        <v>1566.570000000007</v>
      </c>
      <c r="X10" s="21">
        <f>('Kwh Reading'!O13-'Kwh Reading'!O12)*1000</f>
        <v>259.99999999999091</v>
      </c>
    </row>
    <row r="11" spans="1:24" x14ac:dyDescent="0.25">
      <c r="A11" s="36" t="s">
        <v>9</v>
      </c>
      <c r="B11" s="37">
        <f t="shared" si="1"/>
        <v>10</v>
      </c>
      <c r="C11" s="38">
        <v>12</v>
      </c>
      <c r="D11" s="93">
        <v>2022</v>
      </c>
      <c r="E11" s="3">
        <f>('Kwh Reading'!T14-'Kwh Reading'!T13)*1000</f>
        <v>519.99999999998181</v>
      </c>
      <c r="F11" s="2">
        <f>('Kwh Reading'!F14-'Kwh Reading'!F13)*1000000</f>
        <v>2500.0000000003906</v>
      </c>
      <c r="G11" s="2">
        <f>('Kwh Reading'!C14-'Kwh Reading'!C13)*1000</f>
        <v>259.99999999999091</v>
      </c>
      <c r="H11" s="2">
        <f t="shared" si="0"/>
        <v>959.99999999997954</v>
      </c>
      <c r="I11" s="2">
        <f>('Kwh Reading'!J14-'Kwh Reading'!J13)*1000</f>
        <v>409.99999999996817</v>
      </c>
      <c r="J11" s="2">
        <f>('Kwh Reading'!K14-'Kwh Reading'!K13)*1000</f>
        <v>259.99999999999091</v>
      </c>
      <c r="K11" s="2">
        <f>('Kwh Reading'!L14-'Kwh Reading'!L13)*1000</f>
        <v>290.00000000002046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279.99999999997272</v>
      </c>
      <c r="O11" s="2">
        <f>('Kwh Reading'!B14-'Kwh Reading'!B13)*1000000</f>
        <v>900.0000000001229</v>
      </c>
      <c r="P11" s="2">
        <f>('Kwh Reading'!M14-'Kwh Reading'!M13)*1000</f>
        <v>389.99999999998636</v>
      </c>
      <c r="Q11" s="2">
        <f>('Kwh Reading'!H14-'Kwh Reading'!H13)*1000000</f>
        <v>399.99999999995595</v>
      </c>
      <c r="R11" s="2">
        <f>('Kwh Reading'!P14-'Kwh Reading'!P13)*1000000</f>
        <v>399.99999999995595</v>
      </c>
      <c r="S11" s="2">
        <f>('Kwh Reading'!G14-'Kwh Reading'!G13)*1000000</f>
        <v>399.99999999995595</v>
      </c>
      <c r="T11" s="2">
        <f>('Kwh Reading'!Q14-'Kwh Reading'!Q13)*1000</f>
        <v>200.00000000004547</v>
      </c>
      <c r="U11" s="2">
        <f>('Kwh Reading'!N14-'Kwh Reading'!N13)*1000</f>
        <v>310.00000000005912</v>
      </c>
      <c r="V11" s="26">
        <f>'Kwh Reading'!E14-'Kwh Reading'!E13</f>
        <v>2751.1100000012666</v>
      </c>
      <c r="W11" s="26">
        <f>'Kwh Reading'!D14-'Kwh Reading'!D13</f>
        <v>1764.3899999999994</v>
      </c>
      <c r="X11" s="21">
        <f>('Kwh Reading'!O14-'Kwh Reading'!O13)*1000</f>
        <v>229.99999999996135</v>
      </c>
    </row>
    <row r="12" spans="1:24" x14ac:dyDescent="0.25">
      <c r="A12" s="36" t="s">
        <v>9</v>
      </c>
      <c r="B12" s="37">
        <f t="shared" si="1"/>
        <v>11</v>
      </c>
      <c r="C12" s="38">
        <v>12</v>
      </c>
      <c r="D12" s="93">
        <v>2022</v>
      </c>
      <c r="E12" s="3">
        <f>('Kwh Reading'!T15-'Kwh Reading'!T14)*1000</f>
        <v>509.99999999999091</v>
      </c>
      <c r="F12" s="2">
        <f>('Kwh Reading'!F15-'Kwh Reading'!F14)*1000000</f>
        <v>2399.9999999997358</v>
      </c>
      <c r="G12" s="2">
        <f>('Kwh Reading'!C15-'Kwh Reading'!C14)*1000</f>
        <v>260.00000000004775</v>
      </c>
      <c r="H12" s="2">
        <f t="shared" si="0"/>
        <v>1080.0000000000978</v>
      </c>
      <c r="I12" s="2">
        <f>('Kwh Reading'!J15-'Kwh Reading'!J14)*1000</f>
        <v>470.00000000002728</v>
      </c>
      <c r="J12" s="2">
        <f>('Kwh Reading'!K15-'Kwh Reading'!K14)*1000</f>
        <v>280.0000000000864</v>
      </c>
      <c r="K12" s="2">
        <f>('Kwh Reading'!L15-'Kwh Reading'!L14)*1000</f>
        <v>329.99999999998408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300.00000000001137</v>
      </c>
      <c r="O12" s="2">
        <f>('Kwh Reading'!B15-'Kwh Reading'!B14)*1000000</f>
        <v>999.99999999988984</v>
      </c>
      <c r="P12" s="2">
        <f>('Kwh Reading'!M15-'Kwh Reading'!M14)*1000</f>
        <v>370.00000000000455</v>
      </c>
      <c r="Q12" s="2">
        <f>('Kwh Reading'!H15-'Kwh Reading'!H14)*1000000</f>
        <v>499.99999999994492</v>
      </c>
      <c r="R12" s="2">
        <f>('Kwh Reading'!P15-'Kwh Reading'!P14)*1000000</f>
        <v>499.99999999994492</v>
      </c>
      <c r="S12" s="2">
        <f>('Kwh Reading'!G15-'Kwh Reading'!G14)*1000000</f>
        <v>399.99999999995595</v>
      </c>
      <c r="T12" s="2">
        <f>('Kwh Reading'!Q15-'Kwh Reading'!Q14)*1000</f>
        <v>220.00000000002728</v>
      </c>
      <c r="U12" s="2">
        <f>('Kwh Reading'!N15-'Kwh Reading'!N14)*1000</f>
        <v>370.00000000000455</v>
      </c>
      <c r="V12" s="26">
        <f>'Kwh Reading'!E15-'Kwh Reading'!E14</f>
        <v>2843.5800000000745</v>
      </c>
      <c r="W12" s="26">
        <f>'Kwh Reading'!D15-'Kwh Reading'!D14</f>
        <v>1797.9799999999959</v>
      </c>
      <c r="X12" s="21">
        <f>('Kwh Reading'!O15-'Kwh Reading'!O14)*1000</f>
        <v>220.00000000002728</v>
      </c>
    </row>
    <row r="13" spans="1:24" x14ac:dyDescent="0.25">
      <c r="A13" s="36" t="s">
        <v>9</v>
      </c>
      <c r="B13" s="37">
        <f t="shared" si="1"/>
        <v>12</v>
      </c>
      <c r="C13" s="38">
        <v>12</v>
      </c>
      <c r="D13" s="93">
        <v>2022</v>
      </c>
      <c r="E13" s="3">
        <f>('Kwh Reading'!T16-'Kwh Reading'!T15)*1000</f>
        <v>470.00000000002728</v>
      </c>
      <c r="F13" s="2">
        <f>('Kwh Reading'!F16-'Kwh Reading'!F15)*1000000</f>
        <v>2499.9999999999468</v>
      </c>
      <c r="G13" s="2">
        <f>('Kwh Reading'!C16-'Kwh Reading'!C15)*1000</f>
        <v>259.99999999999091</v>
      </c>
      <c r="H13" s="2">
        <f t="shared" si="0"/>
        <v>1279.999999999859</v>
      </c>
      <c r="I13" s="2">
        <f>('Kwh Reading'!J16-'Kwh Reading'!J15)*1000</f>
        <v>589.99999999991815</v>
      </c>
      <c r="J13" s="2">
        <f>('Kwh Reading'!K16-'Kwh Reading'!K15)*1000</f>
        <v>319.99999999993634</v>
      </c>
      <c r="K13" s="2">
        <f>('Kwh Reading'!L16-'Kwh Reading'!L15)*1000</f>
        <v>370.00000000000455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189.99999999999773</v>
      </c>
      <c r="O13" s="2">
        <f>('Kwh Reading'!B16-'Kwh Reading'!B15)*1000000</f>
        <v>1000.0000000001119</v>
      </c>
      <c r="P13" s="21">
        <f>('Kwh Reading'!M16-'Kwh Reading'!M15)*1000</f>
        <v>390.00000000010004</v>
      </c>
      <c r="Q13" s="2">
        <f>('Kwh Reading'!H16-'Kwh Reading'!H15)*1000000</f>
        <v>499.99999999994492</v>
      </c>
      <c r="R13" s="2">
        <f>('Kwh Reading'!P16-'Kwh Reading'!P15)*1000000</f>
        <v>500.00000000016701</v>
      </c>
      <c r="S13" s="2">
        <f>('Kwh Reading'!G16-'Kwh Reading'!G15)*1000000</f>
        <v>499.99999999994492</v>
      </c>
      <c r="T13" s="2">
        <f>('Kwh Reading'!Q16-'Kwh Reading'!Q15)*1000</f>
        <v>229.9999999999045</v>
      </c>
      <c r="U13" s="2">
        <f>('Kwh Reading'!N16-'Kwh Reading'!N15)*1000</f>
        <v>329.99999999992724</v>
      </c>
      <c r="V13" s="26">
        <f>'Kwh Reading'!E16-'Kwh Reading'!E15</f>
        <v>2596.3499999996275</v>
      </c>
      <c r="W13" s="26">
        <f>'Kwh Reading'!D16-'Kwh Reading'!D15</f>
        <v>1790.4199999999983</v>
      </c>
      <c r="X13" s="21">
        <f>('Kwh Reading'!O16-'Kwh Reading'!O15)*1000</f>
        <v>230.00000000001819</v>
      </c>
    </row>
    <row r="14" spans="1:24" x14ac:dyDescent="0.25">
      <c r="A14" s="36" t="s">
        <v>9</v>
      </c>
      <c r="B14" s="37">
        <f t="shared" si="1"/>
        <v>13</v>
      </c>
      <c r="C14" s="38">
        <v>12</v>
      </c>
      <c r="D14" s="93">
        <v>2022</v>
      </c>
      <c r="E14" s="3">
        <f>('Kwh Reading'!T17-'Kwh Reading'!T16)*1000</f>
        <v>480.00000000001819</v>
      </c>
      <c r="F14" s="2">
        <f>('Kwh Reading'!F17-'Kwh Reading'!F16)*1000000</f>
        <v>2499.9999999999468</v>
      </c>
      <c r="G14" s="2">
        <f>('Kwh Reading'!C17-'Kwh Reading'!C16)*1000</f>
        <v>269.99999999998181</v>
      </c>
      <c r="H14" s="2">
        <f t="shared" si="0"/>
        <v>1250.0000000001137</v>
      </c>
      <c r="I14" s="2">
        <f>('Kwh Reading'!J17-'Kwh Reading'!J16)*1000</f>
        <v>550.00000000006821</v>
      </c>
      <c r="J14" s="2">
        <f>('Kwh Reading'!K17-'Kwh Reading'!K16)*1000</f>
        <v>350.00000000002274</v>
      </c>
      <c r="K14" s="2">
        <f>('Kwh Reading'!L17-'Kwh Reading'!L16)*1000</f>
        <v>350.00000000002274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370.00000000000455</v>
      </c>
      <c r="O14" s="2">
        <f>('Kwh Reading'!B17-'Kwh Reading'!B16)*1000000</f>
        <v>999.99999999988984</v>
      </c>
      <c r="P14" s="2">
        <f>('Kwh Reading'!M17-'Kwh Reading'!M16)*1000</f>
        <v>389.99999999998636</v>
      </c>
      <c r="Q14" s="2">
        <f>('Kwh Reading'!H17-'Kwh Reading'!H16)*1000000</f>
        <v>600.00000000015598</v>
      </c>
      <c r="R14" s="2">
        <f>('Kwh Reading'!P17-'Kwh Reading'!P16)*1000000</f>
        <v>499.99999999994492</v>
      </c>
      <c r="S14" s="2">
        <f>('Kwh Reading'!G17-'Kwh Reading'!G16)*1000000</f>
        <v>500.00000000016701</v>
      </c>
      <c r="T14" s="2">
        <f>('Kwh Reading'!Q17-'Kwh Reading'!Q16)*1000</f>
        <v>260.00000000010459</v>
      </c>
      <c r="U14" s="2">
        <f>('Kwh Reading'!N17-'Kwh Reading'!N16)*1000</f>
        <v>300.00000000006821</v>
      </c>
      <c r="V14" s="26">
        <f>'Kwh Reading'!E17-'Kwh Reading'!E16</f>
        <v>2316.2799999993294</v>
      </c>
      <c r="W14" s="26">
        <f>'Kwh Reading'!D17-'Kwh Reading'!D16</f>
        <v>1623.2600000000093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12</v>
      </c>
      <c r="D15" s="93">
        <v>2022</v>
      </c>
      <c r="E15" s="3">
        <f>('Kwh Reading'!T18-'Kwh Reading'!T17)*1000</f>
        <v>490.00000000000909</v>
      </c>
      <c r="F15" s="2">
        <f>('Kwh Reading'!F18-'Kwh Reading'!F17)*1000000</f>
        <v>2600.0000000001578</v>
      </c>
      <c r="G15" s="2">
        <f>('Kwh Reading'!C18-'Kwh Reading'!C17)*1000</f>
        <v>280.00000000002956</v>
      </c>
      <c r="H15" s="2">
        <f t="shared" si="0"/>
        <v>1000</v>
      </c>
      <c r="I15" s="2">
        <f>('Kwh Reading'!J18-'Kwh Reading'!J17)*1000</f>
        <v>370.00000000000455</v>
      </c>
      <c r="J15" s="2">
        <f>('Kwh Reading'!K18-'Kwh Reading'!K17)*1000</f>
        <v>269.99999999998181</v>
      </c>
      <c r="K15" s="2">
        <f>('Kwh Reading'!L18-'Kwh Reading'!L17)*1000</f>
        <v>360.00000000001364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269.99999999998181</v>
      </c>
      <c r="O15" s="2">
        <f>('Kwh Reading'!B18-'Kwh Reading'!B17)*1000000</f>
        <v>1100.000000000101</v>
      </c>
      <c r="P15" s="2">
        <f>('Kwh Reading'!M18-'Kwh Reading'!M17)*1000</f>
        <v>379.99999999999545</v>
      </c>
      <c r="Q15" s="2">
        <f>('Kwh Reading'!H18-'Kwh Reading'!H17)*1000000</f>
        <v>499.99999999994492</v>
      </c>
      <c r="R15" s="2">
        <f>('Kwh Reading'!P18-'Kwh Reading'!P17)*1000000</f>
        <v>399.99999999995595</v>
      </c>
      <c r="S15" s="2">
        <f>('Kwh Reading'!G18-'Kwh Reading'!G17)*1000000</f>
        <v>499.99999999994492</v>
      </c>
      <c r="T15" s="2">
        <f>('Kwh Reading'!Q18-'Kwh Reading'!Q17)*1000</f>
        <v>289.99999999996362</v>
      </c>
      <c r="U15" s="2">
        <f>('Kwh Reading'!N18-'Kwh Reading'!N17)*1000</f>
        <v>329.99999999992724</v>
      </c>
      <c r="V15" s="26">
        <f>'Kwh Reading'!E18-'Kwh Reading'!E17</f>
        <v>2149.3100000005215</v>
      </c>
      <c r="W15" s="26">
        <f>'Kwh Reading'!D18-'Kwh Reading'!D17</f>
        <v>1662.3399999999965</v>
      </c>
      <c r="X15" s="21">
        <f>('Kwh Reading'!O18-'Kwh Reading'!O17)*1000</f>
        <v>219.99999999997044</v>
      </c>
    </row>
    <row r="16" spans="1:24" x14ac:dyDescent="0.25">
      <c r="A16" s="36" t="s">
        <v>9</v>
      </c>
      <c r="B16" s="37">
        <f t="shared" si="1"/>
        <v>15</v>
      </c>
      <c r="C16" s="38">
        <v>12</v>
      </c>
      <c r="D16" s="93">
        <v>2022</v>
      </c>
      <c r="E16" s="3">
        <f>('Kwh Reading'!T19-'Kwh Reading'!T18)*1000</f>
        <v>490.00000000000909</v>
      </c>
      <c r="F16" s="2">
        <f>('Kwh Reading'!F19-'Kwh Reading'!F18)*1000000</f>
        <v>2400.0000000001796</v>
      </c>
      <c r="G16" s="2">
        <f>('Kwh Reading'!C19-'Kwh Reading'!C18)*1000</f>
        <v>279.99999999997272</v>
      </c>
      <c r="H16" s="2">
        <f t="shared" si="0"/>
        <v>1029.9999999999159</v>
      </c>
      <c r="I16" s="2">
        <f>('Kwh Reading'!J19-'Kwh Reading'!J18)*1000</f>
        <v>399.99999999997726</v>
      </c>
      <c r="J16" s="2">
        <f>('Kwh Reading'!K19-'Kwh Reading'!K18)*1000</f>
        <v>299.99999999995453</v>
      </c>
      <c r="K16" s="2">
        <f>('Kwh Reading'!L19-'Kwh Reading'!L18)*1000</f>
        <v>329.99999999998408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310.00000000000227</v>
      </c>
      <c r="O16" s="2">
        <f>('Kwh Reading'!B19-'Kwh Reading'!B18)*1000000</f>
        <v>1099.9999999998788</v>
      </c>
      <c r="P16" s="2">
        <f>('Kwh Reading'!M19-'Kwh Reading'!M18)*1000</f>
        <v>389.99999999998636</v>
      </c>
      <c r="Q16" s="2">
        <f>('Kwh Reading'!H19-'Kwh Reading'!H18)*1000000</f>
        <v>499.99999999994492</v>
      </c>
      <c r="R16" s="21">
        <f>('Kwh Reading'!P19-'Kwh Reading'!P18)*1000000</f>
        <v>399.99999999995595</v>
      </c>
      <c r="S16" s="2">
        <f>('Kwh Reading'!G19-'Kwh Reading'!G18)*1000000</f>
        <v>399.99999999995595</v>
      </c>
      <c r="T16" s="2">
        <f>('Kwh Reading'!Q19-'Kwh Reading'!Q18)*1000</f>
        <v>370.00000000000455</v>
      </c>
      <c r="U16" s="2">
        <f>('Kwh Reading'!N19-'Kwh Reading'!N18)*1000</f>
        <v>290.00000000007731</v>
      </c>
      <c r="V16" s="26">
        <f>'Kwh Reading'!E19-'Kwh Reading'!E18</f>
        <v>2109.3300000000745</v>
      </c>
      <c r="W16" s="26">
        <f>'Kwh Reading'!D19-'Kwh Reading'!D18</f>
        <v>1436.6499999999942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12</v>
      </c>
      <c r="D17" s="93">
        <v>2022</v>
      </c>
      <c r="E17" s="3">
        <f>('Kwh Reading'!T20-'Kwh Reading'!T19)*1000</f>
        <v>529.99999999997272</v>
      </c>
      <c r="F17" s="2">
        <f>('Kwh Reading'!F20-'Kwh Reading'!F19)*1000000</f>
        <v>2499.9999999999468</v>
      </c>
      <c r="G17" s="2">
        <f>('Kwh Reading'!C20-'Kwh Reading'!C19)*1000</f>
        <v>269.99999999998181</v>
      </c>
      <c r="H17" s="2">
        <f t="shared" si="0"/>
        <v>1090.0000000000887</v>
      </c>
      <c r="I17" s="2">
        <f>('Kwh Reading'!J20-'Kwh Reading'!J19)*1000</f>
        <v>470.00000000002728</v>
      </c>
      <c r="J17" s="2">
        <f>('Kwh Reading'!K20-'Kwh Reading'!K19)*1000</f>
        <v>280.0000000000864</v>
      </c>
      <c r="K17" s="2">
        <f>('Kwh Reading'!L20-'Kwh Reading'!L19)*1000</f>
        <v>339.99999999997499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300.00000000001137</v>
      </c>
      <c r="O17" s="2">
        <f>('Kwh Reading'!B20-'Kwh Reading'!B19)*1000000</f>
        <v>1100.000000000101</v>
      </c>
      <c r="P17" s="2">
        <f>('Kwh Reading'!M20-'Kwh Reading'!M19)*1000</f>
        <v>419.99999999995907</v>
      </c>
      <c r="Q17" s="2">
        <f>('Kwh Reading'!H20-'Kwh Reading'!H19)*1000000</f>
        <v>499.99999999994492</v>
      </c>
      <c r="R17" s="2">
        <f>('Kwh Reading'!P20-'Kwh Reading'!P19)*1000000</f>
        <v>400.00000000017798</v>
      </c>
      <c r="S17" s="2">
        <f>('Kwh Reading'!G20-'Kwh Reading'!G19)*1000000</f>
        <v>499.99999999994492</v>
      </c>
      <c r="T17" s="2">
        <f>('Kwh Reading'!Q20-'Kwh Reading'!Q19)*1000</f>
        <v>360.00000000001364</v>
      </c>
      <c r="U17" s="2">
        <f>('Kwh Reading'!N20-'Kwh Reading'!N19)*1000</f>
        <v>379.99999999999545</v>
      </c>
      <c r="V17" s="26">
        <f>'Kwh Reading'!E20-'Kwh Reading'!E19</f>
        <v>2393.5600000005215</v>
      </c>
      <c r="W17" s="26">
        <f>'Kwh Reading'!D20-'Kwh Reading'!D19</f>
        <v>1683.8899999999994</v>
      </c>
      <c r="X17" s="21">
        <f>('Kwh Reading'!O20-'Kwh Reading'!O19)*1000</f>
        <v>190.00000000005457</v>
      </c>
    </row>
    <row r="18" spans="1:24" x14ac:dyDescent="0.25">
      <c r="A18" s="36" t="s">
        <v>9</v>
      </c>
      <c r="B18" s="37">
        <f t="shared" si="1"/>
        <v>17</v>
      </c>
      <c r="C18" s="38">
        <v>12</v>
      </c>
      <c r="D18" s="93">
        <v>2022</v>
      </c>
      <c r="E18" s="3">
        <f>('Kwh Reading'!T21-'Kwh Reading'!T20)*1000</f>
        <v>259.99999999999091</v>
      </c>
      <c r="F18" s="2">
        <f>('Kwh Reading'!F21-'Kwh Reading'!F20)*1000000</f>
        <v>2699.9999999999245</v>
      </c>
      <c r="G18" s="2">
        <f>('Kwh Reading'!C21-'Kwh Reading'!C20)*1000</f>
        <v>270.00000000003865</v>
      </c>
      <c r="H18" s="2">
        <f t="shared" si="0"/>
        <v>1099.9999999999091</v>
      </c>
      <c r="I18" s="2">
        <f>('Kwh Reading'!J21-'Kwh Reading'!J20)*1000</f>
        <v>429.99999999994998</v>
      </c>
      <c r="J18" s="2">
        <f>('Kwh Reading'!K21-'Kwh Reading'!K20)*1000</f>
        <v>319.99999999993634</v>
      </c>
      <c r="K18" s="21">
        <f>('Kwh Reading'!L21-'Kwh Reading'!L20)*1000</f>
        <v>350.00000000002274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280.00000000002956</v>
      </c>
      <c r="O18" s="2">
        <f>('Kwh Reading'!B21-'Kwh Reading'!B20)*1000000</f>
        <v>1099.9999999998788</v>
      </c>
      <c r="P18" s="2">
        <f>('Kwh Reading'!M21-'Kwh Reading'!M20)*1000</f>
        <v>460.00000000003638</v>
      </c>
      <c r="Q18" s="2">
        <f>('Kwh Reading'!H21-'Kwh Reading'!H20)*1000000</f>
        <v>600.00000000015598</v>
      </c>
      <c r="R18" s="2">
        <f>('Kwh Reading'!P21-'Kwh Reading'!P20)*1000000</f>
        <v>399.99999999995595</v>
      </c>
      <c r="S18" s="2">
        <f>('Kwh Reading'!G21-'Kwh Reading'!G20)*1000000</f>
        <v>500.00000000016701</v>
      </c>
      <c r="T18" s="2">
        <f>('Kwh Reading'!Q21-'Kwh Reading'!Q20)*1000</f>
        <v>389.99999999998636</v>
      </c>
      <c r="U18" s="2">
        <f>('Kwh Reading'!N21-'Kwh Reading'!N20)*1000</f>
        <v>379.99999999999545</v>
      </c>
      <c r="V18" s="26">
        <f>'Kwh Reading'!E21-'Kwh Reading'!E20</f>
        <v>2150.019999999553</v>
      </c>
      <c r="W18" s="26">
        <f>'Kwh Reading'!D21-'Kwh Reading'!D20</f>
        <v>1641.3300000000017</v>
      </c>
      <c r="X18" s="21">
        <f>('Kwh Reading'!O21-'Kwh Reading'!O20)*1000</f>
        <v>269.99999999998181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12</v>
      </c>
      <c r="D19" s="93">
        <v>2022</v>
      </c>
      <c r="E19" s="3">
        <f>('Kwh Reading'!T22-'Kwh Reading'!T21)*1000</f>
        <v>509.99999999999091</v>
      </c>
      <c r="F19" s="2">
        <f>('Kwh Reading'!F22-'Kwh Reading'!F21)*1000000</f>
        <v>2499.9999999999468</v>
      </c>
      <c r="G19" s="2">
        <f>('Kwh Reading'!C22-'Kwh Reading'!C21)*1000</f>
        <v>250</v>
      </c>
      <c r="H19" s="2">
        <f t="shared" si="0"/>
        <v>1280.0000000000296</v>
      </c>
      <c r="I19" s="2">
        <f>('Kwh Reading'!J22-'Kwh Reading'!J21)*1000</f>
        <v>519.99999999998181</v>
      </c>
      <c r="J19" s="2">
        <f>('Kwh Reading'!K22-'Kwh Reading'!K21)*1000</f>
        <v>410.00000000008185</v>
      </c>
      <c r="K19" s="2">
        <f>('Kwh Reading'!L22-'Kwh Reading'!L21)*1000</f>
        <v>349.99999999996589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259.99999999999091</v>
      </c>
      <c r="O19" s="2">
        <f>('Kwh Reading'!B22-'Kwh Reading'!B21)*1000000</f>
        <v>1000.0000000001119</v>
      </c>
      <c r="P19" s="2">
        <f>('Kwh Reading'!M22-'Kwh Reading'!M21)*1000</f>
        <v>379.99999999999545</v>
      </c>
      <c r="Q19" s="2">
        <f>('Kwh Reading'!H22-'Kwh Reading'!H21)*1000000</f>
        <v>499.99999999994492</v>
      </c>
      <c r="R19" s="2">
        <f>('Kwh Reading'!P22-'Kwh Reading'!P21)*1000000</f>
        <v>499.99999999994492</v>
      </c>
      <c r="S19" s="2">
        <f>('Kwh Reading'!G22-'Kwh Reading'!G21)*1000000</f>
        <v>499.99999999994492</v>
      </c>
      <c r="T19" s="2">
        <f>('Kwh Reading'!Q22-'Kwh Reading'!Q21)*1000</f>
        <v>350.00000000002274</v>
      </c>
      <c r="U19" s="2">
        <f>('Kwh Reading'!N22-'Kwh Reading'!N21)*1000</f>
        <v>360.00000000001364</v>
      </c>
      <c r="V19" s="26">
        <f>'Kwh Reading'!E22-'Kwh Reading'!E21</f>
        <v>2469.160000000149</v>
      </c>
      <c r="W19" s="26">
        <f>'Kwh Reading'!D22-'Kwh Reading'!D21</f>
        <v>1700.8399999999965</v>
      </c>
      <c r="X19" s="21">
        <f>('Kwh Reading'!O22-'Kwh Reading'!O21)*1000</f>
        <v>209.99999999997954</v>
      </c>
    </row>
    <row r="20" spans="1:24" x14ac:dyDescent="0.25">
      <c r="A20" s="36" t="s">
        <v>9</v>
      </c>
      <c r="B20" s="37">
        <f t="shared" si="1"/>
        <v>19</v>
      </c>
      <c r="C20" s="38">
        <v>12</v>
      </c>
      <c r="D20" s="93">
        <v>2022</v>
      </c>
      <c r="E20" s="3">
        <f>('Kwh Reading'!T23-'Kwh Reading'!T22)*1000</f>
        <v>460.00000000003638</v>
      </c>
      <c r="F20" s="2">
        <f>('Kwh Reading'!F23-'Kwh Reading'!F22)*1000000</f>
        <v>2400.0000000001796</v>
      </c>
      <c r="G20" s="2">
        <f>('Kwh Reading'!C23-'Kwh Reading'!C22)*1000</f>
        <v>259.99999999999091</v>
      </c>
      <c r="H20" s="2">
        <f t="shared" si="0"/>
        <v>1510.0000000000477</v>
      </c>
      <c r="I20" s="2">
        <f>('Kwh Reading'!J23-'Kwh Reading'!J22)*1000</f>
        <v>670.00000000007276</v>
      </c>
      <c r="J20" s="2">
        <f>('Kwh Reading'!K23-'Kwh Reading'!K22)*1000</f>
        <v>449.99999999993179</v>
      </c>
      <c r="K20" s="2">
        <f>('Kwh Reading'!L23-'Kwh Reading'!L22)*1000</f>
        <v>390.0000000000432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290.00000000002046</v>
      </c>
      <c r="O20" s="2">
        <f>('Kwh Reading'!B23-'Kwh Reading'!B22)*1000000</f>
        <v>899.99999999990087</v>
      </c>
      <c r="P20" s="21">
        <f>('Kwh Reading'!M23-'Kwh Reading'!M22)*1000</f>
        <v>360.00000000001364</v>
      </c>
      <c r="Q20" s="2">
        <f>('Kwh Reading'!H23-'Kwh Reading'!H22)*1000000</f>
        <v>499.99999999994492</v>
      </c>
      <c r="R20" s="2">
        <f>('Kwh Reading'!P23-'Kwh Reading'!P22)*1000000</f>
        <v>399.99999999995595</v>
      </c>
      <c r="S20" s="2">
        <f>('Kwh Reading'!G23-'Kwh Reading'!G22)*1000000</f>
        <v>399.99999999995595</v>
      </c>
      <c r="T20" s="2">
        <f>('Kwh Reading'!Q23-'Kwh Reading'!Q22)*1000</f>
        <v>319.99999999993634</v>
      </c>
      <c r="U20" s="2">
        <f>('Kwh Reading'!N23-'Kwh Reading'!N22)*1000</f>
        <v>359.99999999989996</v>
      </c>
      <c r="V20" s="26">
        <f>'Kwh Reading'!E23-'Kwh Reading'!E22</f>
        <v>2362.5999999996275</v>
      </c>
      <c r="W20" s="26">
        <f>'Kwh Reading'!D23-'Kwh Reading'!D22</f>
        <v>1433.5299999999988</v>
      </c>
      <c r="X20" s="21">
        <f>('Kwh Reading'!O23-'Kwh Reading'!O22)*1000</f>
        <v>220.00000000002728</v>
      </c>
    </row>
    <row r="21" spans="1:24" x14ac:dyDescent="0.25">
      <c r="A21" s="36" t="s">
        <v>9</v>
      </c>
      <c r="B21" s="37">
        <f t="shared" si="1"/>
        <v>20</v>
      </c>
      <c r="C21" s="38">
        <v>12</v>
      </c>
      <c r="D21" s="93">
        <v>2022</v>
      </c>
      <c r="E21" s="3">
        <f>('Kwh Reading'!T24-'Kwh Reading'!T23)*1000</f>
        <v>610.00000000001364</v>
      </c>
      <c r="F21" s="2">
        <f>('Kwh Reading'!F24-'Kwh Reading'!F23)*1000000</f>
        <v>2299.9999999999686</v>
      </c>
      <c r="G21" s="2">
        <f>('Kwh Reading'!C24-'Kwh Reading'!C23)*1000</f>
        <v>269.99999999998181</v>
      </c>
      <c r="H21" s="2">
        <f t="shared" si="0"/>
        <v>1349.9999999999091</v>
      </c>
      <c r="I21" s="2">
        <f>('Kwh Reading'!J24-'Kwh Reading'!J23)*1000</f>
        <v>579.99999999992724</v>
      </c>
      <c r="J21" s="2">
        <f>('Kwh Reading'!K24-'Kwh Reading'!K23)*1000</f>
        <v>389.99999999998636</v>
      </c>
      <c r="K21" s="2">
        <f>('Kwh Reading'!L24-'Kwh Reading'!L23)*1000</f>
        <v>379.99999999999545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279.99999999997272</v>
      </c>
      <c r="O21" s="2">
        <f>('Kwh Reading'!B24-'Kwh Reading'!B23)*1000000</f>
        <v>1000.0000000001119</v>
      </c>
      <c r="P21" s="2">
        <f>('Kwh Reading'!M24-'Kwh Reading'!M23)*1000</f>
        <v>329.99999999992724</v>
      </c>
      <c r="Q21" s="2">
        <f>('Kwh Reading'!H24-'Kwh Reading'!H23)*1000000</f>
        <v>499.99999999994492</v>
      </c>
      <c r="R21" s="2">
        <f>('Kwh Reading'!P24-'Kwh Reading'!P23)*1000000</f>
        <v>399.99999999995595</v>
      </c>
      <c r="S21" s="2">
        <f>('Kwh Reading'!G24-'Kwh Reading'!G23)*1000000</f>
        <v>499.99999999994492</v>
      </c>
      <c r="T21" s="2">
        <f>('Kwh Reading'!Q24-'Kwh Reading'!Q23)*1000</f>
        <v>350.00000000002274</v>
      </c>
      <c r="U21" s="2">
        <f>('Kwh Reading'!N24-'Kwh Reading'!N23)*1000</f>
        <v>310.00000000005912</v>
      </c>
      <c r="V21" s="26">
        <f>'Kwh Reading'!E24-'Kwh Reading'!E23</f>
        <v>2275.4499999992549</v>
      </c>
      <c r="W21" s="121">
        <f>'Kwh Reading'!D24-'Kwh Reading'!D23</f>
        <v>1440.2100000000064</v>
      </c>
      <c r="X21" s="21">
        <f>('Kwh Reading'!O24-'Kwh Reading'!O23)*1000</f>
        <v>199.99999999998863</v>
      </c>
    </row>
    <row r="22" spans="1:24" x14ac:dyDescent="0.25">
      <c r="A22" s="36" t="s">
        <v>9</v>
      </c>
      <c r="B22" s="37">
        <f t="shared" si="1"/>
        <v>21</v>
      </c>
      <c r="C22" s="38">
        <v>12</v>
      </c>
      <c r="D22" s="93">
        <v>2022</v>
      </c>
      <c r="E22" s="3">
        <f>('Kwh Reading'!T25-'Kwh Reading'!T24)*1000</f>
        <v>500</v>
      </c>
      <c r="F22" s="2">
        <f>('Kwh Reading'!F25-'Kwh Reading'!F24)*1000000</f>
        <v>2399.9999999997358</v>
      </c>
      <c r="G22" s="2">
        <f>('Kwh Reading'!C25-'Kwh Reading'!C24)*1000</f>
        <v>270.00000000003865</v>
      </c>
      <c r="H22" s="2">
        <f t="shared" si="0"/>
        <v>1249.9999999999432</v>
      </c>
      <c r="I22" s="2">
        <f>('Kwh Reading'!J25-'Kwh Reading'!J24)*1000</f>
        <v>509.99999999999091</v>
      </c>
      <c r="J22" s="2">
        <f>('Kwh Reading'!K25-'Kwh Reading'!K24)*1000</f>
        <v>399.99999999997726</v>
      </c>
      <c r="K22" s="2">
        <f>('Kwh Reading'!L25-'Kwh Reading'!L24)*1000</f>
        <v>339.99999999997499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279.99999999997272</v>
      </c>
      <c r="O22" s="2">
        <f>('Kwh Reading'!B25-'Kwh Reading'!B24)*1000000</f>
        <v>799.99999999991189</v>
      </c>
      <c r="P22" s="2">
        <f>('Kwh Reading'!M25-'Kwh Reading'!M24)*1000</f>
        <v>310.00000000005912</v>
      </c>
      <c r="Q22" s="2">
        <f>('Kwh Reading'!H25-'Kwh Reading'!H24)*1000000</f>
        <v>500.00000000016701</v>
      </c>
      <c r="R22" s="2">
        <f>('Kwh Reading'!P25-'Kwh Reading'!P24)*1000000</f>
        <v>300.000000000189</v>
      </c>
      <c r="S22" s="2">
        <f>('Kwh Reading'!G25-'Kwh Reading'!G24)*1000000</f>
        <v>399.99999999995595</v>
      </c>
      <c r="T22" s="2">
        <f>('Kwh Reading'!Q25-'Kwh Reading'!Q24)*1000</f>
        <v>350.00000000002274</v>
      </c>
      <c r="U22" s="2">
        <f>('Kwh Reading'!N25-'Kwh Reading'!N24)*1000</f>
        <v>289.99999999996362</v>
      </c>
      <c r="V22" s="2">
        <f>'Kwh Reading'!E25-'Kwh Reading'!E24</f>
        <v>2229.9600000008941</v>
      </c>
      <c r="W22" s="2">
        <f>'Kwh Reading'!D25-'Kwh Reading'!D24</f>
        <v>1462.679999999993</v>
      </c>
      <c r="X22" s="21">
        <f>('Kwh Reading'!O25-'Kwh Reading'!O24)*1000</f>
        <v>269.99999999998181</v>
      </c>
    </row>
    <row r="23" spans="1:24" x14ac:dyDescent="0.25">
      <c r="A23" s="36" t="s">
        <v>9</v>
      </c>
      <c r="B23" s="37">
        <f t="shared" si="1"/>
        <v>22</v>
      </c>
      <c r="C23" s="38">
        <v>12</v>
      </c>
      <c r="D23" s="93">
        <v>2022</v>
      </c>
      <c r="E23" s="3">
        <f>('Kwh Reading'!T26-'Kwh Reading'!T25)*1000</f>
        <v>509.99999999999091</v>
      </c>
      <c r="F23" s="2">
        <f>('Kwh Reading'!F26-'Kwh Reading'!F25)*1000000</f>
        <v>2400.0000000001796</v>
      </c>
      <c r="G23" s="2">
        <f>('Kwh Reading'!C26-'Kwh Reading'!C25)*1000</f>
        <v>279.99999999997272</v>
      </c>
      <c r="H23" s="2">
        <f t="shared" si="0"/>
        <v>1270.0000000002092</v>
      </c>
      <c r="I23" s="2">
        <f>('Kwh Reading'!J26-'Kwh Reading'!J25)*1000</f>
        <v>530.0000000000864</v>
      </c>
      <c r="J23" s="2">
        <f>('Kwh Reading'!K26-'Kwh Reading'!K25)*1000</f>
        <v>390.00000000010004</v>
      </c>
      <c r="K23" s="2">
        <f>('Kwh Reading'!L26-'Kwh Reading'!L25)*1000</f>
        <v>350.00000000002274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290.00000000002046</v>
      </c>
      <c r="O23" s="2">
        <f>('Kwh Reading'!B26-'Kwh Reading'!B25)*1000000</f>
        <v>1000.0000000001119</v>
      </c>
      <c r="P23" s="2">
        <f>('Kwh Reading'!M26-'Kwh Reading'!M25)*1000</f>
        <v>330.00000000004093</v>
      </c>
      <c r="Q23" s="2">
        <f>('Kwh Reading'!H26-'Kwh Reading'!H25)*1000000</f>
        <v>599.99999999993395</v>
      </c>
      <c r="R23" s="2">
        <f>('Kwh Reading'!P26-'Kwh Reading'!P25)*1000000</f>
        <v>399.99999999995595</v>
      </c>
      <c r="S23" s="2">
        <f>('Kwh Reading'!G26-'Kwh Reading'!G25)*1000000</f>
        <v>500.00000000016701</v>
      </c>
      <c r="T23" s="2">
        <f>('Kwh Reading'!Q26-'Kwh Reading'!Q25)*1000</f>
        <v>389.99999999998636</v>
      </c>
      <c r="U23" s="2">
        <f>('Kwh Reading'!N26-'Kwh Reading'!N25)*1000</f>
        <v>340.00000000003183</v>
      </c>
      <c r="V23" s="2">
        <f>'Kwh Reading'!E26-'Kwh Reading'!E25</f>
        <v>2382.5800000000745</v>
      </c>
      <c r="W23" s="2">
        <f>'Kwh Reading'!D26-'Kwh Reading'!D25</f>
        <v>1538.0400000000081</v>
      </c>
      <c r="X23" s="21">
        <f>('Kwh Reading'!O26-'Kwh Reading'!O25)*1000</f>
        <v>220.00000000002728</v>
      </c>
    </row>
    <row r="24" spans="1:24" x14ac:dyDescent="0.25">
      <c r="A24" s="36" t="s">
        <v>9</v>
      </c>
      <c r="B24" s="37">
        <f t="shared" si="1"/>
        <v>23</v>
      </c>
      <c r="C24" s="38">
        <v>12</v>
      </c>
      <c r="D24" s="93">
        <v>2022</v>
      </c>
      <c r="E24" s="3">
        <f>('Kwh Reading'!T27-'Kwh Reading'!T26)*1000</f>
        <v>539.99999999996362</v>
      </c>
      <c r="F24" s="2">
        <f>('Kwh Reading'!F27-'Kwh Reading'!F26)*1000000</f>
        <v>2499.9999999999468</v>
      </c>
      <c r="G24" s="2">
        <f>('Kwh Reading'!C27-'Kwh Reading'!C26)*1000</f>
        <v>269.99999999998181</v>
      </c>
      <c r="H24" s="2">
        <f t="shared" si="0"/>
        <v>1349.9999999999091</v>
      </c>
      <c r="I24" s="2">
        <f>('Kwh Reading'!J27-'Kwh Reading'!J26)*1000</f>
        <v>519.99999999998181</v>
      </c>
      <c r="J24" s="2">
        <f>('Kwh Reading'!K27-'Kwh Reading'!K26)*1000</f>
        <v>429.99999999994998</v>
      </c>
      <c r="K24" s="2">
        <f>('Kwh Reading'!L27-'Kwh Reading'!L26)*1000</f>
        <v>399.99999999997726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350.00000000002274</v>
      </c>
      <c r="O24" s="2">
        <f>('Kwh Reading'!B27-'Kwh Reading'!B26)*1000000</f>
        <v>1099.9999999998788</v>
      </c>
      <c r="P24" s="2">
        <f>('Kwh Reading'!M27-'Kwh Reading'!M26)*1000</f>
        <v>409.99999999996817</v>
      </c>
      <c r="Q24" s="2">
        <f>('Kwh Reading'!H27-'Kwh Reading'!H26)*1000000</f>
        <v>599.99999999993395</v>
      </c>
      <c r="R24" s="2">
        <f>('Kwh Reading'!P27-'Kwh Reading'!P26)*1000000</f>
        <v>499.99999999994492</v>
      </c>
      <c r="S24" s="2">
        <f>('Kwh Reading'!G27-'Kwh Reading'!G26)*1000000</f>
        <v>499.99999999994492</v>
      </c>
      <c r="T24" s="2">
        <f>('Kwh Reading'!Q27-'Kwh Reading'!Q26)*1000</f>
        <v>409.99999999996817</v>
      </c>
      <c r="U24" s="2">
        <f>('Kwh Reading'!N27-'Kwh Reading'!N26)*1000</f>
        <v>439.99999999994088</v>
      </c>
      <c r="V24" s="2">
        <f>'Kwh Reading'!E27-'Kwh Reading'!E26</f>
        <v>2533.9900000002235</v>
      </c>
      <c r="W24" s="2">
        <f>'Kwh Reading'!D27-'Kwh Reading'!D26</f>
        <v>1713.8199999999924</v>
      </c>
      <c r="X24" s="21">
        <f>('Kwh Reading'!O27-'Kwh Reading'!O26)*1000</f>
        <v>229.99999999996135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12</v>
      </c>
      <c r="D25" s="93">
        <v>2022</v>
      </c>
      <c r="E25" s="103">
        <f>('Kwh Reading'!T28-'Kwh Reading'!T27)*1000</f>
        <v>420.00000000007276</v>
      </c>
      <c r="F25" s="21">
        <f>('Kwh Reading'!F28-'Kwh Reading'!F27)*1000000</f>
        <v>2600.0000000001578</v>
      </c>
      <c r="G25" s="21">
        <f>('Kwh Reading'!C28-'Kwh Reading'!C27)*1000</f>
        <v>259.99999999999091</v>
      </c>
      <c r="H25" s="2">
        <f t="shared" si="0"/>
        <v>1009.9999999999909</v>
      </c>
      <c r="I25" s="21">
        <f>('Kwh Reading'!J28-'Kwh Reading'!J27)*1000</f>
        <v>500</v>
      </c>
      <c r="J25" s="21">
        <f>('Kwh Reading'!K28-'Kwh Reading'!K27)*1000</f>
        <v>159.99999999996817</v>
      </c>
      <c r="K25" s="21">
        <f>('Kwh Reading'!L28-'Kwh Reading'!L27)*1000</f>
        <v>350.00000000002274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277.99999999996317</v>
      </c>
      <c r="O25" s="2">
        <f>('Kwh Reading'!B28-'Kwh Reading'!B27)*1000000</f>
        <v>1000.0000000001119</v>
      </c>
      <c r="P25" s="21">
        <f>('Kwh Reading'!M28-'Kwh Reading'!M27)*1000</f>
        <v>379.99999999999545</v>
      </c>
      <c r="Q25" s="2">
        <f>('Kwh Reading'!H28-'Kwh Reading'!H27)*1000000</f>
        <v>600.00000000015598</v>
      </c>
      <c r="R25" s="2">
        <f>('Kwh Reading'!P28-'Kwh Reading'!P27)*1000000</f>
        <v>399.99999999995595</v>
      </c>
      <c r="S25" s="21">
        <f>('Kwh Reading'!G28-'Kwh Reading'!G27)*1000000</f>
        <v>399.99999999995595</v>
      </c>
      <c r="T25" s="21">
        <f>('Kwh Reading'!Q28-'Kwh Reading'!Q27)*1000</f>
        <v>389.99999999998636</v>
      </c>
      <c r="U25" s="21">
        <f>('Kwh Reading'!N28-'Kwh Reading'!N27)*1000</f>
        <v>410.00000000008185</v>
      </c>
      <c r="V25" s="21">
        <f>'Kwh Reading'!E28-'Kwh Reading'!E27</f>
        <v>2256.2799999993294</v>
      </c>
      <c r="W25" s="21">
        <f>'Kwh Reading'!D28-'Kwh Reading'!D27</f>
        <v>1790.9000000000087</v>
      </c>
      <c r="X25" s="21">
        <f>('Kwh Reading'!O28-'Kwh Reading'!O27)*1000</f>
        <v>210.00000000003638</v>
      </c>
    </row>
    <row r="26" spans="1:24" s="104" customFormat="1" x14ac:dyDescent="0.25">
      <c r="A26" s="36" t="s">
        <v>9</v>
      </c>
      <c r="B26" s="37">
        <f>B25+1</f>
        <v>25</v>
      </c>
      <c r="C26" s="38">
        <v>12</v>
      </c>
      <c r="D26" s="93">
        <v>2022</v>
      </c>
      <c r="E26" s="103">
        <f>('Kwh Reading'!T29-'Kwh Reading'!T28)*1000</f>
        <v>649.99999999997726</v>
      </c>
      <c r="F26" s="21">
        <f>('Kwh Reading'!F29-'Kwh Reading'!F28)*1000000</f>
        <v>2699.9999999999245</v>
      </c>
      <c r="G26" s="21">
        <f>('Kwh Reading'!C29-'Kwh Reading'!C28)*1000</f>
        <v>270.00000000003865</v>
      </c>
      <c r="H26" s="2">
        <f t="shared" si="0"/>
        <v>1589.999999999975</v>
      </c>
      <c r="I26" s="21">
        <f>('Kwh Reading'!J29-'Kwh Reading'!J28)*1000</f>
        <v>589.99999999991815</v>
      </c>
      <c r="J26" s="21">
        <f>('Kwh Reading'!K29-'Kwh Reading'!K28)*1000</f>
        <v>580.00000000004093</v>
      </c>
      <c r="K26" s="21">
        <f>('Kwh Reading'!L29-'Kwh Reading'!L28)*1000</f>
        <v>420.00000000001592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442.00000000000728</v>
      </c>
      <c r="O26" s="2">
        <f>('Kwh Reading'!B29-'Kwh Reading'!B28)*1000000</f>
        <v>1099.9999999998788</v>
      </c>
      <c r="P26" s="21">
        <f>('Kwh Reading'!M29-'Kwh Reading'!M28)*1000</f>
        <v>470.00000000002728</v>
      </c>
      <c r="Q26" s="2">
        <f>('Kwh Reading'!H29-'Kwh Reading'!H28)*1000000</f>
        <v>699.99999999992292</v>
      </c>
      <c r="R26" s="2">
        <f>('Kwh Reading'!P29-'Kwh Reading'!P28)*1000000</f>
        <v>499.99999999994492</v>
      </c>
      <c r="S26" s="21">
        <f>('Kwh Reading'!G29-'Kwh Reading'!G28)*1000000</f>
        <v>499.99999999994492</v>
      </c>
      <c r="T26" s="21">
        <f>('Kwh Reading'!Q29-'Kwh Reading'!Q28)*1000</f>
        <v>440.00000000005457</v>
      </c>
      <c r="U26" s="21">
        <f>('Kwh Reading'!N29-'Kwh Reading'!N28)*1000</f>
        <v>449.99999999993179</v>
      </c>
      <c r="V26" s="21">
        <f>'Kwh Reading'!E29-'Kwh Reading'!E28</f>
        <v>2869.5</v>
      </c>
      <c r="W26" s="21">
        <f>'Kwh Reading'!D29-'Kwh Reading'!D28</f>
        <v>2048.2899999999936</v>
      </c>
      <c r="X26" s="21">
        <f>('Kwh Reading'!O29-'Kwh Reading'!O28)*1000</f>
        <v>250</v>
      </c>
    </row>
    <row r="27" spans="1:24" x14ac:dyDescent="0.25">
      <c r="A27" s="36" t="s">
        <v>9</v>
      </c>
      <c r="B27" s="37">
        <f t="shared" si="1"/>
        <v>26</v>
      </c>
      <c r="C27" s="38">
        <v>12</v>
      </c>
      <c r="D27" s="93">
        <v>2022</v>
      </c>
      <c r="E27" s="3">
        <f>('Kwh Reading'!T30-'Kwh Reading'!T29)*1000</f>
        <v>839.99999999991815</v>
      </c>
      <c r="F27" s="2">
        <f>('Kwh Reading'!F30-'Kwh Reading'!F29)*1000000</f>
        <v>2600.0000000001578</v>
      </c>
      <c r="G27" s="2">
        <f>('Kwh Reading'!C30-'Kwh Reading'!C29)*1000</f>
        <v>279.99999999997272</v>
      </c>
      <c r="H27" s="2">
        <f t="shared" si="0"/>
        <v>1700.0000000001023</v>
      </c>
      <c r="I27" s="2">
        <f>('Kwh Reading'!J30-'Kwh Reading'!J29)*1000</f>
        <v>770.0000000000955</v>
      </c>
      <c r="J27" s="2">
        <f>('Kwh Reading'!K30-'Kwh Reading'!K29)*1000</f>
        <v>460.00000000003638</v>
      </c>
      <c r="K27" s="2">
        <f>('Kwh Reading'!L30-'Kwh Reading'!L29)*1000</f>
        <v>469.99999999997044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370.00000000000455</v>
      </c>
      <c r="O27" s="2">
        <f>('Kwh Reading'!B30-'Kwh Reading'!B29)*1000000</f>
        <v>1100.000000000101</v>
      </c>
      <c r="P27" s="2">
        <f>('Kwh Reading'!M30-'Kwh Reading'!M29)*1000</f>
        <v>439.99999999994088</v>
      </c>
      <c r="Q27" s="2">
        <f>('Kwh Reading'!H30-'Kwh Reading'!H29)*1000000</f>
        <v>699.99999999992292</v>
      </c>
      <c r="R27" s="2">
        <f>('Kwh Reading'!P30-'Kwh Reading'!P29)*1000000</f>
        <v>500.00000000016701</v>
      </c>
      <c r="S27" s="2">
        <f>('Kwh Reading'!G30-'Kwh Reading'!G29)*1000000</f>
        <v>600.00000000015598</v>
      </c>
      <c r="T27" s="2">
        <f>('Kwh Reading'!Q30-'Kwh Reading'!Q29)*1000</f>
        <v>409.99999999996817</v>
      </c>
      <c r="U27" s="2">
        <f>('Kwh Reading'!N30-'Kwh Reading'!N29)*1000</f>
        <v>460.00000000003638</v>
      </c>
      <c r="V27" s="2">
        <f>'Kwh Reading'!E30-'Kwh Reading'!E29</f>
        <v>3090.6200000010431</v>
      </c>
      <c r="W27" s="2">
        <f>'Kwh Reading'!D30-'Kwh Reading'!D29</f>
        <v>1987.3600000000006</v>
      </c>
      <c r="X27" s="21">
        <f>('Kwh Reading'!O30-'Kwh Reading'!O29)*1000</f>
        <v>279.99999999997272</v>
      </c>
    </row>
    <row r="28" spans="1:24" x14ac:dyDescent="0.25">
      <c r="A28" s="36" t="s">
        <v>9</v>
      </c>
      <c r="B28" s="37">
        <f t="shared" si="1"/>
        <v>27</v>
      </c>
      <c r="C28" s="38">
        <v>12</v>
      </c>
      <c r="D28" s="93">
        <v>2022</v>
      </c>
      <c r="E28" s="3">
        <f>('Kwh Reading'!T31-'Kwh Reading'!T30)*1000</f>
        <v>450.00000000004547</v>
      </c>
      <c r="F28" s="2">
        <f>('Kwh Reading'!F31-'Kwh Reading'!F30)*1000000</f>
        <v>2599.9999999997135</v>
      </c>
      <c r="G28" s="2">
        <f>('Kwh Reading'!C31-'Kwh Reading'!C30)*1000</f>
        <v>270.00000000003865</v>
      </c>
      <c r="H28" s="2">
        <f t="shared" si="0"/>
        <v>1559.9999999998886</v>
      </c>
      <c r="I28" s="2">
        <f>('Kwh Reading'!J31-'Kwh Reading'!J30)*1000</f>
        <v>689.99999999994088</v>
      </c>
      <c r="J28" s="2">
        <f>('Kwh Reading'!K31-'Kwh Reading'!K30)*1000</f>
        <v>429.99999999994998</v>
      </c>
      <c r="K28" s="2">
        <f>('Kwh Reading'!L31-'Kwh Reading'!L30)*1000</f>
        <v>439.99999999999773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370.00000000000455</v>
      </c>
      <c r="O28" s="2">
        <f>('Kwh Reading'!B31-'Kwh Reading'!B30)*1000000</f>
        <v>999.99999999988984</v>
      </c>
      <c r="P28" s="2">
        <f>('Kwh Reading'!M31-'Kwh Reading'!M30)*1000</f>
        <v>360.00000000001364</v>
      </c>
      <c r="Q28" s="2">
        <f>('Kwh Reading'!H31-'Kwh Reading'!H30)*1000000</f>
        <v>1300.0000000000789</v>
      </c>
      <c r="R28" s="2">
        <f>('Kwh Reading'!P31-'Kwh Reading'!P30)*1000000</f>
        <v>499.99999999994492</v>
      </c>
      <c r="S28" s="2">
        <f>('Kwh Reading'!G31-'Kwh Reading'!G30)*1000000</f>
        <v>399.99999999995595</v>
      </c>
      <c r="T28" s="2">
        <f>('Kwh Reading'!Q31-'Kwh Reading'!Q30)*1000</f>
        <v>360.00000000001364</v>
      </c>
      <c r="U28" s="2">
        <f>('Kwh Reading'!N31-'Kwh Reading'!N30)*1000</f>
        <v>399.99999999997726</v>
      </c>
      <c r="V28" s="2">
        <f>'Kwh Reading'!E31-'Kwh Reading'!E30</f>
        <v>2456.6399999987334</v>
      </c>
      <c r="W28" s="2">
        <f>'Kwh Reading'!D31-'Kwh Reading'!D30</f>
        <v>1604.6600000000035</v>
      </c>
      <c r="X28" s="21">
        <f>('Kwh Reading'!O31-'Kwh Reading'!O30)*1000</f>
        <v>240.00000000000909</v>
      </c>
    </row>
    <row r="29" spans="1:24" x14ac:dyDescent="0.25">
      <c r="A29" s="36" t="s">
        <v>9</v>
      </c>
      <c r="B29" s="37">
        <f t="shared" si="1"/>
        <v>28</v>
      </c>
      <c r="C29" s="38">
        <v>12</v>
      </c>
      <c r="D29" s="93">
        <v>2022</v>
      </c>
      <c r="E29" s="3">
        <f>('Kwh Reading'!T32-'Kwh Reading'!T31)*1000</f>
        <v>639.99999999998636</v>
      </c>
      <c r="F29" s="2">
        <f>('Kwh Reading'!F32-'Kwh Reading'!F31)*1000000</f>
        <v>2600.0000000001578</v>
      </c>
      <c r="G29" s="2">
        <f>('Kwh Reading'!C32-'Kwh Reading'!C31)*1000</f>
        <v>269.99999999998181</v>
      </c>
      <c r="H29" s="2">
        <f t="shared" si="0"/>
        <v>1860.0000000000136</v>
      </c>
      <c r="I29" s="2">
        <f>('Kwh Reading'!J32-'Kwh Reading'!J31)*1000</f>
        <v>899.99999999997726</v>
      </c>
      <c r="J29" s="2">
        <f>('Kwh Reading'!K32-'Kwh Reading'!K31)*1000</f>
        <v>490.00000000000909</v>
      </c>
      <c r="K29" s="2">
        <f>('Kwh Reading'!L32-'Kwh Reading'!L31)*1000</f>
        <v>470.00000000002728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350.00000000002274</v>
      </c>
      <c r="O29" s="2">
        <f>('Kwh Reading'!B32-'Kwh Reading'!B31)*1000000</f>
        <v>1200.0000000000898</v>
      </c>
      <c r="P29" s="2">
        <f>('Kwh Reading'!M32-'Kwh Reading'!M31)*1000</f>
        <v>409.99999999996817</v>
      </c>
      <c r="Q29" s="2">
        <f>('Kwh Reading'!H32-'Kwh Reading'!H31)*1000000</f>
        <v>99.999999999988987</v>
      </c>
      <c r="R29" s="2">
        <f>('Kwh Reading'!P32-'Kwh Reading'!P31)*1000000</f>
        <v>599.99999999993395</v>
      </c>
      <c r="S29" s="2">
        <f>('Kwh Reading'!G32-'Kwh Reading'!G31)*1000000</f>
        <v>599.99999999993395</v>
      </c>
      <c r="T29" s="2">
        <f>('Kwh Reading'!Q32-'Kwh Reading'!Q31)*1000</f>
        <v>409.99999999996817</v>
      </c>
      <c r="U29" s="2">
        <f>('Kwh Reading'!N32-'Kwh Reading'!N31)*1000</f>
        <v>480.00000000001819</v>
      </c>
      <c r="V29" s="2">
        <f>'Kwh Reading'!E32-'Kwh Reading'!E31</f>
        <v>2756.2000000011176</v>
      </c>
      <c r="W29" s="2">
        <f>'Kwh Reading'!D32-'Kwh Reading'!D31</f>
        <v>1762.7799999999988</v>
      </c>
      <c r="X29" s="21">
        <f>('Kwh Reading'!O32-'Kwh Reading'!O31)*1000</f>
        <v>240.00000000000909</v>
      </c>
    </row>
    <row r="30" spans="1:24" x14ac:dyDescent="0.25">
      <c r="A30" s="36" t="s">
        <v>9</v>
      </c>
      <c r="B30" s="37">
        <f t="shared" si="1"/>
        <v>29</v>
      </c>
      <c r="C30" s="38">
        <v>12</v>
      </c>
      <c r="D30" s="93">
        <v>2022</v>
      </c>
      <c r="E30" s="3">
        <f>('Kwh Reading'!T33-'Kwh Reading'!T32)*1000</f>
        <v>620.00000000000455</v>
      </c>
      <c r="F30" s="2">
        <f>('Kwh Reading'!F33-'Kwh Reading'!F32)*1000000</f>
        <v>2699.9999999999245</v>
      </c>
      <c r="G30" s="2">
        <f>('Kwh Reading'!C33-'Kwh Reading'!C32)*1000</f>
        <v>279.99999999997272</v>
      </c>
      <c r="H30" s="2">
        <f t="shared" si="0"/>
        <v>1990.0000000000091</v>
      </c>
      <c r="I30" s="2">
        <f>('Kwh Reading'!J33-'Kwh Reading'!J32)*1000</f>
        <v>970.00000000002728</v>
      </c>
      <c r="J30" s="2">
        <f>('Kwh Reading'!K33-'Kwh Reading'!K32)*1000</f>
        <v>509.99999999999091</v>
      </c>
      <c r="K30" s="2">
        <f>('Kwh Reading'!L33-'Kwh Reading'!L32)*1000</f>
        <v>509.99999999999091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310.00000000000227</v>
      </c>
      <c r="O30" s="2">
        <f>('Kwh Reading'!B33-'Kwh Reading'!B32)*1000000</f>
        <v>1099.9999999998788</v>
      </c>
      <c r="P30" s="2">
        <f>('Kwh Reading'!M33-'Kwh Reading'!M32)*1000</f>
        <v>450.00000000004547</v>
      </c>
      <c r="Q30" s="2">
        <f>('Kwh Reading'!H33-'Kwh Reading'!H32)*1000000</f>
        <v>799.99999999991189</v>
      </c>
      <c r="R30" s="2">
        <f>('Kwh Reading'!P33-'Kwh Reading'!P32)*1000000</f>
        <v>499.99999999994492</v>
      </c>
      <c r="S30" s="2">
        <f>('Kwh Reading'!G33-'Kwh Reading'!G32)*1000000</f>
        <v>499.99999999994492</v>
      </c>
      <c r="T30" s="2">
        <f>('Kwh Reading'!Q33-'Kwh Reading'!Q32)*1000</f>
        <v>450.00000000004547</v>
      </c>
      <c r="U30" s="2">
        <f>('Kwh Reading'!N33-'Kwh Reading'!N32)*1000</f>
        <v>460.00000000003638</v>
      </c>
      <c r="V30" s="2">
        <f>'Kwh Reading'!E33-'Kwh Reading'!E32</f>
        <v>2841.7599999997765</v>
      </c>
      <c r="W30" s="2">
        <f>'Kwh Reading'!D33-'Kwh Reading'!D32</f>
        <v>1921.6199999999953</v>
      </c>
      <c r="X30" s="21">
        <f>('Kwh Reading'!O33-'Kwh Reading'!O32)*1000</f>
        <v>269.99999999998181</v>
      </c>
    </row>
    <row r="31" spans="1:24" x14ac:dyDescent="0.25">
      <c r="A31" s="36" t="s">
        <v>9</v>
      </c>
      <c r="B31" s="37">
        <f t="shared" si="1"/>
        <v>30</v>
      </c>
      <c r="C31" s="38">
        <v>12</v>
      </c>
      <c r="D31" s="93">
        <v>2022</v>
      </c>
      <c r="E31" s="3">
        <f>('Kwh Reading'!T34-'Kwh Reading'!T33)*1000</f>
        <v>690.00000000005457</v>
      </c>
      <c r="F31" s="2">
        <f>('Kwh Reading'!F34-'Kwh Reading'!F33)*1000000</f>
        <v>2699.9999999999245</v>
      </c>
      <c r="G31" s="2">
        <f>('Kwh Reading'!C34-'Kwh Reading'!C33)*1000</f>
        <v>290.00000000002046</v>
      </c>
      <c r="H31" s="2">
        <f t="shared" si="0"/>
        <v>1960.0000000000364</v>
      </c>
      <c r="I31" s="2">
        <f>('Kwh Reading'!J34-'Kwh Reading'!J33)*1000</f>
        <v>960.00000000003638</v>
      </c>
      <c r="J31" s="2">
        <f>('Kwh Reading'!K34-'Kwh Reading'!K33)*1000</f>
        <v>460.00000000003638</v>
      </c>
      <c r="K31" s="2">
        <f>('Kwh Reading'!L34-'Kwh Reading'!L33)*1000</f>
        <v>539.99999999996362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370.00000000000455</v>
      </c>
      <c r="O31" s="2">
        <f>('Kwh Reading'!B34-'Kwh Reading'!B33)*1000000</f>
        <v>1200.0000000000898</v>
      </c>
      <c r="P31" s="2">
        <f>('Kwh Reading'!M34-'Kwh Reading'!M33)*1000</f>
        <v>549.99999999995453</v>
      </c>
      <c r="Q31" s="2">
        <f>('Kwh Reading'!H34-'Kwh Reading'!H33)*1000000</f>
        <v>700.00000000014495</v>
      </c>
      <c r="R31" s="2">
        <f>('Kwh Reading'!P34-'Kwh Reading'!P33)*1000000</f>
        <v>500.00000000016701</v>
      </c>
      <c r="S31" s="2">
        <f>('Kwh Reading'!G34-'Kwh Reading'!G33)*1000000</f>
        <v>500.00000000016701</v>
      </c>
      <c r="T31" s="2">
        <f>('Kwh Reading'!Q34-'Kwh Reading'!Q33)*1000</f>
        <v>439.99999999994088</v>
      </c>
      <c r="U31" s="2">
        <f>('Kwh Reading'!N34-'Kwh Reading'!N33)*1000</f>
        <v>480.00000000001819</v>
      </c>
      <c r="V31" s="2">
        <f>'Kwh Reading'!E34-'Kwh Reading'!E33</f>
        <v>3131.0499999988824</v>
      </c>
      <c r="W31" s="2">
        <f>'Kwh Reading'!D34-'Kwh Reading'!D33</f>
        <v>1975.0999999999913</v>
      </c>
      <c r="X31" s="21">
        <f>('Kwh Reading'!O34-'Kwh Reading'!O33)*1000</f>
        <v>280.00000000002956</v>
      </c>
    </row>
    <row r="32" spans="1:24" x14ac:dyDescent="0.25">
      <c r="A32" s="126" t="s">
        <v>41</v>
      </c>
      <c r="B32" s="126"/>
      <c r="C32" s="126"/>
      <c r="D32" s="126"/>
      <c r="E32" s="60">
        <f>SUM(E2:E31)</f>
        <v>15470.000000000025</v>
      </c>
      <c r="F32" s="60">
        <f>SUM(F2:F31)</f>
        <v>76299.99999999984</v>
      </c>
      <c r="G32" s="60">
        <f>SUM(G2:G31)</f>
        <v>8040.0000000000182</v>
      </c>
      <c r="H32" s="60"/>
      <c r="I32" s="60">
        <f>SUM(I2:I31)</f>
        <v>16340.000000000035</v>
      </c>
      <c r="J32" s="60">
        <f t="shared" ref="J32:X32" si="2">SUM(J2:J31)</f>
        <v>10610.000000000015</v>
      </c>
      <c r="K32" s="60">
        <f t="shared" si="2"/>
        <v>10119.999999999949</v>
      </c>
      <c r="L32" s="60">
        <f t="shared" si="2"/>
        <v>0</v>
      </c>
      <c r="M32" s="60">
        <f t="shared" si="2"/>
        <v>0</v>
      </c>
      <c r="N32" s="60">
        <f t="shared" si="2"/>
        <v>8939.9999999999964</v>
      </c>
      <c r="O32" s="60">
        <f t="shared" si="2"/>
        <v>30599.999999999971</v>
      </c>
      <c r="P32" s="60">
        <f t="shared" si="2"/>
        <v>11730.000000000018</v>
      </c>
      <c r="Q32" s="60">
        <f t="shared" si="2"/>
        <v>16700.000000000164</v>
      </c>
      <c r="R32" s="60">
        <f t="shared" si="2"/>
        <v>13400.000000000084</v>
      </c>
      <c r="S32" s="60">
        <f t="shared" si="2"/>
        <v>14000.000000000018</v>
      </c>
      <c r="T32" s="60">
        <f t="shared" si="2"/>
        <v>9939.9999999999382</v>
      </c>
      <c r="U32" s="60">
        <f t="shared" si="2"/>
        <v>10560.000000000058</v>
      </c>
      <c r="V32" s="60">
        <f t="shared" si="2"/>
        <v>73043.219999998808</v>
      </c>
      <c r="W32" s="60">
        <f t="shared" si="2"/>
        <v>49011.12999999999</v>
      </c>
      <c r="X32" s="60">
        <f t="shared" si="2"/>
        <v>7050.0000000000109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8" activePane="bottomLeft" state="frozen"/>
      <selection pane="bottomLeft" activeCell="T34" sqref="T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48" t="s">
        <v>10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61"/>
      <c r="V1" s="61"/>
    </row>
    <row r="2" spans="1:25" s="12" customFormat="1" ht="33" customHeight="1" x14ac:dyDescent="0.25">
      <c r="A2" s="22" t="s">
        <v>2</v>
      </c>
      <c r="B2" s="145" t="s">
        <v>113</v>
      </c>
      <c r="C2" s="145" t="s">
        <v>11</v>
      </c>
      <c r="D2" s="145" t="s">
        <v>12</v>
      </c>
      <c r="E2" s="145" t="s">
        <v>13</v>
      </c>
      <c r="F2" s="145" t="s">
        <v>14</v>
      </c>
      <c r="G2" s="150" t="s">
        <v>119</v>
      </c>
      <c r="H2" s="152" t="s">
        <v>15</v>
      </c>
      <c r="I2" s="145" t="s">
        <v>16</v>
      </c>
      <c r="J2" s="155" t="s">
        <v>17</v>
      </c>
      <c r="K2" s="156"/>
      <c r="L2" s="157"/>
      <c r="M2" s="150" t="s">
        <v>18</v>
      </c>
      <c r="N2" s="152" t="s">
        <v>19</v>
      </c>
      <c r="O2" s="153" t="s">
        <v>20</v>
      </c>
      <c r="P2" s="152" t="s">
        <v>21</v>
      </c>
      <c r="Q2" s="158" t="s">
        <v>22</v>
      </c>
      <c r="R2" s="145" t="s">
        <v>23</v>
      </c>
      <c r="S2" s="145" t="s">
        <v>24</v>
      </c>
      <c r="T2" s="145" t="s">
        <v>25</v>
      </c>
      <c r="V2" s="147" t="s">
        <v>6</v>
      </c>
      <c r="W2" s="147" t="s">
        <v>7</v>
      </c>
      <c r="X2" s="147" t="s">
        <v>8</v>
      </c>
    </row>
    <row r="3" spans="1:25" s="12" customFormat="1" ht="45" customHeight="1" x14ac:dyDescent="0.25">
      <c r="A3" s="23"/>
      <c r="B3" s="146"/>
      <c r="C3" s="146"/>
      <c r="D3" s="146"/>
      <c r="E3" s="146"/>
      <c r="F3" s="146"/>
      <c r="G3" s="151"/>
      <c r="H3" s="152"/>
      <c r="I3" s="146"/>
      <c r="J3" s="13" t="s">
        <v>26</v>
      </c>
      <c r="K3" s="13" t="s">
        <v>27</v>
      </c>
      <c r="L3" s="13" t="s">
        <v>28</v>
      </c>
      <c r="M3" s="151"/>
      <c r="N3" s="152"/>
      <c r="O3" s="154"/>
      <c r="P3" s="152"/>
      <c r="Q3" s="159"/>
      <c r="R3" s="146"/>
      <c r="S3" s="146"/>
      <c r="T3" s="146"/>
      <c r="V3" s="147"/>
      <c r="W3" s="147"/>
      <c r="X3" s="147"/>
    </row>
    <row r="4" spans="1:25" ht="21" customHeight="1" x14ac:dyDescent="0.25">
      <c r="A4" s="6">
        <v>44896</v>
      </c>
      <c r="B4" s="87">
        <v>1.5702</v>
      </c>
      <c r="C4" s="88">
        <v>359.65</v>
      </c>
      <c r="D4" s="88">
        <v>83546.98</v>
      </c>
      <c r="E4" s="88">
        <v>9566351.4000000004</v>
      </c>
      <c r="F4" s="88">
        <v>3.7307000000000001</v>
      </c>
      <c r="G4" s="88">
        <v>1.1667000000000001</v>
      </c>
      <c r="H4" s="88">
        <v>1.0915999999999999</v>
      </c>
      <c r="I4" s="88">
        <v>390.72</v>
      </c>
      <c r="J4" s="88">
        <v>551.63</v>
      </c>
      <c r="K4" s="88">
        <v>514.23</v>
      </c>
      <c r="L4" s="88">
        <v>352.97</v>
      </c>
      <c r="M4" s="88">
        <v>875.56</v>
      </c>
      <c r="N4" s="88">
        <v>791.51</v>
      </c>
      <c r="O4" s="88">
        <v>261.56</v>
      </c>
      <c r="P4" s="88">
        <v>1.0627</v>
      </c>
      <c r="Q4" s="88">
        <v>769.61</v>
      </c>
      <c r="R4" s="88">
        <v>190.15</v>
      </c>
      <c r="S4" s="88">
        <v>179.05</v>
      </c>
      <c r="T4" s="88">
        <v>669.49</v>
      </c>
      <c r="V4" s="58"/>
      <c r="W4" s="58"/>
      <c r="X4" s="58"/>
      <c r="Y4" s="12"/>
    </row>
    <row r="5" spans="1:25" ht="21" customHeight="1" x14ac:dyDescent="0.25">
      <c r="A5" s="6">
        <v>44897</v>
      </c>
      <c r="B5" s="89">
        <v>1.5710999999999999</v>
      </c>
      <c r="C5" s="90">
        <v>359.91</v>
      </c>
      <c r="D5" s="90">
        <v>85101.04</v>
      </c>
      <c r="E5" s="90">
        <v>9568372.7899999991</v>
      </c>
      <c r="F5" s="90">
        <v>3.7332999999999998</v>
      </c>
      <c r="G5" s="90">
        <v>1.1671</v>
      </c>
      <c r="H5" s="90">
        <v>1.0921000000000001</v>
      </c>
      <c r="I5" s="90">
        <v>390.98</v>
      </c>
      <c r="J5" s="90">
        <v>552.08000000000004</v>
      </c>
      <c r="K5" s="90">
        <v>514.54</v>
      </c>
      <c r="L5" s="90">
        <v>353.16</v>
      </c>
      <c r="M5" s="90">
        <v>875.9</v>
      </c>
      <c r="N5" s="90">
        <v>791.78</v>
      </c>
      <c r="O5" s="90">
        <v>261.8</v>
      </c>
      <c r="P5" s="90">
        <v>1.0630999999999999</v>
      </c>
      <c r="Q5" s="90">
        <v>769.87</v>
      </c>
      <c r="R5" s="88">
        <v>190.15</v>
      </c>
      <c r="S5" s="90">
        <v>179.05</v>
      </c>
      <c r="T5" s="90">
        <v>669.97</v>
      </c>
      <c r="V5" s="58"/>
      <c r="W5" s="58"/>
      <c r="X5" s="58"/>
      <c r="Y5" s="12"/>
    </row>
    <row r="6" spans="1:25" ht="21" customHeight="1" x14ac:dyDescent="0.25">
      <c r="A6" s="6">
        <v>44898</v>
      </c>
      <c r="B6" s="89">
        <v>1.5721000000000001</v>
      </c>
      <c r="C6" s="90">
        <v>360.17</v>
      </c>
      <c r="D6" s="90">
        <v>86436.74</v>
      </c>
      <c r="E6" s="90">
        <v>9570389.4800000004</v>
      </c>
      <c r="F6" s="90">
        <v>3.7359</v>
      </c>
      <c r="G6" s="90">
        <v>1.1676</v>
      </c>
      <c r="H6" s="90">
        <v>1.0927</v>
      </c>
      <c r="I6" s="90">
        <v>391.22</v>
      </c>
      <c r="J6" s="90">
        <v>552.48</v>
      </c>
      <c r="K6" s="90">
        <v>514.80999999999995</v>
      </c>
      <c r="L6" s="90">
        <v>353.38</v>
      </c>
      <c r="M6" s="90">
        <v>876.27</v>
      </c>
      <c r="N6" s="90">
        <v>792.05</v>
      </c>
      <c r="O6" s="90">
        <v>262.07</v>
      </c>
      <c r="P6" s="90">
        <v>1.0634999999999999</v>
      </c>
      <c r="Q6" s="90">
        <v>770.16</v>
      </c>
      <c r="R6" s="88">
        <v>190.15</v>
      </c>
      <c r="S6" s="90">
        <v>179.05</v>
      </c>
      <c r="T6" s="90">
        <v>670.39</v>
      </c>
      <c r="V6" s="58"/>
      <c r="W6" s="58"/>
      <c r="X6" s="58"/>
      <c r="Y6" s="12"/>
    </row>
    <row r="7" spans="1:25" ht="21" customHeight="1" x14ac:dyDescent="0.25">
      <c r="A7" s="6">
        <v>44899</v>
      </c>
      <c r="B7" s="89">
        <v>1.573</v>
      </c>
      <c r="C7" s="90">
        <v>360.42</v>
      </c>
      <c r="D7" s="90">
        <v>87741.3</v>
      </c>
      <c r="E7" s="90">
        <v>9572429.5600000005</v>
      </c>
      <c r="F7" s="90">
        <v>3.7385000000000002</v>
      </c>
      <c r="G7" s="90">
        <v>1.1680999999999999</v>
      </c>
      <c r="H7" s="124">
        <v>1.0931</v>
      </c>
      <c r="I7" s="90">
        <v>391.5</v>
      </c>
      <c r="J7" s="90">
        <v>552.89</v>
      </c>
      <c r="K7" s="90">
        <v>515.09</v>
      </c>
      <c r="L7" s="90">
        <v>353.58</v>
      </c>
      <c r="M7" s="90">
        <v>876.61</v>
      </c>
      <c r="N7" s="90">
        <v>792.34</v>
      </c>
      <c r="O7" s="90">
        <v>262.31</v>
      </c>
      <c r="P7" s="90">
        <v>1.0639000000000001</v>
      </c>
      <c r="Q7" s="90">
        <v>770.42</v>
      </c>
      <c r="R7" s="88">
        <v>190.15</v>
      </c>
      <c r="S7" s="90">
        <v>179.05</v>
      </c>
      <c r="T7" s="90">
        <v>670.93</v>
      </c>
      <c r="V7" s="58"/>
      <c r="W7" s="58"/>
      <c r="X7" s="58"/>
      <c r="Y7" s="12"/>
    </row>
    <row r="8" spans="1:25" ht="21" customHeight="1" x14ac:dyDescent="0.25">
      <c r="A8" s="6">
        <v>44900</v>
      </c>
      <c r="B8" s="89">
        <v>1.5739000000000001</v>
      </c>
      <c r="C8" s="90">
        <v>360.69</v>
      </c>
      <c r="D8" s="90">
        <v>88859.14</v>
      </c>
      <c r="E8" s="90">
        <v>9574384.4399999995</v>
      </c>
      <c r="F8" s="90">
        <v>3.7410999999999999</v>
      </c>
      <c r="G8" s="90">
        <v>1.1685000000000001</v>
      </c>
      <c r="H8" s="90">
        <v>1.0934999999999999</v>
      </c>
      <c r="I8" s="90">
        <v>391.73</v>
      </c>
      <c r="J8" s="90">
        <v>553.26</v>
      </c>
      <c r="K8" s="90">
        <v>515.41</v>
      </c>
      <c r="L8" s="90">
        <v>353.78</v>
      </c>
      <c r="M8" s="90">
        <v>876.99</v>
      </c>
      <c r="N8" s="90">
        <v>792.58</v>
      </c>
      <c r="O8" s="90">
        <v>262.56</v>
      </c>
      <c r="P8" s="90">
        <v>1.0643</v>
      </c>
      <c r="Q8" s="90">
        <v>770.63</v>
      </c>
      <c r="R8" s="88">
        <v>190.15</v>
      </c>
      <c r="S8" s="90">
        <v>179.05</v>
      </c>
      <c r="T8" s="90">
        <v>671.39</v>
      </c>
      <c r="V8" s="84"/>
      <c r="W8" s="84"/>
      <c r="X8" s="100"/>
      <c r="Y8" s="12"/>
    </row>
    <row r="9" spans="1:25" ht="21" customHeight="1" x14ac:dyDescent="0.25">
      <c r="A9" s="6">
        <v>44901</v>
      </c>
      <c r="B9" s="91">
        <v>1.575</v>
      </c>
      <c r="C9" s="90">
        <v>360.94</v>
      </c>
      <c r="D9" s="90">
        <v>90473.66</v>
      </c>
      <c r="E9" s="90">
        <v>9576705.8800000008</v>
      </c>
      <c r="F9" s="90">
        <v>3.7437</v>
      </c>
      <c r="G9" s="90">
        <v>1.169</v>
      </c>
      <c r="H9" s="90">
        <v>1.0940000000000001</v>
      </c>
      <c r="I9" s="90">
        <v>391.99</v>
      </c>
      <c r="J9" s="90">
        <v>553.76</v>
      </c>
      <c r="K9" s="90">
        <v>515.71</v>
      </c>
      <c r="L9" s="90">
        <v>353.99</v>
      </c>
      <c r="M9" s="90">
        <v>877.45</v>
      </c>
      <c r="N9" s="90">
        <v>792.91</v>
      </c>
      <c r="O9" s="90">
        <v>262.79000000000002</v>
      </c>
      <c r="P9" s="90">
        <v>1.0648</v>
      </c>
      <c r="Q9" s="90">
        <v>770.93</v>
      </c>
      <c r="R9" s="88">
        <v>190.15</v>
      </c>
      <c r="S9" s="90">
        <v>179.05</v>
      </c>
      <c r="T9" s="90">
        <v>671.76</v>
      </c>
      <c r="V9" s="84"/>
      <c r="W9" s="84"/>
      <c r="X9" s="100"/>
      <c r="Y9" s="12"/>
    </row>
    <row r="10" spans="1:25" ht="21" customHeight="1" x14ac:dyDescent="0.25">
      <c r="A10" s="6">
        <v>44902</v>
      </c>
      <c r="B10" s="87">
        <v>1.5761000000000001</v>
      </c>
      <c r="C10" s="88">
        <v>361.21</v>
      </c>
      <c r="D10" s="88">
        <v>92110.7</v>
      </c>
      <c r="E10" s="88">
        <v>9579119.0399999991</v>
      </c>
      <c r="F10" s="88">
        <v>3.7462</v>
      </c>
      <c r="G10" s="88">
        <v>1.1695</v>
      </c>
      <c r="H10" s="88">
        <v>1.0946</v>
      </c>
      <c r="I10" s="88">
        <v>392.27</v>
      </c>
      <c r="J10" s="90">
        <v>554.1</v>
      </c>
      <c r="K10" s="90">
        <v>516</v>
      </c>
      <c r="L10" s="90">
        <v>354.23</v>
      </c>
      <c r="M10" s="90">
        <v>877.83</v>
      </c>
      <c r="N10" s="90">
        <v>793.23</v>
      </c>
      <c r="O10" s="90">
        <v>262.99</v>
      </c>
      <c r="P10" s="90">
        <v>1.0651999999999999</v>
      </c>
      <c r="Q10" s="90">
        <v>771.25</v>
      </c>
      <c r="R10" s="88">
        <v>190.15</v>
      </c>
      <c r="S10" s="90">
        <v>179.05</v>
      </c>
      <c r="T10" s="90">
        <v>672.1</v>
      </c>
      <c r="V10" s="84"/>
      <c r="W10" s="84"/>
      <c r="X10" s="84"/>
      <c r="Y10" s="12"/>
    </row>
    <row r="11" spans="1:25" ht="21" customHeight="1" x14ac:dyDescent="0.25">
      <c r="A11" s="6">
        <v>44903</v>
      </c>
      <c r="B11" s="89">
        <v>1.5770999999999999</v>
      </c>
      <c r="C11" s="90">
        <v>361.48</v>
      </c>
      <c r="D11" s="90">
        <v>93576.63</v>
      </c>
      <c r="E11" s="90">
        <v>9581342.2400000002</v>
      </c>
      <c r="F11" s="90">
        <v>3.7486999999999999</v>
      </c>
      <c r="G11" s="90">
        <v>1.1698999999999999</v>
      </c>
      <c r="H11" s="90">
        <v>1.0951</v>
      </c>
      <c r="I11" s="90">
        <v>392.53</v>
      </c>
      <c r="J11" s="90">
        <v>554.48</v>
      </c>
      <c r="K11" s="90">
        <v>516.29</v>
      </c>
      <c r="L11" s="90">
        <v>354.46</v>
      </c>
      <c r="M11" s="90">
        <v>878.17</v>
      </c>
      <c r="N11" s="90">
        <v>793.52</v>
      </c>
      <c r="O11" s="90">
        <v>263.2</v>
      </c>
      <c r="P11" s="90">
        <v>1.0656000000000001</v>
      </c>
      <c r="Q11" s="90">
        <v>771.5</v>
      </c>
      <c r="R11" s="88">
        <v>190.15</v>
      </c>
      <c r="S11" s="90">
        <v>179.05</v>
      </c>
      <c r="T11" s="90">
        <v>672.81</v>
      </c>
      <c r="V11" s="84"/>
      <c r="W11" s="84"/>
      <c r="X11" s="84"/>
      <c r="Y11" s="12"/>
    </row>
    <row r="12" spans="1:25" ht="21" customHeight="1" x14ac:dyDescent="0.25">
      <c r="A12" s="6">
        <v>44904</v>
      </c>
      <c r="B12" s="89">
        <v>1.5780000000000001</v>
      </c>
      <c r="C12" s="90">
        <v>361.75</v>
      </c>
      <c r="D12" s="90">
        <v>95211.45</v>
      </c>
      <c r="E12" s="90">
        <v>9583875.8800000008</v>
      </c>
      <c r="F12" s="90">
        <v>3.7513000000000001</v>
      </c>
      <c r="G12" s="90">
        <v>1.1702999999999999</v>
      </c>
      <c r="H12" s="90">
        <v>1.0955999999999999</v>
      </c>
      <c r="I12" s="90">
        <v>392.82</v>
      </c>
      <c r="J12" s="90">
        <v>554.89</v>
      </c>
      <c r="K12" s="90">
        <v>516.57000000000005</v>
      </c>
      <c r="L12" s="90">
        <v>354.69</v>
      </c>
      <c r="M12" s="90">
        <v>878.56</v>
      </c>
      <c r="N12" s="90">
        <v>793.83</v>
      </c>
      <c r="O12" s="90">
        <v>263.41000000000003</v>
      </c>
      <c r="P12" s="90">
        <v>1.0661</v>
      </c>
      <c r="Q12" s="90">
        <v>771.82</v>
      </c>
      <c r="R12" s="88">
        <v>190.15</v>
      </c>
      <c r="S12" s="90">
        <v>179.05</v>
      </c>
      <c r="T12" s="90">
        <v>673.27</v>
      </c>
      <c r="V12" s="84"/>
      <c r="W12" s="84"/>
      <c r="X12" s="84"/>
      <c r="Y12" s="12"/>
    </row>
    <row r="13" spans="1:25" ht="21" customHeight="1" x14ac:dyDescent="0.25">
      <c r="A13" s="6">
        <v>44905</v>
      </c>
      <c r="B13" s="89">
        <v>1.579</v>
      </c>
      <c r="C13" s="87">
        <v>362.02</v>
      </c>
      <c r="D13" s="87">
        <v>96778.02</v>
      </c>
      <c r="E13" s="90">
        <v>9586429.2899999991</v>
      </c>
      <c r="F13" s="90">
        <v>3.7538999999999998</v>
      </c>
      <c r="G13" s="90">
        <v>1.1707000000000001</v>
      </c>
      <c r="H13" s="90">
        <v>1.0961000000000001</v>
      </c>
      <c r="I13" s="90">
        <v>393.12</v>
      </c>
      <c r="J13" s="90">
        <v>555.57000000000005</v>
      </c>
      <c r="K13" s="90">
        <v>516.9</v>
      </c>
      <c r="L13" s="90">
        <v>354.96</v>
      </c>
      <c r="M13" s="90">
        <v>878.92</v>
      </c>
      <c r="N13" s="90">
        <v>794.14</v>
      </c>
      <c r="O13" s="90">
        <v>263.67</v>
      </c>
      <c r="P13" s="90">
        <v>1.0666</v>
      </c>
      <c r="Q13" s="90">
        <v>772.16</v>
      </c>
      <c r="R13" s="88">
        <v>190.15</v>
      </c>
      <c r="S13" s="90">
        <v>179.05</v>
      </c>
      <c r="T13" s="90">
        <v>673.77</v>
      </c>
      <c r="V13" s="84"/>
      <c r="W13" s="84"/>
      <c r="X13" s="84"/>
      <c r="Y13" s="12"/>
    </row>
    <row r="14" spans="1:25" ht="21" customHeight="1" x14ac:dyDescent="0.25">
      <c r="A14" s="6">
        <v>44906</v>
      </c>
      <c r="B14" s="89">
        <v>1.5799000000000001</v>
      </c>
      <c r="C14" s="87">
        <v>362.28</v>
      </c>
      <c r="D14" s="87">
        <v>98542.41</v>
      </c>
      <c r="E14" s="90">
        <v>9589180.4000000004</v>
      </c>
      <c r="F14" s="90">
        <v>3.7564000000000002</v>
      </c>
      <c r="G14" s="90">
        <v>1.1711</v>
      </c>
      <c r="H14" s="90">
        <v>1.0965</v>
      </c>
      <c r="I14" s="90">
        <v>393.4</v>
      </c>
      <c r="J14" s="90">
        <v>555.98</v>
      </c>
      <c r="K14" s="90">
        <v>517.16</v>
      </c>
      <c r="L14" s="90">
        <v>355.25</v>
      </c>
      <c r="M14" s="90">
        <v>879.31</v>
      </c>
      <c r="N14" s="90">
        <v>794.45</v>
      </c>
      <c r="O14" s="90">
        <v>263.89999999999998</v>
      </c>
      <c r="P14" s="90">
        <v>1.0669999999999999</v>
      </c>
      <c r="Q14" s="90">
        <v>772.36</v>
      </c>
      <c r="R14" s="88">
        <v>190.15</v>
      </c>
      <c r="S14" s="90">
        <v>179.05</v>
      </c>
      <c r="T14" s="90">
        <v>674.29</v>
      </c>
      <c r="V14" s="84"/>
      <c r="W14" s="84"/>
      <c r="X14" s="84"/>
      <c r="Y14" s="12"/>
    </row>
    <row r="15" spans="1:25" ht="21" customHeight="1" x14ac:dyDescent="0.25">
      <c r="A15" s="6">
        <v>44907</v>
      </c>
      <c r="B15" s="89">
        <v>1.5809</v>
      </c>
      <c r="C15" s="89">
        <v>362.54</v>
      </c>
      <c r="D15" s="90">
        <v>100340.39</v>
      </c>
      <c r="E15" s="90">
        <v>9592023.9800000004</v>
      </c>
      <c r="F15" s="90">
        <v>3.7587999999999999</v>
      </c>
      <c r="G15" s="90">
        <v>1.1715</v>
      </c>
      <c r="H15" s="90">
        <v>1.097</v>
      </c>
      <c r="I15" s="90">
        <v>393.7</v>
      </c>
      <c r="J15" s="90">
        <v>556.45000000000005</v>
      </c>
      <c r="K15" s="90">
        <v>517.44000000000005</v>
      </c>
      <c r="L15" s="90">
        <v>355.58</v>
      </c>
      <c r="M15" s="90">
        <v>879.68</v>
      </c>
      <c r="N15" s="90">
        <v>794.82</v>
      </c>
      <c r="O15" s="90">
        <v>264.12</v>
      </c>
      <c r="P15" s="90">
        <v>1.0674999999999999</v>
      </c>
      <c r="Q15" s="90">
        <v>772.58</v>
      </c>
      <c r="R15" s="88">
        <v>190.15</v>
      </c>
      <c r="S15" s="90">
        <v>179.05</v>
      </c>
      <c r="T15" s="90">
        <v>674.8</v>
      </c>
      <c r="V15" s="84"/>
      <c r="W15" s="84"/>
      <c r="X15" s="84"/>
      <c r="Y15" s="12"/>
    </row>
    <row r="16" spans="1:25" ht="21" customHeight="1" x14ac:dyDescent="0.25">
      <c r="A16" s="6">
        <v>44908</v>
      </c>
      <c r="B16" s="89">
        <v>1.5819000000000001</v>
      </c>
      <c r="C16" s="90">
        <v>362.8</v>
      </c>
      <c r="D16" s="90">
        <v>102130.81</v>
      </c>
      <c r="E16" s="90">
        <v>9594620.3300000001</v>
      </c>
      <c r="F16" s="90">
        <v>3.7612999999999999</v>
      </c>
      <c r="G16" s="90">
        <v>1.1719999999999999</v>
      </c>
      <c r="H16" s="90">
        <v>1.0974999999999999</v>
      </c>
      <c r="I16" s="90">
        <v>393.89</v>
      </c>
      <c r="J16" s="90">
        <v>557.04</v>
      </c>
      <c r="K16" s="90">
        <v>517.76</v>
      </c>
      <c r="L16" s="90">
        <v>355.95</v>
      </c>
      <c r="M16" s="90">
        <v>880.07</v>
      </c>
      <c r="N16" s="90">
        <v>795.15</v>
      </c>
      <c r="O16" s="90">
        <v>264.35000000000002</v>
      </c>
      <c r="P16" s="90">
        <v>1.0680000000000001</v>
      </c>
      <c r="Q16" s="90">
        <v>772.81</v>
      </c>
      <c r="R16" s="88">
        <v>190.15</v>
      </c>
      <c r="S16" s="90">
        <v>179.05</v>
      </c>
      <c r="T16" s="90">
        <v>675.27</v>
      </c>
      <c r="V16" s="84"/>
      <c r="W16" s="84"/>
      <c r="X16" s="84"/>
      <c r="Y16" s="12"/>
    </row>
    <row r="17" spans="1:25" ht="21" customHeight="1" x14ac:dyDescent="0.25">
      <c r="A17" s="6">
        <v>44909</v>
      </c>
      <c r="B17" s="89">
        <v>1.5829</v>
      </c>
      <c r="C17" s="90">
        <v>363.07</v>
      </c>
      <c r="D17" s="90">
        <v>103754.07</v>
      </c>
      <c r="E17" s="90">
        <v>9596936.6099999994</v>
      </c>
      <c r="F17" s="90">
        <v>3.7637999999999998</v>
      </c>
      <c r="G17" s="90">
        <v>1.1725000000000001</v>
      </c>
      <c r="H17" s="90">
        <v>1.0981000000000001</v>
      </c>
      <c r="I17" s="90">
        <v>394.26</v>
      </c>
      <c r="J17" s="90">
        <v>557.59</v>
      </c>
      <c r="K17" s="90">
        <v>518.11</v>
      </c>
      <c r="L17" s="90">
        <v>356.3</v>
      </c>
      <c r="M17" s="90">
        <v>880.46</v>
      </c>
      <c r="N17" s="90">
        <v>795.45</v>
      </c>
      <c r="O17" s="90">
        <v>264.60000000000002</v>
      </c>
      <c r="P17" s="90">
        <v>1.0685</v>
      </c>
      <c r="Q17" s="90">
        <v>773.07</v>
      </c>
      <c r="R17" s="88">
        <v>190.15</v>
      </c>
      <c r="S17" s="90">
        <v>179.05</v>
      </c>
      <c r="T17" s="90">
        <v>675.75</v>
      </c>
      <c r="V17" s="84"/>
      <c r="W17" s="84"/>
      <c r="X17" s="84"/>
      <c r="Y17" s="12"/>
    </row>
    <row r="18" spans="1:25" ht="21" customHeight="1" x14ac:dyDescent="0.25">
      <c r="A18" s="6">
        <v>44910</v>
      </c>
      <c r="B18" s="89">
        <v>1.5840000000000001</v>
      </c>
      <c r="C18" s="90">
        <v>363.35</v>
      </c>
      <c r="D18" s="90">
        <v>105416.41</v>
      </c>
      <c r="E18" s="90">
        <v>9599085.9199999999</v>
      </c>
      <c r="F18" s="90">
        <v>3.7664</v>
      </c>
      <c r="G18" s="90">
        <v>1.173</v>
      </c>
      <c r="H18" s="90">
        <v>1.0986</v>
      </c>
      <c r="I18" s="90">
        <v>394.53</v>
      </c>
      <c r="J18" s="90">
        <v>557.96</v>
      </c>
      <c r="K18" s="90">
        <v>518.38</v>
      </c>
      <c r="L18" s="90">
        <v>356.66</v>
      </c>
      <c r="M18" s="90">
        <v>880.84</v>
      </c>
      <c r="N18" s="90">
        <v>795.78</v>
      </c>
      <c r="O18" s="90">
        <v>264.82</v>
      </c>
      <c r="P18" s="90">
        <v>1.0689</v>
      </c>
      <c r="Q18" s="90">
        <v>773.36</v>
      </c>
      <c r="R18" s="88">
        <v>190.15</v>
      </c>
      <c r="S18" s="90">
        <v>179.05</v>
      </c>
      <c r="T18" s="90">
        <v>676.24</v>
      </c>
      <c r="V18" s="84"/>
      <c r="W18" s="84"/>
      <c r="X18" s="84"/>
      <c r="Y18" s="12"/>
    </row>
    <row r="19" spans="1:25" ht="21" customHeight="1" x14ac:dyDescent="0.25">
      <c r="A19" s="6">
        <v>44911</v>
      </c>
      <c r="B19" s="89">
        <v>1.5851</v>
      </c>
      <c r="C19" s="90">
        <v>363.63</v>
      </c>
      <c r="D19" s="90">
        <v>106853.06</v>
      </c>
      <c r="E19" s="90">
        <v>9601195.25</v>
      </c>
      <c r="F19" s="90">
        <v>3.7688000000000001</v>
      </c>
      <c r="G19" s="90">
        <v>1.1734</v>
      </c>
      <c r="H19" s="90">
        <v>1.0991</v>
      </c>
      <c r="I19" s="90">
        <v>394.84</v>
      </c>
      <c r="J19" s="90">
        <v>558.36</v>
      </c>
      <c r="K19" s="90">
        <v>518.67999999999995</v>
      </c>
      <c r="L19" s="90">
        <v>356.99</v>
      </c>
      <c r="M19" s="90">
        <v>881.23</v>
      </c>
      <c r="N19" s="90">
        <v>796.07</v>
      </c>
      <c r="O19" s="101">
        <v>265.02999999999997</v>
      </c>
      <c r="P19" s="90">
        <v>1.0692999999999999</v>
      </c>
      <c r="Q19" s="90">
        <v>773.73</v>
      </c>
      <c r="R19" s="88">
        <v>190.15</v>
      </c>
      <c r="S19" s="90">
        <v>179.05</v>
      </c>
      <c r="T19" s="90">
        <v>676.73</v>
      </c>
      <c r="V19" s="84"/>
      <c r="W19" s="84"/>
      <c r="X19" s="84"/>
      <c r="Y19" s="12"/>
    </row>
    <row r="20" spans="1:25" ht="21" customHeight="1" x14ac:dyDescent="0.25">
      <c r="A20" s="6">
        <v>44912</v>
      </c>
      <c r="B20" s="89">
        <v>1.5862000000000001</v>
      </c>
      <c r="C20" s="90">
        <v>363.9</v>
      </c>
      <c r="D20" s="90">
        <v>108536.95</v>
      </c>
      <c r="E20" s="90">
        <v>9603588.8100000005</v>
      </c>
      <c r="F20" s="90">
        <v>3.7713000000000001</v>
      </c>
      <c r="G20" s="90">
        <v>1.1738999999999999</v>
      </c>
      <c r="H20" s="90">
        <v>1.0995999999999999</v>
      </c>
      <c r="I20" s="90">
        <v>395.14</v>
      </c>
      <c r="J20" s="90">
        <v>558.83000000000004</v>
      </c>
      <c r="K20" s="90">
        <v>518.96</v>
      </c>
      <c r="L20" s="90">
        <v>357.33</v>
      </c>
      <c r="M20" s="90">
        <v>881.65</v>
      </c>
      <c r="N20" s="90">
        <v>796.45</v>
      </c>
      <c r="O20" s="90">
        <v>265.22000000000003</v>
      </c>
      <c r="P20" s="90">
        <v>1.0697000000000001</v>
      </c>
      <c r="Q20" s="90">
        <v>774.09</v>
      </c>
      <c r="R20" s="88">
        <v>190.15</v>
      </c>
      <c r="S20" s="90">
        <v>179.05</v>
      </c>
      <c r="T20" s="90">
        <v>677.26</v>
      </c>
      <c r="V20" s="84"/>
      <c r="W20" s="84"/>
      <c r="X20" s="84"/>
      <c r="Y20" s="12"/>
    </row>
    <row r="21" spans="1:25" ht="21" customHeight="1" x14ac:dyDescent="0.25">
      <c r="A21" s="6">
        <v>44913</v>
      </c>
      <c r="B21" s="89">
        <v>1.5872999999999999</v>
      </c>
      <c r="C21" s="90">
        <v>364.17</v>
      </c>
      <c r="D21" s="90">
        <v>110178.28</v>
      </c>
      <c r="E21" s="90">
        <v>9605738.8300000001</v>
      </c>
      <c r="F21" s="90">
        <v>3.774</v>
      </c>
      <c r="G21" s="90">
        <v>1.1744000000000001</v>
      </c>
      <c r="H21" s="90">
        <v>1.1002000000000001</v>
      </c>
      <c r="I21" s="90">
        <v>395.42</v>
      </c>
      <c r="J21" s="89">
        <v>559.26</v>
      </c>
      <c r="K21" s="90">
        <v>519.28</v>
      </c>
      <c r="L21" s="90">
        <v>357.68</v>
      </c>
      <c r="M21" s="90">
        <v>882.11</v>
      </c>
      <c r="N21" s="90">
        <v>796.83</v>
      </c>
      <c r="O21" s="90">
        <v>265.49</v>
      </c>
      <c r="P21" s="90">
        <v>1.0701000000000001</v>
      </c>
      <c r="Q21" s="90">
        <v>774.48</v>
      </c>
      <c r="R21" s="88">
        <v>190.15</v>
      </c>
      <c r="S21" s="90">
        <v>179.05</v>
      </c>
      <c r="T21" s="90">
        <v>677.52</v>
      </c>
      <c r="V21" s="84"/>
      <c r="W21" s="84"/>
      <c r="X21" s="84"/>
      <c r="Y21" s="12"/>
    </row>
    <row r="22" spans="1:25" ht="21" customHeight="1" x14ac:dyDescent="0.25">
      <c r="A22" s="6">
        <v>44914</v>
      </c>
      <c r="B22" s="89">
        <v>1.5883</v>
      </c>
      <c r="C22" s="90">
        <v>364.42</v>
      </c>
      <c r="D22" s="90">
        <v>111879.12</v>
      </c>
      <c r="E22" s="90">
        <v>9608207.9900000002</v>
      </c>
      <c r="F22" s="90">
        <v>3.7765</v>
      </c>
      <c r="G22" s="90">
        <v>1.1749000000000001</v>
      </c>
      <c r="H22" s="90">
        <v>1.1007</v>
      </c>
      <c r="I22" s="90">
        <v>395.68</v>
      </c>
      <c r="J22" s="89">
        <v>559.78</v>
      </c>
      <c r="K22" s="90">
        <v>519.69000000000005</v>
      </c>
      <c r="L22" s="90">
        <v>358.03</v>
      </c>
      <c r="M22" s="90">
        <v>882.49</v>
      </c>
      <c r="N22" s="90">
        <v>797.19</v>
      </c>
      <c r="O22" s="90">
        <v>265.7</v>
      </c>
      <c r="P22" s="90">
        <v>1.0706</v>
      </c>
      <c r="Q22" s="90">
        <v>774.83</v>
      </c>
      <c r="R22" s="88">
        <v>190.15</v>
      </c>
      <c r="S22" s="90">
        <v>179.05</v>
      </c>
      <c r="T22" s="90">
        <v>678.03</v>
      </c>
      <c r="V22" s="84"/>
      <c r="W22" s="84"/>
      <c r="X22" s="84"/>
      <c r="Y22" s="12"/>
    </row>
    <row r="23" spans="1:25" ht="21" customHeight="1" x14ac:dyDescent="0.25">
      <c r="A23" s="6">
        <v>44915</v>
      </c>
      <c r="B23" s="89">
        <v>1.5891999999999999</v>
      </c>
      <c r="C23" s="90">
        <v>364.68</v>
      </c>
      <c r="D23" s="90">
        <v>113312.65</v>
      </c>
      <c r="E23" s="90">
        <v>9610570.5899999999</v>
      </c>
      <c r="F23" s="90">
        <v>3.7789000000000001</v>
      </c>
      <c r="G23" s="90">
        <v>1.1753</v>
      </c>
      <c r="H23" s="90">
        <v>1.1012</v>
      </c>
      <c r="I23" s="90">
        <v>395.97</v>
      </c>
      <c r="J23" s="90">
        <v>560.45000000000005</v>
      </c>
      <c r="K23" s="90">
        <v>520.14</v>
      </c>
      <c r="L23" s="90">
        <v>358.42</v>
      </c>
      <c r="M23" s="90">
        <v>882.85</v>
      </c>
      <c r="N23" s="90">
        <v>797.55</v>
      </c>
      <c r="O23" s="90">
        <v>265.92</v>
      </c>
      <c r="P23" s="90">
        <v>1.071</v>
      </c>
      <c r="Q23" s="90">
        <v>775.15</v>
      </c>
      <c r="R23" s="88">
        <v>190.15</v>
      </c>
      <c r="S23" s="90">
        <v>179.05</v>
      </c>
      <c r="T23" s="90">
        <v>678.49</v>
      </c>
      <c r="V23" s="84"/>
      <c r="W23" s="84"/>
      <c r="X23" s="84"/>
      <c r="Y23" s="12"/>
    </row>
    <row r="24" spans="1:25" ht="21" customHeight="1" x14ac:dyDescent="0.25">
      <c r="A24" s="6">
        <v>44916</v>
      </c>
      <c r="B24" s="89">
        <v>1.5902000000000001</v>
      </c>
      <c r="C24" s="90">
        <v>364.95</v>
      </c>
      <c r="D24" s="90">
        <v>114752.86</v>
      </c>
      <c r="E24" s="90">
        <v>9612846.0399999991</v>
      </c>
      <c r="F24" s="90">
        <v>3.7812000000000001</v>
      </c>
      <c r="G24" s="90">
        <v>1.1758</v>
      </c>
      <c r="H24" s="90">
        <v>1.1016999999999999</v>
      </c>
      <c r="I24" s="90">
        <v>396.25</v>
      </c>
      <c r="J24" s="90">
        <v>561.03</v>
      </c>
      <c r="K24" s="90">
        <v>520.53</v>
      </c>
      <c r="L24" s="90">
        <v>358.8</v>
      </c>
      <c r="M24" s="90">
        <v>883.18</v>
      </c>
      <c r="N24" s="90">
        <v>797.86</v>
      </c>
      <c r="O24" s="90">
        <v>266.12</v>
      </c>
      <c r="P24" s="90">
        <v>1.0713999999999999</v>
      </c>
      <c r="Q24" s="90">
        <v>775.5</v>
      </c>
      <c r="R24" s="88">
        <v>190.15</v>
      </c>
      <c r="S24" s="90">
        <v>179.05</v>
      </c>
      <c r="T24" s="90">
        <v>679.1</v>
      </c>
      <c r="V24" s="84"/>
      <c r="W24" s="84"/>
      <c r="X24" s="84"/>
      <c r="Y24" s="12"/>
    </row>
    <row r="25" spans="1:25" ht="21" customHeight="1" x14ac:dyDescent="0.25">
      <c r="A25" s="6">
        <v>44917</v>
      </c>
      <c r="B25" s="89">
        <v>1.591</v>
      </c>
      <c r="C25" s="90">
        <v>365.22</v>
      </c>
      <c r="D25" s="90">
        <v>116215.54</v>
      </c>
      <c r="E25" s="90">
        <v>9615076</v>
      </c>
      <c r="F25" s="90">
        <v>3.7835999999999999</v>
      </c>
      <c r="G25" s="90">
        <v>1.1761999999999999</v>
      </c>
      <c r="H25" s="90">
        <v>1.1022000000000001</v>
      </c>
      <c r="I25" s="90">
        <v>396.53</v>
      </c>
      <c r="J25" s="90">
        <v>561.54</v>
      </c>
      <c r="K25" s="90">
        <v>520.92999999999995</v>
      </c>
      <c r="L25" s="90">
        <v>359.14</v>
      </c>
      <c r="M25" s="90">
        <v>883.49</v>
      </c>
      <c r="N25" s="90">
        <v>798.15</v>
      </c>
      <c r="O25" s="90">
        <v>266.39</v>
      </c>
      <c r="P25" s="90">
        <v>1.0717000000000001</v>
      </c>
      <c r="Q25" s="90">
        <v>775.85</v>
      </c>
      <c r="R25" s="88">
        <v>190.15</v>
      </c>
      <c r="S25" s="90">
        <v>179.05</v>
      </c>
      <c r="T25" s="90">
        <v>679.6</v>
      </c>
      <c r="V25" s="84"/>
      <c r="W25" s="84"/>
      <c r="X25" s="84"/>
      <c r="Y25" s="12"/>
    </row>
    <row r="26" spans="1:25" ht="21" customHeight="1" x14ac:dyDescent="0.25">
      <c r="A26" s="6">
        <v>44918</v>
      </c>
      <c r="B26" s="106">
        <v>1.5920000000000001</v>
      </c>
      <c r="C26" s="90">
        <v>365.5</v>
      </c>
      <c r="D26" s="90">
        <v>117753.58</v>
      </c>
      <c r="E26" s="90">
        <v>9617458.5800000001</v>
      </c>
      <c r="F26" s="90">
        <v>3.786</v>
      </c>
      <c r="G26" s="90">
        <v>1.1767000000000001</v>
      </c>
      <c r="H26" s="90">
        <v>1.1028</v>
      </c>
      <c r="I26" s="90">
        <v>396.82</v>
      </c>
      <c r="J26" s="90">
        <v>562.07000000000005</v>
      </c>
      <c r="K26" s="90">
        <v>521.32000000000005</v>
      </c>
      <c r="L26" s="90">
        <v>359.49</v>
      </c>
      <c r="M26" s="90">
        <v>883.82</v>
      </c>
      <c r="N26" s="90">
        <v>798.49</v>
      </c>
      <c r="O26" s="90">
        <v>266.61</v>
      </c>
      <c r="P26" s="90">
        <v>1.0721000000000001</v>
      </c>
      <c r="Q26" s="90">
        <v>776.24</v>
      </c>
      <c r="R26" s="88">
        <v>190.15</v>
      </c>
      <c r="S26" s="90">
        <v>179.05</v>
      </c>
      <c r="T26" s="90">
        <v>680.11</v>
      </c>
      <c r="V26" s="84"/>
      <c r="W26" s="84"/>
      <c r="X26" s="84"/>
      <c r="Y26" s="12"/>
    </row>
    <row r="27" spans="1:25" s="104" customFormat="1" ht="21" customHeight="1" x14ac:dyDescent="0.25">
      <c r="A27" s="6">
        <v>44919</v>
      </c>
      <c r="B27" s="122">
        <v>1.5931</v>
      </c>
      <c r="C27" s="123">
        <v>365.77</v>
      </c>
      <c r="D27" s="101">
        <v>119467.4</v>
      </c>
      <c r="E27" s="101">
        <v>9619992.5700000003</v>
      </c>
      <c r="F27" s="101">
        <v>3.7885</v>
      </c>
      <c r="G27" s="101">
        <v>1.1772</v>
      </c>
      <c r="H27" s="101">
        <v>1.1033999999999999</v>
      </c>
      <c r="I27" s="101">
        <v>397.17</v>
      </c>
      <c r="J27" s="101">
        <v>562.59</v>
      </c>
      <c r="K27" s="101">
        <v>521.75</v>
      </c>
      <c r="L27" s="101">
        <v>359.89</v>
      </c>
      <c r="M27" s="101">
        <v>884.23</v>
      </c>
      <c r="N27" s="101">
        <v>798.93</v>
      </c>
      <c r="O27" s="101">
        <v>266.83999999999997</v>
      </c>
      <c r="P27" s="101">
        <v>1.0726</v>
      </c>
      <c r="Q27" s="101">
        <v>776.65</v>
      </c>
      <c r="R27" s="88">
        <v>190.15</v>
      </c>
      <c r="S27" s="90">
        <v>179.05</v>
      </c>
      <c r="T27" s="101">
        <v>680.65</v>
      </c>
      <c r="V27" s="107"/>
      <c r="W27" s="107"/>
      <c r="X27" s="107"/>
      <c r="Y27" s="108"/>
    </row>
    <row r="28" spans="1:25" ht="21" customHeight="1" x14ac:dyDescent="0.25">
      <c r="A28" s="6">
        <v>44920</v>
      </c>
      <c r="B28" s="87">
        <v>1.5941000000000001</v>
      </c>
      <c r="C28" s="87">
        <v>366.03</v>
      </c>
      <c r="D28" s="90">
        <v>121258.3</v>
      </c>
      <c r="E28" s="90">
        <v>9622248.8499999996</v>
      </c>
      <c r="F28" s="90">
        <v>3.7911000000000001</v>
      </c>
      <c r="G28" s="90">
        <v>1.1776</v>
      </c>
      <c r="H28" s="101">
        <v>1.1040000000000001</v>
      </c>
      <c r="I28" s="90">
        <v>397.44799999999998</v>
      </c>
      <c r="J28" s="90">
        <v>563.09</v>
      </c>
      <c r="K28" s="90">
        <v>521.91</v>
      </c>
      <c r="L28" s="90">
        <v>360.24</v>
      </c>
      <c r="M28" s="90">
        <v>884.61</v>
      </c>
      <c r="N28" s="90">
        <v>799.34</v>
      </c>
      <c r="O28" s="90">
        <v>267.05</v>
      </c>
      <c r="P28" s="90">
        <v>1.073</v>
      </c>
      <c r="Q28" s="90">
        <v>777.04</v>
      </c>
      <c r="R28" s="88">
        <v>190.15</v>
      </c>
      <c r="S28" s="90">
        <v>179.05</v>
      </c>
      <c r="T28" s="90">
        <v>681.07</v>
      </c>
      <c r="V28" s="84"/>
      <c r="W28" s="84"/>
      <c r="X28" s="84"/>
      <c r="Y28" s="12"/>
    </row>
    <row r="29" spans="1:25" ht="21" customHeight="1" x14ac:dyDescent="0.25">
      <c r="A29" s="6">
        <v>44921</v>
      </c>
      <c r="B29" s="89">
        <v>1.5952</v>
      </c>
      <c r="C29" s="90">
        <v>366.3</v>
      </c>
      <c r="D29" s="90">
        <v>123306.59</v>
      </c>
      <c r="E29" s="90">
        <v>9625118.3499999996</v>
      </c>
      <c r="F29" s="90">
        <v>3.7938000000000001</v>
      </c>
      <c r="G29" s="90">
        <v>1.1780999999999999</v>
      </c>
      <c r="H29" s="90">
        <v>1.1047</v>
      </c>
      <c r="I29" s="90">
        <v>397.89</v>
      </c>
      <c r="J29" s="90">
        <v>563.67999999999995</v>
      </c>
      <c r="K29" s="90">
        <v>522.49</v>
      </c>
      <c r="L29" s="90">
        <v>360.66</v>
      </c>
      <c r="M29" s="90">
        <v>885.08</v>
      </c>
      <c r="N29" s="90">
        <v>799.79</v>
      </c>
      <c r="O29" s="90">
        <v>267.3</v>
      </c>
      <c r="P29" s="90">
        <v>1.0734999999999999</v>
      </c>
      <c r="Q29" s="90">
        <v>777.48</v>
      </c>
      <c r="R29" s="88">
        <v>190.15</v>
      </c>
      <c r="S29" s="90">
        <v>179.05</v>
      </c>
      <c r="T29" s="90">
        <v>681.72</v>
      </c>
      <c r="V29" s="84"/>
      <c r="W29" s="84"/>
      <c r="X29" s="84"/>
      <c r="Y29" s="12"/>
    </row>
    <row r="30" spans="1:25" ht="21" customHeight="1" x14ac:dyDescent="0.25">
      <c r="A30" s="6">
        <v>44922</v>
      </c>
      <c r="B30" s="89">
        <v>1.5963000000000001</v>
      </c>
      <c r="C30" s="90">
        <v>366.58</v>
      </c>
      <c r="D30" s="90">
        <v>125293.95</v>
      </c>
      <c r="E30" s="90">
        <v>9628208.9700000007</v>
      </c>
      <c r="F30" s="90">
        <v>3.7964000000000002</v>
      </c>
      <c r="G30" s="90">
        <v>1.1787000000000001</v>
      </c>
      <c r="H30" s="90">
        <v>1.1053999999999999</v>
      </c>
      <c r="I30" s="90">
        <v>398.26</v>
      </c>
      <c r="J30" s="90">
        <v>564.45000000000005</v>
      </c>
      <c r="K30" s="90">
        <v>522.95000000000005</v>
      </c>
      <c r="L30" s="90">
        <v>361.13</v>
      </c>
      <c r="M30" s="90">
        <v>885.52</v>
      </c>
      <c r="N30" s="90">
        <v>800.25</v>
      </c>
      <c r="O30" s="90">
        <v>267.58</v>
      </c>
      <c r="P30" s="90">
        <v>1.0740000000000001</v>
      </c>
      <c r="Q30" s="90">
        <v>777.89</v>
      </c>
      <c r="R30" s="88">
        <v>190.15</v>
      </c>
      <c r="S30" s="90">
        <v>179.05</v>
      </c>
      <c r="T30" s="90">
        <v>682.56</v>
      </c>
      <c r="V30" s="84"/>
      <c r="W30" s="84"/>
      <c r="X30" s="84"/>
      <c r="Y30" s="12"/>
    </row>
    <row r="31" spans="1:25" ht="21" customHeight="1" x14ac:dyDescent="0.25">
      <c r="A31" s="6">
        <v>44923</v>
      </c>
      <c r="B31" s="89">
        <v>1.5972999999999999</v>
      </c>
      <c r="C31" s="90">
        <v>366.85</v>
      </c>
      <c r="D31" s="90">
        <v>126898.61</v>
      </c>
      <c r="E31" s="90">
        <v>9630665.6099999994</v>
      </c>
      <c r="F31" s="90">
        <v>3.7989999999999999</v>
      </c>
      <c r="G31" s="90">
        <v>1.1791</v>
      </c>
      <c r="H31" s="90">
        <v>1.1067</v>
      </c>
      <c r="I31" s="90">
        <v>398.63</v>
      </c>
      <c r="J31" s="90">
        <v>565.14</v>
      </c>
      <c r="K31" s="90">
        <v>523.38</v>
      </c>
      <c r="L31" s="90">
        <v>361.57</v>
      </c>
      <c r="M31" s="90">
        <v>885.88</v>
      </c>
      <c r="N31" s="90">
        <v>800.65</v>
      </c>
      <c r="O31" s="90">
        <v>267.82</v>
      </c>
      <c r="P31" s="90">
        <v>1.0745</v>
      </c>
      <c r="Q31" s="90">
        <v>778.25</v>
      </c>
      <c r="R31" s="88">
        <v>190.15</v>
      </c>
      <c r="S31" s="90">
        <v>179.05</v>
      </c>
      <c r="T31" s="90">
        <v>683.01</v>
      </c>
      <c r="V31" s="84"/>
      <c r="W31" s="84"/>
      <c r="X31" s="84"/>
      <c r="Y31" s="12"/>
    </row>
    <row r="32" spans="1:25" ht="19.5" customHeight="1" x14ac:dyDescent="0.25">
      <c r="A32" s="6">
        <v>44924</v>
      </c>
      <c r="B32" s="87">
        <v>1.5985</v>
      </c>
      <c r="C32" s="87">
        <v>367.12</v>
      </c>
      <c r="D32" s="87">
        <v>128661.39</v>
      </c>
      <c r="E32" s="92">
        <v>9633421.8100000005</v>
      </c>
      <c r="F32" s="87">
        <v>3.8016000000000001</v>
      </c>
      <c r="G32" s="87">
        <v>1.1797</v>
      </c>
      <c r="H32" s="87">
        <v>1.1068</v>
      </c>
      <c r="I32" s="87">
        <v>398.98</v>
      </c>
      <c r="J32" s="87">
        <v>566.04</v>
      </c>
      <c r="K32" s="87">
        <v>523.87</v>
      </c>
      <c r="L32" s="87">
        <v>362.04</v>
      </c>
      <c r="M32" s="87">
        <v>886.29</v>
      </c>
      <c r="N32" s="87">
        <v>801.13</v>
      </c>
      <c r="O32" s="87">
        <v>268.06</v>
      </c>
      <c r="P32" s="87">
        <v>1.0750999999999999</v>
      </c>
      <c r="Q32" s="87">
        <v>778.66</v>
      </c>
      <c r="R32" s="88">
        <v>190.15</v>
      </c>
      <c r="S32" s="90">
        <v>179.05</v>
      </c>
      <c r="T32" s="87">
        <v>683.65</v>
      </c>
      <c r="V32" s="84"/>
      <c r="W32" s="84"/>
      <c r="X32" s="84"/>
      <c r="Y32" s="12"/>
    </row>
    <row r="33" spans="1:24" ht="19.5" customHeight="1" x14ac:dyDescent="0.25">
      <c r="A33" s="6">
        <v>44925</v>
      </c>
      <c r="B33" s="96">
        <v>1.5995999999999999</v>
      </c>
      <c r="C33" s="96">
        <v>367.4</v>
      </c>
      <c r="D33" s="1">
        <v>130583.01</v>
      </c>
      <c r="E33" s="1">
        <v>9636263.5700000003</v>
      </c>
      <c r="F33" s="96">
        <v>3.8043</v>
      </c>
      <c r="G33" s="96">
        <v>1.1801999999999999</v>
      </c>
      <c r="H33" s="96">
        <v>1.1075999999999999</v>
      </c>
      <c r="I33" s="96">
        <v>399.29</v>
      </c>
      <c r="J33" s="96">
        <v>567.01</v>
      </c>
      <c r="K33" s="96">
        <v>524.38</v>
      </c>
      <c r="L33" s="96">
        <v>362.55</v>
      </c>
      <c r="M33" s="96">
        <v>886.74</v>
      </c>
      <c r="N33" s="96">
        <v>801.59</v>
      </c>
      <c r="O33" s="96">
        <v>268.33</v>
      </c>
      <c r="P33" s="96">
        <v>1.0755999999999999</v>
      </c>
      <c r="Q33" s="96">
        <v>779.11</v>
      </c>
      <c r="R33" s="88">
        <v>190.15</v>
      </c>
      <c r="S33" s="90">
        <v>179.05</v>
      </c>
      <c r="T33" s="96">
        <v>684.27</v>
      </c>
      <c r="V33" s="84"/>
      <c r="W33" s="84"/>
      <c r="X33" s="84"/>
    </row>
    <row r="34" spans="1:24" ht="21" customHeight="1" x14ac:dyDescent="0.25">
      <c r="A34" s="6">
        <v>44926</v>
      </c>
      <c r="B34" s="1">
        <v>1.6008</v>
      </c>
      <c r="C34" s="96">
        <v>367.69</v>
      </c>
      <c r="D34" s="1">
        <v>132558.10999999999</v>
      </c>
      <c r="E34" s="1">
        <v>9639394.6199999992</v>
      </c>
      <c r="F34" s="1">
        <v>3.8069999999999999</v>
      </c>
      <c r="G34" s="1">
        <v>1.1807000000000001</v>
      </c>
      <c r="H34" s="1">
        <v>1.1083000000000001</v>
      </c>
      <c r="I34" s="1">
        <v>399.66</v>
      </c>
      <c r="J34" s="1">
        <v>567.97</v>
      </c>
      <c r="K34" s="1">
        <v>524.84</v>
      </c>
      <c r="L34" s="1">
        <v>363.09</v>
      </c>
      <c r="M34" s="1">
        <v>887.29</v>
      </c>
      <c r="N34" s="1">
        <v>802.07</v>
      </c>
      <c r="O34" s="1">
        <v>268.61</v>
      </c>
      <c r="P34" s="1">
        <v>1.0761000000000001</v>
      </c>
      <c r="Q34" s="1">
        <v>779.55</v>
      </c>
      <c r="R34" s="88">
        <v>190.15</v>
      </c>
      <c r="S34" s="90">
        <v>179.05</v>
      </c>
      <c r="T34" s="125">
        <v>684.96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F30" sqref="F30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44896</v>
      </c>
      <c r="B3" s="65">
        <f>TOTAL!E2</f>
        <v>16850.000000001273</v>
      </c>
      <c r="C3" s="1">
        <f>Submeters!E2</f>
        <v>480.00000000001819</v>
      </c>
      <c r="D3" s="1">
        <f>Submeters!F2</f>
        <v>2599.9999999997135</v>
      </c>
      <c r="E3" s="1">
        <f>Submeters!G2</f>
        <v>260.00000000004775</v>
      </c>
      <c r="F3" s="1">
        <f>(Submeters!I2+Submeters!J2+Submeters!K2)</f>
        <v>949.99999999998863</v>
      </c>
      <c r="G3" s="1">
        <f>(Submeters!L2+Submeters!M2)</f>
        <v>0</v>
      </c>
      <c r="H3" s="1">
        <f>(Submeters!N2+Submeters!O2)</f>
        <v>1159.9999999998918</v>
      </c>
      <c r="I3" s="1">
        <f>(Submeters!P2+Submeters!Q2+Submeters!R2+Submeters!S2+Submeters!T2+Submeters!U2)</f>
        <v>2170.0000000000837</v>
      </c>
      <c r="J3" s="1">
        <f>(Submeters!V2+Submeters!W2)</f>
        <v>3575.4499999987311</v>
      </c>
      <c r="K3" s="1">
        <f>Submeters!X2</f>
        <v>240.00000000000909</v>
      </c>
      <c r="L3" s="24">
        <f t="shared" ref="L3:L32" si="0">B3-C3-D3-E3-F3-G3-H3-I3-J3-K3</f>
        <v>5414.5500000027914</v>
      </c>
    </row>
    <row r="4" spans="1:12" x14ac:dyDescent="0.25">
      <c r="A4" s="10">
        <f>'Kwh Reading'!A5</f>
        <v>44897</v>
      </c>
      <c r="B4" s="65">
        <f>TOTAL!E3</f>
        <v>17159.999999998945</v>
      </c>
      <c r="C4" s="1">
        <f>Submeters!E3</f>
        <v>419.99999999995907</v>
      </c>
      <c r="D4" s="1">
        <f>Submeters!F3</f>
        <v>2600.0000000001578</v>
      </c>
      <c r="E4" s="1">
        <f>Submeters!G3</f>
        <v>259.99999999999091</v>
      </c>
      <c r="F4" s="1">
        <f>(Submeters!I3+Submeters!J3+Submeters!K3)</f>
        <v>889.99999999992951</v>
      </c>
      <c r="G4" s="1">
        <f>(Submeters!L3+Submeters!M3)</f>
        <v>0</v>
      </c>
      <c r="H4" s="1">
        <f>(Submeters!N3+Submeters!O3)</f>
        <v>1240.000000000121</v>
      </c>
      <c r="I4" s="1">
        <f>(Submeters!P3+Submeters!Q3+Submeters!R3+Submeters!S3+Submeters!T3+Submeters!U3)</f>
        <v>2429.9999999997849</v>
      </c>
      <c r="J4" s="1">
        <f>(Submeters!V3+Submeters!W3)</f>
        <v>3352.3900000013527</v>
      </c>
      <c r="K4" s="1">
        <f>Submeters!X3</f>
        <v>269.99999999998181</v>
      </c>
      <c r="L4" s="24">
        <f t="shared" si="0"/>
        <v>5697.609999997665</v>
      </c>
    </row>
    <row r="5" spans="1:12" x14ac:dyDescent="0.25">
      <c r="A5" s="10">
        <f>'Kwh Reading'!A6</f>
        <v>44898</v>
      </c>
      <c r="B5" s="65">
        <f>TOTAL!E4</f>
        <v>16599.999999999</v>
      </c>
      <c r="C5" s="1">
        <f>Submeters!E4</f>
        <v>539.99999999996362</v>
      </c>
      <c r="D5" s="1">
        <f>Submeters!F4</f>
        <v>2600.0000000001578</v>
      </c>
      <c r="E5" s="1">
        <f>Submeters!G4</f>
        <v>250</v>
      </c>
      <c r="F5" s="1">
        <f>(Submeters!I4+Submeters!J4+Submeters!K4)</f>
        <v>890.0000000000432</v>
      </c>
      <c r="G5" s="1">
        <f>(Submeters!L4+Submeters!M4)</f>
        <v>0</v>
      </c>
      <c r="H5" s="1">
        <f>(Submeters!N4+Submeters!O4)</f>
        <v>1179.9999999998736</v>
      </c>
      <c r="I5" s="1">
        <f>(Submeters!P4+Submeters!Q4+Submeters!R4+Submeters!S4+Submeters!T4+Submeters!U4)</f>
        <v>2190.0000000001792</v>
      </c>
      <c r="J5" s="1">
        <f>(Submeters!V4+Submeters!W4)</f>
        <v>3344.6400000000722</v>
      </c>
      <c r="K5" s="1">
        <f>Submeters!X4</f>
        <v>240.00000000000909</v>
      </c>
      <c r="L5" s="24">
        <f t="shared" si="0"/>
        <v>5365.3599999987</v>
      </c>
    </row>
    <row r="6" spans="1:12" x14ac:dyDescent="0.25">
      <c r="A6" s="10">
        <f>'Kwh Reading'!A7</f>
        <v>44899</v>
      </c>
      <c r="B6" s="65">
        <f>TOTAL!E5</f>
        <v>16519.999999999982</v>
      </c>
      <c r="C6" s="1">
        <f>Submeters!E5</f>
        <v>460.00000000003638</v>
      </c>
      <c r="D6" s="1">
        <f>Submeters!F5</f>
        <v>2599.9999999997135</v>
      </c>
      <c r="E6" s="1">
        <f>Submeters!G5</f>
        <v>269.99999999998181</v>
      </c>
      <c r="F6" s="1">
        <f>(Submeters!I5+Submeters!J5+Submeters!K5)</f>
        <v>889.99999999992951</v>
      </c>
      <c r="G6" s="1">
        <f>(Submeters!L5+Submeters!M5)</f>
        <v>0</v>
      </c>
      <c r="H6" s="1">
        <f>(Submeters!N5+Submeters!O5)</f>
        <v>1130.000000000141</v>
      </c>
      <c r="I6" s="1">
        <f>(Submeters!P5+Submeters!Q5+Submeters!R5+Submeters!S5+Submeters!T5+Submeters!U5)</f>
        <v>2030.0000000001307</v>
      </c>
      <c r="J6" s="1">
        <f>(Submeters!V5+Submeters!W5)</f>
        <v>3072.7199999989534</v>
      </c>
      <c r="K6" s="1">
        <f>Submeters!X5</f>
        <v>250</v>
      </c>
      <c r="L6" s="24">
        <f t="shared" si="0"/>
        <v>5817.2800000010975</v>
      </c>
    </row>
    <row r="7" spans="1:12" x14ac:dyDescent="0.25">
      <c r="A7" s="10">
        <f>'Kwh Reading'!A8</f>
        <v>44900</v>
      </c>
      <c r="B7" s="65">
        <f>TOTAL!E6</f>
        <v>18500.000000000407</v>
      </c>
      <c r="C7" s="1">
        <f>Submeters!E6</f>
        <v>370.00000000000455</v>
      </c>
      <c r="D7" s="1">
        <f>Submeters!F6</f>
        <v>2600.0000000001578</v>
      </c>
      <c r="E7" s="1">
        <f>Submeters!G6</f>
        <v>250</v>
      </c>
      <c r="F7" s="1">
        <f>(Submeters!I6+Submeters!J6+Submeters!K6)</f>
        <v>1010.0000000001046</v>
      </c>
      <c r="G7" s="1">
        <f>(Submeters!L6+Submeters!M6)</f>
        <v>0</v>
      </c>
      <c r="H7" s="1">
        <f>(Submeters!N6+Submeters!O6)</f>
        <v>1359.9999999998697</v>
      </c>
      <c r="I7" s="1">
        <f>(Submeters!P6+Submeters!Q6+Submeters!R6+Submeters!S6+Submeters!T6+Submeters!U6)</f>
        <v>2589.999999999975</v>
      </c>
      <c r="J7" s="1">
        <f>(Submeters!V6+Submeters!W6)</f>
        <v>3935.9600000013452</v>
      </c>
      <c r="K7" s="1">
        <f>Submeters!X6</f>
        <v>230.00000000001819</v>
      </c>
      <c r="L7" s="24">
        <f t="shared" si="0"/>
        <v>6154.0399999989349</v>
      </c>
    </row>
    <row r="8" spans="1:12" x14ac:dyDescent="0.25">
      <c r="A8" s="10">
        <f>'Kwh Reading'!A9</f>
        <v>44901</v>
      </c>
      <c r="B8" s="65">
        <f>TOTAL!E7</f>
        <v>17509.999999999993</v>
      </c>
      <c r="C8" s="1">
        <f>Submeters!E7</f>
        <v>340.00000000003183</v>
      </c>
      <c r="D8" s="1">
        <f>Submeters!F7</f>
        <v>2499.9999999999468</v>
      </c>
      <c r="E8" s="1">
        <f>Submeters!G7</f>
        <v>269.99999999998181</v>
      </c>
      <c r="F8" s="1">
        <f>(Submeters!I7+Submeters!J7+Submeters!K7)</f>
        <v>870.00000000000455</v>
      </c>
      <c r="G8" s="1">
        <f>(Submeters!L7+Submeters!M7)</f>
        <v>0</v>
      </c>
      <c r="H8" s="1">
        <f>(Submeters!N7+Submeters!O7)</f>
        <v>1380.0000000000737</v>
      </c>
      <c r="I8" s="1">
        <f>(Submeters!P7+Submeters!Q7+Submeters!R7+Submeters!S7+Submeters!T7+Submeters!U7)</f>
        <v>2519.9999999999304</v>
      </c>
      <c r="J8" s="1">
        <f>(Submeters!V7+Submeters!W7)</f>
        <v>4050.19999999828</v>
      </c>
      <c r="K8" s="1">
        <f>Submeters!X7</f>
        <v>199.99999999998863</v>
      </c>
      <c r="L8" s="24">
        <f t="shared" si="0"/>
        <v>5379.8000000017528</v>
      </c>
    </row>
    <row r="9" spans="1:12" x14ac:dyDescent="0.25">
      <c r="A9" s="10">
        <f>'Kwh Reading'!A10</f>
        <v>44902</v>
      </c>
      <c r="B9" s="65">
        <f>TOTAL!E8</f>
        <v>16309.999999999491</v>
      </c>
      <c r="C9" s="1">
        <f>Submeters!E8</f>
        <v>709.99999999992269</v>
      </c>
      <c r="D9" s="1">
        <f>Submeters!F8</f>
        <v>2499.9999999999468</v>
      </c>
      <c r="E9" s="1">
        <f>Submeters!G8</f>
        <v>270.00000000003865</v>
      </c>
      <c r="F9" s="1">
        <f>(Submeters!I8+Submeters!J8+Submeters!K8)</f>
        <v>899.99999999992042</v>
      </c>
      <c r="G9" s="1">
        <f>(Submeters!L8+Submeters!M8)</f>
        <v>0</v>
      </c>
      <c r="H9" s="1">
        <f>(Submeters!N8+Submeters!O8)</f>
        <v>1259.9999999998809</v>
      </c>
      <c r="I9" s="1">
        <f>(Submeters!P8+Submeters!Q8+Submeters!R8+Submeters!S8+Submeters!T8+Submeters!U8)</f>
        <v>2179.9999999999609</v>
      </c>
      <c r="J9" s="1">
        <f>(Submeters!V8+Submeters!W8)</f>
        <v>3689.1300000011252</v>
      </c>
      <c r="K9" s="1">
        <f>Submeters!X8</f>
        <v>209.99999999997954</v>
      </c>
      <c r="L9" s="24">
        <f t="shared" si="0"/>
        <v>4590.8699999987166</v>
      </c>
    </row>
    <row r="10" spans="1:12" x14ac:dyDescent="0.25">
      <c r="A10" s="10">
        <f>'Kwh Reading'!A11</f>
        <v>44903</v>
      </c>
      <c r="B10" s="65">
        <f>TOTAL!E9</f>
        <v>17980.000000001608</v>
      </c>
      <c r="C10" s="1">
        <f>Submeters!E9</f>
        <v>460.00000000003638</v>
      </c>
      <c r="D10" s="1">
        <f>Submeters!F9</f>
        <v>2600.0000000001578</v>
      </c>
      <c r="E10" s="1">
        <f>Submeters!G9</f>
        <v>269.99999999998181</v>
      </c>
      <c r="F10" s="1">
        <f>(Submeters!I9+Submeters!J9+Submeters!K9)</f>
        <v>920.00000000007276</v>
      </c>
      <c r="G10" s="1">
        <f>(Submeters!L9+Submeters!M9)</f>
        <v>0</v>
      </c>
      <c r="H10" s="1">
        <f>(Submeters!N9+Submeters!O9)</f>
        <v>1190.0000000001432</v>
      </c>
      <c r="I10" s="1">
        <f>(Submeters!P9+Submeters!Q9+Submeters!R9+Submeters!S9+Submeters!T9+Submeters!U9)</f>
        <v>2419.9999999999413</v>
      </c>
      <c r="J10" s="1">
        <f>(Submeters!V9+Submeters!W9)</f>
        <v>4168.4600000005885</v>
      </c>
      <c r="K10" s="1">
        <f>Submeters!X9</f>
        <v>210.00000000003638</v>
      </c>
      <c r="L10" s="24">
        <f t="shared" si="0"/>
        <v>5741.5400000006484</v>
      </c>
    </row>
    <row r="11" spans="1:12" x14ac:dyDescent="0.25">
      <c r="A11" s="10">
        <f>'Kwh Reading'!A12</f>
        <v>44904</v>
      </c>
      <c r="B11" s="65">
        <f>TOTAL!E10</f>
        <v>17699.999999999363</v>
      </c>
      <c r="C11" s="1">
        <f>Submeters!E10</f>
        <v>500</v>
      </c>
      <c r="D11" s="1">
        <f>Submeters!F10</f>
        <v>2599.9999999997135</v>
      </c>
      <c r="E11" s="1">
        <f>Submeters!G10</f>
        <v>269.99999999998181</v>
      </c>
      <c r="F11" s="1">
        <f>(Submeters!I10+Submeters!J10+Submeters!K10)</f>
        <v>1279.9999999999727</v>
      </c>
      <c r="G11" s="1">
        <f>(Submeters!L10+Submeters!M10)</f>
        <v>0</v>
      </c>
      <c r="H11" s="1">
        <f>(Submeters!N10+Submeters!O10)</f>
        <v>1299.9999999999013</v>
      </c>
      <c r="I11" s="1">
        <f>(Submeters!P10+Submeters!Q10+Submeters!R10+Submeters!S10+Submeters!T10+Submeters!U10)</f>
        <v>2410.0000000001673</v>
      </c>
      <c r="J11" s="1">
        <f>(Submeters!V10+Submeters!W10)</f>
        <v>4119.9799999982934</v>
      </c>
      <c r="K11" s="1">
        <f>Submeters!X10</f>
        <v>259.99999999999091</v>
      </c>
      <c r="L11" s="24">
        <f t="shared" si="0"/>
        <v>4960.0200000013429</v>
      </c>
    </row>
    <row r="12" spans="1:12" x14ac:dyDescent="0.25">
      <c r="A12" s="10">
        <f>'Kwh Reading'!A13</f>
        <v>44905</v>
      </c>
      <c r="B12" s="65">
        <f>TOTAL!E11</f>
        <v>19260.000000000218</v>
      </c>
      <c r="C12" s="1">
        <f>Submeters!E11</f>
        <v>519.99999999998181</v>
      </c>
      <c r="D12" s="1">
        <f>Submeters!F11</f>
        <v>2500.0000000003906</v>
      </c>
      <c r="E12" s="1">
        <f>Submeters!G11</f>
        <v>259.99999999999091</v>
      </c>
      <c r="F12" s="1">
        <f>(Submeters!I11+Submeters!J11+Submeters!K11)</f>
        <v>959.99999999997954</v>
      </c>
      <c r="G12" s="1">
        <f>(Submeters!L11+Submeters!M11)</f>
        <v>0</v>
      </c>
      <c r="H12" s="1">
        <f>(Submeters!N11+Submeters!O11)</f>
        <v>1180.0000000000955</v>
      </c>
      <c r="I12" s="1">
        <f>(Submeters!P11+Submeters!Q11+Submeters!R11+Submeters!S11+Submeters!T11+Submeters!U11)</f>
        <v>2099.9999999999586</v>
      </c>
      <c r="J12" s="1">
        <f>(Submeters!V11+Submeters!W11)</f>
        <v>4515.500000001266</v>
      </c>
      <c r="K12" s="1">
        <f>Submeters!X11</f>
        <v>229.99999999996135</v>
      </c>
      <c r="L12" s="24">
        <f t="shared" si="0"/>
        <v>6994.4999999985921</v>
      </c>
    </row>
    <row r="13" spans="1:12" x14ac:dyDescent="0.25">
      <c r="A13" s="10">
        <f>'Kwh Reading'!A14</f>
        <v>44906</v>
      </c>
      <c r="B13" s="65">
        <f>TOTAL!E12</f>
        <v>18669.999999998254</v>
      </c>
      <c r="C13" s="1">
        <f>Submeters!E12</f>
        <v>509.99999999999091</v>
      </c>
      <c r="D13" s="1">
        <f>Submeters!F12</f>
        <v>2399.9999999997358</v>
      </c>
      <c r="E13" s="1">
        <f>Submeters!G12</f>
        <v>260.00000000004775</v>
      </c>
      <c r="F13" s="1">
        <f>(Submeters!I12+Submeters!J12+Submeters!K12)</f>
        <v>1080.0000000000978</v>
      </c>
      <c r="G13" s="1">
        <f>(Submeters!L12+Submeters!M12)</f>
        <v>0</v>
      </c>
      <c r="H13" s="1">
        <f>(Submeters!N12+Submeters!O12)</f>
        <v>1299.9999999999013</v>
      </c>
      <c r="I13" s="1">
        <f>(Submeters!P12+Submeters!Q12+Submeters!R12+Submeters!S12+Submeters!T12+Submeters!U12)</f>
        <v>2359.9999999998822</v>
      </c>
      <c r="J13" s="1">
        <f>(Submeters!V12+Submeters!W12)</f>
        <v>4641.5600000000704</v>
      </c>
      <c r="K13" s="1">
        <f>Submeters!X12</f>
        <v>220.00000000002728</v>
      </c>
      <c r="L13" s="24">
        <f t="shared" si="0"/>
        <v>5898.439999998498</v>
      </c>
    </row>
    <row r="14" spans="1:12" x14ac:dyDescent="0.25">
      <c r="A14" s="10">
        <f>'Kwh Reading'!A15</f>
        <v>44907</v>
      </c>
      <c r="B14" s="65">
        <f>TOTAL!E13</f>
        <v>18949.999999999818</v>
      </c>
      <c r="C14" s="1">
        <f>Submeters!E13</f>
        <v>470.00000000002728</v>
      </c>
      <c r="D14" s="1">
        <f>Submeters!F13</f>
        <v>2499.9999999999468</v>
      </c>
      <c r="E14" s="1">
        <f>Submeters!G13</f>
        <v>259.99999999999091</v>
      </c>
      <c r="F14" s="1">
        <f>(Submeters!I13+Submeters!J13+Submeters!K13)</f>
        <v>1279.999999999859</v>
      </c>
      <c r="G14" s="1">
        <f>(Submeters!L13+Submeters!M13)</f>
        <v>0</v>
      </c>
      <c r="H14" s="1">
        <f>(Submeters!N13+Submeters!O13)</f>
        <v>1190.0000000001096</v>
      </c>
      <c r="I14" s="1">
        <f>(Submeters!P13+Submeters!Q13+Submeters!R13+Submeters!S13+Submeters!T13+Submeters!U13)</f>
        <v>2449.9999999999886</v>
      </c>
      <c r="J14" s="1">
        <f>(Submeters!V13+Submeters!W13)</f>
        <v>4386.7699999996257</v>
      </c>
      <c r="K14" s="1">
        <f>Submeters!X13</f>
        <v>230.00000000001819</v>
      </c>
      <c r="L14" s="24">
        <f t="shared" si="0"/>
        <v>6183.2300000002506</v>
      </c>
    </row>
    <row r="15" spans="1:12" x14ac:dyDescent="0.25">
      <c r="A15" s="10">
        <f>'Kwh Reading'!A16</f>
        <v>44908</v>
      </c>
      <c r="B15" s="65">
        <f>TOTAL!E14</f>
        <v>17860.000000002856</v>
      </c>
      <c r="C15" s="1">
        <f>Submeters!E14</f>
        <v>480.00000000001819</v>
      </c>
      <c r="D15" s="1">
        <f>Submeters!F14</f>
        <v>2499.9999999999468</v>
      </c>
      <c r="E15" s="1">
        <f>Submeters!G14</f>
        <v>269.99999999998181</v>
      </c>
      <c r="F15" s="1">
        <f>(Submeters!I14+Submeters!J14+Submeters!K14)</f>
        <v>1250.0000000001137</v>
      </c>
      <c r="G15" s="1">
        <f>(Submeters!L14+Submeters!M14)</f>
        <v>0</v>
      </c>
      <c r="H15" s="1">
        <f>(Submeters!N14+Submeters!O14)</f>
        <v>1369.9999999998945</v>
      </c>
      <c r="I15" s="1">
        <f>(Submeters!P14+Submeters!Q14+Submeters!R14+Submeters!S14+Submeters!T14+Submeters!U14)</f>
        <v>2550.000000000427</v>
      </c>
      <c r="J15" s="1">
        <f>(Submeters!V14+Submeters!W14)</f>
        <v>3939.5399999993388</v>
      </c>
      <c r="K15" s="1">
        <f>Submeters!X14</f>
        <v>250</v>
      </c>
      <c r="L15" s="24">
        <f t="shared" si="0"/>
        <v>5250.4600000031332</v>
      </c>
    </row>
    <row r="16" spans="1:12" x14ac:dyDescent="0.25">
      <c r="A16" s="10">
        <f>'Kwh Reading'!A17</f>
        <v>44909</v>
      </c>
      <c r="B16" s="65">
        <f>TOTAL!E15</f>
        <v>18519.999999999072</v>
      </c>
      <c r="C16" s="1">
        <f>Submeters!E15</f>
        <v>490.00000000000909</v>
      </c>
      <c r="D16" s="1">
        <f>Submeters!F15</f>
        <v>2600.0000000001578</v>
      </c>
      <c r="E16" s="1">
        <f>Submeters!G15</f>
        <v>280.00000000002956</v>
      </c>
      <c r="F16" s="1">
        <f>(Submeters!I15+Submeters!J15+Submeters!K15)</f>
        <v>1000</v>
      </c>
      <c r="G16" s="1">
        <f>(Submeters!L15+Submeters!M15)</f>
        <v>0</v>
      </c>
      <c r="H16" s="1">
        <f>(Submeters!N15+Submeters!O15)</f>
        <v>1370.0000000000828</v>
      </c>
      <c r="I16" s="1">
        <f>(Submeters!P15+Submeters!Q15+Submeters!R15+Submeters!S15+Submeters!T15+Submeters!U15)</f>
        <v>2399.9999999997322</v>
      </c>
      <c r="J16" s="1">
        <f>(Submeters!V15+Submeters!W15)</f>
        <v>3811.650000000518</v>
      </c>
      <c r="K16" s="1">
        <f>Submeters!X15</f>
        <v>219.99999999997044</v>
      </c>
      <c r="L16" s="24">
        <f t="shared" si="0"/>
        <v>6348.3499999985706</v>
      </c>
    </row>
    <row r="17" spans="1:12" x14ac:dyDescent="0.25">
      <c r="A17" s="10">
        <f>'Kwh Reading'!A18</f>
        <v>44910</v>
      </c>
      <c r="B17" s="65">
        <f>TOTAL!E16</f>
        <v>17569.999999999709</v>
      </c>
      <c r="C17" s="1">
        <f>Submeters!E16</f>
        <v>490.00000000000909</v>
      </c>
      <c r="D17" s="1">
        <f>Submeters!F16</f>
        <v>2400.0000000001796</v>
      </c>
      <c r="E17" s="1">
        <f>Submeters!G16</f>
        <v>279.99999999997272</v>
      </c>
      <c r="F17" s="1">
        <f>(Submeters!I16+Submeters!J16+Submeters!K16)</f>
        <v>1029.9999999999159</v>
      </c>
      <c r="G17" s="1">
        <f>(Submeters!L16+Submeters!M16)</f>
        <v>0</v>
      </c>
      <c r="H17" s="1">
        <f>(Submeters!N16+Submeters!O16)</f>
        <v>1409.9999999998811</v>
      </c>
      <c r="I17" s="1">
        <f>(Submeters!P16+Submeters!Q16+Submeters!R16+Submeters!S16+Submeters!T16+Submeters!U16)</f>
        <v>2349.999999999925</v>
      </c>
      <c r="J17" s="1">
        <f>(Submeters!V16+Submeters!W16)</f>
        <v>3545.9800000000687</v>
      </c>
      <c r="K17" s="1">
        <f>Submeters!X16</f>
        <v>209.99999999997954</v>
      </c>
      <c r="L17" s="24">
        <f t="shared" si="0"/>
        <v>5854.0199999997767</v>
      </c>
    </row>
    <row r="18" spans="1:12" x14ac:dyDescent="0.25">
      <c r="A18" s="10">
        <f>'Kwh Reading'!A19</f>
        <v>44911</v>
      </c>
      <c r="B18" s="65">
        <f>TOTAL!E17</f>
        <v>19269.999999999527</v>
      </c>
      <c r="C18" s="1">
        <f>Submeters!E17</f>
        <v>529.99999999997272</v>
      </c>
      <c r="D18" s="1">
        <f>Submeters!F17</f>
        <v>2499.9999999999468</v>
      </c>
      <c r="E18" s="1">
        <f>Submeters!G17</f>
        <v>269.99999999998181</v>
      </c>
      <c r="F18" s="1">
        <f>(Submeters!I17+Submeters!J17+Submeters!K17)</f>
        <v>1090.0000000000887</v>
      </c>
      <c r="G18" s="1">
        <f>(Submeters!L17+Submeters!M17)</f>
        <v>0</v>
      </c>
      <c r="H18" s="1">
        <f>(Submeters!N17+Submeters!O17)</f>
        <v>1400.0000000001123</v>
      </c>
      <c r="I18" s="1">
        <f>(Submeters!P17+Submeters!Q17+Submeters!R17+Submeters!S17+Submeters!T17+Submeters!U17)</f>
        <v>2560.0000000000364</v>
      </c>
      <c r="J18" s="1">
        <f>(Submeters!V17+Submeters!W17)</f>
        <v>4077.450000000521</v>
      </c>
      <c r="K18" s="1">
        <f>Submeters!X17</f>
        <v>190.00000000005457</v>
      </c>
      <c r="L18" s="24">
        <f t="shared" si="0"/>
        <v>6652.5499999988133</v>
      </c>
    </row>
    <row r="19" spans="1:12" x14ac:dyDescent="0.25">
      <c r="A19" s="10">
        <f>'Kwh Reading'!A20</f>
        <v>44912</v>
      </c>
      <c r="B19" s="65">
        <f>TOTAL!E18</f>
        <v>18439.9999999996</v>
      </c>
      <c r="C19" s="1">
        <f>Submeters!E18</f>
        <v>259.99999999999091</v>
      </c>
      <c r="D19" s="1">
        <f>Submeters!F18</f>
        <v>2699.9999999999245</v>
      </c>
      <c r="E19" s="1">
        <f>Submeters!G18</f>
        <v>270.00000000003865</v>
      </c>
      <c r="F19" s="1">
        <f>(Submeters!I18+Submeters!J18+Submeters!K18)</f>
        <v>1099.9999999999091</v>
      </c>
      <c r="G19" s="1">
        <f>(Submeters!L18+Submeters!M18)</f>
        <v>0</v>
      </c>
      <c r="H19" s="1">
        <f>(Submeters!N18+Submeters!O18)</f>
        <v>1379.9999999999084</v>
      </c>
      <c r="I19" s="1">
        <f>(Submeters!P18+Submeters!Q18+Submeters!R18+Submeters!S18+Submeters!T18+Submeters!U18)</f>
        <v>2730.000000000297</v>
      </c>
      <c r="J19" s="1">
        <f>(Submeters!V18+Submeters!W18)</f>
        <v>3791.3499999995547</v>
      </c>
      <c r="K19" s="1">
        <f>Submeters!X18</f>
        <v>269.99999999998181</v>
      </c>
      <c r="L19" s="24">
        <f t="shared" si="0"/>
        <v>5938.6499999999942</v>
      </c>
    </row>
    <row r="20" spans="1:12" x14ac:dyDescent="0.25">
      <c r="A20" s="10">
        <f>'Kwh Reading'!A21</f>
        <v>44913</v>
      </c>
      <c r="B20" s="65">
        <f>TOTAL!E19</f>
        <v>18700.000000001637</v>
      </c>
      <c r="C20" s="1">
        <f>Submeters!E19</f>
        <v>509.99999999999091</v>
      </c>
      <c r="D20" s="1">
        <f>Submeters!F19</f>
        <v>2499.9999999999468</v>
      </c>
      <c r="E20" s="1">
        <f>Submeters!G19</f>
        <v>250</v>
      </c>
      <c r="F20" s="1">
        <f>(Submeters!I19+Submeters!J19+Submeters!K19)</f>
        <v>1280.0000000000296</v>
      </c>
      <c r="G20" s="1">
        <f>(Submeters!L19+Submeters!M19)</f>
        <v>0</v>
      </c>
      <c r="H20" s="1">
        <f>(Submeters!N19+Submeters!O19)</f>
        <v>1260.0000000001028</v>
      </c>
      <c r="I20" s="1">
        <f>(Submeters!P19+Submeters!Q19+Submeters!R19+Submeters!S19+Submeters!T19+Submeters!U19)</f>
        <v>2589.9999999998668</v>
      </c>
      <c r="J20" s="1">
        <f>(Submeters!V19+Submeters!W19)</f>
        <v>4170.0000000001455</v>
      </c>
      <c r="K20" s="1">
        <f>Submeters!X19</f>
        <v>209.99999999997954</v>
      </c>
      <c r="L20" s="24">
        <f t="shared" si="0"/>
        <v>5930.0000000015716</v>
      </c>
    </row>
    <row r="21" spans="1:12" x14ac:dyDescent="0.25">
      <c r="A21" s="10">
        <f>'Kwh Reading'!A22</f>
        <v>44914</v>
      </c>
      <c r="B21" s="65">
        <f>TOTAL!E20</f>
        <v>17719.999999999345</v>
      </c>
      <c r="C21" s="1">
        <f>Submeters!E20</f>
        <v>460.00000000003638</v>
      </c>
      <c r="D21" s="1">
        <f>Submeters!F20</f>
        <v>2400.0000000001796</v>
      </c>
      <c r="E21" s="1">
        <f>Submeters!G20</f>
        <v>259.99999999999091</v>
      </c>
      <c r="F21" s="1">
        <f>(Submeters!I20+Submeters!J20+Submeters!K20)</f>
        <v>1510.0000000000477</v>
      </c>
      <c r="G21" s="1">
        <f>(Submeters!L20+Submeters!M20)</f>
        <v>0</v>
      </c>
      <c r="H21" s="1">
        <f>(Submeters!N20+Submeters!O20)</f>
        <v>1189.9999999999213</v>
      </c>
      <c r="I21" s="1">
        <f>(Submeters!P20+Submeters!Q20+Submeters!R20+Submeters!S20+Submeters!T20+Submeters!U20)</f>
        <v>2339.9999999997067</v>
      </c>
      <c r="J21" s="1">
        <f>(Submeters!V20+Submeters!W20)</f>
        <v>3796.1299999996263</v>
      </c>
      <c r="K21" s="1">
        <f>Submeters!X20</f>
        <v>220.00000000002728</v>
      </c>
      <c r="L21" s="24">
        <f t="shared" si="0"/>
        <v>5543.869999999808</v>
      </c>
    </row>
    <row r="22" spans="1:12" x14ac:dyDescent="0.25">
      <c r="A22" s="10">
        <f>'Kwh Reading'!A23</f>
        <v>44915</v>
      </c>
      <c r="B22" s="65">
        <f>TOTAL!E21</f>
        <v>17259.999999998399</v>
      </c>
      <c r="C22" s="1">
        <f>Submeters!E21</f>
        <v>610.00000000001364</v>
      </c>
      <c r="D22" s="1">
        <f>Submeters!F21</f>
        <v>2299.9999999999686</v>
      </c>
      <c r="E22" s="1">
        <f>Submeters!G21</f>
        <v>269.99999999998181</v>
      </c>
      <c r="F22" s="1">
        <f>(Submeters!I21+Submeters!J21+Submeters!K21)</f>
        <v>1349.9999999999091</v>
      </c>
      <c r="G22" s="1">
        <f>(Submeters!L21+Submeters!M21)</f>
        <v>0</v>
      </c>
      <c r="H22" s="1">
        <f>(Submeters!N21+Submeters!O21)</f>
        <v>1280.0000000000846</v>
      </c>
      <c r="I22" s="1">
        <f>(Submeters!P21+Submeters!Q21+Submeters!R21+Submeters!S21+Submeters!T21+Submeters!U21)</f>
        <v>2389.9999999998549</v>
      </c>
      <c r="J22" s="1">
        <f>(Submeters!V21+Submeters!W21)</f>
        <v>3715.6599999992613</v>
      </c>
      <c r="K22" s="1">
        <f>Submeters!X21</f>
        <v>199.99999999998863</v>
      </c>
      <c r="L22" s="24">
        <f t="shared" si="0"/>
        <v>5144.3399999993344</v>
      </c>
    </row>
    <row r="23" spans="1:12" x14ac:dyDescent="0.25">
      <c r="A23" s="10">
        <f>'Kwh Reading'!A24</f>
        <v>44916</v>
      </c>
      <c r="B23" s="65">
        <f>TOTAL!E22</f>
        <v>16960.000000001401</v>
      </c>
      <c r="C23" s="1">
        <f>Submeters!E22</f>
        <v>500</v>
      </c>
      <c r="D23" s="1">
        <f>Submeters!F22</f>
        <v>2399.9999999997358</v>
      </c>
      <c r="E23" s="1">
        <f>Submeters!G22</f>
        <v>270.00000000003865</v>
      </c>
      <c r="F23" s="1">
        <f>(Submeters!I22+Submeters!J22+Submeters!K22)</f>
        <v>1249.9999999999432</v>
      </c>
      <c r="G23" s="1">
        <f>(Submeters!L22+Submeters!M22)</f>
        <v>0</v>
      </c>
      <c r="H23" s="1">
        <f>(Submeters!N22+Submeters!O22)</f>
        <v>1079.9999999998845</v>
      </c>
      <c r="I23" s="1">
        <f>(Submeters!P22+Submeters!Q22+Submeters!R22+Submeters!S22+Submeters!T22+Submeters!U22)</f>
        <v>2150.0000000003574</v>
      </c>
      <c r="J23" s="1">
        <f>(Submeters!V22+Submeters!W22)</f>
        <v>3692.6400000008871</v>
      </c>
      <c r="K23" s="1">
        <f>Submeters!X22</f>
        <v>269.99999999998181</v>
      </c>
      <c r="L23" s="24">
        <f t="shared" si="0"/>
        <v>5347.3600000005717</v>
      </c>
    </row>
    <row r="24" spans="1:12" x14ac:dyDescent="0.25">
      <c r="A24" s="10">
        <f>'Kwh Reading'!A25</f>
        <v>44917</v>
      </c>
      <c r="B24" s="65">
        <f>TOTAL!E23</f>
        <v>18500.000000000909</v>
      </c>
      <c r="C24" s="1">
        <f>Submeters!E23</f>
        <v>509.99999999999091</v>
      </c>
      <c r="D24" s="1">
        <f>Submeters!F23</f>
        <v>2400.0000000001796</v>
      </c>
      <c r="E24" s="1">
        <f>Submeters!G23</f>
        <v>279.99999999997272</v>
      </c>
      <c r="F24" s="1">
        <f>(Submeters!I23+Submeters!J23+Submeters!K23)</f>
        <v>1270.0000000002092</v>
      </c>
      <c r="G24" s="1">
        <f>(Submeters!L23+Submeters!M23)</f>
        <v>0</v>
      </c>
      <c r="H24" s="1">
        <f>(Submeters!N23+Submeters!O23)</f>
        <v>1290.0000000001323</v>
      </c>
      <c r="I24" s="1">
        <f>(Submeters!P23+Submeters!Q23+Submeters!R23+Submeters!S23+Submeters!T23+Submeters!U23)</f>
        <v>2560.000000000116</v>
      </c>
      <c r="J24" s="1">
        <f>(Submeters!V23+Submeters!W23)</f>
        <v>3920.6200000000827</v>
      </c>
      <c r="K24" s="1">
        <f>Submeters!X23</f>
        <v>220.00000000002728</v>
      </c>
      <c r="L24" s="24">
        <f t="shared" si="0"/>
        <v>6049.3800000001957</v>
      </c>
    </row>
    <row r="25" spans="1:12" x14ac:dyDescent="0.25">
      <c r="A25" s="10">
        <f>'Kwh Reading'!A26</f>
        <v>44918</v>
      </c>
      <c r="B25" s="65">
        <f>TOTAL!E24</f>
        <v>18689.999999998236</v>
      </c>
      <c r="C25" s="1">
        <f>Submeters!E24</f>
        <v>539.99999999996362</v>
      </c>
      <c r="D25" s="1">
        <f>Submeters!F24</f>
        <v>2499.9999999999468</v>
      </c>
      <c r="E25" s="1">
        <f>Submeters!G24</f>
        <v>269.99999999998181</v>
      </c>
      <c r="F25" s="1">
        <f>(Submeters!I24+Submeters!J24+Submeters!K24)</f>
        <v>1349.9999999999091</v>
      </c>
      <c r="G25" s="1">
        <f>(Submeters!L24+Submeters!M24)</f>
        <v>0</v>
      </c>
      <c r="H25" s="1">
        <f>(Submeters!N24+Submeters!O24)</f>
        <v>1449.9999999999015</v>
      </c>
      <c r="I25" s="1">
        <f>(Submeters!P24+Submeters!Q24+Submeters!R24+Submeters!S24+Submeters!T24+Submeters!U24)</f>
        <v>2859.9999999997008</v>
      </c>
      <c r="J25" s="1">
        <f>(Submeters!V24+Submeters!W24)</f>
        <v>4247.810000000216</v>
      </c>
      <c r="K25" s="1">
        <f>Submeters!X24</f>
        <v>229.99999999996135</v>
      </c>
      <c r="L25" s="24">
        <f t="shared" si="0"/>
        <v>5242.1899999986545</v>
      </c>
    </row>
    <row r="26" spans="1:12" x14ac:dyDescent="0.25">
      <c r="A26" s="10">
        <f>'Kwh Reading'!A27</f>
        <v>44919</v>
      </c>
      <c r="B26" s="65">
        <f>TOTAL!E25</f>
        <v>19039.999999999054</v>
      </c>
      <c r="C26" s="1">
        <f>Submeters!E25</f>
        <v>420.00000000007276</v>
      </c>
      <c r="D26" s="1">
        <f>Submeters!F25</f>
        <v>2600.0000000001578</v>
      </c>
      <c r="E26" s="1">
        <f>Submeters!G25</f>
        <v>259.99999999999091</v>
      </c>
      <c r="F26" s="1">
        <f>(Submeters!I25+Submeters!J25+Submeters!K25)</f>
        <v>1009.9999999999909</v>
      </c>
      <c r="G26" s="1">
        <f>(Submeters!L25+Submeters!M25)</f>
        <v>0</v>
      </c>
      <c r="H26" s="1">
        <f>(Submeters!N25+Submeters!O25)</f>
        <v>1278.000000000075</v>
      </c>
      <c r="I26" s="1">
        <f>(Submeters!P25+Submeters!Q25+Submeters!R25+Submeters!S25+Submeters!T25+Submeters!U25)</f>
        <v>2580.0000000001314</v>
      </c>
      <c r="J26" s="1">
        <f>(Submeters!V25+Submeters!W25)</f>
        <v>4047.1799999993382</v>
      </c>
      <c r="K26" s="1">
        <f>Submeters!X25</f>
        <v>210.00000000003638</v>
      </c>
      <c r="L26" s="24">
        <f t="shared" si="0"/>
        <v>6634.8199999992612</v>
      </c>
    </row>
    <row r="27" spans="1:12" x14ac:dyDescent="0.25">
      <c r="A27" s="10">
        <f>'Kwh Reading'!A28</f>
        <v>44920</v>
      </c>
      <c r="B27" s="65">
        <f>TOTAL!E26</f>
        <v>20450.000000002547</v>
      </c>
      <c r="C27" s="1">
        <f>Submeters!E26</f>
        <v>649.99999999997726</v>
      </c>
      <c r="D27" s="1">
        <f>Submeters!F26</f>
        <v>2699.9999999999245</v>
      </c>
      <c r="E27" s="1">
        <f>Submeters!G26</f>
        <v>270.00000000003865</v>
      </c>
      <c r="F27" s="1">
        <f>(Submeters!I26+Submeters!J26+Submeters!K26)</f>
        <v>1589.999999999975</v>
      </c>
      <c r="G27" s="1">
        <f>(Submeters!L26+Submeters!M26)</f>
        <v>0</v>
      </c>
      <c r="H27" s="1">
        <f>(Submeters!N26+Submeters!O26)</f>
        <v>1541.9999999998861</v>
      </c>
      <c r="I27" s="1">
        <f>(Submeters!P26+Submeters!Q26+Submeters!R26+Submeters!S26+Submeters!T26+Submeters!U26)</f>
        <v>3059.9999999998263</v>
      </c>
      <c r="J27" s="1">
        <f>(Submeters!V26+Submeters!W26)</f>
        <v>4917.7899999999936</v>
      </c>
      <c r="K27" s="1">
        <f>Submeters!X26</f>
        <v>250</v>
      </c>
      <c r="L27" s="24">
        <f t="shared" si="0"/>
        <v>5470.2100000029241</v>
      </c>
    </row>
    <row r="28" spans="1:12" x14ac:dyDescent="0.25">
      <c r="A28" s="10">
        <f>'Kwh Reading'!A29</f>
        <v>44921</v>
      </c>
      <c r="B28" s="65">
        <f>TOTAL!E27</f>
        <v>20969.99999999889</v>
      </c>
      <c r="C28" s="1">
        <f>Submeters!E27</f>
        <v>839.99999999991815</v>
      </c>
      <c r="D28" s="1">
        <f>Submeters!F27</f>
        <v>2600.0000000001578</v>
      </c>
      <c r="E28" s="1">
        <f>Submeters!G27</f>
        <v>279.99999999997272</v>
      </c>
      <c r="F28" s="1">
        <f>(Submeters!I27+Submeters!J27+Submeters!K27)</f>
        <v>1700.0000000001023</v>
      </c>
      <c r="G28" s="1">
        <f>(Submeters!L27+Submeters!M27)</f>
        <v>0</v>
      </c>
      <c r="H28" s="1">
        <f>(Submeters!N27+Submeters!O27)</f>
        <v>1470.0000000001055</v>
      </c>
      <c r="I28" s="1">
        <f>(Submeters!P27+Submeters!Q27+Submeters!R27+Submeters!S27+Submeters!T27+Submeters!U27)</f>
        <v>3110.0000000001914</v>
      </c>
      <c r="J28" s="1">
        <f>(Submeters!V27+Submeters!W27)</f>
        <v>5077.9800000010437</v>
      </c>
      <c r="K28" s="1">
        <f>Submeters!X27</f>
        <v>279.99999999997272</v>
      </c>
      <c r="L28" s="24">
        <f t="shared" si="0"/>
        <v>5612.0199999974284</v>
      </c>
    </row>
    <row r="29" spans="1:12" x14ac:dyDescent="0.25">
      <c r="A29" s="10">
        <f>'Kwh Reading'!A30</f>
        <v>44922</v>
      </c>
      <c r="B29" s="65">
        <f>TOTAL!E28</f>
        <v>21030.000000001</v>
      </c>
      <c r="C29" s="1">
        <f>Submeters!E28</f>
        <v>450.00000000004547</v>
      </c>
      <c r="D29" s="1">
        <f>Submeters!F28</f>
        <v>2599.9999999997135</v>
      </c>
      <c r="E29" s="1">
        <f>Submeters!G28</f>
        <v>270.00000000003865</v>
      </c>
      <c r="F29" s="1">
        <f>(Submeters!I28+Submeters!J28+Submeters!K28)</f>
        <v>1559.9999999998886</v>
      </c>
      <c r="G29" s="1">
        <f>(Submeters!L28+Submeters!M28)</f>
        <v>0</v>
      </c>
      <c r="H29" s="1">
        <f>(Submeters!N28+Submeters!O28)</f>
        <v>1369.9999999998945</v>
      </c>
      <c r="I29" s="1">
        <f>(Submeters!P28+Submeters!Q28+Submeters!R28+Submeters!S28+Submeters!T28+Submeters!U28)</f>
        <v>3319.9999999999841</v>
      </c>
      <c r="J29" s="1">
        <f>(Submeters!V28+Submeters!W28)</f>
        <v>4061.2999999987369</v>
      </c>
      <c r="K29" s="1">
        <f>Submeters!X28</f>
        <v>240.00000000000909</v>
      </c>
      <c r="L29" s="24">
        <f t="shared" si="0"/>
        <v>7158.7000000026874</v>
      </c>
    </row>
    <row r="30" spans="1:12" x14ac:dyDescent="0.25">
      <c r="A30" s="10">
        <f>'Kwh Reading'!A31</f>
        <v>44923</v>
      </c>
      <c r="B30" s="65">
        <f>TOTAL!E29</f>
        <v>19869.999999997799</v>
      </c>
      <c r="C30" s="1">
        <f>Submeters!E29</f>
        <v>639.99999999998636</v>
      </c>
      <c r="D30" s="1">
        <f>Submeters!F29</f>
        <v>2600.0000000001578</v>
      </c>
      <c r="E30" s="1">
        <f>Submeters!G29</f>
        <v>269.99999999998181</v>
      </c>
      <c r="F30" s="1">
        <f>(Submeters!I29+Submeters!J29+Submeters!K29)</f>
        <v>1860.0000000000136</v>
      </c>
      <c r="G30" s="1">
        <f>(Submeters!L29+Submeters!M29)</f>
        <v>0</v>
      </c>
      <c r="H30" s="1">
        <f>(Submeters!N29+Submeters!O29)</f>
        <v>1550.0000000001125</v>
      </c>
      <c r="I30" s="1">
        <f>(Submeters!P29+Submeters!Q29+Submeters!R29+Submeters!S29+Submeters!T29+Submeters!U29)</f>
        <v>2599.9999999998113</v>
      </c>
      <c r="J30" s="1">
        <f>(Submeters!V29+Submeters!W29)</f>
        <v>4518.9800000011164</v>
      </c>
      <c r="K30" s="1">
        <f>Submeters!X29</f>
        <v>240.00000000000909</v>
      </c>
      <c r="L30" s="24">
        <f t="shared" si="0"/>
        <v>5591.0199999966117</v>
      </c>
    </row>
    <row r="31" spans="1:12" x14ac:dyDescent="0.25">
      <c r="A31" s="10">
        <f>'Kwh Reading'!A32</f>
        <v>44924</v>
      </c>
      <c r="B31" s="65">
        <f>TOTAL!E30</f>
        <v>21670.000000001437</v>
      </c>
      <c r="C31" s="1">
        <f>Submeters!E30</f>
        <v>620.00000000000455</v>
      </c>
      <c r="D31" s="1">
        <f>Submeters!F30</f>
        <v>2699.9999999999245</v>
      </c>
      <c r="E31" s="1">
        <f>Submeters!G30</f>
        <v>279.99999999997272</v>
      </c>
      <c r="F31" s="1">
        <f>(Submeters!I30+Submeters!J30+Submeters!K30)</f>
        <v>1990.0000000000091</v>
      </c>
      <c r="G31" s="1">
        <f>(Submeters!L30+Submeters!M30)</f>
        <v>0</v>
      </c>
      <c r="H31" s="1">
        <f>(Submeters!N30+Submeters!O30)</f>
        <v>1409.9999999998811</v>
      </c>
      <c r="I31" s="1">
        <f>(Submeters!P30+Submeters!Q30+Submeters!R30+Submeters!S30+Submeters!T30+Submeters!U30)</f>
        <v>3159.9999999999291</v>
      </c>
      <c r="J31" s="1">
        <f>(Submeters!V30+Submeters!W30)</f>
        <v>4763.3799999997718</v>
      </c>
      <c r="K31" s="1">
        <f>Submeters!X30</f>
        <v>269.99999999998181</v>
      </c>
      <c r="L31" s="24">
        <f t="shared" si="0"/>
        <v>6476.6200000019617</v>
      </c>
    </row>
    <row r="32" spans="1:12" x14ac:dyDescent="0.25">
      <c r="A32" s="10">
        <f>'Kwh Reading'!A33</f>
        <v>44925</v>
      </c>
      <c r="B32" s="65">
        <f>TOTAL!E31</f>
        <v>21670.000000001437</v>
      </c>
      <c r="C32" s="1">
        <f>Submeters!E31</f>
        <v>690.00000000005457</v>
      </c>
      <c r="D32" s="1">
        <f>Submeters!F31</f>
        <v>2699.9999999999245</v>
      </c>
      <c r="E32" s="1">
        <f>Submeters!G31</f>
        <v>290.00000000002046</v>
      </c>
      <c r="F32" s="1">
        <f>(Submeters!I31+Submeters!J31+Submeters!K31)</f>
        <v>1960.0000000000364</v>
      </c>
      <c r="G32" s="1">
        <f>(Submeters!L31+Submeters!M31)</f>
        <v>0</v>
      </c>
      <c r="H32" s="1">
        <f>(Submeters!N31+Submeters!O31)</f>
        <v>1570.0000000000944</v>
      </c>
      <c r="I32" s="1">
        <f>(Submeters!P31+Submeters!Q31+Submeters!R31+Submeters!S31+Submeters!T31+Submeters!U31)</f>
        <v>3170.0000000003924</v>
      </c>
      <c r="J32" s="1">
        <f>(Submeters!V31+Submeters!W31)</f>
        <v>5106.1499999988737</v>
      </c>
      <c r="K32" s="1">
        <f>Submeters!X31</f>
        <v>280.00000000002956</v>
      </c>
      <c r="L32" s="24">
        <f t="shared" si="0"/>
        <v>5903.8500000020103</v>
      </c>
    </row>
    <row r="33" spans="1:13" ht="15.75" x14ac:dyDescent="0.25">
      <c r="A33" s="67" t="s">
        <v>108</v>
      </c>
      <c r="B33" s="60">
        <f>SUM(B3:B32)</f>
        <v>556200.00000000116</v>
      </c>
      <c r="C33" s="60">
        <f>SUM(C3:C32)</f>
        <v>15470.000000000025</v>
      </c>
      <c r="D33" s="60">
        <f t="shared" ref="D33:L33" si="1">SUM(D3:D32)</f>
        <v>76299.99999999984</v>
      </c>
      <c r="E33" s="60">
        <f t="shared" si="1"/>
        <v>8040.0000000000182</v>
      </c>
      <c r="F33" s="60">
        <f t="shared" si="1"/>
        <v>37069.999999999985</v>
      </c>
      <c r="G33" s="60">
        <f t="shared" si="1"/>
        <v>0</v>
      </c>
      <c r="H33" s="60">
        <f t="shared" si="1"/>
        <v>39539.999999999956</v>
      </c>
      <c r="I33" s="60">
        <f t="shared" si="1"/>
        <v>76330.000000000276</v>
      </c>
      <c r="J33" s="60">
        <f t="shared" si="1"/>
        <v>122054.3499999988</v>
      </c>
      <c r="K33" s="60">
        <f t="shared" si="1"/>
        <v>7050.0000000000109</v>
      </c>
      <c r="L33" s="60">
        <f t="shared" si="1"/>
        <v>174345.65000000229</v>
      </c>
      <c r="M33" s="66">
        <f>C33+D33+E33+F33+G33+H33+I33+J33+K33+L33</f>
        <v>556200.00000000116</v>
      </c>
    </row>
    <row r="35" spans="1:13" ht="15.75" x14ac:dyDescent="0.25">
      <c r="A35" s="67" t="s">
        <v>52</v>
      </c>
      <c r="B35" s="98">
        <f>TOTAL!F2</f>
        <v>0</v>
      </c>
      <c r="C35" s="60">
        <f>C33*B35</f>
        <v>0</v>
      </c>
      <c r="D35" s="60">
        <f>D33*B35</f>
        <v>0</v>
      </c>
      <c r="E35" s="60">
        <f>E33*B35</f>
        <v>0</v>
      </c>
      <c r="F35" s="60">
        <f>F33*B35</f>
        <v>0</v>
      </c>
      <c r="G35" s="60">
        <f>G33*B35</f>
        <v>0</v>
      </c>
      <c r="H35" s="60">
        <f>H33*B35</f>
        <v>0</v>
      </c>
      <c r="I35" s="60">
        <f>I33*B35</f>
        <v>0</v>
      </c>
      <c r="J35" s="60">
        <f>J33*B35</f>
        <v>0</v>
      </c>
      <c r="K35" s="60">
        <f>K33*B35</f>
        <v>0</v>
      </c>
      <c r="L35" s="60">
        <f>L33*B35</f>
        <v>0</v>
      </c>
      <c r="M35" s="66">
        <f>C35+D35+E35+F35+G35+H35+I35+J35+K35+L35</f>
        <v>0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44896</v>
      </c>
      <c r="B3" s="99">
        <f>TOTAL!F2</f>
        <v>0</v>
      </c>
      <c r="C3" s="9" t="e">
        <f>Submeters!#REF!*' Kwh area wise $ '!B3</f>
        <v>#REF!</v>
      </c>
      <c r="D3" s="1">
        <f>Submeters!E2*' Kwh area wise $ '!B3</f>
        <v>0</v>
      </c>
      <c r="E3" s="1">
        <f>Submeters!F2*' Kwh area wise $ '!B3</f>
        <v>0</v>
      </c>
      <c r="F3" s="1">
        <f>Submeters!G2*' Kwh area wise $ '!B3</f>
        <v>0</v>
      </c>
      <c r="G3" s="1">
        <f>(Submeters!I2+Submeters!J2+Submeters!K2)*' Kwh area wise $ '!B3</f>
        <v>0</v>
      </c>
      <c r="H3" s="1">
        <f>(Submeters!L2+Submeters!M2)*' Kwh area wise $ '!B3</f>
        <v>0</v>
      </c>
      <c r="I3" s="1">
        <f>(Submeters!N2+Submeters!O2)*' Kwh area wise $ '!B3</f>
        <v>0</v>
      </c>
      <c r="J3" s="1">
        <f>(Submeters!P2+Submeters!Q2+Submeters!R2+Submeters!S2+Submeters!T2+Submeters!U2)*' Kwh area wise $ '!B3</f>
        <v>0</v>
      </c>
      <c r="K3" s="24">
        <f>(Submeters!V2+Submeters!W2)*' Kwh area wise $ '!B3</f>
        <v>0</v>
      </c>
      <c r="L3" s="1">
        <f>Submeters!X2*' Kwh area wise $ '!B3</f>
        <v>0</v>
      </c>
      <c r="M3" s="24" t="e">
        <f>Submeters!#REF!*' Kwh area wise $ '!B3</f>
        <v>#REF!</v>
      </c>
    </row>
    <row r="4" spans="1:13" x14ac:dyDescent="0.25">
      <c r="A4" s="10">
        <f>'Kwh Reading'!A5</f>
        <v>44897</v>
      </c>
      <c r="B4" s="99">
        <f>TOTAL!F3</f>
        <v>0</v>
      </c>
      <c r="C4" s="9" t="e">
        <f>Submeters!#REF!*' Kwh area wise $ '!B4</f>
        <v>#REF!</v>
      </c>
      <c r="D4" s="1">
        <f>Submeters!E3*' Kwh area wise $ '!B4</f>
        <v>0</v>
      </c>
      <c r="E4" s="1">
        <f>Submeters!F3*' Kwh area wise $ '!B4</f>
        <v>0</v>
      </c>
      <c r="F4" s="1">
        <f>Submeters!G3*' Kwh area wise $ '!B4</f>
        <v>0</v>
      </c>
      <c r="G4" s="1">
        <f>(Submeters!I3+Submeters!J3+Submeters!K3)*' Kwh area wise $ '!B4</f>
        <v>0</v>
      </c>
      <c r="H4" s="1">
        <f>(Submeters!L3+Submeters!M3)*' Kwh area wise $ '!B4</f>
        <v>0</v>
      </c>
      <c r="I4" s="1">
        <f>(Submeters!N3+Submeters!O3)*' Kwh area wise $ '!B4</f>
        <v>0</v>
      </c>
      <c r="J4" s="1">
        <f>(Submeters!P3+Submeters!Q3+Submeters!R3+Submeters!S3+Submeters!T3+Submeters!U3)*' Kwh area wise $ '!B4</f>
        <v>0</v>
      </c>
      <c r="K4" s="24">
        <f>(Submeters!V3+Submeters!W3)*' Kwh area wise $ '!B4</f>
        <v>0</v>
      </c>
      <c r="L4" s="1">
        <f>Submeters!X3*' Kwh area wise $ '!B4</f>
        <v>0</v>
      </c>
      <c r="M4" s="24" t="e">
        <f>Submeters!#REF!*' Kwh area wise $ '!B4</f>
        <v>#REF!</v>
      </c>
    </row>
    <row r="5" spans="1:13" x14ac:dyDescent="0.25">
      <c r="A5" s="10">
        <f>'Kwh Reading'!A6</f>
        <v>44898</v>
      </c>
      <c r="B5" s="99">
        <f>TOTAL!F4</f>
        <v>0</v>
      </c>
      <c r="C5" s="9" t="e">
        <f>Submeters!#REF!*' Kwh area wise $ '!B5</f>
        <v>#REF!</v>
      </c>
      <c r="D5" s="1">
        <f>Submeters!E4*' Kwh area wise $ '!B5</f>
        <v>0</v>
      </c>
      <c r="E5" s="1">
        <f>Submeters!F4*' Kwh area wise $ '!B5</f>
        <v>0</v>
      </c>
      <c r="F5" s="1">
        <f>Submeters!G4*' Kwh area wise $ '!B5</f>
        <v>0</v>
      </c>
      <c r="G5" s="1">
        <f>(Submeters!I4+Submeters!J4+Submeters!K4)*' Kwh area wise $ '!B5</f>
        <v>0</v>
      </c>
      <c r="H5" s="1">
        <f>(Submeters!L4+Submeters!M4)*' Kwh area wise $ '!B5</f>
        <v>0</v>
      </c>
      <c r="I5" s="1">
        <f>(Submeters!N4+Submeters!O4)*' Kwh area wise $ '!B5</f>
        <v>0</v>
      </c>
      <c r="J5" s="1">
        <f>(Submeters!P4+Submeters!Q4+Submeters!R4+Submeters!S4+Submeters!T4+Submeters!U4)*' Kwh area wise $ '!B5</f>
        <v>0</v>
      </c>
      <c r="K5" s="24">
        <f>(Submeters!V4+Submeters!W4)*' Kwh area wise $ '!B5</f>
        <v>0</v>
      </c>
      <c r="L5" s="1">
        <f>Submeters!X4*' Kwh area wise $ '!B5</f>
        <v>0</v>
      </c>
      <c r="M5" s="24" t="e">
        <f>Submeters!#REF!*' Kwh area wise $ '!B5</f>
        <v>#REF!</v>
      </c>
    </row>
    <row r="6" spans="1:13" x14ac:dyDescent="0.25">
      <c r="A6" s="10">
        <f>'Kwh Reading'!A7</f>
        <v>44899</v>
      </c>
      <c r="B6" s="99">
        <f>TOTAL!F5</f>
        <v>0</v>
      </c>
      <c r="C6" s="9" t="e">
        <f>Submeters!#REF!*' Kwh area wise $ '!B6</f>
        <v>#REF!</v>
      </c>
      <c r="D6" s="1">
        <f>Submeters!E5*' Kwh area wise $ '!B6</f>
        <v>0</v>
      </c>
      <c r="E6" s="1">
        <f>Submeters!F5*' Kwh area wise $ '!B6</f>
        <v>0</v>
      </c>
      <c r="F6" s="1">
        <f>Submeters!G5*' Kwh area wise $ '!B6</f>
        <v>0</v>
      </c>
      <c r="G6" s="1">
        <f>(Submeters!I5+Submeters!J5+Submeters!K5)*' Kwh area wise $ '!B6</f>
        <v>0</v>
      </c>
      <c r="H6" s="1">
        <f>(Submeters!L5+Submeters!M5)*' Kwh area wise $ '!B6</f>
        <v>0</v>
      </c>
      <c r="I6" s="1">
        <f>(Submeters!N5+Submeters!O5)*' Kwh area wise $ '!B6</f>
        <v>0</v>
      </c>
      <c r="J6" s="1">
        <f>(Submeters!P5+Submeters!Q5+Submeters!R5+Submeters!S5+Submeters!T5+Submeters!U5)*' Kwh area wise $ '!B6</f>
        <v>0</v>
      </c>
      <c r="K6" s="24">
        <f>(Submeters!V5+Submeters!W5)*' Kwh area wise $ '!B6</f>
        <v>0</v>
      </c>
      <c r="L6" s="1">
        <f>Submeters!X5*' Kwh area wise $ '!B6</f>
        <v>0</v>
      </c>
      <c r="M6" s="24" t="e">
        <f>Submeters!#REF!*' Kwh area wise $ '!B6</f>
        <v>#REF!</v>
      </c>
    </row>
    <row r="7" spans="1:13" x14ac:dyDescent="0.25">
      <c r="A7" s="10">
        <f>'Kwh Reading'!A8</f>
        <v>44900</v>
      </c>
      <c r="B7" s="99">
        <f>TOTAL!F6</f>
        <v>0</v>
      </c>
      <c r="C7" s="9" t="e">
        <f>Submeters!#REF!*' Kwh area wise $ '!B7</f>
        <v>#REF!</v>
      </c>
      <c r="D7" s="1">
        <f>Submeters!E6*' Kwh area wise $ '!B7</f>
        <v>0</v>
      </c>
      <c r="E7" s="1">
        <f>Submeters!F6*' Kwh area wise $ '!B7</f>
        <v>0</v>
      </c>
      <c r="F7" s="1">
        <f>Submeters!G6*' Kwh area wise $ '!B7</f>
        <v>0</v>
      </c>
      <c r="G7" s="1">
        <f>(Submeters!I6+Submeters!J6+Submeters!K6)*' Kwh area wise $ '!B7</f>
        <v>0</v>
      </c>
      <c r="H7" s="1">
        <f>(Submeters!L6+Submeters!M6)*' Kwh area wise $ '!B7</f>
        <v>0</v>
      </c>
      <c r="I7" s="1">
        <f>(Submeters!N6+Submeters!O6)*' Kwh area wise $ '!B7</f>
        <v>0</v>
      </c>
      <c r="J7" s="1">
        <f>(Submeters!P6+Submeters!Q6+Submeters!R6+Submeters!S6+Submeters!T6+Submeters!U6)*' Kwh area wise $ '!B7</f>
        <v>0</v>
      </c>
      <c r="K7" s="24">
        <f>(Submeters!V6+Submeters!W6)*' Kwh area wise $ '!B7</f>
        <v>0</v>
      </c>
      <c r="L7" s="1">
        <f>Submeters!X6*' Kwh area wise $ '!B7</f>
        <v>0</v>
      </c>
      <c r="M7" s="24" t="e">
        <f>Submeters!#REF!*' Kwh area wise $ '!B7</f>
        <v>#REF!</v>
      </c>
    </row>
    <row r="8" spans="1:13" x14ac:dyDescent="0.25">
      <c r="A8" s="10">
        <f>'Kwh Reading'!A9</f>
        <v>44901</v>
      </c>
      <c r="B8" s="99">
        <f>TOTAL!F7</f>
        <v>0</v>
      </c>
      <c r="C8" s="9" t="e">
        <f>Submeters!#REF!*' Kwh area wise $ '!B8</f>
        <v>#REF!</v>
      </c>
      <c r="D8" s="1">
        <f>Submeters!E7*' Kwh area wise $ '!B8</f>
        <v>0</v>
      </c>
      <c r="E8" s="1">
        <f>Submeters!F7*' Kwh area wise $ '!B8</f>
        <v>0</v>
      </c>
      <c r="F8" s="1">
        <f>Submeters!G7*' Kwh area wise $ '!B8</f>
        <v>0</v>
      </c>
      <c r="G8" s="1">
        <f>(Submeters!I7+Submeters!J7+Submeters!K7)*' Kwh area wise $ '!B8</f>
        <v>0</v>
      </c>
      <c r="H8" s="1">
        <f>(Submeters!L7+Submeters!M7)*' Kwh area wise $ '!B8</f>
        <v>0</v>
      </c>
      <c r="I8" s="1">
        <f>(Submeters!N7+Submeters!O7)*' Kwh area wise $ '!B8</f>
        <v>0</v>
      </c>
      <c r="J8" s="1">
        <f>(Submeters!P7+Submeters!Q7+Submeters!R7+Submeters!S7+Submeters!T7+Submeters!U7)*' Kwh area wise $ '!B8</f>
        <v>0</v>
      </c>
      <c r="K8" s="24">
        <f>(Submeters!V7+Submeters!W7)*' Kwh area wise $ '!B8</f>
        <v>0</v>
      </c>
      <c r="L8" s="1">
        <f>Submeters!X7*' Kwh area wise $ '!B8</f>
        <v>0</v>
      </c>
      <c r="M8" s="24" t="e">
        <f>Submeters!#REF!*' Kwh area wise $ '!B8</f>
        <v>#REF!</v>
      </c>
    </row>
    <row r="9" spans="1:13" x14ac:dyDescent="0.25">
      <c r="A9" s="10">
        <f>'Kwh Reading'!A10</f>
        <v>44902</v>
      </c>
      <c r="B9" s="99">
        <f>TOTAL!F8</f>
        <v>0</v>
      </c>
      <c r="C9" s="9" t="e">
        <f>Submeters!#REF!*' Kwh area wise $ '!B9</f>
        <v>#REF!</v>
      </c>
      <c r="D9" s="1">
        <f>Submeters!E8*' Kwh area wise $ '!B9</f>
        <v>0</v>
      </c>
      <c r="E9" s="1">
        <f>Submeters!F8*' Kwh area wise $ '!B9</f>
        <v>0</v>
      </c>
      <c r="F9" s="1">
        <f>Submeters!G8*' Kwh area wise $ '!B9</f>
        <v>0</v>
      </c>
      <c r="G9" s="1">
        <f>(Submeters!I8+Submeters!J8+Submeters!K8)*' Kwh area wise $ '!B9</f>
        <v>0</v>
      </c>
      <c r="H9" s="1">
        <f>(Submeters!L8+Submeters!M8)*' Kwh area wise $ '!B9</f>
        <v>0</v>
      </c>
      <c r="I9" s="1">
        <f>(Submeters!N8+Submeters!O8)*' Kwh area wise $ '!B9</f>
        <v>0</v>
      </c>
      <c r="J9" s="1">
        <f>(Submeters!P8+Submeters!Q8+Submeters!R8+Submeters!S8+Submeters!T8+Submeters!U8)*' Kwh area wise $ '!B9</f>
        <v>0</v>
      </c>
      <c r="K9" s="24">
        <f>(Submeters!V8+Submeters!W8)*' Kwh area wise $ '!B9</f>
        <v>0</v>
      </c>
      <c r="L9" s="1">
        <f>Submeters!X8*' Kwh area wise $ '!B9</f>
        <v>0</v>
      </c>
      <c r="M9" s="24" t="e">
        <f>Submeters!#REF!*' Kwh area wise $ '!B9</f>
        <v>#REF!</v>
      </c>
    </row>
    <row r="10" spans="1:13" x14ac:dyDescent="0.25">
      <c r="A10" s="10">
        <f>'Kwh Reading'!A11</f>
        <v>44903</v>
      </c>
      <c r="B10" s="99">
        <f>TOTAL!F9</f>
        <v>0</v>
      </c>
      <c r="C10" s="9" t="e">
        <f>Submeters!#REF!*' Kwh area wise $ '!B10</f>
        <v>#REF!</v>
      </c>
      <c r="D10" s="1">
        <f>Submeters!E9*' Kwh area wise $ '!B10</f>
        <v>0</v>
      </c>
      <c r="E10" s="1">
        <f>Submeters!F9*' Kwh area wise $ '!B10</f>
        <v>0</v>
      </c>
      <c r="F10" s="1">
        <f>Submeters!G9*' Kwh area wise $ '!B10</f>
        <v>0</v>
      </c>
      <c r="G10" s="1">
        <f>(Submeters!I9+Submeters!J9+Submeters!K9)*' Kwh area wise $ '!B10</f>
        <v>0</v>
      </c>
      <c r="H10" s="1">
        <f>(Submeters!L9+Submeters!M9)*' Kwh area wise $ '!B10</f>
        <v>0</v>
      </c>
      <c r="I10" s="1">
        <f>(Submeters!N9+Submeters!O9)*' Kwh area wise $ '!B10</f>
        <v>0</v>
      </c>
      <c r="J10" s="1">
        <f>(Submeters!P9+Submeters!Q9+Submeters!R9+Submeters!S9+Submeters!T9+Submeters!U9)*' Kwh area wise $ '!B10</f>
        <v>0</v>
      </c>
      <c r="K10" s="24">
        <f>(Submeters!V9+Submeters!W9)*' Kwh area wise $ '!B10</f>
        <v>0</v>
      </c>
      <c r="L10" s="1">
        <f>Submeters!X9*' Kwh area wise $ '!B10</f>
        <v>0</v>
      </c>
      <c r="M10" s="24" t="e">
        <f>Submeters!#REF!*' Kwh area wise $ '!B10</f>
        <v>#REF!</v>
      </c>
    </row>
    <row r="11" spans="1:13" x14ac:dyDescent="0.25">
      <c r="A11" s="10">
        <f>'Kwh Reading'!A12</f>
        <v>44904</v>
      </c>
      <c r="B11" s="99">
        <f>TOTAL!F10</f>
        <v>0</v>
      </c>
      <c r="C11" s="9" t="e">
        <f>Submeters!#REF!*' Kwh area wise $ '!B11</f>
        <v>#REF!</v>
      </c>
      <c r="D11" s="1">
        <f>Submeters!E10*' Kwh area wise $ '!B11</f>
        <v>0</v>
      </c>
      <c r="E11" s="1">
        <f>Submeters!F10*' Kwh area wise $ '!B11</f>
        <v>0</v>
      </c>
      <c r="F11" s="1">
        <f>Submeters!G10*' Kwh area wise $ '!B11</f>
        <v>0</v>
      </c>
      <c r="G11" s="1">
        <f>(Submeters!I10+Submeters!J10+Submeters!K10)*' Kwh area wise $ '!B11</f>
        <v>0</v>
      </c>
      <c r="H11" s="1">
        <f>(Submeters!L10+Submeters!M10)*' Kwh area wise $ '!B11</f>
        <v>0</v>
      </c>
      <c r="I11" s="1">
        <f>(Submeters!N10+Submeters!O10)*' Kwh area wise $ '!B11</f>
        <v>0</v>
      </c>
      <c r="J11" s="1">
        <f>(Submeters!P10+Submeters!Q10+Submeters!R10+Submeters!S10+Submeters!T10+Submeters!U10)*' Kwh area wise $ '!B11</f>
        <v>0</v>
      </c>
      <c r="K11" s="24">
        <f>(Submeters!V10+Submeters!W10)*' Kwh area wise $ '!B11</f>
        <v>0</v>
      </c>
      <c r="L11" s="1">
        <f>Submeters!X10*' Kwh area wise $ '!B11</f>
        <v>0</v>
      </c>
      <c r="M11" s="24" t="e">
        <f>Submeters!#REF!*' Kwh area wise $ '!B11</f>
        <v>#REF!</v>
      </c>
    </row>
    <row r="12" spans="1:13" x14ac:dyDescent="0.25">
      <c r="A12" s="10">
        <f>'Kwh Reading'!A13</f>
        <v>44905</v>
      </c>
      <c r="B12" s="99">
        <f>TOTAL!F11</f>
        <v>0</v>
      </c>
      <c r="C12" s="9" t="e">
        <f>Submeters!#REF!*' Kwh area wise $ '!B12</f>
        <v>#REF!</v>
      </c>
      <c r="D12" s="1">
        <f>Submeters!E11*' Kwh area wise $ '!B12</f>
        <v>0</v>
      </c>
      <c r="E12" s="1">
        <f>Submeters!F11*' Kwh area wise $ '!B12</f>
        <v>0</v>
      </c>
      <c r="F12" s="1">
        <f>Submeters!G11*' Kwh area wise $ '!B12</f>
        <v>0</v>
      </c>
      <c r="G12" s="1">
        <f>(Submeters!I11+Submeters!J11+Submeters!K11)*' Kwh area wise $ '!B12</f>
        <v>0</v>
      </c>
      <c r="H12" s="1">
        <f>(Submeters!L11+Submeters!M11)*' Kwh area wise $ '!B12</f>
        <v>0</v>
      </c>
      <c r="I12" s="1">
        <f>(Submeters!N11+Submeters!O11)*' Kwh area wise $ '!B12</f>
        <v>0</v>
      </c>
      <c r="J12" s="1">
        <f>(Submeters!P11+Submeters!Q11+Submeters!R11+Submeters!S11+Submeters!T11+Submeters!U11)*' Kwh area wise $ '!B12</f>
        <v>0</v>
      </c>
      <c r="K12" s="24">
        <f>(Submeters!V11+Submeters!W11)*' Kwh area wise $ '!B12</f>
        <v>0</v>
      </c>
      <c r="L12" s="1">
        <f>Submeters!X11*' Kwh area wise $ '!B12</f>
        <v>0</v>
      </c>
      <c r="M12" s="24" t="e">
        <f>Submeters!#REF!*' Kwh area wise $ '!B12</f>
        <v>#REF!</v>
      </c>
    </row>
    <row r="13" spans="1:13" x14ac:dyDescent="0.25">
      <c r="A13" s="10">
        <f>'Kwh Reading'!A14</f>
        <v>44906</v>
      </c>
      <c r="B13" s="99">
        <f>TOTAL!F12</f>
        <v>0</v>
      </c>
      <c r="C13" s="9" t="e">
        <f>Submeters!#REF!*' Kwh area wise $ '!B13</f>
        <v>#REF!</v>
      </c>
      <c r="D13" s="1">
        <f>Submeters!E12*' Kwh area wise $ '!B13</f>
        <v>0</v>
      </c>
      <c r="E13" s="1">
        <f>Submeters!F12*' Kwh area wise $ '!B13</f>
        <v>0</v>
      </c>
      <c r="F13" s="1">
        <f>Submeters!G12*' Kwh area wise $ '!B13</f>
        <v>0</v>
      </c>
      <c r="G13" s="1">
        <f>(Submeters!I12+Submeters!J12+Submeters!K12)*' Kwh area wise $ '!B13</f>
        <v>0</v>
      </c>
      <c r="H13" s="1">
        <f>(Submeters!L12+Submeters!M12)*' Kwh area wise $ '!B13</f>
        <v>0</v>
      </c>
      <c r="I13" s="1">
        <f>(Submeters!N12+Submeters!O12)*' Kwh area wise $ '!B13</f>
        <v>0</v>
      </c>
      <c r="J13" s="1">
        <f>(Submeters!P12+Submeters!Q12+Submeters!R12+Submeters!S12+Submeters!T12+Submeters!U12)*' Kwh area wise $ '!B13</f>
        <v>0</v>
      </c>
      <c r="K13" s="24">
        <f>(Submeters!V12+Submeters!W12)*' Kwh area wise $ '!B13</f>
        <v>0</v>
      </c>
      <c r="L13" s="1">
        <f>Submeters!X12*' Kwh area wise $ '!B13</f>
        <v>0</v>
      </c>
      <c r="M13" s="24" t="e">
        <f>Submeters!#REF!*' Kwh area wise $ '!B13</f>
        <v>#REF!</v>
      </c>
    </row>
    <row r="14" spans="1:13" x14ac:dyDescent="0.25">
      <c r="A14" s="10">
        <f>'Kwh Reading'!A15</f>
        <v>44907</v>
      </c>
      <c r="B14" s="99">
        <f>TOTAL!F13</f>
        <v>0</v>
      </c>
      <c r="C14" s="9" t="e">
        <f>Submeters!#REF!*' Kwh area wise $ '!B14</f>
        <v>#REF!</v>
      </c>
      <c r="D14" s="1">
        <f>Submeters!E13*' Kwh area wise $ '!B14</f>
        <v>0</v>
      </c>
      <c r="E14" s="1">
        <f>Submeters!F13*' Kwh area wise $ '!B14</f>
        <v>0</v>
      </c>
      <c r="F14" s="1">
        <f>Submeters!G13*' Kwh area wise $ '!B14</f>
        <v>0</v>
      </c>
      <c r="G14" s="1">
        <f>(Submeters!I13+Submeters!J13+Submeters!K13)*' Kwh area wise $ '!B14</f>
        <v>0</v>
      </c>
      <c r="H14" s="1">
        <f>(Submeters!L13+Submeters!M13)*' Kwh area wise $ '!B14</f>
        <v>0</v>
      </c>
      <c r="I14" s="1">
        <f>(Submeters!N13+Submeters!O13)*' Kwh area wise $ '!B14</f>
        <v>0</v>
      </c>
      <c r="J14" s="1">
        <f>(Submeters!P13+Submeters!Q13+Submeters!R13+Submeters!S13+Submeters!T13+Submeters!U13)*' Kwh area wise $ '!B14</f>
        <v>0</v>
      </c>
      <c r="K14" s="24">
        <f>(Submeters!V13+Submeters!W13)*' Kwh area wise $ '!B14</f>
        <v>0</v>
      </c>
      <c r="L14" s="1">
        <f>Submeters!X13*' Kwh area wise $ '!B14</f>
        <v>0</v>
      </c>
      <c r="M14" s="24" t="e">
        <f>Submeters!#REF!*' Kwh area wise $ '!B14</f>
        <v>#REF!</v>
      </c>
    </row>
    <row r="15" spans="1:13" x14ac:dyDescent="0.25">
      <c r="A15" s="10">
        <f>'Kwh Reading'!A16</f>
        <v>44908</v>
      </c>
      <c r="B15" s="99">
        <f>TOTAL!F14</f>
        <v>0</v>
      </c>
      <c r="C15" s="9" t="e">
        <f>Submeters!#REF!*' Kwh area wise $ '!B15</f>
        <v>#REF!</v>
      </c>
      <c r="D15" s="1">
        <f>Submeters!E14*' Kwh area wise $ '!B15</f>
        <v>0</v>
      </c>
      <c r="E15" s="1">
        <f>Submeters!F14*' Kwh area wise $ '!B15</f>
        <v>0</v>
      </c>
      <c r="F15" s="1">
        <f>Submeters!G14*' Kwh area wise $ '!B15</f>
        <v>0</v>
      </c>
      <c r="G15" s="1">
        <f>(Submeters!I14+Submeters!J14+Submeters!K14)*' Kwh area wise $ '!B15</f>
        <v>0</v>
      </c>
      <c r="H15" s="1">
        <f>(Submeters!L14+Submeters!M14)*' Kwh area wise $ '!B15</f>
        <v>0</v>
      </c>
      <c r="I15" s="1">
        <f>(Submeters!N14+Submeters!O14)*' Kwh area wise $ '!B15</f>
        <v>0</v>
      </c>
      <c r="J15" s="1">
        <f>(Submeters!P14+Submeters!Q14+Submeters!R14+Submeters!S14+Submeters!T14+Submeters!U14)*' Kwh area wise $ '!B15</f>
        <v>0</v>
      </c>
      <c r="K15" s="24">
        <f>(Submeters!V14+Submeters!W14)*' Kwh area wise $ '!B15</f>
        <v>0</v>
      </c>
      <c r="L15" s="1">
        <f>Submeters!X14*' Kwh area wise $ '!B15</f>
        <v>0</v>
      </c>
      <c r="M15" s="24" t="e">
        <f>Submeters!#REF!*' Kwh area wise $ '!B15</f>
        <v>#REF!</v>
      </c>
    </row>
    <row r="16" spans="1:13" x14ac:dyDescent="0.25">
      <c r="A16" s="10">
        <f>'Kwh Reading'!A17</f>
        <v>44909</v>
      </c>
      <c r="B16" s="99">
        <f>TOTAL!F15</f>
        <v>0</v>
      </c>
      <c r="C16" s="9" t="e">
        <f>Submeters!#REF!*' Kwh area wise $ '!B16</f>
        <v>#REF!</v>
      </c>
      <c r="D16" s="1">
        <f>Submeters!E15*' Kwh area wise $ '!B16</f>
        <v>0</v>
      </c>
      <c r="E16" s="1">
        <f>Submeters!F15*' Kwh area wise $ '!B16</f>
        <v>0</v>
      </c>
      <c r="F16" s="1">
        <f>Submeters!G15*' Kwh area wise $ '!B16</f>
        <v>0</v>
      </c>
      <c r="G16" s="1">
        <f>(Submeters!I15+Submeters!J15+Submeters!K15)*' Kwh area wise $ '!B16</f>
        <v>0</v>
      </c>
      <c r="H16" s="1">
        <f>(Submeters!L15+Submeters!M15)*' Kwh area wise $ '!B16</f>
        <v>0</v>
      </c>
      <c r="I16" s="1">
        <f>(Submeters!N15+Submeters!O15)*' Kwh area wise $ '!B16</f>
        <v>0</v>
      </c>
      <c r="J16" s="1">
        <f>(Submeters!P15+Submeters!Q15+Submeters!R15+Submeters!S15+Submeters!T15+Submeters!U15)*' Kwh area wise $ '!B16</f>
        <v>0</v>
      </c>
      <c r="K16" s="24">
        <f>(Submeters!V15+Submeters!W15)*' Kwh area wise $ '!B16</f>
        <v>0</v>
      </c>
      <c r="L16" s="1">
        <f>Submeters!X15*' Kwh area wise $ '!B16</f>
        <v>0</v>
      </c>
      <c r="M16" s="24" t="e">
        <f>Submeters!#REF!*' Kwh area wise $ '!B16</f>
        <v>#REF!</v>
      </c>
    </row>
    <row r="17" spans="1:13" x14ac:dyDescent="0.25">
      <c r="A17" s="10">
        <f>'Kwh Reading'!A18</f>
        <v>44910</v>
      </c>
      <c r="B17" s="99">
        <f>TOTAL!F16</f>
        <v>0</v>
      </c>
      <c r="C17" s="9" t="e">
        <f>Submeters!#REF!*' Kwh area wise $ '!B17</f>
        <v>#REF!</v>
      </c>
      <c r="D17" s="1">
        <f>Submeters!E16*' Kwh area wise $ '!B17</f>
        <v>0</v>
      </c>
      <c r="E17" s="1">
        <f>Submeters!F16*' Kwh area wise $ '!B17</f>
        <v>0</v>
      </c>
      <c r="F17" s="1">
        <f>Submeters!G16*' Kwh area wise $ '!B17</f>
        <v>0</v>
      </c>
      <c r="G17" s="1">
        <f>(Submeters!I16+Submeters!J16+Submeters!K16)*' Kwh area wise $ '!B17</f>
        <v>0</v>
      </c>
      <c r="H17" s="1">
        <f>(Submeters!L16+Submeters!M16)*' Kwh area wise $ '!B17</f>
        <v>0</v>
      </c>
      <c r="I17" s="1">
        <f>(Submeters!N16+Submeters!O16)*' Kwh area wise $ '!B17</f>
        <v>0</v>
      </c>
      <c r="J17" s="1">
        <f>(Submeters!P16+Submeters!Q16+Submeters!R16+Submeters!S16+Submeters!T16+Submeters!U16)*' Kwh area wise $ '!B17</f>
        <v>0</v>
      </c>
      <c r="K17" s="24">
        <f>(Submeters!V16+Submeters!W16)*' Kwh area wise $ '!B17</f>
        <v>0</v>
      </c>
      <c r="L17" s="1">
        <f>Submeters!X16*' Kwh area wise $ '!B17</f>
        <v>0</v>
      </c>
      <c r="M17" s="24" t="e">
        <f>Submeters!#REF!*' Kwh area wise $ '!B17</f>
        <v>#REF!</v>
      </c>
    </row>
    <row r="18" spans="1:13" x14ac:dyDescent="0.25">
      <c r="A18" s="10">
        <f>'Kwh Reading'!A19</f>
        <v>44911</v>
      </c>
      <c r="B18" s="99">
        <f>TOTAL!F17</f>
        <v>0</v>
      </c>
      <c r="C18" s="9" t="e">
        <f>Submeters!#REF!*' Kwh area wise $ '!B18</f>
        <v>#REF!</v>
      </c>
      <c r="D18" s="1">
        <f>Submeters!E17*' Kwh area wise $ '!B18</f>
        <v>0</v>
      </c>
      <c r="E18" s="1">
        <f>Submeters!F17*' Kwh area wise $ '!B18</f>
        <v>0</v>
      </c>
      <c r="F18" s="1">
        <f>Submeters!G17*' Kwh area wise $ '!B18</f>
        <v>0</v>
      </c>
      <c r="G18" s="1">
        <f>(Submeters!I17+Submeters!J17+Submeters!K17)*' Kwh area wise $ '!B18</f>
        <v>0</v>
      </c>
      <c r="H18" s="1">
        <f>(Submeters!L17+Submeters!M17)*' Kwh area wise $ '!B18</f>
        <v>0</v>
      </c>
      <c r="I18" s="1">
        <f>(Submeters!N17+Submeters!O17)*' Kwh area wise $ '!B18</f>
        <v>0</v>
      </c>
      <c r="J18" s="1">
        <f>(Submeters!P17+Submeters!Q17+Submeters!R17+Submeters!S17+Submeters!T17+Submeters!U17)*' Kwh area wise $ '!B18</f>
        <v>0</v>
      </c>
      <c r="K18" s="24">
        <f>(Submeters!V17+Submeters!W17)*' Kwh area wise $ '!B18</f>
        <v>0</v>
      </c>
      <c r="L18" s="1">
        <f>Submeters!X17*' Kwh area wise $ '!B18</f>
        <v>0</v>
      </c>
      <c r="M18" s="24" t="e">
        <f>Submeters!#REF!*' Kwh area wise $ '!B18</f>
        <v>#REF!</v>
      </c>
    </row>
    <row r="19" spans="1:13" x14ac:dyDescent="0.25">
      <c r="A19" s="10">
        <f>'Kwh Reading'!A20</f>
        <v>44912</v>
      </c>
      <c r="B19" s="99">
        <f>TOTAL!F18</f>
        <v>0</v>
      </c>
      <c r="C19" s="9" t="e">
        <f>Submeters!#REF!*' Kwh area wise $ '!B19</f>
        <v>#REF!</v>
      </c>
      <c r="D19" s="1">
        <f>Submeters!E18*' Kwh area wise $ '!B19</f>
        <v>0</v>
      </c>
      <c r="E19" s="1">
        <f>Submeters!F18*' Kwh area wise $ '!B19</f>
        <v>0</v>
      </c>
      <c r="F19" s="1">
        <f>Submeters!G18*' Kwh area wise $ '!B19</f>
        <v>0</v>
      </c>
      <c r="G19" s="1">
        <f>(Submeters!I18+Submeters!J18+Submeters!K18)*' Kwh area wise $ '!B19</f>
        <v>0</v>
      </c>
      <c r="H19" s="1">
        <f>(Submeters!L18+Submeters!M18)*' Kwh area wise $ '!B19</f>
        <v>0</v>
      </c>
      <c r="I19" s="1">
        <f>(Submeters!N18+Submeters!O18)*' Kwh area wise $ '!B19</f>
        <v>0</v>
      </c>
      <c r="J19" s="1">
        <f>(Submeters!P18+Submeters!Q18+Submeters!R18+Submeters!S18+Submeters!T18+Submeters!U18)*' Kwh area wise $ '!B19</f>
        <v>0</v>
      </c>
      <c r="K19" s="24">
        <f>(Submeters!V18+Submeters!W18)*' Kwh area wise $ '!B19</f>
        <v>0</v>
      </c>
      <c r="L19" s="1">
        <f>Submeters!X18*' Kwh area wise $ '!B19</f>
        <v>0</v>
      </c>
      <c r="M19" s="24" t="e">
        <f>Submeters!#REF!*' Kwh area wise $ '!B19</f>
        <v>#REF!</v>
      </c>
    </row>
    <row r="20" spans="1:13" x14ac:dyDescent="0.25">
      <c r="A20" s="10">
        <f>'Kwh Reading'!A21</f>
        <v>44913</v>
      </c>
      <c r="B20" s="99">
        <f>TOTAL!F19</f>
        <v>0</v>
      </c>
      <c r="C20" s="9" t="e">
        <f>Submeters!#REF!*' Kwh area wise $ '!B20</f>
        <v>#REF!</v>
      </c>
      <c r="D20" s="1">
        <f>Submeters!E19*' Kwh area wise $ '!B20</f>
        <v>0</v>
      </c>
      <c r="E20" s="1">
        <f>Submeters!F19*' Kwh area wise $ '!B20</f>
        <v>0</v>
      </c>
      <c r="F20" s="1">
        <f>Submeters!G19*' Kwh area wise $ '!B20</f>
        <v>0</v>
      </c>
      <c r="G20" s="1">
        <f>(Submeters!I19+Submeters!J19+Submeters!K19)*' Kwh area wise $ '!B20</f>
        <v>0</v>
      </c>
      <c r="H20" s="1">
        <f>(Submeters!L19+Submeters!M19)*' Kwh area wise $ '!B20</f>
        <v>0</v>
      </c>
      <c r="I20" s="1">
        <f>(Submeters!N19+Submeters!O19)*' Kwh area wise $ '!B20</f>
        <v>0</v>
      </c>
      <c r="J20" s="1">
        <f>(Submeters!P19+Submeters!Q19+Submeters!R19+Submeters!S19+Submeters!T19+Submeters!U19)*' Kwh area wise $ '!B20</f>
        <v>0</v>
      </c>
      <c r="K20" s="24">
        <f>(Submeters!V19+Submeters!W19)*' Kwh area wise $ '!B20</f>
        <v>0</v>
      </c>
      <c r="L20" s="1">
        <f>Submeters!X19*' Kwh area wise $ '!B20</f>
        <v>0</v>
      </c>
      <c r="M20" s="24" t="e">
        <f>Submeters!#REF!*' Kwh area wise $ '!B20</f>
        <v>#REF!</v>
      </c>
    </row>
    <row r="21" spans="1:13" x14ac:dyDescent="0.25">
      <c r="A21" s="10">
        <f>'Kwh Reading'!A22</f>
        <v>44914</v>
      </c>
      <c r="B21" s="99">
        <f>TOTAL!F20</f>
        <v>0</v>
      </c>
      <c r="C21" s="9" t="e">
        <f>Submeters!#REF!*' Kwh area wise $ '!B21</f>
        <v>#REF!</v>
      </c>
      <c r="D21" s="1">
        <f>Submeters!E20*' Kwh area wise $ '!B21</f>
        <v>0</v>
      </c>
      <c r="E21" s="1">
        <f>Submeters!F20*' Kwh area wise $ '!B21</f>
        <v>0</v>
      </c>
      <c r="F21" s="1">
        <f>Submeters!G20*' Kwh area wise $ '!B21</f>
        <v>0</v>
      </c>
      <c r="G21" s="1">
        <f>(Submeters!I20+Submeters!J20+Submeters!K20)*' Kwh area wise $ '!B21</f>
        <v>0</v>
      </c>
      <c r="H21" s="1">
        <f>(Submeters!L20+Submeters!M20)*' Kwh area wise $ '!B21</f>
        <v>0</v>
      </c>
      <c r="I21" s="1">
        <f>(Submeters!N20+Submeters!O20)*' Kwh area wise $ '!B21</f>
        <v>0</v>
      </c>
      <c r="J21" s="1">
        <f>(Submeters!P20+Submeters!Q20+Submeters!R20+Submeters!S20+Submeters!T20+Submeters!U20)*' Kwh area wise $ '!B21</f>
        <v>0</v>
      </c>
      <c r="K21" s="24">
        <f>(Submeters!V20+Submeters!W20)*' Kwh area wise $ '!B21</f>
        <v>0</v>
      </c>
      <c r="L21" s="1">
        <f>Submeters!X20*' Kwh area wise $ '!B21</f>
        <v>0</v>
      </c>
      <c r="M21" s="24" t="e">
        <f>Submeters!#REF!*' Kwh area wise $ '!B21</f>
        <v>#REF!</v>
      </c>
    </row>
    <row r="22" spans="1:13" x14ac:dyDescent="0.25">
      <c r="A22" s="10">
        <f>'Kwh Reading'!A23</f>
        <v>44915</v>
      </c>
      <c r="B22" s="99">
        <f>TOTAL!F21</f>
        <v>0</v>
      </c>
      <c r="C22" s="9" t="e">
        <f>Submeters!#REF!*' Kwh area wise $ '!B22</f>
        <v>#REF!</v>
      </c>
      <c r="D22" s="1">
        <f>Submeters!E21*' Kwh area wise $ '!B22</f>
        <v>0</v>
      </c>
      <c r="E22" s="1">
        <f>Submeters!F21*' Kwh area wise $ '!B22</f>
        <v>0</v>
      </c>
      <c r="F22" s="1">
        <f>Submeters!G21*' Kwh area wise $ '!B22</f>
        <v>0</v>
      </c>
      <c r="G22" s="1">
        <f>(Submeters!I21+Submeters!J21+Submeters!K21)*' Kwh area wise $ '!B22</f>
        <v>0</v>
      </c>
      <c r="H22" s="1">
        <f>(Submeters!L21+Submeters!M21)*' Kwh area wise $ '!B22</f>
        <v>0</v>
      </c>
      <c r="I22" s="1">
        <f>(Submeters!N21+Submeters!O21)*' Kwh area wise $ '!B22</f>
        <v>0</v>
      </c>
      <c r="J22" s="1">
        <f>(Submeters!P21+Submeters!Q21+Submeters!R21+Submeters!S21+Submeters!T21+Submeters!U21)*' Kwh area wise $ '!B22</f>
        <v>0</v>
      </c>
      <c r="K22" s="24">
        <f>(Submeters!V21+Submeters!W21)*' Kwh area wise $ '!B22</f>
        <v>0</v>
      </c>
      <c r="L22" s="1">
        <f>Submeters!X21*' Kwh area wise $ '!B22</f>
        <v>0</v>
      </c>
      <c r="M22" s="24" t="e">
        <f>Submeters!#REF!*' Kwh area wise $ '!B22</f>
        <v>#REF!</v>
      </c>
    </row>
    <row r="23" spans="1:13" x14ac:dyDescent="0.25">
      <c r="A23" s="10">
        <f>'Kwh Reading'!A24</f>
        <v>44916</v>
      </c>
      <c r="B23" s="99">
        <f>TOTAL!F22</f>
        <v>0</v>
      </c>
      <c r="C23" s="9" t="e">
        <f>Submeters!#REF!*' Kwh area wise $ '!B23</f>
        <v>#REF!</v>
      </c>
      <c r="D23" s="1">
        <f>Submeters!E22*' Kwh area wise $ '!B23</f>
        <v>0</v>
      </c>
      <c r="E23" s="1">
        <f>Submeters!F22*' Kwh area wise $ '!B23</f>
        <v>0</v>
      </c>
      <c r="F23" s="1">
        <f>Submeters!G22*' Kwh area wise $ '!B23</f>
        <v>0</v>
      </c>
      <c r="G23" s="1">
        <f>(Submeters!I22+Submeters!J22+Submeters!K22)*' Kwh area wise $ '!B23</f>
        <v>0</v>
      </c>
      <c r="H23" s="1">
        <f>(Submeters!L22+Submeters!M22)*' Kwh area wise $ '!B23</f>
        <v>0</v>
      </c>
      <c r="I23" s="1">
        <f>(Submeters!N22+Submeters!O22)*' Kwh area wise $ '!B23</f>
        <v>0</v>
      </c>
      <c r="J23" s="1">
        <f>(Submeters!P22+Submeters!Q22+Submeters!R22+Submeters!S22+Submeters!T22+Submeters!U22)*' Kwh area wise $ '!B23</f>
        <v>0</v>
      </c>
      <c r="K23" s="24">
        <f>(Submeters!V22+Submeters!W22)*' Kwh area wise $ '!B23</f>
        <v>0</v>
      </c>
      <c r="L23" s="1">
        <f>Submeters!X22*' Kwh area wise $ '!B23</f>
        <v>0</v>
      </c>
      <c r="M23" s="24" t="e">
        <f>Submeters!#REF!*' Kwh area wise $ '!B23</f>
        <v>#REF!</v>
      </c>
    </row>
    <row r="24" spans="1:13" x14ac:dyDescent="0.25">
      <c r="A24" s="10">
        <f>'Kwh Reading'!A25</f>
        <v>44917</v>
      </c>
      <c r="B24" s="99">
        <f>TOTAL!F23</f>
        <v>0</v>
      </c>
      <c r="C24" s="9" t="e">
        <f>Submeters!#REF!*' Kwh area wise $ '!B24</f>
        <v>#REF!</v>
      </c>
      <c r="D24" s="1">
        <f>Submeters!E23*' Kwh area wise $ '!B24</f>
        <v>0</v>
      </c>
      <c r="E24" s="1">
        <f>Submeters!F23*' Kwh area wise $ '!B24</f>
        <v>0</v>
      </c>
      <c r="F24" s="1">
        <f>Submeters!G23*' Kwh area wise $ '!B24</f>
        <v>0</v>
      </c>
      <c r="G24" s="1">
        <f>(Submeters!I23+Submeters!J23+Submeters!K23)*' Kwh area wise $ '!B24</f>
        <v>0</v>
      </c>
      <c r="H24" s="1">
        <f>(Submeters!L23+Submeters!M23)*' Kwh area wise $ '!B24</f>
        <v>0</v>
      </c>
      <c r="I24" s="1">
        <f>(Submeters!N23+Submeters!O23)*' Kwh area wise $ '!B24</f>
        <v>0</v>
      </c>
      <c r="J24" s="1">
        <f>(Submeters!P23+Submeters!Q23+Submeters!R23+Submeters!S23+Submeters!T23+Submeters!U23)*' Kwh area wise $ '!B24</f>
        <v>0</v>
      </c>
      <c r="K24" s="24">
        <f>(Submeters!V23+Submeters!W23)*' Kwh area wise $ '!B24</f>
        <v>0</v>
      </c>
      <c r="L24" s="1">
        <f>Submeters!X23*' Kwh area wise $ '!B24</f>
        <v>0</v>
      </c>
      <c r="M24" s="24" t="e">
        <f>Submeters!#REF!*' Kwh area wise $ '!B24</f>
        <v>#REF!</v>
      </c>
    </row>
    <row r="25" spans="1:13" x14ac:dyDescent="0.25">
      <c r="A25" s="10">
        <f>'Kwh Reading'!A26</f>
        <v>44918</v>
      </c>
      <c r="B25" s="99">
        <f>TOTAL!F24</f>
        <v>0</v>
      </c>
      <c r="C25" s="9" t="e">
        <f>Submeters!#REF!*' Kwh area wise $ '!B25</f>
        <v>#REF!</v>
      </c>
      <c r="D25" s="1">
        <f>Submeters!E24*' Kwh area wise $ '!B25</f>
        <v>0</v>
      </c>
      <c r="E25" s="1">
        <f>Submeters!F24*' Kwh area wise $ '!B25</f>
        <v>0</v>
      </c>
      <c r="F25" s="1">
        <f>Submeters!G24*' Kwh area wise $ '!B25</f>
        <v>0</v>
      </c>
      <c r="G25" s="1">
        <f>(Submeters!I24+Submeters!J24+Submeters!K24)*' Kwh area wise $ '!B25</f>
        <v>0</v>
      </c>
      <c r="H25" s="1">
        <f>(Submeters!L24+Submeters!M24)*' Kwh area wise $ '!B25</f>
        <v>0</v>
      </c>
      <c r="I25" s="1">
        <f>(Submeters!N24+Submeters!O24)*' Kwh area wise $ '!B25</f>
        <v>0</v>
      </c>
      <c r="J25" s="1">
        <f>(Submeters!P24+Submeters!Q24+Submeters!R24+Submeters!S24+Submeters!T24+Submeters!U24)*' Kwh area wise $ '!B25</f>
        <v>0</v>
      </c>
      <c r="K25" s="24">
        <f>(Submeters!V24+Submeters!W24)*' Kwh area wise $ '!B25</f>
        <v>0</v>
      </c>
      <c r="L25" s="1">
        <f>Submeters!X24*' Kwh area wise $ '!B25</f>
        <v>0</v>
      </c>
      <c r="M25" s="24" t="e">
        <f>Submeters!#REF!*' Kwh area wise $ '!B25</f>
        <v>#REF!</v>
      </c>
    </row>
    <row r="26" spans="1:13" x14ac:dyDescent="0.25">
      <c r="A26" s="10">
        <f>'Kwh Reading'!A27</f>
        <v>44919</v>
      </c>
      <c r="B26" s="99">
        <f>TOTAL!F25</f>
        <v>0</v>
      </c>
      <c r="C26" s="9" t="e">
        <f>Submeters!#REF!*' Kwh area wise $ '!B26</f>
        <v>#REF!</v>
      </c>
      <c r="D26" s="1">
        <f>Submeters!E25*' Kwh area wise $ '!B26</f>
        <v>0</v>
      </c>
      <c r="E26" s="1">
        <f>Submeters!F25*' Kwh area wise $ '!B26</f>
        <v>0</v>
      </c>
      <c r="F26" s="1">
        <f>Submeters!G25*' Kwh area wise $ '!B26</f>
        <v>0</v>
      </c>
      <c r="G26" s="1">
        <f>(Submeters!I25+Submeters!J25+Submeters!K25)*' Kwh area wise $ '!B26</f>
        <v>0</v>
      </c>
      <c r="H26" s="1">
        <f>(Submeters!L25+Submeters!M25)*' Kwh area wise $ '!B26</f>
        <v>0</v>
      </c>
      <c r="I26" s="1">
        <f>(Submeters!N25+Submeters!O25)*' Kwh area wise $ '!B26</f>
        <v>0</v>
      </c>
      <c r="J26" s="1">
        <f>(Submeters!P25+Submeters!Q25+Submeters!R25+Submeters!S25+Submeters!T25+Submeters!U25)*' Kwh area wise $ '!B26</f>
        <v>0</v>
      </c>
      <c r="K26" s="24">
        <f>(Submeters!V25+Submeters!W25)*' Kwh area wise $ '!B26</f>
        <v>0</v>
      </c>
      <c r="L26" s="1">
        <f>Submeters!X25*' Kwh area wise $ '!B26</f>
        <v>0</v>
      </c>
      <c r="M26" s="24" t="e">
        <f>Submeters!#REF!*' Kwh area wise $ '!B26</f>
        <v>#REF!</v>
      </c>
    </row>
    <row r="27" spans="1:13" x14ac:dyDescent="0.25">
      <c r="A27" s="10">
        <f>'Kwh Reading'!A28</f>
        <v>44920</v>
      </c>
      <c r="B27" s="99">
        <f>TOTAL!F26</f>
        <v>0</v>
      </c>
      <c r="C27" s="9" t="e">
        <f>Submeters!#REF!*' Kwh area wise $ '!B27</f>
        <v>#REF!</v>
      </c>
      <c r="D27" s="1">
        <f>Submeters!E26*' Kwh area wise $ '!B27</f>
        <v>0</v>
      </c>
      <c r="E27" s="1">
        <f>Submeters!F26*' Kwh area wise $ '!B27</f>
        <v>0</v>
      </c>
      <c r="F27" s="1">
        <f>Submeters!G26*' Kwh area wise $ '!B27</f>
        <v>0</v>
      </c>
      <c r="G27" s="1">
        <f>(Submeters!I26+Submeters!J26+Submeters!K26)*' Kwh area wise $ '!B27</f>
        <v>0</v>
      </c>
      <c r="H27" s="1">
        <f>(Submeters!L26+Submeters!M26)*' Kwh area wise $ '!B27</f>
        <v>0</v>
      </c>
      <c r="I27" s="1">
        <f>(Submeters!N26+Submeters!O26)*' Kwh area wise $ '!B27</f>
        <v>0</v>
      </c>
      <c r="J27" s="1">
        <f>(Submeters!P26+Submeters!Q26+Submeters!R26+Submeters!S26+Submeters!T26+Submeters!U26)*' Kwh area wise $ '!B27</f>
        <v>0</v>
      </c>
      <c r="K27" s="24">
        <f>(Submeters!V26+Submeters!W26)*' Kwh area wise $ '!B27</f>
        <v>0</v>
      </c>
      <c r="L27" s="1">
        <f>Submeters!X26*' Kwh area wise $ '!B27</f>
        <v>0</v>
      </c>
      <c r="M27" s="24" t="e">
        <f>Submeters!#REF!*' Kwh area wise $ '!B27</f>
        <v>#REF!</v>
      </c>
    </row>
    <row r="28" spans="1:13" x14ac:dyDescent="0.25">
      <c r="A28" s="10">
        <f>'Kwh Reading'!A29</f>
        <v>44921</v>
      </c>
      <c r="B28" s="99">
        <f>TOTAL!F27</f>
        <v>0</v>
      </c>
      <c r="C28" s="9" t="e">
        <f>Submeters!#REF!*' Kwh area wise $ '!B28</f>
        <v>#REF!</v>
      </c>
      <c r="D28" s="1">
        <f>Submeters!E27*' Kwh area wise $ '!B28</f>
        <v>0</v>
      </c>
      <c r="E28" s="1">
        <f>Submeters!F27*' Kwh area wise $ '!B28</f>
        <v>0</v>
      </c>
      <c r="F28" s="1">
        <f>Submeters!G27*' Kwh area wise $ '!B28</f>
        <v>0</v>
      </c>
      <c r="G28" s="1">
        <f>(Submeters!I27+Submeters!J27+Submeters!K27)*' Kwh area wise $ '!B28</f>
        <v>0</v>
      </c>
      <c r="H28" s="1">
        <f>(Submeters!L27+Submeters!M27)*' Kwh area wise $ '!B28</f>
        <v>0</v>
      </c>
      <c r="I28" s="1">
        <f>(Submeters!N27+Submeters!O27)*' Kwh area wise $ '!B28</f>
        <v>0</v>
      </c>
      <c r="J28" s="1">
        <f>(Submeters!P27+Submeters!Q27+Submeters!R27+Submeters!S27+Submeters!T27+Submeters!U27)*' Kwh area wise $ '!B28</f>
        <v>0</v>
      </c>
      <c r="K28" s="24">
        <f>(Submeters!V27+Submeters!W27)*' Kwh area wise $ '!B28</f>
        <v>0</v>
      </c>
      <c r="L28" s="1">
        <f>Submeters!X27*' Kwh area wise $ '!B28</f>
        <v>0</v>
      </c>
      <c r="M28" s="24" t="e">
        <f>Submeters!#REF!*' Kwh area wise $ '!B28</f>
        <v>#REF!</v>
      </c>
    </row>
    <row r="29" spans="1:13" x14ac:dyDescent="0.25">
      <c r="A29" s="10">
        <f>'Kwh Reading'!A30</f>
        <v>44922</v>
      </c>
      <c r="B29" s="99">
        <f>TOTAL!F28</f>
        <v>0</v>
      </c>
      <c r="C29" s="9" t="e">
        <f>Submeters!#REF!*' Kwh area wise $ '!B29</f>
        <v>#REF!</v>
      </c>
      <c r="D29" s="1">
        <f>Submeters!E28*' Kwh area wise $ '!B29</f>
        <v>0</v>
      </c>
      <c r="E29" s="1">
        <f>Submeters!F28*' Kwh area wise $ '!B29</f>
        <v>0</v>
      </c>
      <c r="F29" s="1">
        <f>Submeters!G28*' Kwh area wise $ '!B29</f>
        <v>0</v>
      </c>
      <c r="G29" s="1">
        <f>(Submeters!I28+Submeters!J28+Submeters!K28)*' Kwh area wise $ '!B29</f>
        <v>0</v>
      </c>
      <c r="H29" s="1">
        <f>(Submeters!L28+Submeters!M28)*' Kwh area wise $ '!B29</f>
        <v>0</v>
      </c>
      <c r="I29" s="1">
        <f>(Submeters!N28+Submeters!O28)*' Kwh area wise $ '!B29</f>
        <v>0</v>
      </c>
      <c r="J29" s="1">
        <f>(Submeters!P28+Submeters!Q28+Submeters!R28+Submeters!S28+Submeters!T28+Submeters!U28)*' Kwh area wise $ '!B29</f>
        <v>0</v>
      </c>
      <c r="K29" s="24">
        <f>(Submeters!V28+Submeters!W28)*' Kwh area wise $ '!B29</f>
        <v>0</v>
      </c>
      <c r="L29" s="1">
        <f>Submeters!X28*' Kwh area wise $ '!B29</f>
        <v>0</v>
      </c>
      <c r="M29" s="24" t="e">
        <f>Submeters!#REF!*' Kwh area wise $ '!B29</f>
        <v>#REF!</v>
      </c>
    </row>
    <row r="30" spans="1:13" x14ac:dyDescent="0.25">
      <c r="A30" s="10">
        <f>'Kwh Reading'!A31</f>
        <v>44923</v>
      </c>
      <c r="B30" s="99">
        <f>TOTAL!F29</f>
        <v>0</v>
      </c>
      <c r="C30" s="9" t="e">
        <f>Submeters!#REF!*' Kwh area wise $ '!B30</f>
        <v>#REF!</v>
      </c>
      <c r="D30" s="1">
        <f>Submeters!E29*' Kwh area wise $ '!B30</f>
        <v>0</v>
      </c>
      <c r="E30" s="1">
        <f>Submeters!F29*' Kwh area wise $ '!B30</f>
        <v>0</v>
      </c>
      <c r="F30" s="1">
        <f>Submeters!G29*' Kwh area wise $ '!B30</f>
        <v>0</v>
      </c>
      <c r="G30" s="1">
        <f>(Submeters!I29+Submeters!J29+Submeters!K29)*' Kwh area wise $ '!B30</f>
        <v>0</v>
      </c>
      <c r="H30" s="1">
        <f>(Submeters!L29+Submeters!M29)*' Kwh area wise $ '!B30</f>
        <v>0</v>
      </c>
      <c r="I30" s="1">
        <f>(Submeters!N29+Submeters!O29)*' Kwh area wise $ '!B30</f>
        <v>0</v>
      </c>
      <c r="J30" s="1">
        <f>(Submeters!P29+Submeters!Q29+Submeters!R29+Submeters!S29+Submeters!T29+Submeters!U29)*' Kwh area wise $ '!B30</f>
        <v>0</v>
      </c>
      <c r="K30" s="24">
        <f>(Submeters!V29+Submeters!W29)*' Kwh area wise $ '!B30</f>
        <v>0</v>
      </c>
      <c r="L30" s="1">
        <f>Submeters!X29*' Kwh area wise $ '!B30</f>
        <v>0</v>
      </c>
      <c r="M30" s="24" t="e">
        <f>Submeters!#REF!*' Kwh area wise $ '!B30</f>
        <v>#REF!</v>
      </c>
    </row>
    <row r="31" spans="1:13" x14ac:dyDescent="0.25">
      <c r="A31" s="10">
        <f>'Kwh Reading'!A32</f>
        <v>44924</v>
      </c>
      <c r="B31" s="99">
        <f>TOTAL!F30</f>
        <v>0</v>
      </c>
      <c r="C31" s="9" t="e">
        <f>Submeters!#REF!*' Kwh area wise $ '!B31</f>
        <v>#REF!</v>
      </c>
      <c r="D31" s="1">
        <f>Submeters!E30*' Kwh area wise $ '!B31</f>
        <v>0</v>
      </c>
      <c r="E31" s="1">
        <f>Submeters!F30*' Kwh area wise $ '!B31</f>
        <v>0</v>
      </c>
      <c r="F31" s="1">
        <f>Submeters!G30*' Kwh area wise $ '!B31</f>
        <v>0</v>
      </c>
      <c r="G31" s="1">
        <f>(Submeters!I30+Submeters!J30+Submeters!K30)*' Kwh area wise $ '!B31</f>
        <v>0</v>
      </c>
      <c r="H31" s="1">
        <f>(Submeters!L30+Submeters!M30)*' Kwh area wise $ '!B31</f>
        <v>0</v>
      </c>
      <c r="I31" s="1">
        <f>(Submeters!N30+Submeters!O30)*' Kwh area wise $ '!B31</f>
        <v>0</v>
      </c>
      <c r="J31" s="1">
        <f>(Submeters!P30+Submeters!Q30+Submeters!R30+Submeters!S30+Submeters!T30+Submeters!U30)*' Kwh area wise $ '!B31</f>
        <v>0</v>
      </c>
      <c r="K31" s="24">
        <f>(Submeters!V30+Submeters!W30)*' Kwh area wise $ '!B31</f>
        <v>0</v>
      </c>
      <c r="L31" s="1">
        <f>Submeters!X30*' Kwh area wise $ '!B31</f>
        <v>0</v>
      </c>
      <c r="M31" s="24" t="e">
        <f>Submeters!#REF!*' Kwh area wise $ '!B31</f>
        <v>#REF!</v>
      </c>
    </row>
    <row r="32" spans="1:13" x14ac:dyDescent="0.25">
      <c r="A32" s="10">
        <f>'Kwh Reading'!A33</f>
        <v>44925</v>
      </c>
      <c r="B32" s="99">
        <f>TOTAL!F31</f>
        <v>0</v>
      </c>
      <c r="C32" s="9" t="e">
        <f>Submeters!#REF!*' Kwh area wise $ '!B32</f>
        <v>#REF!</v>
      </c>
      <c r="D32" s="1">
        <f>Submeters!E31*' Kwh area wise $ '!B32</f>
        <v>0</v>
      </c>
      <c r="E32" s="1">
        <f>Submeters!F31*' Kwh area wise $ '!B32</f>
        <v>0</v>
      </c>
      <c r="F32" s="1">
        <f>Submeters!G31*' Kwh area wise $ '!B32</f>
        <v>0</v>
      </c>
      <c r="G32" s="1">
        <f>(Submeters!I31+Submeters!J31+Submeters!K31)*' Kwh area wise $ '!B32</f>
        <v>0</v>
      </c>
      <c r="H32" s="1">
        <f>(Submeters!L31+Submeters!M31)*' Kwh area wise $ '!B32</f>
        <v>0</v>
      </c>
      <c r="I32" s="1">
        <f>(Submeters!N31+Submeters!O31)*' Kwh area wise $ '!B32</f>
        <v>0</v>
      </c>
      <c r="J32" s="1">
        <f>(Submeters!P31+Submeters!Q31+Submeters!R31+Submeters!S31+Submeters!T31+Submeters!U31)*' Kwh area wise $ '!B32</f>
        <v>0</v>
      </c>
      <c r="K32" s="24">
        <f>(Submeters!V31+Submeters!W31)*' Kwh area wise $ '!B32</f>
        <v>0</v>
      </c>
      <c r="L32" s="1">
        <f>Submeters!X31*' Kwh area wise $ '!B32</f>
        <v>0</v>
      </c>
      <c r="M32" s="24" t="e">
        <f>Submeters!#REF!*' Kwh area wise $ '!B32</f>
        <v>#REF!</v>
      </c>
    </row>
    <row r="33" spans="1:14" ht="15.75" x14ac:dyDescent="0.25">
      <c r="A33" s="160" t="s">
        <v>41</v>
      </c>
      <c r="B33" s="160"/>
      <c r="C33" s="60" t="e">
        <f t="shared" ref="C33:L33" si="0">SUM(C3:C32)</f>
        <v>#REF!</v>
      </c>
      <c r="D33" s="60">
        <f t="shared" si="0"/>
        <v>0</v>
      </c>
      <c r="E33" s="60">
        <f t="shared" si="0"/>
        <v>0</v>
      </c>
      <c r="F33" s="60">
        <f t="shared" si="0"/>
        <v>0</v>
      </c>
      <c r="G33" s="60">
        <f t="shared" si="0"/>
        <v>0</v>
      </c>
      <c r="H33" s="60">
        <f t="shared" si="0"/>
        <v>0</v>
      </c>
      <c r="I33" s="60">
        <f t="shared" si="0"/>
        <v>0</v>
      </c>
      <c r="J33" s="60">
        <f t="shared" si="0"/>
        <v>0</v>
      </c>
      <c r="K33" s="60">
        <f t="shared" si="0"/>
        <v>0</v>
      </c>
      <c r="L33" s="60">
        <f t="shared" si="0"/>
        <v>0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4" sqref="Q34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44896</v>
      </c>
      <c r="B3" s="25">
        <v>23072</v>
      </c>
      <c r="C3" s="25">
        <v>33759</v>
      </c>
      <c r="D3" s="25">
        <v>296508</v>
      </c>
      <c r="E3" s="25">
        <v>283600</v>
      </c>
      <c r="F3" s="25">
        <v>67394</v>
      </c>
      <c r="G3" s="25">
        <v>123848</v>
      </c>
      <c r="H3" s="45">
        <v>62092</v>
      </c>
      <c r="I3" s="119">
        <v>79804</v>
      </c>
      <c r="J3" s="25">
        <v>23871</v>
      </c>
      <c r="K3" s="25">
        <v>1024</v>
      </c>
      <c r="L3" s="25">
        <v>19485</v>
      </c>
      <c r="M3" s="25">
        <v>28561</v>
      </c>
      <c r="N3" s="25">
        <v>9047</v>
      </c>
      <c r="O3" s="25">
        <v>2427</v>
      </c>
      <c r="P3" s="25">
        <v>32676</v>
      </c>
      <c r="Q3" s="25">
        <v>2220</v>
      </c>
      <c r="R3" s="25">
        <v>860</v>
      </c>
    </row>
    <row r="4" spans="1:21" x14ac:dyDescent="0.25">
      <c r="A4" s="44">
        <v>44897</v>
      </c>
      <c r="B4" s="25">
        <v>23166</v>
      </c>
      <c r="C4" s="25">
        <v>33949</v>
      </c>
      <c r="D4" s="25">
        <v>296620</v>
      </c>
      <c r="E4" s="25">
        <v>283687</v>
      </c>
      <c r="F4" s="25">
        <v>67394</v>
      </c>
      <c r="G4" s="25">
        <v>123871</v>
      </c>
      <c r="H4" s="25">
        <v>62092</v>
      </c>
      <c r="I4" s="119">
        <v>79827</v>
      </c>
      <c r="J4" s="45">
        <v>23877</v>
      </c>
      <c r="K4" s="25">
        <v>1024</v>
      </c>
      <c r="L4" s="85">
        <v>19488</v>
      </c>
      <c r="M4" s="85">
        <v>28567</v>
      </c>
      <c r="N4" s="85">
        <v>9048</v>
      </c>
      <c r="O4" s="25">
        <v>2428</v>
      </c>
      <c r="P4" s="85">
        <v>32676</v>
      </c>
      <c r="Q4" s="85">
        <v>2220</v>
      </c>
      <c r="R4" s="85">
        <v>864</v>
      </c>
    </row>
    <row r="5" spans="1:21" x14ac:dyDescent="0.25">
      <c r="A5" s="44">
        <v>44898</v>
      </c>
      <c r="B5" s="25">
        <v>23253</v>
      </c>
      <c r="C5" s="25">
        <v>34126</v>
      </c>
      <c r="D5" s="25">
        <v>296726</v>
      </c>
      <c r="E5" s="25">
        <v>283766</v>
      </c>
      <c r="F5" s="25">
        <v>67395</v>
      </c>
      <c r="G5" s="25">
        <v>123894</v>
      </c>
      <c r="H5" s="25">
        <v>62092</v>
      </c>
      <c r="I5" s="119">
        <v>79834</v>
      </c>
      <c r="J5" s="25">
        <v>23882</v>
      </c>
      <c r="K5" s="25">
        <v>1024</v>
      </c>
      <c r="L5" s="85">
        <v>19492</v>
      </c>
      <c r="M5" s="85">
        <v>28572</v>
      </c>
      <c r="N5" s="85">
        <v>9050</v>
      </c>
      <c r="O5" s="25">
        <v>2429</v>
      </c>
      <c r="P5" s="85">
        <v>32680</v>
      </c>
      <c r="Q5" s="85">
        <v>2221</v>
      </c>
      <c r="R5" s="85">
        <v>867</v>
      </c>
    </row>
    <row r="6" spans="1:21" x14ac:dyDescent="0.25">
      <c r="A6" s="44">
        <v>44899</v>
      </c>
      <c r="B6" s="25">
        <v>23345</v>
      </c>
      <c r="C6" s="25">
        <v>34356</v>
      </c>
      <c r="D6" s="25">
        <v>296909</v>
      </c>
      <c r="E6" s="25">
        <v>283834</v>
      </c>
      <c r="F6" s="25">
        <v>67395</v>
      </c>
      <c r="G6" s="25">
        <v>123915</v>
      </c>
      <c r="H6" s="25">
        <v>62092</v>
      </c>
      <c r="I6" s="119">
        <v>79837</v>
      </c>
      <c r="J6" s="45">
        <v>23888</v>
      </c>
      <c r="K6" s="25">
        <v>1024</v>
      </c>
      <c r="L6" s="85">
        <v>19495</v>
      </c>
      <c r="M6" s="85">
        <v>28577</v>
      </c>
      <c r="N6" s="85">
        <v>9052</v>
      </c>
      <c r="O6" s="25">
        <v>2429</v>
      </c>
      <c r="P6" s="85">
        <v>32690</v>
      </c>
      <c r="Q6" s="85">
        <v>2226</v>
      </c>
      <c r="R6" s="85">
        <v>873</v>
      </c>
    </row>
    <row r="7" spans="1:21" x14ac:dyDescent="0.25">
      <c r="A7" s="44">
        <v>44900</v>
      </c>
      <c r="B7" s="45">
        <v>23473</v>
      </c>
      <c r="C7" s="25">
        <v>34657</v>
      </c>
      <c r="D7" s="85">
        <v>297125</v>
      </c>
      <c r="E7" s="85">
        <v>283913</v>
      </c>
      <c r="F7" s="25">
        <v>67396</v>
      </c>
      <c r="G7" s="85">
        <v>123941</v>
      </c>
      <c r="H7" s="25">
        <v>62092</v>
      </c>
      <c r="I7" s="105">
        <v>79854</v>
      </c>
      <c r="J7" s="85">
        <v>23894</v>
      </c>
      <c r="K7" s="25">
        <v>1024</v>
      </c>
      <c r="L7" s="85">
        <v>19498</v>
      </c>
      <c r="M7" s="85">
        <v>28584</v>
      </c>
      <c r="N7" s="85">
        <v>9053</v>
      </c>
      <c r="O7" s="25">
        <v>2431</v>
      </c>
      <c r="P7" s="85">
        <v>32708</v>
      </c>
      <c r="Q7" s="85">
        <v>2227</v>
      </c>
      <c r="R7" s="85">
        <v>876</v>
      </c>
    </row>
    <row r="8" spans="1:21" x14ac:dyDescent="0.25">
      <c r="A8" s="44">
        <v>44901</v>
      </c>
      <c r="B8" s="45">
        <v>23554</v>
      </c>
      <c r="C8" s="25">
        <v>34868</v>
      </c>
      <c r="D8" s="85">
        <v>297273</v>
      </c>
      <c r="E8" s="85">
        <v>283982</v>
      </c>
      <c r="F8" s="85">
        <v>67397</v>
      </c>
      <c r="G8" s="85">
        <v>123959</v>
      </c>
      <c r="H8" s="25">
        <v>62092</v>
      </c>
      <c r="I8" s="105">
        <v>79864</v>
      </c>
      <c r="J8" s="85">
        <v>23900</v>
      </c>
      <c r="K8" s="25">
        <v>1024</v>
      </c>
      <c r="L8" s="85">
        <v>19501</v>
      </c>
      <c r="M8" s="85">
        <v>28589</v>
      </c>
      <c r="N8" s="85">
        <v>9054</v>
      </c>
      <c r="O8" s="25">
        <v>2432</v>
      </c>
      <c r="P8" s="85">
        <v>32710</v>
      </c>
      <c r="Q8" s="85">
        <v>2228</v>
      </c>
      <c r="R8" s="85">
        <v>880</v>
      </c>
    </row>
    <row r="9" spans="1:21" x14ac:dyDescent="0.25">
      <c r="A9" s="44">
        <v>44902</v>
      </c>
      <c r="B9" s="45">
        <v>23642</v>
      </c>
      <c r="C9" s="25">
        <v>35085</v>
      </c>
      <c r="D9" s="85">
        <v>297420</v>
      </c>
      <c r="E9" s="85">
        <v>284055</v>
      </c>
      <c r="F9" s="85">
        <v>67398</v>
      </c>
      <c r="G9" s="85">
        <v>123980</v>
      </c>
      <c r="H9" s="25">
        <v>62092</v>
      </c>
      <c r="I9" s="105">
        <v>79883</v>
      </c>
      <c r="J9" s="85">
        <v>23905</v>
      </c>
      <c r="K9" s="25">
        <v>1024</v>
      </c>
      <c r="L9" s="85">
        <v>19504</v>
      </c>
      <c r="M9" s="85">
        <v>28596</v>
      </c>
      <c r="N9" s="85">
        <v>9055</v>
      </c>
      <c r="O9" s="25">
        <v>2436</v>
      </c>
      <c r="P9" s="85">
        <v>32716</v>
      </c>
      <c r="Q9" s="85">
        <v>2230</v>
      </c>
      <c r="R9" s="85">
        <v>884</v>
      </c>
    </row>
    <row r="10" spans="1:21" x14ac:dyDescent="0.25">
      <c r="A10" s="44">
        <v>44903</v>
      </c>
      <c r="B10" s="25">
        <v>23751</v>
      </c>
      <c r="C10" s="45">
        <v>35271</v>
      </c>
      <c r="D10" s="85">
        <v>297560</v>
      </c>
      <c r="E10" s="85">
        <v>284127</v>
      </c>
      <c r="F10" s="85">
        <v>67398</v>
      </c>
      <c r="G10" s="85">
        <v>124004</v>
      </c>
      <c r="H10" s="25">
        <v>18</v>
      </c>
      <c r="I10" s="105">
        <v>79898</v>
      </c>
      <c r="J10" s="85">
        <v>23911</v>
      </c>
      <c r="K10" s="25">
        <v>1024</v>
      </c>
      <c r="L10" s="85">
        <v>19511</v>
      </c>
      <c r="M10" s="85">
        <v>28602</v>
      </c>
      <c r="N10" s="85">
        <v>9056</v>
      </c>
      <c r="O10" s="25">
        <v>2437</v>
      </c>
      <c r="P10" s="85">
        <v>32737</v>
      </c>
      <c r="Q10" s="85">
        <v>2234</v>
      </c>
      <c r="R10" s="85">
        <v>887</v>
      </c>
    </row>
    <row r="11" spans="1:21" x14ac:dyDescent="0.25">
      <c r="A11" s="44">
        <v>44904</v>
      </c>
      <c r="B11" s="45">
        <v>23837</v>
      </c>
      <c r="C11" s="25">
        <v>35474</v>
      </c>
      <c r="D11" s="85">
        <v>297688</v>
      </c>
      <c r="E11" s="85">
        <v>284202</v>
      </c>
      <c r="F11" s="85">
        <v>67399</v>
      </c>
      <c r="G11" s="85">
        <v>124026</v>
      </c>
      <c r="H11" s="25">
        <v>31</v>
      </c>
      <c r="I11" s="105">
        <v>79919</v>
      </c>
      <c r="J11" s="85">
        <v>23916</v>
      </c>
      <c r="K11" s="25">
        <v>1024</v>
      </c>
      <c r="L11" s="85">
        <v>19516</v>
      </c>
      <c r="M11" s="85">
        <v>28607</v>
      </c>
      <c r="N11" s="85">
        <v>9057</v>
      </c>
      <c r="O11" s="25">
        <v>2438</v>
      </c>
      <c r="P11" s="85">
        <v>32751</v>
      </c>
      <c r="Q11" s="85">
        <v>2234</v>
      </c>
      <c r="R11" s="85">
        <v>890</v>
      </c>
    </row>
    <row r="12" spans="1:21" x14ac:dyDescent="0.25">
      <c r="A12" s="44">
        <v>44905</v>
      </c>
      <c r="B12" s="25">
        <v>23928</v>
      </c>
      <c r="C12" s="45">
        <v>35696</v>
      </c>
      <c r="D12" s="85">
        <v>297831</v>
      </c>
      <c r="E12" s="85">
        <v>284283</v>
      </c>
      <c r="F12" s="85">
        <v>67400</v>
      </c>
      <c r="G12" s="85">
        <v>124059</v>
      </c>
      <c r="H12" s="25">
        <v>46</v>
      </c>
      <c r="I12" s="105">
        <v>79929</v>
      </c>
      <c r="J12" s="25">
        <v>23922</v>
      </c>
      <c r="K12" s="25">
        <v>1024</v>
      </c>
      <c r="L12" s="85">
        <v>19522</v>
      </c>
      <c r="M12" s="85">
        <v>28613</v>
      </c>
      <c r="N12" s="85">
        <v>9058</v>
      </c>
      <c r="O12" s="25">
        <v>2440</v>
      </c>
      <c r="P12" s="85">
        <v>32756</v>
      </c>
      <c r="Q12" s="85">
        <v>2238</v>
      </c>
      <c r="R12" s="85">
        <v>894</v>
      </c>
    </row>
    <row r="13" spans="1:21" x14ac:dyDescent="0.25">
      <c r="A13" s="44">
        <v>44906</v>
      </c>
      <c r="B13" s="45">
        <v>24005</v>
      </c>
      <c r="C13" s="25">
        <v>35892</v>
      </c>
      <c r="D13" s="85">
        <v>297949</v>
      </c>
      <c r="E13" s="85">
        <v>284365</v>
      </c>
      <c r="F13" s="85">
        <v>67401</v>
      </c>
      <c r="G13" s="85">
        <v>124078</v>
      </c>
      <c r="H13" s="25">
        <v>64</v>
      </c>
      <c r="I13" s="105">
        <v>79933</v>
      </c>
      <c r="J13" s="45">
        <v>23927</v>
      </c>
      <c r="K13" s="25">
        <v>1024</v>
      </c>
      <c r="L13" s="85">
        <v>19527</v>
      </c>
      <c r="M13" s="85">
        <v>28620</v>
      </c>
      <c r="N13" s="85">
        <v>9059</v>
      </c>
      <c r="O13" s="25">
        <v>2441</v>
      </c>
      <c r="P13" s="105">
        <v>32756</v>
      </c>
      <c r="Q13" s="85">
        <v>2239</v>
      </c>
      <c r="R13" s="85">
        <v>899</v>
      </c>
    </row>
    <row r="14" spans="1:21" x14ac:dyDescent="0.25">
      <c r="A14" s="44">
        <v>44907</v>
      </c>
      <c r="B14" s="25">
        <v>24100</v>
      </c>
      <c r="C14" s="25">
        <v>36125</v>
      </c>
      <c r="D14" s="85">
        <v>298080</v>
      </c>
      <c r="E14" s="85">
        <v>284453</v>
      </c>
      <c r="F14" s="85">
        <v>67401</v>
      </c>
      <c r="G14" s="85">
        <v>124100</v>
      </c>
      <c r="H14" s="25">
        <v>83</v>
      </c>
      <c r="I14" s="105">
        <v>79953</v>
      </c>
      <c r="J14" s="25">
        <v>23933</v>
      </c>
      <c r="K14" s="25">
        <v>1024</v>
      </c>
      <c r="L14" s="85">
        <v>19533</v>
      </c>
      <c r="M14" s="85">
        <v>28626</v>
      </c>
      <c r="N14" s="85">
        <v>9060</v>
      </c>
      <c r="O14" s="25">
        <v>2443</v>
      </c>
      <c r="P14" s="85">
        <v>32770</v>
      </c>
      <c r="Q14" s="85">
        <v>2245</v>
      </c>
      <c r="R14" s="85">
        <v>903</v>
      </c>
    </row>
    <row r="15" spans="1:21" x14ac:dyDescent="0.25">
      <c r="A15" s="44">
        <v>44908</v>
      </c>
      <c r="B15" s="25">
        <v>24185</v>
      </c>
      <c r="C15" s="25">
        <v>36337</v>
      </c>
      <c r="D15" s="85">
        <v>298218</v>
      </c>
      <c r="E15" s="85">
        <v>284540</v>
      </c>
      <c r="F15" s="85">
        <v>67402</v>
      </c>
      <c r="G15" s="85">
        <v>124125</v>
      </c>
      <c r="H15" s="25">
        <v>102</v>
      </c>
      <c r="I15" s="105">
        <v>79957</v>
      </c>
      <c r="J15" s="85">
        <v>23939</v>
      </c>
      <c r="K15" s="25">
        <v>1024</v>
      </c>
      <c r="L15" s="85">
        <v>19537</v>
      </c>
      <c r="M15" s="85">
        <v>28632</v>
      </c>
      <c r="N15" s="85">
        <v>9061</v>
      </c>
      <c r="O15" s="25">
        <v>2445</v>
      </c>
      <c r="P15" s="85">
        <v>32770</v>
      </c>
      <c r="Q15" s="85">
        <v>2246</v>
      </c>
      <c r="R15" s="85">
        <v>907</v>
      </c>
      <c r="T15" s="83"/>
      <c r="U15" s="83"/>
    </row>
    <row r="16" spans="1:21" x14ac:dyDescent="0.25">
      <c r="A16" s="44">
        <v>44909</v>
      </c>
      <c r="B16" s="25">
        <v>24275</v>
      </c>
      <c r="C16" s="45">
        <v>36560</v>
      </c>
      <c r="D16" s="85">
        <v>298340</v>
      </c>
      <c r="E16" s="85">
        <v>284628</v>
      </c>
      <c r="F16" s="85">
        <v>67403</v>
      </c>
      <c r="G16" s="85">
        <v>124151</v>
      </c>
      <c r="H16" s="25">
        <v>123</v>
      </c>
      <c r="I16" s="105">
        <v>79977</v>
      </c>
      <c r="J16" s="85">
        <v>23945</v>
      </c>
      <c r="K16" s="25">
        <v>1024</v>
      </c>
      <c r="L16" s="85">
        <v>19541</v>
      </c>
      <c r="M16" s="85">
        <v>28638</v>
      </c>
      <c r="N16" s="85">
        <v>9063</v>
      </c>
      <c r="O16" s="25">
        <v>2446</v>
      </c>
      <c r="P16" s="85">
        <v>32784</v>
      </c>
      <c r="Q16" s="85">
        <v>2254</v>
      </c>
      <c r="R16" s="85">
        <v>910</v>
      </c>
    </row>
    <row r="17" spans="1:21" x14ac:dyDescent="0.25">
      <c r="A17" s="44">
        <v>44910</v>
      </c>
      <c r="B17" s="25">
        <v>24400</v>
      </c>
      <c r="C17" s="25">
        <v>36857</v>
      </c>
      <c r="D17" s="85">
        <v>298601</v>
      </c>
      <c r="E17" s="85">
        <v>284711</v>
      </c>
      <c r="F17" s="85">
        <v>67405</v>
      </c>
      <c r="G17" s="85">
        <v>124173</v>
      </c>
      <c r="H17" s="25">
        <v>141</v>
      </c>
      <c r="I17" s="105">
        <v>79980</v>
      </c>
      <c r="J17" s="85">
        <v>23952</v>
      </c>
      <c r="K17" s="25">
        <v>1024</v>
      </c>
      <c r="L17" s="85">
        <v>19544</v>
      </c>
      <c r="M17" s="85">
        <v>28644</v>
      </c>
      <c r="N17" s="85">
        <v>9065</v>
      </c>
      <c r="O17" s="25">
        <v>2448</v>
      </c>
      <c r="P17" s="85">
        <v>32784</v>
      </c>
      <c r="Q17" s="85">
        <v>2314</v>
      </c>
      <c r="R17" s="85">
        <v>913</v>
      </c>
    </row>
    <row r="18" spans="1:21" x14ac:dyDescent="0.25">
      <c r="A18" s="44">
        <v>44911</v>
      </c>
      <c r="B18" s="25">
        <v>24410</v>
      </c>
      <c r="C18" s="45">
        <v>37142</v>
      </c>
      <c r="D18" s="85">
        <v>298729</v>
      </c>
      <c r="E18" s="85">
        <v>284792</v>
      </c>
      <c r="F18" s="85">
        <v>67405</v>
      </c>
      <c r="G18" s="85">
        <v>124195</v>
      </c>
      <c r="H18" s="25">
        <v>156</v>
      </c>
      <c r="I18" s="105">
        <v>80000</v>
      </c>
      <c r="J18" s="85">
        <v>23958</v>
      </c>
      <c r="K18" s="25">
        <v>1024</v>
      </c>
      <c r="L18" s="85">
        <v>19548</v>
      </c>
      <c r="M18" s="85">
        <v>28651</v>
      </c>
      <c r="N18" s="85">
        <v>9066</v>
      </c>
      <c r="O18" s="25">
        <v>2450</v>
      </c>
      <c r="P18" s="85">
        <v>32786</v>
      </c>
      <c r="Q18" s="85">
        <v>2316</v>
      </c>
      <c r="R18" s="85">
        <v>918</v>
      </c>
      <c r="U18" s="83"/>
    </row>
    <row r="19" spans="1:21" x14ac:dyDescent="0.25">
      <c r="A19" s="44">
        <v>44912</v>
      </c>
      <c r="B19" s="25">
        <v>24410</v>
      </c>
      <c r="C19" s="25">
        <v>37465</v>
      </c>
      <c r="D19" s="85">
        <v>298897</v>
      </c>
      <c r="E19" s="85">
        <v>284864</v>
      </c>
      <c r="F19" s="85">
        <v>67406</v>
      </c>
      <c r="G19" s="85">
        <v>124219</v>
      </c>
      <c r="H19" s="25">
        <v>174</v>
      </c>
      <c r="I19" s="105">
        <v>80017</v>
      </c>
      <c r="J19" s="85">
        <v>23964</v>
      </c>
      <c r="K19" s="25">
        <v>1024</v>
      </c>
      <c r="L19" s="85">
        <v>19552</v>
      </c>
      <c r="M19" s="85">
        <v>28656</v>
      </c>
      <c r="N19" s="85">
        <v>6067</v>
      </c>
      <c r="O19" s="25">
        <v>2451</v>
      </c>
      <c r="P19" s="85">
        <v>32811</v>
      </c>
      <c r="Q19" s="85">
        <v>2323</v>
      </c>
      <c r="R19" s="85">
        <v>922</v>
      </c>
    </row>
    <row r="20" spans="1:21" x14ac:dyDescent="0.25">
      <c r="A20" s="44">
        <v>44913</v>
      </c>
      <c r="B20" s="25">
        <v>24490</v>
      </c>
      <c r="C20" s="45">
        <v>37748</v>
      </c>
      <c r="D20" s="86">
        <v>299082</v>
      </c>
      <c r="E20" s="85">
        <v>284944</v>
      </c>
      <c r="F20" s="85">
        <v>67407</v>
      </c>
      <c r="G20" s="85">
        <v>124241</v>
      </c>
      <c r="H20" s="25">
        <v>196</v>
      </c>
      <c r="I20" s="105">
        <v>80037</v>
      </c>
      <c r="J20" s="85">
        <v>23970</v>
      </c>
      <c r="K20" s="25">
        <v>1024</v>
      </c>
      <c r="L20" s="85">
        <v>19555</v>
      </c>
      <c r="M20" s="85">
        <v>28663</v>
      </c>
      <c r="N20" s="85">
        <v>9069</v>
      </c>
      <c r="O20" s="25">
        <v>2453</v>
      </c>
      <c r="P20" s="85">
        <v>32823</v>
      </c>
      <c r="Q20" s="85">
        <v>2324</v>
      </c>
      <c r="R20" s="85">
        <v>924</v>
      </c>
    </row>
    <row r="21" spans="1:21" x14ac:dyDescent="0.25">
      <c r="A21" s="44">
        <v>44914</v>
      </c>
      <c r="B21" s="25">
        <v>24628</v>
      </c>
      <c r="C21" s="25">
        <v>37950</v>
      </c>
      <c r="D21" s="85">
        <v>299246</v>
      </c>
      <c r="E21" s="85">
        <v>285025</v>
      </c>
      <c r="F21" s="85">
        <v>67408</v>
      </c>
      <c r="G21" s="85">
        <v>124270</v>
      </c>
      <c r="H21" s="25">
        <v>218</v>
      </c>
      <c r="I21" s="105">
        <v>80040</v>
      </c>
      <c r="J21" s="85">
        <v>23977</v>
      </c>
      <c r="K21" s="25">
        <v>1024</v>
      </c>
      <c r="L21" s="85">
        <v>19558</v>
      </c>
      <c r="M21" s="85">
        <v>28669</v>
      </c>
      <c r="N21" s="85">
        <v>9070</v>
      </c>
      <c r="O21" s="25">
        <v>2456</v>
      </c>
      <c r="P21" s="85">
        <v>32825</v>
      </c>
      <c r="Q21" s="85">
        <v>2325</v>
      </c>
      <c r="R21" s="85">
        <v>928</v>
      </c>
    </row>
    <row r="22" spans="1:21" x14ac:dyDescent="0.25">
      <c r="A22" s="44">
        <v>44915</v>
      </c>
      <c r="B22" s="25">
        <v>24782</v>
      </c>
      <c r="C22" s="45">
        <v>38124</v>
      </c>
      <c r="D22" s="85">
        <v>299408</v>
      </c>
      <c r="E22" s="85">
        <v>285103</v>
      </c>
      <c r="F22" s="85">
        <v>67408</v>
      </c>
      <c r="G22" s="85">
        <v>124300</v>
      </c>
      <c r="H22" s="25">
        <v>233</v>
      </c>
      <c r="I22" s="105">
        <v>80043</v>
      </c>
      <c r="J22" s="25">
        <v>23983</v>
      </c>
      <c r="K22" s="25">
        <v>1024</v>
      </c>
      <c r="L22" s="85">
        <v>19561</v>
      </c>
      <c r="M22" s="85">
        <v>28681</v>
      </c>
      <c r="N22" s="85">
        <v>9072</v>
      </c>
      <c r="O22" s="25">
        <v>2457</v>
      </c>
      <c r="P22" s="85">
        <v>32827</v>
      </c>
      <c r="Q22" s="85">
        <v>2325</v>
      </c>
      <c r="R22" s="85">
        <v>932</v>
      </c>
    </row>
    <row r="23" spans="1:21" x14ac:dyDescent="0.25">
      <c r="A23" s="44">
        <v>44916</v>
      </c>
      <c r="B23" s="25">
        <v>24921</v>
      </c>
      <c r="C23" s="25">
        <v>38285</v>
      </c>
      <c r="D23" s="85">
        <v>299547</v>
      </c>
      <c r="E23" s="85">
        <v>285176</v>
      </c>
      <c r="F23" s="85">
        <v>67409</v>
      </c>
      <c r="G23" s="85">
        <v>124329</v>
      </c>
      <c r="H23" s="25">
        <v>252</v>
      </c>
      <c r="I23" s="105">
        <v>80045</v>
      </c>
      <c r="J23" s="25">
        <v>23989</v>
      </c>
      <c r="K23" s="25">
        <v>1024</v>
      </c>
      <c r="L23" s="85">
        <v>19564</v>
      </c>
      <c r="M23" s="85">
        <v>28681</v>
      </c>
      <c r="N23" s="85">
        <v>9072</v>
      </c>
      <c r="O23" s="25">
        <v>2458</v>
      </c>
      <c r="P23" s="85">
        <v>32829</v>
      </c>
      <c r="Q23" s="85">
        <v>2327</v>
      </c>
      <c r="R23" s="85">
        <v>939</v>
      </c>
      <c r="S23" s="8" t="s">
        <v>114</v>
      </c>
    </row>
    <row r="24" spans="1:21" x14ac:dyDescent="0.25">
      <c r="A24" s="44">
        <v>44917</v>
      </c>
      <c r="B24" s="25">
        <v>25017</v>
      </c>
      <c r="C24" s="45">
        <v>38478</v>
      </c>
      <c r="D24" s="85">
        <v>299660</v>
      </c>
      <c r="E24" s="85">
        <v>285253</v>
      </c>
      <c r="F24" s="85">
        <v>67410</v>
      </c>
      <c r="G24" s="85">
        <v>124354</v>
      </c>
      <c r="H24" s="25">
        <v>275</v>
      </c>
      <c r="I24" s="105">
        <v>80059</v>
      </c>
      <c r="J24" s="85">
        <v>23995</v>
      </c>
      <c r="K24" s="25">
        <v>1024</v>
      </c>
      <c r="L24" s="85">
        <v>19567</v>
      </c>
      <c r="M24" s="85">
        <v>28687</v>
      </c>
      <c r="N24" s="85">
        <v>9074</v>
      </c>
      <c r="O24" s="25">
        <v>2460</v>
      </c>
      <c r="P24" s="85">
        <v>32834</v>
      </c>
      <c r="Q24" s="85">
        <v>2327</v>
      </c>
      <c r="R24" s="85">
        <v>944</v>
      </c>
      <c r="S24" s="8" t="s">
        <v>116</v>
      </c>
    </row>
    <row r="25" spans="1:21" x14ac:dyDescent="0.25">
      <c r="A25" s="44">
        <v>44918</v>
      </c>
      <c r="B25" s="25">
        <v>25128</v>
      </c>
      <c r="C25" s="25">
        <v>38695</v>
      </c>
      <c r="D25" s="85">
        <v>299811</v>
      </c>
      <c r="E25" s="85">
        <v>285330</v>
      </c>
      <c r="F25" s="85">
        <v>67411</v>
      </c>
      <c r="G25" s="85">
        <v>124379</v>
      </c>
      <c r="H25" s="25">
        <v>296</v>
      </c>
      <c r="I25" s="105">
        <v>80079</v>
      </c>
      <c r="J25" s="85">
        <v>24000</v>
      </c>
      <c r="K25" s="25">
        <v>1024</v>
      </c>
      <c r="L25" s="85">
        <v>19570</v>
      </c>
      <c r="M25" s="85">
        <v>28694</v>
      </c>
      <c r="N25" s="85">
        <v>907</v>
      </c>
      <c r="O25" s="25">
        <v>2463</v>
      </c>
      <c r="P25" s="85">
        <v>32848</v>
      </c>
      <c r="Q25" s="85">
        <v>2333</v>
      </c>
      <c r="R25" s="85">
        <v>950</v>
      </c>
    </row>
    <row r="26" spans="1:21" x14ac:dyDescent="0.25">
      <c r="A26" s="44">
        <v>44919</v>
      </c>
      <c r="B26" s="25">
        <v>25283</v>
      </c>
      <c r="C26" s="45">
        <v>38892</v>
      </c>
      <c r="D26" s="85">
        <v>299966</v>
      </c>
      <c r="E26" s="85">
        <v>285417</v>
      </c>
      <c r="F26" s="85">
        <v>67411</v>
      </c>
      <c r="G26" s="85">
        <v>124409</v>
      </c>
      <c r="H26" s="25">
        <v>324</v>
      </c>
      <c r="I26" s="105">
        <v>80083</v>
      </c>
      <c r="J26" s="85">
        <v>24008</v>
      </c>
      <c r="K26" s="25">
        <v>1024</v>
      </c>
      <c r="L26" s="85">
        <v>19573</v>
      </c>
      <c r="M26" s="85">
        <v>28700</v>
      </c>
      <c r="N26" s="85">
        <v>9076</v>
      </c>
      <c r="O26" s="25">
        <v>2465</v>
      </c>
      <c r="P26" s="85">
        <v>32848</v>
      </c>
      <c r="Q26" s="85">
        <v>2336</v>
      </c>
      <c r="R26" s="85">
        <v>956</v>
      </c>
    </row>
    <row r="27" spans="1:21" x14ac:dyDescent="0.25">
      <c r="A27" s="44">
        <v>44920</v>
      </c>
      <c r="B27" s="25">
        <v>25405</v>
      </c>
      <c r="C27" s="25">
        <v>39085</v>
      </c>
      <c r="D27" s="85">
        <v>300087</v>
      </c>
      <c r="E27" s="85">
        <v>285489</v>
      </c>
      <c r="F27" s="85">
        <v>67413</v>
      </c>
      <c r="G27" s="85">
        <v>124432</v>
      </c>
      <c r="H27" s="25">
        <v>350</v>
      </c>
      <c r="I27" s="105">
        <v>80112</v>
      </c>
      <c r="J27" s="85">
        <v>24015</v>
      </c>
      <c r="K27" s="25">
        <v>1024</v>
      </c>
      <c r="L27" s="85">
        <v>19577</v>
      </c>
      <c r="M27" s="85">
        <v>28706</v>
      </c>
      <c r="N27" s="85">
        <v>9077</v>
      </c>
      <c r="O27" s="25">
        <v>2466</v>
      </c>
      <c r="P27" s="85">
        <v>32871</v>
      </c>
      <c r="Q27" s="85">
        <v>2341</v>
      </c>
      <c r="R27" s="85">
        <v>958</v>
      </c>
    </row>
    <row r="28" spans="1:21" x14ac:dyDescent="0.25">
      <c r="A28" s="44">
        <v>44921</v>
      </c>
      <c r="B28" s="25">
        <v>25551</v>
      </c>
      <c r="C28" s="45">
        <v>39319</v>
      </c>
      <c r="D28" s="85">
        <v>300240</v>
      </c>
      <c r="E28" s="85">
        <v>285576</v>
      </c>
      <c r="F28" s="85">
        <v>67413</v>
      </c>
      <c r="G28" s="85">
        <v>124461</v>
      </c>
      <c r="H28" s="25">
        <v>397</v>
      </c>
      <c r="I28" s="105">
        <v>80132</v>
      </c>
      <c r="J28" s="85">
        <v>24022</v>
      </c>
      <c r="K28" s="25">
        <v>1024</v>
      </c>
      <c r="L28" s="25">
        <v>19579</v>
      </c>
      <c r="M28" s="85">
        <v>28714</v>
      </c>
      <c r="N28" s="85">
        <v>9078</v>
      </c>
      <c r="O28" s="25">
        <v>2468</v>
      </c>
      <c r="P28" s="85">
        <v>32884</v>
      </c>
      <c r="Q28" s="85">
        <v>2347</v>
      </c>
      <c r="R28" s="85">
        <v>965</v>
      </c>
    </row>
    <row r="29" spans="1:21" x14ac:dyDescent="0.25">
      <c r="A29" s="44">
        <v>44922</v>
      </c>
      <c r="B29" s="25">
        <v>25688</v>
      </c>
      <c r="C29" s="25">
        <v>39579</v>
      </c>
      <c r="D29" s="85">
        <v>300437</v>
      </c>
      <c r="E29" s="85">
        <v>285662</v>
      </c>
      <c r="F29" s="85">
        <v>67414</v>
      </c>
      <c r="G29" s="85">
        <v>124499</v>
      </c>
      <c r="H29" s="25">
        <v>426</v>
      </c>
      <c r="I29" s="120">
        <v>80136</v>
      </c>
      <c r="J29" s="85">
        <v>24030</v>
      </c>
      <c r="K29" s="25">
        <v>1024</v>
      </c>
      <c r="L29" s="85">
        <v>19583</v>
      </c>
      <c r="M29" s="85">
        <v>28722</v>
      </c>
      <c r="N29" s="85">
        <v>9082</v>
      </c>
      <c r="O29" s="25">
        <v>2469</v>
      </c>
      <c r="P29" s="85">
        <v>32884</v>
      </c>
      <c r="Q29" s="85">
        <v>2352</v>
      </c>
      <c r="R29" s="85">
        <v>970</v>
      </c>
    </row>
    <row r="30" spans="1:21" x14ac:dyDescent="0.25">
      <c r="A30" s="44">
        <v>44923</v>
      </c>
      <c r="B30" s="25">
        <v>25813</v>
      </c>
      <c r="C30" s="45">
        <v>39818</v>
      </c>
      <c r="D30" s="85">
        <v>300595</v>
      </c>
      <c r="E30" s="85">
        <v>285739</v>
      </c>
      <c r="F30" s="85">
        <v>67415</v>
      </c>
      <c r="G30" s="85">
        <v>124531</v>
      </c>
      <c r="H30" s="25">
        <v>456</v>
      </c>
      <c r="I30" s="105">
        <v>80153</v>
      </c>
      <c r="J30" s="85">
        <v>24037</v>
      </c>
      <c r="K30" s="25">
        <v>1024</v>
      </c>
      <c r="L30" s="25">
        <v>19585</v>
      </c>
      <c r="M30" s="85">
        <v>28728</v>
      </c>
      <c r="N30" s="85">
        <v>9083</v>
      </c>
      <c r="O30" s="25">
        <v>2471</v>
      </c>
      <c r="P30" s="85">
        <v>32900</v>
      </c>
      <c r="Q30" s="85">
        <v>2353</v>
      </c>
      <c r="R30" s="85">
        <v>977</v>
      </c>
    </row>
    <row r="31" spans="1:21" x14ac:dyDescent="0.25">
      <c r="A31" s="44">
        <v>44924</v>
      </c>
      <c r="B31" s="25">
        <v>25946</v>
      </c>
      <c r="C31" s="45">
        <v>40075</v>
      </c>
      <c r="D31" s="85">
        <v>300757</v>
      </c>
      <c r="E31" s="85">
        <v>285829</v>
      </c>
      <c r="F31" s="85">
        <v>67415</v>
      </c>
      <c r="G31" s="85">
        <v>124569</v>
      </c>
      <c r="H31" s="25">
        <v>488</v>
      </c>
      <c r="I31" s="105">
        <v>80185</v>
      </c>
      <c r="J31" s="85">
        <v>24044</v>
      </c>
      <c r="K31" s="25">
        <v>1024</v>
      </c>
      <c r="L31" s="25">
        <v>19589</v>
      </c>
      <c r="M31" s="85">
        <v>28735</v>
      </c>
      <c r="N31" s="85">
        <v>9084</v>
      </c>
      <c r="O31" s="25">
        <v>2474</v>
      </c>
      <c r="P31" s="85">
        <v>32921</v>
      </c>
      <c r="Q31" s="85">
        <v>2358</v>
      </c>
      <c r="R31" s="85">
        <v>982</v>
      </c>
    </row>
    <row r="32" spans="1:21" x14ac:dyDescent="0.25">
      <c r="A32" s="44">
        <v>44925</v>
      </c>
      <c r="B32" s="25">
        <v>26113</v>
      </c>
      <c r="C32" s="25">
        <v>40392</v>
      </c>
      <c r="D32" s="25">
        <v>300908</v>
      </c>
      <c r="E32" s="25">
        <v>286002</v>
      </c>
      <c r="F32" s="25">
        <v>67416</v>
      </c>
      <c r="G32" s="25">
        <v>124607</v>
      </c>
      <c r="H32" s="45">
        <v>521</v>
      </c>
      <c r="I32" s="25">
        <v>80208</v>
      </c>
      <c r="J32" s="25">
        <v>24052</v>
      </c>
      <c r="K32" s="25">
        <v>1024</v>
      </c>
      <c r="L32" s="25">
        <v>19592</v>
      </c>
      <c r="M32" s="25">
        <v>28739</v>
      </c>
      <c r="N32" s="25">
        <v>9087</v>
      </c>
      <c r="O32" s="25">
        <v>2476</v>
      </c>
      <c r="P32" s="25">
        <v>32935</v>
      </c>
      <c r="Q32" s="25">
        <v>2359</v>
      </c>
      <c r="R32" s="25">
        <v>989</v>
      </c>
    </row>
    <row r="33" spans="1:18" x14ac:dyDescent="0.25">
      <c r="A33" s="44">
        <v>44926</v>
      </c>
      <c r="B33" s="25">
        <v>26282</v>
      </c>
      <c r="C33" s="45">
        <v>40704</v>
      </c>
      <c r="D33" s="25">
        <v>301050</v>
      </c>
      <c r="E33" s="25">
        <v>286186</v>
      </c>
      <c r="F33" s="25">
        <v>67417</v>
      </c>
      <c r="G33" s="25">
        <v>124646</v>
      </c>
      <c r="H33" s="25">
        <v>571</v>
      </c>
      <c r="I33" s="25">
        <v>80211</v>
      </c>
      <c r="J33" s="25">
        <v>24060</v>
      </c>
      <c r="K33" s="25">
        <v>1024</v>
      </c>
      <c r="L33" s="25">
        <v>19594</v>
      </c>
      <c r="M33" s="25">
        <v>28744</v>
      </c>
      <c r="N33" s="25">
        <v>9089</v>
      </c>
      <c r="O33" s="25">
        <v>2477</v>
      </c>
      <c r="P33" s="25">
        <v>32935</v>
      </c>
      <c r="Q33" s="25">
        <v>2363</v>
      </c>
      <c r="R33" s="25">
        <v>997</v>
      </c>
    </row>
    <row r="34" spans="1:18" x14ac:dyDescent="0.25">
      <c r="A34" s="44">
        <v>44927</v>
      </c>
      <c r="B34" s="25">
        <v>26481</v>
      </c>
      <c r="C34" s="45">
        <v>41073</v>
      </c>
      <c r="D34" s="25">
        <v>301189</v>
      </c>
      <c r="E34" s="25">
        <v>286364</v>
      </c>
      <c r="F34" s="25">
        <v>67417</v>
      </c>
      <c r="G34" s="25">
        <v>124686</v>
      </c>
      <c r="H34" s="25">
        <v>614</v>
      </c>
      <c r="I34" s="25">
        <v>80326</v>
      </c>
      <c r="J34" s="25">
        <v>24068</v>
      </c>
      <c r="K34" s="25">
        <v>19597</v>
      </c>
      <c r="L34" s="25">
        <v>19597</v>
      </c>
      <c r="M34" s="25">
        <v>28749</v>
      </c>
      <c r="N34" s="25">
        <v>9090</v>
      </c>
      <c r="O34" s="25">
        <v>2479</v>
      </c>
      <c r="P34" s="25">
        <v>33017</v>
      </c>
      <c r="Q34" s="25">
        <v>2365</v>
      </c>
      <c r="R34" s="25">
        <v>1004</v>
      </c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7" activePane="bottomLeft" state="frozen"/>
      <selection activeCell="C25" sqref="C25"/>
      <selection pane="bottomLeft" activeCell="G35" sqref="G35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65" t="s">
        <v>30</v>
      </c>
      <c r="B2" s="166" t="s">
        <v>97</v>
      </c>
      <c r="C2" s="166" t="s">
        <v>98</v>
      </c>
      <c r="D2" s="166"/>
      <c r="E2" s="167" t="s">
        <v>86</v>
      </c>
      <c r="F2" s="164"/>
      <c r="G2" s="161" t="s">
        <v>101</v>
      </c>
      <c r="H2" s="164"/>
      <c r="I2" s="161" t="s">
        <v>99</v>
      </c>
      <c r="J2" s="164"/>
      <c r="K2" s="161" t="s">
        <v>100</v>
      </c>
      <c r="L2" s="164"/>
      <c r="M2" s="161" t="s">
        <v>96</v>
      </c>
      <c r="N2" s="164"/>
      <c r="O2" s="161" t="s">
        <v>95</v>
      </c>
      <c r="P2" s="164"/>
      <c r="Q2" s="161" t="s">
        <v>102</v>
      </c>
      <c r="R2" s="164"/>
      <c r="S2" s="161" t="s">
        <v>103</v>
      </c>
      <c r="T2" s="164"/>
      <c r="U2" s="161" t="s">
        <v>104</v>
      </c>
      <c r="V2" s="164"/>
      <c r="W2" s="161" t="s">
        <v>88</v>
      </c>
      <c r="X2" s="162"/>
      <c r="Y2" s="163" t="s">
        <v>41</v>
      </c>
      <c r="Z2" s="163"/>
    </row>
    <row r="3" spans="1:26" ht="30" x14ac:dyDescent="0.35">
      <c r="A3" s="165"/>
      <c r="B3" s="166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44896</v>
      </c>
      <c r="B4" s="52">
        <f>TOTAL!I2</f>
        <v>251</v>
      </c>
      <c r="C4" s="53">
        <f>('Water Reading'!B4-'Water Reading'!B3)+('Water Reading'!C4-'Water Reading'!C3)</f>
        <v>284</v>
      </c>
      <c r="D4" s="54">
        <f>C4/B4</f>
        <v>1.1314741035856575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108</v>
      </c>
      <c r="H4" s="69">
        <f>G4/C4</f>
        <v>0.38028169014084506</v>
      </c>
      <c r="I4" s="70">
        <f>'Water Reading'!P4-'Water Reading'!P3</f>
        <v>0</v>
      </c>
      <c r="J4" s="55">
        <f>I4/C4</f>
        <v>0</v>
      </c>
      <c r="K4" s="71">
        <f>('Water Reading'!I4-'Water Reading'!I3)-('Water Reading'!P4-'Water Reading'!P3)</f>
        <v>23</v>
      </c>
      <c r="L4" s="55">
        <f>K4/C4</f>
        <v>8.098591549295775E-2</v>
      </c>
      <c r="M4" s="70">
        <f>'Water Reading'!R4-'Water Reading'!R3</f>
        <v>4</v>
      </c>
      <c r="N4" s="72">
        <f>M4/C4</f>
        <v>1.4084507042253521E-2</v>
      </c>
      <c r="O4" s="70">
        <f>'Water Reading'!Q4-'Water Reading'!Q3</f>
        <v>0</v>
      </c>
      <c r="P4" s="77">
        <f>O4/C4</f>
        <v>0</v>
      </c>
      <c r="Q4" s="71">
        <f>'Water Reading'!F4-'Water Reading'!F3</f>
        <v>0</v>
      </c>
      <c r="R4" s="78">
        <f>Q4/C4</f>
        <v>0</v>
      </c>
      <c r="S4" s="70">
        <f>'Water Reading'!E4-'Water Reading'!E3</f>
        <v>87</v>
      </c>
      <c r="T4" s="78">
        <f>S4/C4</f>
        <v>0.30633802816901406</v>
      </c>
      <c r="U4" s="70">
        <f>'Water Reading'!G4-'Water Reading'!G3</f>
        <v>23</v>
      </c>
      <c r="V4" s="78">
        <f>U4/C4</f>
        <v>8.098591549295775E-2</v>
      </c>
      <c r="W4" s="71">
        <f>'Water Reading'!J4-'Water Reading'!J3</f>
        <v>6</v>
      </c>
      <c r="X4" s="78">
        <f>W4/C4</f>
        <v>2.1126760563380281E-2</v>
      </c>
      <c r="Y4" s="53">
        <f t="shared" ref="Y4:Y33" si="0">E4+I4+K4+M4+O4+G4+Q4+S4+U4+W4</f>
        <v>251</v>
      </c>
      <c r="Z4" s="54">
        <f t="shared" ref="Z4:Z35" si="1">Y4/B4</f>
        <v>1</v>
      </c>
    </row>
    <row r="5" spans="1:26" x14ac:dyDescent="0.25">
      <c r="A5" s="6">
        <f>'Water Reading'!A4</f>
        <v>44897</v>
      </c>
      <c r="B5" s="52">
        <f>TOTAL!I3</f>
        <v>221</v>
      </c>
      <c r="C5" s="53">
        <f>('Water Reading'!B5-'Water Reading'!B4)+('Water Reading'!C5-'Water Reading'!C4)</f>
        <v>264</v>
      </c>
      <c r="D5" s="54">
        <f t="shared" ref="D5:D33" si="2">C5/B5</f>
        <v>1.1945701357466063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102</v>
      </c>
      <c r="H5" s="69">
        <f t="shared" ref="H5:H33" si="4">G5/C5</f>
        <v>0.38636363636363635</v>
      </c>
      <c r="I5" s="70">
        <f>'Water Reading'!P5-'Water Reading'!P4</f>
        <v>4</v>
      </c>
      <c r="J5" s="55">
        <f t="shared" ref="J5:J33" si="5">I5/C5</f>
        <v>1.5151515151515152E-2</v>
      </c>
      <c r="K5" s="71">
        <f>('Water Reading'!I5-'Water Reading'!I4)-('Water Reading'!P5-'Water Reading'!P4)</f>
        <v>3</v>
      </c>
      <c r="L5" s="55">
        <f t="shared" ref="L5:L33" si="6">K5/C5</f>
        <v>1.1363636363636364E-2</v>
      </c>
      <c r="M5" s="70">
        <f>'Water Reading'!R5-'Water Reading'!R4</f>
        <v>3</v>
      </c>
      <c r="N5" s="72">
        <f t="shared" ref="N5:N33" si="7">M5/C5</f>
        <v>1.1363636363636364E-2</v>
      </c>
      <c r="O5" s="70">
        <f>'Water Reading'!Q5-'Water Reading'!Q4</f>
        <v>1</v>
      </c>
      <c r="P5" s="77">
        <f t="shared" ref="P5:P33" si="8">O5/C5</f>
        <v>3.787878787878788E-3</v>
      </c>
      <c r="Q5" s="71">
        <f>'Water Reading'!F5-'Water Reading'!F4</f>
        <v>1</v>
      </c>
      <c r="R5" s="78">
        <f t="shared" ref="R5:R33" si="9">Q5/C5</f>
        <v>3.787878787878788E-3</v>
      </c>
      <c r="S5" s="70">
        <f>'Water Reading'!E5-'Water Reading'!E4</f>
        <v>79</v>
      </c>
      <c r="T5" s="78">
        <f t="shared" ref="T5:T33" si="10">S5/C5</f>
        <v>0.29924242424242425</v>
      </c>
      <c r="U5" s="70">
        <f>'Water Reading'!G5-'Water Reading'!G4</f>
        <v>23</v>
      </c>
      <c r="V5" s="78">
        <f t="shared" ref="V5:V33" si="11">U5/C5</f>
        <v>8.7121212121212127E-2</v>
      </c>
      <c r="W5" s="71">
        <f>'Water Reading'!J5-'Water Reading'!J4</f>
        <v>5</v>
      </c>
      <c r="X5" s="78">
        <f t="shared" ref="X5:X33" si="12">W5/C5</f>
        <v>1.893939393939394E-2</v>
      </c>
      <c r="Y5" s="53">
        <f t="shared" si="0"/>
        <v>221</v>
      </c>
      <c r="Z5" s="54">
        <f t="shared" si="1"/>
        <v>1</v>
      </c>
    </row>
    <row r="6" spans="1:26" x14ac:dyDescent="0.25">
      <c r="A6" s="6">
        <f>'Water Reading'!A5</f>
        <v>44898</v>
      </c>
      <c r="B6" s="52">
        <f>TOTAL!I4</f>
        <v>281</v>
      </c>
      <c r="C6" s="53">
        <f>('Water Reading'!B6-'Water Reading'!B5)+('Water Reading'!C6-'Water Reading'!C5)</f>
        <v>322</v>
      </c>
      <c r="D6" s="54">
        <f t="shared" si="2"/>
        <v>1.1459074733096086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172</v>
      </c>
      <c r="H6" s="69">
        <f t="shared" si="4"/>
        <v>0.53416149068322982</v>
      </c>
      <c r="I6" s="70">
        <f>'Water Reading'!P6-'Water Reading'!P5</f>
        <v>10</v>
      </c>
      <c r="J6" s="55">
        <f t="shared" si="5"/>
        <v>3.1055900621118012E-2</v>
      </c>
      <c r="K6" s="71">
        <f>('Water Reading'!I6-'Water Reading'!I5)-('Water Reading'!P6-'Water Reading'!P5)</f>
        <v>-7</v>
      </c>
      <c r="L6" s="55">
        <f t="shared" si="6"/>
        <v>-2.1739130434782608E-2</v>
      </c>
      <c r="M6" s="70">
        <f>'Water Reading'!R6-'Water Reading'!R5</f>
        <v>6</v>
      </c>
      <c r="N6" s="72">
        <f t="shared" si="7"/>
        <v>1.8633540372670808E-2</v>
      </c>
      <c r="O6" s="70">
        <f>'Water Reading'!Q6-'Water Reading'!Q5</f>
        <v>5</v>
      </c>
      <c r="P6" s="77">
        <f t="shared" si="8"/>
        <v>1.5527950310559006E-2</v>
      </c>
      <c r="Q6" s="71">
        <f>'Water Reading'!F6-'Water Reading'!F5</f>
        <v>0</v>
      </c>
      <c r="R6" s="78">
        <f t="shared" si="9"/>
        <v>0</v>
      </c>
      <c r="S6" s="70">
        <f>'Water Reading'!E6-'Water Reading'!E5</f>
        <v>68</v>
      </c>
      <c r="T6" s="78">
        <f t="shared" si="10"/>
        <v>0.21118012422360249</v>
      </c>
      <c r="U6" s="70">
        <f>'Water Reading'!G6-'Water Reading'!G5</f>
        <v>21</v>
      </c>
      <c r="V6" s="78">
        <f t="shared" si="11"/>
        <v>6.5217391304347824E-2</v>
      </c>
      <c r="W6" s="71">
        <f>'Water Reading'!J6-'Water Reading'!J5</f>
        <v>6</v>
      </c>
      <c r="X6" s="78">
        <f t="shared" si="12"/>
        <v>1.8633540372670808E-2</v>
      </c>
      <c r="Y6" s="53">
        <f t="shared" si="0"/>
        <v>281</v>
      </c>
      <c r="Z6" s="54">
        <f t="shared" si="1"/>
        <v>1</v>
      </c>
    </row>
    <row r="7" spans="1:26" x14ac:dyDescent="0.25">
      <c r="A7" s="6">
        <f>'Water Reading'!A6</f>
        <v>44899</v>
      </c>
      <c r="B7" s="52">
        <f>TOTAL!I5</f>
        <v>345</v>
      </c>
      <c r="C7" s="53">
        <f>('Water Reading'!B7-'Water Reading'!B6)+('Water Reading'!C7-'Water Reading'!C6)</f>
        <v>429</v>
      </c>
      <c r="D7" s="54">
        <f t="shared" si="2"/>
        <v>1.2434782608695651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212</v>
      </c>
      <c r="H7" s="69">
        <f t="shared" si="4"/>
        <v>0.49417249417249415</v>
      </c>
      <c r="I7" s="70">
        <f>'Water Reading'!P7-'Water Reading'!P6</f>
        <v>18</v>
      </c>
      <c r="J7" s="55">
        <f t="shared" si="5"/>
        <v>4.195804195804196E-2</v>
      </c>
      <c r="K7" s="71">
        <f>('Water Reading'!I7-'Water Reading'!I6)-('Water Reading'!P7-'Water Reading'!P6)</f>
        <v>-1</v>
      </c>
      <c r="L7" s="55">
        <f t="shared" si="6"/>
        <v>-2.331002331002331E-3</v>
      </c>
      <c r="M7" s="70">
        <f>'Water Reading'!R7-'Water Reading'!R6</f>
        <v>3</v>
      </c>
      <c r="N7" s="72">
        <f t="shared" si="7"/>
        <v>6.993006993006993E-3</v>
      </c>
      <c r="O7" s="70">
        <f>'Water Reading'!Q7-'Water Reading'!Q6</f>
        <v>1</v>
      </c>
      <c r="P7" s="77">
        <f t="shared" si="8"/>
        <v>2.331002331002331E-3</v>
      </c>
      <c r="Q7" s="71">
        <f>'Water Reading'!F7-'Water Reading'!F6</f>
        <v>1</v>
      </c>
      <c r="R7" s="78">
        <f t="shared" si="9"/>
        <v>2.331002331002331E-3</v>
      </c>
      <c r="S7" s="70">
        <f>'Water Reading'!E7-'Water Reading'!E6</f>
        <v>79</v>
      </c>
      <c r="T7" s="78">
        <f t="shared" si="10"/>
        <v>0.18414918414918416</v>
      </c>
      <c r="U7" s="70">
        <f>'Water Reading'!G7-'Water Reading'!G6</f>
        <v>26</v>
      </c>
      <c r="V7" s="78">
        <f t="shared" si="11"/>
        <v>6.0606060606060608E-2</v>
      </c>
      <c r="W7" s="71">
        <f>'Water Reading'!J7-'Water Reading'!J6</f>
        <v>6</v>
      </c>
      <c r="X7" s="78">
        <f t="shared" si="12"/>
        <v>1.3986013986013986E-2</v>
      </c>
      <c r="Y7" s="53">
        <f t="shared" si="0"/>
        <v>345</v>
      </c>
      <c r="Z7" s="54">
        <f t="shared" si="1"/>
        <v>1</v>
      </c>
    </row>
    <row r="8" spans="1:26" x14ac:dyDescent="0.25">
      <c r="A8" s="6">
        <f>'Water Reading'!A7</f>
        <v>44900</v>
      </c>
      <c r="B8" s="52">
        <f>TOTAL!I6</f>
        <v>252</v>
      </c>
      <c r="C8" s="53">
        <f>('Water Reading'!B8-'Water Reading'!B7)+('Water Reading'!C8-'Water Reading'!C7)</f>
        <v>292</v>
      </c>
      <c r="D8" s="54">
        <f t="shared" si="2"/>
        <v>1.1587301587301588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143</v>
      </c>
      <c r="H8" s="69">
        <f t="shared" si="4"/>
        <v>0.48972602739726029</v>
      </c>
      <c r="I8" s="70">
        <f>'Water Reading'!P8-'Water Reading'!P7</f>
        <v>2</v>
      </c>
      <c r="J8" s="55">
        <f t="shared" si="5"/>
        <v>6.8493150684931503E-3</v>
      </c>
      <c r="K8" s="71">
        <f>('Water Reading'!I8-'Water Reading'!I7)-('Water Reading'!P8-'Water Reading'!P7)</f>
        <v>8</v>
      </c>
      <c r="L8" s="55">
        <f t="shared" si="6"/>
        <v>2.7397260273972601E-2</v>
      </c>
      <c r="M8" s="70">
        <f>'Water Reading'!R8-'Water Reading'!R7</f>
        <v>4</v>
      </c>
      <c r="N8" s="72">
        <f t="shared" si="7"/>
        <v>1.3698630136986301E-2</v>
      </c>
      <c r="O8" s="70">
        <f>'Water Reading'!Q8-'Water Reading'!Q7</f>
        <v>1</v>
      </c>
      <c r="P8" s="77">
        <f t="shared" si="8"/>
        <v>3.4246575342465752E-3</v>
      </c>
      <c r="Q8" s="71">
        <f>'Water Reading'!F8-'Water Reading'!F7</f>
        <v>1</v>
      </c>
      <c r="R8" s="78">
        <f t="shared" si="9"/>
        <v>3.4246575342465752E-3</v>
      </c>
      <c r="S8" s="70">
        <f>'Water Reading'!E8-'Water Reading'!E7</f>
        <v>69</v>
      </c>
      <c r="T8" s="78">
        <f t="shared" si="10"/>
        <v>0.2363013698630137</v>
      </c>
      <c r="U8" s="70">
        <f>'Water Reading'!G8-'Water Reading'!G7</f>
        <v>18</v>
      </c>
      <c r="V8" s="78">
        <f t="shared" si="11"/>
        <v>6.1643835616438353E-2</v>
      </c>
      <c r="W8" s="71">
        <f>'Water Reading'!J8-'Water Reading'!J7</f>
        <v>6</v>
      </c>
      <c r="X8" s="78">
        <f t="shared" si="12"/>
        <v>2.0547945205479451E-2</v>
      </c>
      <c r="Y8" s="53">
        <f t="shared" si="0"/>
        <v>252</v>
      </c>
      <c r="Z8" s="54">
        <f t="shared" si="1"/>
        <v>1</v>
      </c>
    </row>
    <row r="9" spans="1:26" x14ac:dyDescent="0.25">
      <c r="A9" s="6">
        <f>'Water Reading'!A8</f>
        <v>44901</v>
      </c>
      <c r="B9" s="52">
        <f>TOTAL!I7</f>
        <v>266</v>
      </c>
      <c r="C9" s="53">
        <f>('Water Reading'!B9-'Water Reading'!B8)+('Water Reading'!C9-'Water Reading'!C8)</f>
        <v>305</v>
      </c>
      <c r="D9" s="54">
        <f t="shared" si="2"/>
        <v>1.1466165413533835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141</v>
      </c>
      <c r="H9" s="69">
        <f t="shared" si="4"/>
        <v>0.46229508196721314</v>
      </c>
      <c r="I9" s="70">
        <f>'Water Reading'!P9-'Water Reading'!P8</f>
        <v>6</v>
      </c>
      <c r="J9" s="55">
        <f t="shared" si="5"/>
        <v>1.9672131147540985E-2</v>
      </c>
      <c r="K9" s="71">
        <f>('Water Reading'!I9-'Water Reading'!I8)-('Water Reading'!P9-'Water Reading'!P8)</f>
        <v>13</v>
      </c>
      <c r="L9" s="55">
        <f t="shared" si="6"/>
        <v>4.2622950819672129E-2</v>
      </c>
      <c r="M9" s="109">
        <f>'Water Reading'!R9-'Water Reading'!R8</f>
        <v>4</v>
      </c>
      <c r="N9" s="72">
        <f t="shared" si="7"/>
        <v>1.3114754098360656E-2</v>
      </c>
      <c r="O9" s="70">
        <f>'Water Reading'!Q9-'Water Reading'!Q8</f>
        <v>2</v>
      </c>
      <c r="P9" s="77">
        <f t="shared" si="8"/>
        <v>6.5573770491803279E-3</v>
      </c>
      <c r="Q9" s="71">
        <f>'Water Reading'!F9-'Water Reading'!F8</f>
        <v>1</v>
      </c>
      <c r="R9" s="78">
        <f t="shared" si="9"/>
        <v>3.2786885245901639E-3</v>
      </c>
      <c r="S9" s="70">
        <f>'Water Reading'!E9-'Water Reading'!E8</f>
        <v>73</v>
      </c>
      <c r="T9" s="78">
        <f t="shared" si="10"/>
        <v>0.23934426229508196</v>
      </c>
      <c r="U9" s="70">
        <f>'Water Reading'!G9-'Water Reading'!G8</f>
        <v>21</v>
      </c>
      <c r="V9" s="78">
        <f t="shared" si="11"/>
        <v>6.8852459016393447E-2</v>
      </c>
      <c r="W9" s="71">
        <f>'Water Reading'!J9-'Water Reading'!J8</f>
        <v>5</v>
      </c>
      <c r="X9" s="78">
        <f t="shared" si="12"/>
        <v>1.6393442622950821E-2</v>
      </c>
      <c r="Y9" s="53">
        <f t="shared" si="0"/>
        <v>266</v>
      </c>
      <c r="Z9" s="54">
        <f t="shared" si="1"/>
        <v>1</v>
      </c>
    </row>
    <row r="10" spans="1:26" x14ac:dyDescent="0.25">
      <c r="A10" s="6">
        <f>'Water Reading'!A9</f>
        <v>44902</v>
      </c>
      <c r="B10" s="52">
        <f>TOTAL!I8</f>
        <v>275</v>
      </c>
      <c r="C10" s="53">
        <f>('Water Reading'!B10-'Water Reading'!B9)+('Water Reading'!C10-'Water Reading'!C9)</f>
        <v>295</v>
      </c>
      <c r="D10" s="54">
        <f t="shared" ref="D10" si="13">C10/B10</f>
        <v>1.0727272727272728</v>
      </c>
      <c r="E10" s="68">
        <v>18</v>
      </c>
      <c r="F10" s="69">
        <v>6.1016949152542375E-2</v>
      </c>
      <c r="G10" s="73">
        <f>('Water Reading'!D10-'Water Reading'!D9)-('Water Reading'!R10-'Water Reading'!R9)-('Water Reading'!Q10-'Water Reading'!Q9)</f>
        <v>133</v>
      </c>
      <c r="H10" s="69">
        <f t="shared" si="4"/>
        <v>0.45084745762711864</v>
      </c>
      <c r="I10" s="70">
        <f>'Water Reading'!P10-'Water Reading'!P9</f>
        <v>21</v>
      </c>
      <c r="J10" s="55">
        <f t="shared" si="5"/>
        <v>7.1186440677966104E-2</v>
      </c>
      <c r="K10" s="102">
        <f>('Water Reading'!I10-'Water Reading'!I9)-('Water Reading'!P10-'Water Reading'!P9)</f>
        <v>-6</v>
      </c>
      <c r="L10" s="55">
        <f t="shared" si="6"/>
        <v>-2.0338983050847456E-2</v>
      </c>
      <c r="M10" s="70">
        <f>'Water Reading'!R10-'Water Reading'!R9</f>
        <v>3</v>
      </c>
      <c r="N10" s="72">
        <f t="shared" si="7"/>
        <v>1.0169491525423728E-2</v>
      </c>
      <c r="O10" s="70">
        <f>'Water Reading'!Q10-'Water Reading'!Q9</f>
        <v>4</v>
      </c>
      <c r="P10" s="77">
        <f t="shared" si="8"/>
        <v>1.3559322033898305E-2</v>
      </c>
      <c r="Q10" s="71">
        <f>'Water Reading'!F10-'Water Reading'!F9</f>
        <v>0</v>
      </c>
      <c r="R10" s="78">
        <f t="shared" si="9"/>
        <v>0</v>
      </c>
      <c r="S10" s="70">
        <f>'Water Reading'!E10-'Water Reading'!E9</f>
        <v>72</v>
      </c>
      <c r="T10" s="78">
        <f t="shared" si="10"/>
        <v>0.2440677966101695</v>
      </c>
      <c r="U10" s="70">
        <f>'Water Reading'!G10-'Water Reading'!G9</f>
        <v>24</v>
      </c>
      <c r="V10" s="78">
        <f t="shared" si="11"/>
        <v>8.1355932203389825E-2</v>
      </c>
      <c r="W10" s="71">
        <f>'Water Reading'!J10-'Water Reading'!J9</f>
        <v>6</v>
      </c>
      <c r="X10" s="78">
        <f t="shared" si="12"/>
        <v>2.0338983050847456E-2</v>
      </c>
      <c r="Y10" s="53">
        <f t="shared" si="0"/>
        <v>275</v>
      </c>
      <c r="Z10" s="54">
        <f t="shared" si="1"/>
        <v>1</v>
      </c>
    </row>
    <row r="11" spans="1:26" x14ac:dyDescent="0.25">
      <c r="A11" s="6">
        <f>'Water Reading'!A10</f>
        <v>44903</v>
      </c>
      <c r="B11" s="52">
        <f>TOTAL!I9</f>
        <v>265</v>
      </c>
      <c r="C11" s="53">
        <f>('Water Reading'!B11-'Water Reading'!B10)+('Water Reading'!C11-'Water Reading'!C10)</f>
        <v>289</v>
      </c>
      <c r="D11" s="54">
        <f t="shared" si="2"/>
        <v>1.090566037735849</v>
      </c>
      <c r="E11" s="68">
        <f>'Water Reading'!H11-'Water Reading'!H10</f>
        <v>13</v>
      </c>
      <c r="F11" s="69">
        <f t="shared" si="3"/>
        <v>4.4982698961937718E-2</v>
      </c>
      <c r="G11" s="73">
        <f>('Water Reading'!D11-'Water Reading'!D10)-('Water Reading'!R11-'Water Reading'!R10)-('Water Reading'!Q11-'Water Reading'!Q10)</f>
        <v>125</v>
      </c>
      <c r="H11" s="69">
        <f t="shared" si="4"/>
        <v>0.43252595155709345</v>
      </c>
      <c r="I11" s="70">
        <f>'Water Reading'!P11-'Water Reading'!P10</f>
        <v>14</v>
      </c>
      <c r="J11" s="55">
        <f t="shared" si="5"/>
        <v>4.8442906574394463E-2</v>
      </c>
      <c r="K11" s="71">
        <f>('Water Reading'!I11-'Water Reading'!I10)-('Water Reading'!P11-'Water Reading'!P10)</f>
        <v>7</v>
      </c>
      <c r="L11" s="55">
        <f t="shared" si="6"/>
        <v>2.4221453287197232E-2</v>
      </c>
      <c r="M11" s="70">
        <f>'Water Reading'!R11-'Water Reading'!R10</f>
        <v>3</v>
      </c>
      <c r="N11" s="72">
        <f t="shared" si="7"/>
        <v>1.0380622837370242E-2</v>
      </c>
      <c r="O11" s="70">
        <f>'Water Reading'!Q11-'Water Reading'!Q10</f>
        <v>0</v>
      </c>
      <c r="P11" s="77">
        <f t="shared" si="8"/>
        <v>0</v>
      </c>
      <c r="Q11" s="71">
        <f>'Water Reading'!F11-'Water Reading'!F10</f>
        <v>1</v>
      </c>
      <c r="R11" s="78">
        <f t="shared" si="9"/>
        <v>3.4602076124567475E-3</v>
      </c>
      <c r="S11" s="70">
        <f>'Water Reading'!E11-'Water Reading'!E10</f>
        <v>75</v>
      </c>
      <c r="T11" s="78">
        <f t="shared" si="10"/>
        <v>0.25951557093425603</v>
      </c>
      <c r="U11" s="70">
        <f>'Water Reading'!G11-'Water Reading'!G10</f>
        <v>22</v>
      </c>
      <c r="V11" s="78">
        <f t="shared" si="11"/>
        <v>7.6124567474048443E-2</v>
      </c>
      <c r="W11" s="71">
        <f>'Water Reading'!J11-'Water Reading'!J10</f>
        <v>5</v>
      </c>
      <c r="X11" s="78">
        <f t="shared" si="12"/>
        <v>1.7301038062283738E-2</v>
      </c>
      <c r="Y11" s="53">
        <f t="shared" si="0"/>
        <v>265</v>
      </c>
      <c r="Z11" s="54">
        <f t="shared" si="1"/>
        <v>1</v>
      </c>
    </row>
    <row r="12" spans="1:26" x14ac:dyDescent="0.25">
      <c r="A12" s="6">
        <f>'Water Reading'!A11</f>
        <v>44904</v>
      </c>
      <c r="B12" s="52">
        <f>TOTAL!I10</f>
        <v>289</v>
      </c>
      <c r="C12" s="53">
        <f>('Water Reading'!B12-'Water Reading'!B11)+('Water Reading'!C12-'Water Reading'!C11)</f>
        <v>313</v>
      </c>
      <c r="D12" s="54">
        <f t="shared" si="2"/>
        <v>1.0830449826989619</v>
      </c>
      <c r="E12" s="68">
        <f>'Water Reading'!H12-'Water Reading'!H11</f>
        <v>15</v>
      </c>
      <c r="F12" s="69">
        <f t="shared" si="3"/>
        <v>4.7923322683706068E-2</v>
      </c>
      <c r="G12" s="73">
        <f>('Water Reading'!D12-'Water Reading'!D11)-('Water Reading'!R12-'Water Reading'!R11)-('Water Reading'!Q12-'Water Reading'!Q11)</f>
        <v>135</v>
      </c>
      <c r="H12" s="69">
        <f t="shared" si="4"/>
        <v>0.43130990415335463</v>
      </c>
      <c r="I12" s="70">
        <f>'Water Reading'!P12-'Water Reading'!P11</f>
        <v>5</v>
      </c>
      <c r="J12" s="55">
        <f t="shared" si="5"/>
        <v>1.5974440894568689E-2</v>
      </c>
      <c r="K12" s="71">
        <f>('Water Reading'!I12-'Water Reading'!I11)-('Water Reading'!P12-'Water Reading'!P11)</f>
        <v>5</v>
      </c>
      <c r="L12" s="55">
        <f t="shared" si="6"/>
        <v>1.5974440894568689E-2</v>
      </c>
      <c r="M12" s="70">
        <f>'Water Reading'!R12-'Water Reading'!R11</f>
        <v>4</v>
      </c>
      <c r="N12" s="72">
        <f t="shared" si="7"/>
        <v>1.2779552715654952E-2</v>
      </c>
      <c r="O12" s="70">
        <f>'Water Reading'!Q12-'Water Reading'!Q11</f>
        <v>4</v>
      </c>
      <c r="P12" s="77">
        <f t="shared" si="8"/>
        <v>1.2779552715654952E-2</v>
      </c>
      <c r="Q12" s="71">
        <f>'Water Reading'!F12-'Water Reading'!F11</f>
        <v>1</v>
      </c>
      <c r="R12" s="78">
        <f t="shared" si="9"/>
        <v>3.1948881789137379E-3</v>
      </c>
      <c r="S12" s="70">
        <f>'Water Reading'!E12-'Water Reading'!E11</f>
        <v>81</v>
      </c>
      <c r="T12" s="78">
        <f t="shared" si="10"/>
        <v>0.25878594249201275</v>
      </c>
      <c r="U12" s="70">
        <f>'Water Reading'!G12-'Water Reading'!G11</f>
        <v>33</v>
      </c>
      <c r="V12" s="78">
        <f t="shared" si="11"/>
        <v>0.10543130990415335</v>
      </c>
      <c r="W12" s="71">
        <f>'Water Reading'!J12-'Water Reading'!J11</f>
        <v>6</v>
      </c>
      <c r="X12" s="78">
        <f t="shared" si="12"/>
        <v>1.9169329073482427E-2</v>
      </c>
      <c r="Y12" s="53">
        <f t="shared" si="0"/>
        <v>289</v>
      </c>
      <c r="Z12" s="54">
        <f t="shared" si="1"/>
        <v>1</v>
      </c>
    </row>
    <row r="13" spans="1:26" x14ac:dyDescent="0.25">
      <c r="A13" s="6">
        <f>'Water Reading'!A12</f>
        <v>44905</v>
      </c>
      <c r="B13" s="52">
        <f>TOTAL!I11</f>
        <v>247</v>
      </c>
      <c r="C13" s="53">
        <f>('Water Reading'!B13-'Water Reading'!B12)+('Water Reading'!C13-'Water Reading'!C12)</f>
        <v>273</v>
      </c>
      <c r="D13" s="54">
        <f t="shared" si="2"/>
        <v>1.1052631578947369</v>
      </c>
      <c r="E13" s="68">
        <f>'Water Reading'!H13-'Water Reading'!H12</f>
        <v>18</v>
      </c>
      <c r="F13" s="69">
        <f t="shared" si="3"/>
        <v>6.5934065934065936E-2</v>
      </c>
      <c r="G13" s="73">
        <f>('Water Reading'!D13-'Water Reading'!D12)-('Water Reading'!R13-'Water Reading'!R12)-('Water Reading'!Q13-'Water Reading'!Q12)</f>
        <v>112</v>
      </c>
      <c r="H13" s="69">
        <f t="shared" si="4"/>
        <v>0.41025641025641024</v>
      </c>
      <c r="I13" s="70">
        <f>'Water Reading'!P13-'Water Reading'!P12</f>
        <v>0</v>
      </c>
      <c r="J13" s="55">
        <f t="shared" si="5"/>
        <v>0</v>
      </c>
      <c r="K13" s="71">
        <f>('Water Reading'!I13-'Water Reading'!I12)-('Water Reading'!P13-'Water Reading'!P12)</f>
        <v>4</v>
      </c>
      <c r="L13" s="55">
        <f t="shared" si="6"/>
        <v>1.4652014652014652E-2</v>
      </c>
      <c r="M13" s="70">
        <f>'Water Reading'!R13-'Water Reading'!R12</f>
        <v>5</v>
      </c>
      <c r="N13" s="72">
        <f t="shared" si="7"/>
        <v>1.8315018315018316E-2</v>
      </c>
      <c r="O13" s="70">
        <f>'Water Reading'!Q13-'Water Reading'!Q12</f>
        <v>1</v>
      </c>
      <c r="P13" s="77">
        <f t="shared" si="8"/>
        <v>3.663003663003663E-3</v>
      </c>
      <c r="Q13" s="71">
        <f>'Water Reading'!F13-'Water Reading'!F12</f>
        <v>1</v>
      </c>
      <c r="R13" s="78">
        <f t="shared" si="9"/>
        <v>3.663003663003663E-3</v>
      </c>
      <c r="S13" s="70">
        <f>'Water Reading'!E13-'Water Reading'!E12</f>
        <v>82</v>
      </c>
      <c r="T13" s="78">
        <f t="shared" si="10"/>
        <v>0.30036630036630035</v>
      </c>
      <c r="U13" s="70">
        <f>'Water Reading'!G13-'Water Reading'!G12</f>
        <v>19</v>
      </c>
      <c r="V13" s="78">
        <f t="shared" si="11"/>
        <v>6.95970695970696E-2</v>
      </c>
      <c r="W13" s="71">
        <f>'Water Reading'!J13-'Water Reading'!J12</f>
        <v>5</v>
      </c>
      <c r="X13" s="78">
        <f t="shared" si="12"/>
        <v>1.8315018315018316E-2</v>
      </c>
      <c r="Y13" s="53">
        <f t="shared" si="0"/>
        <v>247</v>
      </c>
      <c r="Z13" s="54">
        <f t="shared" si="1"/>
        <v>1</v>
      </c>
    </row>
    <row r="14" spans="1:26" x14ac:dyDescent="0.25">
      <c r="A14" s="6">
        <f>'Water Reading'!A13</f>
        <v>44906</v>
      </c>
      <c r="B14" s="52">
        <f>TOTAL!I12</f>
        <v>286</v>
      </c>
      <c r="C14" s="53">
        <f>('Water Reading'!B14-'Water Reading'!B13)+('Water Reading'!C14-'Water Reading'!C13)</f>
        <v>328</v>
      </c>
      <c r="D14" s="54">
        <f t="shared" si="2"/>
        <v>1.1468531468531469</v>
      </c>
      <c r="E14" s="68">
        <f>'Water Reading'!H14-'Water Reading'!H13</f>
        <v>19</v>
      </c>
      <c r="F14" s="69">
        <f t="shared" si="3"/>
        <v>5.7926829268292686E-2</v>
      </c>
      <c r="G14" s="73">
        <f>('Water Reading'!D14-'Water Reading'!D13)-('Water Reading'!R14-'Water Reading'!R13)-('Water Reading'!Q14-'Water Reading'!Q13)</f>
        <v>121</v>
      </c>
      <c r="H14" s="69">
        <f t="shared" si="4"/>
        <v>0.36890243902439024</v>
      </c>
      <c r="I14" s="70">
        <f>'Water Reading'!P14-'Water Reading'!P13</f>
        <v>14</v>
      </c>
      <c r="J14" s="55">
        <f t="shared" si="5"/>
        <v>4.2682926829268296E-2</v>
      </c>
      <c r="K14" s="71">
        <f>('Water Reading'!I14-'Water Reading'!I13)-('Water Reading'!P14-'Water Reading'!P13)</f>
        <v>6</v>
      </c>
      <c r="L14" s="55">
        <f t="shared" si="6"/>
        <v>1.8292682926829267E-2</v>
      </c>
      <c r="M14" s="70">
        <f>'Water Reading'!R14-'Water Reading'!R13</f>
        <v>4</v>
      </c>
      <c r="N14" s="72">
        <f t="shared" si="7"/>
        <v>1.2195121951219513E-2</v>
      </c>
      <c r="O14" s="70">
        <f>'Water Reading'!Q14-'Water Reading'!Q13</f>
        <v>6</v>
      </c>
      <c r="P14" s="77">
        <f t="shared" si="8"/>
        <v>1.8292682926829267E-2</v>
      </c>
      <c r="Q14" s="71">
        <f>'Water Reading'!F14-'Water Reading'!F13</f>
        <v>0</v>
      </c>
      <c r="R14" s="78">
        <f t="shared" si="9"/>
        <v>0</v>
      </c>
      <c r="S14" s="70">
        <f>'Water Reading'!E14-'Water Reading'!E13</f>
        <v>88</v>
      </c>
      <c r="T14" s="78">
        <f t="shared" si="10"/>
        <v>0.26829268292682928</v>
      </c>
      <c r="U14" s="70">
        <f>'Water Reading'!G14-'Water Reading'!G13</f>
        <v>22</v>
      </c>
      <c r="V14" s="78">
        <f t="shared" si="11"/>
        <v>6.7073170731707321E-2</v>
      </c>
      <c r="W14" s="71">
        <f>'Water Reading'!J14-'Water Reading'!J13</f>
        <v>6</v>
      </c>
      <c r="X14" s="78">
        <f t="shared" si="12"/>
        <v>1.8292682926829267E-2</v>
      </c>
      <c r="Y14" s="53">
        <f t="shared" si="0"/>
        <v>286</v>
      </c>
      <c r="Z14" s="54">
        <f t="shared" si="1"/>
        <v>1</v>
      </c>
    </row>
    <row r="15" spans="1:26" s="104" customFormat="1" x14ac:dyDescent="0.25">
      <c r="A15" s="111">
        <f>'Water Reading'!A14</f>
        <v>44907</v>
      </c>
      <c r="B15" s="112">
        <f>TOTAL!I13</f>
        <v>280</v>
      </c>
      <c r="C15" s="113">
        <f>('Water Reading'!B15-'Water Reading'!B14)+('Water Reading'!C15-'Water Reading'!C14)</f>
        <v>297</v>
      </c>
      <c r="D15" s="114">
        <f t="shared" si="2"/>
        <v>1.0607142857142857</v>
      </c>
      <c r="E15" s="68">
        <f>'Water Reading'!H15-'Water Reading'!H14</f>
        <v>19</v>
      </c>
      <c r="F15" s="115">
        <f t="shared" si="3"/>
        <v>6.3973063973063973E-2</v>
      </c>
      <c r="G15" s="73">
        <f>('Water Reading'!D15-'Water Reading'!D14)-('Water Reading'!R15-'Water Reading'!R14)-('Water Reading'!Q15-'Water Reading'!Q14)</f>
        <v>133</v>
      </c>
      <c r="H15" s="115">
        <f t="shared" si="4"/>
        <v>0.44781144781144783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1.3468013468013467E-2</v>
      </c>
      <c r="M15" s="109">
        <f>'Water Reading'!R15-'Water Reading'!R14</f>
        <v>4</v>
      </c>
      <c r="N15" s="116">
        <f t="shared" si="7"/>
        <v>1.3468013468013467E-2</v>
      </c>
      <c r="O15" s="109">
        <f>'Water Reading'!Q15-'Water Reading'!Q14</f>
        <v>1</v>
      </c>
      <c r="P15" s="117">
        <f t="shared" si="8"/>
        <v>3.3670033670033669E-3</v>
      </c>
      <c r="Q15" s="102">
        <f>'Water Reading'!F15-'Water Reading'!F14</f>
        <v>1</v>
      </c>
      <c r="R15" s="118">
        <f t="shared" si="9"/>
        <v>3.3670033670033669E-3</v>
      </c>
      <c r="S15" s="109">
        <f>'Water Reading'!E15-'Water Reading'!E14</f>
        <v>87</v>
      </c>
      <c r="T15" s="118">
        <f t="shared" si="10"/>
        <v>0.29292929292929293</v>
      </c>
      <c r="U15" s="109">
        <f>'Water Reading'!G15-'Water Reading'!G14</f>
        <v>25</v>
      </c>
      <c r="V15" s="118">
        <f t="shared" si="11"/>
        <v>8.4175084175084181E-2</v>
      </c>
      <c r="W15" s="102">
        <f>'Water Reading'!J15-'Water Reading'!J14</f>
        <v>6</v>
      </c>
      <c r="X15" s="118">
        <f t="shared" si="12"/>
        <v>2.0202020202020204E-2</v>
      </c>
      <c r="Y15" s="113">
        <f t="shared" si="0"/>
        <v>280</v>
      </c>
      <c r="Z15" s="114">
        <f t="shared" si="1"/>
        <v>1</v>
      </c>
    </row>
    <row r="16" spans="1:26" x14ac:dyDescent="0.25">
      <c r="A16" s="6">
        <f>'Water Reading'!A15</f>
        <v>44908</v>
      </c>
      <c r="B16" s="52">
        <f>TOTAL!I14</f>
        <v>284</v>
      </c>
      <c r="C16" s="53">
        <f>('Water Reading'!B16-'Water Reading'!B15)+('Water Reading'!C16-'Water Reading'!C15)</f>
        <v>313</v>
      </c>
      <c r="D16" s="54">
        <f t="shared" si="2"/>
        <v>1.102112676056338</v>
      </c>
      <c r="E16" s="68">
        <f>'Water Reading'!H16-'Water Reading'!H15</f>
        <v>21</v>
      </c>
      <c r="F16" s="69">
        <f t="shared" si="3"/>
        <v>6.7092651757188496E-2</v>
      </c>
      <c r="G16" s="73">
        <f>('Water Reading'!D16-'Water Reading'!D15)-('Water Reading'!R16-'Water Reading'!R15)-('Water Reading'!Q16-'Water Reading'!Q15)</f>
        <v>111</v>
      </c>
      <c r="H16" s="69">
        <f t="shared" si="4"/>
        <v>0.35463258785942492</v>
      </c>
      <c r="I16" s="70">
        <f>'Water Reading'!P16-'Water Reading'!P15</f>
        <v>14</v>
      </c>
      <c r="J16" s="55">
        <f t="shared" si="5"/>
        <v>4.472843450479233E-2</v>
      </c>
      <c r="K16" s="71">
        <f>('Water Reading'!I16-'Water Reading'!I15)-('Water Reading'!P16-'Water Reading'!P15)</f>
        <v>6</v>
      </c>
      <c r="L16" s="55">
        <f t="shared" si="6"/>
        <v>1.9169329073482427E-2</v>
      </c>
      <c r="M16" s="70">
        <f>'Water Reading'!R16-'Water Reading'!R15</f>
        <v>3</v>
      </c>
      <c r="N16" s="72">
        <f t="shared" si="7"/>
        <v>9.5846645367412137E-3</v>
      </c>
      <c r="O16" s="70">
        <f>'Water Reading'!Q16-'Water Reading'!Q15</f>
        <v>8</v>
      </c>
      <c r="P16" s="77">
        <f t="shared" si="8"/>
        <v>2.5559105431309903E-2</v>
      </c>
      <c r="Q16" s="71">
        <f>'Water Reading'!F16-'Water Reading'!F15</f>
        <v>1</v>
      </c>
      <c r="R16" s="78">
        <f t="shared" si="9"/>
        <v>3.1948881789137379E-3</v>
      </c>
      <c r="S16" s="70">
        <f>'Water Reading'!E16-'Water Reading'!E15</f>
        <v>88</v>
      </c>
      <c r="T16" s="78">
        <f t="shared" si="10"/>
        <v>0.28115015974440893</v>
      </c>
      <c r="U16" s="70">
        <f>'Water Reading'!G16-'Water Reading'!G15</f>
        <v>26</v>
      </c>
      <c r="V16" s="78">
        <f t="shared" si="11"/>
        <v>8.3067092651757185E-2</v>
      </c>
      <c r="W16" s="71">
        <f>'Water Reading'!J16-'Water Reading'!J15</f>
        <v>6</v>
      </c>
      <c r="X16" s="78">
        <f t="shared" si="12"/>
        <v>1.9169329073482427E-2</v>
      </c>
      <c r="Y16" s="53">
        <f t="shared" si="0"/>
        <v>284</v>
      </c>
      <c r="Z16" s="54">
        <f t="shared" si="1"/>
        <v>1</v>
      </c>
    </row>
    <row r="17" spans="1:26" x14ac:dyDescent="0.25">
      <c r="A17" s="6">
        <f>'Water Reading'!A16</f>
        <v>44909</v>
      </c>
      <c r="B17" s="52">
        <f>TOTAL!I15</f>
        <v>255</v>
      </c>
      <c r="C17" s="53">
        <f>('Water Reading'!B17-'Water Reading'!B16)+('Water Reading'!C17-'Water Reading'!C16)</f>
        <v>422</v>
      </c>
      <c r="D17" s="54">
        <f t="shared" si="2"/>
        <v>1.6549019607843136</v>
      </c>
      <c r="E17" s="68">
        <f>'Water Reading'!H17-'Water Reading'!H16</f>
        <v>18</v>
      </c>
      <c r="F17" s="69">
        <f t="shared" si="3"/>
        <v>4.2654028436018961E-2</v>
      </c>
      <c r="G17" s="73">
        <f>('Water Reading'!D17-'Water Reading'!D16)-('Water Reading'!R17-'Water Reading'!R16)-('Water Reading'!Q17-'Water Reading'!Q16)</f>
        <v>198</v>
      </c>
      <c r="H17" s="69">
        <f t="shared" si="4"/>
        <v>0.46919431279620855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7.1090047393364926E-3</v>
      </c>
      <c r="M17" s="70">
        <f>'Water Reading'!R17-'Water Reading'!R16</f>
        <v>3</v>
      </c>
      <c r="N17" s="72">
        <f t="shared" si="7"/>
        <v>7.1090047393364926E-3</v>
      </c>
      <c r="O17" s="70">
        <f>'Water Reading'!Q17-'Water Reading'!Q16</f>
        <v>60</v>
      </c>
      <c r="P17" s="77">
        <f t="shared" si="8"/>
        <v>0.14218009478672985</v>
      </c>
      <c r="Q17" s="71">
        <f>'Water Reading'!F17-'Water Reading'!F16</f>
        <v>2</v>
      </c>
      <c r="R17" s="78">
        <f t="shared" si="9"/>
        <v>4.7393364928909956E-3</v>
      </c>
      <c r="S17" s="70">
        <f>'Water Reading'!E17-'Water Reading'!E16</f>
        <v>83</v>
      </c>
      <c r="T17" s="78">
        <f t="shared" si="10"/>
        <v>0.19668246445497631</v>
      </c>
      <c r="U17" s="70">
        <f>'Water Reading'!G17-'Water Reading'!G16</f>
        <v>22</v>
      </c>
      <c r="V17" s="78">
        <f t="shared" si="11"/>
        <v>5.2132701421800945E-2</v>
      </c>
      <c r="W17" s="71">
        <f>'Water Reading'!J17-'Water Reading'!J16</f>
        <v>7</v>
      </c>
      <c r="X17" s="78">
        <f t="shared" si="12"/>
        <v>1.6587677725118485E-2</v>
      </c>
      <c r="Y17" s="53">
        <f t="shared" si="0"/>
        <v>396</v>
      </c>
      <c r="Z17" s="54">
        <f t="shared" si="1"/>
        <v>1.5529411764705883</v>
      </c>
    </row>
    <row r="18" spans="1:26" x14ac:dyDescent="0.25">
      <c r="A18" s="6">
        <f>'Water Reading'!A17</f>
        <v>44910</v>
      </c>
      <c r="B18" s="52">
        <f>TOTAL!I16</f>
        <v>272</v>
      </c>
      <c r="C18" s="53">
        <f>('Water Reading'!B18-'Water Reading'!B17)+('Water Reading'!C18-'Water Reading'!C17)</f>
        <v>295</v>
      </c>
      <c r="D18" s="54">
        <f t="shared" si="2"/>
        <v>1.0845588235294117</v>
      </c>
      <c r="E18" s="68">
        <f>'Water Reading'!H18-'Water Reading'!H17</f>
        <v>15</v>
      </c>
      <c r="F18" s="69">
        <f t="shared" si="3"/>
        <v>5.0847457627118647E-2</v>
      </c>
      <c r="G18" s="73">
        <f>('Water Reading'!D18-'Water Reading'!D17)-('Water Reading'!R18-'Water Reading'!R17)-('Water Reading'!Q18-'Water Reading'!Q17)</f>
        <v>121</v>
      </c>
      <c r="H18" s="69">
        <f t="shared" si="4"/>
        <v>0.4101694915254237</v>
      </c>
      <c r="I18" s="70">
        <f>'Water Reading'!P18-'Water Reading'!P17</f>
        <v>2</v>
      </c>
      <c r="J18" s="55">
        <f t="shared" si="5"/>
        <v>6.7796610169491523E-3</v>
      </c>
      <c r="K18" s="71">
        <f>('Water Reading'!I18-'Water Reading'!I17)-('Water Reading'!P18-'Water Reading'!P17)</f>
        <v>18</v>
      </c>
      <c r="L18" s="55">
        <f t="shared" si="6"/>
        <v>6.1016949152542375E-2</v>
      </c>
      <c r="M18" s="70">
        <f>'Water Reading'!R18-'Water Reading'!R17</f>
        <v>5</v>
      </c>
      <c r="N18" s="72">
        <f t="shared" si="7"/>
        <v>1.6949152542372881E-2</v>
      </c>
      <c r="O18" s="70">
        <f>'Water Reading'!Q18-'Water Reading'!Q17</f>
        <v>2</v>
      </c>
      <c r="P18" s="77">
        <f t="shared" si="8"/>
        <v>6.7796610169491523E-3</v>
      </c>
      <c r="Q18" s="71">
        <f>'Water Reading'!F18-'Water Reading'!F17</f>
        <v>0</v>
      </c>
      <c r="R18" s="78">
        <f t="shared" si="9"/>
        <v>0</v>
      </c>
      <c r="S18" s="70">
        <f>'Water Reading'!E18-'Water Reading'!E17</f>
        <v>81</v>
      </c>
      <c r="T18" s="78">
        <f t="shared" si="10"/>
        <v>0.27457627118644068</v>
      </c>
      <c r="U18" s="70">
        <f>'Water Reading'!G18-'Water Reading'!G17</f>
        <v>22</v>
      </c>
      <c r="V18" s="78">
        <f t="shared" si="11"/>
        <v>7.4576271186440682E-2</v>
      </c>
      <c r="W18" s="71">
        <f>'Water Reading'!J18-'Water Reading'!J17</f>
        <v>6</v>
      </c>
      <c r="X18" s="78">
        <f t="shared" si="12"/>
        <v>2.0338983050847456E-2</v>
      </c>
      <c r="Y18" s="53">
        <f t="shared" si="0"/>
        <v>272</v>
      </c>
      <c r="Z18" s="54">
        <f t="shared" si="1"/>
        <v>1</v>
      </c>
    </row>
    <row r="19" spans="1:26" x14ac:dyDescent="0.25">
      <c r="A19" s="6">
        <f>'Water Reading'!A18</f>
        <v>44911</v>
      </c>
      <c r="B19" s="52">
        <f>TOTAL!I17</f>
        <v>306</v>
      </c>
      <c r="C19" s="53">
        <f>('Water Reading'!B19-'Water Reading'!B18)+('Water Reading'!C19-'Water Reading'!C18)</f>
        <v>323</v>
      </c>
      <c r="D19" s="54">
        <f t="shared" si="2"/>
        <v>1.0555555555555556</v>
      </c>
      <c r="E19" s="68">
        <f>'Water Reading'!H19-'Water Reading'!H18</f>
        <v>18</v>
      </c>
      <c r="F19" s="69">
        <f t="shared" si="3"/>
        <v>5.5727554179566562E-2</v>
      </c>
      <c r="G19" s="73">
        <f>('Water Reading'!D19-'Water Reading'!D18)-('Water Reading'!R19-'Water Reading'!R18)-('Water Reading'!Q19-'Water Reading'!Q18)</f>
        <v>157</v>
      </c>
      <c r="H19" s="69">
        <f t="shared" si="4"/>
        <v>0.48606811145510836</v>
      </c>
      <c r="I19" s="70">
        <f>'Water Reading'!P19-'Water Reading'!P18</f>
        <v>25</v>
      </c>
      <c r="J19" s="55">
        <f t="shared" si="5"/>
        <v>7.7399380804953566E-2</v>
      </c>
      <c r="K19" s="71">
        <f>('Water Reading'!I19-'Water Reading'!I18)-('Water Reading'!P19-'Water Reading'!P18)</f>
        <v>-8</v>
      </c>
      <c r="L19" s="55">
        <f t="shared" si="6"/>
        <v>-2.4767801857585141E-2</v>
      </c>
      <c r="M19" s="70">
        <f>'Water Reading'!R19-'Water Reading'!R18</f>
        <v>4</v>
      </c>
      <c r="N19" s="72">
        <f t="shared" si="7"/>
        <v>1.238390092879257E-2</v>
      </c>
      <c r="O19" s="70">
        <f>'Water Reading'!Q19-'Water Reading'!Q18</f>
        <v>7</v>
      </c>
      <c r="P19" s="77">
        <f t="shared" si="8"/>
        <v>2.1671826625386997E-2</v>
      </c>
      <c r="Q19" s="71">
        <f>'Water Reading'!F19-'Water Reading'!F18</f>
        <v>1</v>
      </c>
      <c r="R19" s="78">
        <f t="shared" si="9"/>
        <v>3.0959752321981426E-3</v>
      </c>
      <c r="S19" s="70">
        <f>'Water Reading'!E19-'Water Reading'!E18</f>
        <v>72</v>
      </c>
      <c r="T19" s="78">
        <f t="shared" si="10"/>
        <v>0.22291021671826625</v>
      </c>
      <c r="U19" s="70">
        <f>'Water Reading'!G19-'Water Reading'!G18</f>
        <v>24</v>
      </c>
      <c r="V19" s="78">
        <f t="shared" si="11"/>
        <v>7.4303405572755415E-2</v>
      </c>
      <c r="W19" s="71">
        <f>'Water Reading'!J19-'Water Reading'!J18</f>
        <v>6</v>
      </c>
      <c r="X19" s="78">
        <f t="shared" si="12"/>
        <v>1.8575851393188854E-2</v>
      </c>
      <c r="Y19" s="53">
        <f t="shared" si="0"/>
        <v>306</v>
      </c>
      <c r="Z19" s="54">
        <f t="shared" si="1"/>
        <v>1</v>
      </c>
    </row>
    <row r="20" spans="1:26" x14ac:dyDescent="0.25">
      <c r="A20" s="6">
        <f>'Water Reading'!A19</f>
        <v>44912</v>
      </c>
      <c r="B20" s="52">
        <f>TOTAL!I18</f>
        <v>336</v>
      </c>
      <c r="C20" s="53">
        <f>('Water Reading'!B20-'Water Reading'!B19)+('Water Reading'!C20-'Water Reading'!C19)</f>
        <v>363</v>
      </c>
      <c r="D20" s="54">
        <f t="shared" si="2"/>
        <v>1.0803571428571428</v>
      </c>
      <c r="E20" s="68">
        <f>'Water Reading'!H20-'Water Reading'!H19</f>
        <v>22</v>
      </c>
      <c r="F20" s="69">
        <f t="shared" si="3"/>
        <v>6.0606060606060608E-2</v>
      </c>
      <c r="G20" s="73">
        <f>('Water Reading'!D20-'Water Reading'!D19)-('Water Reading'!R20-'Water Reading'!R19)-('Water Reading'!Q20-'Water Reading'!Q19)</f>
        <v>182</v>
      </c>
      <c r="H20" s="69">
        <f t="shared" si="4"/>
        <v>0.50137741046831952</v>
      </c>
      <c r="I20" s="70">
        <f>'Water Reading'!P20-'Water Reading'!P19</f>
        <v>12</v>
      </c>
      <c r="J20" s="55">
        <f t="shared" si="5"/>
        <v>3.3057851239669422E-2</v>
      </c>
      <c r="K20" s="71">
        <f>('Water Reading'!I20-'Water Reading'!I19)-('Water Reading'!P20-'Water Reading'!P19)</f>
        <v>8</v>
      </c>
      <c r="L20" s="55">
        <f t="shared" si="6"/>
        <v>2.2038567493112948E-2</v>
      </c>
      <c r="M20" s="70">
        <f>'Water Reading'!R20-'Water Reading'!R19</f>
        <v>2</v>
      </c>
      <c r="N20" s="72">
        <f t="shared" si="7"/>
        <v>5.5096418732782371E-3</v>
      </c>
      <c r="O20" s="70">
        <f>'Water Reading'!Q20-'Water Reading'!Q19</f>
        <v>1</v>
      </c>
      <c r="P20" s="77">
        <f t="shared" si="8"/>
        <v>2.7548209366391185E-3</v>
      </c>
      <c r="Q20" s="71">
        <f>'Water Reading'!F20-'Water Reading'!F19</f>
        <v>1</v>
      </c>
      <c r="R20" s="78">
        <f t="shared" si="9"/>
        <v>2.7548209366391185E-3</v>
      </c>
      <c r="S20" s="70">
        <f>'Water Reading'!E20-'Water Reading'!E19</f>
        <v>80</v>
      </c>
      <c r="T20" s="78">
        <f t="shared" si="10"/>
        <v>0.22038567493112948</v>
      </c>
      <c r="U20" s="70">
        <f>'Water Reading'!G20-'Water Reading'!G19</f>
        <v>22</v>
      </c>
      <c r="V20" s="78">
        <f t="shared" si="11"/>
        <v>6.0606060606060608E-2</v>
      </c>
      <c r="W20" s="102">
        <f>'Water Reading'!J20-'Water Reading'!J19</f>
        <v>6</v>
      </c>
      <c r="X20" s="78">
        <f t="shared" si="12"/>
        <v>1.6528925619834711E-2</v>
      </c>
      <c r="Y20" s="53">
        <f t="shared" si="0"/>
        <v>336</v>
      </c>
      <c r="Z20" s="54">
        <f t="shared" si="1"/>
        <v>1</v>
      </c>
    </row>
    <row r="21" spans="1:26" x14ac:dyDescent="0.25">
      <c r="A21" s="6">
        <f>'Water Reading'!A20</f>
        <v>44913</v>
      </c>
      <c r="B21" s="52">
        <f>TOTAL!I19</f>
        <v>307</v>
      </c>
      <c r="C21" s="53">
        <f>('Water Reading'!B21-'Water Reading'!B20)+('Water Reading'!C21-'Water Reading'!C20)</f>
        <v>340</v>
      </c>
      <c r="D21" s="54">
        <f t="shared" si="2"/>
        <v>1.1074918566775245</v>
      </c>
      <c r="E21" s="68">
        <f>'Water Reading'!H21-'Water Reading'!H20</f>
        <v>22</v>
      </c>
      <c r="F21" s="69">
        <f t="shared" si="3"/>
        <v>6.4705882352941183E-2</v>
      </c>
      <c r="G21" s="73">
        <f>('Water Reading'!D21-'Water Reading'!D20)-('Water Reading'!R21-'Water Reading'!R20)-('Water Reading'!Q21-'Water Reading'!Q20)</f>
        <v>159</v>
      </c>
      <c r="H21" s="69">
        <f t="shared" si="4"/>
        <v>0.46764705882352942</v>
      </c>
      <c r="I21" s="70">
        <f>'Water Reading'!P21-'Water Reading'!P20</f>
        <v>2</v>
      </c>
      <c r="J21" s="55">
        <f t="shared" si="5"/>
        <v>5.8823529411764705E-3</v>
      </c>
      <c r="K21" s="71">
        <f>('Water Reading'!I21-'Water Reading'!I20)-('Water Reading'!P21-'Water Reading'!P20)</f>
        <v>1</v>
      </c>
      <c r="L21" s="55">
        <f t="shared" si="6"/>
        <v>2.9411764705882353E-3</v>
      </c>
      <c r="M21" s="70">
        <f>'Water Reading'!R21-'Water Reading'!R20</f>
        <v>4</v>
      </c>
      <c r="N21" s="72">
        <f t="shared" si="7"/>
        <v>1.1764705882352941E-2</v>
      </c>
      <c r="O21" s="70">
        <f>'Water Reading'!Q21-'Water Reading'!Q20</f>
        <v>1</v>
      </c>
      <c r="P21" s="77">
        <f t="shared" si="8"/>
        <v>2.9411764705882353E-3</v>
      </c>
      <c r="Q21" s="71">
        <f>'Water Reading'!F21-'Water Reading'!F20</f>
        <v>1</v>
      </c>
      <c r="R21" s="78">
        <f t="shared" si="9"/>
        <v>2.9411764705882353E-3</v>
      </c>
      <c r="S21" s="70">
        <f>'Water Reading'!E21-'Water Reading'!E20</f>
        <v>81</v>
      </c>
      <c r="T21" s="78">
        <f t="shared" si="10"/>
        <v>0.23823529411764705</v>
      </c>
      <c r="U21" s="70">
        <f>'Water Reading'!G21-'Water Reading'!G20</f>
        <v>29</v>
      </c>
      <c r="V21" s="78">
        <f t="shared" si="11"/>
        <v>8.5294117647058826E-2</v>
      </c>
      <c r="W21" s="71">
        <f>'Water Reading'!J21-'Water Reading'!J20</f>
        <v>7</v>
      </c>
      <c r="X21" s="78">
        <f t="shared" si="12"/>
        <v>2.0588235294117647E-2</v>
      </c>
      <c r="Y21" s="53">
        <f t="shared" si="0"/>
        <v>307</v>
      </c>
      <c r="Z21" s="54">
        <f t="shared" si="1"/>
        <v>1</v>
      </c>
    </row>
    <row r="22" spans="1:26" x14ac:dyDescent="0.25">
      <c r="A22" s="6">
        <f>'Water Reading'!A21</f>
        <v>44914</v>
      </c>
      <c r="B22" s="52">
        <f>TOTAL!I20</f>
        <v>294</v>
      </c>
      <c r="C22" s="53">
        <f>('Water Reading'!B22-'Water Reading'!B21)+('Water Reading'!C22-'Water Reading'!C21)</f>
        <v>328</v>
      </c>
      <c r="D22" s="54">
        <f t="shared" si="2"/>
        <v>1.1156462585034013</v>
      </c>
      <c r="E22" s="68">
        <f>'Water Reading'!H22-'Water Reading'!H21</f>
        <v>15</v>
      </c>
      <c r="F22" s="69">
        <f t="shared" si="3"/>
        <v>4.573170731707317E-2</v>
      </c>
      <c r="G22" s="73">
        <f>('Water Reading'!D22-'Water Reading'!D21)-('Water Reading'!R22-'Water Reading'!R21)-('Water Reading'!Q22-'Water Reading'!Q21)</f>
        <v>158</v>
      </c>
      <c r="H22" s="69">
        <f t="shared" si="4"/>
        <v>0.48170731707317072</v>
      </c>
      <c r="I22" s="109">
        <f>'Water Reading'!P22-'Water Reading'!P21</f>
        <v>2</v>
      </c>
      <c r="J22" s="55">
        <f t="shared" si="5"/>
        <v>6.0975609756097563E-3</v>
      </c>
      <c r="K22" s="71">
        <f>('Water Reading'!I22-'Water Reading'!I21)-('Water Reading'!P22-'Water Reading'!P21)</f>
        <v>1</v>
      </c>
      <c r="L22" s="55">
        <f t="shared" si="6"/>
        <v>3.0487804878048782E-3</v>
      </c>
      <c r="M22" s="70">
        <f>'Water Reading'!R22-'Water Reading'!R21</f>
        <v>4</v>
      </c>
      <c r="N22" s="72">
        <f t="shared" si="7"/>
        <v>1.2195121951219513E-2</v>
      </c>
      <c r="O22" s="70">
        <f>'Water Reading'!Q22-'Water Reading'!Q21</f>
        <v>0</v>
      </c>
      <c r="P22" s="77">
        <f t="shared" si="8"/>
        <v>0</v>
      </c>
      <c r="Q22" s="71">
        <f>'Water Reading'!F22-'Water Reading'!F21</f>
        <v>0</v>
      </c>
      <c r="R22" s="78">
        <f t="shared" si="9"/>
        <v>0</v>
      </c>
      <c r="S22" s="70">
        <f>'Water Reading'!E22-'Water Reading'!E21</f>
        <v>78</v>
      </c>
      <c r="T22" s="78">
        <f t="shared" si="10"/>
        <v>0.23780487804878048</v>
      </c>
      <c r="U22" s="70">
        <f>'Water Reading'!G22-'Water Reading'!G21</f>
        <v>30</v>
      </c>
      <c r="V22" s="78">
        <f t="shared" si="11"/>
        <v>9.1463414634146339E-2</v>
      </c>
      <c r="W22" s="71">
        <f>'Water Reading'!J22-'Water Reading'!J21</f>
        <v>6</v>
      </c>
      <c r="X22" s="78">
        <f t="shared" si="12"/>
        <v>1.8292682926829267E-2</v>
      </c>
      <c r="Y22" s="53">
        <f t="shared" si="0"/>
        <v>294</v>
      </c>
      <c r="Z22" s="54">
        <f t="shared" si="1"/>
        <v>1</v>
      </c>
    </row>
    <row r="23" spans="1:26" x14ac:dyDescent="0.25">
      <c r="A23" s="6">
        <f>'Water Reading'!A22</f>
        <v>44915</v>
      </c>
      <c r="B23" s="52">
        <f>TOTAL!I21</f>
        <v>269</v>
      </c>
      <c r="C23" s="53">
        <f>('Water Reading'!B23-'Water Reading'!B22)+('Water Reading'!C23-'Water Reading'!C22)</f>
        <v>300</v>
      </c>
      <c r="D23" s="54">
        <f t="shared" si="2"/>
        <v>1.1152416356877324</v>
      </c>
      <c r="E23" s="68">
        <f>'Water Reading'!H23-'Water Reading'!H22</f>
        <v>19</v>
      </c>
      <c r="F23" s="69">
        <f t="shared" si="3"/>
        <v>6.3333333333333339E-2</v>
      </c>
      <c r="G23" s="73">
        <f>('Water Reading'!D23-'Water Reading'!D22)-('Water Reading'!R23-'Water Reading'!R22)-('Water Reading'!Q23-'Water Reading'!Q22)</f>
        <v>130</v>
      </c>
      <c r="H23" s="69">
        <f t="shared" si="4"/>
        <v>0.43333333333333335</v>
      </c>
      <c r="I23" s="109">
        <f>'Water Reading'!P23-'Water Reading'!P22</f>
        <v>2</v>
      </c>
      <c r="J23" s="55">
        <f t="shared" si="5"/>
        <v>6.6666666666666671E-3</v>
      </c>
      <c r="K23" s="71">
        <f>('Water Reading'!I23-'Water Reading'!I22)-('Water Reading'!P23-'Water Reading'!P22)</f>
        <v>0</v>
      </c>
      <c r="L23" s="55">
        <f t="shared" si="6"/>
        <v>0</v>
      </c>
      <c r="M23" s="70">
        <f>'Water Reading'!R23-'Water Reading'!R22</f>
        <v>7</v>
      </c>
      <c r="N23" s="72">
        <f t="shared" si="7"/>
        <v>2.3333333333333334E-2</v>
      </c>
      <c r="O23" s="109">
        <f>'Water Reading'!Q23-'Water Reading'!Q22</f>
        <v>2</v>
      </c>
      <c r="P23" s="77">
        <f t="shared" si="8"/>
        <v>6.6666666666666671E-3</v>
      </c>
      <c r="Q23" s="71">
        <f>'Water Reading'!F23-'Water Reading'!F22</f>
        <v>1</v>
      </c>
      <c r="R23" s="78">
        <f t="shared" si="9"/>
        <v>3.3333333333333335E-3</v>
      </c>
      <c r="S23" s="70">
        <f>'Water Reading'!E23-'Water Reading'!E22</f>
        <v>73</v>
      </c>
      <c r="T23" s="78">
        <f t="shared" si="10"/>
        <v>0.24333333333333335</v>
      </c>
      <c r="U23" s="70">
        <f>'Water Reading'!G23-'Water Reading'!G22</f>
        <v>29</v>
      </c>
      <c r="V23" s="78">
        <f t="shared" si="11"/>
        <v>9.6666666666666665E-2</v>
      </c>
      <c r="W23" s="71">
        <f>'Water Reading'!J23-'Water Reading'!J22</f>
        <v>6</v>
      </c>
      <c r="X23" s="78">
        <f t="shared" si="12"/>
        <v>0.02</v>
      </c>
      <c r="Y23" s="53">
        <f t="shared" si="0"/>
        <v>269</v>
      </c>
      <c r="Z23" s="54">
        <f t="shared" si="1"/>
        <v>1</v>
      </c>
    </row>
    <row r="24" spans="1:26" x14ac:dyDescent="0.25">
      <c r="A24" s="6">
        <f>'Water Reading'!A23</f>
        <v>44916</v>
      </c>
      <c r="B24" s="52">
        <f>TOTAL!I22</f>
        <v>259</v>
      </c>
      <c r="C24" s="53">
        <f>('Water Reading'!B24-'Water Reading'!B23)+('Water Reading'!C24-'Water Reading'!C23)</f>
        <v>289</v>
      </c>
      <c r="D24" s="54">
        <f t="shared" si="2"/>
        <v>1.1158301158301158</v>
      </c>
      <c r="E24" s="68">
        <f>'Water Reading'!H24-'Water Reading'!H23</f>
        <v>23</v>
      </c>
      <c r="F24" s="69">
        <f t="shared" si="3"/>
        <v>7.9584775086505188E-2</v>
      </c>
      <c r="G24" s="73">
        <f>('Water Reading'!D24-'Water Reading'!D23)-('Water Reading'!R24-'Water Reading'!R23)-('Water Reading'!Q24-'Water Reading'!Q23)</f>
        <v>108</v>
      </c>
      <c r="H24" s="69">
        <f t="shared" si="4"/>
        <v>0.37370242214532873</v>
      </c>
      <c r="I24" s="70">
        <f>'Water Reading'!P24-'Water Reading'!P23</f>
        <v>5</v>
      </c>
      <c r="J24" s="55">
        <f t="shared" si="5"/>
        <v>1.7301038062283738E-2</v>
      </c>
      <c r="K24" s="71">
        <f>('Water Reading'!I24-'Water Reading'!I23)-('Water Reading'!P24-'Water Reading'!P23)</f>
        <v>9</v>
      </c>
      <c r="L24" s="55">
        <f t="shared" si="6"/>
        <v>3.1141868512110725E-2</v>
      </c>
      <c r="M24" s="70">
        <f>'Water Reading'!R24-'Water Reading'!R23</f>
        <v>5</v>
      </c>
      <c r="N24" s="72">
        <f t="shared" si="7"/>
        <v>1.7301038062283738E-2</v>
      </c>
      <c r="O24" s="70">
        <f>'Water Reading'!Q24-'Water Reading'!Q23</f>
        <v>0</v>
      </c>
      <c r="P24" s="77">
        <f t="shared" si="8"/>
        <v>0</v>
      </c>
      <c r="Q24" s="71">
        <f>'Water Reading'!F24-'Water Reading'!F23</f>
        <v>1</v>
      </c>
      <c r="R24" s="78">
        <f t="shared" si="9"/>
        <v>3.4602076124567475E-3</v>
      </c>
      <c r="S24" s="70">
        <f>'Water Reading'!E24-'Water Reading'!E23</f>
        <v>77</v>
      </c>
      <c r="T24" s="78">
        <f t="shared" si="10"/>
        <v>0.26643598615916952</v>
      </c>
      <c r="U24" s="70">
        <f>'Water Reading'!G24-'Water Reading'!G23</f>
        <v>25</v>
      </c>
      <c r="V24" s="78">
        <f t="shared" si="11"/>
        <v>8.6505190311418678E-2</v>
      </c>
      <c r="W24" s="71">
        <f>'Water Reading'!J24-'Water Reading'!J23</f>
        <v>6</v>
      </c>
      <c r="X24" s="78">
        <f t="shared" si="12"/>
        <v>2.0761245674740483E-2</v>
      </c>
      <c r="Y24" s="53">
        <f t="shared" si="0"/>
        <v>259</v>
      </c>
      <c r="Z24" s="54">
        <f t="shared" si="1"/>
        <v>1</v>
      </c>
    </row>
    <row r="25" spans="1:26" x14ac:dyDescent="0.25">
      <c r="A25" s="6">
        <f>'Water Reading'!A24</f>
        <v>44917</v>
      </c>
      <c r="B25" s="52">
        <f>TOTAL!I23</f>
        <v>300</v>
      </c>
      <c r="C25" s="53">
        <f>('Water Reading'!B25-'Water Reading'!B24)+('Water Reading'!C25-'Water Reading'!C24)</f>
        <v>328</v>
      </c>
      <c r="D25" s="54">
        <f t="shared" si="2"/>
        <v>1.0933333333333333</v>
      </c>
      <c r="E25" s="68">
        <f>'Water Reading'!H25-'Water Reading'!H24</f>
        <v>21</v>
      </c>
      <c r="F25" s="69">
        <f t="shared" si="3"/>
        <v>6.402439024390244E-2</v>
      </c>
      <c r="G25" s="73">
        <f>('Water Reading'!D25-'Water Reading'!D24)-('Water Reading'!R25-'Water Reading'!R24)-('Water Reading'!Q25-'Water Reading'!Q24)</f>
        <v>139</v>
      </c>
      <c r="H25" s="69">
        <f t="shared" si="4"/>
        <v>0.42378048780487804</v>
      </c>
      <c r="I25" s="70">
        <f>'Water Reading'!P25-'Water Reading'!P24</f>
        <v>14</v>
      </c>
      <c r="J25" s="55">
        <f t="shared" si="5"/>
        <v>4.2682926829268296E-2</v>
      </c>
      <c r="K25" s="71">
        <f>('Water Reading'!I25-'Water Reading'!I24)-('Water Reading'!P25-'Water Reading'!P24)</f>
        <v>6</v>
      </c>
      <c r="L25" s="55">
        <f t="shared" si="6"/>
        <v>1.8292682926829267E-2</v>
      </c>
      <c r="M25" s="70">
        <f>'Water Reading'!R25-'Water Reading'!R24</f>
        <v>6</v>
      </c>
      <c r="N25" s="72">
        <f t="shared" si="7"/>
        <v>1.8292682926829267E-2</v>
      </c>
      <c r="O25" s="70">
        <f>'Water Reading'!Q25-'Water Reading'!Q24</f>
        <v>6</v>
      </c>
      <c r="P25" s="77">
        <f t="shared" si="8"/>
        <v>1.8292682926829267E-2</v>
      </c>
      <c r="Q25" s="71">
        <f>'Water Reading'!F25-'Water Reading'!F24</f>
        <v>1</v>
      </c>
      <c r="R25" s="78">
        <f t="shared" si="9"/>
        <v>3.0487804878048782E-3</v>
      </c>
      <c r="S25" s="70">
        <f>'Water Reading'!E25-'Water Reading'!E24</f>
        <v>77</v>
      </c>
      <c r="T25" s="78">
        <f t="shared" si="10"/>
        <v>0.2347560975609756</v>
      </c>
      <c r="U25" s="70">
        <f>'Water Reading'!G25-'Water Reading'!G24</f>
        <v>25</v>
      </c>
      <c r="V25" s="78">
        <f t="shared" si="11"/>
        <v>7.621951219512195E-2</v>
      </c>
      <c r="W25" s="102">
        <f>'Water Reading'!J25-'Water Reading'!J24</f>
        <v>5</v>
      </c>
      <c r="X25" s="78">
        <f t="shared" si="12"/>
        <v>1.524390243902439E-2</v>
      </c>
      <c r="Y25" s="53">
        <f t="shared" si="0"/>
        <v>300</v>
      </c>
      <c r="Z25" s="54">
        <f t="shared" si="1"/>
        <v>1</v>
      </c>
    </row>
    <row r="26" spans="1:26" x14ac:dyDescent="0.25">
      <c r="A26" s="6">
        <f>'Water Reading'!A25</f>
        <v>44918</v>
      </c>
      <c r="B26" s="52">
        <f>TOTAL!I24</f>
        <v>312</v>
      </c>
      <c r="C26" s="53">
        <f>('Water Reading'!B26-'Water Reading'!B25)+('Water Reading'!C26-'Water Reading'!C25)</f>
        <v>352</v>
      </c>
      <c r="D26" s="54">
        <f t="shared" si="2"/>
        <v>1.1282051282051282</v>
      </c>
      <c r="E26" s="68">
        <f>'Water Reading'!H26-'Water Reading'!H25</f>
        <v>28</v>
      </c>
      <c r="F26" s="69">
        <f t="shared" si="3"/>
        <v>7.9545454545454544E-2</v>
      </c>
      <c r="G26" s="73">
        <f>('Water Reading'!D26-'Water Reading'!D25)-('Water Reading'!R26-'Water Reading'!R25)-('Water Reading'!Q26-'Water Reading'!Q25)</f>
        <v>146</v>
      </c>
      <c r="H26" s="69">
        <f t="shared" si="4"/>
        <v>0.41477272727272729</v>
      </c>
      <c r="I26" s="70">
        <f>'Water Reading'!P26-'Water Reading'!P25</f>
        <v>0</v>
      </c>
      <c r="J26" s="55">
        <f t="shared" si="5"/>
        <v>0</v>
      </c>
      <c r="K26" s="71">
        <f>('Water Reading'!I26-'Water Reading'!I25)-('Water Reading'!P26-'Water Reading'!P25)</f>
        <v>4</v>
      </c>
      <c r="L26" s="55">
        <f t="shared" si="6"/>
        <v>1.1363636363636364E-2</v>
      </c>
      <c r="M26" s="70">
        <f>'Water Reading'!R26-'Water Reading'!R25</f>
        <v>6</v>
      </c>
      <c r="N26" s="72">
        <f t="shared" si="7"/>
        <v>1.7045454545454544E-2</v>
      </c>
      <c r="O26" s="70">
        <f>'Water Reading'!Q26-'Water Reading'!Q25</f>
        <v>3</v>
      </c>
      <c r="P26" s="77">
        <f t="shared" si="8"/>
        <v>8.5227272727272721E-3</v>
      </c>
      <c r="Q26" s="71">
        <f>'Water Reading'!F26-'Water Reading'!F25</f>
        <v>0</v>
      </c>
      <c r="R26" s="78">
        <f t="shared" si="9"/>
        <v>0</v>
      </c>
      <c r="S26" s="70">
        <f>'Water Reading'!E26-'Water Reading'!E25</f>
        <v>87</v>
      </c>
      <c r="T26" s="78">
        <f t="shared" si="10"/>
        <v>0.24715909090909091</v>
      </c>
      <c r="U26" s="70">
        <f>'Water Reading'!G26-'Water Reading'!G25</f>
        <v>30</v>
      </c>
      <c r="V26" s="78">
        <f t="shared" si="11"/>
        <v>8.5227272727272721E-2</v>
      </c>
      <c r="W26" s="71">
        <f>'Water Reading'!J26-'Water Reading'!J25</f>
        <v>8</v>
      </c>
      <c r="X26" s="78">
        <f t="shared" si="12"/>
        <v>2.2727272727272728E-2</v>
      </c>
      <c r="Y26" s="53">
        <f t="shared" si="0"/>
        <v>312</v>
      </c>
      <c r="Z26" s="54">
        <f t="shared" si="1"/>
        <v>1</v>
      </c>
    </row>
    <row r="27" spans="1:26" x14ac:dyDescent="0.25">
      <c r="A27" s="6">
        <f>'Water Reading'!A26</f>
        <v>44919</v>
      </c>
      <c r="B27" s="52">
        <f>TOTAL!I25</f>
        <v>280</v>
      </c>
      <c r="C27" s="53">
        <f>('Water Reading'!B27-'Water Reading'!B26)+('Water Reading'!C27-'Water Reading'!C26)</f>
        <v>315</v>
      </c>
      <c r="D27" s="54">
        <f t="shared" si="2"/>
        <v>1.125</v>
      </c>
      <c r="E27" s="68">
        <f>'Water Reading'!H27-'Water Reading'!H26</f>
        <v>26</v>
      </c>
      <c r="F27" s="69">
        <f t="shared" si="3"/>
        <v>8.2539682539682538E-2</v>
      </c>
      <c r="G27" s="73">
        <f>('Water Reading'!D27-'Water Reading'!D26)-('Water Reading'!R27-'Water Reading'!R26)-('Water Reading'!Q27-'Water Reading'!Q26)</f>
        <v>114</v>
      </c>
      <c r="H27" s="69">
        <f t="shared" si="4"/>
        <v>0.3619047619047619</v>
      </c>
      <c r="I27" s="70">
        <f>'Water Reading'!P27-'Water Reading'!P26</f>
        <v>23</v>
      </c>
      <c r="J27" s="55">
        <f t="shared" si="5"/>
        <v>7.301587301587302E-2</v>
      </c>
      <c r="K27" s="71">
        <f>('Water Reading'!I27-'Water Reading'!I26)-('Water Reading'!P27-'Water Reading'!P26)</f>
        <v>6</v>
      </c>
      <c r="L27" s="55">
        <f t="shared" si="6"/>
        <v>1.9047619047619049E-2</v>
      </c>
      <c r="M27" s="70">
        <f>'Water Reading'!R27-'Water Reading'!R26</f>
        <v>2</v>
      </c>
      <c r="N27" s="72">
        <f t="shared" si="7"/>
        <v>6.3492063492063492E-3</v>
      </c>
      <c r="O27" s="70">
        <f>'Water Reading'!Q27-'Water Reading'!Q26</f>
        <v>5</v>
      </c>
      <c r="P27" s="77">
        <f t="shared" si="8"/>
        <v>1.5873015873015872E-2</v>
      </c>
      <c r="Q27" s="71">
        <f>'Water Reading'!F27-'Water Reading'!F26</f>
        <v>2</v>
      </c>
      <c r="R27" s="78">
        <f t="shared" si="9"/>
        <v>6.3492063492063492E-3</v>
      </c>
      <c r="S27" s="70">
        <f>'Water Reading'!E27-'Water Reading'!E26</f>
        <v>72</v>
      </c>
      <c r="T27" s="78">
        <f t="shared" si="10"/>
        <v>0.22857142857142856</v>
      </c>
      <c r="U27" s="70">
        <f>'Water Reading'!G27-'Water Reading'!G26</f>
        <v>23</v>
      </c>
      <c r="V27" s="78">
        <f t="shared" si="11"/>
        <v>7.301587301587302E-2</v>
      </c>
      <c r="W27" s="71">
        <f>'Water Reading'!J27-'Water Reading'!J26</f>
        <v>7</v>
      </c>
      <c r="X27" s="78">
        <f t="shared" si="12"/>
        <v>2.2222222222222223E-2</v>
      </c>
      <c r="Y27" s="53">
        <f t="shared" si="0"/>
        <v>280</v>
      </c>
      <c r="Z27" s="54">
        <f t="shared" si="1"/>
        <v>1</v>
      </c>
    </row>
    <row r="28" spans="1:26" x14ac:dyDescent="0.25">
      <c r="A28" s="6">
        <f>'Water Reading'!A27</f>
        <v>44920</v>
      </c>
      <c r="B28" s="52">
        <f>TOTAL!I26</f>
        <v>343</v>
      </c>
      <c r="C28" s="53">
        <f>('Water Reading'!B28-'Water Reading'!B27)+('Water Reading'!C28-'Water Reading'!C27)</f>
        <v>380</v>
      </c>
      <c r="D28" s="54">
        <f t="shared" si="2"/>
        <v>1.1078717201166182</v>
      </c>
      <c r="E28" s="68">
        <f>'Water Reading'!H28-'Water Reading'!H27</f>
        <v>47</v>
      </c>
      <c r="F28" s="69">
        <f t="shared" si="3"/>
        <v>0.12368421052631579</v>
      </c>
      <c r="G28" s="73">
        <f>('Water Reading'!D28-'Water Reading'!D27)-('Water Reading'!R28-'Water Reading'!R27)-('Water Reading'!Q28-'Water Reading'!Q27)</f>
        <v>140</v>
      </c>
      <c r="H28" s="69">
        <f t="shared" si="4"/>
        <v>0.36842105263157893</v>
      </c>
      <c r="I28" s="70">
        <f>'Water Reading'!P28-'Water Reading'!P27</f>
        <v>13</v>
      </c>
      <c r="J28" s="55">
        <f t="shared" si="5"/>
        <v>3.4210526315789476E-2</v>
      </c>
      <c r="K28" s="102">
        <f>('Water Reading'!I28-'Water Reading'!I27)-('Water Reading'!P28-'Water Reading'!P27)</f>
        <v>7</v>
      </c>
      <c r="L28" s="110">
        <f t="shared" si="6"/>
        <v>1.8421052631578946E-2</v>
      </c>
      <c r="M28" s="70">
        <f>'Water Reading'!R28-'Water Reading'!R27</f>
        <v>7</v>
      </c>
      <c r="N28" s="72">
        <f t="shared" si="7"/>
        <v>1.8421052631578946E-2</v>
      </c>
      <c r="O28" s="70">
        <f>'Water Reading'!Q28-'Water Reading'!Q27</f>
        <v>6</v>
      </c>
      <c r="P28" s="77">
        <f t="shared" si="8"/>
        <v>1.5789473684210527E-2</v>
      </c>
      <c r="Q28" s="102">
        <f>'Water Reading'!F28-'Water Reading'!F27</f>
        <v>0</v>
      </c>
      <c r="R28" s="78">
        <f t="shared" si="9"/>
        <v>0</v>
      </c>
      <c r="S28" s="70">
        <f>'Water Reading'!E28-'Water Reading'!E27</f>
        <v>87</v>
      </c>
      <c r="T28" s="78">
        <f t="shared" si="10"/>
        <v>0.22894736842105262</v>
      </c>
      <c r="U28" s="70">
        <f>'Water Reading'!G28-'Water Reading'!G27</f>
        <v>29</v>
      </c>
      <c r="V28" s="78">
        <f t="shared" si="11"/>
        <v>7.6315789473684212E-2</v>
      </c>
      <c r="W28" s="71">
        <f>'Water Reading'!J28-'Water Reading'!J27</f>
        <v>7</v>
      </c>
      <c r="X28" s="78">
        <f t="shared" si="12"/>
        <v>1.8421052631578946E-2</v>
      </c>
      <c r="Y28" s="53">
        <f t="shared" si="0"/>
        <v>343</v>
      </c>
      <c r="Z28" s="54">
        <f t="shared" si="1"/>
        <v>1</v>
      </c>
    </row>
    <row r="29" spans="1:26" x14ac:dyDescent="0.25">
      <c r="A29" s="6">
        <f>'Water Reading'!A28</f>
        <v>44921</v>
      </c>
      <c r="B29" s="52">
        <f>TOTAL!I27</f>
        <v>363</v>
      </c>
      <c r="C29" s="53">
        <f>('Water Reading'!B29-'Water Reading'!B28)+('Water Reading'!C29-'Water Reading'!C28)</f>
        <v>397</v>
      </c>
      <c r="D29" s="54">
        <f t="shared" si="2"/>
        <v>1.0936639118457301</v>
      </c>
      <c r="E29" s="68">
        <f>'Water Reading'!H29-'Water Reading'!H28</f>
        <v>29</v>
      </c>
      <c r="F29" s="69">
        <f t="shared" si="3"/>
        <v>7.3047858942065488E-2</v>
      </c>
      <c r="G29" s="73">
        <f>('Water Reading'!D29-'Water Reading'!D28)-('Water Reading'!R29-'Water Reading'!R28)-('Water Reading'!Q29-'Water Reading'!Q28)</f>
        <v>187</v>
      </c>
      <c r="H29" s="69">
        <f t="shared" si="4"/>
        <v>0.47103274559193953</v>
      </c>
      <c r="I29" s="70">
        <f>'Water Reading'!P29-'Water Reading'!P28</f>
        <v>0</v>
      </c>
      <c r="J29" s="55">
        <f t="shared" si="5"/>
        <v>0</v>
      </c>
      <c r="K29" s="71">
        <f>('Water Reading'!I29-'Water Reading'!I28)-('Water Reading'!P29-'Water Reading'!P28)</f>
        <v>4</v>
      </c>
      <c r="L29" s="55">
        <f t="shared" si="6"/>
        <v>1.0075566750629723E-2</v>
      </c>
      <c r="M29" s="70">
        <f>'Water Reading'!R29-'Water Reading'!R28</f>
        <v>5</v>
      </c>
      <c r="N29" s="72">
        <f t="shared" si="7"/>
        <v>1.2594458438287154E-2</v>
      </c>
      <c r="O29" s="70">
        <f>'Water Reading'!Q29-'Water Reading'!Q28</f>
        <v>5</v>
      </c>
      <c r="P29" s="77">
        <f t="shared" si="8"/>
        <v>1.2594458438287154E-2</v>
      </c>
      <c r="Q29" s="71">
        <f>'Water Reading'!F29-'Water Reading'!F28</f>
        <v>1</v>
      </c>
      <c r="R29" s="78">
        <f t="shared" si="9"/>
        <v>2.5188916876574307E-3</v>
      </c>
      <c r="S29" s="70">
        <f>'Water Reading'!E29-'Water Reading'!E28</f>
        <v>86</v>
      </c>
      <c r="T29" s="78">
        <f t="shared" si="10"/>
        <v>0.21662468513853905</v>
      </c>
      <c r="U29" s="70">
        <f>'Water Reading'!G29-'Water Reading'!G28</f>
        <v>38</v>
      </c>
      <c r="V29" s="78">
        <f t="shared" si="11"/>
        <v>9.5717884130982367E-2</v>
      </c>
      <c r="W29" s="71">
        <f>'Water Reading'!J29-'Water Reading'!J28</f>
        <v>8</v>
      </c>
      <c r="X29" s="78">
        <f t="shared" si="12"/>
        <v>2.0151133501259445E-2</v>
      </c>
      <c r="Y29" s="53">
        <f t="shared" si="0"/>
        <v>363</v>
      </c>
      <c r="Z29" s="54">
        <f t="shared" si="1"/>
        <v>1</v>
      </c>
    </row>
    <row r="30" spans="1:26" x14ac:dyDescent="0.25">
      <c r="A30" s="6">
        <f>'Water Reading'!A29</f>
        <v>44922</v>
      </c>
      <c r="B30" s="52">
        <f>TOTAL!I28</f>
        <v>322</v>
      </c>
      <c r="C30" s="53">
        <f>('Water Reading'!B30-'Water Reading'!B29)+('Water Reading'!C30-'Water Reading'!C29)</f>
        <v>364</v>
      </c>
      <c r="D30" s="54">
        <f t="shared" si="2"/>
        <v>1.1304347826086956</v>
      </c>
      <c r="E30" s="68">
        <f>'Water Reading'!H30-'Water Reading'!H29</f>
        <v>30</v>
      </c>
      <c r="F30" s="69">
        <f t="shared" si="3"/>
        <v>8.2417582417582416E-2</v>
      </c>
      <c r="G30" s="73">
        <f>('Water Reading'!D30-'Water Reading'!D29)-('Water Reading'!R30-'Water Reading'!R29)-('Water Reading'!Q30-'Water Reading'!Q29)</f>
        <v>150</v>
      </c>
      <c r="H30" s="69">
        <f t="shared" si="4"/>
        <v>0.41208791208791207</v>
      </c>
      <c r="I30" s="70">
        <f>'Water Reading'!P30-'Water Reading'!P29</f>
        <v>16</v>
      </c>
      <c r="J30" s="55">
        <f t="shared" si="5"/>
        <v>4.3956043956043959E-2</v>
      </c>
      <c r="K30" s="71">
        <f>('Water Reading'!I30-'Water Reading'!I29)-('Water Reading'!P30-'Water Reading'!P29)</f>
        <v>1</v>
      </c>
      <c r="L30" s="55">
        <f t="shared" si="6"/>
        <v>2.7472527472527475E-3</v>
      </c>
      <c r="M30" s="70">
        <f>'Water Reading'!R30-'Water Reading'!R29</f>
        <v>7</v>
      </c>
      <c r="N30" s="72">
        <f t="shared" si="7"/>
        <v>1.9230769230769232E-2</v>
      </c>
      <c r="O30" s="70">
        <f>'Water Reading'!Q30-'Water Reading'!Q29</f>
        <v>1</v>
      </c>
      <c r="P30" s="77">
        <f t="shared" si="8"/>
        <v>2.7472527472527475E-3</v>
      </c>
      <c r="Q30" s="71">
        <f>'Water Reading'!F30-'Water Reading'!F29</f>
        <v>1</v>
      </c>
      <c r="R30" s="78">
        <f t="shared" si="9"/>
        <v>2.7472527472527475E-3</v>
      </c>
      <c r="S30" s="70">
        <f>'Water Reading'!E30-'Water Reading'!E29</f>
        <v>77</v>
      </c>
      <c r="T30" s="78">
        <f t="shared" si="10"/>
        <v>0.21153846153846154</v>
      </c>
      <c r="U30" s="70">
        <f>'Water Reading'!G30-'Water Reading'!G29</f>
        <v>32</v>
      </c>
      <c r="V30" s="78">
        <f t="shared" si="11"/>
        <v>8.7912087912087919E-2</v>
      </c>
      <c r="W30" s="71">
        <f>'Water Reading'!J30-'Water Reading'!J29</f>
        <v>7</v>
      </c>
      <c r="X30" s="78">
        <f t="shared" si="12"/>
        <v>1.9230769230769232E-2</v>
      </c>
      <c r="Y30" s="53">
        <f t="shared" si="0"/>
        <v>322</v>
      </c>
      <c r="Z30" s="54">
        <f t="shared" si="1"/>
        <v>1</v>
      </c>
    </row>
    <row r="31" spans="1:26" x14ac:dyDescent="0.25">
      <c r="A31" s="6">
        <f>'Water Reading'!A30</f>
        <v>44923</v>
      </c>
      <c r="B31" s="52">
        <f>TOTAL!I29</f>
        <v>361</v>
      </c>
      <c r="C31" s="53">
        <f>('Water Reading'!B31-'Water Reading'!B30)+('Water Reading'!C31-'Water Reading'!C30)</f>
        <v>390</v>
      </c>
      <c r="D31" s="54">
        <f t="shared" si="2"/>
        <v>1.0803324099722991</v>
      </c>
      <c r="E31" s="68">
        <f>'Water Reading'!H31-'Water Reading'!H30</f>
        <v>32</v>
      </c>
      <c r="F31" s="69">
        <f t="shared" si="3"/>
        <v>8.2051282051282051E-2</v>
      </c>
      <c r="G31" s="73">
        <f>('Water Reading'!D31-'Water Reading'!D30)-('Water Reading'!R31-'Water Reading'!R30)-('Water Reading'!Q31-'Water Reading'!Q30)</f>
        <v>152</v>
      </c>
      <c r="H31" s="69">
        <f t="shared" si="4"/>
        <v>0.38974358974358975</v>
      </c>
      <c r="I31" s="70">
        <f>'Water Reading'!P31-'Water Reading'!P30</f>
        <v>21</v>
      </c>
      <c r="J31" s="55">
        <f t="shared" si="5"/>
        <v>5.3846153846153849E-2</v>
      </c>
      <c r="K31" s="71">
        <f>('Water Reading'!I31-'Water Reading'!I30)-('Water Reading'!P31-'Water Reading'!P30)</f>
        <v>11</v>
      </c>
      <c r="L31" s="55">
        <f t="shared" si="6"/>
        <v>2.8205128205128206E-2</v>
      </c>
      <c r="M31" s="70">
        <f>'Water Reading'!R31-'Water Reading'!R30</f>
        <v>5</v>
      </c>
      <c r="N31" s="72">
        <f t="shared" si="7"/>
        <v>1.282051282051282E-2</v>
      </c>
      <c r="O31" s="70">
        <f>'Water Reading'!Q31-'Water Reading'!Q30</f>
        <v>5</v>
      </c>
      <c r="P31" s="77">
        <f t="shared" si="8"/>
        <v>1.282051282051282E-2</v>
      </c>
      <c r="Q31" s="71">
        <f>'Water Reading'!F31-'Water Reading'!F30</f>
        <v>0</v>
      </c>
      <c r="R31" s="78">
        <f t="shared" si="9"/>
        <v>0</v>
      </c>
      <c r="S31" s="70">
        <f>'Water Reading'!E31-'Water Reading'!E30</f>
        <v>90</v>
      </c>
      <c r="T31" s="78">
        <f t="shared" si="10"/>
        <v>0.23076923076923078</v>
      </c>
      <c r="U31" s="70">
        <f>'Water Reading'!G31-'Water Reading'!G30</f>
        <v>38</v>
      </c>
      <c r="V31" s="78">
        <f t="shared" si="11"/>
        <v>9.7435897435897437E-2</v>
      </c>
      <c r="W31" s="71">
        <f>'Water Reading'!J31-'Water Reading'!J30</f>
        <v>7</v>
      </c>
      <c r="X31" s="78">
        <f t="shared" si="12"/>
        <v>1.7948717948717947E-2</v>
      </c>
      <c r="Y31" s="53">
        <f t="shared" si="0"/>
        <v>361</v>
      </c>
      <c r="Z31" s="54">
        <f t="shared" si="1"/>
        <v>1</v>
      </c>
    </row>
    <row r="32" spans="1:26" x14ac:dyDescent="0.25">
      <c r="A32" s="6">
        <f>'Water Reading'!A31</f>
        <v>44924</v>
      </c>
      <c r="B32" s="52">
        <f>TOTAL!I30</f>
        <v>427</v>
      </c>
      <c r="C32" s="53">
        <f>('Water Reading'!B32-'Water Reading'!B31)+('Water Reading'!C32-'Water Reading'!C31)</f>
        <v>484</v>
      </c>
      <c r="D32" s="54">
        <f t="shared" si="2"/>
        <v>1.1334894613583137</v>
      </c>
      <c r="E32" s="68">
        <f>'Water Reading'!H32-'Water Reading'!H31</f>
        <v>33</v>
      </c>
      <c r="F32" s="69">
        <f t="shared" si="3"/>
        <v>6.8181818181818177E-2</v>
      </c>
      <c r="G32" s="73">
        <f>('Water Reading'!D32-'Water Reading'!D31)-('Water Reading'!R32-'Water Reading'!R31)-('Water Reading'!Q32-'Water Reading'!Q31)</f>
        <v>143</v>
      </c>
      <c r="H32" s="69">
        <f t="shared" si="4"/>
        <v>0.29545454545454547</v>
      </c>
      <c r="I32" s="70">
        <f>'Water Reading'!P32-'Water Reading'!P31</f>
        <v>14</v>
      </c>
      <c r="J32" s="55">
        <f t="shared" si="5"/>
        <v>2.8925619834710745E-2</v>
      </c>
      <c r="K32" s="71">
        <f>('Water Reading'!I32-'Water Reading'!I31)-('Water Reading'!P32-'Water Reading'!P31)</f>
        <v>9</v>
      </c>
      <c r="L32" s="55">
        <f t="shared" si="6"/>
        <v>1.859504132231405E-2</v>
      </c>
      <c r="M32" s="70">
        <f>'Water Reading'!R32-'Water Reading'!R31</f>
        <v>7</v>
      </c>
      <c r="N32" s="72">
        <f t="shared" si="7"/>
        <v>1.4462809917355372E-2</v>
      </c>
      <c r="O32" s="70">
        <f>'Water Reading'!Q32-'Water Reading'!Q31</f>
        <v>1</v>
      </c>
      <c r="P32" s="77">
        <f t="shared" si="8"/>
        <v>2.0661157024793389E-3</v>
      </c>
      <c r="Q32" s="71">
        <f>'Water Reading'!F32-'Water Reading'!F31</f>
        <v>1</v>
      </c>
      <c r="R32" s="78">
        <f t="shared" si="9"/>
        <v>2.0661157024793389E-3</v>
      </c>
      <c r="S32" s="70">
        <f>'Water Reading'!E32-'Water Reading'!E31</f>
        <v>173</v>
      </c>
      <c r="T32" s="78">
        <f t="shared" si="10"/>
        <v>0.3574380165289256</v>
      </c>
      <c r="U32" s="70">
        <f>'Water Reading'!G32-'Water Reading'!G31</f>
        <v>38</v>
      </c>
      <c r="V32" s="78">
        <f t="shared" si="11"/>
        <v>7.8512396694214878E-2</v>
      </c>
      <c r="W32" s="71">
        <f>'Water Reading'!J32-'Water Reading'!J31</f>
        <v>8</v>
      </c>
      <c r="X32" s="78">
        <f t="shared" si="12"/>
        <v>1.6528925619834711E-2</v>
      </c>
      <c r="Y32" s="53">
        <f t="shared" si="0"/>
        <v>427</v>
      </c>
      <c r="Z32" s="54">
        <f t="shared" si="1"/>
        <v>1</v>
      </c>
    </row>
    <row r="33" spans="1:26" x14ac:dyDescent="0.25">
      <c r="A33" s="6">
        <f>'Water Reading'!A32</f>
        <v>44925</v>
      </c>
      <c r="B33" s="52">
        <f>TOTAL!I31</f>
        <v>427</v>
      </c>
      <c r="C33" s="53">
        <f>('Water Reading'!B33-'Water Reading'!B32)+('Water Reading'!C33-'Water Reading'!C32)</f>
        <v>481</v>
      </c>
      <c r="D33" s="54">
        <f t="shared" si="2"/>
        <v>1.126463700234192</v>
      </c>
      <c r="E33" s="68">
        <f>'Water Reading'!H33-'Water Reading'!H32</f>
        <v>50</v>
      </c>
      <c r="F33" s="69">
        <f t="shared" si="3"/>
        <v>0.10395010395010396</v>
      </c>
      <c r="G33" s="73">
        <f>('Water Reading'!D33-'Water Reading'!D32)-('Water Reading'!R33-'Water Reading'!R32)-('Water Reading'!Q33-'Water Reading'!Q32)</f>
        <v>130</v>
      </c>
      <c r="H33" s="69">
        <f t="shared" si="4"/>
        <v>0.27027027027027029</v>
      </c>
      <c r="I33" s="70">
        <f>'Water Reading'!P33-'Water Reading'!P32</f>
        <v>0</v>
      </c>
      <c r="J33" s="55">
        <f t="shared" si="5"/>
        <v>0</v>
      </c>
      <c r="K33" s="71">
        <f>('Water Reading'!I33-'Water Reading'!I32)-('Water Reading'!P33-'Water Reading'!P32)</f>
        <v>3</v>
      </c>
      <c r="L33" s="55">
        <f t="shared" si="6"/>
        <v>6.2370062370062374E-3</v>
      </c>
      <c r="M33" s="70">
        <f>'Water Reading'!R33-'Water Reading'!R32</f>
        <v>8</v>
      </c>
      <c r="N33" s="72">
        <f t="shared" si="7"/>
        <v>1.6632016632016633E-2</v>
      </c>
      <c r="O33" s="70">
        <f>'Water Reading'!Q33-'Water Reading'!Q32</f>
        <v>4</v>
      </c>
      <c r="P33" s="77">
        <f t="shared" si="8"/>
        <v>8.3160083160083165E-3</v>
      </c>
      <c r="Q33" s="71">
        <f>'Water Reading'!F33-'Water Reading'!F32</f>
        <v>1</v>
      </c>
      <c r="R33" s="78">
        <f t="shared" si="9"/>
        <v>2.0790020790020791E-3</v>
      </c>
      <c r="S33" s="70">
        <f>'Water Reading'!E33-'Water Reading'!E32</f>
        <v>184</v>
      </c>
      <c r="T33" s="78">
        <f t="shared" si="10"/>
        <v>0.38253638253638256</v>
      </c>
      <c r="U33" s="70">
        <f>'Water Reading'!G33-'Water Reading'!G32</f>
        <v>39</v>
      </c>
      <c r="V33" s="78">
        <f t="shared" si="11"/>
        <v>8.1081081081081086E-2</v>
      </c>
      <c r="W33" s="71">
        <f>'Water Reading'!J33-'Water Reading'!J32</f>
        <v>8</v>
      </c>
      <c r="X33" s="78">
        <f t="shared" si="12"/>
        <v>1.6632016632016633E-2</v>
      </c>
      <c r="Y33" s="53">
        <f t="shared" si="0"/>
        <v>427</v>
      </c>
      <c r="Z33" s="54">
        <f t="shared" si="1"/>
        <v>1</v>
      </c>
    </row>
    <row r="34" spans="1:26" x14ac:dyDescent="0.25">
      <c r="A34" s="6">
        <f>'Water Reading'!A33</f>
        <v>44926</v>
      </c>
      <c r="B34" s="52">
        <f>TOTAL!I32</f>
        <v>523</v>
      </c>
      <c r="C34" s="53">
        <f>('Water Reading'!B34-'Water Reading'!B33)+('Water Reading'!C34-'Water Reading'!C33)</f>
        <v>568</v>
      </c>
      <c r="D34" s="54">
        <f t="shared" ref="D34" si="14">C34/B34</f>
        <v>1.0860420650095601</v>
      </c>
      <c r="E34" s="68">
        <f>'Water Reading'!H34-'Water Reading'!H33</f>
        <v>43</v>
      </c>
      <c r="F34" s="69">
        <f t="shared" ref="F34" si="15">E34/C34</f>
        <v>7.5704225352112672E-2</v>
      </c>
      <c r="G34" s="73">
        <f>('Water Reading'!D34-'Water Reading'!D33)-('Water Reading'!R34-'Water Reading'!R33)-('Water Reading'!Q34-'Water Reading'!Q33)</f>
        <v>130</v>
      </c>
      <c r="H34" s="69">
        <f t="shared" ref="H34" si="16">G34/C34</f>
        <v>0.22887323943661972</v>
      </c>
      <c r="I34" s="70">
        <f>'Water Reading'!P34-'Water Reading'!P33</f>
        <v>82</v>
      </c>
      <c r="J34" s="55">
        <f t="shared" ref="J34" si="17">I34/C34</f>
        <v>0.14436619718309859</v>
      </c>
      <c r="K34" s="71">
        <f>('Water Reading'!I34-'Water Reading'!I33)-('Water Reading'!P34-'Water Reading'!P33)</f>
        <v>33</v>
      </c>
      <c r="L34" s="55">
        <f t="shared" ref="L34" si="18">K34/C34</f>
        <v>5.8098591549295774E-2</v>
      </c>
      <c r="M34" s="70">
        <f>'Water Reading'!R34-'Water Reading'!R33</f>
        <v>7</v>
      </c>
      <c r="N34" s="72">
        <f t="shared" ref="N34" si="19">M34/C34</f>
        <v>1.232394366197183E-2</v>
      </c>
      <c r="O34" s="70">
        <f>'Water Reading'!Q34-'Water Reading'!Q33</f>
        <v>2</v>
      </c>
      <c r="P34" s="77">
        <f t="shared" ref="P34" si="20">O34/C34</f>
        <v>3.5211267605633804E-3</v>
      </c>
      <c r="Q34" s="71">
        <f>'Water Reading'!F34-'Water Reading'!F33</f>
        <v>0</v>
      </c>
      <c r="R34" s="78">
        <f t="shared" ref="R34" si="21">Q34/C34</f>
        <v>0</v>
      </c>
      <c r="S34" s="70">
        <f>'Water Reading'!E34-'Water Reading'!E33</f>
        <v>178</v>
      </c>
      <c r="T34" s="78">
        <f t="shared" ref="T34" si="22">S34/C34</f>
        <v>0.31338028169014087</v>
      </c>
      <c r="U34" s="70">
        <f>'Water Reading'!G34-'Water Reading'!G33</f>
        <v>40</v>
      </c>
      <c r="V34" s="78">
        <f t="shared" ref="V34" si="23">U34/C34</f>
        <v>7.0422535211267609E-2</v>
      </c>
      <c r="W34" s="71">
        <f>'Water Reading'!J34-'Water Reading'!J33</f>
        <v>8</v>
      </c>
      <c r="X34" s="78">
        <f t="shared" ref="X34" si="24">W34/C34</f>
        <v>1.4084507042253521E-2</v>
      </c>
      <c r="Y34" s="53">
        <f t="shared" ref="Y34" si="25">E34+I34+K34+M34+O34+G34+Q34+S34+U34+W34</f>
        <v>523</v>
      </c>
      <c r="Z34" s="54">
        <f t="shared" ref="Z34" si="26">Y34/B34</f>
        <v>1</v>
      </c>
    </row>
    <row r="35" spans="1:26" ht="24" customHeight="1" x14ac:dyDescent="0.25">
      <c r="A35" s="56" t="s">
        <v>41</v>
      </c>
      <c r="B35" s="76" t="s">
        <v>116</v>
      </c>
      <c r="C35" s="60">
        <f>SUM(C4:C33)</f>
        <v>10155</v>
      </c>
      <c r="D35" s="75" t="e">
        <f>C35/B35</f>
        <v>#VALUE!</v>
      </c>
      <c r="E35" s="5">
        <f>SUM(E4:E33)</f>
        <v>571</v>
      </c>
      <c r="F35" s="74">
        <f>E35/C35</f>
        <v>5.6228458887247659E-2</v>
      </c>
      <c r="G35" s="60">
        <f>SUM(G4:G33)</f>
        <v>4262</v>
      </c>
      <c r="H35" s="74">
        <f>G35/C35</f>
        <v>0.41969473165928112</v>
      </c>
      <c r="I35" s="5">
        <f>SUM(I4:I33)</f>
        <v>259</v>
      </c>
      <c r="J35" s="74">
        <f>I35/C35</f>
        <v>2.5504677498769078E-2</v>
      </c>
      <c r="K35" s="5">
        <f>SUM(K4:K33)</f>
        <v>148</v>
      </c>
      <c r="L35" s="74">
        <f>K35/C35</f>
        <v>1.4574101427868046E-2</v>
      </c>
      <c r="M35" s="5">
        <f>SUM(M4:M33)</f>
        <v>137</v>
      </c>
      <c r="N35" s="74">
        <f>M35/C35</f>
        <v>1.3490891186607583E-2</v>
      </c>
      <c r="O35" s="5">
        <f>SUM(O4:O33)</f>
        <v>143</v>
      </c>
      <c r="P35" s="74">
        <f>O35/C35</f>
        <v>1.4081733136386016E-2</v>
      </c>
      <c r="Q35" s="5">
        <f>SUM(Q4:Q33)</f>
        <v>23</v>
      </c>
      <c r="R35" s="74">
        <f>Q35/C35</f>
        <v>2.2648941408173313E-3</v>
      </c>
      <c r="S35" s="60">
        <f>SUM(S4:S33)</f>
        <v>2586</v>
      </c>
      <c r="T35" s="74">
        <f>S35/C35</f>
        <v>0.25465288035450517</v>
      </c>
      <c r="U35" s="5">
        <f>SUM(U4:U33)</f>
        <v>798</v>
      </c>
      <c r="V35" s="74">
        <f>U35/C35</f>
        <v>7.8581979320531764E-2</v>
      </c>
      <c r="W35" s="5">
        <f>SUM(W4:W33)</f>
        <v>189</v>
      </c>
      <c r="X35" s="74">
        <f>W35/C35</f>
        <v>1.8611521418020679E-2</v>
      </c>
      <c r="Y35" s="60">
        <f>SUM(Y4:Y33)</f>
        <v>9116</v>
      </c>
      <c r="Z35" s="74" t="e">
        <f t="shared" si="1"/>
        <v>#VALUE!</v>
      </c>
    </row>
    <row r="44" spans="1:26" x14ac:dyDescent="0.25">
      <c r="Y44" s="63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  <row r="72" spans="4:4" x14ac:dyDescent="0.25">
      <c r="D72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2023-01-01T08:16:05Z</dcterms:modified>
  <cp:category/>
  <cp:contentStatus/>
</cp:coreProperties>
</file>