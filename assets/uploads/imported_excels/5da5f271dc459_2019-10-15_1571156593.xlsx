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8_{1F8D9282-63D5-41E1-909A-81B5EF0527A9}" xr6:coauthVersionLast="45" xr6:coauthVersionMax="45" xr10:uidLastSave="{00000000-0000-0000-0000-000000000000}"/>
  <bookViews>
    <workbookView xWindow="-110" yWindow="-110" windowWidth="19420" windowHeight="10420" tabRatio="607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8" i="3" l="1"/>
  <c r="E28" i="3"/>
  <c r="C28" i="3"/>
  <c r="H28" i="3"/>
  <c r="I28" i="3"/>
  <c r="J28" i="3"/>
  <c r="K28" i="3"/>
  <c r="L28" i="3"/>
  <c r="G28" i="3"/>
  <c r="J28" i="1"/>
  <c r="K28" i="1"/>
  <c r="L28" i="1"/>
  <c r="M28" i="1"/>
  <c r="N28" i="1"/>
  <c r="O28" i="1"/>
  <c r="P28" i="1"/>
  <c r="I28" i="1"/>
  <c r="D28" i="1"/>
  <c r="E28" i="1"/>
  <c r="F28" i="1"/>
  <c r="G28" i="1"/>
  <c r="C28" i="1"/>
  <c r="J26" i="1"/>
  <c r="K26" i="1"/>
  <c r="L26" i="1"/>
  <c r="M26" i="1"/>
  <c r="N26" i="1"/>
  <c r="O26" i="1"/>
  <c r="P26" i="1"/>
  <c r="I26" i="1"/>
  <c r="D26" i="1"/>
  <c r="E26" i="1"/>
  <c r="F26" i="1"/>
  <c r="G26" i="1"/>
  <c r="C26" i="1"/>
  <c r="H26" i="3"/>
  <c r="I26" i="3"/>
  <c r="J26" i="3"/>
  <c r="K26" i="3"/>
  <c r="L26" i="3"/>
  <c r="G26" i="3"/>
  <c r="D26" i="3"/>
  <c r="E26" i="3"/>
  <c r="C26" i="3"/>
  <c r="D26" i="6"/>
  <c r="E26" i="6" s="1"/>
  <c r="C26" i="6"/>
  <c r="D24" i="6"/>
  <c r="C24" i="6"/>
  <c r="E24" i="6" s="1"/>
  <c r="J24" i="1"/>
  <c r="K24" i="1"/>
  <c r="L24" i="1"/>
  <c r="M24" i="1"/>
  <c r="N24" i="1"/>
  <c r="O24" i="1"/>
  <c r="P24" i="1"/>
  <c r="I24" i="1"/>
  <c r="D24" i="1"/>
  <c r="E24" i="1"/>
  <c r="F24" i="1"/>
  <c r="G24" i="1"/>
  <c r="C24" i="1"/>
  <c r="H24" i="3"/>
  <c r="I24" i="3"/>
  <c r="J24" i="3"/>
  <c r="K24" i="3"/>
  <c r="L24" i="3"/>
  <c r="G24" i="3"/>
  <c r="M24" i="3" s="1"/>
  <c r="D24" i="3"/>
  <c r="E24" i="3"/>
  <c r="C24" i="3"/>
  <c r="D22" i="6"/>
  <c r="D20" i="6"/>
  <c r="D18" i="6"/>
  <c r="D16" i="6"/>
  <c r="C22" i="6"/>
  <c r="E22" i="6" s="1"/>
  <c r="C20" i="6"/>
  <c r="E20" i="6" s="1"/>
  <c r="C18" i="6"/>
  <c r="C16" i="6"/>
  <c r="H22" i="3"/>
  <c r="I22" i="3"/>
  <c r="J22" i="3"/>
  <c r="K22" i="3"/>
  <c r="L22" i="3"/>
  <c r="H20" i="3"/>
  <c r="I20" i="3"/>
  <c r="J20" i="3"/>
  <c r="K20" i="3"/>
  <c r="L20" i="3"/>
  <c r="H18" i="3"/>
  <c r="I18" i="3"/>
  <c r="J18" i="3"/>
  <c r="K18" i="3"/>
  <c r="L18" i="3"/>
  <c r="G22" i="3"/>
  <c r="G20" i="3"/>
  <c r="M20" i="3"/>
  <c r="G18" i="3"/>
  <c r="H16" i="3"/>
  <c r="I16" i="3"/>
  <c r="J16" i="3"/>
  <c r="K16" i="3"/>
  <c r="L16" i="3"/>
  <c r="G16" i="3"/>
  <c r="D22" i="3"/>
  <c r="E22" i="3"/>
  <c r="D18" i="3"/>
  <c r="E18" i="3"/>
  <c r="D20" i="3"/>
  <c r="E20" i="3"/>
  <c r="C22" i="3"/>
  <c r="C20" i="3"/>
  <c r="C18" i="3"/>
  <c r="J22" i="1"/>
  <c r="K22" i="1"/>
  <c r="L22" i="1"/>
  <c r="M22" i="1"/>
  <c r="N22" i="1"/>
  <c r="O22" i="1"/>
  <c r="P22" i="1"/>
  <c r="J20" i="1"/>
  <c r="K20" i="1"/>
  <c r="L20" i="1"/>
  <c r="M20" i="1"/>
  <c r="N20" i="1"/>
  <c r="O20" i="1"/>
  <c r="P20" i="1"/>
  <c r="J18" i="1"/>
  <c r="K18" i="1"/>
  <c r="L18" i="1"/>
  <c r="M18" i="1"/>
  <c r="N18" i="1"/>
  <c r="O18" i="1"/>
  <c r="P18" i="1"/>
  <c r="J16" i="1"/>
  <c r="K16" i="1"/>
  <c r="L16" i="1"/>
  <c r="M16" i="1"/>
  <c r="N16" i="1"/>
  <c r="O16" i="1"/>
  <c r="P16" i="1"/>
  <c r="I22" i="1"/>
  <c r="I20" i="1"/>
  <c r="I18" i="1"/>
  <c r="I16" i="1"/>
  <c r="D22" i="1"/>
  <c r="E22" i="1"/>
  <c r="F22" i="1"/>
  <c r="G22" i="1"/>
  <c r="D20" i="1"/>
  <c r="E20" i="1"/>
  <c r="F20" i="1"/>
  <c r="G20" i="1"/>
  <c r="D18" i="1"/>
  <c r="E18" i="1"/>
  <c r="F18" i="1"/>
  <c r="G18" i="1"/>
  <c r="D16" i="1"/>
  <c r="E16" i="1"/>
  <c r="F16" i="1"/>
  <c r="G16" i="1"/>
  <c r="C22" i="1"/>
  <c r="C20" i="1"/>
  <c r="C18" i="1"/>
  <c r="C16" i="1"/>
  <c r="D16" i="3"/>
  <c r="E16" i="3"/>
  <c r="C16" i="3"/>
  <c r="D14" i="6"/>
  <c r="C14" i="6"/>
  <c r="E14" i="6" s="1"/>
  <c r="H14" i="3"/>
  <c r="I14" i="3"/>
  <c r="J14" i="3"/>
  <c r="K14" i="3"/>
  <c r="L14" i="3"/>
  <c r="G14" i="3"/>
  <c r="M14" i="3" s="1"/>
  <c r="N14" i="3" s="1"/>
  <c r="D14" i="3"/>
  <c r="E14" i="3"/>
  <c r="C14" i="3"/>
  <c r="J14" i="1"/>
  <c r="K14" i="1"/>
  <c r="L14" i="1"/>
  <c r="M14" i="1"/>
  <c r="N14" i="1"/>
  <c r="O14" i="1"/>
  <c r="P14" i="1"/>
  <c r="I14" i="1"/>
  <c r="D14" i="1"/>
  <c r="E14" i="1"/>
  <c r="F14" i="1"/>
  <c r="G14" i="1"/>
  <c r="C14" i="1"/>
  <c r="E68" i="6"/>
  <c r="M68" i="3"/>
  <c r="F68" i="3"/>
  <c r="N68" i="3" s="1"/>
  <c r="H66" i="1"/>
  <c r="Q66" i="1"/>
  <c r="R66" i="1" s="1"/>
  <c r="R68" i="1"/>
  <c r="Q68" i="1"/>
  <c r="H68" i="1"/>
  <c r="D12" i="6"/>
  <c r="E12" i="6" s="1"/>
  <c r="D10" i="6"/>
  <c r="E10" i="6" s="1"/>
  <c r="C12" i="6"/>
  <c r="C10" i="6"/>
  <c r="H10" i="3"/>
  <c r="I10" i="3"/>
  <c r="J10" i="3"/>
  <c r="K10" i="3"/>
  <c r="L10" i="3"/>
  <c r="H12" i="3"/>
  <c r="I12" i="3"/>
  <c r="J12" i="3"/>
  <c r="K12" i="3"/>
  <c r="L12" i="3"/>
  <c r="G12" i="3"/>
  <c r="G10" i="3"/>
  <c r="M10" i="3" s="1"/>
  <c r="G3" i="5" s="1"/>
  <c r="D12" i="3"/>
  <c r="E12" i="3"/>
  <c r="D10" i="3"/>
  <c r="E10" i="3"/>
  <c r="C12" i="3"/>
  <c r="C10" i="3"/>
  <c r="J12" i="1"/>
  <c r="K12" i="1"/>
  <c r="L12" i="1"/>
  <c r="M12" i="1"/>
  <c r="N12" i="1"/>
  <c r="O12" i="1"/>
  <c r="P12" i="1"/>
  <c r="I12" i="1"/>
  <c r="J10" i="1"/>
  <c r="K10" i="1"/>
  <c r="L10" i="1"/>
  <c r="M10" i="1"/>
  <c r="N10" i="1"/>
  <c r="O10" i="1"/>
  <c r="P10" i="1"/>
  <c r="I10" i="1"/>
  <c r="D12" i="1"/>
  <c r="E12" i="1"/>
  <c r="F12" i="1"/>
  <c r="G12" i="1"/>
  <c r="C12" i="1"/>
  <c r="D10" i="1"/>
  <c r="E10" i="1"/>
  <c r="F10" i="1"/>
  <c r="G10" i="1"/>
  <c r="C10" i="1"/>
  <c r="E66" i="6"/>
  <c r="E64" i="6"/>
  <c r="E62" i="6"/>
  <c r="E60" i="6"/>
  <c r="E58" i="6"/>
  <c r="E56" i="6"/>
  <c r="E54" i="6"/>
  <c r="E52" i="6"/>
  <c r="E50" i="6"/>
  <c r="E48" i="6"/>
  <c r="E46" i="6"/>
  <c r="E44" i="6"/>
  <c r="E42" i="6"/>
  <c r="E36" i="6"/>
  <c r="E34" i="6"/>
  <c r="E32" i="6"/>
  <c r="E18" i="6"/>
  <c r="E16" i="6"/>
  <c r="E40" i="6"/>
  <c r="E38" i="6"/>
  <c r="E30" i="6"/>
  <c r="E28" i="6"/>
  <c r="K32" i="5"/>
  <c r="J32" i="5"/>
  <c r="I32" i="5"/>
  <c r="G32" i="5"/>
  <c r="E32" i="5"/>
  <c r="E8" i="6"/>
  <c r="M66" i="3"/>
  <c r="M64" i="3"/>
  <c r="M62" i="3"/>
  <c r="M60" i="3"/>
  <c r="M58" i="3"/>
  <c r="M54" i="3"/>
  <c r="M52" i="3"/>
  <c r="M50" i="3"/>
  <c r="M48" i="3"/>
  <c r="M46" i="3"/>
  <c r="M44" i="3"/>
  <c r="M42" i="3"/>
  <c r="M40" i="3"/>
  <c r="M38" i="3"/>
  <c r="M36" i="3"/>
  <c r="M34" i="3"/>
  <c r="M32" i="3"/>
  <c r="M30" i="3"/>
  <c r="M28" i="3"/>
  <c r="M26" i="3"/>
  <c r="M22" i="3"/>
  <c r="G9" i="5" s="1"/>
  <c r="M18" i="3"/>
  <c r="M16" i="3"/>
  <c r="M12" i="3"/>
  <c r="M8" i="3"/>
  <c r="H8" i="1"/>
  <c r="H46" i="1"/>
  <c r="Q46" i="1"/>
  <c r="R46" i="1" s="1"/>
  <c r="F66" i="3"/>
  <c r="F64" i="3"/>
  <c r="Q64" i="1"/>
  <c r="E30" i="5" s="1"/>
  <c r="H64" i="1"/>
  <c r="R64" i="1" s="1"/>
  <c r="T15" i="4"/>
  <c r="F36" i="3"/>
  <c r="V17" i="4"/>
  <c r="X18" i="4"/>
  <c r="Z18" i="4"/>
  <c r="F42" i="3"/>
  <c r="N42" i="3" s="1"/>
  <c r="F32" i="3"/>
  <c r="X13" i="4"/>
  <c r="F15" i="4"/>
  <c r="H15" i="4"/>
  <c r="M15" i="4"/>
  <c r="O15" i="4"/>
  <c r="Q15" i="4"/>
  <c r="H16" i="4"/>
  <c r="M16" i="4"/>
  <c r="O16" i="4"/>
  <c r="Q16" i="4"/>
  <c r="F17" i="4"/>
  <c r="K17" i="4"/>
  <c r="M17" i="4"/>
  <c r="O17" i="4"/>
  <c r="Q17" i="4"/>
  <c r="F18" i="4"/>
  <c r="H18" i="4"/>
  <c r="K18" i="4"/>
  <c r="M18" i="4"/>
  <c r="P18" i="4"/>
  <c r="Q18" i="4"/>
  <c r="F19" i="4"/>
  <c r="H19" i="4"/>
  <c r="P19" i="4"/>
  <c r="Q19" i="4"/>
  <c r="E14" i="4"/>
  <c r="L13" i="4"/>
  <c r="K13" i="4"/>
  <c r="W8" i="4"/>
  <c r="W10" i="4"/>
  <c r="X10" i="4"/>
  <c r="Y10" i="4"/>
  <c r="T11" i="4"/>
  <c r="W11" i="4"/>
  <c r="X11" i="4"/>
  <c r="S12" i="4"/>
  <c r="V12" i="4"/>
  <c r="W12" i="4"/>
  <c r="Y9" i="4"/>
  <c r="Y8" i="4"/>
  <c r="V8" i="4"/>
  <c r="F20" i="3"/>
  <c r="N20" i="3" s="1"/>
  <c r="H24" i="1"/>
  <c r="L10" i="4"/>
  <c r="E11" i="4"/>
  <c r="O11" i="4"/>
  <c r="J12" i="4"/>
  <c r="N12" i="4"/>
  <c r="Q9" i="4"/>
  <c r="L9" i="4"/>
  <c r="I9" i="4"/>
  <c r="F9" i="4"/>
  <c r="E9" i="4"/>
  <c r="G8" i="4"/>
  <c r="G7" i="4"/>
  <c r="H16" i="1"/>
  <c r="I5" i="4"/>
  <c r="H14" i="1"/>
  <c r="R14" i="1" s="1"/>
  <c r="H12" i="1"/>
  <c r="H10" i="1"/>
  <c r="Q62" i="1"/>
  <c r="R62" i="1" s="1"/>
  <c r="Q60" i="1"/>
  <c r="H62" i="1"/>
  <c r="H60" i="1"/>
  <c r="W30" i="4"/>
  <c r="Y29" i="4"/>
  <c r="U29" i="4"/>
  <c r="W28" i="4"/>
  <c r="F62" i="3"/>
  <c r="G29" i="5"/>
  <c r="F60" i="3"/>
  <c r="N60" i="3" s="1"/>
  <c r="G28" i="5"/>
  <c r="H58" i="1"/>
  <c r="H56" i="1"/>
  <c r="H25" i="4"/>
  <c r="H54" i="1"/>
  <c r="E25" i="5" s="1"/>
  <c r="H52" i="1"/>
  <c r="F24" i="4"/>
  <c r="H50" i="1"/>
  <c r="F22" i="4"/>
  <c r="W27" i="4"/>
  <c r="Y26" i="4"/>
  <c r="U26" i="4"/>
  <c r="Y24" i="4"/>
  <c r="U24" i="4"/>
  <c r="W23" i="4"/>
  <c r="Y22" i="4"/>
  <c r="U22" i="4"/>
  <c r="F58" i="3"/>
  <c r="N58" i="3" s="1"/>
  <c r="G27" i="5"/>
  <c r="F56" i="3"/>
  <c r="F54" i="3"/>
  <c r="G25" i="5" s="1"/>
  <c r="F52" i="3"/>
  <c r="G24" i="5"/>
  <c r="F50" i="3"/>
  <c r="G23" i="5"/>
  <c r="F48" i="3"/>
  <c r="G22" i="5"/>
  <c r="S38" i="3"/>
  <c r="R38" i="3"/>
  <c r="Q38" i="3"/>
  <c r="F46" i="3"/>
  <c r="G21" i="5" s="1"/>
  <c r="F44" i="3"/>
  <c r="O14" i="4"/>
  <c r="O13" i="4"/>
  <c r="O9" i="4"/>
  <c r="O8" i="4"/>
  <c r="O7" i="4"/>
  <c r="F14" i="4"/>
  <c r="G13" i="4"/>
  <c r="F13" i="4"/>
  <c r="I11" i="4"/>
  <c r="G9" i="4"/>
  <c r="H8" i="4"/>
  <c r="I7" i="4"/>
  <c r="E7" i="4"/>
  <c r="T14" i="4"/>
  <c r="S13" i="4"/>
  <c r="T10" i="4"/>
  <c r="R9" i="4"/>
  <c r="T8" i="4"/>
  <c r="S8" i="4"/>
  <c r="P6" i="4"/>
  <c r="L6" i="4"/>
  <c r="P5" i="4"/>
  <c r="L5" i="4"/>
  <c r="P4" i="4"/>
  <c r="P3" i="4"/>
  <c r="L3" i="4"/>
  <c r="F14" i="3"/>
  <c r="AB3" i="4"/>
  <c r="J3" i="5" s="1"/>
  <c r="AB4" i="4"/>
  <c r="J4" i="5"/>
  <c r="AB5" i="4"/>
  <c r="J5" i="5" s="1"/>
  <c r="AB6" i="4"/>
  <c r="J6" i="5"/>
  <c r="AB7" i="4"/>
  <c r="J7" i="5" s="1"/>
  <c r="AB8" i="4"/>
  <c r="J8" i="5"/>
  <c r="AB9" i="4"/>
  <c r="J9" i="5" s="1"/>
  <c r="AB10" i="4"/>
  <c r="J10" i="5" s="1"/>
  <c r="AB11" i="4"/>
  <c r="J11" i="5" s="1"/>
  <c r="AB12" i="4"/>
  <c r="J12" i="5"/>
  <c r="AB13" i="4"/>
  <c r="J13" i="5" s="1"/>
  <c r="AB14" i="4"/>
  <c r="J14" i="5"/>
  <c r="AB15" i="4"/>
  <c r="J15" i="5" s="1"/>
  <c r="AB16" i="4"/>
  <c r="J16" i="5"/>
  <c r="AB17" i="4"/>
  <c r="J17" i="5" s="1"/>
  <c r="AB18" i="4"/>
  <c r="J18" i="5" s="1"/>
  <c r="AB19" i="4"/>
  <c r="J19" i="5" s="1"/>
  <c r="AB20" i="4"/>
  <c r="J20" i="5"/>
  <c r="AB21" i="4"/>
  <c r="J21" i="5" s="1"/>
  <c r="AB22" i="4"/>
  <c r="J22" i="5"/>
  <c r="AB23" i="4"/>
  <c r="J23" i="5" s="1"/>
  <c r="AB24" i="4"/>
  <c r="J24" i="5"/>
  <c r="AB25" i="4"/>
  <c r="J25" i="5" s="1"/>
  <c r="AB26" i="4"/>
  <c r="J26" i="5" s="1"/>
  <c r="AB27" i="4"/>
  <c r="J27" i="5" s="1"/>
  <c r="AB28" i="4"/>
  <c r="J28" i="5"/>
  <c r="AB29" i="4"/>
  <c r="J29" i="5" s="1"/>
  <c r="AB30" i="4"/>
  <c r="J30" i="5"/>
  <c r="AB31" i="4"/>
  <c r="J31" i="5" s="1"/>
  <c r="AC3" i="4"/>
  <c r="K3" i="5"/>
  <c r="AC4" i="4"/>
  <c r="K4" i="5" s="1"/>
  <c r="AC5" i="4"/>
  <c r="K5" i="5" s="1"/>
  <c r="AC6" i="4"/>
  <c r="K6" i="5" s="1"/>
  <c r="AC7" i="4"/>
  <c r="K7" i="5"/>
  <c r="AC8" i="4"/>
  <c r="K8" i="5" s="1"/>
  <c r="AC9" i="4"/>
  <c r="K9" i="5"/>
  <c r="AC10" i="4"/>
  <c r="K10" i="5" s="1"/>
  <c r="AC11" i="4"/>
  <c r="K11" i="5"/>
  <c r="AC12" i="4"/>
  <c r="K12" i="5" s="1"/>
  <c r="AC13" i="4"/>
  <c r="K13" i="5" s="1"/>
  <c r="AC14" i="4"/>
  <c r="K14" i="5" s="1"/>
  <c r="AC15" i="4"/>
  <c r="K15" i="5"/>
  <c r="AC16" i="4"/>
  <c r="K16" i="5" s="1"/>
  <c r="AC17" i="4"/>
  <c r="K17" i="5"/>
  <c r="AC18" i="4"/>
  <c r="K18" i="5" s="1"/>
  <c r="AC19" i="4"/>
  <c r="K19" i="5"/>
  <c r="AC20" i="4"/>
  <c r="K20" i="5" s="1"/>
  <c r="AC21" i="4"/>
  <c r="K21" i="5" s="1"/>
  <c r="AC22" i="4"/>
  <c r="K22" i="5" s="1"/>
  <c r="AC23" i="4"/>
  <c r="K23" i="5"/>
  <c r="AC24" i="4"/>
  <c r="K24" i="5" s="1"/>
  <c r="AC25" i="4"/>
  <c r="K25" i="5"/>
  <c r="AC26" i="4"/>
  <c r="K26" i="5" s="1"/>
  <c r="AC27" i="4"/>
  <c r="K27" i="5"/>
  <c r="AC28" i="4"/>
  <c r="K28" i="5" s="1"/>
  <c r="AC29" i="4"/>
  <c r="K29" i="5" s="1"/>
  <c r="AC30" i="4"/>
  <c r="K30" i="5" s="1"/>
  <c r="AC31" i="4"/>
  <c r="K31" i="5"/>
  <c r="AC2" i="4"/>
  <c r="K2" i="5" s="1"/>
  <c r="AA3" i="4"/>
  <c r="I3" i="5"/>
  <c r="AA4" i="4"/>
  <c r="I4" i="5" s="1"/>
  <c r="AA5" i="4"/>
  <c r="I5" i="5"/>
  <c r="AA6" i="4"/>
  <c r="I6" i="5" s="1"/>
  <c r="AA7" i="4"/>
  <c r="I7" i="5" s="1"/>
  <c r="AA8" i="4"/>
  <c r="I8" i="5" s="1"/>
  <c r="AA9" i="4"/>
  <c r="I9" i="5"/>
  <c r="AA10" i="4"/>
  <c r="I10" i="5" s="1"/>
  <c r="AA11" i="4"/>
  <c r="I11" i="5"/>
  <c r="AA12" i="4"/>
  <c r="I12" i="5" s="1"/>
  <c r="AA13" i="4"/>
  <c r="I13" i="5"/>
  <c r="AA14" i="4"/>
  <c r="I14" i="5" s="1"/>
  <c r="AA15" i="4"/>
  <c r="I15" i="5" s="1"/>
  <c r="AA16" i="4"/>
  <c r="I16" i="5" s="1"/>
  <c r="AA17" i="4"/>
  <c r="I17" i="5"/>
  <c r="AA18" i="4"/>
  <c r="I18" i="5" s="1"/>
  <c r="AA19" i="4"/>
  <c r="I19" i="5"/>
  <c r="AA20" i="4"/>
  <c r="I20" i="5" s="1"/>
  <c r="AA21" i="4"/>
  <c r="I21" i="5"/>
  <c r="AA22" i="4"/>
  <c r="I22" i="5" s="1"/>
  <c r="AA23" i="4"/>
  <c r="I23" i="5" s="1"/>
  <c r="AA24" i="4"/>
  <c r="I24" i="5" s="1"/>
  <c r="AA25" i="4"/>
  <c r="I25" i="5"/>
  <c r="AA26" i="4"/>
  <c r="I26" i="5" s="1"/>
  <c r="AA27" i="4"/>
  <c r="I27" i="5"/>
  <c r="AA28" i="4"/>
  <c r="I28" i="5" s="1"/>
  <c r="AA29" i="4"/>
  <c r="I29" i="5"/>
  <c r="AA30" i="4"/>
  <c r="I30" i="5" s="1"/>
  <c r="AA31" i="4"/>
  <c r="I31" i="5" s="1"/>
  <c r="AB2" i="4"/>
  <c r="J2" i="5" s="1"/>
  <c r="AA2" i="4"/>
  <c r="I2" i="5"/>
  <c r="Q27" i="4"/>
  <c r="M27" i="4"/>
  <c r="Q58" i="1"/>
  <c r="I27" i="4"/>
  <c r="F27" i="4"/>
  <c r="E27" i="4"/>
  <c r="Q56" i="1"/>
  <c r="Q54" i="1"/>
  <c r="P24" i="4"/>
  <c r="L24" i="4"/>
  <c r="Q52" i="1"/>
  <c r="E24" i="5" s="1"/>
  <c r="Q50" i="1"/>
  <c r="Q48" i="1"/>
  <c r="E22" i="5" s="1"/>
  <c r="E21" i="5"/>
  <c r="B3" i="4"/>
  <c r="B4" i="4" s="1"/>
  <c r="B5" i="4"/>
  <c r="B6" i="4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2" i="4"/>
  <c r="R21" i="4"/>
  <c r="S21" i="4"/>
  <c r="T21" i="4"/>
  <c r="U21" i="4"/>
  <c r="V21" i="4"/>
  <c r="W21" i="4"/>
  <c r="X21" i="4"/>
  <c r="Y21" i="4"/>
  <c r="Z21" i="4"/>
  <c r="R22" i="4"/>
  <c r="S22" i="4"/>
  <c r="T22" i="4"/>
  <c r="V22" i="4"/>
  <c r="W22" i="4"/>
  <c r="X22" i="4"/>
  <c r="Z22" i="4"/>
  <c r="R23" i="4"/>
  <c r="S23" i="4"/>
  <c r="T23" i="4"/>
  <c r="U23" i="4"/>
  <c r="V23" i="4"/>
  <c r="X23" i="4"/>
  <c r="Y23" i="4"/>
  <c r="Z23" i="4"/>
  <c r="R24" i="4"/>
  <c r="S24" i="4"/>
  <c r="T24" i="4"/>
  <c r="V24" i="4"/>
  <c r="W24" i="4"/>
  <c r="X24" i="4"/>
  <c r="Z24" i="4"/>
  <c r="R25" i="4"/>
  <c r="S25" i="4"/>
  <c r="T25" i="4"/>
  <c r="U25" i="4"/>
  <c r="V25" i="4"/>
  <c r="W25" i="4"/>
  <c r="X25" i="4"/>
  <c r="Y25" i="4"/>
  <c r="Z25" i="4"/>
  <c r="R26" i="4"/>
  <c r="S26" i="4"/>
  <c r="T26" i="4"/>
  <c r="V26" i="4"/>
  <c r="W26" i="4"/>
  <c r="X26" i="4"/>
  <c r="R27" i="4"/>
  <c r="S27" i="4"/>
  <c r="T27" i="4"/>
  <c r="U27" i="4"/>
  <c r="V27" i="4"/>
  <c r="X27" i="4"/>
  <c r="Y27" i="4"/>
  <c r="Z27" i="4"/>
  <c r="R28" i="4"/>
  <c r="S28" i="4"/>
  <c r="T28" i="4"/>
  <c r="U28" i="4"/>
  <c r="V28" i="4"/>
  <c r="X28" i="4"/>
  <c r="Y28" i="4"/>
  <c r="Z28" i="4"/>
  <c r="R29" i="4"/>
  <c r="S29" i="4"/>
  <c r="T29" i="4"/>
  <c r="V29" i="4"/>
  <c r="W29" i="4"/>
  <c r="X29" i="4"/>
  <c r="Z29" i="4"/>
  <c r="R30" i="4"/>
  <c r="S30" i="4"/>
  <c r="T30" i="4"/>
  <c r="U30" i="4"/>
  <c r="V30" i="4"/>
  <c r="X30" i="4"/>
  <c r="Y30" i="4"/>
  <c r="Z30" i="4"/>
  <c r="R31" i="4"/>
  <c r="S31" i="4"/>
  <c r="T31" i="4"/>
  <c r="U31" i="4"/>
  <c r="V31" i="4"/>
  <c r="W31" i="4"/>
  <c r="X31" i="4"/>
  <c r="Y31" i="4"/>
  <c r="Z31" i="4"/>
  <c r="Z2" i="4"/>
  <c r="Y2" i="4"/>
  <c r="X2" i="4"/>
  <c r="W2" i="4"/>
  <c r="V2" i="4"/>
  <c r="U2" i="4"/>
  <c r="T2" i="4"/>
  <c r="S2" i="4"/>
  <c r="R2" i="4"/>
  <c r="E21" i="4"/>
  <c r="E22" i="4"/>
  <c r="E23" i="4"/>
  <c r="E25" i="4"/>
  <c r="E26" i="4"/>
  <c r="E28" i="4"/>
  <c r="E29" i="4"/>
  <c r="E30" i="4"/>
  <c r="E31" i="4"/>
  <c r="F2" i="4"/>
  <c r="G2" i="4"/>
  <c r="H2" i="4"/>
  <c r="I2" i="4"/>
  <c r="J2" i="4"/>
  <c r="K2" i="4"/>
  <c r="L2" i="4"/>
  <c r="M2" i="4"/>
  <c r="N2" i="4"/>
  <c r="O2" i="4"/>
  <c r="P2" i="4"/>
  <c r="Q2" i="4"/>
  <c r="F21" i="4"/>
  <c r="G21" i="4"/>
  <c r="H21" i="4"/>
  <c r="I21" i="4"/>
  <c r="J21" i="4"/>
  <c r="K21" i="4"/>
  <c r="L21" i="4"/>
  <c r="M21" i="4"/>
  <c r="N21" i="4"/>
  <c r="O21" i="4"/>
  <c r="P21" i="4"/>
  <c r="Q21" i="4"/>
  <c r="G22" i="4"/>
  <c r="H22" i="4"/>
  <c r="I22" i="4"/>
  <c r="J22" i="4"/>
  <c r="K22" i="4"/>
  <c r="L22" i="4"/>
  <c r="M22" i="4"/>
  <c r="N22" i="4"/>
  <c r="O22" i="4"/>
  <c r="P22" i="4"/>
  <c r="Q22" i="4"/>
  <c r="F23" i="4"/>
  <c r="G23" i="4"/>
  <c r="H23" i="4"/>
  <c r="I23" i="4"/>
  <c r="J23" i="4"/>
  <c r="K23" i="4"/>
  <c r="L23" i="4"/>
  <c r="M23" i="4"/>
  <c r="N23" i="4"/>
  <c r="O23" i="4"/>
  <c r="P23" i="4"/>
  <c r="Q23" i="4"/>
  <c r="G24" i="4"/>
  <c r="H24" i="4"/>
  <c r="I24" i="4"/>
  <c r="J24" i="4"/>
  <c r="K24" i="4"/>
  <c r="M24" i="4"/>
  <c r="N24" i="4"/>
  <c r="O24" i="4"/>
  <c r="Q24" i="4"/>
  <c r="F25" i="4"/>
  <c r="G25" i="4"/>
  <c r="I25" i="4"/>
  <c r="J25" i="4"/>
  <c r="K25" i="4"/>
  <c r="L25" i="4"/>
  <c r="M25" i="4"/>
  <c r="N25" i="4"/>
  <c r="O25" i="4"/>
  <c r="P25" i="4"/>
  <c r="Q25" i="4"/>
  <c r="F26" i="4"/>
  <c r="G26" i="4"/>
  <c r="H26" i="4"/>
  <c r="I26" i="4"/>
  <c r="J26" i="4"/>
  <c r="K26" i="4"/>
  <c r="L26" i="4"/>
  <c r="M26" i="4"/>
  <c r="N26" i="4"/>
  <c r="O26" i="4"/>
  <c r="P26" i="4"/>
  <c r="Q26" i="4"/>
  <c r="G27" i="4"/>
  <c r="H27" i="4"/>
  <c r="J27" i="4"/>
  <c r="K27" i="4"/>
  <c r="L27" i="4"/>
  <c r="N27" i="4"/>
  <c r="O27" i="4"/>
  <c r="P27" i="4"/>
  <c r="F28" i="4"/>
  <c r="G28" i="4"/>
  <c r="H28" i="4"/>
  <c r="I28" i="4"/>
  <c r="J28" i="4"/>
  <c r="K28" i="4"/>
  <c r="L28" i="4"/>
  <c r="M28" i="4"/>
  <c r="N28" i="4"/>
  <c r="O28" i="4"/>
  <c r="P28" i="4"/>
  <c r="Q28" i="4"/>
  <c r="F29" i="4"/>
  <c r="G29" i="4"/>
  <c r="H29" i="4"/>
  <c r="I29" i="4"/>
  <c r="J29" i="4"/>
  <c r="K29" i="4"/>
  <c r="L29" i="4"/>
  <c r="M29" i="4"/>
  <c r="N29" i="4"/>
  <c r="O29" i="4"/>
  <c r="P29" i="4"/>
  <c r="Q29" i="4"/>
  <c r="F30" i="4"/>
  <c r="G30" i="4"/>
  <c r="H30" i="4"/>
  <c r="I30" i="4"/>
  <c r="J30" i="4"/>
  <c r="K30" i="4"/>
  <c r="L30" i="4"/>
  <c r="M30" i="4"/>
  <c r="N30" i="4"/>
  <c r="O30" i="4"/>
  <c r="P30" i="4"/>
  <c r="Q30" i="4"/>
  <c r="F31" i="4"/>
  <c r="G31" i="4"/>
  <c r="H31" i="4"/>
  <c r="I31" i="4"/>
  <c r="J31" i="4"/>
  <c r="K31" i="4"/>
  <c r="L31" i="4"/>
  <c r="M31" i="4"/>
  <c r="N31" i="4"/>
  <c r="O31" i="4"/>
  <c r="P31" i="4"/>
  <c r="Q31" i="4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Z20" i="4"/>
  <c r="Y20" i="4"/>
  <c r="X20" i="4"/>
  <c r="W20" i="4"/>
  <c r="V20" i="4"/>
  <c r="U20" i="4"/>
  <c r="T20" i="4"/>
  <c r="S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Z19" i="4"/>
  <c r="Y19" i="4"/>
  <c r="X19" i="4"/>
  <c r="W19" i="4"/>
  <c r="V19" i="4"/>
  <c r="U19" i="4"/>
  <c r="T19" i="4"/>
  <c r="R19" i="4"/>
  <c r="O19" i="4"/>
  <c r="N19" i="4"/>
  <c r="M19" i="4"/>
  <c r="L19" i="4"/>
  <c r="K19" i="4"/>
  <c r="I19" i="4"/>
  <c r="G19" i="4"/>
  <c r="Y18" i="4"/>
  <c r="W18" i="4"/>
  <c r="V18" i="4"/>
  <c r="U18" i="4"/>
  <c r="T18" i="4"/>
  <c r="S18" i="4"/>
  <c r="R18" i="4"/>
  <c r="N18" i="4"/>
  <c r="L18" i="4"/>
  <c r="G18" i="4"/>
  <c r="E18" i="4"/>
  <c r="U5" i="4"/>
  <c r="V5" i="4"/>
  <c r="X5" i="4"/>
  <c r="Y5" i="4"/>
  <c r="Z5" i="4"/>
  <c r="U6" i="4"/>
  <c r="V6" i="4"/>
  <c r="W6" i="4"/>
  <c r="X6" i="4"/>
  <c r="Y6" i="4"/>
  <c r="Z6" i="4"/>
  <c r="U7" i="4"/>
  <c r="W7" i="4"/>
  <c r="X7" i="4"/>
  <c r="Y7" i="4"/>
  <c r="Z7" i="4"/>
  <c r="X8" i="4"/>
  <c r="Z8" i="4"/>
  <c r="V9" i="4"/>
  <c r="W9" i="4"/>
  <c r="X9" i="4"/>
  <c r="Z9" i="4"/>
  <c r="V10" i="4"/>
  <c r="Z10" i="4"/>
  <c r="U11" i="4"/>
  <c r="V11" i="4"/>
  <c r="Y11" i="4"/>
  <c r="Z11" i="4"/>
  <c r="U12" i="4"/>
  <c r="X12" i="4"/>
  <c r="Y12" i="4"/>
  <c r="Z12" i="4"/>
  <c r="U13" i="4"/>
  <c r="V13" i="4"/>
  <c r="W13" i="4"/>
  <c r="Y13" i="4"/>
  <c r="Z13" i="4"/>
  <c r="U14" i="4"/>
  <c r="V14" i="4"/>
  <c r="W14" i="4"/>
  <c r="X14" i="4"/>
  <c r="Y14" i="4"/>
  <c r="Z14" i="4"/>
  <c r="U15" i="4"/>
  <c r="V15" i="4"/>
  <c r="W15" i="4"/>
  <c r="X15" i="4"/>
  <c r="Y15" i="4"/>
  <c r="Z15" i="4"/>
  <c r="U16" i="4"/>
  <c r="V16" i="4"/>
  <c r="W16" i="4"/>
  <c r="X16" i="4"/>
  <c r="Y16" i="4"/>
  <c r="Z16" i="4"/>
  <c r="W17" i="4"/>
  <c r="X17" i="4"/>
  <c r="Y17" i="4"/>
  <c r="Z17" i="4"/>
  <c r="Z3" i="4"/>
  <c r="X3" i="4"/>
  <c r="Y3" i="4"/>
  <c r="X4" i="4"/>
  <c r="Y4" i="4"/>
  <c r="Z4" i="4"/>
  <c r="W4" i="4"/>
  <c r="V4" i="4"/>
  <c r="W3" i="4"/>
  <c r="V3" i="4"/>
  <c r="U3" i="4"/>
  <c r="R5" i="4"/>
  <c r="S5" i="4"/>
  <c r="T5" i="4"/>
  <c r="R6" i="4"/>
  <c r="S6" i="4"/>
  <c r="T6" i="4"/>
  <c r="S7" i="4"/>
  <c r="F18" i="3"/>
  <c r="G7" i="5" s="1"/>
  <c r="R8" i="4"/>
  <c r="S9" i="4"/>
  <c r="T9" i="4"/>
  <c r="S10" i="4"/>
  <c r="S11" i="4"/>
  <c r="T12" i="4"/>
  <c r="R14" i="4"/>
  <c r="S14" i="4"/>
  <c r="R15" i="4"/>
  <c r="S15" i="4"/>
  <c r="S16" i="4"/>
  <c r="T16" i="4"/>
  <c r="S17" i="4"/>
  <c r="T17" i="4"/>
  <c r="T4" i="4"/>
  <c r="S4" i="4"/>
  <c r="R4" i="4"/>
  <c r="S3" i="4"/>
  <c r="R3" i="4"/>
  <c r="J5" i="4"/>
  <c r="M5" i="4"/>
  <c r="N5" i="4"/>
  <c r="O5" i="4"/>
  <c r="Q5" i="4"/>
  <c r="J6" i="4"/>
  <c r="K6" i="4"/>
  <c r="M6" i="4"/>
  <c r="N6" i="4"/>
  <c r="O6" i="4"/>
  <c r="Q6" i="4"/>
  <c r="J7" i="4"/>
  <c r="L7" i="4"/>
  <c r="M7" i="4"/>
  <c r="N7" i="4"/>
  <c r="P7" i="4"/>
  <c r="Q7" i="4"/>
  <c r="J8" i="4"/>
  <c r="L8" i="4"/>
  <c r="M8" i="4"/>
  <c r="N8" i="4"/>
  <c r="P8" i="4"/>
  <c r="Q8" i="4"/>
  <c r="J9" i="4"/>
  <c r="M9" i="4"/>
  <c r="N9" i="4"/>
  <c r="P9" i="4"/>
  <c r="J10" i="4"/>
  <c r="M10" i="4"/>
  <c r="N10" i="4"/>
  <c r="O10" i="4"/>
  <c r="P10" i="4"/>
  <c r="Q10" i="4"/>
  <c r="J11" i="4"/>
  <c r="K11" i="4"/>
  <c r="L11" i="4"/>
  <c r="M11" i="4"/>
  <c r="N11" i="4"/>
  <c r="P11" i="4"/>
  <c r="Q11" i="4"/>
  <c r="K12" i="4"/>
  <c r="L12" i="4"/>
  <c r="M12" i="4"/>
  <c r="O12" i="4"/>
  <c r="P12" i="4"/>
  <c r="Q12" i="4"/>
  <c r="M13" i="4"/>
  <c r="N13" i="4"/>
  <c r="P13" i="4"/>
  <c r="Q13" i="4"/>
  <c r="J14" i="4"/>
  <c r="L14" i="4"/>
  <c r="M14" i="4"/>
  <c r="N14" i="4"/>
  <c r="P14" i="4"/>
  <c r="Q14" i="4"/>
  <c r="J15" i="4"/>
  <c r="L15" i="4"/>
  <c r="N15" i="4"/>
  <c r="P15" i="4"/>
  <c r="J16" i="4"/>
  <c r="L16" i="4"/>
  <c r="N16" i="4"/>
  <c r="P16" i="4"/>
  <c r="J17" i="4"/>
  <c r="L17" i="4"/>
  <c r="N17" i="4"/>
  <c r="P17" i="4"/>
  <c r="Q4" i="4"/>
  <c r="O4" i="4"/>
  <c r="N4" i="4"/>
  <c r="M4" i="4"/>
  <c r="K4" i="4"/>
  <c r="J4" i="4"/>
  <c r="O3" i="4"/>
  <c r="Q3" i="4"/>
  <c r="N3" i="4"/>
  <c r="M3" i="4"/>
  <c r="K3" i="4"/>
  <c r="J3" i="4"/>
  <c r="F5" i="4"/>
  <c r="G5" i="4"/>
  <c r="H5" i="4"/>
  <c r="E6" i="4"/>
  <c r="F6" i="4"/>
  <c r="G6" i="4"/>
  <c r="I6" i="4"/>
  <c r="F7" i="4"/>
  <c r="H7" i="4"/>
  <c r="F8" i="4"/>
  <c r="I8" i="4"/>
  <c r="H9" i="4"/>
  <c r="G10" i="4"/>
  <c r="I10" i="4"/>
  <c r="G11" i="4"/>
  <c r="H11" i="4"/>
  <c r="E12" i="4"/>
  <c r="F12" i="4"/>
  <c r="G12" i="4"/>
  <c r="I12" i="4"/>
  <c r="E13" i="4"/>
  <c r="H13" i="4"/>
  <c r="I13" i="4"/>
  <c r="H14" i="4"/>
  <c r="I14" i="4"/>
  <c r="E15" i="4"/>
  <c r="G15" i="4"/>
  <c r="I15" i="4"/>
  <c r="E16" i="4"/>
  <c r="F16" i="4"/>
  <c r="G16" i="4"/>
  <c r="I16" i="4"/>
  <c r="E17" i="4"/>
  <c r="H17" i="4"/>
  <c r="I17" i="4"/>
  <c r="G4" i="4"/>
  <c r="H4" i="4"/>
  <c r="I4" i="4"/>
  <c r="F3" i="4"/>
  <c r="G3" i="4"/>
  <c r="H3" i="4"/>
  <c r="I3" i="4"/>
  <c r="F8" i="3"/>
  <c r="G2" i="5"/>
  <c r="Q8" i="1"/>
  <c r="E4" i="4"/>
  <c r="E3" i="4"/>
  <c r="K5" i="4"/>
  <c r="G17" i="4"/>
  <c r="F16" i="3"/>
  <c r="N16" i="3" s="1"/>
  <c r="F12" i="3"/>
  <c r="N12" i="3" s="1"/>
  <c r="E24" i="4"/>
  <c r="Q14" i="1"/>
  <c r="Q10" i="1"/>
  <c r="R10" i="1" s="1"/>
  <c r="R10" i="4"/>
  <c r="U4" i="4"/>
  <c r="R20" i="4"/>
  <c r="Q16" i="1"/>
  <c r="R13" i="4"/>
  <c r="E19" i="4"/>
  <c r="K10" i="4"/>
  <c r="R16" i="4"/>
  <c r="R11" i="4"/>
  <c r="W5" i="4"/>
  <c r="N44" i="3"/>
  <c r="R17" i="4"/>
  <c r="R7" i="4"/>
  <c r="V7" i="4"/>
  <c r="Q44" i="1"/>
  <c r="H44" i="1"/>
  <c r="E20" i="5" s="1"/>
  <c r="T7" i="4"/>
  <c r="H12" i="4"/>
  <c r="F10" i="4"/>
  <c r="R12" i="4"/>
  <c r="H18" i="1"/>
  <c r="T13" i="4"/>
  <c r="G14" i="4"/>
  <c r="K7" i="4"/>
  <c r="Q18" i="1"/>
  <c r="R18" i="1" s="1"/>
  <c r="K8" i="4"/>
  <c r="K9" i="4"/>
  <c r="K14" i="4"/>
  <c r="F11" i="4"/>
  <c r="T3" i="4"/>
  <c r="F10" i="3"/>
  <c r="F4" i="4"/>
  <c r="E5" i="4"/>
  <c r="Q12" i="1"/>
  <c r="E4" i="5"/>
  <c r="L4" i="4"/>
  <c r="E10" i="4"/>
  <c r="R50" i="1"/>
  <c r="H48" i="1"/>
  <c r="R56" i="1"/>
  <c r="N48" i="3"/>
  <c r="E31" i="5"/>
  <c r="E23" i="5"/>
  <c r="E26" i="5"/>
  <c r="R8" i="1"/>
  <c r="G20" i="5"/>
  <c r="N50" i="3"/>
  <c r="E2" i="5"/>
  <c r="E5" i="5"/>
  <c r="H6" i="4"/>
  <c r="U10" i="4"/>
  <c r="Q26" i="1"/>
  <c r="R26" i="1" s="1"/>
  <c r="Q20" i="1"/>
  <c r="E8" i="5" s="1"/>
  <c r="Q22" i="1"/>
  <c r="Q28" i="1"/>
  <c r="Q24" i="1"/>
  <c r="E10" i="5" s="1"/>
  <c r="F24" i="3"/>
  <c r="G10" i="5" s="1"/>
  <c r="F22" i="3"/>
  <c r="N22" i="3"/>
  <c r="F28" i="3"/>
  <c r="H28" i="1"/>
  <c r="R28" i="1"/>
  <c r="H10" i="4"/>
  <c r="H20" i="1"/>
  <c r="H26" i="1"/>
  <c r="E11" i="5"/>
  <c r="E8" i="4"/>
  <c r="F26" i="3"/>
  <c r="U9" i="4"/>
  <c r="U8" i="4"/>
  <c r="H22" i="1"/>
  <c r="E9" i="5" s="1"/>
  <c r="N26" i="3"/>
  <c r="G11" i="5"/>
  <c r="K16" i="4"/>
  <c r="G6" i="5"/>
  <c r="N28" i="3"/>
  <c r="G12" i="5"/>
  <c r="N32" i="3"/>
  <c r="U17" i="4"/>
  <c r="Q32" i="1"/>
  <c r="R32" i="1" s="1"/>
  <c r="Q36" i="1"/>
  <c r="Q34" i="1"/>
  <c r="Q38" i="1"/>
  <c r="K15" i="4"/>
  <c r="Q30" i="1"/>
  <c r="J18" i="4"/>
  <c r="J13" i="4"/>
  <c r="F40" i="3"/>
  <c r="G18" i="5" s="1"/>
  <c r="F34" i="3"/>
  <c r="N34" i="3"/>
  <c r="S19" i="4"/>
  <c r="F30" i="3"/>
  <c r="N30" i="3"/>
  <c r="F38" i="3"/>
  <c r="G13" i="5"/>
  <c r="H42" i="1"/>
  <c r="H38" i="1"/>
  <c r="R38" i="1" s="1"/>
  <c r="E17" i="5"/>
  <c r="H36" i="1"/>
  <c r="E16" i="5" s="1"/>
  <c r="H30" i="1"/>
  <c r="E13" i="5" s="1"/>
  <c r="H40" i="1"/>
  <c r="H34" i="1"/>
  <c r="R34" i="1"/>
  <c r="H32" i="1"/>
  <c r="I18" i="4"/>
  <c r="G14" i="5"/>
  <c r="G17" i="5"/>
  <c r="N38" i="3"/>
  <c r="R30" i="1"/>
  <c r="Q40" i="1"/>
  <c r="R40" i="1" s="1"/>
  <c r="O18" i="4"/>
  <c r="Q42" i="1"/>
  <c r="E19" i="5" s="1"/>
  <c r="J19" i="4"/>
  <c r="N52" i="3"/>
  <c r="G19" i="5"/>
  <c r="N62" i="3"/>
  <c r="E6" i="5"/>
  <c r="R16" i="1"/>
  <c r="N64" i="3"/>
  <c r="G30" i="5"/>
  <c r="N66" i="3"/>
  <c r="G31" i="5"/>
  <c r="M56" i="3"/>
  <c r="N56" i="3" s="1"/>
  <c r="Z26" i="4"/>
  <c r="G8" i="5"/>
  <c r="R12" i="1"/>
  <c r="E15" i="5"/>
  <c r="E3" i="5"/>
  <c r="R54" i="1"/>
  <c r="N8" i="3"/>
  <c r="E12" i="5"/>
  <c r="G15" i="5"/>
  <c r="E7" i="5"/>
  <c r="R42" i="1"/>
  <c r="N24" i="3" l="1"/>
  <c r="R48" i="1"/>
  <c r="N54" i="3"/>
  <c r="R60" i="1"/>
  <c r="E28" i="5"/>
  <c r="N46" i="3"/>
  <c r="E14" i="5"/>
  <c r="E33" i="5" s="1"/>
  <c r="E18" i="5"/>
  <c r="G4" i="5"/>
  <c r="G33" i="5" s="1"/>
  <c r="E29" i="5"/>
  <c r="N10" i="3"/>
  <c r="G26" i="5"/>
  <c r="R24" i="1"/>
  <c r="R36" i="1"/>
  <c r="N40" i="3"/>
  <c r="R22" i="1"/>
  <c r="R20" i="1"/>
  <c r="N18" i="3"/>
  <c r="R44" i="1"/>
  <c r="R52" i="1"/>
  <c r="G5" i="5"/>
  <c r="R58" i="1"/>
  <c r="E27" i="5"/>
  <c r="G16" i="5"/>
  <c r="N36" i="3"/>
</calcChain>
</file>

<file path=xl/comments1.xml><?xml version="1.0" encoding="utf-8"?>
<comments xmlns="http://schemas.openxmlformats.org/spreadsheetml/2006/main">
  <authors>
    <author>Central Plant Eng.</author>
    <author>Srikanth</author>
  </authors>
  <commentList>
    <comment ref="G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19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19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1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1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3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3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5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5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  <comment ref="G27" authorId="0" shapeId="0">
      <text>
        <r>
          <rPr>
            <b/>
            <sz val="8"/>
            <color indexed="81"/>
            <rFont val="Tahoma"/>
            <family val="2"/>
          </rPr>
          <t>WATER METER 130464 IS NOT WORKING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WATER METER 130456 IS NOT WORKING</t>
        </r>
      </text>
    </comment>
    <comment ref="K27" authorId="1" shapeId="0">
      <text>
        <r>
          <rPr>
            <b/>
            <sz val="9"/>
            <color indexed="81"/>
            <rFont val="Tahoma"/>
            <charset val="1"/>
          </rPr>
          <t>WATER METER  130459 IS NOT WORKING</t>
        </r>
      </text>
    </comment>
  </commentList>
</comments>
</file>

<file path=xl/sharedStrings.xml><?xml version="1.0" encoding="utf-8"?>
<sst xmlns="http://schemas.openxmlformats.org/spreadsheetml/2006/main" count="246" uniqueCount="71">
  <si>
    <t>Date</t>
  </si>
  <si>
    <t>Hotel</t>
  </si>
  <si>
    <t>Town              House</t>
  </si>
  <si>
    <t>Spa</t>
  </si>
  <si>
    <t>CP          Chillers</t>
  </si>
  <si>
    <t>Marina</t>
  </si>
  <si>
    <t>Nobu</t>
  </si>
  <si>
    <t>Daily Electrical Meter Readings</t>
  </si>
  <si>
    <t>Daily Water Meter Readings</t>
  </si>
  <si>
    <t>CP F/F</t>
  </si>
  <si>
    <t>CP     Parking</t>
  </si>
  <si>
    <t>CP     Chillers</t>
  </si>
  <si>
    <t>Town     House</t>
  </si>
  <si>
    <t>Spa B</t>
  </si>
  <si>
    <t>Spa A</t>
  </si>
  <si>
    <t>Central Plant Engineering</t>
  </si>
  <si>
    <t>CCW        Hotel B</t>
  </si>
  <si>
    <t>CW        Hotel A</t>
  </si>
  <si>
    <t>Consumption</t>
  </si>
  <si>
    <t>CP Total kWh</t>
  </si>
  <si>
    <t>Hotel Total kWh</t>
  </si>
  <si>
    <t>Grand Total          kWh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</si>
  <si>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</si>
  <si>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</si>
  <si>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</si>
  <si>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</si>
  <si>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</si>
  <si>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</si>
  <si>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</si>
  <si>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</si>
  <si>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</si>
  <si>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</si>
  <si>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</si>
  <si>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</si>
  <si>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</si>
  <si>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Doha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</si>
  <si>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</si>
  <si>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</si>
  <si>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</si>
  <si>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</si>
  <si>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</si>
  <si>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</si>
  <si>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CP Chillers 157691 (KWh)</t>
  </si>
  <si>
    <t xml:space="preserve">SPA (KWh) </t>
  </si>
  <si>
    <t>Marina (KWh)</t>
  </si>
  <si>
    <t>Nobu (KWh)</t>
  </si>
  <si>
    <t>Hotel 157688 (KWh)</t>
  </si>
  <si>
    <t>Hotel 157689 (KWh)</t>
  </si>
  <si>
    <t>Hotel 157690 (KWh)</t>
  </si>
  <si>
    <t>CP F/F (m3)</t>
  </si>
  <si>
    <t>CP Chillers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</si>
  <si>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</si>
  <si>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</si>
  <si>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</si>
  <si>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</si>
  <si>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</si>
  <si>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</si>
  <si>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CP Parking (m3)</t>
  </si>
  <si>
    <t xml:space="preserve">Cooling Degree Day </t>
  </si>
  <si>
    <t xml:space="preserve"> </t>
  </si>
  <si>
    <t>Daily LPG Meter Readings</t>
  </si>
  <si>
    <t>HOTEL</t>
  </si>
  <si>
    <t>NOBU</t>
  </si>
  <si>
    <t xml:space="preserve">LPG Total </t>
  </si>
  <si>
    <t>Note: The following water meters are not working</t>
  </si>
  <si>
    <t># Town House -130464</t>
  </si>
  <si>
    <t># Spa B - 130456</t>
  </si>
  <si>
    <t># CCW Hotel B - 130459</t>
  </si>
  <si>
    <t>Month:OCTOBER  2019</t>
  </si>
  <si>
    <t>Month: OCTOBER 2019</t>
  </si>
  <si>
    <t>Month: OCTOBER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</si>
</sst>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8"/>
      <color indexed="81"/>
      <name val="Tahoma"/>
      <family val="2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right"/>
    </xf>
    <xf numFmtId="0" fontId="8" fillId="6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9" xfId="0" applyNumberFormat="1" applyFont="1" applyFill="1" applyBorder="1" applyAlignment="1">
      <alignment horizontal="center" wrapText="1"/>
    </xf>
    <xf numFmtId="0" fontId="5" fillId="7" borderId="9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1" fontId="0" fillId="0" borderId="0" xfId="0" applyNumberFormat="1" applyAlignment="1">
      <alignment horizontal="center" vertical="center"/>
    </xf>
    <xf numFmtId="3" fontId="0" fillId="0" borderId="0" xfId="0" applyNumberFormat="1" applyFill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7" borderId="1" xfId="0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3</xdr:col>
      <xdr:colOff>241300</xdr:colOff>
      <xdr:row>2</xdr:row>
      <xdr:rowOff>260350</xdr:rowOff>
    </xdr:to>
    <xdr:pic>
      <xdr:nvPicPr>
        <xdr:cNvPr id="1859" name="Picture 1">
          <a:extLst>
            <a:ext uri="{FF2B5EF4-FFF2-40B4-BE49-F238E27FC236}">
              <a16:creationId xmlns:a16="http://schemas.microsoft.com/office/drawing/2014/main" id="{4BB09553-18B4-4A0B-A215-9CF0394E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38100" y="0"/>
          <a:ext cx="16891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107950</xdr:rowOff>
    </xdr:from>
    <xdr:to>
      <xdr:col>3</xdr:col>
      <xdr:colOff>50800</xdr:colOff>
      <xdr:row>3</xdr:row>
      <xdr:rowOff>120650</xdr:rowOff>
    </xdr:to>
    <xdr:pic>
      <xdr:nvPicPr>
        <xdr:cNvPr id="6385" name="Picture 1">
          <a:extLst>
            <a:ext uri="{FF2B5EF4-FFF2-40B4-BE49-F238E27FC236}">
              <a16:creationId xmlns:a16="http://schemas.microsoft.com/office/drawing/2014/main" id="{440291BA-B915-4FC7-9F64-69BC3C4FB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8900" y="107950"/>
          <a:ext cx="1504950" cy="67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107950</xdr:rowOff>
    </xdr:from>
    <xdr:to>
      <xdr:col>2</xdr:col>
      <xdr:colOff>438150</xdr:colOff>
      <xdr:row>3</xdr:row>
      <xdr:rowOff>50800</xdr:rowOff>
    </xdr:to>
    <xdr:pic>
      <xdr:nvPicPr>
        <xdr:cNvPr id="5585" name="Picture 1">
          <a:extLst>
            <a:ext uri="{FF2B5EF4-FFF2-40B4-BE49-F238E27FC236}">
              <a16:creationId xmlns:a16="http://schemas.microsoft.com/office/drawing/2014/main" id="{B55B8C6A-5008-4E6C-A002-6DDA29A0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8900" y="107950"/>
          <a:ext cx="13398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E7" sqref="E7"/>
    </sheetView>
  </sheetViews>
  <sheetFormatPr defaultColWidth="13.453125" defaultRowHeight="14.5" x14ac:dyDescent="0.35"/>
  <cols>
    <col min="1" max="3" width="11.54296875" customWidth="1"/>
    <col min="4" max="4" width="13.453125" customWidth="1"/>
    <col min="5" max="5" width="12.54296875" style="28" customWidth="1"/>
    <col min="6" max="6" width="12.54296875" customWidth="1"/>
    <col min="7" max="7" width="11.54296875" customWidth="1"/>
    <col min="8" max="8" width="11.54296875" style="29" customWidth="1"/>
    <col min="9" max="245" width="11.54296875" customWidth="1"/>
    <col min="246" max="246" width="13.453125" customWidth="1"/>
    <col min="247" max="248" width="12.54296875" customWidth="1"/>
    <col min="249" max="254" width="11.54296875" customWidth="1"/>
  </cols>
  <sheetData>
    <row r="1" spans="1:11" s="32" customFormat="1" ht="43.5" x14ac:dyDescent="0.35">
      <c r="A1" s="53" t="s">
        <v>25</v>
      </c>
      <c r="B1" s="53" t="s">
        <v>26</v>
      </c>
      <c r="C1" s="53" t="s">
        <v>27</v>
      </c>
      <c r="D1" s="53" t="s">
        <v>28</v>
      </c>
      <c r="E1" s="54" t="s">
        <v>29</v>
      </c>
      <c r="F1" s="55" t="s">
        <v>30</v>
      </c>
      <c r="G1" s="55" t="s">
        <v>31</v>
      </c>
      <c r="H1" s="56" t="s">
        <v>32</v>
      </c>
      <c r="I1" s="55" t="s">
        <v>33</v>
      </c>
      <c r="J1" s="55" t="s">
        <v>34</v>
      </c>
      <c r="K1" s="55" t="s">
        <v>58</v>
      </c>
    </row>
    <row r="2" spans="1:11" x14ac:dyDescent="0.35">
      <c r="A2" t="s">
        <v>35</v>
      </c>
      <c r="B2">
        <v>1</v>
      </c>
      <c r="C2">
        <v>10</v>
      </c>
      <c r="D2">
        <v>2019</v>
      </c>
      <c r="E2" s="30">
        <f>0.75*INDEX('13 - Electrical Readings'!$H$8:$H$988,1+(2*(ROWS(A$1:A1)-1)))+INDEX('13 - Electrical Readings'!$Q$8:$Q$988,1+(2*(ROWS(A$1:A1)-1)))</f>
        <v>54664.25</v>
      </c>
      <c r="F2">
        <v>4.1000000000000002E-2</v>
      </c>
      <c r="G2" s="31">
        <f>0.75*INDEX('9 - Water Readings'!$F$8:$F$988,1+(2*(ROWS(A$1:A1)-1)))+INDEX('9 - Water Readings'!$M$8:$M$988,1+(2*(ROWS(A$1:A1)-1)))</f>
        <v>179</v>
      </c>
      <c r="H2" s="29">
        <v>1.5571912601017661</v>
      </c>
      <c r="I2" s="29">
        <f>'Submetering '!AA2</f>
        <v>0</v>
      </c>
      <c r="J2">
        <f>'Submetering '!AB2</f>
        <v>0</v>
      </c>
      <c r="K2">
        <f>'Submetering '!AC2</f>
        <v>13.8</v>
      </c>
    </row>
    <row r="3" spans="1:11" x14ac:dyDescent="0.35">
      <c r="A3" t="s">
        <v>35</v>
      </c>
      <c r="B3">
        <f>B2+1</f>
        <v>2</v>
      </c>
      <c r="C3">
        <v>10</v>
      </c>
      <c r="D3">
        <v>2019</v>
      </c>
      <c r="E3" s="30">
        <f>0.75*INDEX('13 - Electrical Readings'!$H$8:$H$988,1+(2*(ROWS(A$1:A2)-1)))+INDEX('13 - Electrical Readings'!$Q$8:$Q$988,1+(2*(ROWS(A$1:A2)-1)))</f>
        <v>51461.75</v>
      </c>
      <c r="F3">
        <v>4.1000000000000002E-2</v>
      </c>
      <c r="G3" s="31">
        <f>0.75*INDEX('9 - Water Readings'!$F$8:$F$988,1+(2*(ROWS(A$1:A2)-1)))+INDEX('9 - Water Readings'!$M$8:$M$988,1+(2*(ROWS(A$1:A2)-1)))</f>
        <v>176</v>
      </c>
      <c r="H3" s="29">
        <v>1.5571912601017661</v>
      </c>
      <c r="I3" s="29">
        <f>'Submetering '!AA3</f>
        <v>0</v>
      </c>
      <c r="J3">
        <f>'Submetering '!AB3</f>
        <v>0</v>
      </c>
      <c r="K3">
        <f>'Submetering '!AC3</f>
        <v>13.9</v>
      </c>
    </row>
    <row r="4" spans="1:11" x14ac:dyDescent="0.35">
      <c r="A4" t="s">
        <v>35</v>
      </c>
      <c r="B4">
        <f t="shared" ref="B4:B32" si="0">B3+1</f>
        <v>3</v>
      </c>
      <c r="C4">
        <v>10</v>
      </c>
      <c r="D4">
        <v>2019</v>
      </c>
      <c r="E4" s="30">
        <f>0.75*INDEX('13 - Electrical Readings'!$H$8:$H$988,1+(2*(ROWS(A$1:A3)-1)))+INDEX('13 - Electrical Readings'!$Q$8:$Q$988,1+(2*(ROWS(A$1:A3)-1)))</f>
        <v>53766.5</v>
      </c>
      <c r="F4">
        <v>4.1000000000000002E-2</v>
      </c>
      <c r="G4" s="31">
        <f>0.75*INDEX('9 - Water Readings'!$F$8:$F$988,1+(2*(ROWS(A$1:A3)-1)))+INDEX('9 - Water Readings'!$M$8:$M$988,1+(2*(ROWS(A$1:A3)-1)))</f>
        <v>187</v>
      </c>
      <c r="H4" s="29">
        <v>1.5571912601017661</v>
      </c>
      <c r="I4" s="29">
        <f>'Submetering '!AA4</f>
        <v>0</v>
      </c>
      <c r="J4">
        <f>'Submetering '!AB4</f>
        <v>0</v>
      </c>
      <c r="K4">
        <f>'Submetering '!AC4</f>
        <v>14.1</v>
      </c>
    </row>
    <row r="5" spans="1:11" x14ac:dyDescent="0.35">
      <c r="A5" t="s">
        <v>35</v>
      </c>
      <c r="B5">
        <f t="shared" si="0"/>
        <v>4</v>
      </c>
      <c r="C5">
        <v>10</v>
      </c>
      <c r="D5">
        <v>2019</v>
      </c>
      <c r="E5" s="30">
        <f>0.75*INDEX('13 - Electrical Readings'!$H$8:$H$988,1+(2*(ROWS(A$1:A4)-1)))+INDEX('13 - Electrical Readings'!$Q$8:$Q$988,1+(2*(ROWS(A$1:A4)-1)))</f>
        <v>53686.5</v>
      </c>
      <c r="F5">
        <v>4.1000000000000002E-2</v>
      </c>
      <c r="G5" s="31">
        <f>0.75*INDEX('9 - Water Readings'!$F$8:$F$988,1+(2*(ROWS(A$1:A4)-1)))+INDEX('9 - Water Readings'!$M$8:$M$988,1+(2*(ROWS(A$1:A4)-1)))</f>
        <v>414</v>
      </c>
      <c r="H5" s="29">
        <v>1.5571912601017661</v>
      </c>
      <c r="I5" s="29">
        <f>'Submetering '!AA5</f>
        <v>0</v>
      </c>
      <c r="J5">
        <f>'Submetering '!AB5</f>
        <v>0</v>
      </c>
      <c r="K5">
        <f>'Submetering '!AC5</f>
        <v>12.7</v>
      </c>
    </row>
    <row r="6" spans="1:11" x14ac:dyDescent="0.35">
      <c r="A6" t="s">
        <v>35</v>
      </c>
      <c r="B6">
        <f t="shared" si="0"/>
        <v>5</v>
      </c>
      <c r="C6">
        <v>10</v>
      </c>
      <c r="D6">
        <v>2019</v>
      </c>
      <c r="E6" s="30">
        <f>0.75*INDEX('13 - Electrical Readings'!$H$8:$H$988,1+(2*(ROWS(A$1:A5)-1)))+INDEX('13 - Electrical Readings'!$Q$8:$Q$988,1+(2*(ROWS(A$1:A5)-1)))</f>
        <v>54368.5</v>
      </c>
      <c r="F6">
        <v>4.1000000000000002E-2</v>
      </c>
      <c r="G6" s="31">
        <f>0.75*INDEX('9 - Water Readings'!$F$8:$F$988,1+(2*(ROWS(A$1:A5)-1)))+INDEX('9 - Water Readings'!$M$8:$M$988,1+(2*(ROWS(A$1:A5)-1)))</f>
        <v>349</v>
      </c>
      <c r="H6" s="29">
        <v>1.5571912601017661</v>
      </c>
      <c r="I6" s="29">
        <f>'Submetering '!AA6</f>
        <v>0</v>
      </c>
      <c r="J6">
        <f>'Submetering '!AB6</f>
        <v>0</v>
      </c>
      <c r="K6">
        <f>'Submetering '!AC6</f>
        <v>13</v>
      </c>
    </row>
    <row r="7" spans="1:11" x14ac:dyDescent="0.35">
      <c r="A7" t="s">
        <v>35</v>
      </c>
      <c r="B7">
        <f t="shared" si="0"/>
        <v>6</v>
      </c>
      <c r="C7">
        <v>10</v>
      </c>
      <c r="D7">
        <v>2019</v>
      </c>
      <c r="E7" s="30">
        <f>0.75*INDEX('13 - Electrical Readings'!$H$8:$H$988,1+(2*(ROWS(A$1:A6)-1)))+INDEX('13 - Electrical Readings'!$Q$8:$Q$988,1+(2*(ROWS(A$1:A6)-1)))</f>
        <v>45574</v>
      </c>
      <c r="F7">
        <v>4.1000000000000002E-2</v>
      </c>
      <c r="G7" s="31">
        <f>0.75*INDEX('9 - Water Readings'!$F$8:$F$988,1+(2*(ROWS(A$1:A6)-1)))+INDEX('9 - Water Readings'!$M$8:$M$988,1+(2*(ROWS(A$1:A6)-1)))</f>
        <v>275</v>
      </c>
      <c r="H7" s="29">
        <v>1.5571912601017661</v>
      </c>
      <c r="I7" s="29">
        <f>'Submetering '!AA7</f>
        <v>0</v>
      </c>
      <c r="J7">
        <f>'Submetering '!AB7</f>
        <v>0</v>
      </c>
      <c r="K7">
        <f>'Submetering '!AC7</f>
        <v>12</v>
      </c>
    </row>
    <row r="8" spans="1:11" x14ac:dyDescent="0.35">
      <c r="A8" t="s">
        <v>35</v>
      </c>
      <c r="B8">
        <f t="shared" si="0"/>
        <v>7</v>
      </c>
      <c r="C8">
        <v>10</v>
      </c>
      <c r="D8">
        <v>2019</v>
      </c>
      <c r="E8" s="30">
        <f>0.75*INDEX('13 - Electrical Readings'!$H$8:$H$988,1+(2*(ROWS(A$1:A7)-1)))+INDEX('13 - Electrical Readings'!$Q$8:$Q$988,1+(2*(ROWS(A$1:A7)-1)))</f>
        <v>56734.25</v>
      </c>
      <c r="F8">
        <v>4.1000000000000002E-2</v>
      </c>
      <c r="G8" s="31">
        <f>0.75*INDEX('9 - Water Readings'!$F$8:$F$988,1+(2*(ROWS(A$1:A7)-1)))+INDEX('9 - Water Readings'!$M$8:$M$988,1+(2*(ROWS(A$1:A7)-1)))</f>
        <v>325</v>
      </c>
      <c r="H8" s="29">
        <v>1.5571912601017661</v>
      </c>
      <c r="I8" s="29">
        <f>'Submetering '!AA8</f>
        <v>0</v>
      </c>
      <c r="J8">
        <f>'Submetering '!AB8</f>
        <v>0</v>
      </c>
      <c r="K8">
        <f>'Submetering '!AC8</f>
        <v>13</v>
      </c>
    </row>
    <row r="9" spans="1:11" x14ac:dyDescent="0.35">
      <c r="A9" t="s">
        <v>35</v>
      </c>
      <c r="B9">
        <f t="shared" si="0"/>
        <v>8</v>
      </c>
      <c r="C9">
        <v>10</v>
      </c>
      <c r="D9">
        <v>2019</v>
      </c>
      <c r="E9" s="30">
        <f>0.75*INDEX('13 - Electrical Readings'!$H$8:$H$988,1+(2*(ROWS(A$1:A8)-1)))+INDEX('13 - Electrical Readings'!$Q$8:$Q$988,1+(2*(ROWS(A$1:A8)-1)))</f>
        <v>55935.5</v>
      </c>
      <c r="F9">
        <v>4.1000000000000002E-2</v>
      </c>
      <c r="G9" s="31">
        <f>0.75*INDEX('9 - Water Readings'!$F$8:$F$988,1+(2*(ROWS(A$1:A8)-1)))+INDEX('9 - Water Readings'!$M$8:$M$988,1+(2*(ROWS(A$1:A8)-1)))</f>
        <v>333</v>
      </c>
      <c r="H9" s="29">
        <v>1.5571912601017661</v>
      </c>
      <c r="I9" s="29">
        <f>'Submetering '!AA9</f>
        <v>0</v>
      </c>
      <c r="J9">
        <f>'Submetering '!AB9</f>
        <v>0</v>
      </c>
      <c r="K9">
        <f>'Submetering '!AC9</f>
        <v>13.2</v>
      </c>
    </row>
    <row r="10" spans="1:11" x14ac:dyDescent="0.35">
      <c r="A10" t="s">
        <v>35</v>
      </c>
      <c r="B10">
        <f t="shared" si="0"/>
        <v>9</v>
      </c>
      <c r="C10">
        <v>10</v>
      </c>
      <c r="D10">
        <v>2019</v>
      </c>
      <c r="E10" s="30">
        <f>0.75*INDEX('13 - Electrical Readings'!$H$8:$H$988,1+(2*(ROWS(A$1:A9)-1)))+INDEX('13 - Electrical Readings'!$Q$8:$Q$988,1+(2*(ROWS(A$1:A9)-1)))</f>
        <v>56274.25</v>
      </c>
      <c r="F10">
        <v>4.1000000000000002E-2</v>
      </c>
      <c r="G10" s="31">
        <f>0.75*INDEX('9 - Water Readings'!$F$8:$F$988,1+(2*(ROWS(A$1:A9)-1)))+INDEX('9 - Water Readings'!$M$8:$M$988,1+(2*(ROWS(A$1:A9)-1)))</f>
        <v>310</v>
      </c>
      <c r="H10" s="29">
        <v>1.5571912601017661</v>
      </c>
      <c r="I10" s="29">
        <f>'Submetering '!AA10</f>
        <v>0</v>
      </c>
      <c r="J10">
        <f>'Submetering '!AB10</f>
        <v>0</v>
      </c>
      <c r="K10">
        <f>'Submetering '!AC10</f>
        <v>12</v>
      </c>
    </row>
    <row r="11" spans="1:11" x14ac:dyDescent="0.35">
      <c r="A11" t="s">
        <v>35</v>
      </c>
      <c r="B11">
        <f t="shared" si="0"/>
        <v>10</v>
      </c>
      <c r="C11">
        <v>10</v>
      </c>
      <c r="D11">
        <v>2019</v>
      </c>
      <c r="E11" s="30">
        <f>0.75*INDEX('13 - Electrical Readings'!$H$8:$H$988,1+(2*(ROWS(A$1:A10)-1)))+INDEX('13 - Electrical Readings'!$Q$8:$Q$988,1+(2*(ROWS(A$1:A10)-1)))</f>
        <v>55613.25</v>
      </c>
      <c r="F11">
        <v>4.1000000000000002E-2</v>
      </c>
      <c r="G11" s="31">
        <f>0.75*INDEX('9 - Water Readings'!$F$8:$F$988,1+(2*(ROWS(A$1:A10)-1)))+INDEX('9 - Water Readings'!$M$8:$M$988,1+(2*(ROWS(A$1:A10)-1)))</f>
        <v>317</v>
      </c>
      <c r="H11" s="29">
        <v>1.5571912601017661</v>
      </c>
      <c r="I11" s="29">
        <f>'Submetering '!AA11</f>
        <v>0</v>
      </c>
      <c r="J11">
        <f>'Submetering '!AB11</f>
        <v>0</v>
      </c>
      <c r="K11">
        <f>'Submetering '!AC11</f>
        <v>13</v>
      </c>
    </row>
    <row r="12" spans="1:11" x14ac:dyDescent="0.35">
      <c r="A12" t="s">
        <v>35</v>
      </c>
      <c r="B12">
        <f t="shared" si="0"/>
        <v>11</v>
      </c>
      <c r="C12">
        <v>10</v>
      </c>
      <c r="D12">
        <v>2019</v>
      </c>
      <c r="E12" s="30">
        <f>0.75*INDEX('13 - Electrical Readings'!$H$8:$H$988,1+(2*(ROWS(A$1:A11)-1)))+INDEX('13 - Electrical Readings'!$Q$8:$Q$988,1+(2*(ROWS(A$1:A11)-1)))</f>
        <v>55657.25</v>
      </c>
      <c r="F12">
        <v>4.1000000000000002E-2</v>
      </c>
      <c r="G12" s="31">
        <f>0.75*INDEX('9 - Water Readings'!$F$8:$F$988,1+(2*(ROWS(A$1:A11)-1)))+INDEX('9 - Water Readings'!$M$8:$M$988,1+(2*(ROWS(A$1:A11)-1)))</f>
        <v>343</v>
      </c>
      <c r="H12" s="29">
        <v>1.5571912601017661</v>
      </c>
      <c r="I12" s="29">
        <f>'Submetering '!AA12</f>
        <v>0</v>
      </c>
      <c r="J12">
        <f>'Submetering '!AB12</f>
        <v>0</v>
      </c>
      <c r="K12">
        <f>'Submetering '!AC12</f>
        <v>12.4</v>
      </c>
    </row>
    <row r="13" spans="1:11" x14ac:dyDescent="0.35">
      <c r="A13" t="s">
        <v>35</v>
      </c>
      <c r="B13">
        <f t="shared" si="0"/>
        <v>12</v>
      </c>
      <c r="C13">
        <v>10</v>
      </c>
      <c r="D13">
        <v>2019</v>
      </c>
      <c r="E13" s="30">
        <f>0.75*INDEX('13 - Electrical Readings'!$H$8:$H$988,1+(2*(ROWS(A$1:A12)-1)))+INDEX('13 - Electrical Readings'!$Q$8:$Q$988,1+(2*(ROWS(A$1:A12)-1)))</f>
        <v>0</v>
      </c>
      <c r="F13">
        <v>4.1000000000000002E-2</v>
      </c>
      <c r="G13" s="31">
        <f>0.75*INDEX('9 - Water Readings'!$F$8:$F$988,1+(2*(ROWS(A$1:A12)-1)))+INDEX('9 - Water Readings'!$M$8:$M$988,1+(2*(ROWS(A$1:A12)-1)))</f>
        <v>0</v>
      </c>
      <c r="H13" s="29">
        <v>1.5571912601017661</v>
      </c>
      <c r="I13" s="29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35">
      <c r="A14" t="s">
        <v>35</v>
      </c>
      <c r="B14">
        <f t="shared" si="0"/>
        <v>13</v>
      </c>
      <c r="C14">
        <v>10</v>
      </c>
      <c r="D14">
        <v>2019</v>
      </c>
      <c r="E14" s="30">
        <f>0.75*INDEX('13 - Electrical Readings'!$H$8:$H$988,1+(2*(ROWS(A$1:A13)-1)))+INDEX('13 - Electrical Readings'!$Q$8:$Q$988,1+(2*(ROWS(A$1:A13)-1)))</f>
        <v>0</v>
      </c>
      <c r="F14">
        <v>4.1000000000000002E-2</v>
      </c>
      <c r="G14" s="31">
        <f>0.75*INDEX('9 - Water Readings'!$F$8:$F$988,1+(2*(ROWS(A$1:A13)-1)))+INDEX('9 - Water Readings'!$M$8:$M$988,1+(2*(ROWS(A$1:A13)-1)))</f>
        <v>0</v>
      </c>
      <c r="H14" s="29">
        <v>1.5571912601017661</v>
      </c>
      <c r="I14" s="29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35">
      <c r="A15" t="s">
        <v>35</v>
      </c>
      <c r="B15">
        <f t="shared" si="0"/>
        <v>14</v>
      </c>
      <c r="C15">
        <v>10</v>
      </c>
      <c r="D15">
        <v>2019</v>
      </c>
      <c r="E15" s="30">
        <f>0.75*INDEX('13 - Electrical Readings'!$H$8:$H$988,1+(2*(ROWS(A$1:A14)-1)))+INDEX('13 - Electrical Readings'!$Q$8:$Q$988,1+(2*(ROWS(A$1:A14)-1)))</f>
        <v>0</v>
      </c>
      <c r="F15">
        <v>4.1000000000000002E-2</v>
      </c>
      <c r="G15" s="31">
        <f>0.75*INDEX('9 - Water Readings'!$F$8:$F$988,1+(2*(ROWS(A$1:A14)-1)))+INDEX('9 - Water Readings'!$M$8:$M$988,1+(2*(ROWS(A$1:A14)-1)))</f>
        <v>0</v>
      </c>
      <c r="H15" s="29">
        <v>1.5571912601017661</v>
      </c>
      <c r="I15" s="29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35">
      <c r="A16" t="s">
        <v>35</v>
      </c>
      <c r="B16">
        <f t="shared" si="0"/>
        <v>15</v>
      </c>
      <c r="C16">
        <v>10</v>
      </c>
      <c r="D16">
        <v>2019</v>
      </c>
      <c r="E16" s="30">
        <f>0.75*INDEX('13 - Electrical Readings'!$H$8:$H$988,1+(2*(ROWS(A$1:A15)-1)))+INDEX('13 - Electrical Readings'!$Q$8:$Q$988,1+(2*(ROWS(A$1:A15)-1)))</f>
        <v>0</v>
      </c>
      <c r="F16">
        <v>4.1000000000000002E-2</v>
      </c>
      <c r="G16" s="31">
        <f>0.75*INDEX('9 - Water Readings'!$F$8:$F$988,1+(2*(ROWS(A$1:A15)-1)))+INDEX('9 - Water Readings'!$M$8:$M$988,1+(2*(ROWS(A$1:A15)-1)))</f>
        <v>0</v>
      </c>
      <c r="H16" s="29">
        <v>1.5571912601017661</v>
      </c>
      <c r="I16" s="29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35">
      <c r="A17" t="s">
        <v>35</v>
      </c>
      <c r="B17">
        <f t="shared" si="0"/>
        <v>16</v>
      </c>
      <c r="C17">
        <v>10</v>
      </c>
      <c r="D17">
        <v>2019</v>
      </c>
      <c r="E17" s="30">
        <f>0.75*INDEX('13 - Electrical Readings'!$H$8:$H$988,1+(2*(ROWS(A$1:A16)-1)))+INDEX('13 - Electrical Readings'!$Q$8:$Q$988,1+(2*(ROWS(A$1:A16)-1)))</f>
        <v>0</v>
      </c>
      <c r="F17">
        <v>4.1000000000000002E-2</v>
      </c>
      <c r="G17" s="31">
        <f>0.75*INDEX('9 - Water Readings'!$F$8:$F$988,1+(2*(ROWS(A$1:A16)-1)))+INDEX('9 - Water Readings'!$M$8:$M$988,1+(2*(ROWS(A$1:A16)-1)))</f>
        <v>0</v>
      </c>
      <c r="H17" s="29">
        <v>1.5571912601017661</v>
      </c>
      <c r="I17" s="29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35">
      <c r="A18" t="s">
        <v>35</v>
      </c>
      <c r="B18">
        <f t="shared" si="0"/>
        <v>17</v>
      </c>
      <c r="C18">
        <v>10</v>
      </c>
      <c r="D18">
        <v>2019</v>
      </c>
      <c r="E18" s="30">
        <f>0.75*INDEX('13 - Electrical Readings'!$H$8:$H$988,1+(2*(ROWS(A$1:A17)-1)))+INDEX('13 - Electrical Readings'!$Q$8:$Q$988,1+(2*(ROWS(A$1:A17)-1)))</f>
        <v>0</v>
      </c>
      <c r="F18">
        <v>4.1000000000000002E-2</v>
      </c>
      <c r="G18" s="31">
        <f>0.75*INDEX('9 - Water Readings'!$F$8:$F$988,1+(2*(ROWS(A$1:A17)-1)))+INDEX('9 - Water Readings'!$M$8:$M$988,1+(2*(ROWS(A$1:A17)-1)))</f>
        <v>0</v>
      </c>
      <c r="H18" s="29">
        <v>1.5571912601017661</v>
      </c>
      <c r="I18" s="29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35">
      <c r="A19" t="s">
        <v>35</v>
      </c>
      <c r="B19">
        <f t="shared" si="0"/>
        <v>18</v>
      </c>
      <c r="C19">
        <v>10</v>
      </c>
      <c r="D19">
        <v>2019</v>
      </c>
      <c r="E19" s="30">
        <f>0.75*INDEX('13 - Electrical Readings'!$H$8:$H$988,1+(2*(ROWS(A$1:A18)-1)))+INDEX('13 - Electrical Readings'!$Q$8:$Q$988,1+(2*(ROWS(A$1:A18)-1)))</f>
        <v>0</v>
      </c>
      <c r="F19">
        <v>4.1000000000000002E-2</v>
      </c>
      <c r="G19" s="31">
        <f>0.75*INDEX('9 - Water Readings'!$F$8:$F$988,1+(2*(ROWS(A$1:A18)-1)))+INDEX('9 - Water Readings'!$M$8:$M$988,1+(2*(ROWS(A$1:A18)-1)))</f>
        <v>0</v>
      </c>
      <c r="H19" s="29">
        <v>1.5571912601017661</v>
      </c>
      <c r="I19" s="29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35">
      <c r="A20" t="s">
        <v>35</v>
      </c>
      <c r="B20">
        <f t="shared" si="0"/>
        <v>19</v>
      </c>
      <c r="C20">
        <v>10</v>
      </c>
      <c r="D20">
        <v>2019</v>
      </c>
      <c r="E20" s="30">
        <f>0.75*INDEX('13 - Electrical Readings'!$H$8:$H$988,1+(2*(ROWS(A$1:A19)-1)))+INDEX('13 - Electrical Readings'!$Q$8:$Q$988,1+(2*(ROWS(A$1:A19)-1)))</f>
        <v>0</v>
      </c>
      <c r="F20">
        <v>4.1000000000000002E-2</v>
      </c>
      <c r="G20" s="31">
        <f>0.75*INDEX('9 - Water Readings'!$F$8:$F$988,1+(2*(ROWS(A$1:A19)-1)))+INDEX('9 - Water Readings'!$M$8:$M$988,1+(2*(ROWS(A$1:A19)-1)))</f>
        <v>0</v>
      </c>
      <c r="H20" s="29">
        <v>1.5571912601017661</v>
      </c>
      <c r="I20" s="29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35">
      <c r="A21" t="s">
        <v>35</v>
      </c>
      <c r="B21">
        <f t="shared" si="0"/>
        <v>20</v>
      </c>
      <c r="C21">
        <v>10</v>
      </c>
      <c r="D21">
        <v>2019</v>
      </c>
      <c r="E21" s="30">
        <f>0.75*INDEX('13 - Electrical Readings'!$H$8:$H$988,1+(2*(ROWS(A$1:A20)-1)))+INDEX('13 - Electrical Readings'!$Q$8:$Q$988,1+(2*(ROWS(A$1:A20)-1)))</f>
        <v>0</v>
      </c>
      <c r="F21">
        <v>4.1000000000000002E-2</v>
      </c>
      <c r="G21" s="31">
        <f>0.75*INDEX('9 - Water Readings'!$F$8:$F$988,1+(2*(ROWS(A$1:A20)-1)))+INDEX('9 - Water Readings'!$M$8:$M$988,1+(2*(ROWS(A$1:A20)-1)))</f>
        <v>0</v>
      </c>
      <c r="H21" s="29">
        <v>1.5571912601017661</v>
      </c>
      <c r="I21" s="29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35">
      <c r="A22" t="s">
        <v>35</v>
      </c>
      <c r="B22">
        <f t="shared" si="0"/>
        <v>21</v>
      </c>
      <c r="C22">
        <v>10</v>
      </c>
      <c r="D22">
        <v>2019</v>
      </c>
      <c r="E22" s="30">
        <f>0.75*INDEX('13 - Electrical Readings'!$H$8:$H$988,1+(2*(ROWS(A$1:A21)-1)))+INDEX('13 - Electrical Readings'!$Q$8:$Q$988,1+(2*(ROWS(A$1:A21)-1)))</f>
        <v>0</v>
      </c>
      <c r="F22">
        <v>4.1000000000000002E-2</v>
      </c>
      <c r="G22" s="31">
        <f>0.75*INDEX('9 - Water Readings'!$F$8:$F$988,1+(2*(ROWS(A$1:A21)-1)))+INDEX('9 - Water Readings'!$M$8:$M$988,1+(2*(ROWS(A$1:A21)-1)))</f>
        <v>0</v>
      </c>
      <c r="H22" s="29">
        <v>1.5571912601017661</v>
      </c>
      <c r="I22" s="29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35">
      <c r="A23" t="s">
        <v>35</v>
      </c>
      <c r="B23">
        <f t="shared" si="0"/>
        <v>22</v>
      </c>
      <c r="C23">
        <v>10</v>
      </c>
      <c r="D23">
        <v>2019</v>
      </c>
      <c r="E23" s="30">
        <f>0.75*INDEX('13 - Electrical Readings'!$H$8:$H$988,1+(2*(ROWS(A$1:A22)-1)))+INDEX('13 - Electrical Readings'!$Q$8:$Q$988,1+(2*(ROWS(A$1:A22)-1)))</f>
        <v>0</v>
      </c>
      <c r="F23">
        <v>4.1000000000000002E-2</v>
      </c>
      <c r="G23" s="31">
        <f>0.75*INDEX('9 - Water Readings'!$F$8:$F$988,1+(2*(ROWS(A$1:A22)-1)))+INDEX('9 - Water Readings'!$M$8:$M$988,1+(2*(ROWS(A$1:A22)-1)))</f>
        <v>0</v>
      </c>
      <c r="H23" s="29">
        <v>1.5571912601017661</v>
      </c>
      <c r="I23" s="29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35">
      <c r="A24" t="s">
        <v>35</v>
      </c>
      <c r="B24">
        <f t="shared" si="0"/>
        <v>23</v>
      </c>
      <c r="C24">
        <v>10</v>
      </c>
      <c r="D24">
        <v>2019</v>
      </c>
      <c r="E24" s="30">
        <f>0.75*INDEX('13 - Electrical Readings'!$H$8:$H$988,1+(2*(ROWS(A$1:A23)-1)))+INDEX('13 - Electrical Readings'!$Q$8:$Q$988,1+(2*(ROWS(A$1:A23)-1)))</f>
        <v>0</v>
      </c>
      <c r="F24">
        <v>4.1000000000000002E-2</v>
      </c>
      <c r="G24" s="31">
        <f>0.75*INDEX('9 - Water Readings'!$F$8:$F$988,1+(2*(ROWS(A$1:A23)-1)))+INDEX('9 - Water Readings'!$M$8:$M$988,1+(2*(ROWS(A$1:A23)-1)))</f>
        <v>0</v>
      </c>
      <c r="H24" s="29">
        <v>1.5571912601017661</v>
      </c>
      <c r="I24" s="29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35">
      <c r="A25" t="s">
        <v>35</v>
      </c>
      <c r="B25">
        <f t="shared" si="0"/>
        <v>24</v>
      </c>
      <c r="C25">
        <v>10</v>
      </c>
      <c r="D25">
        <v>2019</v>
      </c>
      <c r="E25" s="30">
        <f>0.75*INDEX('13 - Electrical Readings'!$H$8:$H$988,1+(2*(ROWS(A$1:A24)-1)))+INDEX('13 - Electrical Readings'!$Q$8:$Q$988,1+(2*(ROWS(A$1:A24)-1)))</f>
        <v>0</v>
      </c>
      <c r="F25">
        <v>4.1000000000000002E-2</v>
      </c>
      <c r="G25" s="31">
        <f>0.75*INDEX('9 - Water Readings'!$F$8:$F$988,1+(2*(ROWS(A$1:A24)-1)))+INDEX('9 - Water Readings'!$M$8:$M$988,1+(2*(ROWS(A$1:A24)-1)))</f>
        <v>0</v>
      </c>
      <c r="H25" s="29">
        <v>1.5571912601017661</v>
      </c>
      <c r="I25" s="29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35">
      <c r="A26" t="s">
        <v>35</v>
      </c>
      <c r="B26">
        <f>B25+1</f>
        <v>25</v>
      </c>
      <c r="C26">
        <v>10</v>
      </c>
      <c r="D26">
        <v>2019</v>
      </c>
      <c r="E26" s="30">
        <f>0.75*INDEX('13 - Electrical Readings'!$H$8:$H$988,1+(2*(ROWS(A$1:A25)-1)))+INDEX('13 - Electrical Readings'!$Q$8:$Q$988,1+(2*(ROWS(A$1:A25)-1)))</f>
        <v>0</v>
      </c>
      <c r="F26">
        <v>4.1000000000000002E-2</v>
      </c>
      <c r="G26" s="31">
        <f>0.75*INDEX('9 - Water Readings'!$F$8:$F$988,1+(2*(ROWS(A$1:A25)-1)))+INDEX('9 - Water Readings'!$M$8:$M$988,1+(2*(ROWS(A$1:A25)-1)))</f>
        <v>0</v>
      </c>
      <c r="H26" s="29">
        <v>1.5571912601017661</v>
      </c>
      <c r="I26" s="29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35">
      <c r="A27" t="s">
        <v>35</v>
      </c>
      <c r="B27">
        <f t="shared" si="0"/>
        <v>26</v>
      </c>
      <c r="C27">
        <v>10</v>
      </c>
      <c r="D27">
        <v>2019</v>
      </c>
      <c r="E27" s="30">
        <f>0.75*INDEX('13 - Electrical Readings'!$H$8:$H$988,1+(2*(ROWS(A$1:A26)-1)))+INDEX('13 - Electrical Readings'!$Q$8:$Q$988,1+(2*(ROWS(A$1:A26)-1)))</f>
        <v>0</v>
      </c>
      <c r="F27">
        <v>4.1000000000000002E-2</v>
      </c>
      <c r="G27" s="31">
        <f>0.75*INDEX('9 - Water Readings'!$F$8:$F$988,1+(2*(ROWS(A$1:A26)-1)))+INDEX('9 - Water Readings'!$M$8:$M$988,1+(2*(ROWS(A$1:A26)-1)))</f>
        <v>0</v>
      </c>
      <c r="H27" s="29">
        <v>1.5571912601017661</v>
      </c>
      <c r="I27" s="29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35">
      <c r="A28" t="s">
        <v>35</v>
      </c>
      <c r="B28">
        <f t="shared" si="0"/>
        <v>27</v>
      </c>
      <c r="C28">
        <v>10</v>
      </c>
      <c r="D28">
        <v>2019</v>
      </c>
      <c r="E28" s="30">
        <f>0.75*INDEX('13 - Electrical Readings'!$H$8:$H$988,1+(2*(ROWS(A$1:A27)-1)))+INDEX('13 - Electrical Readings'!$Q$8:$Q$988,1+(2*(ROWS(A$1:A27)-1)))</f>
        <v>0</v>
      </c>
      <c r="F28">
        <v>4.1000000000000002E-2</v>
      </c>
      <c r="G28" s="31">
        <f>0.75*INDEX('9 - Water Readings'!$F$8:$F$988,1+(2*(ROWS(A$1:A27)-1)))+INDEX('9 - Water Readings'!$M$8:$M$988,1+(2*(ROWS(A$1:A27)-1)))</f>
        <v>0</v>
      </c>
      <c r="H28" s="29">
        <v>1.5571912601017661</v>
      </c>
      <c r="I28" s="29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35">
      <c r="A29" t="s">
        <v>35</v>
      </c>
      <c r="B29">
        <f t="shared" si="0"/>
        <v>28</v>
      </c>
      <c r="C29">
        <v>10</v>
      </c>
      <c r="D29">
        <v>2019</v>
      </c>
      <c r="E29" s="30">
        <f>0.75*INDEX('13 - Electrical Readings'!$H$8:$H$988,1+(2*(ROWS(A$1:A28)-1)))+INDEX('13 - Electrical Readings'!$Q$8:$Q$988,1+(2*(ROWS(A$1:A28)-1)))</f>
        <v>0</v>
      </c>
      <c r="F29">
        <v>4.1000000000000002E-2</v>
      </c>
      <c r="G29" s="31">
        <f>0.75*INDEX('9 - Water Readings'!$F$8:$F$988,1+(2*(ROWS(A$1:A28)-1)))+INDEX('9 - Water Readings'!$M$8:$M$988,1+(2*(ROWS(A$1:A28)-1)))</f>
        <v>0</v>
      </c>
      <c r="H29" s="29">
        <v>1.5571912601017661</v>
      </c>
      <c r="I29" s="29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35">
      <c r="A30" t="s">
        <v>35</v>
      </c>
      <c r="B30">
        <f t="shared" si="0"/>
        <v>29</v>
      </c>
      <c r="C30">
        <v>10</v>
      </c>
      <c r="D30">
        <v>2019</v>
      </c>
      <c r="E30" s="30">
        <f>0.75*INDEX('13 - Electrical Readings'!$H$8:$H$988,1+(2*(ROWS(A$1:A29)-1)))+INDEX('13 - Electrical Readings'!$Q$8:$Q$988,1+(2*(ROWS(A$1:A29)-1)))</f>
        <v>0</v>
      </c>
      <c r="F30">
        <v>4.1000000000000002E-2</v>
      </c>
      <c r="G30" s="31">
        <f>0.75*INDEX('9 - Water Readings'!$F$8:$F$988,1+(2*(ROWS(A$1:A29)-1)))+INDEX('9 - Water Readings'!$M$8:$M$988,1+(2*(ROWS(A$1:A29)-1)))</f>
        <v>0</v>
      </c>
      <c r="H30" s="29">
        <v>1.5571912601017661</v>
      </c>
      <c r="I30" s="29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35">
      <c r="A31" t="s">
        <v>35</v>
      </c>
      <c r="B31">
        <f t="shared" si="0"/>
        <v>30</v>
      </c>
      <c r="C31">
        <v>10</v>
      </c>
      <c r="D31">
        <v>2019</v>
      </c>
      <c r="E31" s="30">
        <f>0.75*INDEX('13 - Electrical Readings'!$H$8:$H$988,1+(2*(ROWS(A$1:A30)-1)))+INDEX('13 - Electrical Readings'!$Q$8:$Q$988,1+(2*(ROWS(A$1:A30)-1)))</f>
        <v>0</v>
      </c>
      <c r="F31">
        <v>4.1000000000000002E-2</v>
      </c>
      <c r="G31" s="31">
        <f>0.75*INDEX('9 - Water Readings'!$F$8:$F$988,1+(2*(ROWS(A$1:A30)-1)))+INDEX('9 - Water Readings'!$M$8:$M$988,1+(2*(ROWS(A$1:A30)-1)))</f>
        <v>0</v>
      </c>
      <c r="H31" s="29">
        <v>1.5571912601017661</v>
      </c>
      <c r="I31" s="29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35">
      <c r="A32" t="s">
        <v>35</v>
      </c>
      <c r="B32">
        <f t="shared" si="0"/>
        <v>31</v>
      </c>
      <c r="C32">
        <v>10</v>
      </c>
      <c r="D32">
        <v>2019</v>
      </c>
      <c r="E32" s="30">
        <f>0.75*INDEX('13 - Electrical Readings'!$H$8:$H$988,1+(2*(ROWS(A$1:A31)-1)))+INDEX('13 - Electrical Readings'!$Q$8:$Q$988,1+(2*(ROWS(A$1:A31)-1)))</f>
        <v>0</v>
      </c>
      <c r="F32">
        <v>4.1000000000000002E-2</v>
      </c>
      <c r="G32" s="31">
        <f>0.75*INDEX('9 - Water Readings'!$F$8:$F$988,1+(2*(ROWS(A$1:A31)-1)))+INDEX('9 - Water Readings'!$M$8:$M$988,1+(2*(ROWS(A$1:A31)-1)))</f>
        <v>0</v>
      </c>
      <c r="H32" s="29">
        <v>1.5571912601017661</v>
      </c>
      <c r="I32" s="29">
        <f>'Submetering '!AA32</f>
        <v>0</v>
      </c>
      <c r="J32">
        <f>'Submetering '!AB32</f>
        <v>0</v>
      </c>
      <c r="K32">
        <f>'Submetering '!AC32</f>
        <v>0</v>
      </c>
    </row>
    <row r="33" spans="5:9" x14ac:dyDescent="0.35">
      <c r="E33" s="28">
        <f>SUM(E2:E31)</f>
        <v>593736</v>
      </c>
      <c r="G33" s="28">
        <f>SUM(G2:G31)</f>
        <v>3208</v>
      </c>
      <c r="I33" s="29"/>
    </row>
    <row r="34" spans="5:9" x14ac:dyDescent="0.35">
      <c r="E34"/>
      <c r="I34" s="29"/>
    </row>
    <row r="35" spans="5:9" x14ac:dyDescent="0.35">
      <c r="E35"/>
    </row>
    <row r="36" spans="5:9" x14ac:dyDescent="0.35">
      <c r="E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workbookViewId="0">
      <selection activeCell="D33" sqref="D33"/>
    </sheetView>
  </sheetViews>
  <sheetFormatPr defaultColWidth="11.54296875" defaultRowHeight="14.5" x14ac:dyDescent="0.35"/>
  <cols>
    <col min="1" max="3" width="11.54296875" style="40" customWidth="1"/>
    <col min="4" max="4" width="13.453125" style="37" customWidth="1"/>
    <col min="5" max="6" width="12.54296875" style="38" customWidth="1"/>
    <col min="7" max="14" width="12.54296875" style="37" customWidth="1"/>
    <col min="15" max="26" width="11.54296875" style="38" customWidth="1"/>
    <col min="27" max="16384" width="11.54296875" style="37"/>
  </cols>
  <sheetData>
    <row r="1" spans="1:29" s="36" customFormat="1" ht="29.5" thickTop="1" x14ac:dyDescent="0.35">
      <c r="A1" s="50" t="s">
        <v>25</v>
      </c>
      <c r="B1" s="50" t="s">
        <v>26</v>
      </c>
      <c r="C1" s="50" t="s">
        <v>27</v>
      </c>
      <c r="D1" s="51" t="s">
        <v>28</v>
      </c>
      <c r="E1" s="52" t="s">
        <v>42</v>
      </c>
      <c r="F1" s="52" t="s">
        <v>36</v>
      </c>
      <c r="G1" s="52" t="s">
        <v>37</v>
      </c>
      <c r="H1" s="52" t="s">
        <v>38</v>
      </c>
      <c r="I1" s="52" t="s">
        <v>39</v>
      </c>
      <c r="J1" s="52" t="s">
        <v>40</v>
      </c>
      <c r="K1" s="33" t="s">
        <v>41</v>
      </c>
      <c r="L1" s="33" t="s">
        <v>46</v>
      </c>
      <c r="M1" s="33" t="s">
        <v>47</v>
      </c>
      <c r="N1" s="33" t="s">
        <v>48</v>
      </c>
      <c r="O1" s="34" t="s">
        <v>43</v>
      </c>
      <c r="P1" s="34" t="s">
        <v>44</v>
      </c>
      <c r="Q1" s="34" t="s">
        <v>45</v>
      </c>
      <c r="R1" s="34" t="s">
        <v>49</v>
      </c>
      <c r="S1" s="34" t="s">
        <v>50</v>
      </c>
      <c r="T1" s="34" t="s">
        <v>57</v>
      </c>
      <c r="U1" s="34" t="s">
        <v>51</v>
      </c>
      <c r="V1" s="34" t="s">
        <v>52</v>
      </c>
      <c r="W1" s="34" t="s">
        <v>53</v>
      </c>
      <c r="X1" s="34" t="s">
        <v>54</v>
      </c>
      <c r="Y1" s="34" t="s">
        <v>55</v>
      </c>
      <c r="Z1" s="34" t="s">
        <v>56</v>
      </c>
      <c r="AA1" s="35" t="s">
        <v>33</v>
      </c>
      <c r="AB1" s="35" t="s">
        <v>34</v>
      </c>
      <c r="AC1" s="35" t="s">
        <v>58</v>
      </c>
    </row>
    <row r="2" spans="1:29" x14ac:dyDescent="0.35">
      <c r="A2" s="40" t="s">
        <v>35</v>
      </c>
      <c r="B2" s="40">
        <v>1</v>
      </c>
      <c r="C2" s="40">
        <v>10</v>
      </c>
      <c r="D2" s="37">
        <v>2019</v>
      </c>
      <c r="E2" s="38">
        <f>INDEX('13 - Electrical Readings'!$C$8:$C$988,1+(2*(ROWS(A$1:A1)-1)))</f>
        <v>10</v>
      </c>
      <c r="F2" s="38">
        <f>INDEX('13 - Electrical Readings'!$D$6:$D$988,1+(2*(ROWS(A$1:A2)-1)))</f>
        <v>12243</v>
      </c>
      <c r="G2" s="37">
        <f>INDEX('13 - Electrical Readings'!$E$6:$E$988,1+(2*(ROWS(A$1:A2)-1)))</f>
        <v>15723</v>
      </c>
      <c r="H2" s="37">
        <f>INDEX('13 - Electrical Readings'!$F$6:$F$988,1+(2*(ROWS(A$1:A2)-1)))</f>
        <v>5243</v>
      </c>
      <c r="I2" s="38">
        <f>INDEX('13 - Electrical Readings'!$G$6:$G$988,1+(2*(ROWS(A$1:A2)-1)))</f>
        <v>16</v>
      </c>
      <c r="J2" s="37">
        <f>INDEX('13 - Electrical Readings'!$I$6:$I$988,1+(2*(ROWS(A$1:A2)-1)))</f>
        <v>1816</v>
      </c>
      <c r="K2" s="37">
        <f>INDEX('13 - Electrical Readings'!$J$6:$J$988,1+(2*(ROWS(B$1:B2)-1)))</f>
        <v>4056</v>
      </c>
      <c r="L2" s="37">
        <f>INDEX('13 - Electrical Readings'!$K$6:$K$988,1+(2*(ROWS(C$1:C2)-1)))</f>
        <v>1040</v>
      </c>
      <c r="M2" s="37">
        <f>INDEX('13 - Electrical Readings'!$L$6:$L$988,1+(2*(ROWS(D$1:D2)-1)))</f>
        <v>1936</v>
      </c>
      <c r="N2" s="37">
        <f>INDEX('13 - Electrical Readings'!$M$6:$M$988,1+(2*(ROWS(E$1:E2)-1)))</f>
        <v>5549</v>
      </c>
      <c r="O2" s="38">
        <f>INDEX('13 - Electrical Readings'!$N$6:$N$988,1+(2*(ROWS(E$1:E2)-1)))</f>
        <v>8954</v>
      </c>
      <c r="P2" s="38">
        <f>INDEX('13 - Electrical Readings'!$O$6:$O$988,1+(2*(ROWS(E$1:E2)-1)))</f>
        <v>3517</v>
      </c>
      <c r="Q2" s="38">
        <f>INDEX('13 - Electrical Readings'!$P$6:$P$988,1+(2*(ROWS(E$1:E2)-1)))</f>
        <v>2870</v>
      </c>
      <c r="R2" s="38">
        <f>INDEX('9 - Water Readings'!$C$8:$C$988,1+(2*(ROWS(A$1:A1)-1)))</f>
        <v>0</v>
      </c>
      <c r="S2" s="38">
        <f>INDEX('9 - Water Readings'!$D$8:$D$987,1+(2*(ROWS(A$1:A1)-1)))</f>
        <v>0</v>
      </c>
      <c r="T2" s="38">
        <f>INDEX('9 - Water Readings'!$E$8:$E$988,1+(2*(ROWS(A$1:A1)-1)))</f>
        <v>0</v>
      </c>
      <c r="U2" s="38">
        <f>INDEX('9 - Water Readings'!$G$8:$G$987,1+(2*(ROWS(A$1:A1)-1)))</f>
        <v>0</v>
      </c>
      <c r="V2" s="38">
        <f>INDEX('9 - Water Readings'!$H$8:$H$988,1+(2*(ROWS(A$1:A1)-1)))</f>
        <v>0</v>
      </c>
      <c r="W2" s="38">
        <f>INDEX('9 - Water Readings'!$I$8:$I$988,1+(2*(ROWS(A$1:A1)-1)))</f>
        <v>38</v>
      </c>
      <c r="X2" s="38">
        <f>INDEX('9 - Water Readings'!$J$8:$J$988,1+(2*(ROWS(A$1:A1)-1)))</f>
        <v>88</v>
      </c>
      <c r="Y2" s="38">
        <f>INDEX('9 - Water Readings'!$K$8:$K$988,1+(2*(ROWS(A$1:A1)-1)))</f>
        <v>0</v>
      </c>
      <c r="Z2" s="38">
        <f>INDEX('9 - Water Readings'!$L$8:$L$988,1+(2*(ROWS(A$1:A1)-1)))</f>
        <v>53</v>
      </c>
      <c r="AA2" s="39">
        <f>'9 - Water Readings'!Q7</f>
        <v>0</v>
      </c>
      <c r="AB2" s="37">
        <f>'9 - Water Readings'!R7</f>
        <v>0</v>
      </c>
      <c r="AC2">
        <f>'9 - Water Readings'!S7</f>
        <v>13.8</v>
      </c>
    </row>
    <row r="3" spans="1:29" x14ac:dyDescent="0.35">
      <c r="A3" s="40" t="s">
        <v>35</v>
      </c>
      <c r="B3" s="40">
        <f>B2+1</f>
        <v>2</v>
      </c>
      <c r="C3" s="40">
        <v>10</v>
      </c>
      <c r="D3" s="37">
        <v>2019</v>
      </c>
      <c r="E3" s="38">
        <f>INDEX('13 - Electrical Readings'!$C$8:$C$988,1+(2*(ROWS(A$1:A2)-1)))</f>
        <v>12</v>
      </c>
      <c r="F3" s="38">
        <f>INDEX('13 - Electrical Readings'!$D$6:$D$988,1+(2*(ROWS(A$1:A3)-1)))</f>
        <v>10945</v>
      </c>
      <c r="G3" s="37">
        <f>INDEX('13 - Electrical Readings'!$E$6:$E$988,1+(2*(ROWS(A$1:A3)-1)))</f>
        <v>14313</v>
      </c>
      <c r="H3" s="37">
        <f>INDEX('13 - Electrical Readings'!$F$6:$F$988,1+(2*(ROWS(A$1:A3)-1)))</f>
        <v>5063</v>
      </c>
      <c r="I3" s="38">
        <f>INDEX('13 - Electrical Readings'!$G$6:$G$988,1+(2*(ROWS(A$1:A3)-1)))</f>
        <v>16</v>
      </c>
      <c r="J3" s="37">
        <f>INDEX('13 - Electrical Readings'!$I$6:$I$988,1+(2*(ROWS(A$1:A3)-1)))</f>
        <v>1630</v>
      </c>
      <c r="K3" s="37">
        <f>INDEX('13 - Electrical Readings'!$J$6:$J$988,1+(2*(ROWS(B$1:B3)-1)))</f>
        <v>4548</v>
      </c>
      <c r="L3" s="37">
        <f>INDEX('13 - Electrical Readings'!$K$6:$K$988,1+(2*(ROWS(C$1:C3)-1)))</f>
        <v>923</v>
      </c>
      <c r="M3" s="37">
        <f>INDEX('13 - Electrical Readings'!$L$6:$L$988,1+(2*(ROWS(D$1:D3)-1)))</f>
        <v>1869</v>
      </c>
      <c r="N3" s="37">
        <f>INDEX('13 - Electrical Readings'!$M$6:$M$988,1+(2*(ROWS(E$1:E3)-1)))</f>
        <v>5301</v>
      </c>
      <c r="O3" s="38">
        <f>INDEX('13 - Electrical Readings'!$N$6:$N$988,1+(2*(ROWS(E$1:E3)-1)))</f>
        <v>8829</v>
      </c>
      <c r="P3" s="38">
        <f>INDEX('13 - Electrical Readings'!$O$6:$O$988,1+(2*(ROWS(E$1:E3)-1)))</f>
        <v>2990</v>
      </c>
      <c r="Q3" s="38">
        <f>INDEX('13 - Electrical Readings'!$P$6:$P$988,1+(2*(ROWS(E$1:E3)-1)))</f>
        <v>2610</v>
      </c>
      <c r="R3" s="38">
        <f>INDEX('9 - Water Readings'!$C$8:$C$988,1+(2*(ROWS(A$1:A2)-1)))</f>
        <v>0</v>
      </c>
      <c r="S3" s="38">
        <f>INDEX('9 - Water Readings'!$D$8:$D$987,1+(2*(ROWS(A$1:A2)-1)))</f>
        <v>0</v>
      </c>
      <c r="T3" s="38">
        <f>INDEX('9 - Water Readings'!$E$8:$E$988,1+(2*(ROWS(A$1:A2)-1)))</f>
        <v>0</v>
      </c>
      <c r="U3" s="38">
        <f>INDEX('9 - Water Readings'!$G$8:$G$987,1+(2*(ROWS(A$1:A2)-1)))</f>
        <v>0</v>
      </c>
      <c r="V3" s="38">
        <f>INDEX('9 - Water Readings'!$H$8:$H$988,1+(2*(ROWS(A$1:A2)-1)))</f>
        <v>0</v>
      </c>
      <c r="W3" s="38">
        <f>INDEX('9 - Water Readings'!$I$8:$I$988,1+(2*(ROWS(A$1:A2)-1)))</f>
        <v>39</v>
      </c>
      <c r="X3" s="38">
        <f>INDEX('9 - Water Readings'!$J$8:$J$988,1+(2*(ROWS(A$1:A2)-1)))</f>
        <v>85</v>
      </c>
      <c r="Y3" s="38">
        <f>INDEX('9 - Water Readings'!$K$8:$K$988,1+(2*(ROWS(A$1:A2)-1)))</f>
        <v>0</v>
      </c>
      <c r="Z3" s="38">
        <f>INDEX('9 - Water Readings'!$L$8:$L$988,1+(2*(ROWS(A$1:A2)-1)))</f>
        <v>52</v>
      </c>
      <c r="AA3" s="39">
        <f>'9 - Water Readings'!Q8</f>
        <v>0</v>
      </c>
      <c r="AB3" s="37">
        <f>'9 - Water Readings'!R8</f>
        <v>0</v>
      </c>
      <c r="AC3">
        <f>'9 - Water Readings'!S8</f>
        <v>13.9</v>
      </c>
    </row>
    <row r="4" spans="1:29" x14ac:dyDescent="0.35">
      <c r="A4" s="40" t="s">
        <v>35</v>
      </c>
      <c r="B4" s="40">
        <f t="shared" ref="B4:B31" si="0">B3+1</f>
        <v>3</v>
      </c>
      <c r="C4" s="40">
        <v>10</v>
      </c>
      <c r="D4" s="37">
        <v>2019</v>
      </c>
      <c r="E4" s="38">
        <f>INDEX('13 - Electrical Readings'!$C$8:$C$988,1+(2*(ROWS(A$1:A3)-1)))</f>
        <v>10</v>
      </c>
      <c r="F4" s="38">
        <f>INDEX('13 - Electrical Readings'!$D$6:$D$988,1+(2*(ROWS(A$1:A4)-1)))</f>
        <v>10901</v>
      </c>
      <c r="G4" s="37">
        <f>INDEX('13 - Electrical Readings'!$E$6:$E$988,1+(2*(ROWS(A$1:A4)-1)))</f>
        <v>14227</v>
      </c>
      <c r="H4" s="37">
        <f>INDEX('13 - Electrical Readings'!$F$6:$F$988,1+(2*(ROWS(A$1:A4)-1)))</f>
        <v>5031</v>
      </c>
      <c r="I4" s="38">
        <f>INDEX('13 - Electrical Readings'!$G$6:$G$988,1+(2*(ROWS(A$1:A4)-1)))</f>
        <v>13</v>
      </c>
      <c r="J4" s="37">
        <f>INDEX('13 - Electrical Readings'!$I$6:$I$988,1+(2*(ROWS(A$1:A4)-1)))</f>
        <v>1673</v>
      </c>
      <c r="K4" s="37">
        <f>INDEX('13 - Electrical Readings'!$J$6:$J$988,1+(2*(ROWS(B$1:B4)-1)))</f>
        <v>4881</v>
      </c>
      <c r="L4" s="37">
        <f>INDEX('13 - Electrical Readings'!$K$6:$K$988,1+(2*(ROWS(C$1:C4)-1)))</f>
        <v>1032</v>
      </c>
      <c r="M4" s="37">
        <f>INDEX('13 - Electrical Readings'!$L$6:$L$988,1+(2*(ROWS(D$1:D4)-1)))</f>
        <v>1918</v>
      </c>
      <c r="N4" s="37">
        <f>INDEX('13 - Electrical Readings'!$M$6:$M$988,1+(2*(ROWS(E$1:E4)-1)))</f>
        <v>5810</v>
      </c>
      <c r="O4" s="38">
        <f>INDEX('13 - Electrical Readings'!$N$6:$N$988,1+(2*(ROWS(E$1:E4)-1)))</f>
        <v>9423</v>
      </c>
      <c r="P4" s="38">
        <f>INDEX('13 - Electrical Readings'!$O$6:$O$988,1+(2*(ROWS(E$1:E4)-1)))</f>
        <v>3533</v>
      </c>
      <c r="Q4" s="38">
        <f>INDEX('13 - Electrical Readings'!$P$6:$P$988,1+(2*(ROWS(E$1:E4)-1)))</f>
        <v>2860</v>
      </c>
      <c r="R4" s="38">
        <f>INDEX('9 - Water Readings'!$C$8:$C$988,1+(2*(ROWS(A$1:A3)-1)))</f>
        <v>0</v>
      </c>
      <c r="S4" s="38">
        <f>INDEX('9 - Water Readings'!$D$8:$D$987,1+(2*(ROWS(A$1:A3)-1)))</f>
        <v>0</v>
      </c>
      <c r="T4" s="38">
        <f>INDEX('9 - Water Readings'!$E$8:$E$988,1+(2*(ROWS(A$1:A3)-1)))</f>
        <v>0</v>
      </c>
      <c r="U4" s="38">
        <f>INDEX('9 - Water Readings'!$G$8:$G$987,1+(2*(ROWS(A$1:A3)-1)))</f>
        <v>0</v>
      </c>
      <c r="V4" s="38">
        <f>INDEX('9 - Water Readings'!$H$8:$H$988,1+(2*(ROWS(A$1:A3)-1)))</f>
        <v>0</v>
      </c>
      <c r="W4" s="38">
        <f>INDEX('9 - Water Readings'!$I$8:$I$988,1+(2*(ROWS(A$1:A3)-1)))</f>
        <v>44</v>
      </c>
      <c r="X4" s="38">
        <f>INDEX('9 - Water Readings'!$J$8:$J$988,1+(2*(ROWS(A$1:A3)-1)))</f>
        <v>82</v>
      </c>
      <c r="Y4" s="38">
        <f>INDEX('9 - Water Readings'!$K$8:$K$988,1+(2*(ROWS(A$1:A3)-1)))</f>
        <v>0</v>
      </c>
      <c r="Z4" s="38">
        <f>INDEX('9 - Water Readings'!$L$8:$L$988,1+(2*(ROWS(A$1:A3)-1)))</f>
        <v>61</v>
      </c>
      <c r="AA4" s="39">
        <f>'9 - Water Readings'!Q9</f>
        <v>0</v>
      </c>
      <c r="AB4" s="37">
        <f>'9 - Water Readings'!R9</f>
        <v>0</v>
      </c>
      <c r="AC4">
        <f>'9 - Water Readings'!S9</f>
        <v>14.1</v>
      </c>
    </row>
    <row r="5" spans="1:29" x14ac:dyDescent="0.35">
      <c r="A5" s="40" t="s">
        <v>35</v>
      </c>
      <c r="B5" s="40">
        <f t="shared" si="0"/>
        <v>4</v>
      </c>
      <c r="C5" s="40">
        <v>10</v>
      </c>
      <c r="D5" s="37">
        <v>2019</v>
      </c>
      <c r="E5" s="38">
        <f>INDEX('13 - Electrical Readings'!$C$8:$C$988,1+(2*(ROWS(A$1:A4)-1)))</f>
        <v>12</v>
      </c>
      <c r="F5" s="38">
        <f>INDEX('13 - Electrical Readings'!$D$6:$D$988,1+(2*(ROWS(A$1:A5)-1)))</f>
        <v>12504</v>
      </c>
      <c r="G5" s="37">
        <f>INDEX('13 - Electrical Readings'!$E$6:$E$988,1+(2*(ROWS(A$1:A5)-1)))</f>
        <v>16131</v>
      </c>
      <c r="H5" s="37">
        <f>INDEX('13 - Electrical Readings'!$F$6:$F$988,1+(2*(ROWS(A$1:A5)-1)))</f>
        <v>5308</v>
      </c>
      <c r="I5" s="38">
        <f>INDEX('13 - Electrical Readings'!$G$6:$G$988,1+(2*(ROWS(A$1:A5)-1)))</f>
        <v>15</v>
      </c>
      <c r="J5" s="37">
        <f>INDEX('13 - Electrical Readings'!$I$6:$I$988,1+(2*(ROWS(A$1:A5)-1)))</f>
        <v>1791</v>
      </c>
      <c r="K5" s="37">
        <f>INDEX('13 - Electrical Readings'!$J$6:$J$988,1+(2*(ROWS(B$1:B5)-1)))</f>
        <v>4522</v>
      </c>
      <c r="L5" s="37">
        <f>INDEX('13 - Electrical Readings'!$K$6:$K$988,1+(2*(ROWS(C$1:C5)-1)))</f>
        <v>921</v>
      </c>
      <c r="M5" s="37">
        <f>INDEX('13 - Electrical Readings'!$L$6:$L$988,1+(2*(ROWS(D$1:D5)-1)))</f>
        <v>1701</v>
      </c>
      <c r="N5" s="37">
        <f>INDEX('13 - Electrical Readings'!$M$6:$M$988,1+(2*(ROWS(E$1:E5)-1)))</f>
        <v>4581</v>
      </c>
      <c r="O5" s="38">
        <f>INDEX('13 - Electrical Readings'!$N$6:$N$988,1+(2*(ROWS(E$1:E5)-1)))</f>
        <v>8871</v>
      </c>
      <c r="P5" s="38">
        <f>INDEX('13 - Electrical Readings'!$O$6:$O$988,1+(2*(ROWS(E$1:E5)-1)))</f>
        <v>3212</v>
      </c>
      <c r="Q5" s="38">
        <f>INDEX('13 - Electrical Readings'!$P$6:$P$988,1+(2*(ROWS(E$1:E5)-1)))</f>
        <v>2610</v>
      </c>
      <c r="R5" s="38">
        <f>INDEX('9 - Water Readings'!$C$8:$C$988,1+(2*(ROWS(A$1:A4)-1)))</f>
        <v>0</v>
      </c>
      <c r="S5" s="38">
        <f>INDEX('9 - Water Readings'!$D$8:$D$987,1+(2*(ROWS(A$1:A4)-1)))</f>
        <v>0</v>
      </c>
      <c r="T5" s="38">
        <f>INDEX('9 - Water Readings'!$E$8:$E$988,1+(2*(ROWS(A$1:A4)-1)))</f>
        <v>0</v>
      </c>
      <c r="U5" s="38">
        <f>INDEX('9 - Water Readings'!$G$8:$G$987,1+(2*(ROWS(A$1:A4)-1)))</f>
        <v>0</v>
      </c>
      <c r="V5" s="38">
        <f>INDEX('9 - Water Readings'!$H$8:$H$988,1+(2*(ROWS(A$1:A4)-1)))</f>
        <v>0</v>
      </c>
      <c r="W5" s="38">
        <f>INDEX('9 - Water Readings'!$I$8:$I$988,1+(2*(ROWS(A$1:A4)-1)))</f>
        <v>47</v>
      </c>
      <c r="X5" s="38">
        <f>INDEX('9 - Water Readings'!$J$8:$J$988,1+(2*(ROWS(A$1:A4)-1)))</f>
        <v>310</v>
      </c>
      <c r="Y5" s="38">
        <f>INDEX('9 - Water Readings'!$K$8:$K$988,1+(2*(ROWS(A$1:A4)-1)))</f>
        <v>0</v>
      </c>
      <c r="Z5" s="38">
        <f>INDEX('9 - Water Readings'!$L$8:$L$988,1+(2*(ROWS(A$1:A4)-1)))</f>
        <v>57</v>
      </c>
      <c r="AA5" s="39">
        <f>'9 - Water Readings'!Q10</f>
        <v>0</v>
      </c>
      <c r="AB5" s="37">
        <f>'9 - Water Readings'!R10</f>
        <v>0</v>
      </c>
      <c r="AC5">
        <f>'9 - Water Readings'!S10</f>
        <v>12.7</v>
      </c>
    </row>
    <row r="6" spans="1:29" x14ac:dyDescent="0.35">
      <c r="A6" s="40" t="s">
        <v>35</v>
      </c>
      <c r="B6" s="40">
        <f t="shared" si="0"/>
        <v>5</v>
      </c>
      <c r="C6" s="40">
        <v>10</v>
      </c>
      <c r="D6" s="37">
        <v>2019</v>
      </c>
      <c r="E6" s="38">
        <f>INDEX('13 - Electrical Readings'!$C$8:$C$988,1+(2*(ROWS(A$1:A5)-1)))</f>
        <v>12</v>
      </c>
      <c r="F6" s="38">
        <f>INDEX('13 - Electrical Readings'!$D$6:$D$988,1+(2*(ROWS(A$1:A6)-1)))</f>
        <v>11351</v>
      </c>
      <c r="G6" s="37">
        <f>INDEX('13 - Electrical Readings'!$E$6:$E$988,1+(2*(ROWS(A$1:A6)-1)))</f>
        <v>14693</v>
      </c>
      <c r="H6" s="37">
        <f>INDEX('13 - Electrical Readings'!$F$6:$F$988,1+(2*(ROWS(A$1:A6)-1)))</f>
        <v>4959</v>
      </c>
      <c r="I6" s="38">
        <f>INDEX('13 - Electrical Readings'!$G$6:$G$988,1+(2*(ROWS(A$1:A6)-1)))</f>
        <v>15</v>
      </c>
      <c r="J6" s="37">
        <f>INDEX('13 - Electrical Readings'!$I$6:$I$988,1+(2*(ROWS(A$1:A6)-1)))</f>
        <v>1814</v>
      </c>
      <c r="K6" s="37">
        <f>INDEX('13 - Electrical Readings'!$J$6:$J$988,1+(2*(ROWS(B$1:B6)-1)))</f>
        <v>4826</v>
      </c>
      <c r="L6" s="37">
        <f>INDEX('13 - Electrical Readings'!$K$6:$K$988,1+(2*(ROWS(C$1:C6)-1)))</f>
        <v>1003</v>
      </c>
      <c r="M6" s="37">
        <f>INDEX('13 - Electrical Readings'!$L$6:$L$988,1+(2*(ROWS(D$1:D6)-1)))</f>
        <v>1872</v>
      </c>
      <c r="N6" s="37">
        <f>INDEX('13 - Electrical Readings'!$M$6:$M$988,1+(2*(ROWS(E$1:E6)-1)))</f>
        <v>5579</v>
      </c>
      <c r="O6" s="38">
        <f>INDEX('13 - Electrical Readings'!$N$6:$N$988,1+(2*(ROWS(E$1:E6)-1)))</f>
        <v>9227</v>
      </c>
      <c r="P6" s="38">
        <f>INDEX('13 - Electrical Readings'!$O$6:$O$988,1+(2*(ROWS(E$1:E6)-1)))</f>
        <v>4115</v>
      </c>
      <c r="Q6" s="38">
        <f>INDEX('13 - Electrical Readings'!$P$6:$P$988,1+(2*(ROWS(E$1:E6)-1)))</f>
        <v>2660</v>
      </c>
      <c r="R6" s="38">
        <f>INDEX('9 - Water Readings'!$C$8:$C$988,1+(2*(ROWS(A$1:A5)-1)))</f>
        <v>0</v>
      </c>
      <c r="S6" s="38">
        <f>INDEX('9 - Water Readings'!$D$8:$D$987,1+(2*(ROWS(A$1:A5)-1)))</f>
        <v>0</v>
      </c>
      <c r="T6" s="38">
        <f>INDEX('9 - Water Readings'!$E$8:$E$988,1+(2*(ROWS(A$1:A5)-1)))</f>
        <v>0</v>
      </c>
      <c r="U6" s="38">
        <f>INDEX('9 - Water Readings'!$G$8:$G$987,1+(2*(ROWS(A$1:A5)-1)))</f>
        <v>0</v>
      </c>
      <c r="V6" s="38">
        <f>INDEX('9 - Water Readings'!$H$8:$H$988,1+(2*(ROWS(A$1:A5)-1)))</f>
        <v>0</v>
      </c>
      <c r="W6" s="38">
        <f>INDEX('9 - Water Readings'!$I$8:$I$988,1+(2*(ROWS(A$1:A5)-1)))</f>
        <v>47</v>
      </c>
      <c r="X6" s="38">
        <f>INDEX('9 - Water Readings'!$J$8:$J$988,1+(2*(ROWS(A$1:A5)-1)))</f>
        <v>242</v>
      </c>
      <c r="Y6" s="38">
        <f>INDEX('9 - Water Readings'!$K$8:$K$988,1+(2*(ROWS(A$1:A5)-1)))</f>
        <v>0</v>
      </c>
      <c r="Z6" s="38">
        <f>INDEX('9 - Water Readings'!$L$8:$L$988,1+(2*(ROWS(A$1:A5)-1)))</f>
        <v>60</v>
      </c>
      <c r="AA6" s="39">
        <f>'9 - Water Readings'!Q11</f>
        <v>0</v>
      </c>
      <c r="AB6" s="37">
        <f>'9 - Water Readings'!R11</f>
        <v>0</v>
      </c>
      <c r="AC6">
        <f>'9 - Water Readings'!S11</f>
        <v>13</v>
      </c>
    </row>
    <row r="7" spans="1:29" x14ac:dyDescent="0.35">
      <c r="A7" s="40" t="s">
        <v>35</v>
      </c>
      <c r="B7" s="40">
        <f t="shared" si="0"/>
        <v>6</v>
      </c>
      <c r="C7" s="40">
        <v>10</v>
      </c>
      <c r="D7" s="37">
        <v>2019</v>
      </c>
      <c r="E7" s="38">
        <f>INDEX('13 - Electrical Readings'!$C$8:$C$988,1+(2*(ROWS(A$1:A6)-1)))</f>
        <v>7874</v>
      </c>
      <c r="F7" s="38">
        <f>INDEX('13 - Electrical Readings'!$D$6:$D$988,1+(2*(ROWS(A$1:A7)-1)))</f>
        <v>11368</v>
      </c>
      <c r="G7" s="37">
        <f>INDEX('13 - Electrical Readings'!$E$6:$E$988,1+(2*(ROWS(A$1:A7)-1)))</f>
        <v>4554</v>
      </c>
      <c r="H7" s="37">
        <f>INDEX('13 - Electrical Readings'!$F$6:$F$988,1+(2*(ROWS(A$1:A7)-1)))</f>
        <v>4687</v>
      </c>
      <c r="I7" s="38">
        <f>INDEX('13 - Electrical Readings'!$G$6:$G$988,1+(2*(ROWS(A$1:A7)-1)))</f>
        <v>17</v>
      </c>
      <c r="J7" s="37">
        <f>INDEX('13 - Electrical Readings'!$I$6:$I$988,1+(2*(ROWS(A$1:A7)-1)))</f>
        <v>1394</v>
      </c>
      <c r="K7" s="37">
        <f>INDEX('13 - Electrical Readings'!$J$6:$J$988,1+(2*(ROWS(B$1:B7)-1)))</f>
        <v>3823</v>
      </c>
      <c r="L7" s="37">
        <f>INDEX('13 - Electrical Readings'!$K$6:$K$988,1+(2*(ROWS(C$1:C7)-1)))</f>
        <v>807</v>
      </c>
      <c r="M7" s="37">
        <f>INDEX('13 - Electrical Readings'!$L$6:$L$988,1+(2*(ROWS(D$1:D7)-1)))</f>
        <v>1488</v>
      </c>
      <c r="N7" s="37">
        <f>INDEX('13 - Electrical Readings'!$M$6:$M$988,1+(2*(ROWS(E$1:E7)-1)))</f>
        <v>4601</v>
      </c>
      <c r="O7" s="38">
        <f>INDEX('13 - Electrical Readings'!$N$6:$N$988,1+(2*(ROWS(E$1:E7)-1)))</f>
        <v>7093</v>
      </c>
      <c r="P7" s="38">
        <f>INDEX('13 - Electrical Readings'!$O$6:$O$988,1+(2*(ROWS(E$1:E7)-1)))</f>
        <v>2803</v>
      </c>
      <c r="Q7" s="38">
        <f>INDEX('13 - Electrical Readings'!$P$6:$P$988,1+(2*(ROWS(E$1:E7)-1)))</f>
        <v>2190</v>
      </c>
      <c r="R7" s="38">
        <f>INDEX('9 - Water Readings'!$C$8:$C$988,1+(2*(ROWS(A$1:A6)-1)))</f>
        <v>0</v>
      </c>
      <c r="S7" s="38">
        <f>INDEX('9 - Water Readings'!$D$8:$D$987,1+(2*(ROWS(A$1:A6)-1)))</f>
        <v>0</v>
      </c>
      <c r="T7" s="38">
        <f>INDEX('9 - Water Readings'!$E$8:$E$988,1+(2*(ROWS(A$1:A6)-1)))</f>
        <v>0</v>
      </c>
      <c r="U7" s="38">
        <f>INDEX('9 - Water Readings'!$G$8:$G$987,1+(2*(ROWS(A$1:A6)-1)))</f>
        <v>0</v>
      </c>
      <c r="V7" s="38">
        <f>INDEX('9 - Water Readings'!$H$8:$H$988,1+(2*(ROWS(A$1:A6)-1)))</f>
        <v>0</v>
      </c>
      <c r="W7" s="38">
        <f>INDEX('9 - Water Readings'!$I$8:$I$988,1+(2*(ROWS(A$1:A6)-1)))</f>
        <v>30</v>
      </c>
      <c r="X7" s="38">
        <f>INDEX('9 - Water Readings'!$J$8:$J$988,1+(2*(ROWS(A$1:A6)-1)))</f>
        <v>204</v>
      </c>
      <c r="Y7" s="38">
        <f>INDEX('9 - Water Readings'!$K$8:$K$988,1+(2*(ROWS(A$1:A6)-1)))</f>
        <v>0</v>
      </c>
      <c r="Z7" s="38">
        <f>INDEX('9 - Water Readings'!$L$8:$L$988,1+(2*(ROWS(A$1:A6)-1)))</f>
        <v>41</v>
      </c>
      <c r="AA7" s="39">
        <f>'9 - Water Readings'!Q12</f>
        <v>0</v>
      </c>
      <c r="AB7" s="37">
        <f>'9 - Water Readings'!R12</f>
        <v>0</v>
      </c>
      <c r="AC7">
        <f>'9 - Water Readings'!S12</f>
        <v>12</v>
      </c>
    </row>
    <row r="8" spans="1:29" x14ac:dyDescent="0.35">
      <c r="A8" s="40" t="s">
        <v>35</v>
      </c>
      <c r="B8" s="40">
        <f t="shared" si="0"/>
        <v>7</v>
      </c>
      <c r="C8" s="40">
        <v>10</v>
      </c>
      <c r="D8" s="37">
        <v>2019</v>
      </c>
      <c r="E8" s="38">
        <f>INDEX('13 - Electrical Readings'!$C$8:$C$988,1+(2*(ROWS(A$1:A7)-1)))</f>
        <v>16572</v>
      </c>
      <c r="F8" s="38">
        <f>INDEX('13 - Electrical Readings'!$D$6:$D$988,1+(2*(ROWS(A$1:A8)-1)))</f>
        <v>11400</v>
      </c>
      <c r="G8" s="37">
        <f>INDEX('13 - Electrical Readings'!$E$6:$E$988,1+(2*(ROWS(A$1:A8)-1)))</f>
        <v>4515</v>
      </c>
      <c r="H8" s="37">
        <f>INDEX('13 - Electrical Readings'!$F$6:$F$988,1+(2*(ROWS(A$1:A8)-1)))</f>
        <v>5317</v>
      </c>
      <c r="I8" s="38">
        <f>INDEX('13 - Electrical Readings'!$G$6:$G$988,1+(2*(ROWS(A$1:A8)-1)))</f>
        <v>15</v>
      </c>
      <c r="J8" s="37">
        <f>INDEX('13 - Electrical Readings'!$I$6:$I$988,1+(2*(ROWS(A$1:A8)-1)))</f>
        <v>1588</v>
      </c>
      <c r="K8" s="37">
        <f>INDEX('13 - Electrical Readings'!$J$6:$J$988,1+(2*(ROWS(B$1:B8)-1)))</f>
        <v>4406</v>
      </c>
      <c r="L8" s="37">
        <f>INDEX('13 - Electrical Readings'!$K$6:$K$988,1+(2*(ROWS(C$1:C8)-1)))</f>
        <v>841</v>
      </c>
      <c r="M8" s="37">
        <f>INDEX('13 - Electrical Readings'!$L$6:$L$988,1+(2*(ROWS(D$1:D8)-1)))</f>
        <v>1810</v>
      </c>
      <c r="N8" s="37">
        <f>INDEX('13 - Electrical Readings'!$M$6:$M$988,1+(2*(ROWS(E$1:E8)-1)))</f>
        <v>5241</v>
      </c>
      <c r="O8" s="38">
        <f>INDEX('13 - Electrical Readings'!$N$6:$N$988,1+(2*(ROWS(E$1:E8)-1)))</f>
        <v>8968</v>
      </c>
      <c r="P8" s="38">
        <f>INDEX('13 - Electrical Readings'!$O$6:$O$988,1+(2*(ROWS(E$1:E8)-1)))</f>
        <v>3456</v>
      </c>
      <c r="Q8" s="38">
        <f>INDEX('13 - Electrical Readings'!$P$6:$P$988,1+(2*(ROWS(E$1:E8)-1)))</f>
        <v>2060</v>
      </c>
      <c r="R8" s="38">
        <f>INDEX('9 - Water Readings'!$C$8:$C$988,1+(2*(ROWS(A$1:A7)-1)))</f>
        <v>0</v>
      </c>
      <c r="S8" s="38">
        <f>INDEX('9 - Water Readings'!$D$8:$D$987,1+(2*(ROWS(A$1:A7)-1)))</f>
        <v>0</v>
      </c>
      <c r="T8" s="38">
        <f>INDEX('9 - Water Readings'!$E$8:$E$988,1+(2*(ROWS(A$1:A7)-1)))</f>
        <v>0</v>
      </c>
      <c r="U8" s="38">
        <f>INDEX('9 - Water Readings'!$G$8:$G$987,1+(2*(ROWS(A$1:A7)-1)))</f>
        <v>0</v>
      </c>
      <c r="V8" s="38">
        <f>INDEX('9 - Water Readings'!$H$8:$H$988,1+(2*(ROWS(A$1:A7)-1)))</f>
        <v>0</v>
      </c>
      <c r="W8" s="38">
        <f>INDEX('9 - Water Readings'!$I$8:$I$988,1+(2*(ROWS(A$1:A7)-1)))</f>
        <v>35</v>
      </c>
      <c r="X8" s="38">
        <f>INDEX('9 - Water Readings'!$J$8:$J$988,1+(2*(ROWS(A$1:A7)-1)))</f>
        <v>241</v>
      </c>
      <c r="Y8" s="38">
        <f>INDEX('9 - Water Readings'!$K$8:$K$988,1+(2*(ROWS(A$1:A7)-1)))</f>
        <v>0</v>
      </c>
      <c r="Z8" s="38">
        <f>INDEX('9 - Water Readings'!$L$8:$L$988,1+(2*(ROWS(A$1:A7)-1)))</f>
        <v>49</v>
      </c>
      <c r="AA8" s="39">
        <f>'9 - Water Readings'!Q13</f>
        <v>0</v>
      </c>
      <c r="AB8" s="37">
        <f>'9 - Water Readings'!R13</f>
        <v>0</v>
      </c>
      <c r="AC8">
        <f>'9 - Water Readings'!S13</f>
        <v>13</v>
      </c>
    </row>
    <row r="9" spans="1:29" x14ac:dyDescent="0.35">
      <c r="A9" s="40" t="s">
        <v>35</v>
      </c>
      <c r="B9" s="40">
        <f t="shared" si="0"/>
        <v>8</v>
      </c>
      <c r="C9" s="40">
        <v>10</v>
      </c>
      <c r="D9" s="37">
        <v>2019</v>
      </c>
      <c r="E9" s="38">
        <f>INDEX('13 - Electrical Readings'!$C$8:$C$988,1+(2*(ROWS(A$1:A8)-1)))</f>
        <v>15831</v>
      </c>
      <c r="F9" s="38">
        <f>INDEX('13 - Electrical Readings'!$D$6:$D$988,1+(2*(ROWS(A$1:A9)-1)))</f>
        <v>10933</v>
      </c>
      <c r="G9" s="37">
        <f>INDEX('13 - Electrical Readings'!$E$6:$E$988,1+(2*(ROWS(A$1:A9)-1)))</f>
        <v>4261</v>
      </c>
      <c r="H9" s="37">
        <f>INDEX('13 - Electrical Readings'!$F$6:$F$988,1+(2*(ROWS(A$1:A9)-1)))</f>
        <v>5094</v>
      </c>
      <c r="I9" s="38">
        <f>INDEX('13 - Electrical Readings'!$G$6:$G$988,1+(2*(ROWS(A$1:A9)-1)))</f>
        <v>15</v>
      </c>
      <c r="J9" s="37">
        <f>INDEX('13 - Electrical Readings'!$I$6:$I$988,1+(2*(ROWS(A$1:A9)-1)))</f>
        <v>1630</v>
      </c>
      <c r="K9" s="37">
        <f>INDEX('13 - Electrical Readings'!$J$6:$J$988,1+(2*(ROWS(B$1:B9)-1)))</f>
        <v>4413</v>
      </c>
      <c r="L9" s="37">
        <f>INDEX('13 - Electrical Readings'!$K$6:$K$988,1+(2*(ROWS(C$1:C9)-1)))</f>
        <v>922</v>
      </c>
      <c r="M9" s="37">
        <f>INDEX('13 - Electrical Readings'!$L$6:$L$988,1+(2*(ROWS(D$1:D9)-1)))</f>
        <v>1797</v>
      </c>
      <c r="N9" s="37">
        <f>INDEX('13 - Electrical Readings'!$M$6:$M$988,1+(2*(ROWS(E$1:E9)-1)))</f>
        <v>5236</v>
      </c>
      <c r="O9" s="38">
        <f>INDEX('13 - Electrical Readings'!$N$6:$N$988,1+(2*(ROWS(E$1:E9)-1)))</f>
        <v>8862</v>
      </c>
      <c r="P9" s="38">
        <f>INDEX('13 - Electrical Readings'!$O$6:$O$988,1+(2*(ROWS(E$1:E9)-1)))</f>
        <v>3535</v>
      </c>
      <c r="Q9" s="38">
        <f>INDEX('13 - Electrical Readings'!$P$6:$P$988,1+(2*(ROWS(E$1:E9)-1)))</f>
        <v>2440</v>
      </c>
      <c r="R9" s="38">
        <f>INDEX('9 - Water Readings'!$C$8:$C$988,1+(2*(ROWS(A$1:A8)-1)))</f>
        <v>0</v>
      </c>
      <c r="S9" s="38">
        <f>INDEX('9 - Water Readings'!$D$8:$D$987,1+(2*(ROWS(A$1:A8)-1)))</f>
        <v>0</v>
      </c>
      <c r="T9" s="38">
        <f>INDEX('9 - Water Readings'!$E$8:$E$988,1+(2*(ROWS(A$1:A8)-1)))</f>
        <v>0</v>
      </c>
      <c r="U9" s="38">
        <f>INDEX('9 - Water Readings'!$G$8:$G$987,1+(2*(ROWS(A$1:A8)-1)))</f>
        <v>0</v>
      </c>
      <c r="V9" s="38">
        <f>INDEX('9 - Water Readings'!$H$8:$H$988,1+(2*(ROWS(A$1:A8)-1)))</f>
        <v>0</v>
      </c>
      <c r="W9" s="38">
        <f>INDEX('9 - Water Readings'!$I$8:$I$988,1+(2*(ROWS(A$1:A8)-1)))</f>
        <v>34</v>
      </c>
      <c r="X9" s="38">
        <f>INDEX('9 - Water Readings'!$J$8:$J$988,1+(2*(ROWS(A$1:A8)-1)))</f>
        <v>233</v>
      </c>
      <c r="Y9" s="38">
        <f>INDEX('9 - Water Readings'!$K$8:$K$988,1+(2*(ROWS(A$1:A8)-1)))</f>
        <v>0</v>
      </c>
      <c r="Z9" s="38">
        <f>INDEX('9 - Water Readings'!$L$8:$L$988,1+(2*(ROWS(A$1:A8)-1)))</f>
        <v>66</v>
      </c>
      <c r="AA9" s="39">
        <f>'9 - Water Readings'!Q14</f>
        <v>0</v>
      </c>
      <c r="AB9" s="37">
        <f>'9 - Water Readings'!R14</f>
        <v>0</v>
      </c>
      <c r="AC9">
        <f>'9 - Water Readings'!S14</f>
        <v>13.2</v>
      </c>
    </row>
    <row r="10" spans="1:29" x14ac:dyDescent="0.35">
      <c r="A10" s="40" t="s">
        <v>35</v>
      </c>
      <c r="B10" s="40">
        <f t="shared" si="0"/>
        <v>9</v>
      </c>
      <c r="C10" s="40">
        <v>10</v>
      </c>
      <c r="D10" s="37">
        <v>2019</v>
      </c>
      <c r="E10" s="38">
        <f>INDEX('13 - Electrical Readings'!$C$8:$C$988,1+(2*(ROWS(A$1:A9)-1)))</f>
        <v>18035</v>
      </c>
      <c r="F10" s="38">
        <f>INDEX('13 - Electrical Readings'!$D$6:$D$988,1+(2*(ROWS(A$1:A10)-1)))</f>
        <v>8625</v>
      </c>
      <c r="G10" s="37">
        <f>INDEX('13 - Electrical Readings'!$E$6:$E$988,1+(2*(ROWS(A$1:A10)-1)))</f>
        <v>3840</v>
      </c>
      <c r="H10" s="37">
        <f>INDEX('13 - Electrical Readings'!$F$6:$F$988,1+(2*(ROWS(A$1:A10)-1)))</f>
        <v>5126</v>
      </c>
      <c r="I10" s="38">
        <f>INDEX('13 - Electrical Readings'!$G$6:$G$988,1+(2*(ROWS(A$1:A10)-1)))</f>
        <v>13</v>
      </c>
      <c r="J10" s="37">
        <f>INDEX('13 - Electrical Readings'!$I$6:$I$988,1+(2*(ROWS(A$1:A10)-1)))</f>
        <v>1669</v>
      </c>
      <c r="K10" s="37">
        <f>INDEX('13 - Electrical Readings'!$J$6:$J$988,1+(2*(ROWS(B$1:B10)-1)))</f>
        <v>4643</v>
      </c>
      <c r="L10" s="37">
        <f>INDEX('13 - Electrical Readings'!$K$6:$K$988,1+(2*(ROWS(C$1:C10)-1)))</f>
        <v>975</v>
      </c>
      <c r="M10" s="37">
        <f>INDEX('13 - Electrical Readings'!$L$6:$L$988,1+(2*(ROWS(D$1:D10)-1)))</f>
        <v>1821</v>
      </c>
      <c r="N10" s="37">
        <f>INDEX('13 - Electrical Readings'!$M$6:$M$988,1+(2*(ROWS(E$1:E10)-1)))</f>
        <v>5464</v>
      </c>
      <c r="O10" s="38">
        <f>INDEX('13 - Electrical Readings'!$N$6:$N$988,1+(2*(ROWS(E$1:E10)-1)))</f>
        <v>9146</v>
      </c>
      <c r="P10" s="38">
        <f>INDEX('13 - Electrical Readings'!$O$6:$O$988,1+(2*(ROWS(E$1:E10)-1)))</f>
        <v>3307</v>
      </c>
      <c r="Q10" s="38">
        <f>INDEX('13 - Electrical Readings'!$P$6:$P$988,1+(2*(ROWS(E$1:E10)-1)))</f>
        <v>2520</v>
      </c>
      <c r="R10" s="38">
        <f>INDEX('9 - Water Readings'!$C$8:$C$988,1+(2*(ROWS(A$1:A9)-1)))</f>
        <v>0</v>
      </c>
      <c r="S10" s="38">
        <f>INDEX('9 - Water Readings'!$D$8:$D$987,1+(2*(ROWS(A$1:A9)-1)))</f>
        <v>0</v>
      </c>
      <c r="T10" s="38">
        <f>INDEX('9 - Water Readings'!$E$8:$E$988,1+(2*(ROWS(A$1:A9)-1)))</f>
        <v>0</v>
      </c>
      <c r="U10" s="38">
        <f>INDEX('9 - Water Readings'!$G$8:$G$987,1+(2*(ROWS(A$1:A9)-1)))</f>
        <v>0</v>
      </c>
      <c r="V10" s="38">
        <f>INDEX('9 - Water Readings'!$H$8:$H$988,1+(2*(ROWS(A$1:A9)-1)))</f>
        <v>0</v>
      </c>
      <c r="W10" s="38">
        <f>INDEX('9 - Water Readings'!$I$8:$I$988,1+(2*(ROWS(A$1:A9)-1)))</f>
        <v>33</v>
      </c>
      <c r="X10" s="38">
        <f>INDEX('9 - Water Readings'!$J$8:$J$988,1+(2*(ROWS(A$1:A9)-1)))</f>
        <v>197</v>
      </c>
      <c r="Y10" s="38">
        <f>INDEX('9 - Water Readings'!$K$8:$K$988,1+(2*(ROWS(A$1:A9)-1)))</f>
        <v>0</v>
      </c>
      <c r="Z10" s="38">
        <f>INDEX('9 - Water Readings'!$L$8:$L$988,1+(2*(ROWS(A$1:A9)-1)))</f>
        <v>80</v>
      </c>
      <c r="AA10" s="39">
        <f>'9 - Water Readings'!Q15</f>
        <v>0</v>
      </c>
      <c r="AB10" s="37">
        <f>'9 - Water Readings'!R15</f>
        <v>0</v>
      </c>
      <c r="AC10">
        <f>'9 - Water Readings'!S15</f>
        <v>12</v>
      </c>
    </row>
    <row r="11" spans="1:29" x14ac:dyDescent="0.35">
      <c r="A11" s="40" t="s">
        <v>35</v>
      </c>
      <c r="B11" s="40">
        <f t="shared" si="0"/>
        <v>10</v>
      </c>
      <c r="C11" s="40">
        <v>10</v>
      </c>
      <c r="D11" s="37">
        <v>2019</v>
      </c>
      <c r="E11" s="38">
        <f>INDEX('13 - Electrical Readings'!$C$8:$C$988,1+(2*(ROWS(A$1:A10)-1)))</f>
        <v>15345</v>
      </c>
      <c r="F11" s="38">
        <f>INDEX('13 - Electrical Readings'!$D$6:$D$988,1+(2*(ROWS(A$1:A11)-1)))</f>
        <v>10875</v>
      </c>
      <c r="G11" s="37">
        <f>INDEX('13 - Electrical Readings'!$E$6:$E$988,1+(2*(ROWS(A$1:A11)-1)))</f>
        <v>4365</v>
      </c>
      <c r="H11" s="37">
        <f>INDEX('13 - Electrical Readings'!$F$6:$F$988,1+(2*(ROWS(A$1:A11)-1)))</f>
        <v>5121</v>
      </c>
      <c r="I11" s="38">
        <f>INDEX('13 - Electrical Readings'!$G$6:$G$988,1+(2*(ROWS(A$1:A11)-1)))</f>
        <v>17</v>
      </c>
      <c r="J11" s="37">
        <f>INDEX('13 - Electrical Readings'!$I$6:$I$988,1+(2*(ROWS(A$1:A11)-1)))</f>
        <v>1578</v>
      </c>
      <c r="K11" s="37">
        <f>INDEX('13 - Electrical Readings'!$J$6:$J$988,1+(2*(ROWS(B$1:B11)-1)))</f>
        <v>4401</v>
      </c>
      <c r="L11" s="37">
        <f>INDEX('13 - Electrical Readings'!$K$6:$K$988,1+(2*(ROWS(C$1:C11)-1)))</f>
        <v>884</v>
      </c>
      <c r="M11" s="37">
        <f>INDEX('13 - Electrical Readings'!$L$6:$L$988,1+(2*(ROWS(D$1:D11)-1)))</f>
        <v>1737</v>
      </c>
      <c r="N11" s="37">
        <f>INDEX('13 - Electrical Readings'!$M$6:$M$988,1+(2*(ROWS(E$1:E11)-1)))</f>
        <v>5460</v>
      </c>
      <c r="O11" s="38">
        <f>INDEX('13 - Electrical Readings'!$N$6:$N$988,1+(2*(ROWS(E$1:E11)-1)))</f>
        <v>8816</v>
      </c>
      <c r="P11" s="38">
        <f>INDEX('13 - Electrical Readings'!$O$6:$O$988,1+(2*(ROWS(E$1:E11)-1)))</f>
        <v>3315</v>
      </c>
      <c r="Q11" s="38">
        <f>INDEX('13 - Electrical Readings'!$P$6:$P$988,1+(2*(ROWS(E$1:E11)-1)))</f>
        <v>2630</v>
      </c>
      <c r="R11" s="38">
        <f>INDEX('9 - Water Readings'!$C$8:$C$988,1+(2*(ROWS(A$1:A10)-1)))</f>
        <v>0</v>
      </c>
      <c r="S11" s="38">
        <f>INDEX('9 - Water Readings'!$D$8:$D$987,1+(2*(ROWS(A$1:A10)-1)))</f>
        <v>0</v>
      </c>
      <c r="T11" s="38">
        <f>INDEX('9 - Water Readings'!$E$8:$E$988,1+(2*(ROWS(A$1:A10)-1)))</f>
        <v>0</v>
      </c>
      <c r="U11" s="38">
        <f>INDEX('9 - Water Readings'!$G$8:$G$987,1+(2*(ROWS(A$1:A10)-1)))</f>
        <v>0</v>
      </c>
      <c r="V11" s="38">
        <f>INDEX('9 - Water Readings'!$H$8:$H$988,1+(2*(ROWS(A$1:A10)-1)))</f>
        <v>0</v>
      </c>
      <c r="W11" s="38">
        <f>INDEX('9 - Water Readings'!$I$8:$I$988,1+(2*(ROWS(A$1:A10)-1)))</f>
        <v>33</v>
      </c>
      <c r="X11" s="38">
        <f>INDEX('9 - Water Readings'!$J$8:$J$988,1+(2*(ROWS(A$1:A10)-1)))</f>
        <v>196</v>
      </c>
      <c r="Y11" s="38">
        <f>INDEX('9 - Water Readings'!$K$8:$K$988,1+(2*(ROWS(A$1:A10)-1)))</f>
        <v>0</v>
      </c>
      <c r="Z11" s="38">
        <f>INDEX('9 - Water Readings'!$L$8:$L$988,1+(2*(ROWS(A$1:A10)-1)))</f>
        <v>88</v>
      </c>
      <c r="AA11" s="39">
        <f>'9 - Water Readings'!Q16</f>
        <v>0</v>
      </c>
      <c r="AB11" s="37">
        <f>'9 - Water Readings'!R16</f>
        <v>0</v>
      </c>
      <c r="AC11">
        <f>'9 - Water Readings'!S16</f>
        <v>13</v>
      </c>
    </row>
    <row r="12" spans="1:29" x14ac:dyDescent="0.35">
      <c r="A12" s="40" t="s">
        <v>35</v>
      </c>
      <c r="B12" s="40">
        <f t="shared" si="0"/>
        <v>11</v>
      </c>
      <c r="C12" s="40">
        <v>10</v>
      </c>
      <c r="D12" s="37">
        <v>2019</v>
      </c>
      <c r="E12" s="38">
        <f>INDEX('13 - Electrical Readings'!$C$8:$C$988,1+(2*(ROWS(A$1:A11)-1)))</f>
        <v>16237</v>
      </c>
      <c r="F12" s="38">
        <f>INDEX('13 - Electrical Readings'!$D$6:$D$988,1+(2*(ROWS(A$1:A12)-1)))</f>
        <v>11477</v>
      </c>
      <c r="G12" s="37">
        <f>INDEX('13 - Electrical Readings'!$E$6:$E$988,1+(2*(ROWS(A$1:A12)-1)))</f>
        <v>4368</v>
      </c>
      <c r="H12" s="37">
        <f>INDEX('13 - Electrical Readings'!$F$6:$F$988,1+(2*(ROWS(A$1:A12)-1)))</f>
        <v>5134</v>
      </c>
      <c r="I12" s="38">
        <f>INDEX('13 - Electrical Readings'!$G$6:$G$988,1+(2*(ROWS(A$1:A12)-1)))</f>
        <v>15</v>
      </c>
      <c r="J12" s="37">
        <f>INDEX('13 - Electrical Readings'!$I$6:$I$988,1+(2*(ROWS(A$1:A12)-1)))</f>
        <v>1905</v>
      </c>
      <c r="K12" s="37">
        <f>INDEX('13 - Electrical Readings'!$J$6:$J$988,1+(2*(ROWS(B$1:B12)-1)))</f>
        <v>4089</v>
      </c>
      <c r="L12" s="37">
        <f>INDEX('13 - Electrical Readings'!$K$6:$K$988,1+(2*(ROWS(C$1:C12)-1)))</f>
        <v>668</v>
      </c>
      <c r="M12" s="37">
        <f>INDEX('13 - Electrical Readings'!$L$6:$L$988,1+(2*(ROWS(D$1:D12)-1)))</f>
        <v>1630</v>
      </c>
      <c r="N12" s="37">
        <f>INDEX('13 - Electrical Readings'!$M$6:$M$988,1+(2*(ROWS(E$1:E12)-1)))</f>
        <v>4563</v>
      </c>
      <c r="O12" s="38">
        <f>INDEX('13 - Electrical Readings'!$N$6:$N$988,1+(2*(ROWS(E$1:E12)-1)))</f>
        <v>8364</v>
      </c>
      <c r="P12" s="38">
        <f>INDEX('13 - Electrical Readings'!$O$6:$O$988,1+(2*(ROWS(E$1:E12)-1)))</f>
        <v>3415</v>
      </c>
      <c r="Q12" s="38">
        <f>INDEX('13 - Electrical Readings'!$P$6:$P$988,1+(2*(ROWS(E$1:E12)-1)))</f>
        <v>3100</v>
      </c>
      <c r="R12" s="38">
        <f>INDEX('9 - Water Readings'!$C$8:$C$988,1+(2*(ROWS(A$1:A11)-1)))</f>
        <v>0</v>
      </c>
      <c r="S12" s="38">
        <f>INDEX('9 - Water Readings'!$D$8:$D$987,1+(2*(ROWS(A$1:A11)-1)))</f>
        <v>0</v>
      </c>
      <c r="T12" s="38">
        <f>INDEX('9 - Water Readings'!$E$8:$E$988,1+(2*(ROWS(A$1:A11)-1)))</f>
        <v>0</v>
      </c>
      <c r="U12" s="38">
        <f>INDEX('9 - Water Readings'!$G$8:$G$987,1+(2*(ROWS(A$1:A11)-1)))</f>
        <v>0</v>
      </c>
      <c r="V12" s="38">
        <f>INDEX('9 - Water Readings'!$H$8:$H$988,1+(2*(ROWS(A$1:A11)-1)))</f>
        <v>0</v>
      </c>
      <c r="W12" s="38">
        <f>INDEX('9 - Water Readings'!$I$8:$I$988,1+(2*(ROWS(A$1:A11)-1)))</f>
        <v>32</v>
      </c>
      <c r="X12" s="38">
        <f>INDEX('9 - Water Readings'!$J$8:$J$988,1+(2*(ROWS(A$1:A11)-1)))</f>
        <v>213</v>
      </c>
      <c r="Y12" s="38">
        <f>INDEX('9 - Water Readings'!$K$8:$K$988,1+(2*(ROWS(A$1:A11)-1)))</f>
        <v>0</v>
      </c>
      <c r="Z12" s="38">
        <f>INDEX('9 - Water Readings'!$L$8:$L$988,1+(2*(ROWS(A$1:A11)-1)))</f>
        <v>98</v>
      </c>
      <c r="AA12" s="39">
        <f>'9 - Water Readings'!Q17</f>
        <v>0</v>
      </c>
      <c r="AB12" s="37">
        <f>'9 - Water Readings'!R17</f>
        <v>0</v>
      </c>
      <c r="AC12">
        <f>'9 - Water Readings'!S17</f>
        <v>12.4</v>
      </c>
    </row>
    <row r="13" spans="1:29" x14ac:dyDescent="0.35">
      <c r="A13" s="40" t="s">
        <v>35</v>
      </c>
      <c r="B13" s="40">
        <f t="shared" si="0"/>
        <v>12</v>
      </c>
      <c r="C13" s="40">
        <v>10</v>
      </c>
      <c r="D13" s="37">
        <v>2019</v>
      </c>
      <c r="E13" s="38">
        <f>INDEX('13 - Electrical Readings'!$C$8:$C$988,1+(2*(ROWS(A$1:A12)-1)))</f>
        <v>0</v>
      </c>
      <c r="F13" s="38">
        <f>INDEX('13 - Electrical Readings'!$D$6:$D$988,1+(2*(ROWS(A$1:A13)-1)))</f>
        <v>0</v>
      </c>
      <c r="G13" s="37">
        <f>INDEX('13 - Electrical Readings'!$E$6:$E$988,1+(2*(ROWS(A$1:A13)-1)))</f>
        <v>0</v>
      </c>
      <c r="H13" s="37">
        <f>INDEX('13 - Electrical Readings'!$F$6:$F$988,1+(2*(ROWS(A$1:A13)-1)))</f>
        <v>0</v>
      </c>
      <c r="I13" s="38">
        <f>INDEX('13 - Electrical Readings'!$G$6:$G$988,1+(2*(ROWS(A$1:A13)-1)))</f>
        <v>0</v>
      </c>
      <c r="J13" s="37">
        <f>INDEX('13 - Electrical Readings'!$I$6:$I$988,1+(2*(ROWS(A$1:A13)-1)))</f>
        <v>0</v>
      </c>
      <c r="K13" s="37">
        <f>INDEX('13 - Electrical Readings'!$J$6:$J$988,1+(2*(ROWS(B$1:B13)-1)))</f>
        <v>0</v>
      </c>
      <c r="L13" s="37">
        <f>INDEX('13 - Electrical Readings'!$K$6:$K$988,1+(2*(ROWS(C$1:C13)-1)))</f>
        <v>0</v>
      </c>
      <c r="M13" s="37">
        <f>INDEX('13 - Electrical Readings'!$L$6:$L$988,1+(2*(ROWS(D$1:D13)-1)))</f>
        <v>0</v>
      </c>
      <c r="N13" s="37">
        <f>INDEX('13 - Electrical Readings'!$M$6:$M$988,1+(2*(ROWS(E$1:E13)-1)))</f>
        <v>0</v>
      </c>
      <c r="O13" s="38">
        <f>INDEX('13 - Electrical Readings'!$N$6:$N$988,1+(2*(ROWS(E$1:E13)-1)))</f>
        <v>0</v>
      </c>
      <c r="P13" s="38">
        <f>INDEX('13 - Electrical Readings'!$O$6:$O$988,1+(2*(ROWS(E$1:E13)-1)))</f>
        <v>0</v>
      </c>
      <c r="Q13" s="38">
        <f>INDEX('13 - Electrical Readings'!$P$6:$P$988,1+(2*(ROWS(E$1:E13)-1)))</f>
        <v>0</v>
      </c>
      <c r="R13" s="38">
        <f>INDEX('9 - Water Readings'!$C$8:$C$988,1+(2*(ROWS(A$1:A12)-1)))</f>
        <v>0</v>
      </c>
      <c r="S13" s="38">
        <f>INDEX('9 - Water Readings'!$D$8:$D$987,1+(2*(ROWS(A$1:A12)-1)))</f>
        <v>0</v>
      </c>
      <c r="T13" s="38">
        <f>INDEX('9 - Water Readings'!$E$8:$E$988,1+(2*(ROWS(A$1:A12)-1)))</f>
        <v>0</v>
      </c>
      <c r="U13" s="38">
        <f>INDEX('9 - Water Readings'!$G$8:$G$987,1+(2*(ROWS(A$1:A12)-1)))</f>
        <v>0</v>
      </c>
      <c r="V13" s="38">
        <f>INDEX('9 - Water Readings'!$H$8:$H$988,1+(2*(ROWS(A$1:A12)-1)))</f>
        <v>0</v>
      </c>
      <c r="W13" s="38">
        <f>INDEX('9 - Water Readings'!$I$8:$I$988,1+(2*(ROWS(A$1:A12)-1)))</f>
        <v>0</v>
      </c>
      <c r="X13" s="38">
        <f>INDEX('9 - Water Readings'!$J$8:$J$988,1+(2*(ROWS(A$1:A12)-1)))</f>
        <v>0</v>
      </c>
      <c r="Y13" s="38">
        <f>INDEX('9 - Water Readings'!$K$8:$K$988,1+(2*(ROWS(A$1:A12)-1)))</f>
        <v>0</v>
      </c>
      <c r="Z13" s="38">
        <f>INDEX('9 - Water Readings'!$L$8:$L$988,1+(2*(ROWS(A$1:A12)-1)))</f>
        <v>0</v>
      </c>
      <c r="AA13" s="39">
        <f>'9 - Water Readings'!Q18</f>
        <v>0</v>
      </c>
      <c r="AB13" s="37">
        <f>'9 - Water Readings'!R18</f>
        <v>0</v>
      </c>
      <c r="AC13">
        <f>'9 - Water Readings'!S18</f>
        <v>0</v>
      </c>
    </row>
    <row r="14" spans="1:29" x14ac:dyDescent="0.35">
      <c r="A14" s="40" t="s">
        <v>35</v>
      </c>
      <c r="B14" s="40">
        <f t="shared" si="0"/>
        <v>13</v>
      </c>
      <c r="C14" s="40">
        <v>10</v>
      </c>
      <c r="D14" s="37">
        <v>2019</v>
      </c>
      <c r="E14" s="38">
        <f>INDEX('13 - Electrical Readings'!$C$8:$C$988,1+(2*(ROWS(A$1:A13)-1)))</f>
        <v>0</v>
      </c>
      <c r="F14" s="38">
        <f>INDEX('13 - Electrical Readings'!$D$6:$D$988,1+(2*(ROWS(A$1:A14)-1)))</f>
        <v>0</v>
      </c>
      <c r="G14" s="37">
        <f>INDEX('13 - Electrical Readings'!$E$6:$E$988,1+(2*(ROWS(A$1:A14)-1)))</f>
        <v>0</v>
      </c>
      <c r="H14" s="37">
        <f>INDEX('13 - Electrical Readings'!$F$6:$F$988,1+(2*(ROWS(A$1:A14)-1)))</f>
        <v>0</v>
      </c>
      <c r="I14" s="38">
        <f>INDEX('13 - Electrical Readings'!$G$6:$G$988,1+(2*(ROWS(A$1:A14)-1)))</f>
        <v>0</v>
      </c>
      <c r="J14" s="37">
        <f>INDEX('13 - Electrical Readings'!$I$6:$I$988,1+(2*(ROWS(A$1:A14)-1)))</f>
        <v>0</v>
      </c>
      <c r="K14" s="37">
        <f>INDEX('13 - Electrical Readings'!$J$6:$J$988,1+(2*(ROWS(B$1:B14)-1)))</f>
        <v>0</v>
      </c>
      <c r="L14" s="37">
        <f>INDEX('13 - Electrical Readings'!$K$6:$K$988,1+(2*(ROWS(C$1:C14)-1)))</f>
        <v>0</v>
      </c>
      <c r="M14" s="37">
        <f>INDEX('13 - Electrical Readings'!$L$6:$L$988,1+(2*(ROWS(D$1:D14)-1)))</f>
        <v>0</v>
      </c>
      <c r="N14" s="37">
        <f>INDEX('13 - Electrical Readings'!$M$6:$M$988,1+(2*(ROWS(E$1:E14)-1)))</f>
        <v>0</v>
      </c>
      <c r="O14" s="38">
        <f>INDEX('13 - Electrical Readings'!$N$6:$N$988,1+(2*(ROWS(E$1:E14)-1)))</f>
        <v>0</v>
      </c>
      <c r="P14" s="38">
        <f>INDEX('13 - Electrical Readings'!$O$6:$O$988,1+(2*(ROWS(E$1:E14)-1)))</f>
        <v>0</v>
      </c>
      <c r="Q14" s="38">
        <f>INDEX('13 - Electrical Readings'!$P$6:$P$988,1+(2*(ROWS(E$1:E14)-1)))</f>
        <v>0</v>
      </c>
      <c r="R14" s="38">
        <f>INDEX('9 - Water Readings'!$C$8:$C$988,1+(2*(ROWS(A$1:A13)-1)))</f>
        <v>0</v>
      </c>
      <c r="S14" s="38">
        <f>INDEX('9 - Water Readings'!$D$8:$D$987,1+(2*(ROWS(A$1:A13)-1)))</f>
        <v>0</v>
      </c>
      <c r="T14" s="38">
        <f>INDEX('9 - Water Readings'!$E$8:$E$988,1+(2*(ROWS(A$1:A13)-1)))</f>
        <v>0</v>
      </c>
      <c r="U14" s="38">
        <f>INDEX('9 - Water Readings'!$G$8:$G$987,1+(2*(ROWS(A$1:A13)-1)))</f>
        <v>0</v>
      </c>
      <c r="V14" s="38">
        <f>INDEX('9 - Water Readings'!$H$8:$H$988,1+(2*(ROWS(A$1:A13)-1)))</f>
        <v>0</v>
      </c>
      <c r="W14" s="38">
        <f>INDEX('9 - Water Readings'!$I$8:$I$988,1+(2*(ROWS(A$1:A13)-1)))</f>
        <v>0</v>
      </c>
      <c r="X14" s="38">
        <f>INDEX('9 - Water Readings'!$J$8:$J$988,1+(2*(ROWS(A$1:A13)-1)))</f>
        <v>0</v>
      </c>
      <c r="Y14" s="38">
        <f>INDEX('9 - Water Readings'!$K$8:$K$988,1+(2*(ROWS(A$1:A13)-1)))</f>
        <v>0</v>
      </c>
      <c r="Z14" s="38">
        <f>INDEX('9 - Water Readings'!$L$8:$L$988,1+(2*(ROWS(A$1:A13)-1)))</f>
        <v>0</v>
      </c>
      <c r="AA14" s="39">
        <f>'9 - Water Readings'!Q19</f>
        <v>0</v>
      </c>
      <c r="AB14" s="37">
        <f>'9 - Water Readings'!R19</f>
        <v>0</v>
      </c>
      <c r="AC14">
        <f>'9 - Water Readings'!S19</f>
        <v>0</v>
      </c>
    </row>
    <row r="15" spans="1:29" x14ac:dyDescent="0.35">
      <c r="A15" s="40" t="s">
        <v>35</v>
      </c>
      <c r="B15" s="40">
        <f t="shared" si="0"/>
        <v>14</v>
      </c>
      <c r="C15" s="40">
        <v>10</v>
      </c>
      <c r="D15" s="37">
        <v>2019</v>
      </c>
      <c r="E15" s="38">
        <f>INDEX('13 - Electrical Readings'!$C$8:$C$988,1+(2*(ROWS(A$1:A14)-1)))</f>
        <v>0</v>
      </c>
      <c r="F15" s="38">
        <f>INDEX('13 - Electrical Readings'!$D$6:$D$988,1+(2*(ROWS(A$1:A15)-1)))</f>
        <v>0</v>
      </c>
      <c r="G15" s="37">
        <f>INDEX('13 - Electrical Readings'!$E$6:$E$988,1+(2*(ROWS(A$1:A15)-1)))</f>
        <v>0</v>
      </c>
      <c r="H15" s="37">
        <f>INDEX('13 - Electrical Readings'!$F$6:$F$988,1+(2*(ROWS(A$1:A15)-1)))</f>
        <v>0</v>
      </c>
      <c r="I15" s="38">
        <f>INDEX('13 - Electrical Readings'!$G$6:$G$988,1+(2*(ROWS(A$1:A15)-1)))</f>
        <v>0</v>
      </c>
      <c r="J15" s="37">
        <f>INDEX('13 - Electrical Readings'!$I$6:$I$988,1+(2*(ROWS(A$1:A15)-1)))</f>
        <v>0</v>
      </c>
      <c r="K15" s="37">
        <f>INDEX('13 - Electrical Readings'!$J$6:$J$988,1+(2*(ROWS(B$1:B15)-1)))</f>
        <v>0</v>
      </c>
      <c r="L15" s="37">
        <f>INDEX('13 - Electrical Readings'!$K$6:$K$988,1+(2*(ROWS(C$1:C15)-1)))</f>
        <v>0</v>
      </c>
      <c r="M15" s="37">
        <f>INDEX('13 - Electrical Readings'!$L$6:$L$988,1+(2*(ROWS(D$1:D15)-1)))</f>
        <v>0</v>
      </c>
      <c r="N15" s="37">
        <f>INDEX('13 - Electrical Readings'!$M$6:$M$988,1+(2*(ROWS(E$1:E15)-1)))</f>
        <v>0</v>
      </c>
      <c r="O15" s="38">
        <f>INDEX('13 - Electrical Readings'!$N$6:$N$988,1+(2*(ROWS(E$1:E15)-1)))</f>
        <v>0</v>
      </c>
      <c r="P15" s="38">
        <f>INDEX('13 - Electrical Readings'!$O$6:$O$988,1+(2*(ROWS(E$1:E15)-1)))</f>
        <v>0</v>
      </c>
      <c r="Q15" s="38">
        <f>INDEX('13 - Electrical Readings'!$P$6:$P$988,1+(2*(ROWS(E$1:E15)-1)))</f>
        <v>0</v>
      </c>
      <c r="R15" s="38">
        <f>INDEX('9 - Water Readings'!$C$8:$C$988,1+(2*(ROWS(A$1:A14)-1)))</f>
        <v>0</v>
      </c>
      <c r="S15" s="38">
        <f>INDEX('9 - Water Readings'!$D$8:$D$987,1+(2*(ROWS(A$1:A14)-1)))</f>
        <v>0</v>
      </c>
      <c r="T15" s="38">
        <f>INDEX('9 - Water Readings'!$E$8:$E$988,1+(2*(ROWS(A$1:A14)-1)))</f>
        <v>0</v>
      </c>
      <c r="U15" s="38">
        <f>INDEX('9 - Water Readings'!$G$8:$G$987,1+(2*(ROWS(A$1:A14)-1)))</f>
        <v>0</v>
      </c>
      <c r="V15" s="38">
        <f>INDEX('9 - Water Readings'!$H$8:$H$988,1+(2*(ROWS(A$1:A14)-1)))</f>
        <v>0</v>
      </c>
      <c r="W15" s="38">
        <f>INDEX('9 - Water Readings'!$I$8:$I$988,1+(2*(ROWS(A$1:A14)-1)))</f>
        <v>0</v>
      </c>
      <c r="X15" s="38">
        <f>INDEX('9 - Water Readings'!$J$8:$J$988,1+(2*(ROWS(A$1:A14)-1)))</f>
        <v>0</v>
      </c>
      <c r="Y15" s="38">
        <f>INDEX('9 - Water Readings'!$K$8:$K$988,1+(2*(ROWS(A$1:A14)-1)))</f>
        <v>0</v>
      </c>
      <c r="Z15" s="38">
        <f>INDEX('9 - Water Readings'!$L$8:$L$988,1+(2*(ROWS(A$1:A14)-1)))</f>
        <v>0</v>
      </c>
      <c r="AA15" s="39">
        <f>'9 - Water Readings'!Q20</f>
        <v>0</v>
      </c>
      <c r="AB15" s="37">
        <f>'9 - Water Readings'!R20</f>
        <v>0</v>
      </c>
      <c r="AC15">
        <f>'9 - Water Readings'!S20</f>
        <v>0</v>
      </c>
    </row>
    <row r="16" spans="1:29" x14ac:dyDescent="0.35">
      <c r="A16" s="40" t="s">
        <v>35</v>
      </c>
      <c r="B16" s="40">
        <f t="shared" si="0"/>
        <v>15</v>
      </c>
      <c r="C16" s="40">
        <v>10</v>
      </c>
      <c r="D16" s="37">
        <v>2019</v>
      </c>
      <c r="E16" s="38">
        <f>INDEX('13 - Electrical Readings'!$C$8:$C$988,1+(2*(ROWS(A$1:A15)-1)))</f>
        <v>0</v>
      </c>
      <c r="F16" s="38">
        <f>INDEX('13 - Electrical Readings'!$D$6:$D$988,1+(2*(ROWS(A$1:A16)-1)))</f>
        <v>0</v>
      </c>
      <c r="G16" s="37">
        <f>INDEX('13 - Electrical Readings'!$E$6:$E$988,1+(2*(ROWS(A$1:A16)-1)))</f>
        <v>0</v>
      </c>
      <c r="H16" s="37">
        <f>INDEX('13 - Electrical Readings'!$F$6:$F$988,1+(2*(ROWS(A$1:A16)-1)))</f>
        <v>0</v>
      </c>
      <c r="I16" s="38">
        <f>INDEX('13 - Electrical Readings'!$G$6:$G$988,1+(2*(ROWS(A$1:A16)-1)))</f>
        <v>0</v>
      </c>
      <c r="J16" s="37">
        <f>INDEX('13 - Electrical Readings'!$I$6:$I$988,1+(2*(ROWS(A$1:A16)-1)))</f>
        <v>0</v>
      </c>
      <c r="K16" s="37">
        <f>INDEX('13 - Electrical Readings'!$J$6:$J$988,1+(2*(ROWS(B$1:B16)-1)))</f>
        <v>0</v>
      </c>
      <c r="L16" s="37">
        <f>INDEX('13 - Electrical Readings'!$K$6:$K$988,1+(2*(ROWS(C$1:C16)-1)))</f>
        <v>0</v>
      </c>
      <c r="M16" s="37">
        <f>INDEX('13 - Electrical Readings'!$L$6:$L$988,1+(2*(ROWS(D$1:D16)-1)))</f>
        <v>0</v>
      </c>
      <c r="N16" s="37">
        <f>INDEX('13 - Electrical Readings'!$M$6:$M$988,1+(2*(ROWS(E$1:E16)-1)))</f>
        <v>0</v>
      </c>
      <c r="O16" s="38">
        <f>INDEX('13 - Electrical Readings'!$N$6:$N$988,1+(2*(ROWS(E$1:E16)-1)))</f>
        <v>0</v>
      </c>
      <c r="P16" s="38">
        <f>INDEX('13 - Electrical Readings'!$O$6:$O$988,1+(2*(ROWS(E$1:E16)-1)))</f>
        <v>0</v>
      </c>
      <c r="Q16" s="38">
        <f>INDEX('13 - Electrical Readings'!$P$6:$P$988,1+(2*(ROWS(E$1:E16)-1)))</f>
        <v>0</v>
      </c>
      <c r="R16" s="38">
        <f>INDEX('9 - Water Readings'!$C$8:$C$988,1+(2*(ROWS(A$1:A15)-1)))</f>
        <v>0</v>
      </c>
      <c r="S16" s="38">
        <f>INDEX('9 - Water Readings'!$D$8:$D$987,1+(2*(ROWS(A$1:A15)-1)))</f>
        <v>0</v>
      </c>
      <c r="T16" s="38">
        <f>INDEX('9 - Water Readings'!$E$8:$E$988,1+(2*(ROWS(A$1:A15)-1)))</f>
        <v>0</v>
      </c>
      <c r="U16" s="38">
        <f>INDEX('9 - Water Readings'!$G$8:$G$987,1+(2*(ROWS(A$1:A15)-1)))</f>
        <v>0</v>
      </c>
      <c r="V16" s="38">
        <f>INDEX('9 - Water Readings'!$H$8:$H$988,1+(2*(ROWS(A$1:A15)-1)))</f>
        <v>0</v>
      </c>
      <c r="W16" s="38">
        <f>INDEX('9 - Water Readings'!$I$8:$I$988,1+(2*(ROWS(A$1:A15)-1)))</f>
        <v>0</v>
      </c>
      <c r="X16" s="38">
        <f>INDEX('9 - Water Readings'!$J$8:$J$988,1+(2*(ROWS(A$1:A15)-1)))</f>
        <v>0</v>
      </c>
      <c r="Y16" s="38">
        <f>INDEX('9 - Water Readings'!$K$8:$K$988,1+(2*(ROWS(A$1:A15)-1)))</f>
        <v>0</v>
      </c>
      <c r="Z16" s="38">
        <f>INDEX('9 - Water Readings'!$L$8:$L$988,1+(2*(ROWS(A$1:A15)-1)))</f>
        <v>0</v>
      </c>
      <c r="AA16" s="39">
        <f>'9 - Water Readings'!Q21</f>
        <v>0</v>
      </c>
      <c r="AB16" s="37">
        <f>'9 - Water Readings'!R21</f>
        <v>0</v>
      </c>
      <c r="AC16">
        <f>'9 - Water Readings'!S21</f>
        <v>0</v>
      </c>
    </row>
    <row r="17" spans="1:29" x14ac:dyDescent="0.35">
      <c r="A17" s="40" t="s">
        <v>35</v>
      </c>
      <c r="B17" s="40">
        <f t="shared" si="0"/>
        <v>16</v>
      </c>
      <c r="C17" s="40">
        <v>10</v>
      </c>
      <c r="D17" s="37">
        <v>2019</v>
      </c>
      <c r="E17" s="38">
        <f>INDEX('13 - Electrical Readings'!$C$8:$C$988,1+(2*(ROWS(A$1:A16)-1)))</f>
        <v>0</v>
      </c>
      <c r="F17" s="38">
        <f>INDEX('13 - Electrical Readings'!$D$6:$D$988,1+(2*(ROWS(A$1:A17)-1)))</f>
        <v>0</v>
      </c>
      <c r="G17" s="37">
        <f>INDEX('13 - Electrical Readings'!$E$6:$E$988,1+(2*(ROWS(A$1:A17)-1)))</f>
        <v>0</v>
      </c>
      <c r="H17" s="37">
        <f>INDEX('13 - Electrical Readings'!$F$6:$F$988,1+(2*(ROWS(A$1:A17)-1)))</f>
        <v>0</v>
      </c>
      <c r="I17" s="38">
        <f>INDEX('13 - Electrical Readings'!$G$6:$G$988,1+(2*(ROWS(A$1:A17)-1)))</f>
        <v>0</v>
      </c>
      <c r="J17" s="37">
        <f>INDEX('13 - Electrical Readings'!$I$6:$I$988,1+(2*(ROWS(A$1:A17)-1)))</f>
        <v>0</v>
      </c>
      <c r="K17" s="37">
        <f>INDEX('13 - Electrical Readings'!$J$6:$J$988,1+(2*(ROWS(B$1:B17)-1)))</f>
        <v>0</v>
      </c>
      <c r="L17" s="37">
        <f>INDEX('13 - Electrical Readings'!$K$6:$K$988,1+(2*(ROWS(C$1:C17)-1)))</f>
        <v>0</v>
      </c>
      <c r="M17" s="37">
        <f>INDEX('13 - Electrical Readings'!$L$6:$L$988,1+(2*(ROWS(D$1:D17)-1)))</f>
        <v>0</v>
      </c>
      <c r="N17" s="37">
        <f>INDEX('13 - Electrical Readings'!$M$6:$M$988,1+(2*(ROWS(E$1:E17)-1)))</f>
        <v>0</v>
      </c>
      <c r="O17" s="38">
        <f>INDEX('13 - Electrical Readings'!$N$6:$N$988,1+(2*(ROWS(E$1:E17)-1)))</f>
        <v>0</v>
      </c>
      <c r="P17" s="38">
        <f>INDEX('13 - Electrical Readings'!$O$6:$O$988,1+(2*(ROWS(E$1:E17)-1)))</f>
        <v>0</v>
      </c>
      <c r="Q17" s="38">
        <f>INDEX('13 - Electrical Readings'!$P$6:$P$988,1+(2*(ROWS(E$1:E17)-1)))</f>
        <v>0</v>
      </c>
      <c r="R17" s="38">
        <f>INDEX('9 - Water Readings'!$C$8:$C$988,1+(2*(ROWS(A$1:A16)-1)))</f>
        <v>0</v>
      </c>
      <c r="S17" s="38">
        <f>INDEX('9 - Water Readings'!$D$8:$D$987,1+(2*(ROWS(A$1:A16)-1)))</f>
        <v>0</v>
      </c>
      <c r="T17" s="38">
        <f>INDEX('9 - Water Readings'!$E$8:$E$988,1+(2*(ROWS(A$1:A16)-1)))</f>
        <v>0</v>
      </c>
      <c r="U17" s="38">
        <f>INDEX('9 - Water Readings'!$G$8:$G$987,1+(2*(ROWS(A$1:A16)-1)))</f>
        <v>0</v>
      </c>
      <c r="V17" s="38">
        <f>INDEX('9 - Water Readings'!$H$8:$H$988,1+(2*(ROWS(A$1:A16)-1)))</f>
        <v>0</v>
      </c>
      <c r="W17" s="38">
        <f>INDEX('9 - Water Readings'!$I$8:$I$988,1+(2*(ROWS(A$1:A16)-1)))</f>
        <v>0</v>
      </c>
      <c r="X17" s="38">
        <f>INDEX('9 - Water Readings'!$J$8:$J$988,1+(2*(ROWS(A$1:A16)-1)))</f>
        <v>0</v>
      </c>
      <c r="Y17" s="38">
        <f>INDEX('9 - Water Readings'!$K$8:$K$988,1+(2*(ROWS(A$1:A16)-1)))</f>
        <v>0</v>
      </c>
      <c r="Z17" s="38">
        <f>INDEX('9 - Water Readings'!$L$8:$L$988,1+(2*(ROWS(A$1:A16)-1)))</f>
        <v>0</v>
      </c>
      <c r="AA17" s="39">
        <f>'9 - Water Readings'!Q22</f>
        <v>0</v>
      </c>
      <c r="AB17" s="37">
        <f>'9 - Water Readings'!R22</f>
        <v>0</v>
      </c>
      <c r="AC17">
        <f>'9 - Water Readings'!S22</f>
        <v>0</v>
      </c>
    </row>
    <row r="18" spans="1:29" x14ac:dyDescent="0.35">
      <c r="A18" s="40" t="s">
        <v>35</v>
      </c>
      <c r="B18" s="40">
        <f t="shared" si="0"/>
        <v>17</v>
      </c>
      <c r="C18" s="40">
        <v>10</v>
      </c>
      <c r="D18" s="37">
        <v>2019</v>
      </c>
      <c r="E18" s="38">
        <f>INDEX('13 - Electrical Readings'!$C$8:$C$988,1+(2*(ROWS(A$1:A17)-1)))</f>
        <v>0</v>
      </c>
      <c r="F18" s="38">
        <f>INDEX('13 - Electrical Readings'!$D$6:$D$988,1+(2*(ROWS(A$1:A18)-1)))</f>
        <v>0</v>
      </c>
      <c r="G18" s="37">
        <f>INDEX('13 - Electrical Readings'!$E$6:$E$988,1+(2*(ROWS(A$1:A18)-1)))</f>
        <v>0</v>
      </c>
      <c r="H18" s="37">
        <f>INDEX('13 - Electrical Readings'!$F$6:$F$988,1+(2*(ROWS(A$1:A18)-1)))</f>
        <v>0</v>
      </c>
      <c r="I18" s="38">
        <f>INDEX('13 - Electrical Readings'!$G$6:$G$988,1+(2*(ROWS(A$1:A18)-1)))</f>
        <v>0</v>
      </c>
      <c r="J18" s="37">
        <f>INDEX('13 - Electrical Readings'!$I$6:$I$988,1+(2*(ROWS(A$1:A18)-1)))</f>
        <v>0</v>
      </c>
      <c r="K18" s="37">
        <f>INDEX('13 - Electrical Readings'!$J$6:$J$988,1+(2*(ROWS(B$1:B18)-1)))</f>
        <v>0</v>
      </c>
      <c r="L18" s="37">
        <f>INDEX('13 - Electrical Readings'!$K$6:$K$988,1+(2*(ROWS(C$1:C18)-1)))</f>
        <v>0</v>
      </c>
      <c r="M18" s="37">
        <f>INDEX('13 - Electrical Readings'!$L$6:$L$988,1+(2*(ROWS(D$1:D18)-1)))</f>
        <v>0</v>
      </c>
      <c r="N18" s="37">
        <f>INDEX('13 - Electrical Readings'!$M$6:$M$988,1+(2*(ROWS(E$1:E18)-1)))</f>
        <v>0</v>
      </c>
      <c r="O18" s="38">
        <f>INDEX('13 - Electrical Readings'!$N$6:$N$988,1+(2*(ROWS(E$1:E18)-1)))</f>
        <v>0</v>
      </c>
      <c r="P18" s="38">
        <f>INDEX('13 - Electrical Readings'!$O$6:$O$988,1+(2*(ROWS(E$1:E18)-1)))</f>
        <v>0</v>
      </c>
      <c r="Q18" s="38">
        <f>INDEX('13 - Electrical Readings'!$P$6:$P$988,1+(2*(ROWS(E$1:E18)-1)))</f>
        <v>0</v>
      </c>
      <c r="R18" s="38">
        <f>INDEX('9 - Water Readings'!$C$8:$C$988,1+(2*(ROWS(A$1:A17)-1)))</f>
        <v>0</v>
      </c>
      <c r="S18" s="38">
        <f>INDEX('9 - Water Readings'!$D$8:$D$987,1+(2*(ROWS(A$1:A17)-1)))</f>
        <v>0</v>
      </c>
      <c r="T18" s="38">
        <f>INDEX('9 - Water Readings'!$E$8:$E$988,1+(2*(ROWS(A$1:A17)-1)))</f>
        <v>0</v>
      </c>
      <c r="U18" s="38">
        <f>INDEX('9 - Water Readings'!$G$8:$G$987,1+(2*(ROWS(A$1:A17)-1)))</f>
        <v>0</v>
      </c>
      <c r="V18" s="38">
        <f>INDEX('9 - Water Readings'!$H$8:$H$988,1+(2*(ROWS(A$1:A17)-1)))</f>
        <v>0</v>
      </c>
      <c r="W18" s="38">
        <f>INDEX('9 - Water Readings'!$I$8:$I$988,1+(2*(ROWS(A$1:A17)-1)))</f>
        <v>0</v>
      </c>
      <c r="X18" s="38">
        <f>INDEX('9 - Water Readings'!$J$8:$J$988,1+(2*(ROWS(A$1:A17)-1)))</f>
        <v>0</v>
      </c>
      <c r="Y18" s="38">
        <f>INDEX('9 - Water Readings'!$K$8:$K$988,1+(2*(ROWS(A$1:A17)-1)))</f>
        <v>0</v>
      </c>
      <c r="Z18" s="38">
        <f>INDEX('9 - Water Readings'!$L$8:$L$988,1+(2*(ROWS(A$1:A17)-1)))</f>
        <v>0</v>
      </c>
      <c r="AA18" s="39">
        <f>'9 - Water Readings'!Q23</f>
        <v>0</v>
      </c>
      <c r="AB18" s="37">
        <f>'9 - Water Readings'!R23</f>
        <v>0</v>
      </c>
      <c r="AC18">
        <f>'9 - Water Readings'!S23</f>
        <v>0</v>
      </c>
    </row>
    <row r="19" spans="1:29" x14ac:dyDescent="0.35">
      <c r="A19" s="40" t="s">
        <v>35</v>
      </c>
      <c r="B19" s="40">
        <f t="shared" si="0"/>
        <v>18</v>
      </c>
      <c r="C19" s="40">
        <v>10</v>
      </c>
      <c r="D19" s="37">
        <v>2019</v>
      </c>
      <c r="E19" s="38">
        <f>INDEX('13 - Electrical Readings'!$C$8:$C$988,1+(2*(ROWS(A$1:A18)-1)))</f>
        <v>0</v>
      </c>
      <c r="F19" s="38">
        <f>INDEX('13 - Electrical Readings'!$D$6:$D$988,1+(2*(ROWS(A$1:A19)-1)))</f>
        <v>0</v>
      </c>
      <c r="G19" s="37">
        <f>INDEX('13 - Electrical Readings'!$E$6:$E$988,1+(2*(ROWS(A$1:A19)-1)))</f>
        <v>0</v>
      </c>
      <c r="H19" s="37">
        <f>INDEX('13 - Electrical Readings'!$F$6:$F$988,1+(2*(ROWS(A$1:A19)-1)))</f>
        <v>0</v>
      </c>
      <c r="I19" s="38">
        <f>INDEX('13 - Electrical Readings'!$G$6:$G$988,1+(2*(ROWS(A$1:A19)-1)))</f>
        <v>0</v>
      </c>
      <c r="J19" s="37">
        <f>INDEX('13 - Electrical Readings'!$I$6:$I$988,1+(2*(ROWS(A$1:A19)-1)))</f>
        <v>0</v>
      </c>
      <c r="K19" s="37">
        <f>INDEX('13 - Electrical Readings'!$J$6:$J$988,1+(2*(ROWS(B$1:B19)-1)))</f>
        <v>0</v>
      </c>
      <c r="L19" s="37">
        <f>INDEX('13 - Electrical Readings'!$K$6:$K$988,1+(2*(ROWS(C$1:C19)-1)))</f>
        <v>0</v>
      </c>
      <c r="M19" s="37">
        <f>INDEX('13 - Electrical Readings'!$L$6:$L$988,1+(2*(ROWS(D$1:D19)-1)))</f>
        <v>0</v>
      </c>
      <c r="N19" s="37">
        <f>INDEX('13 - Electrical Readings'!$M$6:$M$988,1+(2*(ROWS(E$1:E19)-1)))</f>
        <v>0</v>
      </c>
      <c r="O19" s="38">
        <f>INDEX('13 - Electrical Readings'!$N$6:$N$988,1+(2*(ROWS(E$1:E19)-1)))</f>
        <v>0</v>
      </c>
      <c r="P19" s="38">
        <f>INDEX('13 - Electrical Readings'!$O$6:$O$988,1+(2*(ROWS(E$1:E19)-1)))</f>
        <v>0</v>
      </c>
      <c r="Q19" s="38">
        <f>INDEX('13 - Electrical Readings'!$P$6:$P$988,1+(2*(ROWS(E$1:E19)-1)))</f>
        <v>0</v>
      </c>
      <c r="R19" s="38">
        <f>INDEX('9 - Water Readings'!$C$8:$C$988,1+(2*(ROWS(A$1:A18)-1)))</f>
        <v>0</v>
      </c>
      <c r="S19" s="38">
        <f>INDEX('9 - Water Readings'!$D$8:$D$987,1+(2*(ROWS(A$1:A18)-1)))</f>
        <v>0</v>
      </c>
      <c r="T19" s="38">
        <f>INDEX('9 - Water Readings'!$E$8:$E$988,1+(2*(ROWS(A$1:A18)-1)))</f>
        <v>0</v>
      </c>
      <c r="U19" s="38">
        <f>INDEX('9 - Water Readings'!$G$8:$G$987,1+(2*(ROWS(A$1:A18)-1)))</f>
        <v>0</v>
      </c>
      <c r="V19" s="38">
        <f>INDEX('9 - Water Readings'!$H$8:$H$988,1+(2*(ROWS(A$1:A18)-1)))</f>
        <v>0</v>
      </c>
      <c r="W19" s="38">
        <f>INDEX('9 - Water Readings'!$I$8:$I$988,1+(2*(ROWS(A$1:A18)-1)))</f>
        <v>0</v>
      </c>
      <c r="X19" s="38">
        <f>INDEX('9 - Water Readings'!$J$8:$J$988,1+(2*(ROWS(A$1:A18)-1)))</f>
        <v>0</v>
      </c>
      <c r="Y19" s="38">
        <f>INDEX('9 - Water Readings'!$K$8:$K$988,1+(2*(ROWS(A$1:A18)-1)))</f>
        <v>0</v>
      </c>
      <c r="Z19" s="38">
        <f>INDEX('9 - Water Readings'!$L$8:$L$988,1+(2*(ROWS(A$1:A18)-1)))</f>
        <v>0</v>
      </c>
      <c r="AA19" s="39">
        <f>'9 - Water Readings'!Q24</f>
        <v>0</v>
      </c>
      <c r="AB19" s="37">
        <f>'9 - Water Readings'!R24</f>
        <v>0</v>
      </c>
      <c r="AC19">
        <f>'9 - Water Readings'!S24</f>
        <v>0</v>
      </c>
    </row>
    <row r="20" spans="1:29" x14ac:dyDescent="0.35">
      <c r="A20" s="40" t="s">
        <v>35</v>
      </c>
      <c r="B20" s="40">
        <f t="shared" si="0"/>
        <v>19</v>
      </c>
      <c r="C20" s="40">
        <v>10</v>
      </c>
      <c r="D20" s="37">
        <v>2019</v>
      </c>
      <c r="E20" s="38">
        <f>INDEX('13 - Electrical Readings'!$C$8:$C$988,1+(2*(ROWS(A$1:A19)-1)))</f>
        <v>0</v>
      </c>
      <c r="F20" s="38">
        <f>INDEX('13 - Electrical Readings'!$D$6:$D$988,1+(2*(ROWS(A$1:A20)-1)))</f>
        <v>0</v>
      </c>
      <c r="G20" s="37">
        <f>INDEX('13 - Electrical Readings'!$E$6:$E$988,1+(2*(ROWS(A$1:A20)-1)))</f>
        <v>0</v>
      </c>
      <c r="H20" s="37">
        <f>INDEX('13 - Electrical Readings'!$F$6:$F$988,1+(2*(ROWS(A$1:A20)-1)))</f>
        <v>0</v>
      </c>
      <c r="I20" s="38">
        <f>INDEX('13 - Electrical Readings'!$G$6:$G$988,1+(2*(ROWS(A$1:A20)-1)))</f>
        <v>0</v>
      </c>
      <c r="J20" s="37">
        <f>INDEX('13 - Electrical Readings'!$I$6:$I$988,1+(2*(ROWS(A$1:A20)-1)))</f>
        <v>0</v>
      </c>
      <c r="K20" s="37">
        <f>INDEX('13 - Electrical Readings'!$J$6:$J$988,1+(2*(ROWS(B$1:B20)-1)))</f>
        <v>0</v>
      </c>
      <c r="L20" s="37">
        <f>INDEX('13 - Electrical Readings'!$K$6:$K$988,1+(2*(ROWS(C$1:C20)-1)))</f>
        <v>0</v>
      </c>
      <c r="M20" s="37">
        <f>INDEX('13 - Electrical Readings'!$L$6:$L$988,1+(2*(ROWS(D$1:D20)-1)))</f>
        <v>0</v>
      </c>
      <c r="N20" s="37">
        <f>INDEX('13 - Electrical Readings'!$M$6:$M$988,1+(2*(ROWS(E$1:E20)-1)))</f>
        <v>0</v>
      </c>
      <c r="O20" s="38">
        <f>INDEX('13 - Electrical Readings'!$N$6:$N$988,1+(2*(ROWS(E$1:E20)-1)))</f>
        <v>0</v>
      </c>
      <c r="P20" s="38">
        <f>INDEX('13 - Electrical Readings'!$O$6:$O$988,1+(2*(ROWS(E$1:E20)-1)))</f>
        <v>0</v>
      </c>
      <c r="Q20" s="38">
        <f>INDEX('13 - Electrical Readings'!$P$6:$P$988,1+(2*(ROWS(E$1:E20)-1)))</f>
        <v>0</v>
      </c>
      <c r="R20" s="38">
        <f>INDEX('9 - Water Readings'!$C$8:$C$988,1+(2*(ROWS(A$1:A19)-1)))</f>
        <v>0</v>
      </c>
      <c r="S20" s="38">
        <f>INDEX('9 - Water Readings'!$D$8:$D$987,1+(2*(ROWS(A$1:A19)-1)))</f>
        <v>0</v>
      </c>
      <c r="T20" s="38">
        <f>INDEX('9 - Water Readings'!$E$8:$E$988,1+(2*(ROWS(A$1:A19)-1)))</f>
        <v>0</v>
      </c>
      <c r="U20" s="38">
        <f>INDEX('9 - Water Readings'!$G$8:$G$987,1+(2*(ROWS(A$1:A19)-1)))</f>
        <v>0</v>
      </c>
      <c r="V20" s="38">
        <f>INDEX('9 - Water Readings'!$H$8:$H$988,1+(2*(ROWS(A$1:A19)-1)))</f>
        <v>0</v>
      </c>
      <c r="W20" s="38">
        <f>INDEX('9 - Water Readings'!$I$8:$I$988,1+(2*(ROWS(A$1:A19)-1)))</f>
        <v>0</v>
      </c>
      <c r="X20" s="38">
        <f>INDEX('9 - Water Readings'!$J$8:$J$988,1+(2*(ROWS(A$1:A19)-1)))</f>
        <v>0</v>
      </c>
      <c r="Y20" s="38">
        <f>INDEX('9 - Water Readings'!$K$8:$K$988,1+(2*(ROWS(A$1:A19)-1)))</f>
        <v>0</v>
      </c>
      <c r="Z20" s="38">
        <f>INDEX('9 - Water Readings'!$L$8:$L$988,1+(2*(ROWS(A$1:A19)-1)))</f>
        <v>0</v>
      </c>
      <c r="AA20" s="39">
        <f>'9 - Water Readings'!Q25</f>
        <v>0</v>
      </c>
      <c r="AB20" s="37">
        <f>'9 - Water Readings'!R25</f>
        <v>0</v>
      </c>
      <c r="AC20">
        <f>'9 - Water Readings'!S25</f>
        <v>0</v>
      </c>
    </row>
    <row r="21" spans="1:29" x14ac:dyDescent="0.35">
      <c r="A21" s="40" t="s">
        <v>35</v>
      </c>
      <c r="B21" s="40">
        <f t="shared" si="0"/>
        <v>20</v>
      </c>
      <c r="C21" s="40">
        <v>10</v>
      </c>
      <c r="D21" s="37">
        <v>2019</v>
      </c>
      <c r="E21" s="38">
        <f>INDEX('13 - Electrical Readings'!$C$8:$C$988,1+(2*(ROWS(A$1:A20)-1)))</f>
        <v>0</v>
      </c>
      <c r="F21" s="38">
        <f>INDEX('13 - Electrical Readings'!$D$6:$D$988,1+(2*(ROWS(A$1:A21)-1)))</f>
        <v>0</v>
      </c>
      <c r="G21" s="37">
        <f>INDEX('13 - Electrical Readings'!$E$6:$E$988,1+(2*(ROWS(A$1:A21)-1)))</f>
        <v>0</v>
      </c>
      <c r="H21" s="37">
        <f>INDEX('13 - Electrical Readings'!$F$6:$F$988,1+(2*(ROWS(A$1:A21)-1)))</f>
        <v>0</v>
      </c>
      <c r="I21" s="38">
        <f>INDEX('13 - Electrical Readings'!$G$6:$G$988,1+(2*(ROWS(A$1:A21)-1)))</f>
        <v>0</v>
      </c>
      <c r="J21" s="37">
        <f>INDEX('13 - Electrical Readings'!$I$6:$I$988,1+(2*(ROWS(A$1:A21)-1)))</f>
        <v>0</v>
      </c>
      <c r="K21" s="37">
        <f>INDEX('13 - Electrical Readings'!$J$6:$J$988,1+(2*(ROWS(B$1:B21)-1)))</f>
        <v>0</v>
      </c>
      <c r="L21" s="37">
        <f>INDEX('13 - Electrical Readings'!$K$6:$K$988,1+(2*(ROWS(C$1:C21)-1)))</f>
        <v>0</v>
      </c>
      <c r="M21" s="37">
        <f>INDEX('13 - Electrical Readings'!$L$6:$L$988,1+(2*(ROWS(D$1:D21)-1)))</f>
        <v>0</v>
      </c>
      <c r="N21" s="37">
        <f>INDEX('13 - Electrical Readings'!$M$6:$M$988,1+(2*(ROWS(E$1:E21)-1)))</f>
        <v>0</v>
      </c>
      <c r="O21" s="38">
        <f>INDEX('13 - Electrical Readings'!$N$6:$N$988,1+(2*(ROWS(E$1:E21)-1)))</f>
        <v>0</v>
      </c>
      <c r="P21" s="38">
        <f>INDEX('13 - Electrical Readings'!$O$6:$O$988,1+(2*(ROWS(E$1:E21)-1)))</f>
        <v>0</v>
      </c>
      <c r="Q21" s="38">
        <f>INDEX('13 - Electrical Readings'!$P$6:$P$988,1+(2*(ROWS(E$1:E21)-1)))</f>
        <v>0</v>
      </c>
      <c r="R21" s="38">
        <f>INDEX('9 - Water Readings'!$C$8:$C$988,1+(2*(ROWS(A$1:A20)-1)))</f>
        <v>0</v>
      </c>
      <c r="S21" s="38">
        <f>INDEX('9 - Water Readings'!$D$8:$D$987,1+(2*(ROWS(A$1:A20)-1)))</f>
        <v>0</v>
      </c>
      <c r="T21" s="38">
        <f>INDEX('9 - Water Readings'!$E$8:$E$988,1+(2*(ROWS(A$1:A20)-1)))</f>
        <v>0</v>
      </c>
      <c r="U21" s="38">
        <f>INDEX('9 - Water Readings'!$G$8:$G$987,1+(2*(ROWS(A$1:A20)-1)))</f>
        <v>0</v>
      </c>
      <c r="V21" s="38">
        <f>INDEX('9 - Water Readings'!$H$8:$H$988,1+(2*(ROWS(A$1:A20)-1)))</f>
        <v>0</v>
      </c>
      <c r="W21" s="38">
        <f>INDEX('9 - Water Readings'!$I$8:$I$988,1+(2*(ROWS(A$1:A20)-1)))</f>
        <v>0</v>
      </c>
      <c r="X21" s="38">
        <f>INDEX('9 - Water Readings'!$J$8:$J$988,1+(2*(ROWS(A$1:A20)-1)))</f>
        <v>0</v>
      </c>
      <c r="Y21" s="38">
        <f>INDEX('9 - Water Readings'!$K$8:$K$988,1+(2*(ROWS(A$1:A20)-1)))</f>
        <v>0</v>
      </c>
      <c r="Z21" s="38">
        <f>INDEX('9 - Water Readings'!$L$8:$L$988,1+(2*(ROWS(A$1:A20)-1)))</f>
        <v>0</v>
      </c>
      <c r="AA21" s="39">
        <f>'9 - Water Readings'!Q26</f>
        <v>0</v>
      </c>
      <c r="AB21" s="37">
        <f>'9 - Water Readings'!R26</f>
        <v>0</v>
      </c>
      <c r="AC21">
        <f>'9 - Water Readings'!S26</f>
        <v>0</v>
      </c>
    </row>
    <row r="22" spans="1:29" x14ac:dyDescent="0.35">
      <c r="A22" s="40" t="s">
        <v>35</v>
      </c>
      <c r="B22" s="40">
        <f t="shared" si="0"/>
        <v>21</v>
      </c>
      <c r="C22" s="40">
        <v>10</v>
      </c>
      <c r="D22" s="37">
        <v>2019</v>
      </c>
      <c r="E22" s="38">
        <f>INDEX('13 - Electrical Readings'!$C$8:$C$988,1+(2*(ROWS(A$1:A21)-1)))</f>
        <v>0</v>
      </c>
      <c r="F22" s="38">
        <f>INDEX('13 - Electrical Readings'!$D$6:$D$988,1+(2*(ROWS(A$1:A22)-1)))</f>
        <v>0</v>
      </c>
      <c r="G22" s="37">
        <f>INDEX('13 - Electrical Readings'!$E$6:$E$988,1+(2*(ROWS(A$1:A22)-1)))</f>
        <v>0</v>
      </c>
      <c r="H22" s="37">
        <f>INDEX('13 - Electrical Readings'!$F$6:$F$988,1+(2*(ROWS(A$1:A22)-1)))</f>
        <v>0</v>
      </c>
      <c r="I22" s="38">
        <f>INDEX('13 - Electrical Readings'!$G$6:$G$988,1+(2*(ROWS(A$1:A22)-1)))</f>
        <v>0</v>
      </c>
      <c r="J22" s="37">
        <f>INDEX('13 - Electrical Readings'!$I$6:$I$988,1+(2*(ROWS(A$1:A22)-1)))</f>
        <v>0</v>
      </c>
      <c r="K22" s="37">
        <f>INDEX('13 - Electrical Readings'!$J$6:$J$988,1+(2*(ROWS(B$1:B22)-1)))</f>
        <v>0</v>
      </c>
      <c r="L22" s="37">
        <f>INDEX('13 - Electrical Readings'!$K$6:$K$988,1+(2*(ROWS(C$1:C22)-1)))</f>
        <v>0</v>
      </c>
      <c r="M22" s="37">
        <f>INDEX('13 - Electrical Readings'!$L$6:$L$988,1+(2*(ROWS(D$1:D22)-1)))</f>
        <v>0</v>
      </c>
      <c r="N22" s="37">
        <f>INDEX('13 - Electrical Readings'!$M$6:$M$988,1+(2*(ROWS(E$1:E22)-1)))</f>
        <v>0</v>
      </c>
      <c r="O22" s="38">
        <f>INDEX('13 - Electrical Readings'!$N$6:$N$988,1+(2*(ROWS(E$1:E22)-1)))</f>
        <v>0</v>
      </c>
      <c r="P22" s="38">
        <f>INDEX('13 - Electrical Readings'!$O$6:$O$988,1+(2*(ROWS(E$1:E22)-1)))</f>
        <v>0</v>
      </c>
      <c r="Q22" s="38">
        <f>INDEX('13 - Electrical Readings'!$P$6:$P$988,1+(2*(ROWS(E$1:E22)-1)))</f>
        <v>0</v>
      </c>
      <c r="R22" s="38">
        <f>INDEX('9 - Water Readings'!$C$8:$C$988,1+(2*(ROWS(A$1:A21)-1)))</f>
        <v>0</v>
      </c>
      <c r="S22" s="38">
        <f>INDEX('9 - Water Readings'!$D$8:$D$987,1+(2*(ROWS(A$1:A21)-1)))</f>
        <v>0</v>
      </c>
      <c r="T22" s="38">
        <f>INDEX('9 - Water Readings'!$E$8:$E$988,1+(2*(ROWS(A$1:A21)-1)))</f>
        <v>0</v>
      </c>
      <c r="U22" s="38">
        <f>INDEX('9 - Water Readings'!$G$8:$G$987,1+(2*(ROWS(A$1:A21)-1)))</f>
        <v>0</v>
      </c>
      <c r="V22" s="38">
        <f>INDEX('9 - Water Readings'!$H$8:$H$988,1+(2*(ROWS(A$1:A21)-1)))</f>
        <v>0</v>
      </c>
      <c r="W22" s="38">
        <f>INDEX('9 - Water Readings'!$I$8:$I$988,1+(2*(ROWS(A$1:A21)-1)))</f>
        <v>0</v>
      </c>
      <c r="X22" s="38">
        <f>INDEX('9 - Water Readings'!$J$8:$J$988,1+(2*(ROWS(A$1:A21)-1)))</f>
        <v>0</v>
      </c>
      <c r="Y22" s="38">
        <f>INDEX('9 - Water Readings'!$K$8:$K$988,1+(2*(ROWS(A$1:A21)-1)))</f>
        <v>0</v>
      </c>
      <c r="Z22" s="38">
        <f>INDEX('9 - Water Readings'!$L$8:$L$988,1+(2*(ROWS(A$1:A21)-1)))</f>
        <v>0</v>
      </c>
      <c r="AA22" s="39">
        <f>'9 - Water Readings'!Q27</f>
        <v>0</v>
      </c>
      <c r="AB22" s="37">
        <f>'9 - Water Readings'!R27</f>
        <v>0</v>
      </c>
      <c r="AC22">
        <f>'9 - Water Readings'!S27</f>
        <v>0</v>
      </c>
    </row>
    <row r="23" spans="1:29" x14ac:dyDescent="0.35">
      <c r="A23" s="40" t="s">
        <v>35</v>
      </c>
      <c r="B23" s="40">
        <f t="shared" si="0"/>
        <v>22</v>
      </c>
      <c r="C23" s="40">
        <v>10</v>
      </c>
      <c r="D23" s="37">
        <v>2019</v>
      </c>
      <c r="E23" s="38">
        <f>INDEX('13 - Electrical Readings'!$C$8:$C$988,1+(2*(ROWS(A$1:A22)-1)))</f>
        <v>0</v>
      </c>
      <c r="F23" s="38">
        <f>INDEX('13 - Electrical Readings'!$D$6:$D$988,1+(2*(ROWS(A$1:A23)-1)))</f>
        <v>0</v>
      </c>
      <c r="G23" s="37">
        <f>INDEX('13 - Electrical Readings'!$E$6:$E$988,1+(2*(ROWS(A$1:A23)-1)))</f>
        <v>0</v>
      </c>
      <c r="H23" s="37">
        <f>INDEX('13 - Electrical Readings'!$F$6:$F$988,1+(2*(ROWS(A$1:A23)-1)))</f>
        <v>0</v>
      </c>
      <c r="I23" s="38">
        <f>INDEX('13 - Electrical Readings'!$G$6:$G$988,1+(2*(ROWS(A$1:A23)-1)))</f>
        <v>0</v>
      </c>
      <c r="J23" s="37">
        <f>INDEX('13 - Electrical Readings'!$I$6:$I$988,1+(2*(ROWS(A$1:A23)-1)))</f>
        <v>0</v>
      </c>
      <c r="K23" s="37">
        <f>INDEX('13 - Electrical Readings'!$J$6:$J$988,1+(2*(ROWS(B$1:B23)-1)))</f>
        <v>0</v>
      </c>
      <c r="L23" s="37">
        <f>INDEX('13 - Electrical Readings'!$K$6:$K$988,1+(2*(ROWS(C$1:C23)-1)))</f>
        <v>0</v>
      </c>
      <c r="M23" s="37">
        <f>INDEX('13 - Electrical Readings'!$L$6:$L$988,1+(2*(ROWS(D$1:D23)-1)))</f>
        <v>0</v>
      </c>
      <c r="N23" s="37">
        <f>INDEX('13 - Electrical Readings'!$M$6:$M$988,1+(2*(ROWS(E$1:E23)-1)))</f>
        <v>0</v>
      </c>
      <c r="O23" s="38">
        <f>INDEX('13 - Electrical Readings'!$N$6:$N$988,1+(2*(ROWS(E$1:E23)-1)))</f>
        <v>0</v>
      </c>
      <c r="P23" s="38">
        <f>INDEX('13 - Electrical Readings'!$O$6:$O$988,1+(2*(ROWS(E$1:E23)-1)))</f>
        <v>0</v>
      </c>
      <c r="Q23" s="38">
        <f>INDEX('13 - Electrical Readings'!$P$6:$P$988,1+(2*(ROWS(E$1:E23)-1)))</f>
        <v>0</v>
      </c>
      <c r="R23" s="38">
        <f>INDEX('9 - Water Readings'!$C$8:$C$988,1+(2*(ROWS(A$1:A22)-1)))</f>
        <v>0</v>
      </c>
      <c r="S23" s="38">
        <f>INDEX('9 - Water Readings'!$D$8:$D$987,1+(2*(ROWS(A$1:A22)-1)))</f>
        <v>0</v>
      </c>
      <c r="T23" s="38">
        <f>INDEX('9 - Water Readings'!$E$8:$E$988,1+(2*(ROWS(A$1:A22)-1)))</f>
        <v>0</v>
      </c>
      <c r="U23" s="38">
        <f>INDEX('9 - Water Readings'!$G$8:$G$987,1+(2*(ROWS(A$1:A22)-1)))</f>
        <v>0</v>
      </c>
      <c r="V23" s="38">
        <f>INDEX('9 - Water Readings'!$H$8:$H$988,1+(2*(ROWS(A$1:A22)-1)))</f>
        <v>0</v>
      </c>
      <c r="W23" s="38">
        <f>INDEX('9 - Water Readings'!$I$8:$I$988,1+(2*(ROWS(A$1:A22)-1)))</f>
        <v>0</v>
      </c>
      <c r="X23" s="38">
        <f>INDEX('9 - Water Readings'!$J$8:$J$988,1+(2*(ROWS(A$1:A22)-1)))</f>
        <v>0</v>
      </c>
      <c r="Y23" s="38">
        <f>INDEX('9 - Water Readings'!$K$8:$K$988,1+(2*(ROWS(A$1:A22)-1)))</f>
        <v>0</v>
      </c>
      <c r="Z23" s="38">
        <f>INDEX('9 - Water Readings'!$L$8:$L$988,1+(2*(ROWS(A$1:A22)-1)))</f>
        <v>0</v>
      </c>
      <c r="AA23" s="39">
        <f>'9 - Water Readings'!Q28</f>
        <v>0</v>
      </c>
      <c r="AB23" s="37">
        <f>'9 - Water Readings'!R28</f>
        <v>0</v>
      </c>
      <c r="AC23">
        <f>'9 - Water Readings'!S28</f>
        <v>0</v>
      </c>
    </row>
    <row r="24" spans="1:29" x14ac:dyDescent="0.35">
      <c r="A24" s="40" t="s">
        <v>35</v>
      </c>
      <c r="B24" s="40">
        <f t="shared" si="0"/>
        <v>23</v>
      </c>
      <c r="C24" s="40">
        <v>10</v>
      </c>
      <c r="D24" s="37">
        <v>2019</v>
      </c>
      <c r="E24" s="38">
        <f>INDEX('13 - Electrical Readings'!$C$8:$C$988,1+(2*(ROWS(A$1:A23)-1)))</f>
        <v>0</v>
      </c>
      <c r="F24" s="38">
        <f>INDEX('13 - Electrical Readings'!$D$6:$D$988,1+(2*(ROWS(A$1:A24)-1)))</f>
        <v>0</v>
      </c>
      <c r="G24" s="37">
        <f>INDEX('13 - Electrical Readings'!$E$6:$E$988,1+(2*(ROWS(A$1:A24)-1)))</f>
        <v>0</v>
      </c>
      <c r="H24" s="37">
        <f>INDEX('13 - Electrical Readings'!$F$6:$F$988,1+(2*(ROWS(A$1:A24)-1)))</f>
        <v>0</v>
      </c>
      <c r="I24" s="38">
        <f>INDEX('13 - Electrical Readings'!$G$6:$G$988,1+(2*(ROWS(A$1:A24)-1)))</f>
        <v>0</v>
      </c>
      <c r="J24" s="37">
        <f>INDEX('13 - Electrical Readings'!$I$6:$I$988,1+(2*(ROWS(A$1:A24)-1)))</f>
        <v>0</v>
      </c>
      <c r="K24" s="37">
        <f>INDEX('13 - Electrical Readings'!$J$6:$J$988,1+(2*(ROWS(B$1:B24)-1)))</f>
        <v>0</v>
      </c>
      <c r="L24" s="37">
        <f>INDEX('13 - Electrical Readings'!$K$6:$K$988,1+(2*(ROWS(C$1:C24)-1)))</f>
        <v>0</v>
      </c>
      <c r="M24" s="37">
        <f>INDEX('13 - Electrical Readings'!$L$6:$L$988,1+(2*(ROWS(D$1:D24)-1)))</f>
        <v>0</v>
      </c>
      <c r="N24" s="37">
        <f>INDEX('13 - Electrical Readings'!$M$6:$M$988,1+(2*(ROWS(E$1:E24)-1)))</f>
        <v>0</v>
      </c>
      <c r="O24" s="38">
        <f>INDEX('13 - Electrical Readings'!$N$6:$N$988,1+(2*(ROWS(E$1:E24)-1)))</f>
        <v>0</v>
      </c>
      <c r="P24" s="38">
        <f>INDEX('13 - Electrical Readings'!$O$6:$O$988,1+(2*(ROWS(E$1:E24)-1)))</f>
        <v>0</v>
      </c>
      <c r="Q24" s="38">
        <f>INDEX('13 - Electrical Readings'!$P$6:$P$988,1+(2*(ROWS(E$1:E24)-1)))</f>
        <v>0</v>
      </c>
      <c r="R24" s="38">
        <f>INDEX('9 - Water Readings'!$C$8:$C$988,1+(2*(ROWS(A$1:A23)-1)))</f>
        <v>0</v>
      </c>
      <c r="S24" s="38">
        <f>INDEX('9 - Water Readings'!$D$8:$D$987,1+(2*(ROWS(A$1:A23)-1)))</f>
        <v>0</v>
      </c>
      <c r="T24" s="38">
        <f>INDEX('9 - Water Readings'!$E$8:$E$988,1+(2*(ROWS(A$1:A23)-1)))</f>
        <v>0</v>
      </c>
      <c r="U24" s="38">
        <f>INDEX('9 - Water Readings'!$G$8:$G$987,1+(2*(ROWS(A$1:A23)-1)))</f>
        <v>0</v>
      </c>
      <c r="V24" s="38">
        <f>INDEX('9 - Water Readings'!$H$8:$H$988,1+(2*(ROWS(A$1:A23)-1)))</f>
        <v>0</v>
      </c>
      <c r="W24" s="38">
        <f>INDEX('9 - Water Readings'!$I$8:$I$988,1+(2*(ROWS(A$1:A23)-1)))</f>
        <v>0</v>
      </c>
      <c r="X24" s="38">
        <f>INDEX('9 - Water Readings'!$J$8:$J$988,1+(2*(ROWS(A$1:A23)-1)))</f>
        <v>0</v>
      </c>
      <c r="Y24" s="38">
        <f>INDEX('9 - Water Readings'!$K$8:$K$988,1+(2*(ROWS(A$1:A23)-1)))</f>
        <v>0</v>
      </c>
      <c r="Z24" s="38">
        <f>INDEX('9 - Water Readings'!$L$8:$L$988,1+(2*(ROWS(A$1:A23)-1)))</f>
        <v>0</v>
      </c>
      <c r="AA24" s="39">
        <f>'9 - Water Readings'!Q29</f>
        <v>0</v>
      </c>
      <c r="AB24" s="37">
        <f>'9 - Water Readings'!R29</f>
        <v>0</v>
      </c>
      <c r="AC24">
        <f>'9 - Water Readings'!S29</f>
        <v>0</v>
      </c>
    </row>
    <row r="25" spans="1:29" x14ac:dyDescent="0.35">
      <c r="A25" s="40" t="s">
        <v>35</v>
      </c>
      <c r="B25" s="40">
        <f t="shared" si="0"/>
        <v>24</v>
      </c>
      <c r="C25" s="40">
        <v>10</v>
      </c>
      <c r="D25" s="37">
        <v>2019</v>
      </c>
      <c r="E25" s="38">
        <f>INDEX('13 - Electrical Readings'!$C$8:$C$988,1+(2*(ROWS(A$1:A24)-1)))</f>
        <v>0</v>
      </c>
      <c r="F25" s="38">
        <f>INDEX('13 - Electrical Readings'!$D$6:$D$988,1+(2*(ROWS(A$1:A25)-1)))</f>
        <v>0</v>
      </c>
      <c r="G25" s="37">
        <f>INDEX('13 - Electrical Readings'!$E$6:$E$988,1+(2*(ROWS(A$1:A25)-1)))</f>
        <v>0</v>
      </c>
      <c r="H25" s="37">
        <f>INDEX('13 - Electrical Readings'!$F$6:$F$988,1+(2*(ROWS(A$1:A25)-1)))</f>
        <v>0</v>
      </c>
      <c r="I25" s="38">
        <f>INDEX('13 - Electrical Readings'!$G$6:$G$988,1+(2*(ROWS(A$1:A25)-1)))</f>
        <v>0</v>
      </c>
      <c r="J25" s="37">
        <f>INDEX('13 - Electrical Readings'!$I$6:$I$988,1+(2*(ROWS(A$1:A25)-1)))</f>
        <v>0</v>
      </c>
      <c r="K25" s="37">
        <f>INDEX('13 - Electrical Readings'!$J$6:$J$988,1+(2*(ROWS(B$1:B25)-1)))</f>
        <v>0</v>
      </c>
      <c r="L25" s="37">
        <f>INDEX('13 - Electrical Readings'!$K$6:$K$988,1+(2*(ROWS(C$1:C25)-1)))</f>
        <v>0</v>
      </c>
      <c r="M25" s="37">
        <f>INDEX('13 - Electrical Readings'!$L$6:$L$988,1+(2*(ROWS(D$1:D25)-1)))</f>
        <v>0</v>
      </c>
      <c r="N25" s="37">
        <f>INDEX('13 - Electrical Readings'!$M$6:$M$988,1+(2*(ROWS(E$1:E25)-1)))</f>
        <v>0</v>
      </c>
      <c r="O25" s="38">
        <f>INDEX('13 - Electrical Readings'!$N$6:$N$988,1+(2*(ROWS(E$1:E25)-1)))</f>
        <v>0</v>
      </c>
      <c r="P25" s="38">
        <f>INDEX('13 - Electrical Readings'!$O$6:$O$988,1+(2*(ROWS(E$1:E25)-1)))</f>
        <v>0</v>
      </c>
      <c r="Q25" s="38">
        <f>INDEX('13 - Electrical Readings'!$P$6:$P$988,1+(2*(ROWS(E$1:E25)-1)))</f>
        <v>0</v>
      </c>
      <c r="R25" s="38">
        <f>INDEX('9 - Water Readings'!$C$8:$C$988,1+(2*(ROWS(A$1:A24)-1)))</f>
        <v>0</v>
      </c>
      <c r="S25" s="38">
        <f>INDEX('9 - Water Readings'!$D$8:$D$987,1+(2*(ROWS(A$1:A24)-1)))</f>
        <v>0</v>
      </c>
      <c r="T25" s="38">
        <f>INDEX('9 - Water Readings'!$E$8:$E$988,1+(2*(ROWS(A$1:A24)-1)))</f>
        <v>0</v>
      </c>
      <c r="U25" s="38">
        <f>INDEX('9 - Water Readings'!$G$8:$G$987,1+(2*(ROWS(A$1:A24)-1)))</f>
        <v>0</v>
      </c>
      <c r="V25" s="38">
        <f>INDEX('9 - Water Readings'!$H$8:$H$988,1+(2*(ROWS(A$1:A24)-1)))</f>
        <v>0</v>
      </c>
      <c r="W25" s="38">
        <f>INDEX('9 - Water Readings'!$I$8:$I$988,1+(2*(ROWS(A$1:A24)-1)))</f>
        <v>0</v>
      </c>
      <c r="X25" s="38">
        <f>INDEX('9 - Water Readings'!$J$8:$J$988,1+(2*(ROWS(A$1:A24)-1)))</f>
        <v>0</v>
      </c>
      <c r="Y25" s="38">
        <f>INDEX('9 - Water Readings'!$K$8:$K$988,1+(2*(ROWS(A$1:A24)-1)))</f>
        <v>0</v>
      </c>
      <c r="Z25" s="38">
        <f>INDEX('9 - Water Readings'!$L$8:$L$988,1+(2*(ROWS(A$1:A24)-1)))</f>
        <v>0</v>
      </c>
      <c r="AA25" s="39">
        <f>'9 - Water Readings'!Q30</f>
        <v>0</v>
      </c>
      <c r="AB25" s="37">
        <f>'9 - Water Readings'!R30</f>
        <v>0</v>
      </c>
      <c r="AC25">
        <f>'9 - Water Readings'!S30</f>
        <v>0</v>
      </c>
    </row>
    <row r="26" spans="1:29" x14ac:dyDescent="0.35">
      <c r="A26" s="40" t="s">
        <v>35</v>
      </c>
      <c r="B26" s="40">
        <f>B25+1</f>
        <v>25</v>
      </c>
      <c r="C26" s="40">
        <v>10</v>
      </c>
      <c r="D26" s="37">
        <v>2019</v>
      </c>
      <c r="E26" s="38">
        <f>INDEX('13 - Electrical Readings'!$C$8:$C$988,1+(2*(ROWS(A$1:A25)-1)))</f>
        <v>0</v>
      </c>
      <c r="F26" s="38">
        <f>INDEX('13 - Electrical Readings'!$D$6:$D$988,1+(2*(ROWS(A$1:A26)-1)))</f>
        <v>0</v>
      </c>
      <c r="G26" s="37">
        <f>INDEX('13 - Electrical Readings'!$E$6:$E$988,1+(2*(ROWS(A$1:A26)-1)))</f>
        <v>0</v>
      </c>
      <c r="H26" s="37">
        <f>INDEX('13 - Electrical Readings'!$F$6:$F$988,1+(2*(ROWS(A$1:A26)-1)))</f>
        <v>0</v>
      </c>
      <c r="I26" s="38">
        <f>INDEX('13 - Electrical Readings'!$G$6:$G$988,1+(2*(ROWS(A$1:A26)-1)))</f>
        <v>0</v>
      </c>
      <c r="J26" s="37">
        <f>INDEX('13 - Electrical Readings'!$I$6:$I$988,1+(2*(ROWS(A$1:A26)-1)))</f>
        <v>0</v>
      </c>
      <c r="K26" s="37">
        <f>INDEX('13 - Electrical Readings'!$J$6:$J$988,1+(2*(ROWS(B$1:B26)-1)))</f>
        <v>0</v>
      </c>
      <c r="L26" s="37">
        <f>INDEX('13 - Electrical Readings'!$K$6:$K$988,1+(2*(ROWS(C$1:C26)-1)))</f>
        <v>0</v>
      </c>
      <c r="M26" s="37">
        <f>INDEX('13 - Electrical Readings'!$L$6:$L$988,1+(2*(ROWS(D$1:D26)-1)))</f>
        <v>0</v>
      </c>
      <c r="N26" s="37">
        <f>INDEX('13 - Electrical Readings'!$M$6:$M$988,1+(2*(ROWS(E$1:E26)-1)))</f>
        <v>0</v>
      </c>
      <c r="O26" s="38">
        <f>INDEX('13 - Electrical Readings'!$N$6:$N$988,1+(2*(ROWS(E$1:E26)-1)))</f>
        <v>0</v>
      </c>
      <c r="P26" s="38">
        <f>INDEX('13 - Electrical Readings'!$O$6:$O$988,1+(2*(ROWS(E$1:E26)-1)))</f>
        <v>0</v>
      </c>
      <c r="Q26" s="38">
        <f>INDEX('13 - Electrical Readings'!$P$6:$P$988,1+(2*(ROWS(E$1:E26)-1)))</f>
        <v>0</v>
      </c>
      <c r="R26" s="38">
        <f>INDEX('9 - Water Readings'!$C$8:$C$988,1+(2*(ROWS(A$1:A25)-1)))</f>
        <v>0</v>
      </c>
      <c r="S26" s="38">
        <f>INDEX('9 - Water Readings'!$D$8:$D$987,1+(2*(ROWS(A$1:A25)-1)))</f>
        <v>0</v>
      </c>
      <c r="T26" s="38">
        <f>INDEX('9 - Water Readings'!$E$8:$E$988,1+(2*(ROWS(A$1:A25)-1)))</f>
        <v>0</v>
      </c>
      <c r="U26" s="38">
        <f>INDEX('9 - Water Readings'!$G$8:$G$987,1+(2*(ROWS(A$1:A25)-1)))</f>
        <v>0</v>
      </c>
      <c r="V26" s="38">
        <f>INDEX('9 - Water Readings'!$H$8:$H$988,1+(2*(ROWS(A$1:A25)-1)))</f>
        <v>0</v>
      </c>
      <c r="W26" s="38">
        <f>INDEX('9 - Water Readings'!$I$8:$I$988,1+(2*(ROWS(A$1:A25)-1)))</f>
        <v>0</v>
      </c>
      <c r="X26" s="38">
        <f>INDEX('9 - Water Readings'!$J$8:$J$988,1+(2*(ROWS(A$1:A25)-1)))</f>
        <v>0</v>
      </c>
      <c r="Y26" s="38">
        <f>INDEX('9 - Water Readings'!$K$8:$K$988,1+(2*(ROWS(A$1:A25)-1)))</f>
        <v>0</v>
      </c>
      <c r="Z26" s="38">
        <f>INDEX('9 - Water Readings'!$L$8:$L$988,1+(2*(ROWS(A$1:A25)-1)))</f>
        <v>0</v>
      </c>
      <c r="AA26" s="39">
        <f>'9 - Water Readings'!Q31</f>
        <v>0</v>
      </c>
      <c r="AB26" s="37">
        <f>'9 - Water Readings'!R31</f>
        <v>0</v>
      </c>
      <c r="AC26">
        <f>'9 - Water Readings'!S31</f>
        <v>0</v>
      </c>
    </row>
    <row r="27" spans="1:29" x14ac:dyDescent="0.35">
      <c r="A27" s="40" t="s">
        <v>35</v>
      </c>
      <c r="B27" s="40">
        <f t="shared" si="0"/>
        <v>26</v>
      </c>
      <c r="C27" s="40">
        <v>10</v>
      </c>
      <c r="D27" s="37">
        <v>2019</v>
      </c>
      <c r="E27" s="38">
        <f>INDEX('13 - Electrical Readings'!$C$8:$C$988,1+(2*(ROWS(A$1:A26)-1)))</f>
        <v>0</v>
      </c>
      <c r="F27" s="38">
        <f>INDEX('13 - Electrical Readings'!$D$6:$D$988,1+(2*(ROWS(A$1:A27)-1)))</f>
        <v>0</v>
      </c>
      <c r="G27" s="37">
        <f>INDEX('13 - Electrical Readings'!$E$6:$E$988,1+(2*(ROWS(A$1:A27)-1)))</f>
        <v>0</v>
      </c>
      <c r="H27" s="37">
        <f>INDEX('13 - Electrical Readings'!$F$6:$F$988,1+(2*(ROWS(A$1:A27)-1)))</f>
        <v>0</v>
      </c>
      <c r="I27" s="38">
        <f>INDEX('13 - Electrical Readings'!$G$6:$G$988,1+(2*(ROWS(A$1:A27)-1)))</f>
        <v>0</v>
      </c>
      <c r="J27" s="37">
        <f>INDEX('13 - Electrical Readings'!$I$6:$I$988,1+(2*(ROWS(A$1:A27)-1)))</f>
        <v>0</v>
      </c>
      <c r="K27" s="37">
        <f>INDEX('13 - Electrical Readings'!$J$6:$J$988,1+(2*(ROWS(B$1:B27)-1)))</f>
        <v>0</v>
      </c>
      <c r="L27" s="37">
        <f>INDEX('13 - Electrical Readings'!$K$6:$K$988,1+(2*(ROWS(C$1:C27)-1)))</f>
        <v>0</v>
      </c>
      <c r="M27" s="37">
        <f>INDEX('13 - Electrical Readings'!$L$6:$L$988,1+(2*(ROWS(D$1:D27)-1)))</f>
        <v>0</v>
      </c>
      <c r="N27" s="37">
        <f>INDEX('13 - Electrical Readings'!$M$6:$M$988,1+(2*(ROWS(E$1:E27)-1)))</f>
        <v>0</v>
      </c>
      <c r="O27" s="38">
        <f>INDEX('13 - Electrical Readings'!$N$6:$N$988,1+(2*(ROWS(E$1:E27)-1)))</f>
        <v>0</v>
      </c>
      <c r="P27" s="38">
        <f>INDEX('13 - Electrical Readings'!$O$6:$O$988,1+(2*(ROWS(E$1:E27)-1)))</f>
        <v>0</v>
      </c>
      <c r="Q27" s="38">
        <f>INDEX('13 - Electrical Readings'!$P$6:$P$988,1+(2*(ROWS(E$1:E27)-1)))</f>
        <v>0</v>
      </c>
      <c r="R27" s="38">
        <f>INDEX('9 - Water Readings'!$C$8:$C$988,1+(2*(ROWS(A$1:A26)-1)))</f>
        <v>0</v>
      </c>
      <c r="S27" s="38">
        <f>INDEX('9 - Water Readings'!$D$8:$D$987,1+(2*(ROWS(A$1:A26)-1)))</f>
        <v>0</v>
      </c>
      <c r="T27" s="38">
        <f>INDEX('9 - Water Readings'!$E$8:$E$988,1+(2*(ROWS(A$1:A26)-1)))</f>
        <v>0</v>
      </c>
      <c r="U27" s="38">
        <f>INDEX('9 - Water Readings'!$G$8:$G$987,1+(2*(ROWS(A$1:A26)-1)))</f>
        <v>0</v>
      </c>
      <c r="V27" s="38">
        <f>INDEX('9 - Water Readings'!$H$8:$H$988,1+(2*(ROWS(A$1:A26)-1)))</f>
        <v>0</v>
      </c>
      <c r="W27" s="38">
        <f>INDEX('9 - Water Readings'!$I$8:$I$988,1+(2*(ROWS(A$1:A26)-1)))</f>
        <v>0</v>
      </c>
      <c r="X27" s="38">
        <f>INDEX('9 - Water Readings'!$J$8:$J$988,1+(2*(ROWS(A$1:A26)-1)))</f>
        <v>0</v>
      </c>
      <c r="Y27" s="38">
        <f>INDEX('9 - Water Readings'!$K$8:$K$988,1+(2*(ROWS(A$1:A26)-1)))</f>
        <v>0</v>
      </c>
      <c r="Z27" s="38">
        <f>INDEX('9 - Water Readings'!$L$8:$L$988,1+(2*(ROWS(A$1:A26)-1)))</f>
        <v>0</v>
      </c>
      <c r="AA27" s="39">
        <f>'9 - Water Readings'!Q32</f>
        <v>0</v>
      </c>
      <c r="AB27" s="37">
        <f>'9 - Water Readings'!R32</f>
        <v>0</v>
      </c>
      <c r="AC27">
        <f>'9 - Water Readings'!S32</f>
        <v>0</v>
      </c>
    </row>
    <row r="28" spans="1:29" x14ac:dyDescent="0.35">
      <c r="A28" s="40" t="s">
        <v>35</v>
      </c>
      <c r="B28" s="40">
        <f t="shared" si="0"/>
        <v>27</v>
      </c>
      <c r="C28" s="40">
        <v>10</v>
      </c>
      <c r="D28" s="37">
        <v>2019</v>
      </c>
      <c r="E28" s="38">
        <f>INDEX('13 - Electrical Readings'!$C$8:$C$988,1+(2*(ROWS(A$1:A27)-1)))</f>
        <v>0</v>
      </c>
      <c r="F28" s="38">
        <f>INDEX('13 - Electrical Readings'!$D$6:$D$988,1+(2*(ROWS(A$1:A28)-1)))</f>
        <v>0</v>
      </c>
      <c r="G28" s="37">
        <f>INDEX('13 - Electrical Readings'!$E$6:$E$988,1+(2*(ROWS(A$1:A28)-1)))</f>
        <v>0</v>
      </c>
      <c r="H28" s="37">
        <f>INDEX('13 - Electrical Readings'!$F$6:$F$988,1+(2*(ROWS(A$1:A28)-1)))</f>
        <v>0</v>
      </c>
      <c r="I28" s="38">
        <f>INDEX('13 - Electrical Readings'!$G$6:$G$988,1+(2*(ROWS(A$1:A28)-1)))</f>
        <v>0</v>
      </c>
      <c r="J28" s="37">
        <f>INDEX('13 - Electrical Readings'!$I$6:$I$988,1+(2*(ROWS(A$1:A28)-1)))</f>
        <v>0</v>
      </c>
      <c r="K28" s="37">
        <f>INDEX('13 - Electrical Readings'!$J$6:$J$988,1+(2*(ROWS(B$1:B28)-1)))</f>
        <v>0</v>
      </c>
      <c r="L28" s="37">
        <f>INDEX('13 - Electrical Readings'!$K$6:$K$988,1+(2*(ROWS(C$1:C28)-1)))</f>
        <v>0</v>
      </c>
      <c r="M28" s="37">
        <f>INDEX('13 - Electrical Readings'!$L$6:$L$988,1+(2*(ROWS(D$1:D28)-1)))</f>
        <v>0</v>
      </c>
      <c r="N28" s="37">
        <f>INDEX('13 - Electrical Readings'!$M$6:$M$988,1+(2*(ROWS(E$1:E28)-1)))</f>
        <v>0</v>
      </c>
      <c r="O28" s="38">
        <f>INDEX('13 - Electrical Readings'!$N$6:$N$988,1+(2*(ROWS(E$1:E28)-1)))</f>
        <v>0</v>
      </c>
      <c r="P28" s="38">
        <f>INDEX('13 - Electrical Readings'!$O$6:$O$988,1+(2*(ROWS(E$1:E28)-1)))</f>
        <v>0</v>
      </c>
      <c r="Q28" s="38">
        <f>INDEX('13 - Electrical Readings'!$P$6:$P$988,1+(2*(ROWS(E$1:E28)-1)))</f>
        <v>0</v>
      </c>
      <c r="R28" s="38">
        <f>INDEX('9 - Water Readings'!$C$8:$C$988,1+(2*(ROWS(A$1:A27)-1)))</f>
        <v>0</v>
      </c>
      <c r="S28" s="38">
        <f>INDEX('9 - Water Readings'!$D$8:$D$987,1+(2*(ROWS(A$1:A27)-1)))</f>
        <v>0</v>
      </c>
      <c r="T28" s="38">
        <f>INDEX('9 - Water Readings'!$E$8:$E$988,1+(2*(ROWS(A$1:A27)-1)))</f>
        <v>0</v>
      </c>
      <c r="U28" s="38">
        <f>INDEX('9 - Water Readings'!$G$8:$G$987,1+(2*(ROWS(A$1:A27)-1)))</f>
        <v>0</v>
      </c>
      <c r="V28" s="38">
        <f>INDEX('9 - Water Readings'!$H$8:$H$988,1+(2*(ROWS(A$1:A27)-1)))</f>
        <v>0</v>
      </c>
      <c r="W28" s="38">
        <f>INDEX('9 - Water Readings'!$I$8:$I$988,1+(2*(ROWS(A$1:A27)-1)))</f>
        <v>0</v>
      </c>
      <c r="X28" s="38">
        <f>INDEX('9 - Water Readings'!$J$8:$J$988,1+(2*(ROWS(A$1:A27)-1)))</f>
        <v>0</v>
      </c>
      <c r="Y28" s="38">
        <f>INDEX('9 - Water Readings'!$K$8:$K$988,1+(2*(ROWS(A$1:A27)-1)))</f>
        <v>0</v>
      </c>
      <c r="Z28" s="38">
        <f>INDEX('9 - Water Readings'!$L$8:$L$988,1+(2*(ROWS(A$1:A27)-1)))</f>
        <v>0</v>
      </c>
      <c r="AA28" s="39">
        <f>'9 - Water Readings'!Q33</f>
        <v>0</v>
      </c>
      <c r="AB28" s="37">
        <f>'9 - Water Readings'!R33</f>
        <v>0</v>
      </c>
      <c r="AC28">
        <f>'9 - Water Readings'!S33</f>
        <v>0</v>
      </c>
    </row>
    <row r="29" spans="1:29" x14ac:dyDescent="0.35">
      <c r="A29" s="40" t="s">
        <v>35</v>
      </c>
      <c r="B29" s="40">
        <f t="shared" si="0"/>
        <v>28</v>
      </c>
      <c r="C29" s="40">
        <v>10</v>
      </c>
      <c r="D29" s="37">
        <v>2019</v>
      </c>
      <c r="E29" s="38">
        <f>INDEX('13 - Electrical Readings'!$C$8:$C$988,1+(2*(ROWS(A$1:A28)-1)))</f>
        <v>0</v>
      </c>
      <c r="F29" s="38">
        <f>INDEX('13 - Electrical Readings'!$D$6:$D$988,1+(2*(ROWS(A$1:A29)-1)))</f>
        <v>0</v>
      </c>
      <c r="G29" s="37">
        <f>INDEX('13 - Electrical Readings'!$E$6:$E$988,1+(2*(ROWS(A$1:A29)-1)))</f>
        <v>0</v>
      </c>
      <c r="H29" s="37">
        <f>INDEX('13 - Electrical Readings'!$F$6:$F$988,1+(2*(ROWS(A$1:A29)-1)))</f>
        <v>0</v>
      </c>
      <c r="I29" s="38">
        <f>INDEX('13 - Electrical Readings'!$G$6:$G$988,1+(2*(ROWS(A$1:A29)-1)))</f>
        <v>0</v>
      </c>
      <c r="J29" s="37">
        <f>INDEX('13 - Electrical Readings'!$I$6:$I$988,1+(2*(ROWS(A$1:A29)-1)))</f>
        <v>0</v>
      </c>
      <c r="K29" s="37">
        <f>INDEX('13 - Electrical Readings'!$J$6:$J$988,1+(2*(ROWS(B$1:B29)-1)))</f>
        <v>0</v>
      </c>
      <c r="L29" s="37">
        <f>INDEX('13 - Electrical Readings'!$K$6:$K$988,1+(2*(ROWS(C$1:C29)-1)))</f>
        <v>0</v>
      </c>
      <c r="M29" s="37">
        <f>INDEX('13 - Electrical Readings'!$L$6:$L$988,1+(2*(ROWS(D$1:D29)-1)))</f>
        <v>0</v>
      </c>
      <c r="N29" s="37">
        <f>INDEX('13 - Electrical Readings'!$M$6:$M$988,1+(2*(ROWS(E$1:E29)-1)))</f>
        <v>0</v>
      </c>
      <c r="O29" s="38">
        <f>INDEX('13 - Electrical Readings'!$N$6:$N$988,1+(2*(ROWS(E$1:E29)-1)))</f>
        <v>0</v>
      </c>
      <c r="P29" s="38">
        <f>INDEX('13 - Electrical Readings'!$O$6:$O$988,1+(2*(ROWS(E$1:E29)-1)))</f>
        <v>0</v>
      </c>
      <c r="Q29" s="38">
        <f>INDEX('13 - Electrical Readings'!$P$6:$P$988,1+(2*(ROWS(E$1:E29)-1)))</f>
        <v>0</v>
      </c>
      <c r="R29" s="38">
        <f>INDEX('9 - Water Readings'!$C$8:$C$988,1+(2*(ROWS(A$1:A28)-1)))</f>
        <v>0</v>
      </c>
      <c r="S29" s="38">
        <f>INDEX('9 - Water Readings'!$D$8:$D$987,1+(2*(ROWS(A$1:A28)-1)))</f>
        <v>0</v>
      </c>
      <c r="T29" s="38">
        <f>INDEX('9 - Water Readings'!$E$8:$E$988,1+(2*(ROWS(A$1:A28)-1)))</f>
        <v>0</v>
      </c>
      <c r="U29" s="38">
        <f>INDEX('9 - Water Readings'!$G$8:$G$987,1+(2*(ROWS(A$1:A28)-1)))</f>
        <v>0</v>
      </c>
      <c r="V29" s="38">
        <f>INDEX('9 - Water Readings'!$H$8:$H$988,1+(2*(ROWS(A$1:A28)-1)))</f>
        <v>0</v>
      </c>
      <c r="W29" s="38">
        <f>INDEX('9 - Water Readings'!$I$8:$I$988,1+(2*(ROWS(A$1:A28)-1)))</f>
        <v>0</v>
      </c>
      <c r="X29" s="38">
        <f>INDEX('9 - Water Readings'!$J$8:$J$988,1+(2*(ROWS(A$1:A28)-1)))</f>
        <v>0</v>
      </c>
      <c r="Y29" s="38">
        <f>INDEX('9 - Water Readings'!$K$8:$K$988,1+(2*(ROWS(A$1:A28)-1)))</f>
        <v>0</v>
      </c>
      <c r="Z29" s="38">
        <f>INDEX('9 - Water Readings'!$L$8:$L$988,1+(2*(ROWS(A$1:A28)-1)))</f>
        <v>0</v>
      </c>
      <c r="AA29" s="39">
        <f>'9 - Water Readings'!Q34</f>
        <v>0</v>
      </c>
      <c r="AB29" s="37">
        <f>'9 - Water Readings'!R34</f>
        <v>0</v>
      </c>
      <c r="AC29">
        <f>'9 - Water Readings'!S34</f>
        <v>0</v>
      </c>
    </row>
    <row r="30" spans="1:29" x14ac:dyDescent="0.35">
      <c r="A30" s="40" t="s">
        <v>35</v>
      </c>
      <c r="B30" s="40">
        <f t="shared" si="0"/>
        <v>29</v>
      </c>
      <c r="C30" s="40">
        <v>10</v>
      </c>
      <c r="D30" s="37">
        <v>2019</v>
      </c>
      <c r="E30" s="38">
        <f>INDEX('13 - Electrical Readings'!$C$8:$C$988,1+(2*(ROWS(A$1:A29)-1)))</f>
        <v>0</v>
      </c>
      <c r="F30" s="38">
        <f>INDEX('13 - Electrical Readings'!$D$6:$D$988,1+(2*(ROWS(A$1:A30)-1)))</f>
        <v>0</v>
      </c>
      <c r="G30" s="37">
        <f>INDEX('13 - Electrical Readings'!$E$6:$E$988,1+(2*(ROWS(A$1:A30)-1)))</f>
        <v>0</v>
      </c>
      <c r="H30" s="37">
        <f>INDEX('13 - Electrical Readings'!$F$6:$F$988,1+(2*(ROWS(A$1:A30)-1)))</f>
        <v>0</v>
      </c>
      <c r="I30" s="38">
        <f>INDEX('13 - Electrical Readings'!$G$6:$G$988,1+(2*(ROWS(A$1:A30)-1)))</f>
        <v>0</v>
      </c>
      <c r="J30" s="37">
        <f>INDEX('13 - Electrical Readings'!$I$6:$I$988,1+(2*(ROWS(A$1:A30)-1)))</f>
        <v>0</v>
      </c>
      <c r="K30" s="37">
        <f>INDEX('13 - Electrical Readings'!$J$6:$J$988,1+(2*(ROWS(B$1:B30)-1)))</f>
        <v>0</v>
      </c>
      <c r="L30" s="37">
        <f>INDEX('13 - Electrical Readings'!$K$6:$K$988,1+(2*(ROWS(C$1:C30)-1)))</f>
        <v>0</v>
      </c>
      <c r="M30" s="37">
        <f>INDEX('13 - Electrical Readings'!$L$6:$L$988,1+(2*(ROWS(D$1:D30)-1)))</f>
        <v>0</v>
      </c>
      <c r="N30" s="37">
        <f>INDEX('13 - Electrical Readings'!$M$6:$M$988,1+(2*(ROWS(E$1:E30)-1)))</f>
        <v>0</v>
      </c>
      <c r="O30" s="38">
        <f>INDEX('13 - Electrical Readings'!$N$6:$N$988,1+(2*(ROWS(E$1:E30)-1)))</f>
        <v>0</v>
      </c>
      <c r="P30" s="38">
        <f>INDEX('13 - Electrical Readings'!$O$6:$O$988,1+(2*(ROWS(E$1:E30)-1)))</f>
        <v>0</v>
      </c>
      <c r="Q30" s="38">
        <f>INDEX('13 - Electrical Readings'!$P$6:$P$988,1+(2*(ROWS(E$1:E30)-1)))</f>
        <v>0</v>
      </c>
      <c r="R30" s="38">
        <f>INDEX('9 - Water Readings'!$C$8:$C$988,1+(2*(ROWS(A$1:A29)-1)))</f>
        <v>0</v>
      </c>
      <c r="S30" s="38">
        <f>INDEX('9 - Water Readings'!$D$8:$D$987,1+(2*(ROWS(A$1:A29)-1)))</f>
        <v>0</v>
      </c>
      <c r="T30" s="38">
        <f>INDEX('9 - Water Readings'!$E$8:$E$988,1+(2*(ROWS(A$1:A29)-1)))</f>
        <v>0</v>
      </c>
      <c r="U30" s="38">
        <f>INDEX('9 - Water Readings'!$G$8:$G$987,1+(2*(ROWS(A$1:A29)-1)))</f>
        <v>0</v>
      </c>
      <c r="V30" s="38">
        <f>INDEX('9 - Water Readings'!$H$8:$H$988,1+(2*(ROWS(A$1:A29)-1)))</f>
        <v>0</v>
      </c>
      <c r="W30" s="38">
        <f>INDEX('9 - Water Readings'!$I$8:$I$988,1+(2*(ROWS(A$1:A29)-1)))</f>
        <v>0</v>
      </c>
      <c r="X30" s="38">
        <f>INDEX('9 - Water Readings'!$J$8:$J$988,1+(2*(ROWS(A$1:A29)-1)))</f>
        <v>0</v>
      </c>
      <c r="Y30" s="38">
        <f>INDEX('9 - Water Readings'!$K$8:$K$988,1+(2*(ROWS(A$1:A29)-1)))</f>
        <v>0</v>
      </c>
      <c r="Z30" s="38">
        <f>INDEX('9 - Water Readings'!$L$8:$L$988,1+(2*(ROWS(A$1:A29)-1)))</f>
        <v>0</v>
      </c>
      <c r="AA30" s="39">
        <f>'9 - Water Readings'!Q35</f>
        <v>0</v>
      </c>
      <c r="AB30" s="37">
        <f>'9 - Water Readings'!R35</f>
        <v>0</v>
      </c>
      <c r="AC30">
        <f>'9 - Water Readings'!S35</f>
        <v>0</v>
      </c>
    </row>
    <row r="31" spans="1:29" x14ac:dyDescent="0.35">
      <c r="A31" s="40" t="s">
        <v>35</v>
      </c>
      <c r="B31" s="40">
        <f t="shared" si="0"/>
        <v>30</v>
      </c>
      <c r="C31" s="40">
        <v>10</v>
      </c>
      <c r="D31" s="37">
        <v>2019</v>
      </c>
      <c r="E31" s="38">
        <f>INDEX('13 - Electrical Readings'!$C$8:$C$988,1+(2*(ROWS(A$1:A30)-1)))</f>
        <v>0</v>
      </c>
      <c r="F31" s="38">
        <f>INDEX('13 - Electrical Readings'!$D$6:$D$988,1+(2*(ROWS(A$1:A31)-1)))</f>
        <v>0</v>
      </c>
      <c r="G31" s="37">
        <f>INDEX('13 - Electrical Readings'!$E$6:$E$988,1+(2*(ROWS(A$1:A31)-1)))</f>
        <v>0</v>
      </c>
      <c r="H31" s="37">
        <f>INDEX('13 - Electrical Readings'!$F$6:$F$988,1+(2*(ROWS(A$1:A31)-1)))</f>
        <v>0</v>
      </c>
      <c r="I31" s="38">
        <f>INDEX('13 - Electrical Readings'!$G$6:$G$988,1+(2*(ROWS(A$1:A31)-1)))</f>
        <v>0</v>
      </c>
      <c r="J31" s="37">
        <f>INDEX('13 - Electrical Readings'!$I$6:$I$988,1+(2*(ROWS(A$1:A31)-1)))</f>
        <v>0</v>
      </c>
      <c r="K31" s="37">
        <f>INDEX('13 - Electrical Readings'!$J$6:$J$988,1+(2*(ROWS(B$1:B31)-1)))</f>
        <v>0</v>
      </c>
      <c r="L31" s="37">
        <f>INDEX('13 - Electrical Readings'!$K$6:$K$988,1+(2*(ROWS(C$1:C31)-1)))</f>
        <v>0</v>
      </c>
      <c r="M31" s="37">
        <f>INDEX('13 - Electrical Readings'!$L$6:$L$988,1+(2*(ROWS(D$1:D31)-1)))</f>
        <v>0</v>
      </c>
      <c r="N31" s="37">
        <f>INDEX('13 - Electrical Readings'!$M$6:$M$988,1+(2*(ROWS(E$1:E31)-1)))</f>
        <v>0</v>
      </c>
      <c r="O31" s="38">
        <f>INDEX('13 - Electrical Readings'!$N$6:$N$988,1+(2*(ROWS(E$1:E31)-1)))</f>
        <v>0</v>
      </c>
      <c r="P31" s="38">
        <f>INDEX('13 - Electrical Readings'!$O$6:$O$988,1+(2*(ROWS(E$1:E31)-1)))</f>
        <v>0</v>
      </c>
      <c r="Q31" s="38">
        <f>INDEX('13 - Electrical Readings'!$P$6:$P$988,1+(2*(ROWS(E$1:E31)-1)))</f>
        <v>0</v>
      </c>
      <c r="R31" s="38">
        <f>INDEX('9 - Water Readings'!$C$8:$C$988,1+(2*(ROWS(A$1:A30)-1)))</f>
        <v>0</v>
      </c>
      <c r="S31" s="38">
        <f>INDEX('9 - Water Readings'!$D$8:$D$987,1+(2*(ROWS(A$1:A30)-1)))</f>
        <v>0</v>
      </c>
      <c r="T31" s="38">
        <f>INDEX('9 - Water Readings'!$E$8:$E$988,1+(2*(ROWS(A$1:A30)-1)))</f>
        <v>0</v>
      </c>
      <c r="U31" s="38">
        <f>INDEX('9 - Water Readings'!$G$8:$G$987,1+(2*(ROWS(A$1:A30)-1)))</f>
        <v>0</v>
      </c>
      <c r="V31" s="38">
        <f>INDEX('9 - Water Readings'!$H$8:$H$988,1+(2*(ROWS(A$1:A30)-1)))</f>
        <v>0</v>
      </c>
      <c r="W31" s="38">
        <f>INDEX('9 - Water Readings'!$I$8:$I$988,1+(2*(ROWS(A$1:A30)-1)))</f>
        <v>0</v>
      </c>
      <c r="X31" s="38">
        <f>INDEX('9 - Water Readings'!$J$8:$J$988,1+(2*(ROWS(A$1:A30)-1)))</f>
        <v>0</v>
      </c>
      <c r="Y31" s="38">
        <f>INDEX('9 - Water Readings'!$K$8:$K$988,1+(2*(ROWS(A$1:A30)-1)))</f>
        <v>0</v>
      </c>
      <c r="Z31" s="38">
        <f>INDEX('9 - Water Readings'!$L$8:$L$988,1+(2*(ROWS(A$1:A30)-1)))</f>
        <v>0</v>
      </c>
      <c r="AA31" s="39">
        <f>'9 - Water Readings'!Q36</f>
        <v>0</v>
      </c>
      <c r="AB31" s="37">
        <f>'9 - Water Readings'!R36</f>
        <v>0</v>
      </c>
      <c r="AC31">
        <f>'9 - Water Readings'!S36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68"/>
  <sheetViews>
    <sheetView zoomScale="90" zoomScaleNormal="90" zoomScaleSheetLayoutView="100" workbookViewId="0">
      <pane ySplit="6" topLeftCell="A13" activePane="bottomLeft" state="frozen"/>
      <selection pane="bottomLeft" activeCell="I28" sqref="I28:P28"/>
    </sheetView>
  </sheetViews>
  <sheetFormatPr defaultColWidth="9.1796875" defaultRowHeight="14.5" x14ac:dyDescent="0.35"/>
  <cols>
    <col min="1" max="1" width="1" style="1" customWidth="1"/>
    <col min="2" max="2" width="10.54296875" style="1" customWidth="1"/>
    <col min="3" max="7" width="9.7265625" style="1" customWidth="1"/>
    <col min="8" max="8" width="13.54296875" style="1" bestFit="1" customWidth="1"/>
    <col min="9" max="16" width="9.7265625" style="1" customWidth="1"/>
    <col min="17" max="17" width="16.1796875" style="1" bestFit="1" customWidth="1"/>
    <col min="18" max="18" width="17.1796875" style="1" customWidth="1"/>
    <col min="19" max="16384" width="9.1796875" style="1"/>
  </cols>
  <sheetData>
    <row r="1" spans="2:18" ht="12" customHeight="1" x14ac:dyDescent="0.35"/>
    <row r="2" spans="2:18" ht="19.5" customHeight="1" x14ac:dyDescent="0.35">
      <c r="F2" s="73" t="s">
        <v>15</v>
      </c>
      <c r="G2" s="73"/>
      <c r="H2" s="73"/>
      <c r="I2" s="73"/>
      <c r="J2" s="73"/>
      <c r="K2" s="73"/>
      <c r="L2" s="73"/>
      <c r="M2" s="73"/>
    </row>
    <row r="3" spans="2:18" ht="21" customHeight="1" x14ac:dyDescent="0.45">
      <c r="F3" s="74" t="s">
        <v>7</v>
      </c>
      <c r="G3" s="74"/>
      <c r="H3" s="74"/>
      <c r="I3" s="74"/>
      <c r="J3" s="74"/>
      <c r="K3" s="74"/>
      <c r="L3" s="74"/>
      <c r="M3" s="74"/>
      <c r="N3" s="69" t="s">
        <v>68</v>
      </c>
      <c r="O3" s="69"/>
      <c r="P3" s="69"/>
    </row>
    <row r="4" spans="2:18" ht="15" customHeight="1" thickBot="1" x14ac:dyDescent="0.4">
      <c r="N4" s="70"/>
      <c r="O4" s="70"/>
      <c r="P4" s="70"/>
    </row>
    <row r="5" spans="2:18" ht="29.5" thickTop="1" x14ac:dyDescent="0.35">
      <c r="B5" s="71" t="s">
        <v>0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77" t="s">
        <v>19</v>
      </c>
      <c r="I5" s="5" t="s">
        <v>2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3</v>
      </c>
      <c r="O5" s="5" t="s">
        <v>5</v>
      </c>
      <c r="P5" s="5" t="s">
        <v>6</v>
      </c>
      <c r="Q5" s="75" t="s">
        <v>20</v>
      </c>
      <c r="R5" s="67" t="s">
        <v>21</v>
      </c>
    </row>
    <row r="6" spans="2:18" x14ac:dyDescent="0.35">
      <c r="B6" s="72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78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76"/>
      <c r="R6" s="68"/>
    </row>
    <row r="7" spans="2:18" ht="17.25" customHeight="1" x14ac:dyDescent="0.35">
      <c r="B7" s="27">
        <v>1</v>
      </c>
      <c r="C7" s="8">
        <v>14147411</v>
      </c>
      <c r="D7" s="8">
        <v>10573638</v>
      </c>
      <c r="E7" s="8">
        <v>19334713</v>
      </c>
      <c r="F7" s="8">
        <v>18830578</v>
      </c>
      <c r="G7" s="8">
        <v>12805998</v>
      </c>
      <c r="H7" s="9"/>
      <c r="I7" s="8">
        <v>4361666</v>
      </c>
      <c r="J7" s="8">
        <v>19367569</v>
      </c>
      <c r="K7" s="8">
        <v>5619075</v>
      </c>
      <c r="L7" s="8">
        <v>9266708</v>
      </c>
      <c r="M7" s="8">
        <v>12685036</v>
      </c>
      <c r="N7" s="8">
        <v>18774380</v>
      </c>
      <c r="O7" s="8">
        <v>5732985</v>
      </c>
      <c r="P7" s="8">
        <v>4965210</v>
      </c>
      <c r="Q7" s="10"/>
      <c r="R7" s="11"/>
    </row>
    <row r="8" spans="2:18" ht="17.25" customHeight="1" x14ac:dyDescent="0.35">
      <c r="B8" s="12" t="s">
        <v>18</v>
      </c>
      <c r="C8" s="13">
        <v>10</v>
      </c>
      <c r="D8" s="13">
        <v>12243</v>
      </c>
      <c r="E8" s="13">
        <v>15723</v>
      </c>
      <c r="F8" s="13">
        <v>5243</v>
      </c>
      <c r="G8" s="13">
        <v>16</v>
      </c>
      <c r="H8" s="9">
        <f>SUM(C8:G8)</f>
        <v>33235</v>
      </c>
      <c r="I8" s="13">
        <v>1816</v>
      </c>
      <c r="J8" s="13">
        <v>4056</v>
      </c>
      <c r="K8" s="13">
        <v>1040</v>
      </c>
      <c r="L8" s="13">
        <v>1936</v>
      </c>
      <c r="M8" s="13">
        <v>5549</v>
      </c>
      <c r="N8" s="13">
        <v>8954</v>
      </c>
      <c r="O8" s="13">
        <v>3517</v>
      </c>
      <c r="P8" s="13">
        <v>2870</v>
      </c>
      <c r="Q8" s="14">
        <f>SUM(I8:P8)</f>
        <v>29738</v>
      </c>
      <c r="R8" s="15">
        <f>SUM(H8,Q8)</f>
        <v>62973</v>
      </c>
    </row>
    <row r="9" spans="2:18" ht="17.25" customHeight="1" x14ac:dyDescent="0.35">
      <c r="B9" s="27">
        <v>2</v>
      </c>
      <c r="C9" s="8">
        <v>14147423</v>
      </c>
      <c r="D9" s="8">
        <v>10584583</v>
      </c>
      <c r="E9" s="8">
        <v>19349026</v>
      </c>
      <c r="F9" s="8">
        <v>18835641</v>
      </c>
      <c r="G9" s="8">
        <v>12806014</v>
      </c>
      <c r="H9" s="9"/>
      <c r="I9" s="8">
        <v>4363296</v>
      </c>
      <c r="J9" s="8">
        <v>19372117</v>
      </c>
      <c r="K9" s="8">
        <v>5619998</v>
      </c>
      <c r="L9" s="8">
        <v>9268577</v>
      </c>
      <c r="M9" s="8">
        <v>12690337</v>
      </c>
      <c r="N9" s="8">
        <v>18783209</v>
      </c>
      <c r="O9" s="8">
        <v>5735975</v>
      </c>
      <c r="P9" s="8">
        <v>4967820</v>
      </c>
      <c r="Q9" s="10"/>
      <c r="R9" s="16"/>
    </row>
    <row r="10" spans="2:18" ht="17.25" customHeight="1" x14ac:dyDescent="0.35">
      <c r="B10" s="12" t="s">
        <v>18</v>
      </c>
      <c r="C10" s="13">
        <f>C9-C7</f>
        <v>12</v>
      </c>
      <c r="D10" s="13">
        <f>D9-D7</f>
        <v>10945</v>
      </c>
      <c r="E10" s="13">
        <f>E9-E7</f>
        <v>14313</v>
      </c>
      <c r="F10" s="13">
        <f>F9-F7</f>
        <v>5063</v>
      </c>
      <c r="G10" s="13">
        <f>G9-G7</f>
        <v>16</v>
      </c>
      <c r="H10" s="9">
        <f>SUM(C10:G10)</f>
        <v>30349</v>
      </c>
      <c r="I10" s="13">
        <f>I9-I7</f>
        <v>1630</v>
      </c>
      <c r="J10" s="13">
        <f t="shared" ref="J10:P10" si="0">J9-J7</f>
        <v>4548</v>
      </c>
      <c r="K10" s="13">
        <f t="shared" si="0"/>
        <v>923</v>
      </c>
      <c r="L10" s="13">
        <f t="shared" si="0"/>
        <v>1869</v>
      </c>
      <c r="M10" s="13">
        <f t="shared" si="0"/>
        <v>5301</v>
      </c>
      <c r="N10" s="13">
        <f t="shared" si="0"/>
        <v>8829</v>
      </c>
      <c r="O10" s="13">
        <f t="shared" si="0"/>
        <v>2990</v>
      </c>
      <c r="P10" s="13">
        <f t="shared" si="0"/>
        <v>2610</v>
      </c>
      <c r="Q10" s="14">
        <f>SUM(I10:P10)</f>
        <v>28700</v>
      </c>
      <c r="R10" s="15">
        <f>SUM(H10,Q10)</f>
        <v>59049</v>
      </c>
    </row>
    <row r="11" spans="2:18" ht="17.25" customHeight="1" x14ac:dyDescent="0.35">
      <c r="B11" s="27">
        <v>3</v>
      </c>
      <c r="C11" s="8">
        <v>14147433</v>
      </c>
      <c r="D11" s="8">
        <v>10595484</v>
      </c>
      <c r="E11" s="8">
        <v>19363253</v>
      </c>
      <c r="F11" s="8">
        <v>18840672</v>
      </c>
      <c r="G11" s="8">
        <v>12806027</v>
      </c>
      <c r="H11" s="9"/>
      <c r="I11" s="8">
        <v>4364969</v>
      </c>
      <c r="J11" s="8">
        <v>19376998</v>
      </c>
      <c r="K11" s="8">
        <v>5621030</v>
      </c>
      <c r="L11" s="8">
        <v>9270495</v>
      </c>
      <c r="M11" s="8">
        <v>12696147</v>
      </c>
      <c r="N11" s="8">
        <v>18792632</v>
      </c>
      <c r="O11" s="8">
        <v>5739508</v>
      </c>
      <c r="P11" s="8">
        <v>4970680</v>
      </c>
      <c r="Q11" s="10"/>
      <c r="R11" s="11"/>
    </row>
    <row r="12" spans="2:18" ht="17.25" customHeight="1" x14ac:dyDescent="0.35">
      <c r="B12" s="12" t="s">
        <v>18</v>
      </c>
      <c r="C12" s="13">
        <f>C11-C9</f>
        <v>10</v>
      </c>
      <c r="D12" s="13">
        <f>D11-D9</f>
        <v>10901</v>
      </c>
      <c r="E12" s="13">
        <f>E11-E9</f>
        <v>14227</v>
      </c>
      <c r="F12" s="13">
        <f>F11-F9</f>
        <v>5031</v>
      </c>
      <c r="G12" s="13">
        <f>G11-G9</f>
        <v>13</v>
      </c>
      <c r="H12" s="9">
        <f>SUM(C12:G12)</f>
        <v>30182</v>
      </c>
      <c r="I12" s="13">
        <f>I11-I9</f>
        <v>1673</v>
      </c>
      <c r="J12" s="13">
        <f t="shared" ref="J12:P12" si="1">J11-J9</f>
        <v>4881</v>
      </c>
      <c r="K12" s="13">
        <f t="shared" si="1"/>
        <v>1032</v>
      </c>
      <c r="L12" s="13">
        <f t="shared" si="1"/>
        <v>1918</v>
      </c>
      <c r="M12" s="13">
        <f t="shared" si="1"/>
        <v>5810</v>
      </c>
      <c r="N12" s="13">
        <f t="shared" si="1"/>
        <v>9423</v>
      </c>
      <c r="O12" s="13">
        <f t="shared" si="1"/>
        <v>3533</v>
      </c>
      <c r="P12" s="13">
        <f t="shared" si="1"/>
        <v>2860</v>
      </c>
      <c r="Q12" s="14">
        <f>SUM(I12:P12)</f>
        <v>31130</v>
      </c>
      <c r="R12" s="15">
        <f>SUM(H12,Q12)</f>
        <v>61312</v>
      </c>
    </row>
    <row r="13" spans="2:18" ht="17.25" customHeight="1" x14ac:dyDescent="0.35">
      <c r="B13" s="27">
        <v>4</v>
      </c>
      <c r="C13" s="8">
        <v>14147445</v>
      </c>
      <c r="D13" s="8">
        <v>10607988</v>
      </c>
      <c r="E13" s="8">
        <v>19379384</v>
      </c>
      <c r="F13" s="8">
        <v>18845980</v>
      </c>
      <c r="G13" s="8">
        <v>12806042</v>
      </c>
      <c r="H13" s="9"/>
      <c r="I13" s="8">
        <v>4366760</v>
      </c>
      <c r="J13" s="8">
        <v>19381520</v>
      </c>
      <c r="K13" s="8">
        <v>5621951</v>
      </c>
      <c r="L13" s="8">
        <v>9272196</v>
      </c>
      <c r="M13" s="8">
        <v>12700728</v>
      </c>
      <c r="N13" s="8">
        <v>18801503</v>
      </c>
      <c r="O13" s="8">
        <v>5742720</v>
      </c>
      <c r="P13" s="8">
        <v>4973290</v>
      </c>
      <c r="Q13" s="10"/>
      <c r="R13" s="16"/>
    </row>
    <row r="14" spans="2:18" ht="17.25" customHeight="1" x14ac:dyDescent="0.35">
      <c r="B14" s="12" t="s">
        <v>18</v>
      </c>
      <c r="C14" s="13">
        <f>C13-C11</f>
        <v>12</v>
      </c>
      <c r="D14" s="13">
        <f>D13-D11</f>
        <v>12504</v>
      </c>
      <c r="E14" s="13">
        <f>E13-E11</f>
        <v>16131</v>
      </c>
      <c r="F14" s="13">
        <f>F13-F11</f>
        <v>5308</v>
      </c>
      <c r="G14" s="13">
        <f>G13-G11</f>
        <v>15</v>
      </c>
      <c r="H14" s="9">
        <f>SUM(C14:G14)</f>
        <v>33970</v>
      </c>
      <c r="I14" s="13">
        <f>I13-I11</f>
        <v>1791</v>
      </c>
      <c r="J14" s="13">
        <f t="shared" ref="J14:P14" si="2">J13-J11</f>
        <v>4522</v>
      </c>
      <c r="K14" s="13">
        <f t="shared" si="2"/>
        <v>921</v>
      </c>
      <c r="L14" s="13">
        <f t="shared" si="2"/>
        <v>1701</v>
      </c>
      <c r="M14" s="13">
        <f t="shared" si="2"/>
        <v>4581</v>
      </c>
      <c r="N14" s="13">
        <f t="shared" si="2"/>
        <v>8871</v>
      </c>
      <c r="O14" s="13">
        <f t="shared" si="2"/>
        <v>3212</v>
      </c>
      <c r="P14" s="13">
        <f t="shared" si="2"/>
        <v>2610</v>
      </c>
      <c r="Q14" s="14">
        <f>SUM(I14:P14)</f>
        <v>28209</v>
      </c>
      <c r="R14" s="15">
        <f>SUM(H14,Q14)</f>
        <v>62179</v>
      </c>
    </row>
    <row r="15" spans="2:18" ht="17.25" customHeight="1" x14ac:dyDescent="0.35">
      <c r="B15" s="27">
        <v>5</v>
      </c>
      <c r="C15" s="65">
        <v>14147457</v>
      </c>
      <c r="D15" s="65">
        <v>10619339</v>
      </c>
      <c r="E15" s="65">
        <v>19394077</v>
      </c>
      <c r="F15" s="65">
        <v>18850939</v>
      </c>
      <c r="G15" s="65">
        <v>12806057</v>
      </c>
      <c r="H15" s="9"/>
      <c r="I15" s="8">
        <v>4368574</v>
      </c>
      <c r="J15" s="8">
        <v>19386346</v>
      </c>
      <c r="K15" s="8">
        <v>5622954</v>
      </c>
      <c r="L15" s="8">
        <v>9274068</v>
      </c>
      <c r="M15" s="8">
        <v>12706307</v>
      </c>
      <c r="N15" s="8">
        <v>18810730</v>
      </c>
      <c r="O15" s="8">
        <v>5746835</v>
      </c>
      <c r="P15" s="8">
        <v>4975950</v>
      </c>
      <c r="Q15" s="10"/>
      <c r="R15" s="11"/>
    </row>
    <row r="16" spans="2:18" ht="17.25" customHeight="1" x14ac:dyDescent="0.35">
      <c r="B16" s="12" t="s">
        <v>18</v>
      </c>
      <c r="C16" s="13">
        <f>C15-C13</f>
        <v>12</v>
      </c>
      <c r="D16" s="13">
        <f>D15-D13</f>
        <v>11351</v>
      </c>
      <c r="E16" s="13">
        <f>E15-E13</f>
        <v>14693</v>
      </c>
      <c r="F16" s="13">
        <f>F15-F13</f>
        <v>4959</v>
      </c>
      <c r="G16" s="13">
        <f>G15-G13</f>
        <v>15</v>
      </c>
      <c r="H16" s="9">
        <f>SUM(C16:G16)</f>
        <v>31030</v>
      </c>
      <c r="I16" s="13">
        <f>I15-I13</f>
        <v>1814</v>
      </c>
      <c r="J16" s="13">
        <f t="shared" ref="J16:P16" si="3">J15-J13</f>
        <v>4826</v>
      </c>
      <c r="K16" s="13">
        <f t="shared" si="3"/>
        <v>1003</v>
      </c>
      <c r="L16" s="13">
        <f t="shared" si="3"/>
        <v>1872</v>
      </c>
      <c r="M16" s="13">
        <f t="shared" si="3"/>
        <v>5579</v>
      </c>
      <c r="N16" s="13">
        <f t="shared" si="3"/>
        <v>9227</v>
      </c>
      <c r="O16" s="13">
        <f t="shared" si="3"/>
        <v>4115</v>
      </c>
      <c r="P16" s="13">
        <f t="shared" si="3"/>
        <v>2660</v>
      </c>
      <c r="Q16" s="14">
        <f>SUM(I16:P16)</f>
        <v>31096</v>
      </c>
      <c r="R16" s="15">
        <f>SUM(H16,Q16)</f>
        <v>62126</v>
      </c>
    </row>
    <row r="17" spans="2:18" ht="17.25" customHeight="1" x14ac:dyDescent="0.35">
      <c r="B17" s="27">
        <v>6</v>
      </c>
      <c r="C17" s="8">
        <v>14155331</v>
      </c>
      <c r="D17" s="8">
        <v>10630707</v>
      </c>
      <c r="E17" s="8">
        <v>19398631</v>
      </c>
      <c r="F17" s="8">
        <v>18855626</v>
      </c>
      <c r="G17" s="8">
        <v>12806074</v>
      </c>
      <c r="H17" s="9"/>
      <c r="I17" s="8">
        <v>4369968</v>
      </c>
      <c r="J17" s="8">
        <v>19390169</v>
      </c>
      <c r="K17" s="8">
        <v>5623761</v>
      </c>
      <c r="L17" s="8">
        <v>9275556</v>
      </c>
      <c r="M17" s="8">
        <v>12710908</v>
      </c>
      <c r="N17" s="8">
        <v>18817823</v>
      </c>
      <c r="O17" s="8">
        <v>5749638</v>
      </c>
      <c r="P17" s="8">
        <v>4978140</v>
      </c>
      <c r="Q17" s="10"/>
      <c r="R17" s="16"/>
    </row>
    <row r="18" spans="2:18" ht="17.25" customHeight="1" x14ac:dyDescent="0.35">
      <c r="B18" s="12" t="s">
        <v>18</v>
      </c>
      <c r="C18" s="13">
        <f>C17-C15</f>
        <v>7874</v>
      </c>
      <c r="D18" s="13">
        <f>D17-D15</f>
        <v>11368</v>
      </c>
      <c r="E18" s="13">
        <f>E17-E15</f>
        <v>4554</v>
      </c>
      <c r="F18" s="13">
        <f>F17-F15</f>
        <v>4687</v>
      </c>
      <c r="G18" s="13">
        <f>G17-G15</f>
        <v>17</v>
      </c>
      <c r="H18" s="9">
        <f>SUM(C18:G18)</f>
        <v>28500</v>
      </c>
      <c r="I18" s="13">
        <f>I17-I15</f>
        <v>1394</v>
      </c>
      <c r="J18" s="13">
        <f t="shared" ref="J18:P18" si="4">J17-J15</f>
        <v>3823</v>
      </c>
      <c r="K18" s="13">
        <f t="shared" si="4"/>
        <v>807</v>
      </c>
      <c r="L18" s="13">
        <f t="shared" si="4"/>
        <v>1488</v>
      </c>
      <c r="M18" s="13">
        <f t="shared" si="4"/>
        <v>4601</v>
      </c>
      <c r="N18" s="13">
        <f t="shared" si="4"/>
        <v>7093</v>
      </c>
      <c r="O18" s="13">
        <f t="shared" si="4"/>
        <v>2803</v>
      </c>
      <c r="P18" s="13">
        <f t="shared" si="4"/>
        <v>2190</v>
      </c>
      <c r="Q18" s="14">
        <f>SUM(I18:P18)</f>
        <v>24199</v>
      </c>
      <c r="R18" s="15">
        <f>SUM(H18,Q18)</f>
        <v>52699</v>
      </c>
    </row>
    <row r="19" spans="2:18" ht="17.25" customHeight="1" x14ac:dyDescent="0.35">
      <c r="B19" s="27">
        <v>7</v>
      </c>
      <c r="C19" s="8">
        <v>14171903</v>
      </c>
      <c r="D19" s="8">
        <v>10642107</v>
      </c>
      <c r="E19" s="8">
        <v>19403146</v>
      </c>
      <c r="F19" s="8">
        <v>18860943</v>
      </c>
      <c r="G19" s="8">
        <v>12806089</v>
      </c>
      <c r="H19" s="9"/>
      <c r="I19" s="8">
        <v>4371556</v>
      </c>
      <c r="J19" s="8">
        <v>19394575</v>
      </c>
      <c r="K19" s="8">
        <v>5624602</v>
      </c>
      <c r="L19" s="8">
        <v>9277366</v>
      </c>
      <c r="M19" s="8">
        <v>12716149</v>
      </c>
      <c r="N19" s="8">
        <v>18826791</v>
      </c>
      <c r="O19" s="8">
        <v>5753094</v>
      </c>
      <c r="P19" s="8">
        <v>4980200</v>
      </c>
      <c r="Q19" s="10"/>
      <c r="R19" s="11"/>
    </row>
    <row r="20" spans="2:18" ht="17.25" customHeight="1" x14ac:dyDescent="0.35">
      <c r="B20" s="12" t="s">
        <v>18</v>
      </c>
      <c r="C20" s="13">
        <f>C19-C17</f>
        <v>16572</v>
      </c>
      <c r="D20" s="13">
        <f>D19-D17</f>
        <v>11400</v>
      </c>
      <c r="E20" s="13">
        <f>E19-E17</f>
        <v>4515</v>
      </c>
      <c r="F20" s="13">
        <f>F19-F17</f>
        <v>5317</v>
      </c>
      <c r="G20" s="13">
        <f>G19-G17</f>
        <v>15</v>
      </c>
      <c r="H20" s="9">
        <f>SUM(C20:G20)</f>
        <v>37819</v>
      </c>
      <c r="I20" s="13">
        <f>I19-I17</f>
        <v>1588</v>
      </c>
      <c r="J20" s="13">
        <f t="shared" ref="J20:P20" si="5">J19-J17</f>
        <v>4406</v>
      </c>
      <c r="K20" s="13">
        <f t="shared" si="5"/>
        <v>841</v>
      </c>
      <c r="L20" s="13">
        <f t="shared" si="5"/>
        <v>1810</v>
      </c>
      <c r="M20" s="13">
        <f t="shared" si="5"/>
        <v>5241</v>
      </c>
      <c r="N20" s="13">
        <f t="shared" si="5"/>
        <v>8968</v>
      </c>
      <c r="O20" s="13">
        <f t="shared" si="5"/>
        <v>3456</v>
      </c>
      <c r="P20" s="13">
        <f t="shared" si="5"/>
        <v>2060</v>
      </c>
      <c r="Q20" s="14">
        <f>SUM(I20:P20)</f>
        <v>28370</v>
      </c>
      <c r="R20" s="15">
        <f>SUM(H20,Q20)</f>
        <v>66189</v>
      </c>
    </row>
    <row r="21" spans="2:18" ht="17.25" customHeight="1" x14ac:dyDescent="0.35">
      <c r="B21" s="27">
        <v>8</v>
      </c>
      <c r="C21" s="8">
        <v>14187734</v>
      </c>
      <c r="D21" s="8">
        <v>10653040</v>
      </c>
      <c r="E21" s="8">
        <v>19407407</v>
      </c>
      <c r="F21" s="8">
        <v>18866037</v>
      </c>
      <c r="G21" s="8">
        <v>12806104</v>
      </c>
      <c r="H21" s="9"/>
      <c r="I21" s="8">
        <v>4373186</v>
      </c>
      <c r="J21" s="8">
        <v>19398988</v>
      </c>
      <c r="K21" s="8">
        <v>5625524</v>
      </c>
      <c r="L21" s="8">
        <v>9279163</v>
      </c>
      <c r="M21" s="8">
        <v>12721385</v>
      </c>
      <c r="N21" s="8">
        <v>18835653</v>
      </c>
      <c r="O21" s="8">
        <v>5756629</v>
      </c>
      <c r="P21" s="8">
        <v>4982640</v>
      </c>
      <c r="Q21" s="10"/>
      <c r="R21" s="16"/>
    </row>
    <row r="22" spans="2:18" ht="17.25" customHeight="1" x14ac:dyDescent="0.35">
      <c r="B22" s="12" t="s">
        <v>18</v>
      </c>
      <c r="C22" s="13">
        <f>C21-C19</f>
        <v>15831</v>
      </c>
      <c r="D22" s="13">
        <f>D21-D19</f>
        <v>10933</v>
      </c>
      <c r="E22" s="13">
        <f>E21-E19</f>
        <v>4261</v>
      </c>
      <c r="F22" s="13">
        <f>F21-F19</f>
        <v>5094</v>
      </c>
      <c r="G22" s="13">
        <f>G21-G19</f>
        <v>15</v>
      </c>
      <c r="H22" s="9">
        <f>SUM(C22:G22)</f>
        <v>36134</v>
      </c>
      <c r="I22" s="13">
        <f>I21-I19</f>
        <v>1630</v>
      </c>
      <c r="J22" s="13">
        <f t="shared" ref="J22:P22" si="6">J21-J19</f>
        <v>4413</v>
      </c>
      <c r="K22" s="13">
        <f t="shared" si="6"/>
        <v>922</v>
      </c>
      <c r="L22" s="13">
        <f t="shared" si="6"/>
        <v>1797</v>
      </c>
      <c r="M22" s="13">
        <f t="shared" si="6"/>
        <v>5236</v>
      </c>
      <c r="N22" s="13">
        <f t="shared" si="6"/>
        <v>8862</v>
      </c>
      <c r="O22" s="13">
        <f t="shared" si="6"/>
        <v>3535</v>
      </c>
      <c r="P22" s="13">
        <f t="shared" si="6"/>
        <v>2440</v>
      </c>
      <c r="Q22" s="14">
        <f>SUM(I22:P22)</f>
        <v>28835</v>
      </c>
      <c r="R22" s="15">
        <f>SUM(H22,Q22)</f>
        <v>64969</v>
      </c>
    </row>
    <row r="23" spans="2:18" ht="17.25" customHeight="1" x14ac:dyDescent="0.35">
      <c r="B23" s="27">
        <v>9</v>
      </c>
      <c r="C23" s="8">
        <v>14205769</v>
      </c>
      <c r="D23" s="8">
        <v>10661665</v>
      </c>
      <c r="E23" s="8">
        <v>19411247</v>
      </c>
      <c r="F23" s="8">
        <v>18871163</v>
      </c>
      <c r="G23" s="8">
        <v>12806117</v>
      </c>
      <c r="H23" s="9"/>
      <c r="I23" s="8">
        <v>4374855</v>
      </c>
      <c r="J23" s="8">
        <v>19403631</v>
      </c>
      <c r="K23" s="8">
        <v>5626499</v>
      </c>
      <c r="L23" s="13">
        <v>9280984</v>
      </c>
      <c r="M23" s="8">
        <v>12726849</v>
      </c>
      <c r="N23" s="8">
        <v>18844799</v>
      </c>
      <c r="O23" s="8">
        <v>5759936</v>
      </c>
      <c r="P23" s="8">
        <v>4985160</v>
      </c>
      <c r="Q23" s="10"/>
      <c r="R23" s="11"/>
    </row>
    <row r="24" spans="2:18" ht="17.25" customHeight="1" x14ac:dyDescent="0.35">
      <c r="B24" s="12" t="s">
        <v>18</v>
      </c>
      <c r="C24" s="13">
        <f>C23-C21</f>
        <v>18035</v>
      </c>
      <c r="D24" s="13">
        <f>D23-D21</f>
        <v>8625</v>
      </c>
      <c r="E24" s="13">
        <f>E23-E21</f>
        <v>3840</v>
      </c>
      <c r="F24" s="13">
        <f>F23-F21</f>
        <v>5126</v>
      </c>
      <c r="G24" s="13">
        <f>G23-G21</f>
        <v>13</v>
      </c>
      <c r="H24" s="9">
        <f>SUM(C24:G24)</f>
        <v>35639</v>
      </c>
      <c r="I24" s="13">
        <f>I23-I21</f>
        <v>1669</v>
      </c>
      <c r="J24" s="13">
        <f t="shared" ref="J24:P24" si="7">J23-J21</f>
        <v>4643</v>
      </c>
      <c r="K24" s="13">
        <f t="shared" si="7"/>
        <v>975</v>
      </c>
      <c r="L24" s="13">
        <f t="shared" si="7"/>
        <v>1821</v>
      </c>
      <c r="M24" s="13">
        <f t="shared" si="7"/>
        <v>5464</v>
      </c>
      <c r="N24" s="13">
        <f t="shared" si="7"/>
        <v>9146</v>
      </c>
      <c r="O24" s="13">
        <f t="shared" si="7"/>
        <v>3307</v>
      </c>
      <c r="P24" s="13">
        <f t="shared" si="7"/>
        <v>2520</v>
      </c>
      <c r="Q24" s="14">
        <f>SUM(I24:P24)</f>
        <v>29545</v>
      </c>
      <c r="R24" s="15">
        <f>SUM(H24,Q24)</f>
        <v>65184</v>
      </c>
    </row>
    <row r="25" spans="2:18" ht="17.25" customHeight="1" x14ac:dyDescent="0.35">
      <c r="B25" s="27">
        <v>10</v>
      </c>
      <c r="C25" s="8">
        <v>14221114</v>
      </c>
      <c r="D25" s="8">
        <v>10672540</v>
      </c>
      <c r="E25" s="8">
        <v>19415612</v>
      </c>
      <c r="F25" s="8">
        <v>18876284</v>
      </c>
      <c r="G25" s="8">
        <v>12806134</v>
      </c>
      <c r="H25" s="9"/>
      <c r="I25" s="8">
        <v>4376433</v>
      </c>
      <c r="J25" s="8">
        <v>19408032</v>
      </c>
      <c r="K25" s="8">
        <v>5627383</v>
      </c>
      <c r="L25" s="8">
        <v>9282721</v>
      </c>
      <c r="M25" s="8">
        <v>12732309</v>
      </c>
      <c r="N25" s="8">
        <v>18853615</v>
      </c>
      <c r="O25" s="8">
        <v>5763251</v>
      </c>
      <c r="P25" s="8">
        <v>4987790</v>
      </c>
      <c r="Q25" s="10"/>
      <c r="R25" s="16"/>
    </row>
    <row r="26" spans="2:18" ht="17.25" customHeight="1" x14ac:dyDescent="0.35">
      <c r="B26" s="12" t="s">
        <v>18</v>
      </c>
      <c r="C26" s="13">
        <f>C25-C23</f>
        <v>15345</v>
      </c>
      <c r="D26" s="13">
        <f>D25-D23</f>
        <v>10875</v>
      </c>
      <c r="E26" s="13">
        <f>E25-E23</f>
        <v>4365</v>
      </c>
      <c r="F26" s="13">
        <f>F25-F23</f>
        <v>5121</v>
      </c>
      <c r="G26" s="13">
        <f>G25-G23</f>
        <v>17</v>
      </c>
      <c r="H26" s="9">
        <f>SUM(C26:G26)</f>
        <v>35723</v>
      </c>
      <c r="I26" s="13">
        <f>I25-I23</f>
        <v>1578</v>
      </c>
      <c r="J26" s="13">
        <f t="shared" ref="J26:P26" si="8">J25-J23</f>
        <v>4401</v>
      </c>
      <c r="K26" s="13">
        <f t="shared" si="8"/>
        <v>884</v>
      </c>
      <c r="L26" s="13">
        <f t="shared" si="8"/>
        <v>1737</v>
      </c>
      <c r="M26" s="13">
        <f t="shared" si="8"/>
        <v>5460</v>
      </c>
      <c r="N26" s="13">
        <f t="shared" si="8"/>
        <v>8816</v>
      </c>
      <c r="O26" s="13">
        <f t="shared" si="8"/>
        <v>3315</v>
      </c>
      <c r="P26" s="13">
        <f t="shared" si="8"/>
        <v>2630</v>
      </c>
      <c r="Q26" s="14">
        <f>SUM(I26:P26)</f>
        <v>28821</v>
      </c>
      <c r="R26" s="15">
        <f>SUM(H26,Q26)</f>
        <v>64544</v>
      </c>
    </row>
    <row r="27" spans="2:18" ht="17.25" customHeight="1" x14ac:dyDescent="0.35">
      <c r="B27" s="27">
        <v>11</v>
      </c>
      <c r="C27" s="8">
        <v>14237351</v>
      </c>
      <c r="D27" s="8">
        <v>10684017</v>
      </c>
      <c r="E27" s="8">
        <v>19419980</v>
      </c>
      <c r="F27" s="8">
        <v>18881418</v>
      </c>
      <c r="G27" s="8">
        <v>12806149</v>
      </c>
      <c r="H27" s="9"/>
      <c r="I27" s="8">
        <v>4378338</v>
      </c>
      <c r="J27" s="8">
        <v>19412121</v>
      </c>
      <c r="K27" s="8">
        <v>5628051</v>
      </c>
      <c r="L27" s="8">
        <v>9284351</v>
      </c>
      <c r="M27" s="8">
        <v>12736872</v>
      </c>
      <c r="N27" s="8">
        <v>18861979</v>
      </c>
      <c r="O27" s="8">
        <v>5766666</v>
      </c>
      <c r="P27" s="8">
        <v>4990890</v>
      </c>
      <c r="Q27" s="10"/>
      <c r="R27" s="11"/>
    </row>
    <row r="28" spans="2:18" ht="17.25" customHeight="1" x14ac:dyDescent="0.35">
      <c r="B28" s="12" t="s">
        <v>18</v>
      </c>
      <c r="C28" s="13">
        <f>C27-C25</f>
        <v>16237</v>
      </c>
      <c r="D28" s="13">
        <f>D27-D25</f>
        <v>11477</v>
      </c>
      <c r="E28" s="13">
        <f>E27-E25</f>
        <v>4368</v>
      </c>
      <c r="F28" s="13">
        <f>F27-F25</f>
        <v>5134</v>
      </c>
      <c r="G28" s="13">
        <f>G27-G25</f>
        <v>15</v>
      </c>
      <c r="H28" s="9">
        <f>SUM(C28:G28)</f>
        <v>37231</v>
      </c>
      <c r="I28" s="13">
        <f>I27-I25</f>
        <v>1905</v>
      </c>
      <c r="J28" s="13">
        <f t="shared" ref="J28:P28" si="9">J27-J25</f>
        <v>4089</v>
      </c>
      <c r="K28" s="13">
        <f t="shared" si="9"/>
        <v>668</v>
      </c>
      <c r="L28" s="13">
        <f t="shared" si="9"/>
        <v>1630</v>
      </c>
      <c r="M28" s="13">
        <f t="shared" si="9"/>
        <v>4563</v>
      </c>
      <c r="N28" s="13">
        <f t="shared" si="9"/>
        <v>8364</v>
      </c>
      <c r="O28" s="13">
        <f t="shared" si="9"/>
        <v>3415</v>
      </c>
      <c r="P28" s="13">
        <f t="shared" si="9"/>
        <v>3100</v>
      </c>
      <c r="Q28" s="14">
        <f>SUM(I28:P28)</f>
        <v>27734</v>
      </c>
      <c r="R28" s="15">
        <f>SUM(H28,Q28)</f>
        <v>64965</v>
      </c>
    </row>
    <row r="29" spans="2:18" ht="17.25" customHeight="1" x14ac:dyDescent="0.35">
      <c r="B29" s="27">
        <v>12</v>
      </c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8"/>
      <c r="Q29" s="10"/>
      <c r="R29" s="16"/>
    </row>
    <row r="30" spans="2:18" ht="17.25" customHeight="1" x14ac:dyDescent="0.35">
      <c r="B30" s="12" t="s">
        <v>18</v>
      </c>
      <c r="C30" s="13"/>
      <c r="D30" s="13"/>
      <c r="E30" s="13"/>
      <c r="F30" s="13"/>
      <c r="G30" s="13"/>
      <c r="H30" s="9">
        <f>SUM(C30:G30)</f>
        <v>0</v>
      </c>
      <c r="I30" s="13"/>
      <c r="J30" s="13"/>
      <c r="K30" s="13"/>
      <c r="L30" s="13"/>
      <c r="M30" s="13"/>
      <c r="N30" s="13"/>
      <c r="O30" s="13"/>
      <c r="P30" s="13"/>
      <c r="Q30" s="14">
        <f>SUM(I30:P30)</f>
        <v>0</v>
      </c>
      <c r="R30" s="15">
        <f>SUM(H30,Q30)</f>
        <v>0</v>
      </c>
    </row>
    <row r="31" spans="2:18" ht="17.25" customHeight="1" x14ac:dyDescent="0.35">
      <c r="B31" s="27">
        <v>13</v>
      </c>
      <c r="C31" s="8"/>
      <c r="D31" s="8"/>
      <c r="E31" s="8"/>
      <c r="F31" s="8"/>
      <c r="G31" s="8"/>
      <c r="H31" s="9"/>
      <c r="I31" s="8"/>
      <c r="J31" s="8"/>
      <c r="K31" s="8"/>
      <c r="L31" s="8"/>
      <c r="M31" s="8"/>
      <c r="N31" s="8"/>
      <c r="O31" s="8"/>
      <c r="P31" s="8"/>
      <c r="Q31" s="10"/>
      <c r="R31" s="11"/>
    </row>
    <row r="32" spans="2:18" ht="17.25" customHeight="1" x14ac:dyDescent="0.35">
      <c r="B32" s="12" t="s">
        <v>18</v>
      </c>
      <c r="C32" s="13"/>
      <c r="D32" s="13"/>
      <c r="E32" s="13"/>
      <c r="F32" s="13"/>
      <c r="G32" s="13"/>
      <c r="H32" s="9">
        <f>SUM(C32:G32)</f>
        <v>0</v>
      </c>
      <c r="I32" s="13"/>
      <c r="J32" s="13"/>
      <c r="K32" s="13"/>
      <c r="L32" s="13"/>
      <c r="M32" s="13"/>
      <c r="N32" s="13"/>
      <c r="O32" s="13"/>
      <c r="P32" s="13"/>
      <c r="Q32" s="14">
        <f>SUM(I32:P32)</f>
        <v>0</v>
      </c>
      <c r="R32" s="15">
        <f>SUM(H32,Q32)</f>
        <v>0</v>
      </c>
    </row>
    <row r="33" spans="2:18" ht="17.25" customHeight="1" x14ac:dyDescent="0.35">
      <c r="B33" s="27">
        <v>14</v>
      </c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  <c r="N33" s="8"/>
      <c r="O33" s="8"/>
      <c r="P33" s="8"/>
      <c r="Q33" s="10"/>
      <c r="R33" s="16"/>
    </row>
    <row r="34" spans="2:18" ht="17.25" customHeight="1" x14ac:dyDescent="0.35">
      <c r="B34" s="12" t="s">
        <v>18</v>
      </c>
      <c r="C34" s="13"/>
      <c r="D34" s="13"/>
      <c r="E34" s="13"/>
      <c r="F34" s="13"/>
      <c r="G34" s="13"/>
      <c r="H34" s="9">
        <f>SUM(C34:G34)</f>
        <v>0</v>
      </c>
      <c r="I34" s="13"/>
      <c r="J34" s="13"/>
      <c r="K34" s="13"/>
      <c r="L34" s="13"/>
      <c r="M34" s="13"/>
      <c r="N34" s="13"/>
      <c r="O34" s="13"/>
      <c r="P34" s="13"/>
      <c r="Q34" s="14">
        <f>SUM(I34:P34)</f>
        <v>0</v>
      </c>
      <c r="R34" s="15">
        <f>SUM(H34,Q34)</f>
        <v>0</v>
      </c>
    </row>
    <row r="35" spans="2:18" ht="17.25" customHeight="1" x14ac:dyDescent="0.35">
      <c r="B35" s="27">
        <v>15</v>
      </c>
      <c r="C35" s="8"/>
      <c r="D35" s="8"/>
      <c r="E35" s="8"/>
      <c r="F35" s="8"/>
      <c r="G35" s="8"/>
      <c r="H35" s="9"/>
      <c r="I35" s="8"/>
      <c r="J35" s="8"/>
      <c r="K35" s="8"/>
      <c r="L35" s="8"/>
      <c r="M35" s="8"/>
      <c r="N35" s="8"/>
      <c r="O35" s="8"/>
      <c r="P35" s="8"/>
      <c r="Q35" s="10"/>
      <c r="R35" s="11"/>
    </row>
    <row r="36" spans="2:18" ht="17.25" customHeight="1" x14ac:dyDescent="0.35">
      <c r="B36" s="12" t="s">
        <v>18</v>
      </c>
      <c r="C36" s="13"/>
      <c r="D36" s="13"/>
      <c r="E36" s="13"/>
      <c r="F36" s="13"/>
      <c r="G36" s="13"/>
      <c r="H36" s="9">
        <f>SUM(C36:G36)</f>
        <v>0</v>
      </c>
      <c r="I36" s="13"/>
      <c r="J36" s="13"/>
      <c r="K36" s="13"/>
      <c r="L36" s="13"/>
      <c r="M36" s="13"/>
      <c r="N36" s="13"/>
      <c r="O36" s="13"/>
      <c r="P36" s="13"/>
      <c r="Q36" s="14">
        <f>SUM(I36:P36)</f>
        <v>0</v>
      </c>
      <c r="R36" s="15">
        <f>SUM(H36,Q36)</f>
        <v>0</v>
      </c>
    </row>
    <row r="37" spans="2:18" ht="17.25" customHeight="1" x14ac:dyDescent="0.35">
      <c r="B37" s="27">
        <v>16</v>
      </c>
      <c r="C37" s="8"/>
      <c r="D37" s="8"/>
      <c r="E37" s="8"/>
      <c r="F37" s="8"/>
      <c r="G37" s="8"/>
      <c r="H37" s="9"/>
      <c r="I37" s="8"/>
      <c r="J37" s="8"/>
      <c r="K37" s="8"/>
      <c r="L37" s="8"/>
      <c r="M37" s="8"/>
      <c r="N37" s="8"/>
      <c r="O37" s="8"/>
      <c r="P37" s="8"/>
      <c r="Q37" s="10"/>
      <c r="R37" s="16"/>
    </row>
    <row r="38" spans="2:18" ht="17.25" customHeight="1" x14ac:dyDescent="0.35">
      <c r="B38" s="12" t="s">
        <v>18</v>
      </c>
      <c r="C38" s="13"/>
      <c r="D38" s="13"/>
      <c r="E38" s="13"/>
      <c r="F38" s="13"/>
      <c r="G38" s="13"/>
      <c r="H38" s="9">
        <f>SUM(C38:G38)</f>
        <v>0</v>
      </c>
      <c r="I38" s="13"/>
      <c r="J38" s="13"/>
      <c r="K38" s="13"/>
      <c r="L38" s="13"/>
      <c r="M38" s="13"/>
      <c r="N38" s="13"/>
      <c r="O38" s="13"/>
      <c r="P38" s="13"/>
      <c r="Q38" s="14">
        <f>SUM(I38:P38)</f>
        <v>0</v>
      </c>
      <c r="R38" s="15">
        <f>SUM(H38,Q38)</f>
        <v>0</v>
      </c>
    </row>
    <row r="39" spans="2:18" ht="17.25" customHeight="1" x14ac:dyDescent="0.35">
      <c r="B39" s="27">
        <v>17</v>
      </c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  <c r="N39" s="8"/>
      <c r="O39" s="8"/>
      <c r="P39" s="8"/>
      <c r="Q39" s="10"/>
      <c r="R39" s="11"/>
    </row>
    <row r="40" spans="2:18" ht="17.25" customHeight="1" x14ac:dyDescent="0.35">
      <c r="B40" s="12" t="s">
        <v>18</v>
      </c>
      <c r="C40" s="13"/>
      <c r="D40" s="13"/>
      <c r="E40" s="13"/>
      <c r="F40" s="13"/>
      <c r="G40" s="13"/>
      <c r="H40" s="9">
        <f>SUM(C40:G40)</f>
        <v>0</v>
      </c>
      <c r="I40" s="13"/>
      <c r="J40" s="13"/>
      <c r="K40" s="13"/>
      <c r="L40" s="13"/>
      <c r="M40" s="13"/>
      <c r="N40" s="13"/>
      <c r="O40" s="13"/>
      <c r="P40" s="13"/>
      <c r="Q40" s="14">
        <f>SUM(I40:P40)</f>
        <v>0</v>
      </c>
      <c r="R40" s="15">
        <f>SUM(H40,Q40)</f>
        <v>0</v>
      </c>
    </row>
    <row r="41" spans="2:18" ht="17.25" customHeight="1" x14ac:dyDescent="0.35">
      <c r="B41" s="27">
        <v>18</v>
      </c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  <c r="N41" s="8"/>
      <c r="O41" s="8"/>
      <c r="P41" s="8"/>
      <c r="Q41" s="10"/>
      <c r="R41" s="16"/>
    </row>
    <row r="42" spans="2:18" ht="17.25" customHeight="1" x14ac:dyDescent="0.35">
      <c r="B42" s="12" t="s">
        <v>18</v>
      </c>
      <c r="C42" s="13"/>
      <c r="D42" s="13"/>
      <c r="E42" s="13"/>
      <c r="F42" s="13"/>
      <c r="G42" s="13"/>
      <c r="H42" s="9">
        <f>SUM(C42:G42)</f>
        <v>0</v>
      </c>
      <c r="I42" s="13"/>
      <c r="J42" s="13"/>
      <c r="K42" s="13"/>
      <c r="L42" s="13"/>
      <c r="M42" s="13"/>
      <c r="N42" s="13"/>
      <c r="O42" s="13"/>
      <c r="P42" s="13"/>
      <c r="Q42" s="14">
        <f>SUM(I42:P42)</f>
        <v>0</v>
      </c>
      <c r="R42" s="15">
        <f>SUM(H42,Q42)</f>
        <v>0</v>
      </c>
    </row>
    <row r="43" spans="2:18" ht="17.25" customHeight="1" x14ac:dyDescent="0.35">
      <c r="B43" s="27">
        <v>19</v>
      </c>
      <c r="C43" s="8"/>
      <c r="D43" s="8"/>
      <c r="E43" s="8"/>
      <c r="F43" s="8"/>
      <c r="G43" s="8"/>
      <c r="H43" s="9"/>
      <c r="I43" s="8"/>
      <c r="J43" s="8"/>
      <c r="K43" s="8"/>
      <c r="L43" s="8"/>
      <c r="M43" s="8"/>
      <c r="N43" s="8"/>
      <c r="O43" s="8"/>
      <c r="P43" s="8"/>
      <c r="Q43" s="10"/>
      <c r="R43" s="11"/>
    </row>
    <row r="44" spans="2:18" ht="17.25" customHeight="1" x14ac:dyDescent="0.35">
      <c r="B44" s="12" t="s">
        <v>18</v>
      </c>
      <c r="C44" s="13"/>
      <c r="D44" s="13"/>
      <c r="E44" s="13"/>
      <c r="F44" s="13"/>
      <c r="G44" s="13"/>
      <c r="H44" s="9">
        <f>SUM(C44:G44)</f>
        <v>0</v>
      </c>
      <c r="I44" s="13"/>
      <c r="J44" s="13"/>
      <c r="K44" s="13"/>
      <c r="L44" s="13"/>
      <c r="M44" s="13"/>
      <c r="N44" s="13"/>
      <c r="O44" s="13"/>
      <c r="P44" s="13"/>
      <c r="Q44" s="14">
        <f>SUM(I44:P44)</f>
        <v>0</v>
      </c>
      <c r="R44" s="15">
        <f>SUM(H44,Q44)</f>
        <v>0</v>
      </c>
    </row>
    <row r="45" spans="2:18" ht="17.25" customHeight="1" x14ac:dyDescent="0.35">
      <c r="B45" s="27">
        <v>20</v>
      </c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10"/>
      <c r="R45" s="16"/>
    </row>
    <row r="46" spans="2:18" ht="17.25" customHeight="1" x14ac:dyDescent="0.35">
      <c r="B46" s="12" t="s">
        <v>18</v>
      </c>
      <c r="C46" s="13"/>
      <c r="D46" s="13"/>
      <c r="E46" s="13"/>
      <c r="F46" s="13"/>
      <c r="G46" s="13"/>
      <c r="H46" s="9">
        <f>SUM(C46:G46)</f>
        <v>0</v>
      </c>
      <c r="I46" s="13"/>
      <c r="J46" s="13"/>
      <c r="K46" s="13"/>
      <c r="L46" s="13"/>
      <c r="M46" s="13"/>
      <c r="N46" s="13"/>
      <c r="O46" s="13"/>
      <c r="P46" s="13"/>
      <c r="Q46" s="14">
        <f>SUM(I46:P46)</f>
        <v>0</v>
      </c>
      <c r="R46" s="15">
        <f>SUM(H46,Q46)</f>
        <v>0</v>
      </c>
    </row>
    <row r="47" spans="2:18" ht="17.25" customHeight="1" x14ac:dyDescent="0.35">
      <c r="B47" s="27">
        <v>21</v>
      </c>
      <c r="C47" s="8"/>
      <c r="D47" s="8"/>
      <c r="E47" s="8"/>
      <c r="F47" s="8"/>
      <c r="G47" s="8"/>
      <c r="H47" s="9"/>
      <c r="I47" s="13"/>
      <c r="J47" s="8"/>
      <c r="K47" s="8"/>
      <c r="L47" s="8"/>
      <c r="M47" s="8"/>
      <c r="N47" s="8"/>
      <c r="O47" s="8"/>
      <c r="P47" s="8"/>
      <c r="Q47" s="10"/>
      <c r="R47" s="11"/>
    </row>
    <row r="48" spans="2:18" ht="17.25" customHeight="1" x14ac:dyDescent="0.35">
      <c r="B48" s="12" t="s">
        <v>18</v>
      </c>
      <c r="C48" s="13"/>
      <c r="D48" s="13"/>
      <c r="E48" s="13"/>
      <c r="F48" s="13"/>
      <c r="G48" s="13"/>
      <c r="H48" s="9">
        <f>SUM(C48:G48)</f>
        <v>0</v>
      </c>
      <c r="I48" s="13"/>
      <c r="J48" s="13"/>
      <c r="K48" s="13"/>
      <c r="L48" s="13"/>
      <c r="M48" s="13"/>
      <c r="N48" s="13"/>
      <c r="O48" s="13"/>
      <c r="P48" s="13"/>
      <c r="Q48" s="14">
        <f>SUM(I48:P48)</f>
        <v>0</v>
      </c>
      <c r="R48" s="15">
        <f>SUM(H48,Q48)</f>
        <v>0</v>
      </c>
    </row>
    <row r="49" spans="2:18" ht="17.25" customHeight="1" x14ac:dyDescent="0.35">
      <c r="B49" s="27">
        <v>22</v>
      </c>
      <c r="C49" s="8"/>
      <c r="D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8"/>
      <c r="P49" s="8"/>
      <c r="Q49" s="10"/>
      <c r="R49" s="16"/>
    </row>
    <row r="50" spans="2:18" ht="17.25" customHeight="1" x14ac:dyDescent="0.35">
      <c r="B50" s="12" t="s">
        <v>18</v>
      </c>
      <c r="C50" s="13"/>
      <c r="D50" s="13"/>
      <c r="E50" s="13"/>
      <c r="F50" s="13"/>
      <c r="G50" s="13"/>
      <c r="H50" s="9">
        <f>SUM(C50:G50)</f>
        <v>0</v>
      </c>
      <c r="I50" s="13"/>
      <c r="J50" s="13"/>
      <c r="K50" s="13"/>
      <c r="L50" s="13"/>
      <c r="M50" s="13"/>
      <c r="N50" s="13"/>
      <c r="O50" s="13"/>
      <c r="P50" s="13"/>
      <c r="Q50" s="14">
        <f>SUM(I50:P50)</f>
        <v>0</v>
      </c>
      <c r="R50" s="15">
        <f>SUM(H50,Q50)</f>
        <v>0</v>
      </c>
    </row>
    <row r="51" spans="2:18" ht="17.25" customHeight="1" x14ac:dyDescent="0.35">
      <c r="B51" s="27">
        <v>23</v>
      </c>
      <c r="C51" s="8"/>
      <c r="D51" s="8"/>
      <c r="E51" s="8"/>
      <c r="F51" s="8"/>
      <c r="G51" s="8"/>
      <c r="H51" s="9"/>
      <c r="I51" s="8"/>
      <c r="J51" s="8"/>
      <c r="K51" s="8"/>
      <c r="L51" s="8"/>
      <c r="M51" s="8"/>
      <c r="N51" s="8"/>
      <c r="O51" s="8"/>
      <c r="P51" s="8"/>
      <c r="Q51" s="10"/>
      <c r="R51" s="11"/>
    </row>
    <row r="52" spans="2:18" ht="17.25" customHeight="1" x14ac:dyDescent="0.35">
      <c r="B52" s="12" t="s">
        <v>18</v>
      </c>
      <c r="C52" s="13"/>
      <c r="D52" s="13"/>
      <c r="E52" s="13"/>
      <c r="F52" s="13"/>
      <c r="G52" s="13"/>
      <c r="H52" s="9">
        <f>SUM(C52:G52)</f>
        <v>0</v>
      </c>
      <c r="I52" s="13"/>
      <c r="J52" s="13"/>
      <c r="K52" s="13"/>
      <c r="L52" s="13"/>
      <c r="M52" s="13"/>
      <c r="N52" s="13"/>
      <c r="O52" s="13"/>
      <c r="P52" s="13"/>
      <c r="Q52" s="14">
        <f>SUM(I52:P52)</f>
        <v>0</v>
      </c>
      <c r="R52" s="15">
        <f>SUM(H52,Q52)</f>
        <v>0</v>
      </c>
    </row>
    <row r="53" spans="2:18" ht="17.25" customHeight="1" x14ac:dyDescent="0.35">
      <c r="B53" s="27">
        <v>24</v>
      </c>
      <c r="C53" s="8"/>
      <c r="D53" s="8"/>
      <c r="E53" s="8"/>
      <c r="F53" s="8"/>
      <c r="G53" s="8"/>
      <c r="H53" s="9"/>
      <c r="I53" s="8"/>
      <c r="J53" s="8"/>
      <c r="K53" s="8"/>
      <c r="L53" s="8"/>
      <c r="M53" s="8"/>
      <c r="N53" s="8"/>
      <c r="O53" s="8"/>
      <c r="P53" s="8"/>
      <c r="Q53" s="10"/>
      <c r="R53" s="16"/>
    </row>
    <row r="54" spans="2:18" ht="17.25" customHeight="1" x14ac:dyDescent="0.35">
      <c r="B54" s="12" t="s">
        <v>18</v>
      </c>
      <c r="C54" s="13"/>
      <c r="D54" s="13"/>
      <c r="E54" s="13"/>
      <c r="F54" s="13"/>
      <c r="G54" s="13"/>
      <c r="H54" s="9">
        <f>SUM(C54:G54)</f>
        <v>0</v>
      </c>
      <c r="I54" s="13"/>
      <c r="J54" s="13"/>
      <c r="K54" s="13"/>
      <c r="L54" s="13"/>
      <c r="M54" s="13"/>
      <c r="N54" s="13"/>
      <c r="O54" s="13"/>
      <c r="P54" s="13"/>
      <c r="Q54" s="14">
        <f>SUM(I54:P54)</f>
        <v>0</v>
      </c>
      <c r="R54" s="15">
        <f>SUM(H54,Q54)</f>
        <v>0</v>
      </c>
    </row>
    <row r="55" spans="2:18" ht="17.25" customHeight="1" x14ac:dyDescent="0.35">
      <c r="B55" s="27">
        <v>25</v>
      </c>
      <c r="C55" s="8"/>
      <c r="D55" s="8"/>
      <c r="E55" s="8"/>
      <c r="F55" s="8"/>
      <c r="G55" s="8"/>
      <c r="H55" s="9"/>
      <c r="I55" s="8"/>
      <c r="J55" s="8"/>
      <c r="K55" s="8"/>
      <c r="L55" s="8"/>
      <c r="M55" s="8"/>
      <c r="N55" s="8"/>
      <c r="O55" s="8"/>
      <c r="P55" s="8"/>
      <c r="Q55" s="10"/>
      <c r="R55" s="11"/>
    </row>
    <row r="56" spans="2:18" ht="17.25" customHeight="1" x14ac:dyDescent="0.35">
      <c r="B56" s="12" t="s">
        <v>18</v>
      </c>
      <c r="C56" s="13"/>
      <c r="D56" s="13"/>
      <c r="E56" s="13"/>
      <c r="F56" s="13"/>
      <c r="G56" s="13"/>
      <c r="H56" s="9">
        <f>SUM(C56:G56)</f>
        <v>0</v>
      </c>
      <c r="I56" s="13"/>
      <c r="J56" s="13"/>
      <c r="K56" s="13"/>
      <c r="L56" s="13"/>
      <c r="M56" s="13"/>
      <c r="N56" s="13"/>
      <c r="O56" s="13"/>
      <c r="P56" s="13"/>
      <c r="Q56" s="14">
        <f>SUM(I56:P56)</f>
        <v>0</v>
      </c>
      <c r="R56" s="15">
        <f>SUM(H56,Q56)</f>
        <v>0</v>
      </c>
    </row>
    <row r="57" spans="2:18" ht="17.25" customHeight="1" x14ac:dyDescent="0.35">
      <c r="B57" s="27">
        <v>26</v>
      </c>
      <c r="C57" s="8"/>
      <c r="D57" s="8"/>
      <c r="E57" s="8"/>
      <c r="F57" s="8"/>
      <c r="G57" s="8"/>
      <c r="H57" s="9"/>
      <c r="I57" s="8"/>
      <c r="J57" s="8"/>
      <c r="K57" s="8"/>
      <c r="L57" s="8"/>
      <c r="M57" s="8"/>
      <c r="N57" s="8"/>
      <c r="O57" s="8"/>
      <c r="P57" s="8"/>
      <c r="Q57" s="10"/>
      <c r="R57" s="16"/>
    </row>
    <row r="58" spans="2:18" ht="17.25" customHeight="1" x14ac:dyDescent="0.35">
      <c r="B58" s="12" t="s">
        <v>18</v>
      </c>
      <c r="C58" s="13"/>
      <c r="D58" s="13"/>
      <c r="E58" s="13"/>
      <c r="F58" s="13"/>
      <c r="G58" s="13"/>
      <c r="H58" s="9">
        <f>SUM(C58:G58)</f>
        <v>0</v>
      </c>
      <c r="I58" s="13"/>
      <c r="J58" s="13"/>
      <c r="K58" s="13"/>
      <c r="L58" s="13"/>
      <c r="M58" s="13"/>
      <c r="N58" s="13"/>
      <c r="O58" s="13"/>
      <c r="P58" s="13"/>
      <c r="Q58" s="14">
        <f>SUM(I58:P58)</f>
        <v>0</v>
      </c>
      <c r="R58" s="15">
        <f>SUM(H58,Q58)</f>
        <v>0</v>
      </c>
    </row>
    <row r="59" spans="2:18" ht="17.25" customHeight="1" x14ac:dyDescent="0.35">
      <c r="B59" s="27">
        <v>27</v>
      </c>
      <c r="C59" s="8"/>
      <c r="D59" s="8"/>
      <c r="E59" s="8"/>
      <c r="F59" s="8"/>
      <c r="G59" s="8"/>
      <c r="H59" s="9"/>
      <c r="I59" s="8"/>
      <c r="J59" s="8"/>
      <c r="K59" s="8"/>
      <c r="L59" s="8"/>
      <c r="M59" s="8"/>
      <c r="N59" s="8"/>
      <c r="O59" s="8"/>
      <c r="P59" s="8"/>
      <c r="Q59" s="10"/>
      <c r="R59" s="11"/>
    </row>
    <row r="60" spans="2:18" ht="17.25" customHeight="1" x14ac:dyDescent="0.35">
      <c r="B60" s="12" t="s">
        <v>18</v>
      </c>
      <c r="C60" s="13"/>
      <c r="D60" s="13"/>
      <c r="E60" s="13"/>
      <c r="F60" s="13"/>
      <c r="G60" s="13"/>
      <c r="H60" s="9">
        <f>SUM(C60:G60)</f>
        <v>0</v>
      </c>
      <c r="I60" s="13"/>
      <c r="J60" s="13"/>
      <c r="K60" s="13"/>
      <c r="L60" s="13"/>
      <c r="M60" s="13"/>
      <c r="N60" s="13"/>
      <c r="O60" s="13"/>
      <c r="P60" s="13"/>
      <c r="Q60" s="14">
        <f>SUM(I60:P60)</f>
        <v>0</v>
      </c>
      <c r="R60" s="15">
        <f>SUM(H60,Q60)</f>
        <v>0</v>
      </c>
    </row>
    <row r="61" spans="2:18" ht="17.25" customHeight="1" x14ac:dyDescent="0.35">
      <c r="B61" s="27">
        <v>28</v>
      </c>
      <c r="C61" s="8"/>
      <c r="D61" s="8"/>
      <c r="E61" s="8"/>
      <c r="F61" s="8"/>
      <c r="G61" s="8"/>
      <c r="H61" s="9"/>
      <c r="I61" s="8"/>
      <c r="J61" s="8"/>
      <c r="K61" s="8"/>
      <c r="L61" s="8"/>
      <c r="M61" s="8"/>
      <c r="N61" s="8"/>
      <c r="O61" s="8"/>
      <c r="P61" s="8"/>
      <c r="Q61" s="10"/>
      <c r="R61" s="16"/>
    </row>
    <row r="62" spans="2:18" ht="17.25" customHeight="1" x14ac:dyDescent="0.35">
      <c r="B62" s="12" t="s">
        <v>18</v>
      </c>
      <c r="C62" s="13"/>
      <c r="D62" s="13"/>
      <c r="E62" s="13"/>
      <c r="F62" s="13"/>
      <c r="G62" s="13"/>
      <c r="H62" s="9">
        <f>SUM(C62:G62)</f>
        <v>0</v>
      </c>
      <c r="I62" s="13"/>
      <c r="J62" s="13"/>
      <c r="K62" s="13"/>
      <c r="L62" s="13"/>
      <c r="M62" s="13"/>
      <c r="N62" s="13"/>
      <c r="O62" s="13"/>
      <c r="P62" s="13"/>
      <c r="Q62" s="14">
        <f>SUM(I62:P62)</f>
        <v>0</v>
      </c>
      <c r="R62" s="15">
        <f>SUM(H62,Q62)</f>
        <v>0</v>
      </c>
    </row>
    <row r="63" spans="2:18" ht="17.25" customHeight="1" x14ac:dyDescent="0.35">
      <c r="B63" s="27">
        <v>29</v>
      </c>
      <c r="C63" s="8"/>
      <c r="D63" s="8"/>
      <c r="E63" s="8"/>
      <c r="F63" s="8"/>
      <c r="G63" s="8"/>
      <c r="H63" s="9"/>
      <c r="I63" s="8"/>
      <c r="J63" s="8"/>
      <c r="K63" s="8"/>
      <c r="L63" s="8"/>
      <c r="M63" s="8"/>
      <c r="N63" s="8"/>
      <c r="O63" s="8"/>
      <c r="P63" s="8"/>
      <c r="Q63" s="10"/>
      <c r="R63" s="16"/>
    </row>
    <row r="64" spans="2:18" ht="17.25" customHeight="1" x14ac:dyDescent="0.35">
      <c r="B64" s="12" t="s">
        <v>18</v>
      </c>
      <c r="C64" s="13"/>
      <c r="D64" s="13"/>
      <c r="E64" s="13"/>
      <c r="F64" s="13"/>
      <c r="G64" s="13"/>
      <c r="H64" s="9">
        <f>SUM(C64:G64)</f>
        <v>0</v>
      </c>
      <c r="I64" s="13"/>
      <c r="J64" s="13"/>
      <c r="K64" s="13"/>
      <c r="L64" s="13"/>
      <c r="M64" s="13"/>
      <c r="N64" s="13"/>
      <c r="O64" s="13"/>
      <c r="P64" s="13"/>
      <c r="Q64" s="14">
        <f>SUM(I64:P64)</f>
        <v>0</v>
      </c>
      <c r="R64" s="15">
        <f>SUM(H64,Q64)</f>
        <v>0</v>
      </c>
    </row>
    <row r="65" spans="2:18" ht="17.25" customHeight="1" x14ac:dyDescent="0.35">
      <c r="B65" s="27">
        <v>30</v>
      </c>
      <c r="C65" s="8"/>
      <c r="D65" s="8"/>
      <c r="E65" s="8"/>
      <c r="F65" s="8"/>
      <c r="G65" s="8"/>
      <c r="H65" s="9"/>
      <c r="I65" s="8"/>
      <c r="J65" s="8"/>
      <c r="K65" s="8"/>
      <c r="L65" s="8"/>
      <c r="M65" s="8"/>
      <c r="N65" s="8"/>
      <c r="O65" s="8"/>
      <c r="P65" s="8"/>
      <c r="Q65" s="10"/>
      <c r="R65" s="16"/>
    </row>
    <row r="66" spans="2:18" ht="17.25" customHeight="1" x14ac:dyDescent="0.35">
      <c r="B66" s="12" t="s">
        <v>18</v>
      </c>
      <c r="C66" s="13"/>
      <c r="D66" s="13"/>
      <c r="E66" s="13"/>
      <c r="F66" s="13"/>
      <c r="G66" s="13"/>
      <c r="H66" s="9">
        <f>SUM(C66:G66)</f>
        <v>0</v>
      </c>
      <c r="I66" s="13"/>
      <c r="J66" s="13"/>
      <c r="K66" s="13"/>
      <c r="L66" s="13"/>
      <c r="M66" s="13"/>
      <c r="N66" s="13"/>
      <c r="O66" s="13"/>
      <c r="P66" s="13"/>
      <c r="Q66" s="14">
        <f>SUM(I66:P66)</f>
        <v>0</v>
      </c>
      <c r="R66" s="15">
        <f>SUM(H66,Q66)</f>
        <v>0</v>
      </c>
    </row>
    <row r="67" spans="2:18" ht="15.5" x14ac:dyDescent="0.35">
      <c r="B67" s="27">
        <v>31</v>
      </c>
      <c r="C67" s="65"/>
      <c r="D67" s="65"/>
      <c r="E67" s="65"/>
      <c r="F67" s="65"/>
      <c r="G67" s="65"/>
      <c r="H67" s="9"/>
      <c r="I67" s="65"/>
      <c r="J67" s="65"/>
      <c r="K67" s="65"/>
      <c r="L67" s="65"/>
      <c r="M67" s="65"/>
      <c r="N67" s="65"/>
      <c r="O67" s="65"/>
      <c r="P67" s="65"/>
      <c r="Q67" s="10"/>
      <c r="R67" s="16"/>
    </row>
    <row r="68" spans="2:18" ht="15.5" x14ac:dyDescent="0.35">
      <c r="B68" s="12" t="s">
        <v>18</v>
      </c>
      <c r="C68" s="65"/>
      <c r="D68" s="65"/>
      <c r="E68" s="65"/>
      <c r="F68" s="65"/>
      <c r="G68" s="65"/>
      <c r="H68" s="9">
        <f>SUM(C68:G68)</f>
        <v>0</v>
      </c>
      <c r="I68" s="65"/>
      <c r="J68" s="65"/>
      <c r="K68" s="65"/>
      <c r="L68" s="65"/>
      <c r="M68" s="65"/>
      <c r="N68" s="65"/>
      <c r="O68" s="65"/>
      <c r="P68" s="65"/>
      <c r="Q68" s="14">
        <f>SUM(I68:P68)</f>
        <v>0</v>
      </c>
      <c r="R68" s="15">
        <f>SUM(H68,Q68)</f>
        <v>0</v>
      </c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ignoredErrors>
    <ignoredError sqref="H10 H20 H22 H30 H32 H12 H14 H16 H18 H24 H26 H28 H34 H36 H38 H40 H42 H44 H48 H50 H52 H54 H56 H58 H60 H62 H64 H4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Normal="100" zoomScaleSheetLayoutView="100" workbookViewId="0">
      <pane ySplit="6" topLeftCell="A7" activePane="bottomLeft" state="frozen"/>
      <selection activeCell="P33" sqref="P33"/>
      <selection pane="bottomLeft" activeCell="U18" sqref="U18"/>
    </sheetView>
  </sheetViews>
  <sheetFormatPr defaultColWidth="9.1796875" defaultRowHeight="14.5" x14ac:dyDescent="0.35"/>
  <cols>
    <col min="1" max="1" width="1" style="1" customWidth="1"/>
    <col min="2" max="5" width="10.54296875" style="1" customWidth="1"/>
    <col min="6" max="6" width="14.26953125" style="1" customWidth="1"/>
    <col min="7" max="12" width="10.54296875" style="1" customWidth="1"/>
    <col min="13" max="13" width="14.1796875" style="1" customWidth="1"/>
    <col min="14" max="14" width="16.1796875" style="1" bestFit="1" customWidth="1"/>
    <col min="15" max="16384" width="9.1796875" style="1"/>
  </cols>
  <sheetData>
    <row r="1" spans="2:21" ht="12" customHeight="1" x14ac:dyDescent="0.35"/>
    <row r="2" spans="2:21" ht="19.5" customHeight="1" x14ac:dyDescent="0.35">
      <c r="F2" s="73" t="s">
        <v>15</v>
      </c>
      <c r="G2" s="73"/>
      <c r="H2" s="73"/>
      <c r="I2" s="73"/>
      <c r="J2" s="73"/>
      <c r="K2" s="25"/>
      <c r="L2" s="25"/>
    </row>
    <row r="3" spans="2:21" ht="21" customHeight="1" x14ac:dyDescent="0.35">
      <c r="F3" s="81" t="s">
        <v>8</v>
      </c>
      <c r="G3" s="81"/>
      <c r="H3" s="81"/>
      <c r="I3" s="81"/>
      <c r="J3" s="81"/>
      <c r="K3" s="26"/>
      <c r="L3" s="26"/>
      <c r="M3" s="6" t="s">
        <v>69</v>
      </c>
    </row>
    <row r="4" spans="2:21" ht="15" customHeight="1" thickBot="1" x14ac:dyDescent="0.4"/>
    <row r="5" spans="2:21" ht="30.75" customHeight="1" thickTop="1" x14ac:dyDescent="0.35">
      <c r="B5" s="86" t="s">
        <v>0</v>
      </c>
      <c r="C5" s="4" t="s">
        <v>9</v>
      </c>
      <c r="D5" s="4" t="s">
        <v>11</v>
      </c>
      <c r="E5" s="4" t="s">
        <v>10</v>
      </c>
      <c r="F5" s="88" t="s">
        <v>22</v>
      </c>
      <c r="G5" s="4" t="s">
        <v>12</v>
      </c>
      <c r="H5" s="4" t="s">
        <v>13</v>
      </c>
      <c r="I5" s="4" t="s">
        <v>14</v>
      </c>
      <c r="J5" s="4" t="s">
        <v>17</v>
      </c>
      <c r="K5" s="4" t="s">
        <v>16</v>
      </c>
      <c r="L5" s="4" t="s">
        <v>5</v>
      </c>
      <c r="M5" s="82" t="s">
        <v>23</v>
      </c>
      <c r="N5" s="84" t="s">
        <v>24</v>
      </c>
      <c r="O5" s="7"/>
      <c r="P5" s="79" t="s">
        <v>26</v>
      </c>
      <c r="Q5" s="79" t="s">
        <v>33</v>
      </c>
      <c r="R5" s="79" t="s">
        <v>34</v>
      </c>
      <c r="S5" s="79" t="s">
        <v>58</v>
      </c>
    </row>
    <row r="6" spans="2:21" ht="15.75" customHeight="1" x14ac:dyDescent="0.35">
      <c r="B6" s="87"/>
      <c r="C6" s="3">
        <v>130465</v>
      </c>
      <c r="D6" s="3">
        <v>130460</v>
      </c>
      <c r="E6" s="3">
        <v>130461</v>
      </c>
      <c r="F6" s="89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83"/>
      <c r="N6" s="85"/>
      <c r="O6" s="7"/>
      <c r="P6" s="80"/>
      <c r="Q6" s="80"/>
      <c r="R6" s="80"/>
      <c r="S6" s="80"/>
    </row>
    <row r="7" spans="2:21" ht="17.25" customHeight="1" x14ac:dyDescent="0.35">
      <c r="B7" s="27">
        <v>1</v>
      </c>
      <c r="C7" s="8">
        <v>6554</v>
      </c>
      <c r="D7" s="8">
        <v>319</v>
      </c>
      <c r="E7" s="8">
        <v>43985</v>
      </c>
      <c r="F7" s="21"/>
      <c r="G7" s="60">
        <v>199618</v>
      </c>
      <c r="H7" s="60">
        <v>153768</v>
      </c>
      <c r="I7" s="24">
        <v>145406</v>
      </c>
      <c r="J7" s="24">
        <v>698939</v>
      </c>
      <c r="K7" s="60">
        <v>599391</v>
      </c>
      <c r="L7" s="8">
        <v>406548</v>
      </c>
      <c r="M7" s="22"/>
      <c r="N7" s="17"/>
      <c r="P7" s="41">
        <v>1</v>
      </c>
      <c r="Q7" s="42">
        <v>0</v>
      </c>
      <c r="R7" s="43">
        <v>0</v>
      </c>
      <c r="S7" s="66">
        <v>13.8</v>
      </c>
      <c r="U7" s="46" t="s">
        <v>64</v>
      </c>
    </row>
    <row r="8" spans="2:21" ht="17.25" customHeight="1" x14ac:dyDescent="0.35">
      <c r="B8" s="12" t="s">
        <v>18</v>
      </c>
      <c r="C8" s="13">
        <v>0</v>
      </c>
      <c r="D8" s="13">
        <v>0</v>
      </c>
      <c r="E8" s="13">
        <v>0</v>
      </c>
      <c r="F8" s="21">
        <f>SUM(C8:E8)</f>
        <v>0</v>
      </c>
      <c r="G8" s="13">
        <v>0</v>
      </c>
      <c r="H8" s="13">
        <v>0</v>
      </c>
      <c r="I8" s="13">
        <v>38</v>
      </c>
      <c r="J8" s="13">
        <v>88</v>
      </c>
      <c r="K8" s="13">
        <v>0</v>
      </c>
      <c r="L8" s="13">
        <v>53</v>
      </c>
      <c r="M8" s="23">
        <f>SUM(G8:L8)</f>
        <v>179</v>
      </c>
      <c r="N8" s="18">
        <f>SUM(F8,M8)</f>
        <v>179</v>
      </c>
      <c r="P8" s="41">
        <v>2</v>
      </c>
      <c r="Q8" s="42">
        <v>0</v>
      </c>
      <c r="R8" s="43">
        <v>0</v>
      </c>
      <c r="S8" s="66">
        <v>13.9</v>
      </c>
      <c r="U8" s="58" t="s">
        <v>65</v>
      </c>
    </row>
    <row r="9" spans="2:21" ht="17.25" customHeight="1" x14ac:dyDescent="0.35">
      <c r="B9" s="27">
        <v>2</v>
      </c>
      <c r="C9" s="8">
        <v>6554</v>
      </c>
      <c r="D9" s="8">
        <v>319</v>
      </c>
      <c r="E9" s="8">
        <v>43985</v>
      </c>
      <c r="F9" s="21"/>
      <c r="G9" s="60">
        <v>199618</v>
      </c>
      <c r="H9" s="60">
        <v>153768</v>
      </c>
      <c r="I9" s="43">
        <v>145445</v>
      </c>
      <c r="J9" s="43">
        <v>699024</v>
      </c>
      <c r="K9" s="60">
        <v>599391</v>
      </c>
      <c r="L9" s="8">
        <v>406600</v>
      </c>
      <c r="M9" s="22"/>
      <c r="N9" s="19"/>
      <c r="P9" s="41">
        <v>3</v>
      </c>
      <c r="Q9" s="42">
        <v>0</v>
      </c>
      <c r="R9" s="43">
        <v>0</v>
      </c>
      <c r="S9" s="66">
        <v>14.1</v>
      </c>
      <c r="U9" s="47" t="s">
        <v>66</v>
      </c>
    </row>
    <row r="10" spans="2:21" ht="17.25" customHeight="1" x14ac:dyDescent="0.35">
      <c r="B10" s="12" t="s">
        <v>18</v>
      </c>
      <c r="C10" s="13">
        <f>C9-C7</f>
        <v>0</v>
      </c>
      <c r="D10" s="13">
        <f>D9-D7</f>
        <v>0</v>
      </c>
      <c r="E10" s="13">
        <f>E9-E7</f>
        <v>0</v>
      </c>
      <c r="F10" s="21">
        <f>SUM(C10:E10)</f>
        <v>0</v>
      </c>
      <c r="G10" s="13">
        <f t="shared" ref="G10:L10" si="0">G9-G7</f>
        <v>0</v>
      </c>
      <c r="H10" s="13">
        <f t="shared" si="0"/>
        <v>0</v>
      </c>
      <c r="I10" s="13">
        <f t="shared" si="0"/>
        <v>39</v>
      </c>
      <c r="J10" s="13">
        <f t="shared" si="0"/>
        <v>85</v>
      </c>
      <c r="K10" s="13">
        <f t="shared" si="0"/>
        <v>0</v>
      </c>
      <c r="L10" s="13">
        <f t="shared" si="0"/>
        <v>52</v>
      </c>
      <c r="M10" s="23">
        <f>SUM(G10:L10)</f>
        <v>176</v>
      </c>
      <c r="N10" s="20">
        <f>SUM(F10,M10)</f>
        <v>176</v>
      </c>
      <c r="P10" s="41">
        <v>4</v>
      </c>
      <c r="Q10" s="42">
        <v>0</v>
      </c>
      <c r="R10" s="43">
        <v>0</v>
      </c>
      <c r="S10" s="66">
        <v>12.7</v>
      </c>
      <c r="U10" s="58" t="s">
        <v>67</v>
      </c>
    </row>
    <row r="11" spans="2:21" ht="17.25" customHeight="1" x14ac:dyDescent="0.35">
      <c r="B11" s="27">
        <v>3</v>
      </c>
      <c r="C11" s="8">
        <v>6554</v>
      </c>
      <c r="D11" s="8">
        <v>319</v>
      </c>
      <c r="E11" s="8">
        <v>43985</v>
      </c>
      <c r="F11" s="21"/>
      <c r="G11" s="60">
        <v>199618</v>
      </c>
      <c r="H11" s="60">
        <v>153768</v>
      </c>
      <c r="I11" s="24">
        <v>145489</v>
      </c>
      <c r="J11" s="24">
        <v>699106</v>
      </c>
      <c r="K11" s="60">
        <v>599391</v>
      </c>
      <c r="L11" s="24">
        <v>406661</v>
      </c>
      <c r="M11" s="22"/>
      <c r="N11" s="19"/>
      <c r="P11" s="41">
        <v>5</v>
      </c>
      <c r="Q11" s="42">
        <v>0</v>
      </c>
      <c r="R11" s="43">
        <v>0</v>
      </c>
      <c r="S11" s="66">
        <v>13</v>
      </c>
    </row>
    <row r="12" spans="2:21" ht="17.25" customHeight="1" x14ac:dyDescent="0.35">
      <c r="B12" s="12" t="s">
        <v>18</v>
      </c>
      <c r="C12" s="13">
        <f>C11-C9</f>
        <v>0</v>
      </c>
      <c r="D12" s="13">
        <f>D11-D9</f>
        <v>0</v>
      </c>
      <c r="E12" s="13">
        <f>E11-E9</f>
        <v>0</v>
      </c>
      <c r="F12" s="21">
        <f>SUM(C12:E12)</f>
        <v>0</v>
      </c>
      <c r="G12" s="13">
        <f t="shared" ref="G12:L22" si="1">G11-G9</f>
        <v>0</v>
      </c>
      <c r="H12" s="13">
        <f t="shared" si="1"/>
        <v>0</v>
      </c>
      <c r="I12" s="13">
        <f t="shared" si="1"/>
        <v>44</v>
      </c>
      <c r="J12" s="13">
        <f t="shared" si="1"/>
        <v>82</v>
      </c>
      <c r="K12" s="13">
        <f t="shared" si="1"/>
        <v>0</v>
      </c>
      <c r="L12" s="13">
        <f t="shared" si="1"/>
        <v>61</v>
      </c>
      <c r="M12" s="23">
        <f>SUM(G12:L12)</f>
        <v>187</v>
      </c>
      <c r="N12" s="20">
        <f>SUM(F12,M12)</f>
        <v>187</v>
      </c>
      <c r="P12" s="41">
        <v>6</v>
      </c>
      <c r="Q12" s="42">
        <v>0</v>
      </c>
      <c r="R12" s="43">
        <v>0</v>
      </c>
      <c r="S12" s="66">
        <v>12</v>
      </c>
    </row>
    <row r="13" spans="2:21" ht="17.25" customHeight="1" x14ac:dyDescent="0.35">
      <c r="B13" s="27">
        <v>4</v>
      </c>
      <c r="C13" s="8">
        <v>6554</v>
      </c>
      <c r="D13" s="8">
        <v>319</v>
      </c>
      <c r="E13" s="8">
        <v>43985</v>
      </c>
      <c r="F13" s="21"/>
      <c r="G13" s="60">
        <v>199618</v>
      </c>
      <c r="H13" s="60">
        <v>153768</v>
      </c>
      <c r="I13" s="43">
        <v>145536</v>
      </c>
      <c r="J13" s="43">
        <v>699416</v>
      </c>
      <c r="K13" s="60">
        <v>599391</v>
      </c>
      <c r="L13" s="8">
        <v>406718</v>
      </c>
      <c r="M13" s="22"/>
      <c r="N13" s="19"/>
      <c r="P13" s="41">
        <v>7</v>
      </c>
      <c r="Q13" s="42">
        <v>0</v>
      </c>
      <c r="R13" s="43">
        <v>0</v>
      </c>
      <c r="S13" s="66">
        <v>13</v>
      </c>
    </row>
    <row r="14" spans="2:21" ht="17.25" customHeight="1" x14ac:dyDescent="0.35">
      <c r="B14" s="12" t="s">
        <v>18</v>
      </c>
      <c r="C14" s="13">
        <f>C13-C11</f>
        <v>0</v>
      </c>
      <c r="D14" s="13">
        <f>D13-D11</f>
        <v>0</v>
      </c>
      <c r="E14" s="13">
        <f>E13-E11</f>
        <v>0</v>
      </c>
      <c r="F14" s="21">
        <f>SUM(C14:E14)</f>
        <v>0</v>
      </c>
      <c r="G14" s="13">
        <f t="shared" si="1"/>
        <v>0</v>
      </c>
      <c r="H14" s="13">
        <f t="shared" si="1"/>
        <v>0</v>
      </c>
      <c r="I14" s="13">
        <f t="shared" si="1"/>
        <v>47</v>
      </c>
      <c r="J14" s="13">
        <f t="shared" si="1"/>
        <v>310</v>
      </c>
      <c r="K14" s="13">
        <f t="shared" si="1"/>
        <v>0</v>
      </c>
      <c r="L14" s="13">
        <f t="shared" si="1"/>
        <v>57</v>
      </c>
      <c r="M14" s="23">
        <f>SUM(G14:L14)</f>
        <v>414</v>
      </c>
      <c r="N14" s="20">
        <f>SUM(F14,M14)</f>
        <v>414</v>
      </c>
      <c r="P14" s="41">
        <v>8</v>
      </c>
      <c r="Q14" s="42">
        <v>0</v>
      </c>
      <c r="R14" s="43">
        <v>0</v>
      </c>
      <c r="S14" s="66">
        <v>13.2</v>
      </c>
    </row>
    <row r="15" spans="2:21" ht="17.25" customHeight="1" x14ac:dyDescent="0.35">
      <c r="B15" s="27">
        <v>5</v>
      </c>
      <c r="C15" s="8">
        <v>6554</v>
      </c>
      <c r="D15" s="59">
        <v>319</v>
      </c>
      <c r="E15" s="8">
        <v>43985</v>
      </c>
      <c r="F15" s="21"/>
      <c r="G15" s="60">
        <v>199618</v>
      </c>
      <c r="H15" s="60">
        <v>153768</v>
      </c>
      <c r="I15" s="8">
        <v>145583</v>
      </c>
      <c r="J15" s="8">
        <v>699658</v>
      </c>
      <c r="K15" s="60">
        <v>599391</v>
      </c>
      <c r="L15" s="8">
        <v>406778</v>
      </c>
      <c r="M15" s="22"/>
      <c r="N15" s="19"/>
      <c r="P15" s="41">
        <v>9</v>
      </c>
      <c r="Q15" s="42">
        <v>0</v>
      </c>
      <c r="R15" s="43">
        <v>0</v>
      </c>
      <c r="S15" s="66">
        <v>12</v>
      </c>
    </row>
    <row r="16" spans="2:21" ht="17.25" customHeight="1" x14ac:dyDescent="0.35">
      <c r="B16" s="12" t="s">
        <v>18</v>
      </c>
      <c r="C16" s="13">
        <f>C15-C13</f>
        <v>0</v>
      </c>
      <c r="D16" s="13">
        <f>D15-D13</f>
        <v>0</v>
      </c>
      <c r="E16" s="13">
        <f>E15-E13</f>
        <v>0</v>
      </c>
      <c r="F16" s="21">
        <f>SUM(C16:E16)</f>
        <v>0</v>
      </c>
      <c r="G16" s="13">
        <f t="shared" si="1"/>
        <v>0</v>
      </c>
      <c r="H16" s="13">
        <f t="shared" si="1"/>
        <v>0</v>
      </c>
      <c r="I16" s="13">
        <f t="shared" si="1"/>
        <v>47</v>
      </c>
      <c r="J16" s="13">
        <f t="shared" si="1"/>
        <v>242</v>
      </c>
      <c r="K16" s="13">
        <f t="shared" si="1"/>
        <v>0</v>
      </c>
      <c r="L16" s="13">
        <f t="shared" si="1"/>
        <v>60</v>
      </c>
      <c r="M16" s="23">
        <f>SUM(G16:L16)</f>
        <v>349</v>
      </c>
      <c r="N16" s="20">
        <f>SUM(F16,M16)</f>
        <v>349</v>
      </c>
      <c r="P16" s="41">
        <v>10</v>
      </c>
      <c r="Q16" s="42">
        <v>0</v>
      </c>
      <c r="R16" s="43">
        <v>0</v>
      </c>
      <c r="S16" s="66">
        <v>13</v>
      </c>
    </row>
    <row r="17" spans="2:19" ht="17.25" customHeight="1" x14ac:dyDescent="0.35">
      <c r="B17" s="27">
        <v>6</v>
      </c>
      <c r="C17" s="8">
        <v>6554</v>
      </c>
      <c r="D17" s="59">
        <v>319</v>
      </c>
      <c r="E17" s="8">
        <v>43985</v>
      </c>
      <c r="F17" s="21"/>
      <c r="G17" s="60">
        <v>199618</v>
      </c>
      <c r="H17" s="60">
        <v>153768</v>
      </c>
      <c r="I17" s="43">
        <v>145613</v>
      </c>
      <c r="J17" s="43">
        <v>699862</v>
      </c>
      <c r="K17" s="60">
        <v>599391</v>
      </c>
      <c r="L17" s="59">
        <v>406819</v>
      </c>
      <c r="M17" s="22"/>
      <c r="N17" s="19"/>
      <c r="P17" s="41">
        <v>11</v>
      </c>
      <c r="Q17" s="42">
        <v>0</v>
      </c>
      <c r="R17" s="43">
        <v>0</v>
      </c>
      <c r="S17" s="66">
        <v>12.4</v>
      </c>
    </row>
    <row r="18" spans="2:19" ht="17.25" customHeight="1" x14ac:dyDescent="0.35">
      <c r="B18" s="12" t="s">
        <v>18</v>
      </c>
      <c r="C18" s="13">
        <f>C17-C15</f>
        <v>0</v>
      </c>
      <c r="D18" s="13">
        <f>D17-D15</f>
        <v>0</v>
      </c>
      <c r="E18" s="13">
        <f>E17-E15</f>
        <v>0</v>
      </c>
      <c r="F18" s="21">
        <f>SUM(C18:E18)</f>
        <v>0</v>
      </c>
      <c r="G18" s="13">
        <f t="shared" si="1"/>
        <v>0</v>
      </c>
      <c r="H18" s="13">
        <f t="shared" si="1"/>
        <v>0</v>
      </c>
      <c r="I18" s="13">
        <f t="shared" si="1"/>
        <v>30</v>
      </c>
      <c r="J18" s="13">
        <f t="shared" si="1"/>
        <v>204</v>
      </c>
      <c r="K18" s="13">
        <f t="shared" si="1"/>
        <v>0</v>
      </c>
      <c r="L18" s="13">
        <f t="shared" si="1"/>
        <v>41</v>
      </c>
      <c r="M18" s="23">
        <f>SUM(G18:L18)</f>
        <v>275</v>
      </c>
      <c r="N18" s="20">
        <f>SUM(F18,M18)</f>
        <v>275</v>
      </c>
      <c r="P18" s="41">
        <v>12</v>
      </c>
      <c r="Q18" s="42"/>
      <c r="R18" s="43"/>
      <c r="S18" s="43"/>
    </row>
    <row r="19" spans="2:19" ht="17.25" customHeight="1" x14ac:dyDescent="0.35">
      <c r="B19" s="27">
        <v>7</v>
      </c>
      <c r="C19" s="8">
        <v>6554</v>
      </c>
      <c r="D19" s="59">
        <v>319</v>
      </c>
      <c r="E19" s="8">
        <v>43985</v>
      </c>
      <c r="F19" s="21"/>
      <c r="G19" s="60">
        <v>199618</v>
      </c>
      <c r="H19" s="60">
        <v>153768</v>
      </c>
      <c r="I19" s="24">
        <v>145648</v>
      </c>
      <c r="J19" s="24">
        <v>700103</v>
      </c>
      <c r="K19" s="60">
        <v>599391</v>
      </c>
      <c r="L19" s="24">
        <v>406868</v>
      </c>
      <c r="M19" s="22"/>
      <c r="N19" s="19"/>
      <c r="P19" s="41">
        <v>13</v>
      </c>
      <c r="Q19" s="42"/>
      <c r="R19" s="43"/>
      <c r="S19" s="43"/>
    </row>
    <row r="20" spans="2:19" ht="17.25" customHeight="1" x14ac:dyDescent="0.35">
      <c r="B20" s="12" t="s">
        <v>18</v>
      </c>
      <c r="C20" s="13">
        <f>C19-C17</f>
        <v>0</v>
      </c>
      <c r="D20" s="13">
        <f>D19-D17</f>
        <v>0</v>
      </c>
      <c r="E20" s="13">
        <f>E19-E17</f>
        <v>0</v>
      </c>
      <c r="F20" s="21">
        <f>SUM(C20:E20)</f>
        <v>0</v>
      </c>
      <c r="G20" s="13">
        <f t="shared" si="1"/>
        <v>0</v>
      </c>
      <c r="H20" s="13">
        <f t="shared" si="1"/>
        <v>0</v>
      </c>
      <c r="I20" s="13">
        <f t="shared" si="1"/>
        <v>35</v>
      </c>
      <c r="J20" s="13">
        <f t="shared" si="1"/>
        <v>241</v>
      </c>
      <c r="K20" s="13">
        <f t="shared" si="1"/>
        <v>0</v>
      </c>
      <c r="L20" s="13">
        <f t="shared" si="1"/>
        <v>49</v>
      </c>
      <c r="M20" s="23">
        <f>SUM(G20:L20)</f>
        <v>325</v>
      </c>
      <c r="N20" s="20">
        <f>SUM(F20,M20)</f>
        <v>325</v>
      </c>
      <c r="P20" s="41">
        <v>14</v>
      </c>
      <c r="Q20" s="42"/>
      <c r="R20" s="43"/>
      <c r="S20" s="43"/>
    </row>
    <row r="21" spans="2:19" ht="17.25" customHeight="1" x14ac:dyDescent="0.35">
      <c r="B21" s="27">
        <v>8</v>
      </c>
      <c r="C21" s="8">
        <v>6554</v>
      </c>
      <c r="D21" s="59">
        <v>319</v>
      </c>
      <c r="E21" s="8">
        <v>43985</v>
      </c>
      <c r="F21" s="21"/>
      <c r="G21" s="60">
        <v>199618</v>
      </c>
      <c r="H21" s="60">
        <v>153768</v>
      </c>
      <c r="I21" s="43">
        <v>145682</v>
      </c>
      <c r="J21" s="43">
        <v>700336</v>
      </c>
      <c r="K21" s="60">
        <v>599391</v>
      </c>
      <c r="L21" s="8">
        <v>406934</v>
      </c>
      <c r="M21" s="22"/>
      <c r="N21" s="19"/>
      <c r="P21" s="41">
        <v>15</v>
      </c>
      <c r="Q21" s="42"/>
      <c r="R21" s="43"/>
      <c r="S21" s="43"/>
    </row>
    <row r="22" spans="2:19" ht="17.25" customHeight="1" x14ac:dyDescent="0.35">
      <c r="B22" s="12" t="s">
        <v>18</v>
      </c>
      <c r="C22" s="13">
        <f>C21-C19</f>
        <v>0</v>
      </c>
      <c r="D22" s="13">
        <f>D21-D19</f>
        <v>0</v>
      </c>
      <c r="E22" s="13">
        <f>E21-E19</f>
        <v>0</v>
      </c>
      <c r="F22" s="21">
        <f>SUM(C22:E22)</f>
        <v>0</v>
      </c>
      <c r="G22" s="13">
        <f t="shared" si="1"/>
        <v>0</v>
      </c>
      <c r="H22" s="13">
        <f t="shared" si="1"/>
        <v>0</v>
      </c>
      <c r="I22" s="13">
        <f t="shared" si="1"/>
        <v>34</v>
      </c>
      <c r="J22" s="13">
        <f t="shared" si="1"/>
        <v>233</v>
      </c>
      <c r="K22" s="13">
        <f t="shared" si="1"/>
        <v>0</v>
      </c>
      <c r="L22" s="13">
        <f t="shared" si="1"/>
        <v>66</v>
      </c>
      <c r="M22" s="23">
        <f>SUM(G22:L22)</f>
        <v>333</v>
      </c>
      <c r="N22" s="20">
        <f>SUM(F22,M22)</f>
        <v>333</v>
      </c>
      <c r="P22" s="41">
        <v>16</v>
      </c>
      <c r="Q22" s="42"/>
      <c r="R22" s="43"/>
      <c r="S22" s="43"/>
    </row>
    <row r="23" spans="2:19" ht="17.25" customHeight="1" x14ac:dyDescent="0.35">
      <c r="B23" s="27">
        <v>9</v>
      </c>
      <c r="C23" s="8">
        <v>6554</v>
      </c>
      <c r="D23" s="59">
        <v>319</v>
      </c>
      <c r="E23" s="8">
        <v>43985</v>
      </c>
      <c r="F23" s="21"/>
      <c r="G23" s="60">
        <v>199618</v>
      </c>
      <c r="H23" s="60">
        <v>153768</v>
      </c>
      <c r="I23" s="24">
        <v>145715</v>
      </c>
      <c r="J23" s="43">
        <v>700533</v>
      </c>
      <c r="K23" s="60">
        <v>599391</v>
      </c>
      <c r="L23" s="24">
        <v>407014</v>
      </c>
      <c r="M23" s="22"/>
      <c r="N23" s="19"/>
      <c r="P23" s="41">
        <v>17</v>
      </c>
      <c r="Q23" s="42"/>
      <c r="R23" s="43"/>
      <c r="S23" s="43"/>
    </row>
    <row r="24" spans="2:19" ht="17.25" customHeight="1" x14ac:dyDescent="0.35">
      <c r="B24" s="12" t="s">
        <v>18</v>
      </c>
      <c r="C24" s="13">
        <f>C23-C21</f>
        <v>0</v>
      </c>
      <c r="D24" s="13">
        <f>D23-D21</f>
        <v>0</v>
      </c>
      <c r="E24" s="13">
        <f>E23-E21</f>
        <v>0</v>
      </c>
      <c r="F24" s="21">
        <f>SUM(C24:E24)</f>
        <v>0</v>
      </c>
      <c r="G24" s="13">
        <f t="shared" ref="G24:L24" si="2">G23-G21</f>
        <v>0</v>
      </c>
      <c r="H24" s="13">
        <f t="shared" si="2"/>
        <v>0</v>
      </c>
      <c r="I24" s="13">
        <f t="shared" si="2"/>
        <v>33</v>
      </c>
      <c r="J24" s="13">
        <f t="shared" si="2"/>
        <v>197</v>
      </c>
      <c r="K24" s="13">
        <f t="shared" si="2"/>
        <v>0</v>
      </c>
      <c r="L24" s="13">
        <f t="shared" si="2"/>
        <v>80</v>
      </c>
      <c r="M24" s="23">
        <f>SUM(G24:L24)</f>
        <v>310</v>
      </c>
      <c r="N24" s="20">
        <f>SUM(F24,M24)</f>
        <v>310</v>
      </c>
      <c r="P24" s="41">
        <v>18</v>
      </c>
      <c r="Q24" s="42"/>
      <c r="R24" s="43"/>
      <c r="S24" s="43"/>
    </row>
    <row r="25" spans="2:19" ht="17.25" customHeight="1" x14ac:dyDescent="0.35">
      <c r="B25" s="27">
        <v>10</v>
      </c>
      <c r="C25" s="8">
        <v>6554</v>
      </c>
      <c r="D25" s="59">
        <v>319</v>
      </c>
      <c r="E25" s="8">
        <v>43985</v>
      </c>
      <c r="F25" s="21"/>
      <c r="G25" s="60">
        <v>199618</v>
      </c>
      <c r="H25" s="60">
        <v>153768</v>
      </c>
      <c r="I25" s="43">
        <v>145748</v>
      </c>
      <c r="J25" s="43">
        <v>700729</v>
      </c>
      <c r="K25" s="60">
        <v>599391</v>
      </c>
      <c r="L25" s="8">
        <v>407102</v>
      </c>
      <c r="M25" s="22"/>
      <c r="N25" s="19"/>
      <c r="P25" s="41">
        <v>19</v>
      </c>
      <c r="Q25" s="42"/>
      <c r="R25" s="43"/>
      <c r="S25" s="43"/>
    </row>
    <row r="26" spans="2:19" ht="17.25" customHeight="1" x14ac:dyDescent="0.35">
      <c r="B26" s="12" t="s">
        <v>18</v>
      </c>
      <c r="C26" s="13">
        <f>C25-C23</f>
        <v>0</v>
      </c>
      <c r="D26" s="13">
        <f>D25-D23</f>
        <v>0</v>
      </c>
      <c r="E26" s="13">
        <f>E25-E23</f>
        <v>0</v>
      </c>
      <c r="F26" s="21">
        <f>SUM(C26:E26)</f>
        <v>0</v>
      </c>
      <c r="G26" s="13">
        <f t="shared" ref="G26:L26" si="3">G25-G23</f>
        <v>0</v>
      </c>
      <c r="H26" s="13">
        <f t="shared" si="3"/>
        <v>0</v>
      </c>
      <c r="I26" s="13">
        <f t="shared" si="3"/>
        <v>33</v>
      </c>
      <c r="J26" s="13">
        <f t="shared" si="3"/>
        <v>196</v>
      </c>
      <c r="K26" s="13">
        <f t="shared" si="3"/>
        <v>0</v>
      </c>
      <c r="L26" s="13">
        <f t="shared" si="3"/>
        <v>88</v>
      </c>
      <c r="M26" s="23">
        <f>SUM(G26:L26)</f>
        <v>317</v>
      </c>
      <c r="N26" s="20">
        <f>SUM(F26,M26)</f>
        <v>317</v>
      </c>
      <c r="P26" s="41">
        <v>20</v>
      </c>
      <c r="Q26" s="42"/>
      <c r="R26" s="43"/>
      <c r="S26" s="43"/>
    </row>
    <row r="27" spans="2:19" ht="17.25" customHeight="1" x14ac:dyDescent="0.35">
      <c r="B27" s="27">
        <v>11</v>
      </c>
      <c r="C27" s="8">
        <v>6554</v>
      </c>
      <c r="D27" s="59">
        <v>319</v>
      </c>
      <c r="E27" s="8">
        <v>43985</v>
      </c>
      <c r="F27" s="21"/>
      <c r="G27" s="60">
        <v>199618</v>
      </c>
      <c r="H27" s="60">
        <v>153768</v>
      </c>
      <c r="I27" s="24">
        <v>145780</v>
      </c>
      <c r="J27" s="24">
        <v>700942</v>
      </c>
      <c r="K27" s="60">
        <v>599391</v>
      </c>
      <c r="L27" s="24">
        <v>407200</v>
      </c>
      <c r="M27" s="22"/>
      <c r="N27" s="19"/>
      <c r="P27" s="41">
        <v>21</v>
      </c>
      <c r="Q27" s="42"/>
      <c r="R27" s="43"/>
      <c r="S27" s="43"/>
    </row>
    <row r="28" spans="2:19" ht="17.25" customHeight="1" x14ac:dyDescent="0.35">
      <c r="B28" s="12" t="s">
        <v>18</v>
      </c>
      <c r="C28" s="13">
        <f>C27-C25</f>
        <v>0</v>
      </c>
      <c r="D28" s="13">
        <f>D27-D25</f>
        <v>0</v>
      </c>
      <c r="E28" s="13">
        <f>E27-E25</f>
        <v>0</v>
      </c>
      <c r="F28" s="21">
        <f>SUM(C28:E28)</f>
        <v>0</v>
      </c>
      <c r="G28" s="13">
        <f t="shared" ref="G28:L28" si="4">G27-G25</f>
        <v>0</v>
      </c>
      <c r="H28" s="13">
        <f t="shared" si="4"/>
        <v>0</v>
      </c>
      <c r="I28" s="13">
        <f t="shared" si="4"/>
        <v>32</v>
      </c>
      <c r="J28" s="13">
        <f t="shared" si="4"/>
        <v>213</v>
      </c>
      <c r="K28" s="13">
        <f t="shared" si="4"/>
        <v>0</v>
      </c>
      <c r="L28" s="13">
        <f t="shared" si="4"/>
        <v>98</v>
      </c>
      <c r="M28" s="23">
        <f>SUM(G28:L28)</f>
        <v>343</v>
      </c>
      <c r="N28" s="20">
        <f>SUM(F28,M28)</f>
        <v>343</v>
      </c>
      <c r="P28" s="41">
        <v>22</v>
      </c>
      <c r="Q28" s="42"/>
      <c r="R28" s="43"/>
      <c r="S28" s="43"/>
    </row>
    <row r="29" spans="2:19" ht="17.25" customHeight="1" x14ac:dyDescent="0.35">
      <c r="B29" s="27">
        <v>12</v>
      </c>
      <c r="C29" s="8"/>
      <c r="D29" s="59"/>
      <c r="E29" s="8"/>
      <c r="F29" s="21"/>
      <c r="G29" s="60"/>
      <c r="H29" s="60"/>
      <c r="I29" s="43"/>
      <c r="J29" s="43"/>
      <c r="K29" s="60"/>
      <c r="L29" s="8"/>
      <c r="M29" s="22"/>
      <c r="N29" s="19"/>
      <c r="P29" s="41">
        <v>23</v>
      </c>
      <c r="Q29" s="42"/>
      <c r="R29" s="43"/>
      <c r="S29" s="43"/>
    </row>
    <row r="30" spans="2:19" ht="17.25" customHeight="1" x14ac:dyDescent="0.35">
      <c r="B30" s="12" t="s">
        <v>18</v>
      </c>
      <c r="C30" s="13"/>
      <c r="D30" s="13"/>
      <c r="E30" s="13"/>
      <c r="F30" s="21">
        <f>SUM(C30:E30)</f>
        <v>0</v>
      </c>
      <c r="G30" s="13"/>
      <c r="H30" s="13"/>
      <c r="I30" s="13"/>
      <c r="J30" s="13"/>
      <c r="K30" s="13"/>
      <c r="L30" s="13"/>
      <c r="M30" s="23">
        <f>SUM(G30:L30)</f>
        <v>0</v>
      </c>
      <c r="N30" s="20">
        <f>SUM(F30,M30)</f>
        <v>0</v>
      </c>
      <c r="P30" s="41">
        <v>24</v>
      </c>
      <c r="Q30" s="42"/>
      <c r="R30" s="43"/>
      <c r="S30" s="43"/>
    </row>
    <row r="31" spans="2:19" ht="17.25" customHeight="1" x14ac:dyDescent="0.35">
      <c r="B31" s="27">
        <v>13</v>
      </c>
      <c r="C31" s="8"/>
      <c r="D31" s="59"/>
      <c r="E31" s="8"/>
      <c r="F31" s="21"/>
      <c r="G31" s="60"/>
      <c r="H31" s="60"/>
      <c r="I31" s="24"/>
      <c r="J31" s="24"/>
      <c r="K31" s="60"/>
      <c r="L31" s="24"/>
      <c r="M31" s="22"/>
      <c r="N31" s="19"/>
      <c r="P31" s="41">
        <v>24</v>
      </c>
      <c r="Q31" s="42"/>
      <c r="R31" s="43"/>
      <c r="S31" s="43"/>
    </row>
    <row r="32" spans="2:19" ht="17.25" customHeight="1" x14ac:dyDescent="0.35">
      <c r="B32" s="12" t="s">
        <v>18</v>
      </c>
      <c r="C32" s="13"/>
      <c r="D32" s="13"/>
      <c r="E32" s="13"/>
      <c r="F32" s="21">
        <f>SUM(C32:E32)</f>
        <v>0</v>
      </c>
      <c r="G32" s="13"/>
      <c r="H32" s="13"/>
      <c r="I32" s="13"/>
      <c r="J32" s="13"/>
      <c r="K32" s="13"/>
      <c r="L32" s="13"/>
      <c r="M32" s="23">
        <f>SUM(G32:L32)</f>
        <v>0</v>
      </c>
      <c r="N32" s="20">
        <f>SUM(F32,M32)</f>
        <v>0</v>
      </c>
      <c r="P32" s="41">
        <v>26</v>
      </c>
      <c r="Q32" s="42"/>
      <c r="R32" s="43"/>
      <c r="S32" s="43"/>
    </row>
    <row r="33" spans="2:19" ht="17.25" customHeight="1" x14ac:dyDescent="0.35">
      <c r="B33" s="27">
        <v>14</v>
      </c>
      <c r="C33" s="8"/>
      <c r="D33" s="59"/>
      <c r="E33" s="8"/>
      <c r="F33" s="21"/>
      <c r="G33" s="60"/>
      <c r="H33" s="60"/>
      <c r="I33" s="43"/>
      <c r="J33" s="43"/>
      <c r="K33" s="60"/>
      <c r="L33" s="8"/>
      <c r="M33" s="22"/>
      <c r="N33" s="19"/>
      <c r="P33" s="41">
        <v>27</v>
      </c>
      <c r="Q33" s="42"/>
      <c r="R33" s="43"/>
      <c r="S33" s="43"/>
    </row>
    <row r="34" spans="2:19" ht="17.25" customHeight="1" x14ac:dyDescent="0.35">
      <c r="B34" s="12" t="s">
        <v>18</v>
      </c>
      <c r="C34" s="13"/>
      <c r="D34" s="13"/>
      <c r="E34" s="13"/>
      <c r="F34" s="21">
        <f>SUM(C34:E34)</f>
        <v>0</v>
      </c>
      <c r="G34" s="13"/>
      <c r="H34" s="13"/>
      <c r="I34" s="13"/>
      <c r="J34" s="13"/>
      <c r="K34" s="13"/>
      <c r="L34" s="13"/>
      <c r="M34" s="23">
        <f>SUM(G34:L34)</f>
        <v>0</v>
      </c>
      <c r="N34" s="20">
        <f>SUM(F34,M34)</f>
        <v>0</v>
      </c>
      <c r="P34" s="41">
        <v>28</v>
      </c>
      <c r="Q34" s="42"/>
      <c r="R34" s="43"/>
      <c r="S34" s="43"/>
    </row>
    <row r="35" spans="2:19" ht="17.25" customHeight="1" x14ac:dyDescent="0.35">
      <c r="B35" s="27">
        <v>15</v>
      </c>
      <c r="C35" s="8"/>
      <c r="D35" s="59"/>
      <c r="E35" s="8"/>
      <c r="F35" s="21"/>
      <c r="G35" s="60"/>
      <c r="H35" s="60"/>
      <c r="I35" s="24"/>
      <c r="J35" s="24"/>
      <c r="K35" s="60"/>
      <c r="L35" s="24"/>
      <c r="M35" s="22"/>
      <c r="N35" s="19"/>
      <c r="P35" s="41">
        <v>29</v>
      </c>
      <c r="Q35" s="42"/>
      <c r="R35" s="43"/>
      <c r="S35" s="43"/>
    </row>
    <row r="36" spans="2:19" ht="17.25" customHeight="1" x14ac:dyDescent="0.35">
      <c r="B36" s="12" t="s">
        <v>18</v>
      </c>
      <c r="C36" s="13"/>
      <c r="D36" s="13"/>
      <c r="E36" s="13"/>
      <c r="F36" s="21">
        <f>SUM(C36:E36)</f>
        <v>0</v>
      </c>
      <c r="G36" s="13"/>
      <c r="H36" s="13"/>
      <c r="I36" s="13"/>
      <c r="J36" s="13"/>
      <c r="K36" s="13"/>
      <c r="L36" s="13"/>
      <c r="M36" s="23">
        <f>SUM(G36:L36)</f>
        <v>0</v>
      </c>
      <c r="N36" s="20">
        <f>SUM(F36,M36)</f>
        <v>0</v>
      </c>
      <c r="P36" s="41">
        <v>30</v>
      </c>
      <c r="Q36" s="42"/>
      <c r="R36" s="43"/>
      <c r="S36" s="43"/>
    </row>
    <row r="37" spans="2:19" ht="17.25" customHeight="1" x14ac:dyDescent="0.35">
      <c r="B37" s="27">
        <v>16</v>
      </c>
      <c r="C37" s="8"/>
      <c r="D37" s="59"/>
      <c r="E37" s="8"/>
      <c r="F37" s="21"/>
      <c r="G37" s="60"/>
      <c r="H37" s="60"/>
      <c r="I37" s="43"/>
      <c r="J37" s="43"/>
      <c r="K37" s="60"/>
      <c r="L37" s="8"/>
      <c r="M37" s="22"/>
      <c r="N37" s="19"/>
    </row>
    <row r="38" spans="2:19" ht="17.25" customHeight="1" x14ac:dyDescent="0.35">
      <c r="B38" s="12" t="s">
        <v>18</v>
      </c>
      <c r="C38" s="13"/>
      <c r="D38" s="13"/>
      <c r="E38" s="13"/>
      <c r="F38" s="21">
        <f>SUM(C38:E38)</f>
        <v>0</v>
      </c>
      <c r="G38" s="13"/>
      <c r="H38" s="13"/>
      <c r="I38" s="13"/>
      <c r="J38" s="13"/>
      <c r="K38" s="13"/>
      <c r="L38" s="13"/>
      <c r="M38" s="23">
        <f>SUM(G38:L38)</f>
        <v>0</v>
      </c>
      <c r="N38" s="20">
        <f>SUM(F38,M38)</f>
        <v>0</v>
      </c>
      <c r="Q38" s="44">
        <f>SUM(Q7:Q37)</f>
        <v>0</v>
      </c>
      <c r="R38" s="1">
        <f>SUM(R7:R37)</f>
        <v>0</v>
      </c>
      <c r="S38" s="45">
        <f>SUM(S6:S36)</f>
        <v>143.1</v>
      </c>
    </row>
    <row r="39" spans="2:19" ht="17.25" customHeight="1" x14ac:dyDescent="0.35">
      <c r="B39" s="27">
        <v>17</v>
      </c>
      <c r="C39" s="8"/>
      <c r="D39" s="59"/>
      <c r="E39" s="8"/>
      <c r="F39" s="21"/>
      <c r="G39" s="60"/>
      <c r="H39" s="60"/>
      <c r="I39" s="24"/>
      <c r="J39" s="24"/>
      <c r="K39" s="60"/>
      <c r="L39" s="24"/>
      <c r="M39" s="22"/>
      <c r="N39" s="19"/>
    </row>
    <row r="40" spans="2:19" ht="17.25" customHeight="1" x14ac:dyDescent="0.35">
      <c r="B40" s="12" t="s">
        <v>18</v>
      </c>
      <c r="C40" s="13"/>
      <c r="D40" s="13"/>
      <c r="E40" s="13"/>
      <c r="F40" s="21">
        <f>SUM(C40:E40)</f>
        <v>0</v>
      </c>
      <c r="G40" s="13"/>
      <c r="H40" s="13"/>
      <c r="I40" s="13"/>
      <c r="J40" s="13"/>
      <c r="K40" s="13"/>
      <c r="L40" s="13"/>
      <c r="M40" s="23">
        <f>SUM(G40:L40)</f>
        <v>0</v>
      </c>
      <c r="N40" s="20">
        <f>SUM(F40,M40)</f>
        <v>0</v>
      </c>
    </row>
    <row r="41" spans="2:19" ht="17.25" customHeight="1" x14ac:dyDescent="0.35">
      <c r="B41" s="27">
        <v>18</v>
      </c>
      <c r="C41" s="8"/>
      <c r="D41" s="59"/>
      <c r="E41" s="8"/>
      <c r="F41" s="21"/>
      <c r="G41" s="60"/>
      <c r="H41" s="60"/>
      <c r="I41" s="43"/>
      <c r="J41" s="43"/>
      <c r="K41" s="60"/>
      <c r="L41" s="8"/>
      <c r="M41" s="22"/>
      <c r="N41" s="19"/>
    </row>
    <row r="42" spans="2:19" ht="17.25" customHeight="1" x14ac:dyDescent="0.35">
      <c r="B42" s="12" t="s">
        <v>18</v>
      </c>
      <c r="C42" s="13"/>
      <c r="D42" s="13"/>
      <c r="E42" s="13"/>
      <c r="F42" s="21">
        <f>SUM(C42:E42)</f>
        <v>0</v>
      </c>
      <c r="G42" s="13"/>
      <c r="H42" s="13"/>
      <c r="I42" s="13"/>
      <c r="J42" s="13"/>
      <c r="K42" s="13"/>
      <c r="L42" s="13"/>
      <c r="M42" s="23">
        <f>SUM(G42:L42)</f>
        <v>0</v>
      </c>
      <c r="N42" s="20">
        <f>SUM(F42,M42)</f>
        <v>0</v>
      </c>
    </row>
    <row r="43" spans="2:19" ht="17.25" customHeight="1" x14ac:dyDescent="0.35">
      <c r="B43" s="27">
        <v>19</v>
      </c>
      <c r="C43" s="8"/>
      <c r="D43" s="59"/>
      <c r="E43" s="8"/>
      <c r="F43" s="21"/>
      <c r="G43" s="60"/>
      <c r="H43" s="60"/>
      <c r="I43" s="24"/>
      <c r="J43" s="24"/>
      <c r="K43" s="60"/>
      <c r="L43" s="13"/>
      <c r="M43" s="22"/>
      <c r="N43" s="19"/>
    </row>
    <row r="44" spans="2:19" ht="17.25" customHeight="1" x14ac:dyDescent="0.35">
      <c r="B44" s="12" t="s">
        <v>18</v>
      </c>
      <c r="C44" s="13"/>
      <c r="D44" s="13"/>
      <c r="E44" s="13"/>
      <c r="F44" s="21">
        <f>SUM(C44:E44)</f>
        <v>0</v>
      </c>
      <c r="G44" s="13"/>
      <c r="H44" s="13"/>
      <c r="I44" s="13"/>
      <c r="J44" s="13"/>
      <c r="K44" s="13"/>
      <c r="L44" s="13"/>
      <c r="M44" s="23">
        <f>SUM(G44:L44)</f>
        <v>0</v>
      </c>
      <c r="N44" s="20">
        <f>SUM(F44,M44)</f>
        <v>0</v>
      </c>
    </row>
    <row r="45" spans="2:19" ht="17.25" customHeight="1" x14ac:dyDescent="0.35">
      <c r="B45" s="27">
        <v>20</v>
      </c>
      <c r="C45" s="8"/>
      <c r="D45" s="59"/>
      <c r="E45" s="8"/>
      <c r="F45" s="21" t="s">
        <v>59</v>
      </c>
      <c r="G45" s="60"/>
      <c r="H45" s="60"/>
      <c r="I45" s="8"/>
      <c r="J45" s="8"/>
      <c r="K45" s="60"/>
      <c r="L45" s="8"/>
      <c r="M45" s="22"/>
      <c r="N45" s="19"/>
    </row>
    <row r="46" spans="2:19" ht="17.25" customHeight="1" x14ac:dyDescent="0.35">
      <c r="B46" s="12" t="s">
        <v>18</v>
      </c>
      <c r="C46" s="13"/>
      <c r="D46" s="13"/>
      <c r="E46" s="13"/>
      <c r="F46" s="21">
        <f>SUM(C46:E46)</f>
        <v>0</v>
      </c>
      <c r="G46" s="13"/>
      <c r="H46" s="13"/>
      <c r="I46" s="13"/>
      <c r="J46" s="13"/>
      <c r="K46" s="13"/>
      <c r="L46" s="13"/>
      <c r="M46" s="23">
        <f>SUM(G46:L46)</f>
        <v>0</v>
      </c>
      <c r="N46" s="20">
        <f>SUM(F46,M46)</f>
        <v>0</v>
      </c>
    </row>
    <row r="47" spans="2:19" ht="17.25" customHeight="1" x14ac:dyDescent="0.35">
      <c r="B47" s="27">
        <v>21</v>
      </c>
      <c r="C47" s="8"/>
      <c r="D47" s="59"/>
      <c r="E47" s="8"/>
      <c r="F47" s="21"/>
      <c r="G47" s="60"/>
      <c r="H47" s="60"/>
      <c r="I47" s="24"/>
      <c r="J47" s="24"/>
      <c r="K47" s="60"/>
      <c r="L47" s="24"/>
      <c r="M47" s="22"/>
      <c r="N47" s="19"/>
    </row>
    <row r="48" spans="2:19" ht="17.25" customHeight="1" x14ac:dyDescent="0.35">
      <c r="B48" s="12" t="s">
        <v>18</v>
      </c>
      <c r="C48" s="13"/>
      <c r="D48" s="13"/>
      <c r="E48" s="13"/>
      <c r="F48" s="21">
        <f>SUM(C48:E48)</f>
        <v>0</v>
      </c>
      <c r="G48" s="13"/>
      <c r="H48" s="13"/>
      <c r="I48" s="13"/>
      <c r="J48" s="13"/>
      <c r="K48" s="13"/>
      <c r="L48" s="13"/>
      <c r="M48" s="23">
        <f>SUM(G48:L48)</f>
        <v>0</v>
      </c>
      <c r="N48" s="20">
        <f>SUM(F48,M48)</f>
        <v>0</v>
      </c>
    </row>
    <row r="49" spans="2:14" ht="17.25" customHeight="1" x14ac:dyDescent="0.35">
      <c r="B49" s="27">
        <v>22</v>
      </c>
      <c r="C49" s="8"/>
      <c r="D49" s="59"/>
      <c r="E49" s="8"/>
      <c r="F49" s="21"/>
      <c r="G49" s="60"/>
      <c r="H49" s="60"/>
      <c r="I49" s="8"/>
      <c r="J49" s="8"/>
      <c r="K49" s="60"/>
      <c r="L49" s="8"/>
      <c r="M49" s="22"/>
      <c r="N49" s="19"/>
    </row>
    <row r="50" spans="2:14" ht="17.25" customHeight="1" x14ac:dyDescent="0.35">
      <c r="B50" s="12" t="s">
        <v>18</v>
      </c>
      <c r="C50" s="13"/>
      <c r="D50" s="13"/>
      <c r="E50" s="13"/>
      <c r="F50" s="21">
        <f>SUM(C50:E50)</f>
        <v>0</v>
      </c>
      <c r="G50" s="13"/>
      <c r="H50" s="13"/>
      <c r="I50" s="13"/>
      <c r="J50" s="13"/>
      <c r="K50" s="13"/>
      <c r="L50" s="13"/>
      <c r="M50" s="23">
        <f>SUM(G50:L50)</f>
        <v>0</v>
      </c>
      <c r="N50" s="20">
        <f>SUM(F50,M50)</f>
        <v>0</v>
      </c>
    </row>
    <row r="51" spans="2:14" ht="17.25" customHeight="1" x14ac:dyDescent="0.35">
      <c r="B51" s="27">
        <v>23</v>
      </c>
      <c r="C51" s="8"/>
      <c r="D51" s="59"/>
      <c r="E51" s="8"/>
      <c r="F51" s="21"/>
      <c r="G51" s="60"/>
      <c r="H51" s="60"/>
      <c r="I51" s="24"/>
      <c r="J51" s="24"/>
      <c r="K51" s="60"/>
      <c r="L51" s="24"/>
      <c r="M51" s="22"/>
      <c r="N51" s="19"/>
    </row>
    <row r="52" spans="2:14" ht="17.25" customHeight="1" x14ac:dyDescent="0.35">
      <c r="B52" s="12" t="s">
        <v>18</v>
      </c>
      <c r="C52" s="13"/>
      <c r="D52" s="13"/>
      <c r="E52" s="13"/>
      <c r="F52" s="21">
        <f>SUM(C52:E52)</f>
        <v>0</v>
      </c>
      <c r="G52" s="13"/>
      <c r="H52" s="13"/>
      <c r="I52" s="13"/>
      <c r="J52" s="13"/>
      <c r="K52" s="13"/>
      <c r="L52" s="13"/>
      <c r="M52" s="23">
        <f>SUM(G52:L52)</f>
        <v>0</v>
      </c>
      <c r="N52" s="20">
        <f>SUM(F52,M52)</f>
        <v>0</v>
      </c>
    </row>
    <row r="53" spans="2:14" ht="17.25" customHeight="1" x14ac:dyDescent="0.35">
      <c r="B53" s="27">
        <v>24</v>
      </c>
      <c r="C53" s="8"/>
      <c r="D53" s="59"/>
      <c r="E53" s="8"/>
      <c r="F53" s="21"/>
      <c r="G53" s="60"/>
      <c r="H53" s="60"/>
      <c r="I53" s="43"/>
      <c r="J53" s="43"/>
      <c r="K53" s="60"/>
      <c r="L53" s="8"/>
      <c r="M53" s="22"/>
      <c r="N53" s="19"/>
    </row>
    <row r="54" spans="2:14" ht="17.25" customHeight="1" x14ac:dyDescent="0.35">
      <c r="B54" s="12" t="s">
        <v>18</v>
      </c>
      <c r="C54" s="13"/>
      <c r="D54" s="13"/>
      <c r="E54" s="13"/>
      <c r="F54" s="21">
        <f>SUM(C54:E54)</f>
        <v>0</v>
      </c>
      <c r="G54" s="13"/>
      <c r="H54" s="13"/>
      <c r="I54" s="13"/>
      <c r="J54" s="13"/>
      <c r="K54" s="13"/>
      <c r="L54" s="13"/>
      <c r="M54" s="23">
        <f>SUM(G54:L54)</f>
        <v>0</v>
      </c>
      <c r="N54" s="20">
        <f>SUM(F54,M54)</f>
        <v>0</v>
      </c>
    </row>
    <row r="55" spans="2:14" ht="17.25" customHeight="1" x14ac:dyDescent="0.35">
      <c r="B55" s="27">
        <v>25</v>
      </c>
      <c r="C55" s="8"/>
      <c r="D55" s="59"/>
      <c r="E55" s="8"/>
      <c r="F55" s="21"/>
      <c r="G55" s="60"/>
      <c r="H55" s="60"/>
      <c r="I55" s="59"/>
      <c r="J55" s="59"/>
      <c r="K55" s="60"/>
      <c r="L55" s="59"/>
      <c r="M55" s="22"/>
      <c r="N55" s="19"/>
    </row>
    <row r="56" spans="2:14" ht="17.25" customHeight="1" x14ac:dyDescent="0.35">
      <c r="B56" s="12" t="s">
        <v>18</v>
      </c>
      <c r="C56" s="13"/>
      <c r="D56" s="13"/>
      <c r="E56" s="13"/>
      <c r="F56" s="21">
        <f>SUM(C56:E56)</f>
        <v>0</v>
      </c>
      <c r="G56" s="13"/>
      <c r="H56" s="13"/>
      <c r="I56" s="13"/>
      <c r="J56" s="13"/>
      <c r="K56" s="13"/>
      <c r="L56" s="13"/>
      <c r="M56" s="23">
        <f>SUM(G56:L56)</f>
        <v>0</v>
      </c>
      <c r="N56" s="20">
        <f>SUM(F56,M56)</f>
        <v>0</v>
      </c>
    </row>
    <row r="57" spans="2:14" ht="17.25" customHeight="1" x14ac:dyDescent="0.35">
      <c r="B57" s="27">
        <v>26</v>
      </c>
      <c r="C57" s="8"/>
      <c r="D57" s="59"/>
      <c r="E57" s="8"/>
      <c r="F57" s="21"/>
      <c r="G57" s="60"/>
      <c r="H57" s="60"/>
      <c r="I57" s="8"/>
      <c r="J57" s="8"/>
      <c r="K57" s="60"/>
      <c r="L57" s="8"/>
      <c r="M57" s="22"/>
      <c r="N57" s="19"/>
    </row>
    <row r="58" spans="2:14" ht="17.25" customHeight="1" x14ac:dyDescent="0.35">
      <c r="B58" s="12" t="s">
        <v>18</v>
      </c>
      <c r="C58" s="13"/>
      <c r="D58" s="13"/>
      <c r="E58" s="13"/>
      <c r="F58" s="21">
        <f>SUM(C58:E58)</f>
        <v>0</v>
      </c>
      <c r="G58" s="13"/>
      <c r="H58" s="13"/>
      <c r="I58" s="13"/>
      <c r="J58" s="13"/>
      <c r="K58" s="13"/>
      <c r="L58" s="13"/>
      <c r="M58" s="23">
        <f>SUM(G58:L58)</f>
        <v>0</v>
      </c>
      <c r="N58" s="20">
        <f>SUM(F58,M58)</f>
        <v>0</v>
      </c>
    </row>
    <row r="59" spans="2:14" ht="17.25" customHeight="1" x14ac:dyDescent="0.35">
      <c r="B59" s="27">
        <v>27</v>
      </c>
      <c r="C59" s="8"/>
      <c r="D59" s="59"/>
      <c r="E59" s="8"/>
      <c r="F59" s="21"/>
      <c r="G59" s="60"/>
      <c r="H59" s="60"/>
      <c r="I59" s="24"/>
      <c r="J59" s="24"/>
      <c r="K59" s="60"/>
      <c r="L59" s="24"/>
      <c r="M59" s="22"/>
      <c r="N59" s="19"/>
    </row>
    <row r="60" spans="2:14" ht="17.25" customHeight="1" x14ac:dyDescent="0.35">
      <c r="B60" s="12" t="s">
        <v>18</v>
      </c>
      <c r="C60" s="13"/>
      <c r="D60" s="13"/>
      <c r="E60" s="13"/>
      <c r="F60" s="21">
        <f>SUM(C60:E60)</f>
        <v>0</v>
      </c>
      <c r="G60" s="13"/>
      <c r="H60" s="13"/>
      <c r="I60" s="13"/>
      <c r="J60" s="13"/>
      <c r="K60" s="13"/>
      <c r="L60" s="13"/>
      <c r="M60" s="23">
        <f>SUM(G60:L60)</f>
        <v>0</v>
      </c>
      <c r="N60" s="20">
        <f>SUM(F60,M60)</f>
        <v>0</v>
      </c>
    </row>
    <row r="61" spans="2:14" ht="17.25" customHeight="1" x14ac:dyDescent="0.35">
      <c r="B61" s="27">
        <v>28</v>
      </c>
      <c r="C61" s="8"/>
      <c r="D61" s="59"/>
      <c r="E61" s="8"/>
      <c r="F61" s="21"/>
      <c r="G61" s="60"/>
      <c r="H61" s="60"/>
      <c r="I61" s="8"/>
      <c r="J61" s="8"/>
      <c r="K61" s="60"/>
      <c r="L61" s="8"/>
      <c r="M61" s="22"/>
      <c r="N61" s="19"/>
    </row>
    <row r="62" spans="2:14" ht="17.25" customHeight="1" x14ac:dyDescent="0.35">
      <c r="B62" s="12" t="s">
        <v>18</v>
      </c>
      <c r="C62" s="13"/>
      <c r="D62" s="13"/>
      <c r="E62" s="13"/>
      <c r="F62" s="21">
        <f>SUM(C62:E62)</f>
        <v>0</v>
      </c>
      <c r="G62" s="13"/>
      <c r="H62" s="13"/>
      <c r="I62" s="13"/>
      <c r="J62" s="13"/>
      <c r="K62" s="13"/>
      <c r="L62" s="13"/>
      <c r="M62" s="23">
        <f>SUM(G62:L62)</f>
        <v>0</v>
      </c>
      <c r="N62" s="20">
        <f>SUM(F62,M62)</f>
        <v>0</v>
      </c>
    </row>
    <row r="63" spans="2:14" ht="17.25" customHeight="1" x14ac:dyDescent="0.35">
      <c r="B63" s="27">
        <v>29</v>
      </c>
      <c r="C63" s="8"/>
      <c r="D63" s="59"/>
      <c r="E63" s="8"/>
      <c r="F63" s="21"/>
      <c r="G63" s="60"/>
      <c r="H63" s="60"/>
      <c r="I63" s="24"/>
      <c r="J63" s="24"/>
      <c r="K63" s="60"/>
      <c r="L63" s="24"/>
      <c r="M63" s="22"/>
      <c r="N63" s="19"/>
    </row>
    <row r="64" spans="2:14" ht="17.25" customHeight="1" x14ac:dyDescent="0.35">
      <c r="B64" s="12" t="s">
        <v>18</v>
      </c>
      <c r="C64" s="13"/>
      <c r="D64" s="13"/>
      <c r="E64" s="13"/>
      <c r="F64" s="21">
        <f>SUM(C64:E64)</f>
        <v>0</v>
      </c>
      <c r="G64" s="13"/>
      <c r="H64" s="13"/>
      <c r="I64" s="13"/>
      <c r="J64" s="13"/>
      <c r="K64" s="13"/>
      <c r="L64" s="13"/>
      <c r="M64" s="23">
        <f>SUM(G64:L64)</f>
        <v>0</v>
      </c>
      <c r="N64" s="20">
        <f>SUM(F64,M64)</f>
        <v>0</v>
      </c>
    </row>
    <row r="65" spans="2:14" ht="17.25" customHeight="1" x14ac:dyDescent="0.35">
      <c r="B65" s="50">
        <v>30</v>
      </c>
      <c r="C65" s="8"/>
      <c r="D65" s="59"/>
      <c r="E65" s="8"/>
      <c r="F65" s="21"/>
      <c r="G65" s="60"/>
      <c r="H65" s="60"/>
      <c r="I65" s="8"/>
      <c r="J65" s="8"/>
      <c r="K65" s="60"/>
      <c r="L65" s="8"/>
      <c r="M65" s="61"/>
      <c r="N65" s="62"/>
    </row>
    <row r="66" spans="2:14" ht="17.25" customHeight="1" x14ac:dyDescent="0.35">
      <c r="B66" s="63" t="s">
        <v>18</v>
      </c>
      <c r="C66" s="13"/>
      <c r="D66" s="13"/>
      <c r="E66" s="13"/>
      <c r="F66" s="21">
        <f>SUM(C66:E66)</f>
        <v>0</v>
      </c>
      <c r="G66" s="13"/>
      <c r="H66" s="13"/>
      <c r="I66" s="13"/>
      <c r="J66" s="13"/>
      <c r="K66" s="13"/>
      <c r="L66" s="13"/>
      <c r="M66" s="21">
        <f>SUM(G66:L66)</f>
        <v>0</v>
      </c>
      <c r="N66" s="64">
        <f>SUM(F66,M66)</f>
        <v>0</v>
      </c>
    </row>
    <row r="67" spans="2:14" ht="15.5" x14ac:dyDescent="0.35">
      <c r="B67" s="50">
        <v>31</v>
      </c>
      <c r="C67" s="65"/>
      <c r="D67" s="65"/>
      <c r="E67" s="65"/>
      <c r="F67" s="21"/>
      <c r="G67" s="65"/>
      <c r="H67" s="65"/>
      <c r="I67" s="65"/>
      <c r="J67" s="65"/>
      <c r="K67" s="65"/>
      <c r="L67" s="65"/>
      <c r="M67" s="61"/>
      <c r="N67" s="62"/>
    </row>
    <row r="68" spans="2:14" ht="15.5" x14ac:dyDescent="0.35">
      <c r="B68" s="63" t="s">
        <v>18</v>
      </c>
      <c r="C68" s="65"/>
      <c r="D68" s="65"/>
      <c r="E68" s="65"/>
      <c r="F68" s="21">
        <f>SUM(C68:E68)</f>
        <v>0</v>
      </c>
      <c r="G68" s="65"/>
      <c r="H68" s="65"/>
      <c r="I68" s="65"/>
      <c r="J68" s="65"/>
      <c r="K68" s="65"/>
      <c r="L68" s="65"/>
      <c r="M68" s="21">
        <f>SUM(G68:L68)</f>
        <v>0</v>
      </c>
      <c r="N68" s="64">
        <f>SUM(F68,M68)</f>
        <v>0</v>
      </c>
    </row>
  </sheetData>
  <mergeCells count="10">
    <mergeCell ref="S5:S6"/>
    <mergeCell ref="F2:J2"/>
    <mergeCell ref="F3:J3"/>
    <mergeCell ref="M5:M6"/>
    <mergeCell ref="N5:N6"/>
    <mergeCell ref="B5:B6"/>
    <mergeCell ref="F5:F6"/>
    <mergeCell ref="P5:P6"/>
    <mergeCell ref="Q5:Q6"/>
    <mergeCell ref="R5:R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ignoredErrors>
    <ignoredError sqref="F10 F12 F14 F16 F18 F20:F62 F64 F66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H68"/>
  <sheetViews>
    <sheetView zoomScaleNormal="100" workbookViewId="0">
      <pane ySplit="6" topLeftCell="A22" activePane="bottomLeft" state="frozen"/>
      <selection pane="bottomLeft" activeCell="C26" sqref="C26:D26"/>
    </sheetView>
  </sheetViews>
  <sheetFormatPr defaultColWidth="9.1796875" defaultRowHeight="14.5" x14ac:dyDescent="0.35"/>
  <cols>
    <col min="1" max="1" width="1" style="1" customWidth="1"/>
    <col min="2" max="2" width="13.1796875" style="1" customWidth="1"/>
    <col min="3" max="5" width="14.1796875" style="1" customWidth="1"/>
    <col min="6" max="16384" width="9.1796875" style="1"/>
  </cols>
  <sheetData>
    <row r="1" spans="2:8" ht="12" customHeight="1" x14ac:dyDescent="0.35"/>
    <row r="2" spans="2:8" ht="19.5" customHeight="1" x14ac:dyDescent="0.35">
      <c r="D2" s="48" t="s">
        <v>15</v>
      </c>
    </row>
    <row r="3" spans="2:8" ht="21" customHeight="1" x14ac:dyDescent="0.35">
      <c r="D3" s="49" t="s">
        <v>60</v>
      </c>
      <c r="F3" s="69"/>
      <c r="G3" s="69"/>
      <c r="H3" s="69"/>
    </row>
    <row r="4" spans="2:8" ht="15" customHeight="1" thickBot="1" x14ac:dyDescent="0.4">
      <c r="D4" s="90" t="s">
        <v>70</v>
      </c>
      <c r="E4" s="90"/>
      <c r="F4" s="70"/>
      <c r="G4" s="70"/>
      <c r="H4" s="70"/>
    </row>
    <row r="5" spans="2:8" ht="30.75" customHeight="1" thickTop="1" x14ac:dyDescent="0.35">
      <c r="B5" s="86" t="s">
        <v>0</v>
      </c>
      <c r="C5" s="57" t="s">
        <v>61</v>
      </c>
      <c r="D5" s="57" t="s">
        <v>62</v>
      </c>
      <c r="E5" s="88" t="s">
        <v>63</v>
      </c>
    </row>
    <row r="6" spans="2:8" ht="15.75" customHeight="1" x14ac:dyDescent="0.35">
      <c r="B6" s="87"/>
      <c r="C6" s="3"/>
      <c r="D6" s="3"/>
      <c r="E6" s="89"/>
    </row>
    <row r="7" spans="2:8" ht="17.25" customHeight="1" x14ac:dyDescent="0.35">
      <c r="B7" s="27">
        <v>1</v>
      </c>
      <c r="C7" s="8">
        <v>21223</v>
      </c>
      <c r="D7" s="8">
        <v>39751</v>
      </c>
      <c r="E7" s="21"/>
    </row>
    <row r="8" spans="2:8" ht="17.25" customHeight="1" x14ac:dyDescent="0.35">
      <c r="B8" s="12" t="s">
        <v>18</v>
      </c>
      <c r="C8" s="13">
        <v>87</v>
      </c>
      <c r="D8" s="13">
        <v>27</v>
      </c>
      <c r="E8" s="21">
        <f>C8+D8</f>
        <v>114</v>
      </c>
    </row>
    <row r="9" spans="2:8" ht="17.25" customHeight="1" x14ac:dyDescent="0.35">
      <c r="B9" s="27">
        <v>2</v>
      </c>
      <c r="C9" s="8">
        <v>21301</v>
      </c>
      <c r="D9" s="8">
        <v>39775</v>
      </c>
      <c r="E9" s="21"/>
    </row>
    <row r="10" spans="2:8" ht="17.25" customHeight="1" x14ac:dyDescent="0.35">
      <c r="B10" s="12" t="s">
        <v>18</v>
      </c>
      <c r="C10" s="13">
        <f>C9-C7</f>
        <v>78</v>
      </c>
      <c r="D10" s="13">
        <f>D9-D7</f>
        <v>24</v>
      </c>
      <c r="E10" s="21">
        <f>C10+D10</f>
        <v>102</v>
      </c>
    </row>
    <row r="11" spans="2:8" ht="17.25" customHeight="1" x14ac:dyDescent="0.35">
      <c r="B11" s="27">
        <v>3</v>
      </c>
      <c r="C11" s="8">
        <v>21390</v>
      </c>
      <c r="D11" s="8">
        <v>39802</v>
      </c>
      <c r="E11" s="21"/>
    </row>
    <row r="12" spans="2:8" ht="17.25" customHeight="1" x14ac:dyDescent="0.35">
      <c r="B12" s="12" t="s">
        <v>18</v>
      </c>
      <c r="C12" s="13">
        <f>C11-C9</f>
        <v>89</v>
      </c>
      <c r="D12" s="13">
        <f>D11-D9</f>
        <v>27</v>
      </c>
      <c r="E12" s="21">
        <f>C12+D12</f>
        <v>116</v>
      </c>
    </row>
    <row r="13" spans="2:8" ht="17.25" customHeight="1" x14ac:dyDescent="0.35">
      <c r="B13" s="27">
        <v>4</v>
      </c>
      <c r="C13" s="8">
        <v>21477</v>
      </c>
      <c r="D13" s="8">
        <v>39831</v>
      </c>
      <c r="E13" s="21"/>
    </row>
    <row r="14" spans="2:8" ht="17.25" customHeight="1" x14ac:dyDescent="0.35">
      <c r="B14" s="12" t="s">
        <v>18</v>
      </c>
      <c r="C14" s="13">
        <f>C13-C11</f>
        <v>87</v>
      </c>
      <c r="D14" s="13">
        <f>D13-D11</f>
        <v>29</v>
      </c>
      <c r="E14" s="21">
        <f>C14+D14</f>
        <v>116</v>
      </c>
    </row>
    <row r="15" spans="2:8" ht="17.25" customHeight="1" x14ac:dyDescent="0.35">
      <c r="B15" s="27">
        <v>5</v>
      </c>
      <c r="C15" s="8">
        <v>21565</v>
      </c>
      <c r="D15" s="8">
        <v>39860</v>
      </c>
      <c r="E15" s="21"/>
    </row>
    <row r="16" spans="2:8" ht="17.25" customHeight="1" x14ac:dyDescent="0.35">
      <c r="B16" s="12" t="s">
        <v>18</v>
      </c>
      <c r="C16" s="13">
        <f>C15-C13</f>
        <v>88</v>
      </c>
      <c r="D16" s="13">
        <f>D15-D13</f>
        <v>29</v>
      </c>
      <c r="E16" s="21">
        <f>C16+D16</f>
        <v>117</v>
      </c>
    </row>
    <row r="17" spans="2:5" ht="17.25" customHeight="1" x14ac:dyDescent="0.35">
      <c r="B17" s="27">
        <v>6</v>
      </c>
      <c r="C17" s="8">
        <v>21658</v>
      </c>
      <c r="D17" s="8">
        <v>39870</v>
      </c>
      <c r="E17" s="21"/>
    </row>
    <row r="18" spans="2:5" ht="17.25" customHeight="1" x14ac:dyDescent="0.35">
      <c r="B18" s="12" t="s">
        <v>18</v>
      </c>
      <c r="C18" s="13">
        <f>C17-C15</f>
        <v>93</v>
      </c>
      <c r="D18" s="13">
        <f>D17-D15</f>
        <v>10</v>
      </c>
      <c r="E18" s="21">
        <f>C18+D18</f>
        <v>103</v>
      </c>
    </row>
    <row r="19" spans="2:5" ht="17.25" customHeight="1" x14ac:dyDescent="0.35">
      <c r="B19" s="27">
        <v>7</v>
      </c>
      <c r="C19" s="8">
        <v>21741</v>
      </c>
      <c r="D19" s="13">
        <v>39891</v>
      </c>
      <c r="E19" s="21"/>
    </row>
    <row r="20" spans="2:5" ht="17.25" customHeight="1" x14ac:dyDescent="0.35">
      <c r="B20" s="12" t="s">
        <v>18</v>
      </c>
      <c r="C20" s="13">
        <f>C19-C17</f>
        <v>83</v>
      </c>
      <c r="D20" s="13">
        <f>D19-D17</f>
        <v>21</v>
      </c>
      <c r="E20" s="21">
        <f>C20+D20</f>
        <v>104</v>
      </c>
    </row>
    <row r="21" spans="2:5" ht="17.25" customHeight="1" x14ac:dyDescent="0.35">
      <c r="B21" s="27">
        <v>8</v>
      </c>
      <c r="C21" s="8">
        <v>21822</v>
      </c>
      <c r="D21" s="8">
        <v>39912</v>
      </c>
      <c r="E21" s="21"/>
    </row>
    <row r="22" spans="2:5" ht="17.25" customHeight="1" x14ac:dyDescent="0.35">
      <c r="B22" s="12" t="s">
        <v>18</v>
      </c>
      <c r="C22" s="13">
        <f>C21-C19</f>
        <v>81</v>
      </c>
      <c r="D22" s="13">
        <f>D21-D19</f>
        <v>21</v>
      </c>
      <c r="E22" s="21">
        <f>C22+D22</f>
        <v>102</v>
      </c>
    </row>
    <row r="23" spans="2:5" ht="17.25" customHeight="1" x14ac:dyDescent="0.35">
      <c r="B23" s="27">
        <v>9</v>
      </c>
      <c r="C23" s="8">
        <v>21917</v>
      </c>
      <c r="D23" s="8">
        <v>39937</v>
      </c>
      <c r="E23" s="21"/>
    </row>
    <row r="24" spans="2:5" ht="17.25" customHeight="1" x14ac:dyDescent="0.35">
      <c r="B24" s="12" t="s">
        <v>18</v>
      </c>
      <c r="C24" s="13">
        <f>C23-C21</f>
        <v>95</v>
      </c>
      <c r="D24" s="13">
        <f>D23-D21</f>
        <v>25</v>
      </c>
      <c r="E24" s="21">
        <f>C24+D24</f>
        <v>120</v>
      </c>
    </row>
    <row r="25" spans="2:5" ht="17.25" customHeight="1" x14ac:dyDescent="0.35">
      <c r="B25" s="27">
        <v>10</v>
      </c>
      <c r="C25" s="8">
        <v>22008</v>
      </c>
      <c r="D25" s="8">
        <v>39960</v>
      </c>
      <c r="E25" s="21"/>
    </row>
    <row r="26" spans="2:5" ht="17.25" customHeight="1" x14ac:dyDescent="0.35">
      <c r="B26" s="12" t="s">
        <v>18</v>
      </c>
      <c r="C26" s="13">
        <f>C25-C23</f>
        <v>91</v>
      </c>
      <c r="D26" s="13">
        <f>D25-D23</f>
        <v>23</v>
      </c>
      <c r="E26" s="21">
        <f>C26+D26</f>
        <v>114</v>
      </c>
    </row>
    <row r="27" spans="2:5" ht="17.25" customHeight="1" x14ac:dyDescent="0.35">
      <c r="B27" s="27">
        <v>11</v>
      </c>
      <c r="C27" s="8"/>
      <c r="D27" s="8"/>
      <c r="E27" s="21"/>
    </row>
    <row r="28" spans="2:5" ht="17.25" customHeight="1" x14ac:dyDescent="0.35">
      <c r="B28" s="12" t="s">
        <v>18</v>
      </c>
      <c r="C28" s="13"/>
      <c r="D28" s="13"/>
      <c r="E28" s="21">
        <f>C28+D28</f>
        <v>0</v>
      </c>
    </row>
    <row r="29" spans="2:5" ht="17.25" customHeight="1" x14ac:dyDescent="0.35">
      <c r="B29" s="27">
        <v>12</v>
      </c>
      <c r="C29" s="8"/>
      <c r="D29" s="8"/>
      <c r="E29" s="21"/>
    </row>
    <row r="30" spans="2:5" ht="17.25" customHeight="1" x14ac:dyDescent="0.35">
      <c r="B30" s="12" t="s">
        <v>18</v>
      </c>
      <c r="C30" s="13"/>
      <c r="D30" s="13"/>
      <c r="E30" s="21">
        <f>C30+D30</f>
        <v>0</v>
      </c>
    </row>
    <row r="31" spans="2:5" ht="17.25" customHeight="1" x14ac:dyDescent="0.35">
      <c r="B31" s="27">
        <v>13</v>
      </c>
      <c r="C31" s="8"/>
      <c r="D31" s="8"/>
      <c r="E31" s="21"/>
    </row>
    <row r="32" spans="2:5" ht="17.25" customHeight="1" x14ac:dyDescent="0.35">
      <c r="B32" s="12" t="s">
        <v>18</v>
      </c>
      <c r="C32" s="13"/>
      <c r="D32" s="13"/>
      <c r="E32" s="21">
        <f>C32+D32</f>
        <v>0</v>
      </c>
    </row>
    <row r="33" spans="2:5" ht="17.25" customHeight="1" x14ac:dyDescent="0.35">
      <c r="B33" s="27">
        <v>14</v>
      </c>
      <c r="C33" s="8"/>
      <c r="D33" s="8"/>
      <c r="E33" s="21"/>
    </row>
    <row r="34" spans="2:5" ht="17.25" customHeight="1" x14ac:dyDescent="0.35">
      <c r="B34" s="12" t="s">
        <v>18</v>
      </c>
      <c r="C34" s="13"/>
      <c r="D34" s="13"/>
      <c r="E34" s="21">
        <f>C34+D34</f>
        <v>0</v>
      </c>
    </row>
    <row r="35" spans="2:5" ht="17.25" customHeight="1" x14ac:dyDescent="0.35">
      <c r="B35" s="27">
        <v>15</v>
      </c>
      <c r="C35" s="8"/>
      <c r="D35" s="8"/>
      <c r="E35" s="21"/>
    </row>
    <row r="36" spans="2:5" ht="17.25" customHeight="1" x14ac:dyDescent="0.35">
      <c r="B36" s="12" t="s">
        <v>18</v>
      </c>
      <c r="C36" s="13"/>
      <c r="D36" s="13"/>
      <c r="E36" s="21">
        <f>C36+D36</f>
        <v>0</v>
      </c>
    </row>
    <row r="37" spans="2:5" ht="17.25" customHeight="1" x14ac:dyDescent="0.35">
      <c r="B37" s="27">
        <v>16</v>
      </c>
      <c r="C37" s="8"/>
      <c r="D37" s="8"/>
      <c r="E37" s="21"/>
    </row>
    <row r="38" spans="2:5" ht="17.25" customHeight="1" x14ac:dyDescent="0.35">
      <c r="B38" s="12" t="s">
        <v>18</v>
      </c>
      <c r="C38" s="13"/>
      <c r="D38" s="13"/>
      <c r="E38" s="21">
        <f>C38+D38</f>
        <v>0</v>
      </c>
    </row>
    <row r="39" spans="2:5" ht="17.25" customHeight="1" x14ac:dyDescent="0.35">
      <c r="B39" s="27">
        <v>17</v>
      </c>
      <c r="C39" s="8"/>
      <c r="D39" s="8"/>
      <c r="E39" s="21"/>
    </row>
    <row r="40" spans="2:5" ht="17.25" customHeight="1" x14ac:dyDescent="0.35">
      <c r="B40" s="12" t="s">
        <v>18</v>
      </c>
      <c r="C40" s="13"/>
      <c r="D40" s="13"/>
      <c r="E40" s="21">
        <f>C40+D40</f>
        <v>0</v>
      </c>
    </row>
    <row r="41" spans="2:5" ht="17.25" customHeight="1" x14ac:dyDescent="0.35">
      <c r="B41" s="27">
        <v>18</v>
      </c>
      <c r="C41" s="8"/>
      <c r="D41" s="8"/>
      <c r="E41" s="21"/>
    </row>
    <row r="42" spans="2:5" ht="17.25" customHeight="1" x14ac:dyDescent="0.35">
      <c r="B42" s="12" t="s">
        <v>18</v>
      </c>
      <c r="C42" s="13"/>
      <c r="D42" s="13"/>
      <c r="E42" s="21">
        <f>C42+D42</f>
        <v>0</v>
      </c>
    </row>
    <row r="43" spans="2:5" ht="17.25" customHeight="1" x14ac:dyDescent="0.35">
      <c r="B43" s="27">
        <v>19</v>
      </c>
      <c r="C43" s="8"/>
      <c r="D43" s="8"/>
      <c r="E43" s="21"/>
    </row>
    <row r="44" spans="2:5" ht="17.25" customHeight="1" x14ac:dyDescent="0.35">
      <c r="B44" s="12" t="s">
        <v>18</v>
      </c>
      <c r="C44" s="13"/>
      <c r="D44" s="13"/>
      <c r="E44" s="21">
        <f>C44+D44</f>
        <v>0</v>
      </c>
    </row>
    <row r="45" spans="2:5" ht="17.25" customHeight="1" x14ac:dyDescent="0.35">
      <c r="B45" s="27">
        <v>20</v>
      </c>
      <c r="C45" s="8"/>
      <c r="D45" s="8"/>
      <c r="E45" s="21"/>
    </row>
    <row r="46" spans="2:5" ht="17.25" customHeight="1" x14ac:dyDescent="0.35">
      <c r="B46" s="12" t="s">
        <v>18</v>
      </c>
      <c r="C46" s="13"/>
      <c r="D46" s="13"/>
      <c r="E46" s="21">
        <f>C46+D46</f>
        <v>0</v>
      </c>
    </row>
    <row r="47" spans="2:5" ht="17.25" customHeight="1" x14ac:dyDescent="0.35">
      <c r="B47" s="27">
        <v>21</v>
      </c>
      <c r="C47" s="8"/>
      <c r="D47" s="8"/>
      <c r="E47" s="21"/>
    </row>
    <row r="48" spans="2:5" ht="17.25" customHeight="1" x14ac:dyDescent="0.35">
      <c r="B48" s="12" t="s">
        <v>18</v>
      </c>
      <c r="C48" s="13"/>
      <c r="D48" s="13"/>
      <c r="E48" s="21">
        <f>C48+D48</f>
        <v>0</v>
      </c>
    </row>
    <row r="49" spans="2:5" ht="17.25" customHeight="1" x14ac:dyDescent="0.35">
      <c r="B49" s="27">
        <v>22</v>
      </c>
      <c r="C49" s="8"/>
      <c r="D49" s="8"/>
      <c r="E49" s="21"/>
    </row>
    <row r="50" spans="2:5" ht="17.25" customHeight="1" x14ac:dyDescent="0.35">
      <c r="B50" s="12" t="s">
        <v>18</v>
      </c>
      <c r="C50" s="13"/>
      <c r="D50" s="13"/>
      <c r="E50" s="21">
        <f>C50+D50</f>
        <v>0</v>
      </c>
    </row>
    <row r="51" spans="2:5" ht="17.25" customHeight="1" x14ac:dyDescent="0.35">
      <c r="B51" s="27">
        <v>23</v>
      </c>
      <c r="C51" s="8"/>
      <c r="D51" s="8"/>
      <c r="E51" s="21"/>
    </row>
    <row r="52" spans="2:5" ht="17.25" customHeight="1" x14ac:dyDescent="0.35">
      <c r="B52" s="12" t="s">
        <v>18</v>
      </c>
      <c r="C52" s="13"/>
      <c r="D52" s="13"/>
      <c r="E52" s="21">
        <f>C52+D52</f>
        <v>0</v>
      </c>
    </row>
    <row r="53" spans="2:5" ht="17.25" customHeight="1" x14ac:dyDescent="0.35">
      <c r="B53" s="27">
        <v>24</v>
      </c>
      <c r="C53" s="8"/>
      <c r="D53" s="8"/>
      <c r="E53" s="21"/>
    </row>
    <row r="54" spans="2:5" ht="17.25" customHeight="1" x14ac:dyDescent="0.35">
      <c r="B54" s="12" t="s">
        <v>18</v>
      </c>
      <c r="C54" s="13"/>
      <c r="D54" s="13"/>
      <c r="E54" s="21">
        <f>C54+D54</f>
        <v>0</v>
      </c>
    </row>
    <row r="55" spans="2:5" ht="17.25" customHeight="1" x14ac:dyDescent="0.35">
      <c r="B55" s="27">
        <v>25</v>
      </c>
      <c r="C55" s="8"/>
      <c r="D55" s="8"/>
      <c r="E55" s="21"/>
    </row>
    <row r="56" spans="2:5" ht="17.25" customHeight="1" x14ac:dyDescent="0.35">
      <c r="B56" s="12" t="s">
        <v>18</v>
      </c>
      <c r="C56" s="13"/>
      <c r="D56" s="13"/>
      <c r="E56" s="21">
        <f>C56+D56</f>
        <v>0</v>
      </c>
    </row>
    <row r="57" spans="2:5" ht="17.25" customHeight="1" x14ac:dyDescent="0.35">
      <c r="B57" s="27">
        <v>26</v>
      </c>
      <c r="C57" s="8"/>
      <c r="D57" s="8"/>
      <c r="E57" s="21"/>
    </row>
    <row r="58" spans="2:5" ht="17.25" customHeight="1" x14ac:dyDescent="0.35">
      <c r="B58" s="12" t="s">
        <v>18</v>
      </c>
      <c r="C58" s="13"/>
      <c r="D58" s="13"/>
      <c r="E58" s="21">
        <f>C58+D58</f>
        <v>0</v>
      </c>
    </row>
    <row r="59" spans="2:5" ht="17.25" customHeight="1" x14ac:dyDescent="0.35">
      <c r="B59" s="27">
        <v>27</v>
      </c>
      <c r="C59" s="8"/>
      <c r="D59" s="8"/>
      <c r="E59" s="21"/>
    </row>
    <row r="60" spans="2:5" ht="17.25" customHeight="1" x14ac:dyDescent="0.35">
      <c r="B60" s="12" t="s">
        <v>18</v>
      </c>
      <c r="C60" s="13"/>
      <c r="D60" s="13"/>
      <c r="E60" s="21">
        <f>C60+D60</f>
        <v>0</v>
      </c>
    </row>
    <row r="61" spans="2:5" ht="17.25" customHeight="1" x14ac:dyDescent="0.35">
      <c r="B61" s="27">
        <v>28</v>
      </c>
      <c r="C61" s="8"/>
      <c r="D61" s="8"/>
      <c r="E61" s="21"/>
    </row>
    <row r="62" spans="2:5" ht="17.25" customHeight="1" x14ac:dyDescent="0.35">
      <c r="B62" s="12" t="s">
        <v>18</v>
      </c>
      <c r="C62" s="13"/>
      <c r="D62" s="13"/>
      <c r="E62" s="21">
        <f>C62+D62</f>
        <v>0</v>
      </c>
    </row>
    <row r="63" spans="2:5" ht="17.25" customHeight="1" x14ac:dyDescent="0.35">
      <c r="B63" s="27">
        <v>29</v>
      </c>
      <c r="C63" s="8"/>
      <c r="D63" s="8"/>
      <c r="E63" s="21"/>
    </row>
    <row r="64" spans="2:5" ht="17.25" customHeight="1" x14ac:dyDescent="0.35">
      <c r="B64" s="12" t="s">
        <v>18</v>
      </c>
      <c r="C64" s="13"/>
      <c r="D64" s="13"/>
      <c r="E64" s="21">
        <f>D64+C64</f>
        <v>0</v>
      </c>
    </row>
    <row r="65" spans="2:5" ht="17.25" customHeight="1" x14ac:dyDescent="0.35">
      <c r="B65" s="27">
        <v>30</v>
      </c>
      <c r="C65" s="8"/>
      <c r="D65" s="8"/>
      <c r="E65" s="21"/>
    </row>
    <row r="66" spans="2:5" ht="17.25" customHeight="1" x14ac:dyDescent="0.35">
      <c r="B66" s="12" t="s">
        <v>18</v>
      </c>
      <c r="C66" s="13"/>
      <c r="D66" s="13"/>
      <c r="E66" s="21">
        <f>D66+C66</f>
        <v>0</v>
      </c>
    </row>
    <row r="67" spans="2:5" ht="15.5" x14ac:dyDescent="0.35">
      <c r="B67" s="27">
        <v>31</v>
      </c>
      <c r="C67" s="8"/>
      <c r="D67" s="8"/>
      <c r="E67" s="21"/>
    </row>
    <row r="68" spans="2:5" ht="15.5" x14ac:dyDescent="0.35">
      <c r="B68" s="12" t="s">
        <v>18</v>
      </c>
      <c r="C68" s="13"/>
      <c r="D68" s="13"/>
      <c r="E68" s="21">
        <f>D68+C68</f>
        <v>0</v>
      </c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Ronald Diab</cp:lastModifiedBy>
  <cp:lastPrinted>2019-06-18T12:19:55Z</cp:lastPrinted>
  <dcterms:created xsi:type="dcterms:W3CDTF">2017-05-16T16:59:37Z</dcterms:created>
  <dcterms:modified xsi:type="dcterms:W3CDTF">2019-10-15T12:51:59Z</dcterms:modified>
</cp:coreProperties>
</file>