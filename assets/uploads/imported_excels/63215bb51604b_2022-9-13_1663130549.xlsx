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07" documentId="13_ncr:1_{76C55D63-F869-4AF5-AAA3-3D809A91432B}" xr6:coauthVersionLast="47" xr6:coauthVersionMax="47" xr10:uidLastSave="{555AE851-1421-4203-9AD7-C25EB3CC552E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7" l="1"/>
  <c r="J17" i="27"/>
  <c r="J16" i="27"/>
  <c r="J15" i="27"/>
  <c r="J14" i="27"/>
  <c r="J13" i="27"/>
  <c r="J11" i="27"/>
  <c r="J12" i="27"/>
  <c r="J10" i="27"/>
  <c r="J9" i="27"/>
  <c r="J8" i="27"/>
  <c r="J7" i="27"/>
  <c r="J6" i="27"/>
  <c r="J5" i="27"/>
  <c r="L36" i="27"/>
  <c r="L35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<sst xmlns="http://schemas.openxmlformats.org/spreadsheetml/2006/main" count="71" uniqueCount="33">
  <si>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</si>
  <si>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</si>
  <si>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</si>
  <si>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</si>
  <si>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</si>
  <si>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</si>
  <si>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</si>
  <si>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</si>
  <si>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</si>
  <si>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</si>
  <si>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</si>
  <si>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</si>
  <si>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</si>
  <si>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</si>
  <si>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</si>
  <si>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September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</si>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</sst>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3" borderId="67" xfId="6" applyNumberFormat="1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164" fontId="10" fillId="0" borderId="69" xfId="6" applyNumberFormat="1" applyFont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3" borderId="67" xfId="6" applyFont="1" applyFill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topLeftCell="A7"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9</v>
      </c>
      <c r="D2" s="10">
        <v>2022</v>
      </c>
      <c r="E2" s="11">
        <f>IF(Electricity!F8&lt;0,0,Electricity!F8)</f>
        <v>26142.500000000837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1487</v>
      </c>
      <c r="J2" s="83">
        <v>0.21186441</v>
      </c>
      <c r="K2" s="11">
        <f>IF('Water, Gas, Diesel'!F6&lt;0,0,'Water, Gas, Diesel'!F6)</f>
        <v>259</v>
      </c>
      <c r="L2" s="83">
        <v>1.6949000000000001</v>
      </c>
      <c r="M2" s="11">
        <f>Electricity!H8</f>
        <v>94</v>
      </c>
      <c r="O2" s="107"/>
    </row>
    <row r="3" spans="1:15">
      <c r="A3" s="8" t="s">
        <v>13</v>
      </c>
      <c r="B3" s="9">
        <f>B2+1</f>
        <v>2</v>
      </c>
      <c r="C3" s="9">
        <v>9</v>
      </c>
      <c r="D3" s="10">
        <v>2022</v>
      </c>
      <c r="E3" s="11">
        <f>IF(Electricity!F9&lt;0,0,Electricity!F9)</f>
        <v>20097.500000001673</v>
      </c>
      <c r="F3" s="83">
        <v>9.3200000000000005E-2</v>
      </c>
      <c r="G3" s="11">
        <f>IF('Water, Gas, Diesel'!K7&lt;0,0,'Water, Gas, Diesel'!K7)</f>
        <v>0</v>
      </c>
      <c r="H3" s="83">
        <v>0.7</v>
      </c>
      <c r="I3" s="11">
        <f>IF('Water, Gas, Diesel'!C7&lt;0,0,'Water, Gas, Diesel'!C7)</f>
        <v>1159</v>
      </c>
      <c r="J3" s="83">
        <v>0.21186441</v>
      </c>
      <c r="K3" s="11">
        <f>IF('Water, Gas, Diesel'!F7&lt;0,0,'Water, Gas, Diesel'!F7)</f>
        <v>234</v>
      </c>
      <c r="L3" s="83">
        <v>1.6949000000000001</v>
      </c>
      <c r="M3" s="11">
        <f>Electricity!H9</f>
        <v>67</v>
      </c>
    </row>
    <row r="4" spans="1:15">
      <c r="A4" s="8" t="s">
        <v>13</v>
      </c>
      <c r="B4" s="9">
        <f t="shared" ref="B4:B31" si="0">B3+1</f>
        <v>3</v>
      </c>
      <c r="C4" s="9">
        <v>9</v>
      </c>
      <c r="D4" s="10">
        <v>2022</v>
      </c>
      <c r="E4" s="11">
        <f>IF(Electricity!F10&lt;0,0,Electricity!F10)</f>
        <v>21722.500000000764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1270</v>
      </c>
      <c r="J4" s="83">
        <v>0.21186441</v>
      </c>
      <c r="K4" s="11">
        <f>IF('Water, Gas, Diesel'!F8&lt;0,0,'Water, Gas, Diesel'!F8)</f>
        <v>220</v>
      </c>
      <c r="L4" s="83">
        <v>1.6949000000000001</v>
      </c>
      <c r="M4" s="11">
        <f>Electricity!H10</f>
        <v>81</v>
      </c>
    </row>
    <row r="5" spans="1:15">
      <c r="A5" s="8" t="s">
        <v>13</v>
      </c>
      <c r="B5" s="9">
        <f t="shared" si="0"/>
        <v>4</v>
      </c>
      <c r="C5" s="9">
        <v>9</v>
      </c>
      <c r="D5" s="10">
        <v>2022</v>
      </c>
      <c r="E5" s="11">
        <f>IF(Electricity!F11&lt;0,0,Electricity!F11)</f>
        <v>25669.999999995525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1379</v>
      </c>
      <c r="J5" s="83">
        <v>0.21186441</v>
      </c>
      <c r="K5" s="11">
        <f>IF('Water, Gas, Diesel'!F9&lt;0,0,'Water, Gas, Diesel'!F9)</f>
        <v>298</v>
      </c>
      <c r="L5" s="83">
        <v>1.6949000000000001</v>
      </c>
      <c r="M5" s="11">
        <f>Electricity!H11</f>
        <v>97</v>
      </c>
    </row>
    <row r="6" spans="1:15">
      <c r="A6" s="8" t="s">
        <v>13</v>
      </c>
      <c r="B6" s="9">
        <f t="shared" si="0"/>
        <v>5</v>
      </c>
      <c r="C6" s="9">
        <v>9</v>
      </c>
      <c r="D6" s="10">
        <v>2022</v>
      </c>
      <c r="E6" s="11">
        <f>IF(Electricity!F12&lt;0,0,Electricity!F12)</f>
        <v>22110.000000002401</v>
      </c>
      <c r="F6" s="83">
        <v>9.3200000000000005E-2</v>
      </c>
      <c r="G6" s="11">
        <f>IF('Water, Gas, Diesel'!K10&lt;0,0,'Water, Gas, Diesel'!K10)</f>
        <v>100</v>
      </c>
      <c r="H6" s="83">
        <v>0.7</v>
      </c>
      <c r="I6" s="11">
        <f>IF('Water, Gas, Diesel'!C10&lt;0,0,'Water, Gas, Diesel'!C10)</f>
        <v>1287</v>
      </c>
      <c r="J6" s="83">
        <v>0.21186441</v>
      </c>
      <c r="K6" s="11">
        <f>IF('Water, Gas, Diesel'!F10&lt;0,0,'Water, Gas, Diesel'!F10)</f>
        <v>270</v>
      </c>
      <c r="L6" s="83">
        <v>1.6949000000000001</v>
      </c>
      <c r="M6" s="11">
        <f>Electricity!H12</f>
        <v>144</v>
      </c>
    </row>
    <row r="7" spans="1:15">
      <c r="A7" s="8" t="s">
        <v>13</v>
      </c>
      <c r="B7" s="9">
        <f t="shared" si="0"/>
        <v>6</v>
      </c>
      <c r="C7" s="9">
        <v>9</v>
      </c>
      <c r="D7" s="10">
        <v>2022</v>
      </c>
      <c r="E7" s="11">
        <f>IF(Electricity!F13&lt;0,0,Electricity!F13)</f>
        <v>21044.999999999163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1518</v>
      </c>
      <c r="J7" s="83">
        <v>0.21186441</v>
      </c>
      <c r="K7" s="11">
        <f>IF('Water, Gas, Diesel'!F11&lt;0,0,'Water, Gas, Diesel'!F11)</f>
        <v>265</v>
      </c>
      <c r="L7" s="83">
        <v>1.6949000000000001</v>
      </c>
      <c r="M7" s="11">
        <f>Electricity!H13</f>
        <v>164</v>
      </c>
    </row>
    <row r="8" spans="1:15">
      <c r="A8" s="8" t="s">
        <v>13</v>
      </c>
      <c r="B8" s="9">
        <f t="shared" si="0"/>
        <v>7</v>
      </c>
      <c r="C8" s="9">
        <v>9</v>
      </c>
      <c r="D8" s="10">
        <v>2022</v>
      </c>
      <c r="E8" s="11">
        <f>IF(Electricity!F14&lt;0,0,Electricity!F14)</f>
        <v>24587.499999997817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1621</v>
      </c>
      <c r="J8" s="83">
        <v>0.21186441</v>
      </c>
      <c r="K8" s="11">
        <f>IF('Water, Gas, Diesel'!F12&lt;0,0,'Water, Gas, Diesel'!F12)</f>
        <v>275</v>
      </c>
      <c r="L8" s="83">
        <v>1.6949000000000001</v>
      </c>
      <c r="M8" s="11">
        <f>Electricity!H14</f>
        <v>157</v>
      </c>
    </row>
    <row r="9" spans="1:15">
      <c r="A9" s="8" t="s">
        <v>13</v>
      </c>
      <c r="B9" s="9">
        <f t="shared" si="0"/>
        <v>8</v>
      </c>
      <c r="C9" s="9">
        <v>9</v>
      </c>
      <c r="D9" s="10">
        <v>2022</v>
      </c>
      <c r="E9" s="11">
        <f>IF(Electricity!F15&lt;0,0,Electricity!F15)</f>
        <v>21840.000000001965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1604</v>
      </c>
      <c r="J9" s="83">
        <v>0.21186441</v>
      </c>
      <c r="K9" s="11">
        <f>IF('Water, Gas, Diesel'!F13&lt;0,0,'Water, Gas, Diesel'!F13)</f>
        <v>285</v>
      </c>
      <c r="L9" s="83">
        <v>1.6949000000000001</v>
      </c>
      <c r="M9" s="11">
        <f>Electricity!H15</f>
        <v>115</v>
      </c>
    </row>
    <row r="10" spans="1:15">
      <c r="A10" s="8" t="s">
        <v>13</v>
      </c>
      <c r="B10" s="9">
        <f t="shared" si="0"/>
        <v>9</v>
      </c>
      <c r="C10" s="9">
        <v>9</v>
      </c>
      <c r="D10" s="10">
        <v>2022</v>
      </c>
      <c r="E10" s="11">
        <f>IF(Electricity!F16&lt;0,0,Electricity!F16)</f>
        <v>19317.500000001928</v>
      </c>
      <c r="F10" s="83">
        <v>9.3200000000000005E-2</v>
      </c>
      <c r="G10" s="11">
        <f>IF('Water, Gas, Diesel'!K14&lt;0,0,'Water, Gas, Diesel'!K14)</f>
        <v>140</v>
      </c>
      <c r="H10" s="83">
        <v>0.7</v>
      </c>
      <c r="I10" s="11">
        <f>IF('Water, Gas, Diesel'!C14&lt;0,0,'Water, Gas, Diesel'!C14)</f>
        <v>1462</v>
      </c>
      <c r="J10" s="83">
        <v>0.21186441</v>
      </c>
      <c r="K10" s="11">
        <f>IF('Water, Gas, Diesel'!F14&lt;0,0,'Water, Gas, Diesel'!F14)</f>
        <v>246</v>
      </c>
      <c r="L10" s="83">
        <v>1.6949000000000001</v>
      </c>
      <c r="M10" s="11">
        <f>Electricity!H16</f>
        <v>112</v>
      </c>
    </row>
    <row r="11" spans="1:15">
      <c r="A11" s="8" t="s">
        <v>13</v>
      </c>
      <c r="B11" s="9">
        <f t="shared" si="0"/>
        <v>10</v>
      </c>
      <c r="C11" s="9">
        <v>9</v>
      </c>
      <c r="D11" s="10">
        <v>2022</v>
      </c>
      <c r="E11" s="11">
        <f>IF(Electricity!F17&lt;0,0,Electricity!F17)</f>
        <v>23595.000000000255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1548</v>
      </c>
      <c r="J11" s="83">
        <v>0.21186441</v>
      </c>
      <c r="K11" s="11">
        <f>IF('Water, Gas, Diesel'!F15&lt;0,0,'Water, Gas, Diesel'!F15)</f>
        <v>316</v>
      </c>
      <c r="L11" s="83">
        <v>1.6949000000000001</v>
      </c>
      <c r="M11" s="11">
        <f>Electricity!H17</f>
        <v>96</v>
      </c>
    </row>
    <row r="12" spans="1:15">
      <c r="A12" s="8" t="s">
        <v>13</v>
      </c>
      <c r="B12" s="9">
        <f t="shared" si="0"/>
        <v>11</v>
      </c>
      <c r="C12" s="9">
        <v>9</v>
      </c>
      <c r="D12" s="10">
        <v>2022</v>
      </c>
      <c r="E12" s="11">
        <f>IF(Electricity!F18&lt;0,0,Electricity!F18)</f>
        <v>23387.499999998909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1421</v>
      </c>
      <c r="J12" s="83">
        <v>0.21186441</v>
      </c>
      <c r="K12" s="11">
        <f>IF('Water, Gas, Diesel'!F16&lt;0,0,'Water, Gas, Diesel'!F16)</f>
        <v>273</v>
      </c>
      <c r="L12" s="83">
        <v>1.6949000000000001</v>
      </c>
      <c r="M12" s="11">
        <f>Electricity!H18</f>
        <v>104</v>
      </c>
    </row>
    <row r="13" spans="1:15">
      <c r="A13" s="8" t="s">
        <v>13</v>
      </c>
      <c r="B13" s="9">
        <f t="shared" si="0"/>
        <v>12</v>
      </c>
      <c r="C13" s="9">
        <v>9</v>
      </c>
      <c r="D13" s="10">
        <v>2022</v>
      </c>
      <c r="E13" s="11">
        <f>IF(Electricity!F19&lt;0,0,Electricity!F19)</f>
        <v>24247.50000000131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1442</v>
      </c>
      <c r="J13" s="83">
        <v>0.21186441</v>
      </c>
      <c r="K13" s="11">
        <f>IF('Water, Gas, Diesel'!F17&lt;0,0,'Water, Gas, Diesel'!F17)</f>
        <v>287</v>
      </c>
      <c r="L13" s="83">
        <v>1.6949000000000001</v>
      </c>
      <c r="M13" s="11">
        <f>Electricity!H19</f>
        <v>104</v>
      </c>
    </row>
    <row r="14" spans="1:15">
      <c r="A14" s="8" t="s">
        <v>13</v>
      </c>
      <c r="B14" s="9">
        <f t="shared" si="0"/>
        <v>13</v>
      </c>
      <c r="C14" s="9">
        <v>9</v>
      </c>
      <c r="D14" s="10">
        <v>2022</v>
      </c>
      <c r="E14" s="11">
        <f>IF(Electricity!F20&lt;0,0,Electricity!F20)</f>
        <v>0</v>
      </c>
      <c r="F14" s="83">
        <v>9.3200000000000005E-2</v>
      </c>
      <c r="G14" s="11">
        <f>IF('Water, Gas, Diesel'!K18&lt;0,0,'Water, Gas, Diesel'!K18)</f>
        <v>11110</v>
      </c>
      <c r="H14" s="83">
        <v>0.7</v>
      </c>
      <c r="I14" s="11">
        <f>IF('Water, Gas, Diesel'!C18&lt;0,0,'Water, Gas, Diesel'!C18)</f>
        <v>0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89</v>
      </c>
    </row>
    <row r="15" spans="1:15">
      <c r="A15" s="8" t="s">
        <v>13</v>
      </c>
      <c r="B15" s="9">
        <f t="shared" si="0"/>
        <v>14</v>
      </c>
      <c r="C15" s="9">
        <v>9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9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9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9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9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9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9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9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9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9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9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9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9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9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9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9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9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14" activePane="bottomLeft" state="frozen"/>
      <selection pane="bottomLeft" activeCell="J17" sqref="J17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62" t="s">
        <v>23</v>
      </c>
      <c r="D5" s="63" t="s">
        <v>22</v>
      </c>
      <c r="E5" s="62" t="s">
        <v>23</v>
      </c>
      <c r="F5" s="150"/>
      <c r="G5" s="152"/>
      <c r="H5" s="142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31</v>
      </c>
      <c r="B7" s="68">
        <v>15709.499</v>
      </c>
      <c r="C7" s="69">
        <f t="shared" ref="C7:C24" si="0">(B8-B7)*2500</f>
        <v>13099.999999999454</v>
      </c>
      <c r="D7" s="68">
        <v>16048.352000000001</v>
      </c>
      <c r="E7" s="69">
        <f t="shared" ref="E7:E24" si="1">(D8-D7)*2500</f>
        <v>9564.9999999977808</v>
      </c>
      <c r="F7" s="95">
        <f t="shared" ref="F7:F38" si="2">C7+E7</f>
        <v>22664.999999997235</v>
      </c>
      <c r="G7" s="67">
        <f>F7*0.0932</f>
        <v>2112.3779999997423</v>
      </c>
      <c r="H7" s="137">
        <v>88</v>
      </c>
    </row>
    <row r="8" spans="1:8" ht="30.95" customHeight="1">
      <c r="A8" s="100">
        <v>1</v>
      </c>
      <c r="B8" s="94">
        <v>15714.739</v>
      </c>
      <c r="C8" s="70">
        <f t="shared" si="0"/>
        <v>14897.500000001855</v>
      </c>
      <c r="D8" s="71">
        <v>16052.178</v>
      </c>
      <c r="E8" s="70">
        <f t="shared" si="1"/>
        <v>11244.999999998981</v>
      </c>
      <c r="F8" s="51">
        <f t="shared" si="2"/>
        <v>26142.500000000837</v>
      </c>
      <c r="G8" s="67">
        <f t="shared" ref="G8:G38" si="3">F8*0.0932</f>
        <v>2436.481000000078</v>
      </c>
      <c r="H8" s="101">
        <v>94</v>
      </c>
    </row>
    <row r="9" spans="1:8" ht="30.95" customHeight="1">
      <c r="A9" s="102">
        <v>2</v>
      </c>
      <c r="B9" s="72">
        <v>15720.698</v>
      </c>
      <c r="C9" s="39">
        <f t="shared" si="0"/>
        <v>11675.000000000182</v>
      </c>
      <c r="D9" s="71">
        <v>16056.675999999999</v>
      </c>
      <c r="E9" s="39">
        <f t="shared" si="1"/>
        <v>8422.5000000014916</v>
      </c>
      <c r="F9" s="47">
        <f t="shared" si="2"/>
        <v>20097.500000001673</v>
      </c>
      <c r="G9" s="67">
        <f t="shared" si="3"/>
        <v>1873.087000000156</v>
      </c>
      <c r="H9" s="103">
        <v>67</v>
      </c>
    </row>
    <row r="10" spans="1:8" ht="30.95" customHeight="1">
      <c r="A10" s="100">
        <v>3</v>
      </c>
      <c r="B10" s="73">
        <v>15725.368</v>
      </c>
      <c r="C10" s="70">
        <f t="shared" si="0"/>
        <v>12494.999999998981</v>
      </c>
      <c r="D10" s="74">
        <v>16060.045</v>
      </c>
      <c r="E10" s="70">
        <f t="shared" si="1"/>
        <v>9227.5000000017826</v>
      </c>
      <c r="F10" s="51">
        <f t="shared" si="2"/>
        <v>21722.500000000764</v>
      </c>
      <c r="G10" s="67">
        <f t="shared" si="3"/>
        <v>2024.5370000000712</v>
      </c>
      <c r="H10" s="103">
        <v>81</v>
      </c>
    </row>
    <row r="11" spans="1:8" ht="30.95" customHeight="1">
      <c r="A11" s="102">
        <v>4</v>
      </c>
      <c r="B11" s="75">
        <v>15730.366</v>
      </c>
      <c r="C11" s="39">
        <f t="shared" si="0"/>
        <v>14549.999999999272</v>
      </c>
      <c r="D11" s="76">
        <v>16063.736000000001</v>
      </c>
      <c r="E11" s="39">
        <f t="shared" si="1"/>
        <v>11119.999999996253</v>
      </c>
      <c r="F11" s="47">
        <f t="shared" si="2"/>
        <v>25669.999999995525</v>
      </c>
      <c r="G11" s="67">
        <f t="shared" si="3"/>
        <v>2392.443999999583</v>
      </c>
      <c r="H11" s="103">
        <v>97</v>
      </c>
    </row>
    <row r="12" spans="1:8" ht="30.95" customHeight="1">
      <c r="A12" s="100">
        <v>5</v>
      </c>
      <c r="B12" s="77">
        <v>15736.186</v>
      </c>
      <c r="C12" s="70">
        <f t="shared" si="0"/>
        <v>12885.000000001128</v>
      </c>
      <c r="D12" s="74">
        <v>16068.183999999999</v>
      </c>
      <c r="E12" s="70">
        <f t="shared" si="1"/>
        <v>9225.0000000012733</v>
      </c>
      <c r="F12" s="51">
        <f t="shared" si="2"/>
        <v>22110.000000002401</v>
      </c>
      <c r="G12" s="67">
        <f t="shared" si="3"/>
        <v>2060.6520000002238</v>
      </c>
      <c r="H12" s="103">
        <v>144</v>
      </c>
    </row>
    <row r="13" spans="1:8" ht="30.95" customHeight="1">
      <c r="A13" s="102">
        <v>6</v>
      </c>
      <c r="B13" s="75">
        <v>15741.34</v>
      </c>
      <c r="C13" s="39">
        <f t="shared" si="0"/>
        <v>13229.999999998654</v>
      </c>
      <c r="D13" s="76">
        <v>16071.874</v>
      </c>
      <c r="E13" s="39">
        <f t="shared" si="1"/>
        <v>7815.0000000005093</v>
      </c>
      <c r="F13" s="47">
        <f t="shared" si="2"/>
        <v>21044.999999999163</v>
      </c>
      <c r="G13" s="67">
        <f t="shared" si="3"/>
        <v>1961.393999999922</v>
      </c>
      <c r="H13" s="103">
        <v>164</v>
      </c>
    </row>
    <row r="14" spans="1:8" ht="30.95" customHeight="1">
      <c r="A14" s="100">
        <v>7</v>
      </c>
      <c r="B14" s="77">
        <v>15746.632</v>
      </c>
      <c r="C14" s="70">
        <f t="shared" si="0"/>
        <v>12835.000000000036</v>
      </c>
      <c r="D14" s="104">
        <v>16075</v>
      </c>
      <c r="E14" s="70">
        <f t="shared" si="1"/>
        <v>11752.499999997781</v>
      </c>
      <c r="F14" s="51">
        <f t="shared" si="2"/>
        <v>24587.499999997817</v>
      </c>
      <c r="G14" s="67">
        <f t="shared" si="3"/>
        <v>2291.5549999997966</v>
      </c>
      <c r="H14" s="103">
        <v>157</v>
      </c>
    </row>
    <row r="15" spans="1:8" ht="30.95" customHeight="1">
      <c r="A15" s="102">
        <v>8</v>
      </c>
      <c r="B15" s="75">
        <v>15751.766</v>
      </c>
      <c r="C15" s="39">
        <f t="shared" si="0"/>
        <v>12547.500000000582</v>
      </c>
      <c r="D15" s="78">
        <v>16079.700999999999</v>
      </c>
      <c r="E15" s="39">
        <f t="shared" si="1"/>
        <v>9292.5000000013824</v>
      </c>
      <c r="F15" s="47">
        <f t="shared" si="2"/>
        <v>21840.000000001965</v>
      </c>
      <c r="G15" s="67">
        <f t="shared" si="3"/>
        <v>2035.4880000001831</v>
      </c>
      <c r="H15" s="103">
        <v>115</v>
      </c>
    </row>
    <row r="16" spans="1:8" ht="30.95" customHeight="1">
      <c r="A16" s="100">
        <v>9</v>
      </c>
      <c r="B16" s="79">
        <v>15756.785</v>
      </c>
      <c r="C16" s="70">
        <f t="shared" si="0"/>
        <v>11114.999999999782</v>
      </c>
      <c r="D16" s="80">
        <v>16083.418</v>
      </c>
      <c r="E16" s="70">
        <f t="shared" si="1"/>
        <v>8202.5000000021464</v>
      </c>
      <c r="F16" s="51">
        <f t="shared" si="2"/>
        <v>19317.500000001928</v>
      </c>
      <c r="G16" s="67">
        <f t="shared" si="3"/>
        <v>1800.3910000001797</v>
      </c>
      <c r="H16" s="103">
        <v>112</v>
      </c>
    </row>
    <row r="17" spans="1:8" ht="30.95" customHeight="1">
      <c r="A17" s="102">
        <v>10</v>
      </c>
      <c r="B17" s="77">
        <v>15761.231</v>
      </c>
      <c r="C17" s="39">
        <f t="shared" si="0"/>
        <v>13782.500000002074</v>
      </c>
      <c r="D17" s="104">
        <v>16086.699000000001</v>
      </c>
      <c r="E17" s="39">
        <f t="shared" si="1"/>
        <v>9812.499999998181</v>
      </c>
      <c r="F17" s="47">
        <f t="shared" si="2"/>
        <v>23595.000000000255</v>
      </c>
      <c r="G17" s="67">
        <f t="shared" si="3"/>
        <v>2199.0540000000237</v>
      </c>
      <c r="H17" s="103">
        <v>96</v>
      </c>
    </row>
    <row r="18" spans="1:8" ht="30.95" customHeight="1">
      <c r="A18" s="100">
        <v>11</v>
      </c>
      <c r="B18" s="75">
        <v>15766.744000000001</v>
      </c>
      <c r="C18" s="70">
        <f t="shared" si="0"/>
        <v>13312.499999997272</v>
      </c>
      <c r="D18" s="78">
        <v>16090.624</v>
      </c>
      <c r="E18" s="70">
        <f t="shared" si="1"/>
        <v>10075.000000001637</v>
      </c>
      <c r="F18" s="51">
        <f t="shared" si="2"/>
        <v>23387.499999998909</v>
      </c>
      <c r="G18" s="67">
        <f t="shared" si="3"/>
        <v>2179.7149999998983</v>
      </c>
      <c r="H18" s="103">
        <v>104</v>
      </c>
    </row>
    <row r="19" spans="1:8" ht="30.95" customHeight="1">
      <c r="A19" s="102">
        <v>12</v>
      </c>
      <c r="B19" s="77">
        <v>15772.069</v>
      </c>
      <c r="C19" s="39">
        <f t="shared" si="0"/>
        <v>13967.500000003383</v>
      </c>
      <c r="D19" s="104">
        <v>16094.654</v>
      </c>
      <c r="E19" s="39">
        <f t="shared" si="1"/>
        <v>10279.999999997926</v>
      </c>
      <c r="F19" s="47">
        <f t="shared" si="2"/>
        <v>24247.50000000131</v>
      </c>
      <c r="G19" s="67">
        <f t="shared" si="3"/>
        <v>2259.8670000001221</v>
      </c>
      <c r="H19" s="103">
        <v>104</v>
      </c>
    </row>
    <row r="20" spans="1:8" ht="30.95" customHeight="1">
      <c r="A20" s="100">
        <v>13</v>
      </c>
      <c r="B20" s="75">
        <v>15777.656000000001</v>
      </c>
      <c r="C20" s="70">
        <f t="shared" si="0"/>
        <v>-39444140</v>
      </c>
      <c r="D20" s="81">
        <v>16098.766</v>
      </c>
      <c r="E20" s="70">
        <f t="shared" si="1"/>
        <v>-40246915</v>
      </c>
      <c r="F20" s="51">
        <f t="shared" si="2"/>
        <v>-79691055</v>
      </c>
      <c r="G20" s="67">
        <f t="shared" si="3"/>
        <v>-7427206.3260000004</v>
      </c>
      <c r="H20" s="103">
        <v>89</v>
      </c>
    </row>
    <row r="21" spans="1:8" ht="30.95" customHeight="1">
      <c r="A21" s="102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3"/>
    </row>
    <row r="22" spans="1:8" ht="30.95" customHeight="1">
      <c r="A22" s="100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3"/>
    </row>
    <row r="23" spans="1:8" ht="30.95" customHeight="1">
      <c r="A23" s="102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3"/>
    </row>
    <row r="24" spans="1:8" ht="30.95" customHeight="1">
      <c r="A24" s="100">
        <v>17</v>
      </c>
      <c r="B24" s="86"/>
      <c r="C24" s="70">
        <f t="shared" si="0"/>
        <v>0</v>
      </c>
      <c r="D24" s="104"/>
      <c r="E24" s="70">
        <f t="shared" si="1"/>
        <v>0</v>
      </c>
      <c r="F24" s="51">
        <f t="shared" si="2"/>
        <v>0</v>
      </c>
      <c r="G24" s="67">
        <f t="shared" si="3"/>
        <v>0</v>
      </c>
      <c r="H24" s="103"/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16">
        <v>30</v>
      </c>
      <c r="B37" s="117"/>
      <c r="C37" s="118">
        <f>(B38-B37)*2500</f>
        <v>0</v>
      </c>
      <c r="D37" s="119"/>
      <c r="E37" s="118">
        <f>(D38-D37)*2500</f>
        <v>0</v>
      </c>
      <c r="F37" s="120">
        <f t="shared" si="2"/>
        <v>0</v>
      </c>
      <c r="G37" s="136">
        <f t="shared" si="3"/>
        <v>0</v>
      </c>
      <c r="H37" s="121"/>
    </row>
    <row r="38" spans="1:8" ht="30.95" customHeight="1">
      <c r="A38" s="108">
        <v>1</v>
      </c>
      <c r="B38" s="109"/>
      <c r="C38" s="111">
        <f t="shared" si="4"/>
        <v>0</v>
      </c>
      <c r="D38" s="112"/>
      <c r="E38" s="111">
        <f t="shared" si="5"/>
        <v>0</v>
      </c>
      <c r="F38" s="113">
        <f t="shared" si="2"/>
        <v>0</v>
      </c>
      <c r="G38" s="114">
        <f t="shared" si="3"/>
        <v>0</v>
      </c>
      <c r="H38" s="115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3" activePane="bottomLeft" state="frozen"/>
      <selection pane="bottomLeft" activeCell="N19" sqref="N19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31</v>
      </c>
      <c r="B5" s="91">
        <v>7007139</v>
      </c>
      <c r="C5" s="105">
        <f>B6-B5</f>
        <v>1119</v>
      </c>
      <c r="D5" s="34">
        <f>C5*0.21186441</f>
        <v>237.07627479000001</v>
      </c>
      <c r="E5" s="35">
        <v>556695</v>
      </c>
      <c r="F5" s="106">
        <f>E6-E5</f>
        <v>221</v>
      </c>
      <c r="G5" s="36">
        <f>F5*0.84746</f>
        <v>187.28865999999999</v>
      </c>
      <c r="H5" s="36">
        <f>F5*0.84746</f>
        <v>187.28865999999999</v>
      </c>
      <c r="I5" s="92">
        <f>G5+H5</f>
        <v>374.57731999999999</v>
      </c>
      <c r="J5" s="37">
        <f>5000+6350</f>
        <v>11350</v>
      </c>
      <c r="K5" s="38">
        <f>J5-J6</f>
        <v>240</v>
      </c>
      <c r="L5" s="39">
        <f>K5*0.7</f>
        <v>168</v>
      </c>
    </row>
    <row r="6" spans="1:12" ht="32.450000000000003" customHeight="1">
      <c r="A6" s="40">
        <v>1</v>
      </c>
      <c r="B6" s="91">
        <v>7008258</v>
      </c>
      <c r="C6" s="53">
        <f t="shared" ref="C6:C15" si="0">B7-B6</f>
        <v>1487</v>
      </c>
      <c r="D6" s="41">
        <f>C6*0.21186441</f>
        <v>315.04237767000001</v>
      </c>
      <c r="E6" s="42">
        <v>556916</v>
      </c>
      <c r="F6" s="54">
        <f t="shared" ref="F6:F15" si="1">E7-E6</f>
        <v>259</v>
      </c>
      <c r="G6" s="43">
        <f>F6*0.84746</f>
        <v>219.49214000000001</v>
      </c>
      <c r="H6" s="43">
        <f>F6*0.84746</f>
        <v>219.49214000000001</v>
      </c>
      <c r="I6" s="44">
        <f t="shared" ref="I6:I36" si="2">G6+H6</f>
        <v>438.98428000000001</v>
      </c>
      <c r="J6" s="37">
        <f>4760+6350</f>
        <v>11110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7009745</v>
      </c>
      <c r="C7" s="55">
        <f t="shared" si="0"/>
        <v>1159</v>
      </c>
      <c r="D7" s="46">
        <f>C7*0.21186441</f>
        <v>245.55085119</v>
      </c>
      <c r="E7" s="47">
        <v>557175</v>
      </c>
      <c r="F7" s="56">
        <f t="shared" si="1"/>
        <v>234</v>
      </c>
      <c r="G7" s="48">
        <f t="shared" ref="G7:G36" si="4">F7*0.84746</f>
        <v>198.30564000000001</v>
      </c>
      <c r="H7" s="48">
        <f t="shared" ref="H7:H36" si="5">F7*0.84746</f>
        <v>198.30564000000001</v>
      </c>
      <c r="I7" s="49">
        <f t="shared" si="2"/>
        <v>396.61128000000002</v>
      </c>
      <c r="J7" s="37">
        <f>4760+6350</f>
        <v>11110</v>
      </c>
      <c r="K7" s="38">
        <f t="shared" si="3"/>
        <v>-200</v>
      </c>
      <c r="L7" s="39">
        <f t="shared" ref="L7:L34" si="6">K7*0.7</f>
        <v>-140</v>
      </c>
    </row>
    <row r="8" spans="1:12" ht="32.450000000000003" customHeight="1">
      <c r="A8" s="40">
        <v>3</v>
      </c>
      <c r="B8" s="40">
        <v>7010904</v>
      </c>
      <c r="C8" s="53">
        <f t="shared" si="0"/>
        <v>1270</v>
      </c>
      <c r="D8" s="46">
        <f t="shared" ref="D8:D36" si="7">C8*0.21186441</f>
        <v>269.06780070000002</v>
      </c>
      <c r="E8" s="47">
        <v>557409</v>
      </c>
      <c r="F8" s="54">
        <f t="shared" si="1"/>
        <v>220</v>
      </c>
      <c r="G8" s="43">
        <f t="shared" si="4"/>
        <v>186.44120000000001</v>
      </c>
      <c r="H8" s="43">
        <f t="shared" si="5"/>
        <v>186.44120000000001</v>
      </c>
      <c r="I8" s="49">
        <f t="shared" si="2"/>
        <v>372.88240000000002</v>
      </c>
      <c r="J8" s="37">
        <f>4960+6350</f>
        <v>11310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7012174</v>
      </c>
      <c r="C9" s="55">
        <f t="shared" si="0"/>
        <v>1379</v>
      </c>
      <c r="D9" s="46">
        <f t="shared" si="7"/>
        <v>292.16102139000003</v>
      </c>
      <c r="E9" s="47">
        <v>557629</v>
      </c>
      <c r="F9" s="56">
        <f t="shared" si="1"/>
        <v>298</v>
      </c>
      <c r="G9" s="48">
        <f t="shared" si="4"/>
        <v>252.54308</v>
      </c>
      <c r="H9" s="48">
        <f t="shared" si="5"/>
        <v>252.54308</v>
      </c>
      <c r="I9" s="49">
        <f t="shared" si="2"/>
        <v>505.08616000000001</v>
      </c>
      <c r="J9" s="37">
        <f>4960+6350</f>
        <v>11310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7013553</v>
      </c>
      <c r="C10" s="53">
        <f t="shared" si="0"/>
        <v>1287</v>
      </c>
      <c r="D10" s="46">
        <f t="shared" si="7"/>
        <v>272.66949567</v>
      </c>
      <c r="E10" s="47">
        <v>557927</v>
      </c>
      <c r="F10" s="54">
        <f t="shared" si="1"/>
        <v>270</v>
      </c>
      <c r="G10" s="43">
        <f t="shared" si="4"/>
        <v>228.8142</v>
      </c>
      <c r="H10" s="43">
        <f t="shared" si="5"/>
        <v>228.8142</v>
      </c>
      <c r="I10" s="49">
        <f t="shared" si="2"/>
        <v>457.6284</v>
      </c>
      <c r="J10" s="37">
        <f>4960+6350</f>
        <v>11310</v>
      </c>
      <c r="K10" s="38">
        <f t="shared" si="3"/>
        <v>100</v>
      </c>
      <c r="L10" s="39">
        <f t="shared" si="6"/>
        <v>70</v>
      </c>
    </row>
    <row r="11" spans="1:12" ht="32.450000000000003" customHeight="1">
      <c r="A11" s="45">
        <v>6</v>
      </c>
      <c r="B11" s="45">
        <v>7014840</v>
      </c>
      <c r="C11" s="55">
        <f t="shared" si="0"/>
        <v>1518</v>
      </c>
      <c r="D11" s="46">
        <f t="shared" si="7"/>
        <v>321.61017437999999</v>
      </c>
      <c r="E11" s="47">
        <v>558197</v>
      </c>
      <c r="F11" s="56">
        <f t="shared" si="1"/>
        <v>265</v>
      </c>
      <c r="G11" s="48">
        <f t="shared" si="4"/>
        <v>224.57689999999999</v>
      </c>
      <c r="H11" s="48">
        <f t="shared" si="5"/>
        <v>224.57689999999999</v>
      </c>
      <c r="I11" s="49">
        <f t="shared" si="2"/>
        <v>449.15379999999999</v>
      </c>
      <c r="J11" s="37">
        <f>4860+6350</f>
        <v>11210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7016358</v>
      </c>
      <c r="C12" s="53">
        <f t="shared" si="0"/>
        <v>1621</v>
      </c>
      <c r="D12" s="46">
        <f t="shared" si="7"/>
        <v>343.43220861000003</v>
      </c>
      <c r="E12" s="47">
        <v>558462</v>
      </c>
      <c r="F12" s="54">
        <f t="shared" si="1"/>
        <v>275</v>
      </c>
      <c r="G12" s="43">
        <f t="shared" si="4"/>
        <v>233.0515</v>
      </c>
      <c r="H12" s="43">
        <f t="shared" si="5"/>
        <v>233.0515</v>
      </c>
      <c r="I12" s="49">
        <f t="shared" si="2"/>
        <v>466.10300000000001</v>
      </c>
      <c r="J12" s="37">
        <f>4860+6350</f>
        <v>11210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7017979</v>
      </c>
      <c r="C13" s="55">
        <f t="shared" si="0"/>
        <v>1604</v>
      </c>
      <c r="D13" s="46">
        <f t="shared" si="7"/>
        <v>339.83051363999999</v>
      </c>
      <c r="E13" s="47">
        <v>558737</v>
      </c>
      <c r="F13" s="56">
        <f t="shared" si="1"/>
        <v>285</v>
      </c>
      <c r="G13" s="48">
        <f t="shared" si="4"/>
        <v>241.52609999999999</v>
      </c>
      <c r="H13" s="48">
        <f t="shared" si="5"/>
        <v>241.52609999999999</v>
      </c>
      <c r="I13" s="49">
        <f t="shared" si="2"/>
        <v>483.05219999999997</v>
      </c>
      <c r="J13" s="37">
        <f>4860+6350</f>
        <v>11210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7019583</v>
      </c>
      <c r="C14" s="53">
        <f t="shared" si="0"/>
        <v>1462</v>
      </c>
      <c r="D14" s="46">
        <f t="shared" si="7"/>
        <v>309.74576741999999</v>
      </c>
      <c r="E14" s="47">
        <v>559022</v>
      </c>
      <c r="F14" s="54">
        <f t="shared" si="1"/>
        <v>246</v>
      </c>
      <c r="G14" s="48">
        <f t="shared" si="4"/>
        <v>208.47515999999999</v>
      </c>
      <c r="H14" s="43">
        <f t="shared" si="5"/>
        <v>208.47515999999999</v>
      </c>
      <c r="I14" s="49">
        <f t="shared" si="2"/>
        <v>416.95031999999998</v>
      </c>
      <c r="J14" s="37">
        <f>4860+6350</f>
        <v>11210</v>
      </c>
      <c r="K14" s="38">
        <f>J14-J15</f>
        <v>140</v>
      </c>
      <c r="L14" s="39">
        <f t="shared" si="6"/>
        <v>98</v>
      </c>
    </row>
    <row r="15" spans="1:12" ht="32.450000000000003" customHeight="1">
      <c r="A15" s="45">
        <v>10</v>
      </c>
      <c r="B15" s="45">
        <v>7021045</v>
      </c>
      <c r="C15" s="55">
        <f t="shared" si="0"/>
        <v>1548</v>
      </c>
      <c r="D15" s="46">
        <f t="shared" si="7"/>
        <v>327.96610668</v>
      </c>
      <c r="E15" s="47">
        <v>559268</v>
      </c>
      <c r="F15" s="56">
        <f t="shared" si="1"/>
        <v>316</v>
      </c>
      <c r="G15" s="48">
        <f t="shared" si="4"/>
        <v>267.79735999999997</v>
      </c>
      <c r="H15" s="48">
        <f t="shared" si="5"/>
        <v>267.79735999999997</v>
      </c>
      <c r="I15" s="49">
        <f t="shared" si="2"/>
        <v>535.59471999999994</v>
      </c>
      <c r="J15" s="37">
        <f>4720+6350</f>
        <v>11070</v>
      </c>
      <c r="K15" s="38">
        <f>J15-J16</f>
        <v>-40</v>
      </c>
      <c r="L15" s="39">
        <f t="shared" si="6"/>
        <v>-28</v>
      </c>
    </row>
    <row r="16" spans="1:12" ht="32.450000000000003" customHeight="1">
      <c r="A16" s="40">
        <v>11</v>
      </c>
      <c r="B16" s="40">
        <v>7022593</v>
      </c>
      <c r="C16" s="53">
        <f>B17-B16</f>
        <v>1421</v>
      </c>
      <c r="D16" s="46">
        <f t="shared" si="7"/>
        <v>301.05932661000003</v>
      </c>
      <c r="E16" s="47">
        <v>559584</v>
      </c>
      <c r="F16" s="54">
        <f>E17-E16</f>
        <v>273</v>
      </c>
      <c r="G16" s="43">
        <f t="shared" si="4"/>
        <v>231.35658000000001</v>
      </c>
      <c r="H16" s="43">
        <f t="shared" si="5"/>
        <v>231.35658000000001</v>
      </c>
      <c r="I16" s="49">
        <f t="shared" si="2"/>
        <v>462.71316000000002</v>
      </c>
      <c r="J16" s="37">
        <f>4760+6350</f>
        <v>11110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7024014</v>
      </c>
      <c r="C17" s="55">
        <f t="shared" ref="C17:C35" si="8">B18-B17</f>
        <v>1442</v>
      </c>
      <c r="D17" s="46">
        <f t="shared" si="7"/>
        <v>305.50847922000003</v>
      </c>
      <c r="E17" s="47">
        <v>559857</v>
      </c>
      <c r="F17" s="56">
        <f t="shared" ref="F17:F35" si="9">E18-E17</f>
        <v>287</v>
      </c>
      <c r="G17" s="48">
        <f t="shared" si="4"/>
        <v>243.22102000000001</v>
      </c>
      <c r="H17" s="48">
        <f t="shared" si="5"/>
        <v>243.22102000000001</v>
      </c>
      <c r="I17" s="49">
        <f t="shared" si="2"/>
        <v>486.44204000000002</v>
      </c>
      <c r="J17" s="37">
        <f>4760+6350</f>
        <v>11110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7025456</v>
      </c>
      <c r="C18" s="53">
        <f t="shared" si="8"/>
        <v>-7025456</v>
      </c>
      <c r="D18" s="46">
        <f t="shared" si="7"/>
        <v>-1488444.09042096</v>
      </c>
      <c r="E18" s="51">
        <v>560144</v>
      </c>
      <c r="F18" s="54">
        <f t="shared" si="9"/>
        <v>-560144</v>
      </c>
      <c r="G18" s="43">
        <f t="shared" si="4"/>
        <v>-474699.63423999998</v>
      </c>
      <c r="H18" s="43">
        <f t="shared" si="5"/>
        <v>-474699.63423999998</v>
      </c>
      <c r="I18" s="49">
        <f t="shared" si="2"/>
        <v>-949399.26847999997</v>
      </c>
      <c r="J18" s="37">
        <f>4760+6350</f>
        <v>11110</v>
      </c>
      <c r="K18" s="38">
        <f t="shared" si="3"/>
        <v>11110</v>
      </c>
      <c r="L18" s="39">
        <f t="shared" si="6"/>
        <v>7776.9999999999991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28">
        <v>30</v>
      </c>
      <c r="B35" s="129"/>
      <c r="C35" s="130">
        <f t="shared" si="8"/>
        <v>0</v>
      </c>
      <c r="D35" s="131">
        <f t="shared" si="7"/>
        <v>0</v>
      </c>
      <c r="E35" s="120"/>
      <c r="F35" s="130">
        <f t="shared" si="9"/>
        <v>0</v>
      </c>
      <c r="G35" s="132">
        <f t="shared" si="4"/>
        <v>0</v>
      </c>
      <c r="H35" s="132">
        <f t="shared" si="5"/>
        <v>0</v>
      </c>
      <c r="I35" s="133">
        <f t="shared" si="2"/>
        <v>0</v>
      </c>
      <c r="J35" s="134"/>
      <c r="K35" s="135">
        <f t="shared" si="3"/>
        <v>0</v>
      </c>
      <c r="L35" s="118">
        <f>K35*0.7</f>
        <v>0</v>
      </c>
    </row>
    <row r="36" spans="1:12" ht="32.450000000000003" customHeight="1">
      <c r="A36" s="108">
        <v>1</v>
      </c>
      <c r="B36" s="109"/>
      <c r="C36" s="122">
        <f t="shared" ref="C36" si="10">B37-B36</f>
        <v>0</v>
      </c>
      <c r="D36" s="123">
        <f t="shared" si="7"/>
        <v>0</v>
      </c>
      <c r="E36" s="113"/>
      <c r="F36" s="122">
        <f t="shared" ref="F36" si="11">E37-E36</f>
        <v>0</v>
      </c>
      <c r="G36" s="124">
        <f t="shared" ref="G36" si="12">F36*0.84746</f>
        <v>0</v>
      </c>
      <c r="H36" s="124">
        <f t="shared" ref="H36" si="13">F36*0.84746</f>
        <v>0</v>
      </c>
      <c r="I36" s="110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4" ma:contentTypeDescription="Create a new document." ma:contentTypeScope="" ma:versionID="ae55bb530d133ebc1a59cc1f863a964a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043ae22e8d0c7db31891b7ff3c664aa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A95821-BE09-4CF4-AFB9-6209A7E26C67}"/>
</file>

<file path=customXml/itemProps2.xml><?xml version="1.0" encoding="utf-8"?>
<ds:datastoreItem xmlns:ds="http://schemas.openxmlformats.org/officeDocument/2006/customXml" ds:itemID="{09876524-0E37-4B22-A94F-EBE4BC283939}"/>
</file>

<file path=customXml/itemProps3.xml><?xml version="1.0" encoding="utf-8"?>
<ds:datastoreItem xmlns:ds="http://schemas.openxmlformats.org/officeDocument/2006/customXml" ds:itemID="{07703B8F-045D-481B-A6A4-53C697FBDD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2022-09-14T04:40:40Z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</Properties>
</file>