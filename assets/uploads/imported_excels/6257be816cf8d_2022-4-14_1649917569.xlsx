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4"/>
  <workbookPr filterPrivacy="1" defaultThemeVersion="124226"/>
  <xr:revisionPtr revIDLastSave="0" documentId="13_ncr:1_{981C33A0-7BB7-481D-A6D7-C7057B41280A}" xr6:coauthVersionLast="36" xr6:coauthVersionMax="36" xr10:uidLastSave="{00000000-0000-0000-0000-000000000000}"/>
  <bookViews>
    <workbookView xWindow="-120" yWindow="-120" windowWidth="19440" windowHeight="11160" activeTab="5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O17" i="2" l="1"/>
  <c r="O16" i="2"/>
  <c r="N16" i="2"/>
  <c r="M16" i="2"/>
  <c r="L16" i="2"/>
  <c r="P16" i="2"/>
  <c r="Q16" i="2"/>
  <c r="R16" i="2"/>
  <c r="S16" i="2"/>
  <c r="T16" i="2"/>
  <c r="U16" i="2"/>
  <c r="B36" i="4" l="1"/>
  <c r="K33" i="6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/>
  <c r="B10" i="4"/>
  <c r="B11" i="4"/>
  <c r="B12" i="4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H7" i="8" s="1"/>
  <c r="C8" i="8"/>
  <c r="C9" i="8"/>
  <c r="C10" i="8"/>
  <c r="C11" i="8"/>
  <c r="T11" i="8" s="1"/>
  <c r="C12" i="8"/>
  <c r="X12" i="8" s="1"/>
  <c r="C13" i="8"/>
  <c r="V13" i="8" s="1"/>
  <c r="C14" i="8"/>
  <c r="C15" i="8"/>
  <c r="C16" i="8"/>
  <c r="C17" i="8"/>
  <c r="C18" i="8"/>
  <c r="C19" i="8"/>
  <c r="C20" i="8"/>
  <c r="X20" i="8" s="1"/>
  <c r="C21" i="8"/>
  <c r="C22" i="8"/>
  <c r="C23" i="8"/>
  <c r="C24" i="8"/>
  <c r="J24" i="8" s="1"/>
  <c r="C25" i="8"/>
  <c r="C26" i="8"/>
  <c r="C27" i="8"/>
  <c r="C28" i="8"/>
  <c r="N28" i="8" s="1"/>
  <c r="C29" i="8"/>
  <c r="X29" i="8" s="1"/>
  <c r="C30" i="8"/>
  <c r="L30" i="8" s="1"/>
  <c r="C31" i="8"/>
  <c r="C32" i="8"/>
  <c r="C33" i="8"/>
  <c r="C34" i="8"/>
  <c r="C4" i="8"/>
  <c r="C27" i="2"/>
  <c r="C26" i="4" s="1"/>
  <c r="C28" i="2"/>
  <c r="C27" i="4" s="1"/>
  <c r="C29" i="2"/>
  <c r="C30" i="2"/>
  <c r="C31" i="2"/>
  <c r="C30" i="4" s="1"/>
  <c r="C32" i="2"/>
  <c r="C33" i="2"/>
  <c r="C32" i="4" s="1"/>
  <c r="C34" i="2"/>
  <c r="C33" i="4" s="1"/>
  <c r="J30" i="2"/>
  <c r="J31" i="2"/>
  <c r="J32" i="2"/>
  <c r="J33" i="2"/>
  <c r="J34" i="2"/>
  <c r="G33" i="4" s="1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4" i="2"/>
  <c r="C23" i="4" s="1"/>
  <c r="G33" i="6"/>
  <c r="K34" i="2"/>
  <c r="M34" i="2"/>
  <c r="N34" i="2"/>
  <c r="O34" i="2"/>
  <c r="P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C6" i="3" s="1"/>
  <c r="B7" i="3"/>
  <c r="E7" i="3" s="1"/>
  <c r="B8" i="3"/>
  <c r="B9" i="3"/>
  <c r="B10" i="3"/>
  <c r="E10" i="3" s="1"/>
  <c r="B11" i="3"/>
  <c r="B12" i="3"/>
  <c r="B13" i="3"/>
  <c r="B14" i="3"/>
  <c r="B15" i="3"/>
  <c r="B16" i="3"/>
  <c r="B17" i="3"/>
  <c r="B18" i="3"/>
  <c r="B19" i="3"/>
  <c r="B20" i="3"/>
  <c r="B21" i="3"/>
  <c r="D21" i="3" s="1"/>
  <c r="B22" i="3"/>
  <c r="B23" i="3"/>
  <c r="B24" i="3"/>
  <c r="C24" i="3" s="1"/>
  <c r="B25" i="3"/>
  <c r="B26" i="3"/>
  <c r="B27" i="3"/>
  <c r="B28" i="3"/>
  <c r="B29" i="3"/>
  <c r="D29" i="3" s="1"/>
  <c r="B30" i="3"/>
  <c r="B31" i="3"/>
  <c r="B32" i="3"/>
  <c r="B33" i="3"/>
  <c r="B3" i="3"/>
  <c r="E3" i="3" s="1"/>
  <c r="I34" i="2"/>
  <c r="H34" i="2"/>
  <c r="G34" i="2"/>
  <c r="F34" i="2"/>
  <c r="E34" i="2"/>
  <c r="E33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1" i="4" s="1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L17" i="3" s="1"/>
  <c r="U19" i="2"/>
  <c r="U20" i="2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H28" i="4" s="1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9" i="4"/>
  <c r="K19" i="4"/>
  <c r="N18" i="8"/>
  <c r="P34" i="8"/>
  <c r="C21" i="4"/>
  <c r="E17" i="3"/>
  <c r="H16" i="8"/>
  <c r="T16" i="8"/>
  <c r="C5" i="3"/>
  <c r="C14" i="3"/>
  <c r="C8" i="3" l="1"/>
  <c r="D30" i="3"/>
  <c r="R24" i="8"/>
  <c r="E25" i="3"/>
  <c r="F3" i="3"/>
  <c r="H10" i="4"/>
  <c r="H8" i="8"/>
  <c r="R8" i="8"/>
  <c r="I3" i="3"/>
  <c r="L32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18" i="8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K33" i="3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K25" i="3"/>
  <c r="K28" i="3"/>
  <c r="G7" i="3"/>
  <c r="G18" i="4"/>
  <c r="J18" i="8"/>
  <c r="N20" i="8"/>
  <c r="V31" i="8"/>
  <c r="J24" i="4"/>
  <c r="G8" i="4"/>
  <c r="F4" i="8"/>
  <c r="H26" i="8"/>
  <c r="C21" i="3"/>
  <c r="K20" i="3"/>
  <c r="G27" i="4"/>
  <c r="C31" i="4"/>
  <c r="J26" i="4"/>
  <c r="K17" i="3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K32" i="3"/>
  <c r="K29" i="3"/>
  <c r="I26" i="4"/>
  <c r="J21" i="8"/>
  <c r="K17" i="4"/>
  <c r="K26" i="3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K18" i="3"/>
  <c r="T25" i="8"/>
  <c r="L26" i="3"/>
  <c r="F17" i="3"/>
  <c r="K4" i="3"/>
  <c r="F33" i="8"/>
  <c r="F21" i="3"/>
  <c r="E28" i="3"/>
  <c r="K15" i="3"/>
  <c r="H27" i="4"/>
  <c r="H11" i="4"/>
  <c r="H31" i="4"/>
  <c r="L4" i="3"/>
  <c r="F32" i="4"/>
  <c r="H27" i="3"/>
  <c r="I19" i="3"/>
  <c r="K30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K21" i="3"/>
  <c r="T4" i="8"/>
  <c r="H29" i="4"/>
  <c r="H21" i="4"/>
  <c r="H13" i="4"/>
  <c r="I33" i="4"/>
  <c r="D33" i="8"/>
  <c r="J18" i="3"/>
  <c r="I10" i="4"/>
  <c r="V32" i="2"/>
  <c r="M31" i="3" s="1"/>
  <c r="J32" i="3"/>
  <c r="T14" i="8"/>
  <c r="H14" i="8"/>
  <c r="E22" i="3"/>
  <c r="X14" i="8"/>
  <c r="N27" i="8"/>
  <c r="L12" i="3"/>
  <c r="J31" i="3"/>
  <c r="L32" i="3"/>
  <c r="L28" i="3"/>
  <c r="K16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K24" i="3"/>
  <c r="K23" i="3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K31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34" i="4" s="1"/>
  <c r="D36" i="4" s="1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K19" i="3"/>
  <c r="K27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31" i="2"/>
  <c r="M30" i="3" s="1"/>
  <c r="V11" i="2"/>
  <c r="M10" i="3" s="1"/>
  <c r="K22" i="3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32" i="3"/>
  <c r="C22" i="3"/>
  <c r="C34" i="4" l="1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<sst xmlns="http://schemas.openxmlformats.org/spreadsheetml/2006/main" count="204" uniqueCount="131">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</sst>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7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-554320</c:v>
                </c:pt>
                <c:pt idx="1">
                  <c:v>-3086900</c:v>
                </c:pt>
                <c:pt idx="2">
                  <c:v>-298740</c:v>
                </c:pt>
                <c:pt idx="3">
                  <c:v>-1166030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-62050</c:v>
                </c:pt>
                <c:pt idx="1">
                  <c:v>0.28419239894109133</c:v>
                </c:pt>
                <c:pt idx="2" formatCode="_(* #,##0.00_);_(* \(#,##0.00\);_(* &quot;-&quot;??_);_(@_)">
                  <c:v>-248339</c:v>
                </c:pt>
                <c:pt idx="3">
                  <c:v>1.1374062233784317</c:v>
                </c:pt>
                <c:pt idx="4" formatCode="0.00">
                  <c:v>-30271</c:v>
                </c:pt>
                <c:pt idx="5">
                  <c:v>0.1386428381683445</c:v>
                </c:pt>
                <c:pt idx="6" formatCode="0.00">
                  <c:v>-42864</c:v>
                </c:pt>
                <c:pt idx="7">
                  <c:v>0.19631946798083705</c:v>
                </c:pt>
                <c:pt idx="8" formatCode="0.00">
                  <c:v>-7975</c:v>
                </c:pt>
                <c:pt idx="9">
                  <c:v>3.6525936850204728E-2</c:v>
                </c:pt>
                <c:pt idx="10" formatCode="0.00">
                  <c:v>-1528</c:v>
                </c:pt>
                <c:pt idx="11">
                  <c:v>6.9983236999514517E-3</c:v>
                </c:pt>
                <c:pt idx="12" formatCode="0.00">
                  <c:v>-8502</c:v>
                </c:pt>
                <c:pt idx="13">
                  <c:v>3.8939625717923587E-2</c:v>
                </c:pt>
                <c:pt idx="14" formatCode="_(* #,##0.00_);_(* \(#,##0.00\);_(* &quot;-&quot;??_);_(@_)">
                  <c:v>-266370</c:v>
                </c:pt>
                <c:pt idx="15">
                  <c:v>1.2199891910707252</c:v>
                </c:pt>
                <c:pt idx="16" formatCode="0.00">
                  <c:v>-2030</c:v>
                </c:pt>
                <c:pt idx="17">
                  <c:v>9.2975111982339306E-3</c:v>
                </c:pt>
                <c:pt idx="18" formatCode="0.00">
                  <c:v>-7975</c:v>
                </c:pt>
                <c:pt idx="19">
                  <c:v>3.6525936850204728E-2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-218338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-677904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1149056"/>
        <c:axId val="221175808"/>
      </c:barChart>
      <c:catAx>
        <c:axId val="221149056"/>
        <c:scaling>
          <c:orientation val="minMax"/>
        </c:scaling>
        <c:delete val="1"/>
        <c:axPos val="b"/>
        <c:majorTickMark val="none"/>
        <c:minorTickMark val="none"/>
        <c:tickLblPos val="nextTo"/>
        <c:crossAx val="221175808"/>
        <c:crosses val="autoZero"/>
        <c:auto val="1"/>
        <c:lblAlgn val="ctr"/>
        <c:lblOffset val="100"/>
        <c:noMultiLvlLbl val="0"/>
      </c:catAx>
      <c:valAx>
        <c:axId val="2211758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1149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14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7" t="s">
        <v>4</v>
      </c>
      <c r="F1" s="113" t="s">
        <v>5</v>
      </c>
      <c r="G1" s="40" t="s">
        <v>129</v>
      </c>
      <c r="H1" s="114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4</v>
      </c>
      <c r="D2" s="116">
        <v>2022</v>
      </c>
      <c r="E2" s="54">
        <v>24100.000000000589</v>
      </c>
      <c r="F2" s="122">
        <v>0.19400000000000001</v>
      </c>
      <c r="G2" s="103">
        <v>6763</v>
      </c>
      <c r="H2" s="123">
        <v>0.70309999999999995</v>
      </c>
      <c r="I2" s="63">
        <v>393</v>
      </c>
      <c r="J2" s="73">
        <v>0.56200000000000006</v>
      </c>
      <c r="K2" s="100"/>
      <c r="L2" s="73">
        <v>1</v>
      </c>
      <c r="M2" s="69">
        <v>59</v>
      </c>
      <c r="N2" s="69">
        <v>160</v>
      </c>
      <c r="O2" s="69">
        <v>424</v>
      </c>
    </row>
    <row r="3" spans="1:15" ht="15" x14ac:dyDescent="0.25">
      <c r="A3" s="44" t="s">
        <v>9</v>
      </c>
      <c r="B3" s="45">
        <f>B2+1</f>
        <v>2</v>
      </c>
      <c r="C3" s="46">
        <v>4</v>
      </c>
      <c r="D3" s="116">
        <v>2022</v>
      </c>
      <c r="E3" s="54">
        <v>24709.999999998443</v>
      </c>
      <c r="F3" s="122">
        <v>0.19400000000000001</v>
      </c>
      <c r="G3" s="103">
        <v>6854</v>
      </c>
      <c r="H3" s="123">
        <v>0.70309999999999995</v>
      </c>
      <c r="I3" s="63">
        <v>372</v>
      </c>
      <c r="J3" s="73">
        <v>0.56200000000000006</v>
      </c>
      <c r="K3" s="100"/>
      <c r="L3" s="73">
        <v>1</v>
      </c>
      <c r="M3" s="69">
        <v>58</v>
      </c>
      <c r="N3" s="69">
        <v>162</v>
      </c>
      <c r="O3" s="69">
        <v>474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4</v>
      </c>
      <c r="D4" s="116">
        <v>2022</v>
      </c>
      <c r="E4" s="54">
        <v>24350.000000001728</v>
      </c>
      <c r="F4" s="122">
        <v>0.19400000000000001</v>
      </c>
      <c r="G4" s="103">
        <v>6786</v>
      </c>
      <c r="H4" s="123">
        <v>0.70309999999999995</v>
      </c>
      <c r="I4" s="63">
        <v>373</v>
      </c>
      <c r="J4" s="73">
        <v>0.56200000000000006</v>
      </c>
      <c r="K4" s="100"/>
      <c r="L4" s="73">
        <v>1</v>
      </c>
      <c r="M4" s="69">
        <v>56</v>
      </c>
      <c r="N4" s="69">
        <v>161</v>
      </c>
      <c r="O4" s="69">
        <v>481</v>
      </c>
    </row>
    <row r="5" spans="1:15" ht="15" x14ac:dyDescent="0.25">
      <c r="A5" s="44" t="s">
        <v>9</v>
      </c>
      <c r="B5" s="45">
        <f t="shared" si="0"/>
        <v>4</v>
      </c>
      <c r="C5" s="46">
        <v>4</v>
      </c>
      <c r="D5" s="116">
        <v>2022</v>
      </c>
      <c r="E5" s="54">
        <v>23750.000000000909</v>
      </c>
      <c r="F5" s="122">
        <v>0.19400000000000001</v>
      </c>
      <c r="G5" s="103">
        <v>6687</v>
      </c>
      <c r="H5" s="123">
        <v>0.70309999999999995</v>
      </c>
      <c r="I5" s="63">
        <v>394</v>
      </c>
      <c r="J5" s="73">
        <v>0.56200000000000006</v>
      </c>
      <c r="K5" s="100"/>
      <c r="L5" s="73">
        <v>1</v>
      </c>
      <c r="M5" s="69">
        <v>63</v>
      </c>
      <c r="N5" s="69">
        <v>167</v>
      </c>
      <c r="O5" s="69">
        <v>441</v>
      </c>
    </row>
    <row r="6" spans="1:15" ht="15" x14ac:dyDescent="0.25">
      <c r="A6" s="44" t="s">
        <v>9</v>
      </c>
      <c r="B6" s="45">
        <f t="shared" si="0"/>
        <v>5</v>
      </c>
      <c r="C6" s="46">
        <v>4</v>
      </c>
      <c r="D6" s="116">
        <v>2022</v>
      </c>
      <c r="E6" s="54">
        <v>22509.999999997945</v>
      </c>
      <c r="F6" s="122">
        <v>0.19400000000000001</v>
      </c>
      <c r="G6" s="103">
        <v>6259</v>
      </c>
      <c r="H6" s="123">
        <v>0.70309999999999995</v>
      </c>
      <c r="I6" s="63">
        <v>364</v>
      </c>
      <c r="J6" s="73">
        <v>0.56200000000000006</v>
      </c>
      <c r="K6" s="100"/>
      <c r="L6" s="73">
        <v>1</v>
      </c>
      <c r="M6" s="69">
        <v>63</v>
      </c>
      <c r="N6" s="69">
        <v>172</v>
      </c>
      <c r="O6" s="69">
        <v>477</v>
      </c>
    </row>
    <row r="7" spans="1:15" ht="15" x14ac:dyDescent="0.25">
      <c r="A7" s="44" t="s">
        <v>9</v>
      </c>
      <c r="B7" s="45">
        <f t="shared" si="0"/>
        <v>6</v>
      </c>
      <c r="C7" s="46">
        <v>4</v>
      </c>
      <c r="D7" s="116">
        <v>2022</v>
      </c>
      <c r="E7" s="54">
        <v>23740.000000000917</v>
      </c>
      <c r="F7" s="122">
        <v>0.19400000000000001</v>
      </c>
      <c r="G7" s="103">
        <v>6466</v>
      </c>
      <c r="H7" s="123">
        <v>0.70309999999999995</v>
      </c>
      <c r="I7" s="63">
        <v>395</v>
      </c>
      <c r="J7" s="73">
        <v>0.56200000000000006</v>
      </c>
      <c r="K7" s="100"/>
      <c r="L7" s="73">
        <v>1</v>
      </c>
      <c r="M7" s="69">
        <v>67</v>
      </c>
      <c r="N7" s="69">
        <v>181</v>
      </c>
      <c r="O7" s="69">
        <v>472</v>
      </c>
    </row>
    <row r="8" spans="1:15" ht="15" x14ac:dyDescent="0.25">
      <c r="A8" s="44" t="s">
        <v>9</v>
      </c>
      <c r="B8" s="45">
        <f t="shared" si="0"/>
        <v>7</v>
      </c>
      <c r="C8" s="46">
        <v>4</v>
      </c>
      <c r="D8" s="116">
        <v>2022</v>
      </c>
      <c r="E8" s="103">
        <v>23790.000000000189</v>
      </c>
      <c r="F8" s="122">
        <v>0.19400000000000001</v>
      </c>
      <c r="G8" s="103">
        <v>6702</v>
      </c>
      <c r="H8" s="123">
        <v>0.70309999999999995</v>
      </c>
      <c r="I8" s="63">
        <v>379</v>
      </c>
      <c r="J8" s="73">
        <v>0.56200000000000006</v>
      </c>
      <c r="K8" s="100"/>
      <c r="L8" s="73">
        <v>1</v>
      </c>
      <c r="M8" s="69">
        <v>65</v>
      </c>
      <c r="N8" s="69">
        <v>177</v>
      </c>
      <c r="O8" s="69">
        <v>448</v>
      </c>
    </row>
    <row r="9" spans="1:15" ht="15" x14ac:dyDescent="0.25">
      <c r="A9" s="44" t="s">
        <v>9</v>
      </c>
      <c r="B9" s="45">
        <f t="shared" si="0"/>
        <v>8</v>
      </c>
      <c r="C9" s="46">
        <v>4</v>
      </c>
      <c r="D9" s="116">
        <v>2022</v>
      </c>
      <c r="E9" s="103">
        <v>24849.999999999909</v>
      </c>
      <c r="F9" s="122">
        <v>0.19400000000000001</v>
      </c>
      <c r="G9" s="103">
        <v>7089</v>
      </c>
      <c r="H9" s="123">
        <v>0.70309999999999995</v>
      </c>
      <c r="I9" s="63">
        <v>360</v>
      </c>
      <c r="J9" s="73">
        <v>0.56200000000000006</v>
      </c>
      <c r="K9" s="100"/>
      <c r="L9" s="73">
        <v>1</v>
      </c>
      <c r="M9" s="69">
        <v>69</v>
      </c>
      <c r="N9" s="69">
        <v>194</v>
      </c>
      <c r="O9" s="69">
        <v>522</v>
      </c>
    </row>
    <row r="10" spans="1:15" ht="15" x14ac:dyDescent="0.25">
      <c r="A10" s="44" t="s">
        <v>9</v>
      </c>
      <c r="B10" s="45">
        <f t="shared" si="0"/>
        <v>9</v>
      </c>
      <c r="C10" s="46">
        <v>4</v>
      </c>
      <c r="D10" s="116">
        <v>2022</v>
      </c>
      <c r="E10" s="103"/>
      <c r="F10" s="122">
        <v>0.19400000000000001</v>
      </c>
      <c r="G10" s="103"/>
      <c r="H10" s="123">
        <v>0.70309999999999995</v>
      </c>
      <c r="I10" s="63"/>
      <c r="J10" s="73">
        <v>0.56200000000000006</v>
      </c>
      <c r="K10" s="100"/>
      <c r="L10" s="73">
        <v>1</v>
      </c>
      <c r="M10" s="69">
        <v>72</v>
      </c>
      <c r="N10" s="69">
        <v>202</v>
      </c>
      <c r="O10" s="69">
        <v>492</v>
      </c>
    </row>
    <row r="11" spans="1:15" ht="15" x14ac:dyDescent="0.25">
      <c r="A11" s="44" t="s">
        <v>9</v>
      </c>
      <c r="B11" s="45">
        <f t="shared" si="0"/>
        <v>10</v>
      </c>
      <c r="C11" s="46">
        <v>4</v>
      </c>
      <c r="D11" s="116">
        <v>2022</v>
      </c>
      <c r="E11" s="103"/>
      <c r="F11" s="122">
        <v>0.19400000000000001</v>
      </c>
      <c r="G11" s="103"/>
      <c r="H11" s="123">
        <v>0.70309999999999995</v>
      </c>
      <c r="I11" s="63"/>
      <c r="J11" s="73">
        <v>0.56200000000000006</v>
      </c>
      <c r="K11" s="100"/>
      <c r="L11" s="73">
        <v>1</v>
      </c>
      <c r="M11" s="69">
        <v>75</v>
      </c>
      <c r="N11" s="69">
        <v>200</v>
      </c>
      <c r="O11" s="69">
        <v>534</v>
      </c>
    </row>
    <row r="12" spans="1:15" ht="15" x14ac:dyDescent="0.25">
      <c r="A12" s="44" t="s">
        <v>9</v>
      </c>
      <c r="B12" s="45">
        <f t="shared" si="0"/>
        <v>11</v>
      </c>
      <c r="C12" s="46">
        <v>4</v>
      </c>
      <c r="D12" s="116">
        <v>2022</v>
      </c>
      <c r="E12" s="103"/>
      <c r="F12" s="122">
        <v>0.19400000000000001</v>
      </c>
      <c r="G12" s="103"/>
      <c r="H12" s="123">
        <v>0.70309999999999995</v>
      </c>
      <c r="I12" s="63"/>
      <c r="J12" s="73">
        <v>0.56200000000000006</v>
      </c>
      <c r="K12" s="100"/>
      <c r="L12" s="73">
        <v>1</v>
      </c>
      <c r="M12" s="69">
        <v>75</v>
      </c>
      <c r="N12" s="69">
        <v>188</v>
      </c>
      <c r="O12" s="69">
        <v>525</v>
      </c>
    </row>
    <row r="13" spans="1:15" ht="15" x14ac:dyDescent="0.25">
      <c r="A13" s="44" t="s">
        <v>9</v>
      </c>
      <c r="B13" s="45">
        <f t="shared" si="0"/>
        <v>12</v>
      </c>
      <c r="C13" s="46">
        <v>4</v>
      </c>
      <c r="D13" s="116">
        <v>2022</v>
      </c>
      <c r="E13" s="103"/>
      <c r="F13" s="122">
        <v>0.19400000000000001</v>
      </c>
      <c r="G13" s="103"/>
      <c r="H13" s="123">
        <v>0.70309999999999995</v>
      </c>
      <c r="I13" s="63"/>
      <c r="J13" s="73">
        <v>0.56200000000000006</v>
      </c>
      <c r="K13" s="100"/>
      <c r="L13" s="73">
        <v>1</v>
      </c>
      <c r="M13" s="69">
        <v>77</v>
      </c>
      <c r="N13" s="69">
        <v>197</v>
      </c>
      <c r="O13" s="69">
        <v>561</v>
      </c>
    </row>
    <row r="14" spans="1:15" ht="15" x14ac:dyDescent="0.25">
      <c r="A14" s="44" t="s">
        <v>9</v>
      </c>
      <c r="B14" s="45">
        <f t="shared" si="0"/>
        <v>13</v>
      </c>
      <c r="C14" s="46">
        <v>4</v>
      </c>
      <c r="D14" s="116">
        <v>2022</v>
      </c>
      <c r="E14" s="103"/>
      <c r="F14" s="122">
        <v>0.19400000000000001</v>
      </c>
      <c r="G14" s="103"/>
      <c r="H14" s="123">
        <v>0.70309999999999995</v>
      </c>
      <c r="I14" s="63"/>
      <c r="J14" s="73">
        <v>0.56200000000000006</v>
      </c>
      <c r="K14" s="100"/>
      <c r="L14" s="73">
        <v>1</v>
      </c>
      <c r="M14" s="69">
        <v>74</v>
      </c>
      <c r="N14" s="69">
        <v>186</v>
      </c>
      <c r="O14" s="69">
        <v>541</v>
      </c>
    </row>
    <row r="15" spans="1:15" ht="15" x14ac:dyDescent="0.25">
      <c r="A15" s="44" t="s">
        <v>9</v>
      </c>
      <c r="B15" s="45">
        <f t="shared" si="0"/>
        <v>14</v>
      </c>
      <c r="C15" s="46">
        <v>4</v>
      </c>
      <c r="D15" s="116">
        <v>2022</v>
      </c>
      <c r="E15" s="103"/>
      <c r="F15" s="122">
        <v>0.19400000000000001</v>
      </c>
      <c r="G15" s="103"/>
      <c r="H15" s="123">
        <v>0.70309999999999995</v>
      </c>
      <c r="I15" s="63"/>
      <c r="J15" s="73">
        <v>0.56200000000000006</v>
      </c>
      <c r="K15" s="100"/>
      <c r="L15" s="73">
        <v>1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4</v>
      </c>
      <c r="D16" s="116">
        <v>2022</v>
      </c>
      <c r="E16" s="103"/>
      <c r="F16" s="122">
        <v>0.19400000000000001</v>
      </c>
      <c r="G16" s="103"/>
      <c r="H16" s="123">
        <v>0.70309999999999995</v>
      </c>
      <c r="I16" s="63"/>
      <c r="J16" s="73">
        <v>0.56200000000000006</v>
      </c>
      <c r="K16" s="100"/>
      <c r="L16" s="73">
        <v>1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4</v>
      </c>
      <c r="D17" s="116">
        <v>2022</v>
      </c>
      <c r="E17" s="103"/>
      <c r="F17" s="122">
        <v>0.19400000000000001</v>
      </c>
      <c r="G17" s="103"/>
      <c r="H17" s="123">
        <v>0.70309999999999995</v>
      </c>
      <c r="I17" s="63"/>
      <c r="J17" s="73">
        <v>0.56200000000000006</v>
      </c>
      <c r="K17" s="100"/>
      <c r="L17" s="73">
        <v>1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4</v>
      </c>
      <c r="D18" s="116">
        <v>2022</v>
      </c>
      <c r="E18" s="103"/>
      <c r="F18" s="122">
        <v>0.19400000000000001</v>
      </c>
      <c r="G18" s="103"/>
      <c r="H18" s="123">
        <v>0.70309999999999995</v>
      </c>
      <c r="I18" s="63"/>
      <c r="J18" s="73">
        <v>0.56200000000000006</v>
      </c>
      <c r="K18" s="100"/>
      <c r="L18" s="73">
        <v>1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4</v>
      </c>
      <c r="D19" s="116">
        <v>2022</v>
      </c>
      <c r="E19" s="103"/>
      <c r="F19" s="122">
        <v>0.19400000000000001</v>
      </c>
      <c r="G19" s="103"/>
      <c r="H19" s="123">
        <v>0.70309999999999995</v>
      </c>
      <c r="I19" s="63"/>
      <c r="J19" s="73">
        <v>0.56200000000000006</v>
      </c>
      <c r="K19" s="100"/>
      <c r="L19" s="73">
        <v>1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4</v>
      </c>
      <c r="D20" s="116">
        <v>2022</v>
      </c>
      <c r="E20" s="103"/>
      <c r="F20" s="122">
        <v>0.19400000000000001</v>
      </c>
      <c r="G20" s="103"/>
      <c r="H20" s="123">
        <v>0.70309999999999995</v>
      </c>
      <c r="I20" s="63"/>
      <c r="J20" s="73">
        <v>0.56200000000000006</v>
      </c>
      <c r="K20" s="100"/>
      <c r="L20" s="73">
        <v>1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4</v>
      </c>
      <c r="D21" s="116">
        <v>2022</v>
      </c>
      <c r="E21" s="103"/>
      <c r="F21" s="122">
        <v>0.19400000000000001</v>
      </c>
      <c r="G21" s="103"/>
      <c r="H21" s="123">
        <v>0.70309999999999995</v>
      </c>
      <c r="I21" s="63"/>
      <c r="J21" s="73">
        <v>0.56200000000000006</v>
      </c>
      <c r="K21" s="100"/>
      <c r="L21" s="73">
        <v>1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4</v>
      </c>
      <c r="D22" s="116">
        <v>2022</v>
      </c>
      <c r="E22" s="103"/>
      <c r="F22" s="122">
        <v>0.19400000000000001</v>
      </c>
      <c r="G22" s="103"/>
      <c r="H22" s="123">
        <v>0.70309999999999995</v>
      </c>
      <c r="I22" s="63"/>
      <c r="J22" s="73">
        <v>0.56200000000000006</v>
      </c>
      <c r="K22" s="100"/>
      <c r="L22" s="73">
        <v>1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4</v>
      </c>
      <c r="D23" s="116">
        <v>2022</v>
      </c>
      <c r="E23" s="103"/>
      <c r="F23" s="122">
        <v>0.19400000000000001</v>
      </c>
      <c r="G23" s="103"/>
      <c r="H23" s="123">
        <v>0.70309999999999995</v>
      </c>
      <c r="I23" s="63"/>
      <c r="J23" s="73">
        <v>0.56200000000000006</v>
      </c>
      <c r="K23" s="100"/>
      <c r="L23" s="73">
        <v>1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4</v>
      </c>
      <c r="D24" s="116">
        <v>2022</v>
      </c>
      <c r="E24" s="103"/>
      <c r="F24" s="122">
        <v>0.19400000000000001</v>
      </c>
      <c r="G24" s="103"/>
      <c r="H24" s="123">
        <v>0.70309999999999995</v>
      </c>
      <c r="I24" s="63"/>
      <c r="J24" s="73">
        <v>0.56200000000000006</v>
      </c>
      <c r="K24" s="100"/>
      <c r="L24" s="73">
        <v>1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4</v>
      </c>
      <c r="D25" s="116">
        <v>2022</v>
      </c>
      <c r="E25" s="103"/>
      <c r="F25" s="122">
        <v>0.19400000000000001</v>
      </c>
      <c r="G25" s="103"/>
      <c r="H25" s="123">
        <v>0.70309999999999995</v>
      </c>
      <c r="I25" s="63"/>
      <c r="J25" s="73">
        <v>0.56200000000000006</v>
      </c>
      <c r="K25" s="100"/>
      <c r="L25" s="73">
        <v>1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4</v>
      </c>
      <c r="D26" s="116">
        <v>2022</v>
      </c>
      <c r="E26" s="103"/>
      <c r="F26" s="122">
        <v>0.19400000000000001</v>
      </c>
      <c r="G26" s="103"/>
      <c r="H26" s="123">
        <v>0.70309999999999995</v>
      </c>
      <c r="I26" s="63"/>
      <c r="J26" s="73">
        <v>0.56200000000000006</v>
      </c>
      <c r="K26" s="100"/>
      <c r="L26" s="73">
        <v>1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4</v>
      </c>
      <c r="D27" s="116">
        <v>2022</v>
      </c>
      <c r="E27" s="103"/>
      <c r="F27" s="122">
        <v>0.19400000000000001</v>
      </c>
      <c r="G27" s="103"/>
      <c r="H27" s="123">
        <v>0.70309999999999995</v>
      </c>
      <c r="I27" s="63"/>
      <c r="J27" s="73">
        <v>0.56200000000000006</v>
      </c>
      <c r="K27" s="100"/>
      <c r="L27" s="73">
        <v>1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4</v>
      </c>
      <c r="D28" s="116">
        <v>2022</v>
      </c>
      <c r="E28" s="103"/>
      <c r="F28" s="122">
        <v>0.19400000000000001</v>
      </c>
      <c r="G28" s="103"/>
      <c r="H28" s="123">
        <v>0.70309999999999995</v>
      </c>
      <c r="I28" s="63"/>
      <c r="J28" s="73">
        <v>0.56200000000000006</v>
      </c>
      <c r="K28" s="100"/>
      <c r="L28" s="73">
        <v>1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4</v>
      </c>
      <c r="D29" s="116">
        <v>2022</v>
      </c>
      <c r="E29" s="103"/>
      <c r="F29" s="122">
        <v>0.19400000000000001</v>
      </c>
      <c r="G29" s="103"/>
      <c r="H29" s="123">
        <v>0.70309999999999995</v>
      </c>
      <c r="I29" s="63"/>
      <c r="J29" s="73">
        <v>0.56200000000000006</v>
      </c>
      <c r="K29" s="100"/>
      <c r="L29" s="73">
        <v>1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4</v>
      </c>
      <c r="D30" s="116">
        <v>2022</v>
      </c>
      <c r="E30" s="103"/>
      <c r="F30" s="122">
        <v>0.19400000000000001</v>
      </c>
      <c r="G30" s="103"/>
      <c r="H30" s="123">
        <v>0.70309999999999995</v>
      </c>
      <c r="I30" s="63"/>
      <c r="J30" s="73">
        <v>0.56200000000000006</v>
      </c>
      <c r="K30" s="100"/>
      <c r="L30" s="73">
        <v>1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4</v>
      </c>
      <c r="D31" s="116">
        <v>2022</v>
      </c>
      <c r="E31" s="99"/>
      <c r="F31" s="122">
        <v>0.19400000000000001</v>
      </c>
      <c r="G31" s="99"/>
      <c r="H31" s="123">
        <v>0.70309999999999995</v>
      </c>
      <c r="I31" s="63"/>
      <c r="J31" s="73">
        <v>0.56200000000000006</v>
      </c>
      <c r="K31" s="100"/>
      <c r="L31" s="73">
        <v>1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4</v>
      </c>
      <c r="D32" s="116">
        <v>2022</v>
      </c>
      <c r="E32" s="99"/>
      <c r="F32" s="122">
        <v>0.19400000000000001</v>
      </c>
      <c r="G32" s="99"/>
      <c r="H32" s="123">
        <v>0.70309999999999995</v>
      </c>
      <c r="I32" s="63"/>
      <c r="J32" s="73">
        <v>0.56200000000000006</v>
      </c>
      <c r="K32" s="100"/>
      <c r="L32" s="73">
        <v>1</v>
      </c>
      <c r="M32" s="69"/>
      <c r="N32" s="69"/>
      <c r="O32" s="69"/>
    </row>
    <row r="33" spans="1:15" ht="18.75" customHeight="1" x14ac:dyDescent="0.2">
      <c r="A33" s="127" t="s">
        <v>52</v>
      </c>
      <c r="B33" s="127"/>
      <c r="C33" s="127"/>
      <c r="D33" s="127"/>
      <c r="E33" s="115">
        <f>SUM(E2:E32)</f>
        <v>191800.00000000061</v>
      </c>
      <c r="F33" s="96">
        <v>0</v>
      </c>
      <c r="G33" s="115">
        <f>SUM(G2:G32)</f>
        <v>53606</v>
      </c>
      <c r="H33" s="94">
        <v>0</v>
      </c>
      <c r="I33" s="95">
        <f>SUM(I2:I32)</f>
        <v>3030</v>
      </c>
      <c r="J33" s="96">
        <v>0</v>
      </c>
      <c r="K33" s="97">
        <f>SUM(K2:K32)</f>
        <v>0</v>
      </c>
      <c r="L33" s="94">
        <v>0</v>
      </c>
      <c r="M33" s="98">
        <f t="shared" ref="M33:O33" si="1">SUM(M2:M32)</f>
        <v>873</v>
      </c>
      <c r="N33" s="98">
        <f t="shared" si="1"/>
        <v>2347</v>
      </c>
      <c r="O33" s="98">
        <f t="shared" si="1"/>
        <v>6392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V4" sqref="V4:X16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8" t="s">
        <v>10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74"/>
      <c r="V1" s="74"/>
    </row>
    <row r="2" spans="1:25" s="17" customFormat="1" ht="33" customHeight="1" x14ac:dyDescent="0.25">
      <c r="A2" s="28" t="s">
        <v>2</v>
      </c>
      <c r="B2" s="135" t="s">
        <v>126</v>
      </c>
      <c r="C2" s="135" t="s">
        <v>11</v>
      </c>
      <c r="D2" s="135" t="s">
        <v>12</v>
      </c>
      <c r="E2" s="135" t="s">
        <v>13</v>
      </c>
      <c r="F2" s="135" t="s">
        <v>14</v>
      </c>
      <c r="G2" s="130" t="s">
        <v>15</v>
      </c>
      <c r="H2" s="132" t="s">
        <v>16</v>
      </c>
      <c r="I2" s="135" t="s">
        <v>17</v>
      </c>
      <c r="J2" s="137" t="s">
        <v>18</v>
      </c>
      <c r="K2" s="138"/>
      <c r="L2" s="139"/>
      <c r="M2" s="130" t="s">
        <v>19</v>
      </c>
      <c r="N2" s="132" t="s">
        <v>20</v>
      </c>
      <c r="O2" s="133" t="s">
        <v>21</v>
      </c>
      <c r="P2" s="132" t="s">
        <v>22</v>
      </c>
      <c r="Q2" s="140" t="s">
        <v>23</v>
      </c>
      <c r="R2" s="135" t="s">
        <v>24</v>
      </c>
      <c r="S2" s="135" t="s">
        <v>25</v>
      </c>
      <c r="T2" s="135" t="s">
        <v>26</v>
      </c>
      <c r="V2" s="142" t="s">
        <v>6</v>
      </c>
      <c r="W2" s="142" t="s">
        <v>7</v>
      </c>
      <c r="X2" s="142" t="s">
        <v>8</v>
      </c>
    </row>
    <row r="3" spans="1:25" s="17" customFormat="1" ht="45" customHeight="1" x14ac:dyDescent="0.25">
      <c r="A3" s="29"/>
      <c r="B3" s="136"/>
      <c r="C3" s="136"/>
      <c r="D3" s="136"/>
      <c r="E3" s="136"/>
      <c r="F3" s="136"/>
      <c r="G3" s="131"/>
      <c r="H3" s="132"/>
      <c r="I3" s="136"/>
      <c r="J3" s="18" t="s">
        <v>27</v>
      </c>
      <c r="K3" s="18" t="s">
        <v>28</v>
      </c>
      <c r="L3" s="18" t="s">
        <v>29</v>
      </c>
      <c r="M3" s="131"/>
      <c r="N3" s="132"/>
      <c r="O3" s="134"/>
      <c r="P3" s="132"/>
      <c r="Q3" s="141"/>
      <c r="R3" s="136"/>
      <c r="S3" s="136"/>
      <c r="T3" s="136"/>
      <c r="V3" s="142"/>
      <c r="W3" s="142"/>
      <c r="X3" s="142"/>
    </row>
    <row r="4" spans="1:25" ht="21" customHeight="1" x14ac:dyDescent="0.25">
      <c r="A4" s="8">
        <v>44652</v>
      </c>
      <c r="B4" s="105">
        <v>1.3107</v>
      </c>
      <c r="C4" s="106">
        <v>298.74</v>
      </c>
      <c r="D4" s="106">
        <v>8060007.3899999997</v>
      </c>
      <c r="E4" s="106">
        <v>8953592.2400000002</v>
      </c>
      <c r="F4" s="106">
        <v>3.0869</v>
      </c>
      <c r="G4" s="106">
        <v>987.87</v>
      </c>
      <c r="H4" s="106">
        <v>865.12</v>
      </c>
      <c r="I4" s="106">
        <v>317.7</v>
      </c>
      <c r="J4" s="106">
        <v>432.98</v>
      </c>
      <c r="K4" s="106">
        <v>436.44</v>
      </c>
      <c r="L4" s="106">
        <v>296.61</v>
      </c>
      <c r="M4" s="106">
        <v>723.85</v>
      </c>
      <c r="N4" s="106">
        <v>683.45</v>
      </c>
      <c r="O4" s="106">
        <v>210.21</v>
      </c>
      <c r="P4" s="106">
        <v>890.12</v>
      </c>
      <c r="Q4" s="106">
        <v>656.22</v>
      </c>
      <c r="R4" s="106">
        <v>190.15</v>
      </c>
      <c r="S4" s="106">
        <v>152.19999999999999</v>
      </c>
      <c r="T4" s="106">
        <v>554.32000000000005</v>
      </c>
      <c r="V4" s="69">
        <v>59</v>
      </c>
      <c r="W4" s="69">
        <v>160</v>
      </c>
      <c r="X4" s="69">
        <v>424</v>
      </c>
      <c r="Y4" s="17"/>
    </row>
    <row r="5" spans="1:25" ht="21" customHeight="1" x14ac:dyDescent="0.25">
      <c r="A5" s="8">
        <v>44653</v>
      </c>
      <c r="B5" s="107">
        <v>1.3120000000000001</v>
      </c>
      <c r="C5" s="108">
        <v>299</v>
      </c>
      <c r="D5" s="108">
        <v>8062169.9900000002</v>
      </c>
      <c r="E5" s="108">
        <v>8956190.7599999998</v>
      </c>
      <c r="F5" s="108">
        <v>3.0897000000000001</v>
      </c>
      <c r="G5" s="108">
        <v>988.95</v>
      </c>
      <c r="H5" s="108">
        <v>866.48</v>
      </c>
      <c r="I5" s="108">
        <v>318.07</v>
      </c>
      <c r="J5" s="108">
        <v>433.56</v>
      </c>
      <c r="K5" s="108">
        <v>436.79</v>
      </c>
      <c r="L5" s="108">
        <v>296.86</v>
      </c>
      <c r="M5" s="108">
        <v>724.73</v>
      </c>
      <c r="N5" s="108">
        <v>684.38</v>
      </c>
      <c r="O5" s="108">
        <v>210.42</v>
      </c>
      <c r="P5" s="108">
        <v>891.09</v>
      </c>
      <c r="Q5" s="108">
        <v>657.05</v>
      </c>
      <c r="R5" s="108">
        <v>190.15</v>
      </c>
      <c r="S5" s="108">
        <v>152.34</v>
      </c>
      <c r="T5" s="108">
        <v>554.63</v>
      </c>
      <c r="V5" s="69">
        <v>58</v>
      </c>
      <c r="W5" s="69">
        <v>162</v>
      </c>
      <c r="X5" s="69">
        <v>474</v>
      </c>
      <c r="Y5" s="17"/>
    </row>
    <row r="6" spans="1:25" ht="21" customHeight="1" x14ac:dyDescent="0.25">
      <c r="A6" s="8">
        <v>44654</v>
      </c>
      <c r="B6" s="107">
        <v>1.3132999999999999</v>
      </c>
      <c r="C6" s="108">
        <v>299.20999999999998</v>
      </c>
      <c r="D6" s="108">
        <v>8064348.5499999998</v>
      </c>
      <c r="E6" s="108">
        <v>8959297.1899999995</v>
      </c>
      <c r="F6" s="108">
        <v>3.0924999999999998</v>
      </c>
      <c r="G6" s="108">
        <v>990.03</v>
      </c>
      <c r="H6" s="108">
        <v>867.89</v>
      </c>
      <c r="I6" s="108">
        <v>318.43</v>
      </c>
      <c r="J6" s="108">
        <v>434.13</v>
      </c>
      <c r="K6" s="108">
        <v>437.18</v>
      </c>
      <c r="L6" s="108">
        <v>297.08999999999997</v>
      </c>
      <c r="M6" s="108">
        <v>725.65</v>
      </c>
      <c r="N6" s="108">
        <v>685.3</v>
      </c>
      <c r="O6" s="108">
        <v>210.65</v>
      </c>
      <c r="P6" s="108">
        <v>892.01</v>
      </c>
      <c r="Q6" s="108">
        <v>657.87</v>
      </c>
      <c r="R6" s="108">
        <v>190.15</v>
      </c>
      <c r="S6" s="108">
        <v>152.47999999999999</v>
      </c>
      <c r="T6" s="108">
        <v>555.21</v>
      </c>
      <c r="V6" s="69">
        <v>56</v>
      </c>
      <c r="W6" s="69">
        <v>161</v>
      </c>
      <c r="X6" s="69">
        <v>481</v>
      </c>
      <c r="Y6" s="17"/>
    </row>
    <row r="7" spans="1:25" ht="21" customHeight="1" x14ac:dyDescent="0.25">
      <c r="A7" s="8">
        <v>44655</v>
      </c>
      <c r="B7" s="107">
        <v>1.3146</v>
      </c>
      <c r="C7" s="108">
        <v>299.45</v>
      </c>
      <c r="D7" s="108">
        <v>8066600.4000000004</v>
      </c>
      <c r="E7" s="108">
        <v>8962147.9700000007</v>
      </c>
      <c r="F7" s="108">
        <v>3.0952000000000002</v>
      </c>
      <c r="G7" s="108">
        <v>991.06</v>
      </c>
      <c r="H7" s="108">
        <v>869.27</v>
      </c>
      <c r="I7" s="108">
        <v>318.77999999999997</v>
      </c>
      <c r="J7" s="108">
        <v>434.77</v>
      </c>
      <c r="K7" s="108">
        <v>437.57</v>
      </c>
      <c r="L7" s="108">
        <v>297.33</v>
      </c>
      <c r="M7" s="108">
        <v>726.58</v>
      </c>
      <c r="N7" s="108">
        <v>686.2</v>
      </c>
      <c r="O7" s="108">
        <v>210.88</v>
      </c>
      <c r="P7" s="108">
        <v>892.88</v>
      </c>
      <c r="Q7" s="108">
        <v>658.71</v>
      </c>
      <c r="R7" s="108">
        <v>190.15</v>
      </c>
      <c r="S7" s="108">
        <v>152.63</v>
      </c>
      <c r="T7" s="108">
        <v>555.78</v>
      </c>
      <c r="V7" s="69">
        <v>63</v>
      </c>
      <c r="W7" s="69">
        <v>167</v>
      </c>
      <c r="X7" s="69">
        <v>441</v>
      </c>
      <c r="Y7" s="17"/>
    </row>
    <row r="8" spans="1:25" ht="21" customHeight="1" x14ac:dyDescent="0.25">
      <c r="A8" s="8">
        <v>44656</v>
      </c>
      <c r="B8" s="107">
        <v>1.3156000000000001</v>
      </c>
      <c r="C8" s="108">
        <v>299.7</v>
      </c>
      <c r="D8" s="108">
        <v>8068635.75</v>
      </c>
      <c r="E8" s="108">
        <v>8965013.6899999995</v>
      </c>
      <c r="F8" s="108">
        <v>3.0979999999999999</v>
      </c>
      <c r="G8" s="108">
        <v>992.07</v>
      </c>
      <c r="H8" s="108">
        <v>870.75</v>
      </c>
      <c r="I8" s="108">
        <v>319.11</v>
      </c>
      <c r="J8" s="108">
        <v>435.35</v>
      </c>
      <c r="K8" s="108">
        <v>437.98</v>
      </c>
      <c r="L8" s="108">
        <v>297.58</v>
      </c>
      <c r="M8" s="108">
        <v>727.42</v>
      </c>
      <c r="N8" s="108">
        <v>687.11</v>
      </c>
      <c r="O8" s="108">
        <v>211.12</v>
      </c>
      <c r="P8" s="108">
        <v>893.96</v>
      </c>
      <c r="Q8" s="108">
        <v>659.55</v>
      </c>
      <c r="R8" s="108">
        <v>190.15</v>
      </c>
      <c r="S8" s="108">
        <v>152.76</v>
      </c>
      <c r="T8" s="108">
        <v>556.34</v>
      </c>
      <c r="V8" s="102">
        <v>63</v>
      </c>
      <c r="W8" s="102">
        <v>172</v>
      </c>
      <c r="X8" s="126">
        <v>477</v>
      </c>
      <c r="Y8" s="17"/>
    </row>
    <row r="9" spans="1:25" ht="21" customHeight="1" x14ac:dyDescent="0.25">
      <c r="A9" s="8">
        <v>44657</v>
      </c>
      <c r="B9" s="109">
        <v>1.3169999999999999</v>
      </c>
      <c r="C9" s="110">
        <v>299.95</v>
      </c>
      <c r="D9" s="109">
        <v>8070573.4699999997</v>
      </c>
      <c r="E9" s="111">
        <v>8967524.1899999995</v>
      </c>
      <c r="F9" s="110">
        <v>3.1006</v>
      </c>
      <c r="G9" s="109">
        <v>992.99</v>
      </c>
      <c r="H9" s="111">
        <v>872.01</v>
      </c>
      <c r="I9" s="111">
        <v>319.41000000000003</v>
      </c>
      <c r="J9" s="108">
        <v>435.85</v>
      </c>
      <c r="K9" s="108">
        <v>438.38</v>
      </c>
      <c r="L9" s="108">
        <v>728.14</v>
      </c>
      <c r="M9" s="108">
        <v>728.14</v>
      </c>
      <c r="N9" s="108">
        <v>687.95</v>
      </c>
      <c r="O9" s="108">
        <v>211.31</v>
      </c>
      <c r="P9" s="108">
        <v>894.97</v>
      </c>
      <c r="Q9" s="108">
        <v>660.32</v>
      </c>
      <c r="R9" s="108">
        <v>190.15</v>
      </c>
      <c r="S9" s="108">
        <v>152.91</v>
      </c>
      <c r="T9" s="108">
        <v>556.9</v>
      </c>
      <c r="V9" s="102">
        <v>67</v>
      </c>
      <c r="W9" s="102">
        <v>181</v>
      </c>
      <c r="X9" s="126">
        <v>472</v>
      </c>
      <c r="Y9" s="17"/>
    </row>
    <row r="10" spans="1:25" ht="21" customHeight="1" x14ac:dyDescent="0.25">
      <c r="A10" s="8">
        <v>44658</v>
      </c>
      <c r="B10" s="105">
        <v>1.3182</v>
      </c>
      <c r="C10" s="106">
        <v>300.18</v>
      </c>
      <c r="D10" s="106">
        <v>8072544.0099999998</v>
      </c>
      <c r="E10" s="106">
        <v>8970246.6899999995</v>
      </c>
      <c r="F10" s="106">
        <v>3.1032999999999999</v>
      </c>
      <c r="G10" s="106">
        <v>993.94</v>
      </c>
      <c r="H10" s="106">
        <v>873.36</v>
      </c>
      <c r="I10" s="106">
        <v>319.74</v>
      </c>
      <c r="J10" s="108">
        <v>436.28</v>
      </c>
      <c r="K10" s="108">
        <v>438.77</v>
      </c>
      <c r="L10" s="108">
        <v>728.91</v>
      </c>
      <c r="M10" s="108">
        <v>728.91</v>
      </c>
      <c r="N10" s="108">
        <v>688.84</v>
      </c>
      <c r="O10" s="108">
        <v>211.53</v>
      </c>
      <c r="P10" s="108">
        <v>895.98</v>
      </c>
      <c r="Q10" s="108">
        <v>661.13</v>
      </c>
      <c r="R10" s="108">
        <v>190.15</v>
      </c>
      <c r="S10" s="108">
        <v>153.06</v>
      </c>
      <c r="T10" s="108">
        <v>557.48</v>
      </c>
      <c r="V10" s="102">
        <v>65</v>
      </c>
      <c r="W10" s="102">
        <v>177</v>
      </c>
      <c r="X10" s="102">
        <v>448</v>
      </c>
      <c r="Y10" s="17"/>
    </row>
    <row r="11" spans="1:25" ht="21" customHeight="1" x14ac:dyDescent="0.25">
      <c r="A11" s="8">
        <v>44659</v>
      </c>
      <c r="B11" s="107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V11" s="102">
        <v>69</v>
      </c>
      <c r="W11" s="102">
        <v>194</v>
      </c>
      <c r="X11" s="102">
        <v>522</v>
      </c>
      <c r="Y11" s="17"/>
    </row>
    <row r="12" spans="1:25" ht="21" customHeight="1" x14ac:dyDescent="0.25">
      <c r="A12" s="8">
        <v>44660</v>
      </c>
      <c r="B12" s="107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V12" s="102">
        <v>72</v>
      </c>
      <c r="W12" s="102">
        <v>202</v>
      </c>
      <c r="X12" s="102">
        <v>492</v>
      </c>
      <c r="Y12" s="17"/>
    </row>
    <row r="13" spans="1:25" ht="21" customHeight="1" x14ac:dyDescent="0.25">
      <c r="A13" s="8">
        <v>44661</v>
      </c>
      <c r="B13" s="107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V13" s="102">
        <v>75</v>
      </c>
      <c r="W13" s="102">
        <v>200</v>
      </c>
      <c r="X13" s="102">
        <v>534</v>
      </c>
      <c r="Y13" s="17"/>
    </row>
    <row r="14" spans="1:25" ht="21" customHeight="1" x14ac:dyDescent="0.25">
      <c r="A14" s="8">
        <v>44662</v>
      </c>
      <c r="B14" s="107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V14" s="102">
        <v>75</v>
      </c>
      <c r="W14" s="102">
        <v>188</v>
      </c>
      <c r="X14" s="102">
        <v>525</v>
      </c>
      <c r="Y14" s="17"/>
    </row>
    <row r="15" spans="1:25" ht="21" customHeight="1" x14ac:dyDescent="0.25">
      <c r="A15" s="8">
        <v>44663</v>
      </c>
      <c r="B15" s="107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V15" s="102">
        <v>77</v>
      </c>
      <c r="W15" s="102">
        <v>197</v>
      </c>
      <c r="X15" s="102">
        <v>561</v>
      </c>
      <c r="Y15" s="17"/>
    </row>
    <row r="16" spans="1:25" ht="21" customHeight="1" x14ac:dyDescent="0.25">
      <c r="A16" s="8">
        <v>44664</v>
      </c>
      <c r="B16" s="107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V16" s="102">
        <v>74</v>
      </c>
      <c r="W16" s="102">
        <v>186</v>
      </c>
      <c r="X16" s="102">
        <v>541</v>
      </c>
      <c r="Y16" s="17"/>
    </row>
    <row r="17" spans="1:25" ht="21" customHeight="1" x14ac:dyDescent="0.25">
      <c r="A17" s="8">
        <v>44665</v>
      </c>
      <c r="B17" s="107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V17" s="102"/>
      <c r="W17" s="102"/>
      <c r="X17" s="102"/>
      <c r="Y17" s="17"/>
    </row>
    <row r="18" spans="1:25" ht="21" customHeight="1" x14ac:dyDescent="0.25">
      <c r="A18" s="8">
        <v>44666</v>
      </c>
      <c r="B18" s="107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V18" s="102"/>
      <c r="W18" s="102"/>
      <c r="X18" s="102"/>
      <c r="Y18" s="17"/>
    </row>
    <row r="19" spans="1:25" ht="21" customHeight="1" x14ac:dyDescent="0.25">
      <c r="A19" s="8">
        <v>44667</v>
      </c>
      <c r="B19" s="107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V19" s="102"/>
      <c r="W19" s="102"/>
      <c r="X19" s="102"/>
      <c r="Y19" s="17"/>
    </row>
    <row r="20" spans="1:25" ht="21" customHeight="1" x14ac:dyDescent="0.25">
      <c r="A20" s="8">
        <v>44668</v>
      </c>
      <c r="B20" s="107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V20" s="102"/>
      <c r="W20" s="102"/>
      <c r="X20" s="102"/>
      <c r="Y20" s="17"/>
    </row>
    <row r="21" spans="1:25" ht="21" customHeight="1" x14ac:dyDescent="0.25">
      <c r="A21" s="8">
        <v>44669</v>
      </c>
      <c r="B21" s="107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V21" s="102"/>
      <c r="W21" s="102"/>
      <c r="X21" s="102"/>
      <c r="Y21" s="17"/>
    </row>
    <row r="22" spans="1:25" ht="21" customHeight="1" x14ac:dyDescent="0.25">
      <c r="A22" s="8">
        <v>44670</v>
      </c>
      <c r="B22" s="107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V22" s="102"/>
      <c r="W22" s="102"/>
      <c r="X22" s="102"/>
      <c r="Y22" s="17"/>
    </row>
    <row r="23" spans="1:25" ht="21" customHeight="1" x14ac:dyDescent="0.25">
      <c r="A23" s="8">
        <v>44671</v>
      </c>
      <c r="B23" s="107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V23" s="102"/>
      <c r="W23" s="102"/>
      <c r="X23" s="102"/>
      <c r="Y23" s="17"/>
    </row>
    <row r="24" spans="1:25" ht="21" customHeight="1" x14ac:dyDescent="0.25">
      <c r="A24" s="8">
        <v>44672</v>
      </c>
      <c r="B24" s="107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V24" s="102"/>
      <c r="W24" s="102"/>
      <c r="X24" s="102"/>
      <c r="Y24" s="17"/>
    </row>
    <row r="25" spans="1:25" ht="21" customHeight="1" x14ac:dyDescent="0.25">
      <c r="A25" s="8">
        <v>44673</v>
      </c>
      <c r="B25" s="107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V25" s="102"/>
      <c r="W25" s="102"/>
      <c r="X25" s="102"/>
      <c r="Y25" s="17"/>
    </row>
    <row r="26" spans="1:25" ht="21" customHeight="1" x14ac:dyDescent="0.25">
      <c r="A26" s="8">
        <v>44674</v>
      </c>
      <c r="B26" s="107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V26" s="102"/>
      <c r="W26" s="102"/>
      <c r="X26" s="102"/>
      <c r="Y26" s="17"/>
    </row>
    <row r="27" spans="1:25" ht="21" customHeight="1" x14ac:dyDescent="0.25">
      <c r="A27" s="8">
        <v>44675</v>
      </c>
      <c r="B27" s="107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V27" s="102"/>
      <c r="W27" s="102"/>
      <c r="X27" s="102"/>
      <c r="Y27" s="17"/>
    </row>
    <row r="28" spans="1:25" ht="21" customHeight="1" x14ac:dyDescent="0.25">
      <c r="A28" s="8">
        <v>44676</v>
      </c>
      <c r="B28" s="107"/>
      <c r="C28" s="108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V28" s="102"/>
      <c r="W28" s="102"/>
      <c r="X28" s="102"/>
      <c r="Y28" s="17"/>
    </row>
    <row r="29" spans="1:25" ht="21" customHeight="1" x14ac:dyDescent="0.25">
      <c r="A29" s="8">
        <v>44677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V29" s="102"/>
      <c r="W29" s="102"/>
      <c r="X29" s="102"/>
      <c r="Y29" s="17"/>
    </row>
    <row r="30" spans="1:25" ht="21" customHeight="1" x14ac:dyDescent="0.25">
      <c r="A30" s="8">
        <v>44678</v>
      </c>
      <c r="B30" s="107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V30" s="102"/>
      <c r="W30" s="102"/>
      <c r="X30" s="102"/>
      <c r="Y30" s="17"/>
    </row>
    <row r="31" spans="1:25" ht="21" customHeight="1" x14ac:dyDescent="0.25">
      <c r="A31" s="8">
        <v>44679</v>
      </c>
      <c r="B31" s="107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V31" s="102"/>
      <c r="W31" s="102"/>
      <c r="X31" s="102"/>
      <c r="Y31" s="17"/>
    </row>
    <row r="32" spans="1:25" ht="21" customHeight="1" x14ac:dyDescent="0.25">
      <c r="A32" s="8">
        <v>44680</v>
      </c>
      <c r="B32" s="105"/>
      <c r="C32" s="105"/>
      <c r="D32" s="105"/>
      <c r="E32" s="112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20"/>
      <c r="T32" s="105"/>
      <c r="V32" s="102"/>
      <c r="W32" s="102"/>
      <c r="X32" s="102"/>
      <c r="Y32" s="17"/>
    </row>
    <row r="33" spans="1:25" ht="19.5" customHeight="1" x14ac:dyDescent="0.25">
      <c r="A33" s="8">
        <v>44681</v>
      </c>
      <c r="B33" s="105"/>
      <c r="C33" s="112"/>
      <c r="D33" s="105"/>
      <c r="E33" s="112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20"/>
      <c r="T33" s="105"/>
      <c r="V33" s="102"/>
      <c r="W33" s="102"/>
      <c r="X33" s="102"/>
      <c r="Y33" s="17"/>
    </row>
    <row r="34" spans="1:25" ht="19.5" customHeight="1" x14ac:dyDescent="0.25">
      <c r="A34" s="8">
        <v>44682</v>
      </c>
      <c r="B34" s="119"/>
      <c r="C34" s="1"/>
      <c r="D34" s="1"/>
      <c r="E34" s="1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05"/>
      <c r="S34" s="119"/>
      <c r="T34" s="119"/>
      <c r="V34" s="102"/>
      <c r="W34" s="102"/>
      <c r="X34" s="102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873</v>
      </c>
      <c r="W35" s="75">
        <f>SUM(W4:W34)</f>
        <v>2347</v>
      </c>
      <c r="X35" s="75">
        <f>SUM(X4:X34)</f>
        <v>6392</v>
      </c>
    </row>
    <row r="36" spans="1:25" x14ac:dyDescent="0.25">
      <c r="S36" s="121"/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N48" sqref="N4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3" t="s">
        <v>31</v>
      </c>
      <c r="B2" s="135" t="s">
        <v>32</v>
      </c>
      <c r="C2" s="135" t="s">
        <v>33</v>
      </c>
      <c r="D2" s="135" t="s">
        <v>119</v>
      </c>
      <c r="E2" s="133" t="s">
        <v>34</v>
      </c>
      <c r="F2" s="143" t="s">
        <v>35</v>
      </c>
      <c r="G2" s="144"/>
      <c r="H2" s="145"/>
      <c r="I2" s="146" t="s">
        <v>36</v>
      </c>
      <c r="J2" s="146" t="s">
        <v>37</v>
      </c>
      <c r="K2" s="146" t="s">
        <v>38</v>
      </c>
      <c r="L2" s="146" t="s">
        <v>39</v>
      </c>
      <c r="M2" s="147" t="s">
        <v>40</v>
      </c>
      <c r="N2" s="147"/>
      <c r="O2" s="147"/>
      <c r="P2" s="147"/>
      <c r="Q2" s="147"/>
      <c r="R2" s="147"/>
      <c r="S2" s="146" t="s">
        <v>41</v>
      </c>
      <c r="T2" s="146"/>
      <c r="U2" s="148" t="s">
        <v>42</v>
      </c>
      <c r="V2" s="146" t="s">
        <v>43</v>
      </c>
    </row>
    <row r="3" spans="1:22" x14ac:dyDescent="0.25">
      <c r="A3" s="134"/>
      <c r="B3" s="136"/>
      <c r="C3" s="136"/>
      <c r="D3" s="136"/>
      <c r="E3" s="134"/>
      <c r="F3" s="6" t="s">
        <v>27</v>
      </c>
      <c r="G3" s="6" t="s">
        <v>28</v>
      </c>
      <c r="H3" s="6" t="s">
        <v>29</v>
      </c>
      <c r="I3" s="146"/>
      <c r="J3" s="146"/>
      <c r="K3" s="146"/>
      <c r="L3" s="146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8"/>
      <c r="V3" s="146"/>
    </row>
    <row r="4" spans="1:22" x14ac:dyDescent="0.25">
      <c r="A4" s="3">
        <f>'Kwh Reading'!A4</f>
        <v>44652</v>
      </c>
      <c r="B4" s="26">
        <f>TOTAL!E2</f>
        <v>24100.000000000589</v>
      </c>
      <c r="C4" s="4">
        <f>('Kwh Reading'!T5-'Kwh Reading'!T4)*1000</f>
        <v>309.99999999994543</v>
      </c>
      <c r="D4" s="2">
        <f>('Kwh Reading'!F5-'Kwh Reading'!F4)*1000000</f>
        <v>2800.0000000001355</v>
      </c>
      <c r="E4" s="2">
        <f>('Kwh Reading'!C5-'Kwh Reading'!C4)*1000</f>
        <v>259.99999999999091</v>
      </c>
      <c r="F4" s="2">
        <f>('Kwh Reading'!J5-'Kwh Reading'!J4)*1000</f>
        <v>579.99999999998408</v>
      </c>
      <c r="G4" s="2">
        <f>('Kwh Reading'!K5-'Kwh Reading'!K4)*1000</f>
        <v>350.00000000002274</v>
      </c>
      <c r="H4" s="2">
        <f>('Kwh Reading'!L5-'Kwh Reading'!L4)*1000</f>
        <v>250</v>
      </c>
      <c r="I4" s="2">
        <f>('Kwh Reading'!R5-'Kwh Reading'!R4)*1000</f>
        <v>0</v>
      </c>
      <c r="J4" s="2">
        <f>('Kwh Reading'!S5-'Kwh Reading'!S4)*1000</f>
        <v>140.00000000001478</v>
      </c>
      <c r="K4" s="2">
        <f>('Kwh Reading'!I5-'Kwh Reading'!I4)*1000</f>
        <v>370.00000000000455</v>
      </c>
      <c r="L4" s="2">
        <f>('Kwh Reading'!B5-'Kwh Reading'!B4)*1000000</f>
        <v>1300.0000000000789</v>
      </c>
      <c r="M4" s="2">
        <f>('Kwh Reading'!M5-'Kwh Reading'!M4)*1000</f>
        <v>879.99999999999545</v>
      </c>
      <c r="N4" s="2">
        <f>('Kwh Reading'!H5-'Kwh Reading'!H4)*1000</f>
        <v>1360.0000000000136</v>
      </c>
      <c r="O4" s="2">
        <f>('Kwh Reading'!P5-'Kwh Reading'!P4)*1000</f>
        <v>970.00000000002728</v>
      </c>
      <c r="P4" s="2">
        <f>('Kwh Reading'!G5-'Kwh Reading'!G4)*1000</f>
        <v>1080.0000000000409</v>
      </c>
      <c r="Q4" s="2">
        <f>('Kwh Reading'!Q5-'Kwh Reading'!Q4)*1000</f>
        <v>829.99999999992724</v>
      </c>
      <c r="R4" s="2">
        <f>('Kwh Reading'!N5-'Kwh Reading'!N4)*1000</f>
        <v>929.99999999994998</v>
      </c>
      <c r="S4" s="2">
        <f>'Kwh Reading'!E5-'Kwh Reading'!E4</f>
        <v>2598.519999999553</v>
      </c>
      <c r="T4" s="2">
        <f>'Kwh Reading'!D5-'Kwh Reading'!D4</f>
        <v>2162.6000000005588</v>
      </c>
      <c r="U4" s="27">
        <f>('Kwh Reading'!O5-'Kwh Reading'!O4)*1000</f>
        <v>209.99999999997954</v>
      </c>
      <c r="V4" s="16">
        <f>B4-(SUM(C4:U4))</f>
        <v>6718.8800000003685</v>
      </c>
    </row>
    <row r="5" spans="1:22" x14ac:dyDescent="0.25">
      <c r="A5" s="3">
        <f>'Kwh Reading'!A5</f>
        <v>44653</v>
      </c>
      <c r="B5" s="26">
        <f>TOTAL!E3</f>
        <v>24709.999999998443</v>
      </c>
      <c r="C5" s="4">
        <f>('Kwh Reading'!T6-'Kwh Reading'!T5)*1000</f>
        <v>580.00000000004093</v>
      </c>
      <c r="D5" s="2">
        <f>('Kwh Reading'!F6-'Kwh Reading'!F5)*1000000</f>
        <v>2799.9999999996917</v>
      </c>
      <c r="E5" s="2">
        <f>('Kwh Reading'!C6-'Kwh Reading'!C5)*1000</f>
        <v>209.99999999997954</v>
      </c>
      <c r="F5" s="2">
        <f>('Kwh Reading'!J6-'Kwh Reading'!J5)*1000</f>
        <v>569.99999999999318</v>
      </c>
      <c r="G5" s="2">
        <f>('Kwh Reading'!K6-'Kwh Reading'!K5)*1000</f>
        <v>389.99999999998636</v>
      </c>
      <c r="H5" s="2">
        <f>('Kwh Reading'!L6-'Kwh Reading'!L5)*1000</f>
        <v>229.99999999996135</v>
      </c>
      <c r="I5" s="2">
        <f>('Kwh Reading'!R6-'Kwh Reading'!R5)*1000</f>
        <v>0</v>
      </c>
      <c r="J5" s="2">
        <f>('Kwh Reading'!S6-'Kwh Reading'!S5)*1000</f>
        <v>139.99999999998636</v>
      </c>
      <c r="K5" s="2">
        <f>('Kwh Reading'!I6-'Kwh Reading'!I5)*1000</f>
        <v>360.00000000001364</v>
      </c>
      <c r="L5" s="2">
        <f>('Kwh Reading'!B6-'Kwh Reading'!B5)*1000000</f>
        <v>1299.9999999998568</v>
      </c>
      <c r="M5" s="2">
        <f>('Kwh Reading'!M6-'Kwh Reading'!M5)*1000</f>
        <v>919.99999999995907</v>
      </c>
      <c r="N5" s="2">
        <f>('Kwh Reading'!H6-'Kwh Reading'!H5)*1000</f>
        <v>1409.9999999999682</v>
      </c>
      <c r="O5" s="2">
        <f>('Kwh Reading'!P6-'Kwh Reading'!P5)*1000</f>
        <v>919.99999999995907</v>
      </c>
      <c r="P5" s="2">
        <f>('Kwh Reading'!G6-'Kwh Reading'!G5)*1000</f>
        <v>1079.9999999999272</v>
      </c>
      <c r="Q5" s="2">
        <f>('Kwh Reading'!Q6-'Kwh Reading'!Q5)*1000</f>
        <v>820.00000000005002</v>
      </c>
      <c r="R5" s="2">
        <f>('Kwh Reading'!N6-'Kwh Reading'!N5)*1000</f>
        <v>919.99999999995907</v>
      </c>
      <c r="S5" s="2">
        <f>'Kwh Reading'!E6-'Kwh Reading'!E5</f>
        <v>3106.429999999702</v>
      </c>
      <c r="T5" s="2">
        <f>'Kwh Reading'!D6-'Kwh Reading'!D5</f>
        <v>2178.5599999995902</v>
      </c>
      <c r="U5" s="27">
        <f>('Kwh Reading'!O6-'Kwh Reading'!O5)*1000</f>
        <v>230.00000000001819</v>
      </c>
      <c r="V5" s="16">
        <f t="shared" ref="V5:V11" si="0">B5-(SUM(C5:U5))</f>
        <v>6545.0099999997983</v>
      </c>
    </row>
    <row r="6" spans="1:22" x14ac:dyDescent="0.25">
      <c r="A6" s="3">
        <f>'Kwh Reading'!A6</f>
        <v>44654</v>
      </c>
      <c r="B6" s="26">
        <f>TOTAL!E4</f>
        <v>24350.000000001728</v>
      </c>
      <c r="C6" s="4">
        <f>('Kwh Reading'!T7-'Kwh Reading'!T6)*1000</f>
        <v>569.99999999993634</v>
      </c>
      <c r="D6" s="2">
        <f>('Kwh Reading'!F7-'Kwh Reading'!F6)*1000000</f>
        <v>2700.0000000003688</v>
      </c>
      <c r="E6" s="2">
        <f>('Kwh Reading'!C7-'Kwh Reading'!C6)*1000</f>
        <v>240.00000000000909</v>
      </c>
      <c r="F6" s="2">
        <f>('Kwh Reading'!J7-'Kwh Reading'!J6)*1000</f>
        <v>639.99999999998636</v>
      </c>
      <c r="G6" s="2">
        <f>('Kwh Reading'!K7-'Kwh Reading'!K6)*1000</f>
        <v>389.99999999998636</v>
      </c>
      <c r="H6" s="2">
        <f>('Kwh Reading'!L7-'Kwh Reading'!L6)*1000</f>
        <v>240.00000000000909</v>
      </c>
      <c r="I6" s="2">
        <f>('Kwh Reading'!R7-'Kwh Reading'!R6)*1000</f>
        <v>0</v>
      </c>
      <c r="J6" s="2">
        <f>('Kwh Reading'!S7-'Kwh Reading'!S6)*1000</f>
        <v>150.00000000000568</v>
      </c>
      <c r="K6" s="2">
        <f>('Kwh Reading'!I7-'Kwh Reading'!I6)*1000</f>
        <v>349.99999999996589</v>
      </c>
      <c r="L6" s="2">
        <f>('Kwh Reading'!B7-'Kwh Reading'!B6)*1000000</f>
        <v>1300.0000000000789</v>
      </c>
      <c r="M6" s="2">
        <f>('Kwh Reading'!M7-'Kwh Reading'!M6)*1000</f>
        <v>930.00000000006366</v>
      </c>
      <c r="N6" s="2">
        <f>('Kwh Reading'!H7-'Kwh Reading'!H6)*1000</f>
        <v>1379.9999999999955</v>
      </c>
      <c r="O6" s="2">
        <f>('Kwh Reading'!P7-'Kwh Reading'!P6)*1000</f>
        <v>870.00000000000455</v>
      </c>
      <c r="P6" s="2">
        <f>('Kwh Reading'!G7-'Kwh Reading'!G6)*1000</f>
        <v>1029.9999999999727</v>
      </c>
      <c r="Q6" s="2">
        <f>('Kwh Reading'!Q7-'Kwh Reading'!Q6)*1000</f>
        <v>840.00000000003183</v>
      </c>
      <c r="R6" s="2">
        <f>('Kwh Reading'!N7-'Kwh Reading'!N6)*1000</f>
        <v>900.00000000009095</v>
      </c>
      <c r="S6" s="2">
        <f>'Kwh Reading'!E7-'Kwh Reading'!E6</f>
        <v>2850.7800000011921</v>
      </c>
      <c r="T6" s="2">
        <f>'Kwh Reading'!D7-'Kwh Reading'!D6</f>
        <v>2251.8500000005588</v>
      </c>
      <c r="U6" s="27">
        <f>('Kwh Reading'!O7-'Kwh Reading'!O6)*1000</f>
        <v>229.99999999998977</v>
      </c>
      <c r="V6" s="16">
        <f t="shared" si="0"/>
        <v>6487.3699999994824</v>
      </c>
    </row>
    <row r="7" spans="1:22" x14ac:dyDescent="0.25">
      <c r="A7" s="3">
        <f>'Kwh Reading'!A7</f>
        <v>44655</v>
      </c>
      <c r="B7" s="26">
        <f>TOTAL!E5</f>
        <v>23750.000000000909</v>
      </c>
      <c r="C7" s="4">
        <f>('Kwh Reading'!T8-'Kwh Reading'!T7)*1000</f>
        <v>560.00000000005912</v>
      </c>
      <c r="D7" s="2">
        <f>('Kwh Reading'!F8-'Kwh Reading'!F7)*1000000</f>
        <v>2799.9999999996917</v>
      </c>
      <c r="E7" s="2">
        <f>('Kwh Reading'!C8-'Kwh Reading'!C7)*1000</f>
        <v>250</v>
      </c>
      <c r="F7" s="2">
        <f>('Kwh Reading'!J8-'Kwh Reading'!J7)*1000</f>
        <v>580.00000000004093</v>
      </c>
      <c r="G7" s="2">
        <f>('Kwh Reading'!K8-'Kwh Reading'!K7)*1000</f>
        <v>410.00000000002501</v>
      </c>
      <c r="H7" s="2">
        <f>('Kwh Reading'!L8-'Kwh Reading'!L7)*1000</f>
        <v>250</v>
      </c>
      <c r="I7" s="2">
        <f>('Kwh Reading'!R8-'Kwh Reading'!R7)*1000</f>
        <v>0</v>
      </c>
      <c r="J7" s="2">
        <f>('Kwh Reading'!S8-'Kwh Reading'!S7)*1000</f>
        <v>129.99999999999545</v>
      </c>
      <c r="K7" s="2">
        <f>('Kwh Reading'!I8-'Kwh Reading'!I7)*1000</f>
        <v>330.00000000004093</v>
      </c>
      <c r="L7" s="2">
        <f>('Kwh Reading'!B8-'Kwh Reading'!B7)*1000000</f>
        <v>1000.0000000001119</v>
      </c>
      <c r="M7" s="2">
        <f>('Kwh Reading'!M8-'Kwh Reading'!M7)*1000</f>
        <v>839.99999999991815</v>
      </c>
      <c r="N7" s="2">
        <f>('Kwh Reading'!H8-'Kwh Reading'!H7)*1000</f>
        <v>1480.0000000000182</v>
      </c>
      <c r="O7" s="2">
        <f>('Kwh Reading'!P8-'Kwh Reading'!P7)*1000</f>
        <v>1080.0000000000409</v>
      </c>
      <c r="P7" s="2">
        <f>('Kwh Reading'!G8-'Kwh Reading'!G7)*1000</f>
        <v>1010.0000000001046</v>
      </c>
      <c r="Q7" s="2">
        <f>('Kwh Reading'!Q8-'Kwh Reading'!Q7)*1000</f>
        <v>839.99999999991815</v>
      </c>
      <c r="R7" s="2">
        <f>('Kwh Reading'!N8-'Kwh Reading'!N7)*1000</f>
        <v>909.99999999996817</v>
      </c>
      <c r="S7" s="2">
        <f>'Kwh Reading'!E8-'Kwh Reading'!E7</f>
        <v>2865.7199999988079</v>
      </c>
      <c r="T7" s="2">
        <f>'Kwh Reading'!D8-'Kwh Reading'!D7</f>
        <v>2035.3499999996275</v>
      </c>
      <c r="U7" s="27">
        <f>('Kwh Reading'!O8-'Kwh Reading'!O7)*1000</f>
        <v>240.00000000000909</v>
      </c>
      <c r="V7" s="16">
        <f t="shared" si="0"/>
        <v>6138.9300000025323</v>
      </c>
    </row>
    <row r="8" spans="1:22" x14ac:dyDescent="0.25">
      <c r="A8" s="3">
        <f>'Kwh Reading'!A8</f>
        <v>44656</v>
      </c>
      <c r="B8" s="26">
        <f>TOTAL!E6</f>
        <v>22509.999999997945</v>
      </c>
      <c r="C8" s="4">
        <f>('Kwh Reading'!T9-'Kwh Reading'!T8)*1000</f>
        <v>559.99999999994543</v>
      </c>
      <c r="D8" s="2">
        <f>('Kwh Reading'!F9-'Kwh Reading'!F8)*1000000</f>
        <v>2600.0000000001578</v>
      </c>
      <c r="E8" s="2">
        <f>('Kwh Reading'!C9-'Kwh Reading'!C8)*1000</f>
        <v>250</v>
      </c>
      <c r="F8" s="2">
        <f>('Kwh Reading'!J9-'Kwh Reading'!J8)*1000</f>
        <v>500</v>
      </c>
      <c r="G8" s="2">
        <f>('Kwh Reading'!K9-'Kwh Reading'!K8)*1000</f>
        <v>399.99999999997726</v>
      </c>
      <c r="H8" s="2">
        <f>('Kwh Reading'!L9-'Kwh Reading'!L8)*1000</f>
        <v>430560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300.00000000001137</v>
      </c>
      <c r="L8" s="2">
        <f>('Kwh Reading'!B9-'Kwh Reading'!B8)*1000000</f>
        <v>1399.9999999998458</v>
      </c>
      <c r="M8" s="2">
        <f>('Kwh Reading'!M9-'Kwh Reading'!M8)*1000</f>
        <v>720.00000000002728</v>
      </c>
      <c r="N8" s="2">
        <f>('Kwh Reading'!H9-'Kwh Reading'!H8)*1000</f>
        <v>1259.9999999999909</v>
      </c>
      <c r="O8" s="2">
        <f>('Kwh Reading'!P9-'Kwh Reading'!P8)*1000</f>
        <v>1009.9999999999909</v>
      </c>
      <c r="P8" s="2">
        <f>('Kwh Reading'!G9-'Kwh Reading'!G8)*1000</f>
        <v>919.99999999995907</v>
      </c>
      <c r="Q8" s="2">
        <f>('Kwh Reading'!Q9-'Kwh Reading'!Q8)*1000</f>
        <v>770.0000000000955</v>
      </c>
      <c r="R8" s="2">
        <f>('Kwh Reading'!N9-'Kwh Reading'!N8)*1000</f>
        <v>840.00000000003183</v>
      </c>
      <c r="S8" s="2">
        <f>'Kwh Reading'!E9-'Kwh Reading'!E8</f>
        <v>2510.5</v>
      </c>
      <c r="T8" s="2">
        <f>'Kwh Reading'!D9-'Kwh Reading'!D8</f>
        <v>1937.7199999997392</v>
      </c>
      <c r="U8" s="27">
        <f>('Kwh Reading'!O9-'Kwh Reading'!O8)*1000</f>
        <v>189.99999999999773</v>
      </c>
      <c r="V8" s="16">
        <f t="shared" si="0"/>
        <v>-424368.22000000178</v>
      </c>
    </row>
    <row r="9" spans="1:22" x14ac:dyDescent="0.25">
      <c r="A9" s="3">
        <f>'Kwh Reading'!A9</f>
        <v>44657</v>
      </c>
      <c r="B9" s="26">
        <f>TOTAL!E7</f>
        <v>23740.000000000917</v>
      </c>
      <c r="C9" s="4">
        <f>('Kwh Reading'!T10-'Kwh Reading'!T9)*1000</f>
        <v>580.00000000004093</v>
      </c>
      <c r="D9" s="2">
        <f>('Kwh Reading'!F10-'Kwh Reading'!F9)*1000000</f>
        <v>2699.9999999999245</v>
      </c>
      <c r="E9" s="2">
        <f>('Kwh Reading'!C10-'Kwh Reading'!C9)*1000</f>
        <v>230.00000000001819</v>
      </c>
      <c r="F9" s="2">
        <f>('Kwh Reading'!J10-'Kwh Reading'!J9)*1000</f>
        <v>429.99999999994998</v>
      </c>
      <c r="G9" s="2">
        <f>('Kwh Reading'!K10-'Kwh Reading'!K9)*1000</f>
        <v>389.99999999998636</v>
      </c>
      <c r="H9" s="2">
        <f>('Kwh Reading'!L10-'Kwh Reading'!L9)*1000</f>
        <v>769.99999999998181</v>
      </c>
      <c r="I9" s="2">
        <f>('Kwh Reading'!R10-'Kwh Reading'!R9)*1000</f>
        <v>0</v>
      </c>
      <c r="J9" s="2">
        <f>('Kwh Reading'!S10-'Kwh Reading'!S9)*1000</f>
        <v>150.00000000000568</v>
      </c>
      <c r="K9" s="2">
        <f>('Kwh Reading'!I10-'Kwh Reading'!I9)*1000</f>
        <v>329.99999999998408</v>
      </c>
      <c r="L9" s="2">
        <f>('Kwh Reading'!B10-'Kwh Reading'!B9)*1000000</f>
        <v>1200.0000000000898</v>
      </c>
      <c r="M9" s="2">
        <f>('Kwh Reading'!M10-'Kwh Reading'!M9)*1000</f>
        <v>769.99999999998181</v>
      </c>
      <c r="N9" s="2">
        <f>('Kwh Reading'!H10-'Kwh Reading'!H9)*1000</f>
        <v>1350.0000000000227</v>
      </c>
      <c r="O9" s="2">
        <f>('Kwh Reading'!P10-'Kwh Reading'!P9)*1000</f>
        <v>1009.9999999999909</v>
      </c>
      <c r="P9" s="2">
        <f>('Kwh Reading'!G10-'Kwh Reading'!G9)*1000</f>
        <v>950.00000000004547</v>
      </c>
      <c r="Q9" s="2">
        <f>('Kwh Reading'!Q10-'Kwh Reading'!Q9)*1000</f>
        <v>809.99999999994543</v>
      </c>
      <c r="R9" s="2">
        <f>('Kwh Reading'!N10-'Kwh Reading'!N9)*1000</f>
        <v>889.99999999998636</v>
      </c>
      <c r="S9" s="2">
        <f>'Kwh Reading'!E10-'Kwh Reading'!E9</f>
        <v>2722.5</v>
      </c>
      <c r="T9" s="2">
        <f>'Kwh Reading'!D10-'Kwh Reading'!D9</f>
        <v>1970.5400000000373</v>
      </c>
      <c r="U9" s="27">
        <f>('Kwh Reading'!O10-'Kwh Reading'!O9)*1000</f>
        <v>219.99999999999886</v>
      </c>
      <c r="V9" s="16">
        <f t="shared" si="0"/>
        <v>6266.9600000009268</v>
      </c>
    </row>
    <row r="10" spans="1:22" x14ac:dyDescent="0.25">
      <c r="A10" s="3">
        <f>'Kwh Reading'!A10</f>
        <v>44658</v>
      </c>
      <c r="B10" s="26">
        <f>TOTAL!E8</f>
        <v>23790.000000000189</v>
      </c>
      <c r="C10" s="4">
        <f>('Kwh Reading'!T11-'Kwh Reading'!T10)*1000</f>
        <v>-557480</v>
      </c>
      <c r="D10" s="2">
        <f>('Kwh Reading'!F11-'Kwh Reading'!F10)*1000000</f>
        <v>-3103300</v>
      </c>
      <c r="E10" s="2">
        <f>('Kwh Reading'!C11-'Kwh Reading'!C10)*1000</f>
        <v>-300180</v>
      </c>
      <c r="F10" s="2">
        <f>('Kwh Reading'!J11-'Kwh Reading'!J10)*1000</f>
        <v>-436280</v>
      </c>
      <c r="G10" s="2">
        <f>('Kwh Reading'!K11-'Kwh Reading'!K10)*1000</f>
        <v>-438770</v>
      </c>
      <c r="H10" s="2">
        <f>('Kwh Reading'!L11-'Kwh Reading'!L10)*1000</f>
        <v>-728910</v>
      </c>
      <c r="I10" s="2">
        <f>('Kwh Reading'!R11-'Kwh Reading'!R10)*1000</f>
        <v>-190150</v>
      </c>
      <c r="J10" s="2">
        <f>('Kwh Reading'!S11-'Kwh Reading'!S10)*1000</f>
        <v>-153060</v>
      </c>
      <c r="K10" s="2">
        <f>('Kwh Reading'!I11-'Kwh Reading'!I10)*1000</f>
        <v>-319740</v>
      </c>
      <c r="L10" s="2">
        <f>('Kwh Reading'!B11-'Kwh Reading'!B10)*1000000</f>
        <v>-1318200</v>
      </c>
      <c r="M10" s="2">
        <f>('Kwh Reading'!M11-'Kwh Reading'!M10)*1000</f>
        <v>-728910</v>
      </c>
      <c r="N10" s="2">
        <f>('Kwh Reading'!H11-'Kwh Reading'!H10)*1000</f>
        <v>-873360</v>
      </c>
      <c r="O10" s="2">
        <f>('Kwh Reading'!P11-'Kwh Reading'!P10)*1000</f>
        <v>-895980</v>
      </c>
      <c r="P10" s="2">
        <f>('Kwh Reading'!G11-'Kwh Reading'!G10)*1000</f>
        <v>-993940</v>
      </c>
      <c r="Q10" s="2">
        <f>('Kwh Reading'!Q11-'Kwh Reading'!Q10)*1000</f>
        <v>-661130</v>
      </c>
      <c r="R10" s="2">
        <f>('Kwh Reading'!N11-'Kwh Reading'!N10)*1000</f>
        <v>-688840</v>
      </c>
      <c r="S10" s="33">
        <f>'Kwh Reading'!E11-'Kwh Reading'!E10</f>
        <v>-8970246.6899999995</v>
      </c>
      <c r="T10" s="33">
        <f>'Kwh Reading'!D11-'Kwh Reading'!D10</f>
        <v>-8072544.0099999998</v>
      </c>
      <c r="U10" s="27">
        <f>('Kwh Reading'!O11-'Kwh Reading'!O10)*1000</f>
        <v>-211530</v>
      </c>
      <c r="V10" s="16">
        <f t="shared" si="0"/>
        <v>29666340.699999996</v>
      </c>
    </row>
    <row r="11" spans="1:22" x14ac:dyDescent="0.25">
      <c r="A11" s="3">
        <f>'Kwh Reading'!A11</f>
        <v>44659</v>
      </c>
      <c r="B11" s="26">
        <f>TOTAL!E9</f>
        <v>24849.999999999909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3">
        <f>'Kwh Reading'!E12-'Kwh Reading'!E11</f>
        <v>0</v>
      </c>
      <c r="T11" s="33">
        <f>'Kwh Reading'!D12-'Kwh Reading'!D11</f>
        <v>0</v>
      </c>
      <c r="U11" s="27">
        <f>('Kwh Reading'!O12-'Kwh Reading'!O11)*1000</f>
        <v>0</v>
      </c>
      <c r="V11" s="16">
        <f t="shared" si="0"/>
        <v>24849.999999999909</v>
      </c>
    </row>
    <row r="12" spans="1:22" x14ac:dyDescent="0.25">
      <c r="A12" s="3">
        <f>'Kwh Reading'!A12</f>
        <v>44660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3">
        <f>'Kwh Reading'!E13-'Kwh Reading'!E12</f>
        <v>0</v>
      </c>
      <c r="T12" s="33">
        <f>'Kwh Reading'!D13-'Kwh Reading'!D12</f>
        <v>0</v>
      </c>
      <c r="U12" s="27">
        <f>('Kwh Reading'!O13-'Kwh Reading'!O12)*1000</f>
        <v>0</v>
      </c>
      <c r="V12" s="16">
        <f t="shared" ref="V12:V34" si="1">B12-(SUM(C12:U12))</f>
        <v>0</v>
      </c>
    </row>
    <row r="13" spans="1:22" x14ac:dyDescent="0.25">
      <c r="A13" s="3">
        <f>'Kwh Reading'!A13</f>
        <v>44661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3">
        <f>'Kwh Reading'!E14-'Kwh Reading'!E13</f>
        <v>0</v>
      </c>
      <c r="T13" s="33">
        <f>'Kwh Reading'!D14-'Kwh Reading'!D13</f>
        <v>0</v>
      </c>
      <c r="U13" s="27">
        <f>('Kwh Reading'!O14-'Kwh Reading'!O13)*1000</f>
        <v>0</v>
      </c>
      <c r="V13" s="16">
        <f t="shared" si="1"/>
        <v>0</v>
      </c>
    </row>
    <row r="14" spans="1:22" x14ac:dyDescent="0.25">
      <c r="A14" s="3">
        <f>'Kwh Reading'!A14</f>
        <v>44662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3">
        <f>'Kwh Reading'!E15-'Kwh Reading'!E14</f>
        <v>0</v>
      </c>
      <c r="T14" s="33">
        <f>'Kwh Reading'!D15-'Kwh Reading'!D14</f>
        <v>0</v>
      </c>
      <c r="U14" s="27">
        <f>('Kwh Reading'!O15-'Kwh Reading'!O14)*1000</f>
        <v>0</v>
      </c>
      <c r="V14" s="16">
        <f t="shared" si="1"/>
        <v>0</v>
      </c>
    </row>
    <row r="15" spans="1:22" x14ac:dyDescent="0.25">
      <c r="A15" s="3">
        <f>'Kwh Reading'!A15</f>
        <v>44663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3">
        <f>'Kwh Reading'!E16-'Kwh Reading'!E15</f>
        <v>0</v>
      </c>
      <c r="T15" s="33">
        <f>'Kwh Reading'!D16-'Kwh Reading'!D15</f>
        <v>0</v>
      </c>
      <c r="U15" s="27">
        <f>('Kwh Reading'!O16-'Kwh Reading'!O15)*1000</f>
        <v>0</v>
      </c>
      <c r="V15" s="16">
        <f t="shared" si="1"/>
        <v>0</v>
      </c>
    </row>
    <row r="16" spans="1:22" x14ac:dyDescent="0.25">
      <c r="A16" s="3">
        <f>'Kwh Reading'!A16</f>
        <v>44664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3">
        <f>'Kwh Reading'!E17-'Kwh Reading'!E16</f>
        <v>0</v>
      </c>
      <c r="T16" s="33">
        <f>'Kwh Reading'!D17-'Kwh Reading'!D16</f>
        <v>0</v>
      </c>
      <c r="U16" s="27">
        <f>('Kwh Reading'!O17-'Kwh Reading'!O16)*1000</f>
        <v>0</v>
      </c>
      <c r="V16" s="16">
        <f t="shared" si="1"/>
        <v>0</v>
      </c>
    </row>
    <row r="17" spans="1:22" x14ac:dyDescent="0.25">
      <c r="A17" s="3">
        <f>'Kwh Reading'!A17</f>
        <v>44665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44666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44667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44668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44669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44670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44671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44672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44673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44674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44675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44676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44677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44678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44679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44680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44681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44682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191800.00000000061</v>
      </c>
      <c r="C35" s="72">
        <f t="shared" ref="C35" si="2">SUM(C4:C34)</f>
        <v>-554320</v>
      </c>
      <c r="D35" s="72">
        <f t="shared" ref="D35" si="3">SUM(D4:D34)</f>
        <v>-3086900</v>
      </c>
      <c r="E35" s="72">
        <f t="shared" ref="E35" si="4">SUM(E4:E34)</f>
        <v>-298740</v>
      </c>
      <c r="F35" s="72">
        <f t="shared" ref="F35" si="5">SUM(F4:F34)</f>
        <v>-432980.00000000006</v>
      </c>
      <c r="G35" s="72">
        <f t="shared" ref="G35:U35" si="6">SUM(G4:G34)</f>
        <v>-436440</v>
      </c>
      <c r="H35" s="72">
        <f t="shared" si="6"/>
        <v>-296610.00000000006</v>
      </c>
      <c r="I35" s="72">
        <f t="shared" si="6"/>
        <v>-190150</v>
      </c>
      <c r="J35" s="72">
        <f t="shared" si="6"/>
        <v>-152200</v>
      </c>
      <c r="K35" s="72">
        <f t="shared" si="6"/>
        <v>-317700</v>
      </c>
      <c r="L35" s="72">
        <f t="shared" si="6"/>
        <v>-1310700</v>
      </c>
      <c r="M35" s="72">
        <f t="shared" si="6"/>
        <v>-723850</v>
      </c>
      <c r="N35" s="72">
        <f t="shared" si="6"/>
        <v>-865120</v>
      </c>
      <c r="O35" s="72">
        <f t="shared" si="6"/>
        <v>-890120</v>
      </c>
      <c r="P35" s="72">
        <f t="shared" si="6"/>
        <v>-987870</v>
      </c>
      <c r="Q35" s="72">
        <f t="shared" si="6"/>
        <v>-656220</v>
      </c>
      <c r="R35" s="72">
        <f t="shared" si="6"/>
        <v>-683450</v>
      </c>
      <c r="S35" s="72">
        <f t="shared" si="6"/>
        <v>-8953592.2400000002</v>
      </c>
      <c r="T35" s="72">
        <f t="shared" si="6"/>
        <v>-8060007.3899999997</v>
      </c>
      <c r="U35" s="72">
        <f t="shared" si="6"/>
        <v>-210210</v>
      </c>
      <c r="V35" s="72">
        <f>SUM(V4:V34)</f>
        <v>29298979.629999995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9" sqref="F1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44652</v>
      </c>
      <c r="B3" s="80">
        <f>TOTAL!E2</f>
        <v>24100.000000000589</v>
      </c>
      <c r="C3" s="1">
        <f>'Kwh Consumption'!C4</f>
        <v>309.99999999994543</v>
      </c>
      <c r="D3" s="1">
        <f>'Kwh Consumption'!D4</f>
        <v>2800.0000000001355</v>
      </c>
      <c r="E3" s="1">
        <f>'Kwh Consumption'!E4</f>
        <v>259.99999999999091</v>
      </c>
      <c r="F3" s="1">
        <f>('Kwh Consumption'!F4+'Kwh Consumption'!G4+'Kwh Consumption'!H4)</f>
        <v>1180.0000000000068</v>
      </c>
      <c r="G3" s="16">
        <f>('Kwh Consumption'!I4+'Kwh Consumption'!J4)</f>
        <v>140.00000000001478</v>
      </c>
      <c r="H3" s="1">
        <f>('Kwh Consumption'!K4+'Kwh Consumption'!L4)</f>
        <v>1670.0000000000834</v>
      </c>
      <c r="I3" s="1">
        <f>('Kwh Consumption'!M4+'Kwh Consumption'!N4+'Kwh Consumption'!O4+'Kwh Consumption'!P4+'Kwh Consumption'!Q4+'Kwh Consumption'!R4)</f>
        <v>6049.9999999999545</v>
      </c>
      <c r="J3" s="1">
        <f>('Kwh Consumption'!S4+'Kwh Consumption'!T4)</f>
        <v>4761.1200000001118</v>
      </c>
      <c r="K3" s="1">
        <f>'Kwh Consumption'!U4</f>
        <v>209.99999999997954</v>
      </c>
      <c r="L3" s="31">
        <f t="shared" ref="L3:L33" si="0">B3-C3-D3-E3-F3-G3-H3-I3-J3-K3</f>
        <v>6718.8800000003648</v>
      </c>
    </row>
    <row r="4" spans="1:12" x14ac:dyDescent="0.25">
      <c r="A4" s="14">
        <f>'Kwh Reading'!A5</f>
        <v>44653</v>
      </c>
      <c r="B4" s="80">
        <f>TOTAL!E3</f>
        <v>24709.999999998443</v>
      </c>
      <c r="C4" s="1">
        <f>'Kwh Consumption'!C5</f>
        <v>580.00000000004093</v>
      </c>
      <c r="D4" s="1">
        <f>'Kwh Consumption'!D5</f>
        <v>2799.9999999996917</v>
      </c>
      <c r="E4" s="1">
        <f>'Kwh Consumption'!E5</f>
        <v>209.99999999997954</v>
      </c>
      <c r="F4" s="1">
        <f>('Kwh Consumption'!F5+'Kwh Consumption'!G5+'Kwh Consumption'!H5)</f>
        <v>1189.9999999999409</v>
      </c>
      <c r="G4" s="16">
        <f>('Kwh Consumption'!I5+'Kwh Consumption'!J5)</f>
        <v>139.99999999998636</v>
      </c>
      <c r="H4" s="1">
        <f>('Kwh Consumption'!K5+'Kwh Consumption'!L5)</f>
        <v>1659.9999999998704</v>
      </c>
      <c r="I4" s="1">
        <f>('Kwh Consumption'!M5+'Kwh Consumption'!N5+'Kwh Consumption'!O5+'Kwh Consumption'!P5+'Kwh Consumption'!Q5+'Kwh Consumption'!R5)</f>
        <v>6069.9999999998226</v>
      </c>
      <c r="J4" s="1">
        <f>('Kwh Consumption'!S5+'Kwh Consumption'!T5)</f>
        <v>5284.9899999992922</v>
      </c>
      <c r="K4" s="1">
        <f>'Kwh Consumption'!U5</f>
        <v>230.00000000001819</v>
      </c>
      <c r="L4" s="31">
        <f t="shared" si="0"/>
        <v>6545.0099999998056</v>
      </c>
    </row>
    <row r="5" spans="1:12" x14ac:dyDescent="0.25">
      <c r="A5" s="14">
        <f>'Kwh Reading'!A6</f>
        <v>44654</v>
      </c>
      <c r="B5" s="80">
        <f>TOTAL!E4</f>
        <v>24350.000000001728</v>
      </c>
      <c r="C5" s="1">
        <f>'Kwh Consumption'!C6</f>
        <v>569.99999999993634</v>
      </c>
      <c r="D5" s="1">
        <f>'Kwh Consumption'!D6</f>
        <v>2700.0000000003688</v>
      </c>
      <c r="E5" s="1">
        <f>'Kwh Consumption'!E6</f>
        <v>240.00000000000909</v>
      </c>
      <c r="F5" s="1">
        <f>('Kwh Consumption'!F6+'Kwh Consumption'!G6+'Kwh Consumption'!H6)</f>
        <v>1269.9999999999818</v>
      </c>
      <c r="G5" s="16">
        <f>('Kwh Consumption'!I6+'Kwh Consumption'!J6)</f>
        <v>150.00000000000568</v>
      </c>
      <c r="H5" s="1">
        <f>('Kwh Consumption'!K6+'Kwh Consumption'!L6)</f>
        <v>1650.0000000000448</v>
      </c>
      <c r="I5" s="1">
        <f>('Kwh Consumption'!M6+'Kwh Consumption'!N6+'Kwh Consumption'!O6+'Kwh Consumption'!P6+'Kwh Consumption'!Q6+'Kwh Consumption'!R6)</f>
        <v>5950.0000000001592</v>
      </c>
      <c r="J5" s="1">
        <f>('Kwh Consumption'!S6+'Kwh Consumption'!T6)</f>
        <v>5102.6300000017509</v>
      </c>
      <c r="K5" s="1">
        <f>'Kwh Consumption'!U6</f>
        <v>229.99999999998977</v>
      </c>
      <c r="L5" s="31">
        <f t="shared" si="0"/>
        <v>6487.3699999994778</v>
      </c>
    </row>
    <row r="6" spans="1:12" x14ac:dyDescent="0.25">
      <c r="A6" s="14">
        <f>'Kwh Reading'!A7</f>
        <v>44655</v>
      </c>
      <c r="B6" s="80">
        <f>TOTAL!E5</f>
        <v>23750.000000000909</v>
      </c>
      <c r="C6" s="1">
        <f>'Kwh Consumption'!C7</f>
        <v>560.00000000005912</v>
      </c>
      <c r="D6" s="1">
        <f>'Kwh Consumption'!D7</f>
        <v>2799.9999999996917</v>
      </c>
      <c r="E6" s="1">
        <f>'Kwh Consumption'!E7</f>
        <v>250</v>
      </c>
      <c r="F6" s="1">
        <f>('Kwh Consumption'!F7+'Kwh Consumption'!G7+'Kwh Consumption'!H7)</f>
        <v>1240.0000000000659</v>
      </c>
      <c r="G6" s="16">
        <f>('Kwh Consumption'!I7+'Kwh Consumption'!J7)</f>
        <v>129.99999999999545</v>
      </c>
      <c r="H6" s="1">
        <f>('Kwh Consumption'!K7+'Kwh Consumption'!L7)</f>
        <v>1330.0000000001528</v>
      </c>
      <c r="I6" s="1">
        <f>('Kwh Consumption'!M7+'Kwh Consumption'!N7+'Kwh Consumption'!O7+'Kwh Consumption'!P7+'Kwh Consumption'!Q7+'Kwh Consumption'!R7)</f>
        <v>6159.9999999999682</v>
      </c>
      <c r="J6" s="1">
        <f>('Kwh Consumption'!S7+'Kwh Consumption'!T7)</f>
        <v>4901.0699999984354</v>
      </c>
      <c r="K6" s="1">
        <f>'Kwh Consumption'!U7</f>
        <v>240.00000000000909</v>
      </c>
      <c r="L6" s="31">
        <f t="shared" si="0"/>
        <v>6138.9300000025341</v>
      </c>
    </row>
    <row r="7" spans="1:12" x14ac:dyDescent="0.25">
      <c r="A7" s="14">
        <f>'Kwh Reading'!A8</f>
        <v>44656</v>
      </c>
      <c r="B7" s="80">
        <f>TOTAL!E6</f>
        <v>22509.999999997945</v>
      </c>
      <c r="C7" s="1">
        <f>'Kwh Consumption'!C8</f>
        <v>559.99999999994543</v>
      </c>
      <c r="D7" s="1">
        <f>'Kwh Consumption'!D8</f>
        <v>2600.0000000001578</v>
      </c>
      <c r="E7" s="1">
        <f>'Kwh Consumption'!E8</f>
        <v>250</v>
      </c>
      <c r="F7" s="1">
        <f>('Kwh Consumption'!F8+'Kwh Consumption'!G8+'Kwh Consumption'!H8)</f>
        <v>431460</v>
      </c>
      <c r="G7" s="16">
        <f>('Kwh Consumption'!I8+'Kwh Consumption'!J8)</f>
        <v>150.00000000000568</v>
      </c>
      <c r="H7" s="1">
        <f>('Kwh Consumption'!K8+'Kwh Consumption'!L8)</f>
        <v>1699.9999999998572</v>
      </c>
      <c r="I7" s="1">
        <f>('Kwh Consumption'!M8+'Kwh Consumption'!N8+'Kwh Consumption'!O8+'Kwh Consumption'!P8+'Kwh Consumption'!Q8+'Kwh Consumption'!R8)</f>
        <v>5520.0000000000955</v>
      </c>
      <c r="J7" s="1">
        <f>('Kwh Consumption'!S8+'Kwh Consumption'!T8)</f>
        <v>4448.2199999997392</v>
      </c>
      <c r="K7" s="1">
        <f>'Kwh Consumption'!U8</f>
        <v>189.99999999999773</v>
      </c>
      <c r="L7" s="31">
        <f t="shared" si="0"/>
        <v>-424368.22000000189</v>
      </c>
    </row>
    <row r="8" spans="1:12" x14ac:dyDescent="0.25">
      <c r="A8" s="14">
        <f>'Kwh Reading'!A9</f>
        <v>44657</v>
      </c>
      <c r="B8" s="80">
        <f>TOTAL!E7</f>
        <v>23740.000000000917</v>
      </c>
      <c r="C8" s="1">
        <f>'Kwh Consumption'!C9</f>
        <v>580.00000000004093</v>
      </c>
      <c r="D8" s="1">
        <f>'Kwh Consumption'!D9</f>
        <v>2699.9999999999245</v>
      </c>
      <c r="E8" s="1">
        <f>'Kwh Consumption'!E9</f>
        <v>230.00000000001819</v>
      </c>
      <c r="F8" s="1">
        <f>('Kwh Consumption'!F9+'Kwh Consumption'!G9+'Kwh Consumption'!H9)</f>
        <v>1589.9999999999181</v>
      </c>
      <c r="G8" s="16">
        <f>('Kwh Consumption'!I9+'Kwh Consumption'!J9)</f>
        <v>150.00000000000568</v>
      </c>
      <c r="H8" s="1">
        <f>('Kwh Consumption'!K9+'Kwh Consumption'!L9)</f>
        <v>1530.0000000000739</v>
      </c>
      <c r="I8" s="1">
        <f>('Kwh Consumption'!M9+'Kwh Consumption'!N9+'Kwh Consumption'!O9+'Kwh Consumption'!P9+'Kwh Consumption'!Q9+'Kwh Consumption'!R9)</f>
        <v>5779.9999999999727</v>
      </c>
      <c r="J8" s="1">
        <f>('Kwh Consumption'!S9+'Kwh Consumption'!T9)</f>
        <v>4693.0400000000373</v>
      </c>
      <c r="K8" s="1">
        <f>'Kwh Consumption'!U9</f>
        <v>219.99999999999886</v>
      </c>
      <c r="L8" s="31">
        <f t="shared" si="0"/>
        <v>6266.9600000009295</v>
      </c>
    </row>
    <row r="9" spans="1:12" x14ac:dyDescent="0.25">
      <c r="A9" s="14">
        <f>'Kwh Reading'!A10</f>
        <v>44658</v>
      </c>
      <c r="B9" s="80">
        <f>TOTAL!E8</f>
        <v>23790.000000000189</v>
      </c>
      <c r="C9" s="1">
        <f>'Kwh Consumption'!C10</f>
        <v>-557480</v>
      </c>
      <c r="D9" s="1">
        <f>'Kwh Consumption'!D10</f>
        <v>-3103300</v>
      </c>
      <c r="E9" s="1">
        <f>'Kwh Consumption'!E10</f>
        <v>-300180</v>
      </c>
      <c r="F9" s="1">
        <f>('Kwh Consumption'!F10+'Kwh Consumption'!G10+'Kwh Consumption'!H10)</f>
        <v>-1603960</v>
      </c>
      <c r="G9" s="16">
        <f>('Kwh Consumption'!I10+'Kwh Consumption'!J10)</f>
        <v>-343210</v>
      </c>
      <c r="H9" s="1">
        <f>('Kwh Consumption'!K10+'Kwh Consumption'!L10)</f>
        <v>-1637940</v>
      </c>
      <c r="I9" s="1">
        <f>('Kwh Consumption'!M10+'Kwh Consumption'!N10+'Kwh Consumption'!O10+'Kwh Consumption'!P10+'Kwh Consumption'!Q10+'Kwh Consumption'!R10)</f>
        <v>-4842160</v>
      </c>
      <c r="J9" s="1">
        <f>('Kwh Consumption'!S10+'Kwh Consumption'!T10)</f>
        <v>-17042790.699999999</v>
      </c>
      <c r="K9" s="1">
        <f>'Kwh Consumption'!U10</f>
        <v>-211530</v>
      </c>
      <c r="L9" s="31">
        <f t="shared" si="0"/>
        <v>29666340.699999999</v>
      </c>
    </row>
    <row r="10" spans="1:12" x14ac:dyDescent="0.25">
      <c r="A10" s="14">
        <f>'Kwh Reading'!A11</f>
        <v>44659</v>
      </c>
      <c r="B10" s="80">
        <f>TOTAL!E9</f>
        <v>24849.999999999909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1">
        <f t="shared" si="0"/>
        <v>24849.999999999909</v>
      </c>
    </row>
    <row r="11" spans="1:12" x14ac:dyDescent="0.25">
      <c r="A11" s="14">
        <f>'Kwh Reading'!A12</f>
        <v>44660</v>
      </c>
      <c r="B11" s="80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1">
        <f t="shared" si="0"/>
        <v>0</v>
      </c>
    </row>
    <row r="12" spans="1:12" x14ac:dyDescent="0.25">
      <c r="A12" s="14">
        <f>'Kwh Reading'!A13</f>
        <v>44661</v>
      </c>
      <c r="B12" s="80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1">
        <f t="shared" si="0"/>
        <v>0</v>
      </c>
    </row>
    <row r="13" spans="1:12" x14ac:dyDescent="0.25">
      <c r="A13" s="14">
        <f>'Kwh Reading'!A14</f>
        <v>44662</v>
      </c>
      <c r="B13" s="80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1">
        <f t="shared" si="0"/>
        <v>0</v>
      </c>
    </row>
    <row r="14" spans="1:12" x14ac:dyDescent="0.25">
      <c r="A14" s="14">
        <f>'Kwh Reading'!A15</f>
        <v>44663</v>
      </c>
      <c r="B14" s="80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1">
        <f t="shared" si="0"/>
        <v>0</v>
      </c>
    </row>
    <row r="15" spans="1:12" x14ac:dyDescent="0.25">
      <c r="A15" s="14">
        <f>'Kwh Reading'!A16</f>
        <v>44664</v>
      </c>
      <c r="B15" s="80">
        <f>TOTAL!E14</f>
        <v>0</v>
      </c>
      <c r="C15" s="1">
        <v>0</v>
      </c>
      <c r="D15" s="1">
        <v>0</v>
      </c>
      <c r="E15" s="1">
        <v>0</v>
      </c>
      <c r="F15" s="1">
        <v>0</v>
      </c>
      <c r="G15" s="16">
        <v>0</v>
      </c>
      <c r="H15" s="1"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1">
        <f t="shared" si="0"/>
        <v>0</v>
      </c>
    </row>
    <row r="16" spans="1:12" x14ac:dyDescent="0.25">
      <c r="A16" s="14">
        <f>'Kwh Reading'!A17</f>
        <v>44665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44666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44667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44668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44669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44670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44671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44672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44673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44674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44675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44676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44677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44678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44679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44680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44681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44682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191800.00000000061</v>
      </c>
      <c r="C34" s="72">
        <f>SUM(C3:C33)</f>
        <v>-554320</v>
      </c>
      <c r="D34" s="72">
        <f t="shared" ref="D34:L34" si="1">SUM(D3:D33)</f>
        <v>-3086900</v>
      </c>
      <c r="E34" s="72">
        <f t="shared" si="1"/>
        <v>-298740</v>
      </c>
      <c r="F34" s="72">
        <f t="shared" si="1"/>
        <v>-1166030</v>
      </c>
      <c r="G34" s="72">
        <f t="shared" si="1"/>
        <v>-342350</v>
      </c>
      <c r="H34" s="72">
        <f t="shared" si="1"/>
        <v>-1628400</v>
      </c>
      <c r="I34" s="72">
        <f t="shared" si="1"/>
        <v>-4806630</v>
      </c>
      <c r="J34" s="72">
        <f t="shared" si="1"/>
        <v>-17013599.629999999</v>
      </c>
      <c r="K34" s="72">
        <f t="shared" si="1"/>
        <v>-210210</v>
      </c>
      <c r="L34" s="72">
        <f t="shared" si="1"/>
        <v>29298979.629999999</v>
      </c>
      <c r="M34" s="81">
        <f>C34+D34+E34+F34+G34+H34+I34+J34+K34+L34</f>
        <v>191800</v>
      </c>
    </row>
    <row r="36" spans="1:13" ht="15.75" x14ac:dyDescent="0.25">
      <c r="A36" s="82" t="s">
        <v>63</v>
      </c>
      <c r="B36" s="124">
        <f>TOTAL!F2</f>
        <v>0.19400000000000001</v>
      </c>
      <c r="C36" s="72">
        <f>C34*B36</f>
        <v>-107538.08</v>
      </c>
      <c r="D36" s="72">
        <f>D34*B36</f>
        <v>-598858.6</v>
      </c>
      <c r="E36" s="72">
        <f>E34*B36</f>
        <v>-57955.560000000005</v>
      </c>
      <c r="F36" s="72">
        <f>F34*B36</f>
        <v>-226209.82</v>
      </c>
      <c r="G36" s="72">
        <f>G34*B36</f>
        <v>-66415.900000000009</v>
      </c>
      <c r="H36" s="72">
        <f>H34*B36</f>
        <v>-315909.60000000003</v>
      </c>
      <c r="I36" s="72">
        <f>I34*B36</f>
        <v>-932486.22</v>
      </c>
      <c r="J36" s="72">
        <f>J34*B36</f>
        <v>-3300638.32822</v>
      </c>
      <c r="K36" s="72">
        <f>K34*B36</f>
        <v>-40780.74</v>
      </c>
      <c r="L36" s="72">
        <f>L34*B36</f>
        <v>5684002.0482200002</v>
      </c>
      <c r="M36" s="81">
        <f>C36+D36+E36+F36+G36+H36+I36+J36+K36+L36</f>
        <v>37209.200000000186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G20" sqref="G20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44652</v>
      </c>
      <c r="B3" s="125">
        <f>TOTAL!F2</f>
        <v>0.19400000000000001</v>
      </c>
      <c r="C3" s="11">
        <f>'Kwh Consumption'!B4*' Kwh area wise $ '!B3</f>
        <v>4675.4000000001142</v>
      </c>
      <c r="D3" s="1">
        <f>'Kwh Consumption'!C4*' Kwh area wise $ '!B3</f>
        <v>60.139999999989413</v>
      </c>
      <c r="E3" s="1">
        <f>'Kwh Consumption'!D4*' Kwh area wise $ '!B3</f>
        <v>543.20000000002631</v>
      </c>
      <c r="F3" s="1">
        <f>'Kwh Consumption'!E4*' Kwh area wise $ '!B3</f>
        <v>50.439999999998236</v>
      </c>
      <c r="G3" s="1">
        <f>('Kwh Consumption'!F4+'Kwh Consumption'!G4+'Kwh Consumption'!H4)*' Kwh area wise $ '!B3</f>
        <v>228.92000000000132</v>
      </c>
      <c r="H3" s="16">
        <f>('Kwh Consumption'!I4+'Kwh Consumption'!J4)*' Kwh area wise $ '!B3</f>
        <v>27.160000000002867</v>
      </c>
      <c r="I3" s="1">
        <f>('Kwh Consumption'!K4+'Kwh Consumption'!L4)*' Kwh area wise $ '!B3</f>
        <v>323.98000000001622</v>
      </c>
      <c r="J3" s="1">
        <f>('Kwh Consumption'!M4+'Kwh Consumption'!N4+'Kwh Consumption'!O4+'Kwh Consumption'!P4+'Kwh Consumption'!Q4+'Kwh Consumption'!R4)*' Kwh area wise $ '!B3</f>
        <v>1173.6999999999912</v>
      </c>
      <c r="K3" s="31">
        <f>('Kwh Consumption'!S4+'Kwh Consumption'!T4)*' Kwh area wise $ '!B3</f>
        <v>923.65728000002173</v>
      </c>
      <c r="L3" s="1">
        <f>'Kwh Consumption'!U4*' Kwh area wise $ '!B3</f>
        <v>40.73999999999603</v>
      </c>
      <c r="M3" s="31">
        <f>'Kwh Consumption'!V4*' Kwh area wise $ '!B3</f>
        <v>1303.4627200000716</v>
      </c>
    </row>
    <row r="4" spans="1:13" x14ac:dyDescent="0.25">
      <c r="A4" s="14">
        <f>'Kwh Reading'!A5</f>
        <v>44653</v>
      </c>
      <c r="B4" s="125">
        <f>TOTAL!F3</f>
        <v>0.19400000000000001</v>
      </c>
      <c r="C4" s="11">
        <f>'Kwh Consumption'!B5*' Kwh area wise $ '!B4</f>
        <v>4793.7399999996978</v>
      </c>
      <c r="D4" s="1">
        <f>'Kwh Consumption'!C5*' Kwh area wise $ '!B4</f>
        <v>112.52000000000794</v>
      </c>
      <c r="E4" s="1">
        <f>'Kwh Consumption'!D5*' Kwh area wise $ '!B4</f>
        <v>543.19999999994025</v>
      </c>
      <c r="F4" s="1">
        <f>'Kwh Consumption'!E5*' Kwh area wise $ '!B4</f>
        <v>40.73999999999603</v>
      </c>
      <c r="G4" s="1">
        <f>('Kwh Consumption'!F5+'Kwh Consumption'!G5+'Kwh Consumption'!H5)*' Kwh area wise $ '!B4</f>
        <v>230.85999999998853</v>
      </c>
      <c r="H4" s="16">
        <f>('Kwh Consumption'!I5+'Kwh Consumption'!J5)*' Kwh area wise $ '!B4</f>
        <v>27.159999999997353</v>
      </c>
      <c r="I4" s="1">
        <f>('Kwh Consumption'!K5+'Kwh Consumption'!L5)*' Kwh area wise $ '!B4</f>
        <v>322.03999999997484</v>
      </c>
      <c r="J4" s="1">
        <f>('Kwh Consumption'!M5+'Kwh Consumption'!N5+'Kwh Consumption'!O5+'Kwh Consumption'!P5+'Kwh Consumption'!Q5+'Kwh Consumption'!R5)*' Kwh area wise $ '!B4</f>
        <v>1177.5799999999656</v>
      </c>
      <c r="K4" s="31">
        <f>('Kwh Consumption'!S5+'Kwh Consumption'!T5)*' Kwh area wise $ '!B4</f>
        <v>1025.2880599998628</v>
      </c>
      <c r="L4" s="1">
        <f>'Kwh Consumption'!U5*' Kwh area wise $ '!B4</f>
        <v>44.620000000003529</v>
      </c>
      <c r="M4" s="31">
        <f>'Kwh Consumption'!V5*' Kwh area wise $ '!B4</f>
        <v>1269.731939999961</v>
      </c>
    </row>
    <row r="5" spans="1:13" x14ac:dyDescent="0.25">
      <c r="A5" s="14">
        <f>'Kwh Reading'!A6</f>
        <v>44654</v>
      </c>
      <c r="B5" s="125">
        <f>TOTAL!F4</f>
        <v>0.19400000000000001</v>
      </c>
      <c r="C5" s="11">
        <f>'Kwh Consumption'!B6*' Kwh area wise $ '!B5</f>
        <v>4723.9000000003352</v>
      </c>
      <c r="D5" s="1">
        <f>'Kwh Consumption'!C6*' Kwh area wise $ '!B5</f>
        <v>110.57999999998765</v>
      </c>
      <c r="E5" s="1">
        <f>'Kwh Consumption'!D6*' Kwh area wise $ '!B5</f>
        <v>523.80000000007158</v>
      </c>
      <c r="F5" s="1">
        <f>'Kwh Consumption'!E6*' Kwh area wise $ '!B5</f>
        <v>46.560000000001764</v>
      </c>
      <c r="G5" s="1">
        <f>('Kwh Consumption'!F6+'Kwh Consumption'!G6+'Kwh Consumption'!H6)*' Kwh area wise $ '!B5</f>
        <v>246.37999999999647</v>
      </c>
      <c r="H5" s="16">
        <f>('Kwh Consumption'!I6+'Kwh Consumption'!J6)*' Kwh area wise $ '!B5</f>
        <v>29.100000000001103</v>
      </c>
      <c r="I5" s="1">
        <f>('Kwh Consumption'!K6+'Kwh Consumption'!L6)*' Kwh area wise $ '!B5</f>
        <v>320.10000000000872</v>
      </c>
      <c r="J5" s="1">
        <f>('Kwh Consumption'!M6+'Kwh Consumption'!N6+'Kwh Consumption'!O6+'Kwh Consumption'!P6+'Kwh Consumption'!Q6+'Kwh Consumption'!R6)*' Kwh area wise $ '!B5</f>
        <v>1154.3000000000309</v>
      </c>
      <c r="K5" s="31">
        <f>('Kwh Consumption'!S6+'Kwh Consumption'!T6)*' Kwh area wise $ '!B5</f>
        <v>989.91022000033968</v>
      </c>
      <c r="L5" s="1">
        <f>'Kwh Consumption'!U6*' Kwh area wise $ '!B5</f>
        <v>44.619999999998015</v>
      </c>
      <c r="M5" s="31">
        <f>'Kwh Consumption'!V6*' Kwh area wise $ '!B5</f>
        <v>1258.5497799998996</v>
      </c>
    </row>
    <row r="6" spans="1:13" x14ac:dyDescent="0.25">
      <c r="A6" s="14">
        <f>'Kwh Reading'!A7</f>
        <v>44655</v>
      </c>
      <c r="B6" s="125">
        <f>TOTAL!F5</f>
        <v>0.19400000000000001</v>
      </c>
      <c r="C6" s="11">
        <f>'Kwh Consumption'!B7*' Kwh area wise $ '!B6</f>
        <v>4607.5000000001764</v>
      </c>
      <c r="D6" s="1">
        <f>'Kwh Consumption'!C7*' Kwh area wise $ '!B6</f>
        <v>108.64000000001147</v>
      </c>
      <c r="E6" s="1">
        <f>'Kwh Consumption'!D7*' Kwh area wise $ '!B6</f>
        <v>543.19999999994025</v>
      </c>
      <c r="F6" s="1">
        <f>'Kwh Consumption'!E7*' Kwh area wise $ '!B6</f>
        <v>48.5</v>
      </c>
      <c r="G6" s="1">
        <f>('Kwh Consumption'!F7+'Kwh Consumption'!G7+'Kwh Consumption'!H7)*' Kwh area wise $ '!B6</f>
        <v>240.56000000001279</v>
      </c>
      <c r="H6" s="16">
        <f>('Kwh Consumption'!I7+'Kwh Consumption'!J7)*' Kwh area wise $ '!B6</f>
        <v>25.219999999999118</v>
      </c>
      <c r="I6" s="1">
        <f>('Kwh Consumption'!K7+'Kwh Consumption'!L7)*' Kwh area wise $ '!B6</f>
        <v>258.02000000002965</v>
      </c>
      <c r="J6" s="1">
        <f>('Kwh Consumption'!M7+'Kwh Consumption'!N7+'Kwh Consumption'!O7+'Kwh Consumption'!P7+'Kwh Consumption'!Q7+'Kwh Consumption'!R7)*' Kwh area wise $ '!B6</f>
        <v>1195.0399999999938</v>
      </c>
      <c r="K6" s="31">
        <f>('Kwh Consumption'!S7+'Kwh Consumption'!T7)*' Kwh area wise $ '!B6</f>
        <v>950.80757999969649</v>
      </c>
      <c r="L6" s="1">
        <f>'Kwh Consumption'!U7*' Kwh area wise $ '!B6</f>
        <v>46.560000000001764</v>
      </c>
      <c r="M6" s="31">
        <f>'Kwh Consumption'!V7*' Kwh area wise $ '!B6</f>
        <v>1190.9524200004912</v>
      </c>
    </row>
    <row r="7" spans="1:13" x14ac:dyDescent="0.25">
      <c r="A7" s="14">
        <f>'Kwh Reading'!A8</f>
        <v>44656</v>
      </c>
      <c r="B7" s="125">
        <f>TOTAL!F6</f>
        <v>0.19400000000000001</v>
      </c>
      <c r="C7" s="11">
        <f>'Kwh Consumption'!B8*' Kwh area wise $ '!B7</f>
        <v>4366.9399999996012</v>
      </c>
      <c r="D7" s="1">
        <f>'Kwh Consumption'!C8*' Kwh area wise $ '!B7</f>
        <v>108.63999999998941</v>
      </c>
      <c r="E7" s="1">
        <f>'Kwh Consumption'!D8*' Kwh area wise $ '!B7</f>
        <v>504.40000000003062</v>
      </c>
      <c r="F7" s="1">
        <f>'Kwh Consumption'!E8*' Kwh area wise $ '!B7</f>
        <v>48.5</v>
      </c>
      <c r="G7" s="1">
        <f>('Kwh Consumption'!F8+'Kwh Consumption'!G8+'Kwh Consumption'!H8)*' Kwh area wise $ '!B7</f>
        <v>83703.240000000005</v>
      </c>
      <c r="H7" s="16">
        <f>('Kwh Consumption'!I8+'Kwh Consumption'!J8)*' Kwh area wise $ '!B7</f>
        <v>29.100000000001103</v>
      </c>
      <c r="I7" s="1">
        <f>('Kwh Consumption'!K8+'Kwh Consumption'!L8)*' Kwh area wise $ '!B7</f>
        <v>329.79999999997233</v>
      </c>
      <c r="J7" s="1">
        <f>('Kwh Consumption'!M8+'Kwh Consumption'!N8+'Kwh Consumption'!O8+'Kwh Consumption'!P8+'Kwh Consumption'!Q8+'Kwh Consumption'!R8)*' Kwh area wise $ '!B7</f>
        <v>1070.8800000000185</v>
      </c>
      <c r="K7" s="31">
        <f>('Kwh Consumption'!S8+'Kwh Consumption'!T8)*' Kwh area wise $ '!B7</f>
        <v>862.95467999994946</v>
      </c>
      <c r="L7" s="1">
        <f>'Kwh Consumption'!U8*' Kwh area wise $ '!B7</f>
        <v>36.859999999999559</v>
      </c>
      <c r="M7" s="31">
        <f>'Kwh Consumption'!V8*' Kwh area wise $ '!B7</f>
        <v>-82327.43468000034</v>
      </c>
    </row>
    <row r="8" spans="1:13" x14ac:dyDescent="0.25">
      <c r="A8" s="14">
        <f>'Kwh Reading'!A9</f>
        <v>44657</v>
      </c>
      <c r="B8" s="125">
        <f>TOTAL!F7</f>
        <v>0.19400000000000001</v>
      </c>
      <c r="C8" s="11">
        <f>'Kwh Consumption'!B9*' Kwh area wise $ '!B8</f>
        <v>4605.5600000001778</v>
      </c>
      <c r="D8" s="1">
        <f>'Kwh Consumption'!C9*' Kwh area wise $ '!B8</f>
        <v>112.52000000000794</v>
      </c>
      <c r="E8" s="1">
        <f>'Kwh Consumption'!D9*' Kwh area wise $ '!B8</f>
        <v>523.7999999999854</v>
      </c>
      <c r="F8" s="1">
        <f>'Kwh Consumption'!E9*' Kwh area wise $ '!B8</f>
        <v>44.620000000003529</v>
      </c>
      <c r="G8" s="1">
        <f>('Kwh Consumption'!F9+'Kwh Consumption'!G9+'Kwh Consumption'!H9)*' Kwh area wise $ '!B8</f>
        <v>308.45999999998412</v>
      </c>
      <c r="H8" s="16">
        <f>('Kwh Consumption'!I9+'Kwh Consumption'!J9)*' Kwh area wise $ '!B8</f>
        <v>29.100000000001103</v>
      </c>
      <c r="I8" s="1">
        <f>('Kwh Consumption'!K9+'Kwh Consumption'!L9)*' Kwh area wise $ '!B8</f>
        <v>296.82000000001432</v>
      </c>
      <c r="J8" s="1">
        <f>('Kwh Consumption'!M9+'Kwh Consumption'!N9+'Kwh Consumption'!O9+'Kwh Consumption'!P9+'Kwh Consumption'!Q9+'Kwh Consumption'!R9)*' Kwh area wise $ '!B8</f>
        <v>1121.3199999999947</v>
      </c>
      <c r="K8" s="31">
        <f>('Kwh Consumption'!S9+'Kwh Consumption'!T9)*' Kwh area wise $ '!B8</f>
        <v>910.44976000000725</v>
      </c>
      <c r="L8" s="1">
        <f>'Kwh Consumption'!U9*' Kwh area wise $ '!B8</f>
        <v>42.679999999999779</v>
      </c>
      <c r="M8" s="31">
        <f>'Kwh Consumption'!V9*' Kwh area wise $ '!B8</f>
        <v>1215.7902400001799</v>
      </c>
    </row>
    <row r="9" spans="1:13" x14ac:dyDescent="0.25">
      <c r="A9" s="14">
        <f>'Kwh Reading'!A10</f>
        <v>44658</v>
      </c>
      <c r="B9" s="125">
        <f>TOTAL!F8</f>
        <v>0.19400000000000001</v>
      </c>
      <c r="C9" s="11">
        <f>'Kwh Consumption'!B10*' Kwh area wise $ '!B9</f>
        <v>4615.2600000000366</v>
      </c>
      <c r="D9" s="1">
        <f>'Kwh Consumption'!C10*' Kwh area wise $ '!B9</f>
        <v>-108151.12000000001</v>
      </c>
      <c r="E9" s="1">
        <f>'Kwh Consumption'!D10*' Kwh area wise $ '!B9</f>
        <v>-602040.20000000007</v>
      </c>
      <c r="F9" s="1">
        <f>'Kwh Consumption'!E10*' Kwh area wise $ '!B9</f>
        <v>-58234.92</v>
      </c>
      <c r="G9" s="1">
        <f>('Kwh Consumption'!F10+'Kwh Consumption'!G10+'Kwh Consumption'!H10)*' Kwh area wise $ '!B9</f>
        <v>-311168.24</v>
      </c>
      <c r="H9" s="16">
        <f>('Kwh Consumption'!I10+'Kwh Consumption'!J10)*' Kwh area wise $ '!B9</f>
        <v>-66582.740000000005</v>
      </c>
      <c r="I9" s="1">
        <f>('Kwh Consumption'!K10+'Kwh Consumption'!L10)*' Kwh area wise $ '!B9</f>
        <v>-317760.36</v>
      </c>
      <c r="J9" s="1">
        <f>('Kwh Consumption'!M10+'Kwh Consumption'!N10+'Kwh Consumption'!O10+'Kwh Consumption'!P10+'Kwh Consumption'!Q10+'Kwh Consumption'!R10)*' Kwh area wise $ '!B9</f>
        <v>-939379.04</v>
      </c>
      <c r="K9" s="31">
        <f>('Kwh Consumption'!S10+'Kwh Consumption'!T10)*' Kwh area wise $ '!B9</f>
        <v>-3306301.3958000001</v>
      </c>
      <c r="L9" s="1">
        <f>'Kwh Consumption'!U10*' Kwh area wise $ '!B9</f>
        <v>-41036.82</v>
      </c>
      <c r="M9" s="31">
        <f>'Kwh Consumption'!V10*' Kwh area wise $ '!B9</f>
        <v>5755270.0957999993</v>
      </c>
    </row>
    <row r="10" spans="1:13" x14ac:dyDescent="0.25">
      <c r="A10" s="14">
        <f>'Kwh Reading'!A11</f>
        <v>44659</v>
      </c>
      <c r="B10" s="125">
        <f>TOTAL!F9</f>
        <v>0.19400000000000001</v>
      </c>
      <c r="C10" s="11">
        <f>'Kwh Consumption'!B11*' Kwh area wise $ '!B10</f>
        <v>4820.8999999999824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4820.8999999999824</v>
      </c>
    </row>
    <row r="11" spans="1:13" x14ac:dyDescent="0.25">
      <c r="A11" s="14">
        <f>'Kwh Reading'!A12</f>
        <v>44660</v>
      </c>
      <c r="B11" s="125">
        <f>TOTAL!F10</f>
        <v>0.19400000000000001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44661</v>
      </c>
      <c r="B12" s="125">
        <f>TOTAL!F11</f>
        <v>0.19400000000000001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44662</v>
      </c>
      <c r="B13" s="125">
        <f>TOTAL!F12</f>
        <v>0.19400000000000001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44663</v>
      </c>
      <c r="B14" s="125">
        <f>TOTAL!F13</f>
        <v>0.19400000000000001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44664</v>
      </c>
      <c r="B15" s="125">
        <f>TOTAL!F14</f>
        <v>0.19400000000000001</v>
      </c>
      <c r="C15" s="11">
        <f>'Kwh Consumption'!B16*' Kwh area wise $ '!B15</f>
        <v>0</v>
      </c>
      <c r="D15" s="1">
        <v>0</v>
      </c>
      <c r="E15" s="1">
        <v>0</v>
      </c>
      <c r="F15" s="1">
        <v>0</v>
      </c>
      <c r="G15" s="1">
        <v>0</v>
      </c>
      <c r="H15" s="16">
        <v>0</v>
      </c>
      <c r="I15" s="1"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44665</v>
      </c>
      <c r="B16" s="125">
        <f>TOTAL!F15</f>
        <v>0.19400000000000001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44666</v>
      </c>
      <c r="B17" s="125">
        <f>TOTAL!F16</f>
        <v>0.19400000000000001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44667</v>
      </c>
      <c r="B18" s="125">
        <f>TOTAL!F17</f>
        <v>0.19400000000000001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44668</v>
      </c>
      <c r="B19" s="125">
        <f>TOTAL!F18</f>
        <v>0.19400000000000001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44669</v>
      </c>
      <c r="B20" s="125">
        <f>TOTAL!F19</f>
        <v>0.19400000000000001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44670</v>
      </c>
      <c r="B21" s="125">
        <f>TOTAL!F20</f>
        <v>0.19400000000000001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44671</v>
      </c>
      <c r="B22" s="125">
        <f>TOTAL!F21</f>
        <v>0.19400000000000001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44672</v>
      </c>
      <c r="B23" s="125">
        <f>TOTAL!F22</f>
        <v>0.19400000000000001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44673</v>
      </c>
      <c r="B24" s="125">
        <f>TOTAL!F23</f>
        <v>0.19400000000000001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44674</v>
      </c>
      <c r="B25" s="125">
        <f>TOTAL!F24</f>
        <v>0.19400000000000001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44675</v>
      </c>
      <c r="B26" s="125">
        <f>TOTAL!F25</f>
        <v>0.19400000000000001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44676</v>
      </c>
      <c r="B27" s="125">
        <f>TOTAL!F26</f>
        <v>0.19400000000000001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44677</v>
      </c>
      <c r="B28" s="125">
        <f>TOTAL!F27</f>
        <v>0.19400000000000001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44678</v>
      </c>
      <c r="B29" s="125">
        <f>TOTAL!F28</f>
        <v>0.19400000000000001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44679</v>
      </c>
      <c r="B30" s="125">
        <f>TOTAL!F29</f>
        <v>0.19400000000000001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44680</v>
      </c>
      <c r="B31" s="125">
        <f>TOTAL!F30</f>
        <v>0.19400000000000001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44681</v>
      </c>
      <c r="B32" s="125">
        <f>TOTAL!F31</f>
        <v>0.19400000000000001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44682</v>
      </c>
      <c r="B33" s="125">
        <f>TOTAL!F32</f>
        <v>0.19400000000000001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9" t="s">
        <v>52</v>
      </c>
      <c r="B34" s="149"/>
      <c r="C34" s="72">
        <f t="shared" ref="C34:L34" si="0">SUM(C3:C33)</f>
        <v>37209.200000000121</v>
      </c>
      <c r="D34" s="72">
        <f t="shared" si="0"/>
        <v>-107538.08000000002</v>
      </c>
      <c r="E34" s="72">
        <f t="shared" si="0"/>
        <v>-598858.60000000009</v>
      </c>
      <c r="F34" s="72">
        <f t="shared" si="0"/>
        <v>-57955.56</v>
      </c>
      <c r="G34" s="72">
        <f t="shared" si="0"/>
        <v>-226209.82</v>
      </c>
      <c r="H34" s="72">
        <f t="shared" si="0"/>
        <v>-66415.900000000009</v>
      </c>
      <c r="I34" s="72">
        <f t="shared" si="0"/>
        <v>-315909.59999999998</v>
      </c>
      <c r="J34" s="72">
        <f t="shared" si="0"/>
        <v>-932486.22000000009</v>
      </c>
      <c r="K34" s="72">
        <f t="shared" si="0"/>
        <v>-3300638.32822</v>
      </c>
      <c r="L34" s="72">
        <f t="shared" si="0"/>
        <v>-40780.74</v>
      </c>
      <c r="M34" s="72">
        <f>SUM(M3:M33)</f>
        <v>5684002.0482200002</v>
      </c>
      <c r="N34" s="81">
        <f>D34+E34+F34+G34+H34+I34+J34+K34+L34+M34</f>
        <v>37209.200000000186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tabSelected="1" zoomScale="89" zoomScaleNormal="89" workbookViewId="0">
      <pane xSplit="1" ySplit="2" topLeftCell="D3" activePane="bottomRight" state="frozen"/>
      <selection pane="topRight" activeCell="C25" sqref="C25"/>
      <selection pane="bottomLeft" activeCell="C25" sqref="C25"/>
      <selection pane="bottomRight" activeCell="R10" sqref="R10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18" t="s">
        <v>93</v>
      </c>
      <c r="E2" s="118" t="s">
        <v>94</v>
      </c>
      <c r="F2" s="118" t="s">
        <v>95</v>
      </c>
      <c r="G2" s="118" t="s">
        <v>96</v>
      </c>
      <c r="H2" s="118" t="s">
        <v>97</v>
      </c>
      <c r="I2" s="118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44652</v>
      </c>
      <c r="B3" s="32">
        <v>218338</v>
      </c>
      <c r="C3" s="32"/>
      <c r="D3" s="32">
        <v>257842</v>
      </c>
      <c r="E3" s="32">
        <v>266396</v>
      </c>
      <c r="F3" s="32">
        <v>67125</v>
      </c>
      <c r="G3" s="32">
        <v>118057</v>
      </c>
      <c r="H3" s="32">
        <v>62050</v>
      </c>
      <c r="I3" s="32">
        <v>73135</v>
      </c>
      <c r="J3" s="32">
        <v>22471</v>
      </c>
      <c r="K3" s="54">
        <v>1024</v>
      </c>
      <c r="L3" s="103">
        <v>18675</v>
      </c>
      <c r="M3" s="103">
        <v>27138</v>
      </c>
      <c r="N3" s="103">
        <v>8502</v>
      </c>
      <c r="O3" s="103">
        <v>2030</v>
      </c>
      <c r="P3" s="103">
        <v>30271</v>
      </c>
      <c r="Q3" s="103">
        <v>1528</v>
      </c>
      <c r="R3" s="103">
        <v>7975</v>
      </c>
    </row>
    <row r="4" spans="1:21" x14ac:dyDescent="0.25">
      <c r="A4" s="52">
        <v>44653</v>
      </c>
      <c r="B4" s="32">
        <v>218511</v>
      </c>
      <c r="C4" s="32"/>
      <c r="D4" s="32">
        <v>250826</v>
      </c>
      <c r="E4" s="32">
        <v>266457</v>
      </c>
      <c r="F4" s="32">
        <v>67127</v>
      </c>
      <c r="G4" s="32">
        <v>118085</v>
      </c>
      <c r="H4" s="32">
        <v>62089</v>
      </c>
      <c r="I4" s="32">
        <v>73179</v>
      </c>
      <c r="J4" s="54">
        <v>22477</v>
      </c>
      <c r="K4" s="54">
        <v>1024</v>
      </c>
      <c r="L4" s="103">
        <v>18678</v>
      </c>
      <c r="M4" s="103">
        <v>27145</v>
      </c>
      <c r="N4" s="103">
        <v>8504</v>
      </c>
      <c r="O4" s="103">
        <v>2031</v>
      </c>
      <c r="P4" s="103">
        <v>30288</v>
      </c>
      <c r="Q4" s="103">
        <v>1529</v>
      </c>
      <c r="R4" s="103">
        <v>7976</v>
      </c>
    </row>
    <row r="5" spans="1:21" x14ac:dyDescent="0.25">
      <c r="A5" s="52">
        <v>44654</v>
      </c>
      <c r="B5" s="32">
        <v>218716</v>
      </c>
      <c r="C5" s="32"/>
      <c r="D5" s="32">
        <v>258224</v>
      </c>
      <c r="E5" s="32">
        <v>266512</v>
      </c>
      <c r="F5" s="32">
        <v>67128</v>
      </c>
      <c r="G5" s="32">
        <v>118112</v>
      </c>
      <c r="H5" s="32">
        <v>62098</v>
      </c>
      <c r="I5" s="32">
        <v>73220</v>
      </c>
      <c r="J5" s="53">
        <v>22483</v>
      </c>
      <c r="K5" s="32">
        <v>1024</v>
      </c>
      <c r="L5" s="103">
        <v>18682</v>
      </c>
      <c r="M5" s="103">
        <v>27150</v>
      </c>
      <c r="N5" s="103">
        <v>8508</v>
      </c>
      <c r="O5" s="103">
        <v>2032</v>
      </c>
      <c r="P5" s="103">
        <v>30305</v>
      </c>
      <c r="Q5" s="103">
        <v>1533</v>
      </c>
      <c r="R5" s="103">
        <v>7985</v>
      </c>
    </row>
    <row r="6" spans="1:21" x14ac:dyDescent="0.25">
      <c r="A6" s="52">
        <v>44655</v>
      </c>
      <c r="B6" s="32">
        <v>218925</v>
      </c>
      <c r="C6" s="32"/>
      <c r="D6" s="32">
        <v>258405</v>
      </c>
      <c r="E6" s="32">
        <v>266581</v>
      </c>
      <c r="F6" s="32">
        <v>67129</v>
      </c>
      <c r="G6" s="32">
        <v>118140</v>
      </c>
      <c r="H6" s="32">
        <v>62098</v>
      </c>
      <c r="I6" s="32">
        <v>73278</v>
      </c>
      <c r="J6" s="54">
        <v>22489</v>
      </c>
      <c r="K6" s="32">
        <v>1024</v>
      </c>
      <c r="L6" s="103">
        <v>18685</v>
      </c>
      <c r="M6" s="103">
        <v>27155</v>
      </c>
      <c r="N6" s="103">
        <v>8511</v>
      </c>
      <c r="O6" s="103">
        <v>2033</v>
      </c>
      <c r="P6" s="103">
        <v>30334</v>
      </c>
      <c r="Q6" s="103">
        <v>1534</v>
      </c>
      <c r="R6" s="103">
        <v>7993</v>
      </c>
    </row>
    <row r="7" spans="1:21" x14ac:dyDescent="0.25">
      <c r="A7" s="52">
        <v>44656</v>
      </c>
      <c r="B7" s="54">
        <v>219094</v>
      </c>
      <c r="C7" s="32"/>
      <c r="D7" s="103">
        <v>258624</v>
      </c>
      <c r="E7" s="103">
        <v>266645</v>
      </c>
      <c r="F7" s="103">
        <v>67130</v>
      </c>
      <c r="G7" s="103">
        <v>118170</v>
      </c>
      <c r="H7" s="103">
        <v>62098</v>
      </c>
      <c r="I7" s="103">
        <v>73340</v>
      </c>
      <c r="J7" s="103">
        <v>22495</v>
      </c>
      <c r="K7" s="32">
        <v>1024</v>
      </c>
      <c r="L7" s="103">
        <v>18687</v>
      </c>
      <c r="M7" s="103">
        <v>27160</v>
      </c>
      <c r="N7" s="103">
        <v>8515</v>
      </c>
      <c r="O7" s="103">
        <v>2034</v>
      </c>
      <c r="P7" s="103">
        <v>30365</v>
      </c>
      <c r="Q7" s="103">
        <v>1534</v>
      </c>
      <c r="R7" s="103">
        <v>8001</v>
      </c>
    </row>
    <row r="8" spans="1:21" x14ac:dyDescent="0.25">
      <c r="A8" s="52">
        <v>44657</v>
      </c>
      <c r="B8" s="32">
        <v>219308</v>
      </c>
      <c r="C8" s="54"/>
      <c r="D8" s="103">
        <v>258830</v>
      </c>
      <c r="E8" s="103">
        <v>266703</v>
      </c>
      <c r="F8" s="103">
        <v>67131</v>
      </c>
      <c r="G8" s="103">
        <v>118200</v>
      </c>
      <c r="H8" s="103">
        <v>62098</v>
      </c>
      <c r="I8" s="103">
        <v>73393</v>
      </c>
      <c r="J8" s="103">
        <v>22501</v>
      </c>
      <c r="K8" s="32">
        <v>1024</v>
      </c>
      <c r="L8" s="103">
        <v>18690</v>
      </c>
      <c r="M8" s="103">
        <v>27165</v>
      </c>
      <c r="N8" s="103">
        <v>8515</v>
      </c>
      <c r="O8" s="103">
        <v>2037</v>
      </c>
      <c r="P8" s="103">
        <v>30393</v>
      </c>
      <c r="Q8" s="103">
        <v>1540</v>
      </c>
      <c r="R8" s="103">
        <v>8011</v>
      </c>
    </row>
    <row r="9" spans="1:21" x14ac:dyDescent="0.25">
      <c r="A9" s="52">
        <v>44658</v>
      </c>
      <c r="B9" s="54">
        <v>219502</v>
      </c>
      <c r="C9" s="32"/>
      <c r="D9" s="103">
        <v>259009</v>
      </c>
      <c r="E9" s="103">
        <v>266767</v>
      </c>
      <c r="F9" s="103">
        <v>67132</v>
      </c>
      <c r="G9" s="103">
        <v>118228</v>
      </c>
      <c r="H9" s="103">
        <v>62098</v>
      </c>
      <c r="I9" s="103">
        <v>73443</v>
      </c>
      <c r="J9" s="103">
        <v>22507</v>
      </c>
      <c r="K9" s="32">
        <v>1024</v>
      </c>
      <c r="L9" s="103">
        <v>18693</v>
      </c>
      <c r="M9" s="103">
        <v>27170</v>
      </c>
      <c r="N9" s="103">
        <v>8517</v>
      </c>
      <c r="O9" s="103">
        <v>2038</v>
      </c>
      <c r="P9" s="103">
        <v>30217</v>
      </c>
      <c r="Q9" s="103">
        <v>1541</v>
      </c>
      <c r="R9" s="103">
        <v>8017</v>
      </c>
    </row>
    <row r="10" spans="1:21" x14ac:dyDescent="0.25">
      <c r="A10" s="52">
        <v>44659</v>
      </c>
      <c r="B10" s="32"/>
      <c r="C10" s="54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</row>
    <row r="11" spans="1:21" x14ac:dyDescent="0.25">
      <c r="A11" s="52">
        <v>44660</v>
      </c>
      <c r="B11" s="54"/>
      <c r="C11" s="32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</row>
    <row r="12" spans="1:21" x14ac:dyDescent="0.25">
      <c r="A12" s="52">
        <v>44661</v>
      </c>
      <c r="B12" s="32"/>
      <c r="C12" s="54"/>
      <c r="D12" s="103"/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</row>
    <row r="13" spans="1:21" x14ac:dyDescent="0.25">
      <c r="A13" s="52">
        <v>44662</v>
      </c>
      <c r="B13" s="54"/>
      <c r="C13" s="32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</row>
    <row r="14" spans="1:21" x14ac:dyDescent="0.25">
      <c r="A14" s="52">
        <v>44663</v>
      </c>
      <c r="B14" s="32"/>
      <c r="C14" s="32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</row>
    <row r="15" spans="1:21" x14ac:dyDescent="0.25">
      <c r="A15" s="52">
        <v>44664</v>
      </c>
      <c r="B15" s="32"/>
      <c r="C15" s="32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T15" s="101"/>
      <c r="U15" s="101"/>
    </row>
    <row r="16" spans="1:21" x14ac:dyDescent="0.25">
      <c r="A16" s="52">
        <v>44665</v>
      </c>
      <c r="B16" s="32"/>
      <c r="C16" s="54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</row>
    <row r="17" spans="1:22" x14ac:dyDescent="0.25">
      <c r="A17" s="52">
        <v>44666</v>
      </c>
      <c r="B17" s="32"/>
      <c r="C17" s="32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</row>
    <row r="18" spans="1:22" x14ac:dyDescent="0.25">
      <c r="A18" s="52">
        <v>44667</v>
      </c>
      <c r="B18" s="32"/>
      <c r="C18" s="54"/>
      <c r="D18" s="103"/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U18" s="101"/>
    </row>
    <row r="19" spans="1:22" x14ac:dyDescent="0.25">
      <c r="A19" s="52">
        <v>44668</v>
      </c>
      <c r="B19" s="32"/>
      <c r="C19" s="32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</row>
    <row r="20" spans="1:22" x14ac:dyDescent="0.25">
      <c r="A20" s="52">
        <v>44669</v>
      </c>
      <c r="B20" s="32"/>
      <c r="C20" s="54"/>
      <c r="D20" s="104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</row>
    <row r="21" spans="1:22" x14ac:dyDescent="0.25">
      <c r="A21" s="52">
        <v>44670</v>
      </c>
      <c r="B21" s="32"/>
      <c r="C21" s="32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</row>
    <row r="22" spans="1:22" x14ac:dyDescent="0.25">
      <c r="A22" s="52">
        <v>44671</v>
      </c>
      <c r="B22" s="32"/>
      <c r="C22" s="54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</row>
    <row r="23" spans="1:22" x14ac:dyDescent="0.25">
      <c r="A23" s="52">
        <v>44672</v>
      </c>
      <c r="B23" s="32"/>
      <c r="C23" s="32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" t="s">
        <v>127</v>
      </c>
    </row>
    <row r="24" spans="1:22" x14ac:dyDescent="0.25">
      <c r="A24" s="52">
        <v>44673</v>
      </c>
      <c r="B24" s="32"/>
      <c r="C24" s="54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</row>
    <row r="25" spans="1:22" x14ac:dyDescent="0.25">
      <c r="A25" s="52">
        <v>44674</v>
      </c>
      <c r="B25" s="32"/>
      <c r="C25" s="32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</row>
    <row r="26" spans="1:22" x14ac:dyDescent="0.25">
      <c r="A26" s="52">
        <v>44675</v>
      </c>
      <c r="B26" s="32"/>
      <c r="C26" s="54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</row>
    <row r="27" spans="1:22" x14ac:dyDescent="0.25">
      <c r="A27" s="52">
        <v>44676</v>
      </c>
      <c r="B27" s="32"/>
      <c r="C27" s="32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</row>
    <row r="28" spans="1:22" x14ac:dyDescent="0.25">
      <c r="A28" s="52">
        <v>44677</v>
      </c>
      <c r="B28" s="32"/>
      <c r="C28" s="54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</row>
    <row r="29" spans="1:22" x14ac:dyDescent="0.25">
      <c r="A29" s="52">
        <v>44678</v>
      </c>
      <c r="B29" s="32"/>
      <c r="C29" s="32"/>
      <c r="D29" s="103"/>
      <c r="E29" s="103"/>
      <c r="F29" s="103"/>
      <c r="G29" s="103"/>
      <c r="H29" s="103"/>
      <c r="I29" s="104"/>
      <c r="J29" s="103"/>
      <c r="K29" s="103"/>
      <c r="L29" s="103"/>
      <c r="M29" s="103"/>
      <c r="N29" s="103"/>
      <c r="O29" s="103"/>
      <c r="P29" s="103"/>
      <c r="Q29" s="103"/>
      <c r="R29" s="103"/>
    </row>
    <row r="30" spans="1:22" x14ac:dyDescent="0.25">
      <c r="A30" s="52">
        <v>44679</v>
      </c>
      <c r="B30" s="32"/>
      <c r="C30" s="54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</row>
    <row r="31" spans="1:22" x14ac:dyDescent="0.25">
      <c r="A31" s="52">
        <v>44680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44681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44682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G25" sqref="G25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53"/>
      <c r="G2" s="154" t="s">
        <v>112</v>
      </c>
      <c r="H2" s="153"/>
      <c r="I2" s="154" t="s">
        <v>110</v>
      </c>
      <c r="J2" s="153"/>
      <c r="K2" s="154" t="s">
        <v>111</v>
      </c>
      <c r="L2" s="153"/>
      <c r="M2" s="154" t="s">
        <v>107</v>
      </c>
      <c r="N2" s="153"/>
      <c r="O2" s="154" t="s">
        <v>106</v>
      </c>
      <c r="P2" s="153"/>
      <c r="Q2" s="154" t="s">
        <v>113</v>
      </c>
      <c r="R2" s="153"/>
      <c r="S2" s="154" t="s">
        <v>114</v>
      </c>
      <c r="T2" s="153"/>
      <c r="U2" s="154" t="s">
        <v>115</v>
      </c>
      <c r="V2" s="153"/>
      <c r="W2" s="154" t="s">
        <v>99</v>
      </c>
      <c r="X2" s="155"/>
      <c r="Y2" s="156" t="s">
        <v>52</v>
      </c>
      <c r="Z2" s="156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44652</v>
      </c>
      <c r="B4" s="63">
        <f>TOTAL!I2</f>
        <v>393</v>
      </c>
      <c r="C4" s="64">
        <f>('Water Reading'!B4-'Water Reading'!B3)+('Water Reading'!C4-'Water Reading'!C3)</f>
        <v>173</v>
      </c>
      <c r="D4" s="65">
        <f>C4/B4</f>
        <v>0.44020356234096691</v>
      </c>
      <c r="E4" s="83">
        <f>'Water Reading'!H4-'Water Reading'!H3</f>
        <v>39</v>
      </c>
      <c r="F4" s="84">
        <f>E4/C4</f>
        <v>0.22543352601156069</v>
      </c>
      <c r="G4" s="88">
        <f>('Water Reading'!D4-'Water Reading'!D3)-('Water Reading'!R4-'Water Reading'!R3)-('Water Reading'!Q4-'Water Reading'!Q3)</f>
        <v>-7018</v>
      </c>
      <c r="H4" s="84">
        <f>G4/C4</f>
        <v>-40.566473988439306</v>
      </c>
      <c r="I4" s="85">
        <f>'Water Reading'!P4-'Water Reading'!P3</f>
        <v>17</v>
      </c>
      <c r="J4" s="66">
        <f>I4/C4</f>
        <v>9.8265895953757232E-2</v>
      </c>
      <c r="K4" s="86">
        <f>('Water Reading'!I4-'Water Reading'!I3)-('Water Reading'!P4-'Water Reading'!P3)</f>
        <v>27</v>
      </c>
      <c r="L4" s="66">
        <f>K4/C4</f>
        <v>0.15606936416184972</v>
      </c>
      <c r="M4" s="85">
        <f>'Water Reading'!R4-'Water Reading'!R3</f>
        <v>1</v>
      </c>
      <c r="N4" s="87">
        <f>M4/C4</f>
        <v>5.7803468208092483E-3</v>
      </c>
      <c r="O4" s="85">
        <f>'Water Reading'!Q4-'Water Reading'!Q3</f>
        <v>1</v>
      </c>
      <c r="P4" s="92">
        <f>O4/C4</f>
        <v>5.7803468208092483E-3</v>
      </c>
      <c r="Q4" s="86">
        <f>'Water Reading'!N4-'Water Reading'!N3</f>
        <v>2</v>
      </c>
      <c r="R4" s="93">
        <f>Q4/C4</f>
        <v>1.1560693641618497E-2</v>
      </c>
      <c r="S4" s="85">
        <v>87</v>
      </c>
      <c r="T4" s="93">
        <f>S4/C4</f>
        <v>0.50289017341040465</v>
      </c>
      <c r="U4" s="85">
        <f>'Water Reading'!O4-'Water Reading'!O3</f>
        <v>1</v>
      </c>
      <c r="V4" s="93">
        <f>U4/C4</f>
        <v>5.7803468208092483E-3</v>
      </c>
      <c r="W4" s="85">
        <f>'Water Reading'!R4-'Water Reading'!R3</f>
        <v>1</v>
      </c>
      <c r="X4" s="93">
        <f>W4/C4</f>
        <v>5.7803468208092483E-3</v>
      </c>
      <c r="Y4" s="64">
        <f t="shared" ref="Y4:Y34" si="0">E4+I4+K4+M4+O4+G4+Q4+S4+U4+W4</f>
        <v>-6842</v>
      </c>
      <c r="Z4" s="65">
        <f t="shared" ref="Z4:Z35" si="1">Y4/B4</f>
        <v>-17.409669211195929</v>
      </c>
    </row>
    <row r="5" spans="1:26" x14ac:dyDescent="0.25">
      <c r="A5" s="8">
        <f>'Water Reading'!A4</f>
        <v>44653</v>
      </c>
      <c r="B5" s="63">
        <f>TOTAL!I3</f>
        <v>372</v>
      </c>
      <c r="C5" s="64">
        <f>('Water Reading'!B5-'Water Reading'!B4)+('Water Reading'!C5-'Water Reading'!C4)</f>
        <v>205</v>
      </c>
      <c r="D5" s="65">
        <f t="shared" ref="D5:D34" si="2">C5/B5</f>
        <v>0.55107526881720426</v>
      </c>
      <c r="E5" s="83">
        <f>'Water Reading'!H5-'Water Reading'!H4</f>
        <v>9</v>
      </c>
      <c r="F5" s="84">
        <f t="shared" ref="F5:F34" si="3">E5/C5</f>
        <v>4.3902439024390241E-2</v>
      </c>
      <c r="G5" s="88">
        <f>('Water Reading'!D5-'Water Reading'!D4)-('Water Reading'!R5-'Water Reading'!R4)-('Water Reading'!Q5-'Water Reading'!Q4)</f>
        <v>7385</v>
      </c>
      <c r="H5" s="84">
        <f t="shared" ref="H5:H34" si="4">G5/C5</f>
        <v>36.024390243902438</v>
      </c>
      <c r="I5" s="85">
        <f>'Water Reading'!P5-'Water Reading'!P4</f>
        <v>17</v>
      </c>
      <c r="J5" s="66">
        <f t="shared" ref="J5:J34" si="5">I5/C5</f>
        <v>8.2926829268292687E-2</v>
      </c>
      <c r="K5" s="86">
        <f>('Water Reading'!I5-'Water Reading'!I4)-('Water Reading'!P5-'Water Reading'!P4)</f>
        <v>24</v>
      </c>
      <c r="L5" s="66">
        <f t="shared" ref="L5:L34" si="6">K5/C5</f>
        <v>0.11707317073170732</v>
      </c>
      <c r="M5" s="85">
        <f>'Water Reading'!R5-'Water Reading'!R4</f>
        <v>9</v>
      </c>
      <c r="N5" s="87">
        <f t="shared" ref="N5:N34" si="7">M5/C5</f>
        <v>4.3902439024390241E-2</v>
      </c>
      <c r="O5" s="85">
        <f>'Water Reading'!Q5-'Water Reading'!Q4</f>
        <v>4</v>
      </c>
      <c r="P5" s="92">
        <f t="shared" ref="P5:P34" si="8">O5/C5</f>
        <v>1.9512195121951219E-2</v>
      </c>
      <c r="Q5" s="86">
        <f>'Water Reading'!N5-'Water Reading'!N4</f>
        <v>4</v>
      </c>
      <c r="R5" s="93">
        <f t="shared" ref="R5:R34" si="9">Q5/C5</f>
        <v>1.9512195121951219E-2</v>
      </c>
      <c r="S5" s="85">
        <f>'Water Reading'!E5-'Water Reading'!E4</f>
        <v>55</v>
      </c>
      <c r="T5" s="93">
        <f t="shared" ref="T5:T34" si="10">S5/C5</f>
        <v>0.26829268292682928</v>
      </c>
      <c r="U5" s="85">
        <f>'Water Reading'!O5-'Water Reading'!O4</f>
        <v>1</v>
      </c>
      <c r="V5" s="93">
        <f t="shared" ref="V5:V34" si="11">U5/C5</f>
        <v>4.8780487804878049E-3</v>
      </c>
      <c r="W5" s="85">
        <f>'Water Reading'!R5-'Water Reading'!R4</f>
        <v>9</v>
      </c>
      <c r="X5" s="93">
        <f t="shared" ref="X5:X34" si="12">W5/C5</f>
        <v>4.3902439024390241E-2</v>
      </c>
      <c r="Y5" s="64">
        <f t="shared" si="0"/>
        <v>7517</v>
      </c>
      <c r="Z5" s="65">
        <f t="shared" si="1"/>
        <v>20.206989247311828</v>
      </c>
    </row>
    <row r="6" spans="1:26" x14ac:dyDescent="0.25">
      <c r="A6" s="8">
        <f>'Water Reading'!A5</f>
        <v>44654</v>
      </c>
      <c r="B6" s="63">
        <f>TOTAL!I4</f>
        <v>373</v>
      </c>
      <c r="C6" s="64">
        <f>('Water Reading'!B6-'Water Reading'!B5)+('Water Reading'!C6-'Water Reading'!C5)</f>
        <v>209</v>
      </c>
      <c r="D6" s="65">
        <f t="shared" si="2"/>
        <v>0.56032171581769441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172</v>
      </c>
      <c r="H6" s="84">
        <f t="shared" si="4"/>
        <v>0.82296650717703346</v>
      </c>
      <c r="I6" s="85">
        <f>'Water Reading'!P6-'Water Reading'!P5</f>
        <v>29</v>
      </c>
      <c r="J6" s="66">
        <f t="shared" si="5"/>
        <v>0.13875598086124402</v>
      </c>
      <c r="K6" s="86">
        <f>('Water Reading'!I6-'Water Reading'!I5)-('Water Reading'!P6-'Water Reading'!P5)</f>
        <v>29</v>
      </c>
      <c r="L6" s="66">
        <f t="shared" si="6"/>
        <v>0.13875598086124402</v>
      </c>
      <c r="M6" s="85">
        <f>'Water Reading'!R6-'Water Reading'!R5</f>
        <v>8</v>
      </c>
      <c r="N6" s="87">
        <f t="shared" si="7"/>
        <v>3.8277511961722487E-2</v>
      </c>
      <c r="O6" s="85">
        <f>'Water Reading'!Q6-'Water Reading'!Q5</f>
        <v>1</v>
      </c>
      <c r="P6" s="92">
        <f t="shared" si="8"/>
        <v>4.7846889952153108E-3</v>
      </c>
      <c r="Q6" s="86">
        <f>'Water Reading'!N6-'Water Reading'!N5</f>
        <v>3</v>
      </c>
      <c r="R6" s="93">
        <f t="shared" si="9"/>
        <v>1.4354066985645933E-2</v>
      </c>
      <c r="S6" s="85">
        <f>'Water Reading'!E6-'Water Reading'!E5</f>
        <v>69</v>
      </c>
      <c r="T6" s="93">
        <f t="shared" si="10"/>
        <v>0.33014354066985646</v>
      </c>
      <c r="U6" s="85">
        <f>'Water Reading'!O6-'Water Reading'!O5</f>
        <v>1</v>
      </c>
      <c r="V6" s="93">
        <f t="shared" si="11"/>
        <v>4.7846889952153108E-3</v>
      </c>
      <c r="W6" s="85">
        <f>'Water Reading'!R6-'Water Reading'!R5</f>
        <v>8</v>
      </c>
      <c r="X6" s="93">
        <f t="shared" si="12"/>
        <v>3.8277511961722487E-2</v>
      </c>
      <c r="Y6" s="64">
        <f t="shared" si="0"/>
        <v>320</v>
      </c>
      <c r="Z6" s="65">
        <f t="shared" si="1"/>
        <v>0.85790884718498661</v>
      </c>
    </row>
    <row r="7" spans="1:26" x14ac:dyDescent="0.25">
      <c r="A7" s="8">
        <f>'Water Reading'!A6</f>
        <v>44655</v>
      </c>
      <c r="B7" s="63">
        <f>TOTAL!I5</f>
        <v>394</v>
      </c>
      <c r="C7" s="64">
        <f>('Water Reading'!B7-'Water Reading'!B6)+('Water Reading'!C7-'Water Reading'!C6)</f>
        <v>169</v>
      </c>
      <c r="D7" s="65">
        <f t="shared" si="2"/>
        <v>0.42893401015228427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211</v>
      </c>
      <c r="H7" s="84">
        <f t="shared" si="4"/>
        <v>1.2485207100591715</v>
      </c>
      <c r="I7" s="85">
        <f>'Water Reading'!P7-'Water Reading'!P6</f>
        <v>31</v>
      </c>
      <c r="J7" s="66">
        <f t="shared" si="5"/>
        <v>0.18343195266272189</v>
      </c>
      <c r="K7" s="86">
        <f>('Water Reading'!I7-'Water Reading'!I6)-('Water Reading'!P7-'Water Reading'!P6)</f>
        <v>31</v>
      </c>
      <c r="L7" s="66">
        <f t="shared" si="6"/>
        <v>0.18343195266272189</v>
      </c>
      <c r="M7" s="85">
        <f>'Water Reading'!R7-'Water Reading'!R6</f>
        <v>8</v>
      </c>
      <c r="N7" s="87">
        <f t="shared" si="7"/>
        <v>4.7337278106508875E-2</v>
      </c>
      <c r="O7" s="85">
        <f>'Water Reading'!Q7-'Water Reading'!Q6</f>
        <v>0</v>
      </c>
      <c r="P7" s="92">
        <f t="shared" si="8"/>
        <v>0</v>
      </c>
      <c r="Q7" s="86">
        <f>'Water Reading'!N7-'Water Reading'!N6</f>
        <v>4</v>
      </c>
      <c r="R7" s="93">
        <f t="shared" si="9"/>
        <v>2.3668639053254437E-2</v>
      </c>
      <c r="S7" s="85">
        <f>'Water Reading'!E7-'Water Reading'!E6</f>
        <v>64</v>
      </c>
      <c r="T7" s="93">
        <f t="shared" si="10"/>
        <v>0.378698224852071</v>
      </c>
      <c r="U7" s="85">
        <f>'Water Reading'!O7-'Water Reading'!O6</f>
        <v>1</v>
      </c>
      <c r="V7" s="93">
        <f t="shared" si="11"/>
        <v>5.9171597633136093E-3</v>
      </c>
      <c r="W7" s="85">
        <f>'Water Reading'!R7-'Water Reading'!R6</f>
        <v>8</v>
      </c>
      <c r="X7" s="93">
        <f t="shared" si="12"/>
        <v>4.7337278106508875E-2</v>
      </c>
      <c r="Y7" s="64">
        <f t="shared" si="0"/>
        <v>358</v>
      </c>
      <c r="Z7" s="65">
        <f t="shared" si="1"/>
        <v>0.90862944162436543</v>
      </c>
    </row>
    <row r="8" spans="1:26" x14ac:dyDescent="0.25">
      <c r="A8" s="8">
        <f>'Water Reading'!A7</f>
        <v>44656</v>
      </c>
      <c r="B8" s="63">
        <f>TOTAL!I6</f>
        <v>364</v>
      </c>
      <c r="C8" s="64">
        <f>('Water Reading'!B8-'Water Reading'!B7)+('Water Reading'!C8-'Water Reading'!C7)</f>
        <v>214</v>
      </c>
      <c r="D8" s="65">
        <f t="shared" si="2"/>
        <v>0.58791208791208793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190</v>
      </c>
      <c r="H8" s="84">
        <f t="shared" si="4"/>
        <v>0.88785046728971961</v>
      </c>
      <c r="I8" s="85">
        <f>'Water Reading'!P8-'Water Reading'!P7</f>
        <v>28</v>
      </c>
      <c r="J8" s="66">
        <f t="shared" si="5"/>
        <v>0.13084112149532709</v>
      </c>
      <c r="K8" s="86">
        <f>('Water Reading'!I8-'Water Reading'!I7)-('Water Reading'!P8-'Water Reading'!P7)</f>
        <v>25</v>
      </c>
      <c r="L8" s="66">
        <f t="shared" si="6"/>
        <v>0.11682242990654206</v>
      </c>
      <c r="M8" s="85">
        <f>'Water Reading'!R8-'Water Reading'!R7</f>
        <v>10</v>
      </c>
      <c r="N8" s="87">
        <f t="shared" si="7"/>
        <v>4.6728971962616821E-2</v>
      </c>
      <c r="O8" s="85">
        <f>'Water Reading'!Q8-'Water Reading'!Q7</f>
        <v>6</v>
      </c>
      <c r="P8" s="92">
        <f t="shared" si="8"/>
        <v>2.8037383177570093E-2</v>
      </c>
      <c r="Q8" s="86">
        <f>'Water Reading'!N8-'Water Reading'!N7</f>
        <v>0</v>
      </c>
      <c r="R8" s="93">
        <f t="shared" si="9"/>
        <v>0</v>
      </c>
      <c r="S8" s="85">
        <f>'Water Reading'!E8-'Water Reading'!E7</f>
        <v>58</v>
      </c>
      <c r="T8" s="93">
        <f t="shared" si="10"/>
        <v>0.27102803738317754</v>
      </c>
      <c r="U8" s="85">
        <f>'Water Reading'!O8-'Water Reading'!O7</f>
        <v>3</v>
      </c>
      <c r="V8" s="93">
        <f t="shared" si="11"/>
        <v>1.4018691588785047E-2</v>
      </c>
      <c r="W8" s="85">
        <f>'Water Reading'!R8-'Water Reading'!R7</f>
        <v>10</v>
      </c>
      <c r="X8" s="93">
        <f t="shared" si="12"/>
        <v>4.6728971962616821E-2</v>
      </c>
      <c r="Y8" s="64">
        <f t="shared" si="0"/>
        <v>330</v>
      </c>
      <c r="Z8" s="65">
        <f t="shared" si="1"/>
        <v>0.90659340659340659</v>
      </c>
    </row>
    <row r="9" spans="1:26" x14ac:dyDescent="0.25">
      <c r="A9" s="8">
        <f>'Water Reading'!A8</f>
        <v>44657</v>
      </c>
      <c r="B9" s="63">
        <f>TOTAL!I7</f>
        <v>395</v>
      </c>
      <c r="C9" s="64">
        <f>('Water Reading'!B9-'Water Reading'!B8)+('Water Reading'!C9-'Water Reading'!C8)</f>
        <v>194</v>
      </c>
      <c r="D9" s="65">
        <f t="shared" si="2"/>
        <v>0.49113924050632912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172</v>
      </c>
      <c r="H9" s="84">
        <f t="shared" si="4"/>
        <v>0.88659793814432986</v>
      </c>
      <c r="I9" s="85">
        <f>'Water Reading'!P9-'Water Reading'!P8</f>
        <v>-176</v>
      </c>
      <c r="J9" s="66">
        <f t="shared" si="5"/>
        <v>-0.90721649484536082</v>
      </c>
      <c r="K9" s="86">
        <f>('Water Reading'!I9-'Water Reading'!I8)-('Water Reading'!P9-'Water Reading'!P8)</f>
        <v>226</v>
      </c>
      <c r="L9" s="66">
        <f t="shared" si="6"/>
        <v>1.1649484536082475</v>
      </c>
      <c r="M9" s="85">
        <f>'Water Reading'!R9-'Water Reading'!R8</f>
        <v>6</v>
      </c>
      <c r="N9" s="87">
        <f t="shared" si="7"/>
        <v>3.0927835051546393E-2</v>
      </c>
      <c r="O9" s="85">
        <f>'Water Reading'!Q9-'Water Reading'!Q8</f>
        <v>1</v>
      </c>
      <c r="P9" s="92">
        <f t="shared" si="8"/>
        <v>5.1546391752577319E-3</v>
      </c>
      <c r="Q9" s="86">
        <f>'Water Reading'!N9-'Water Reading'!N8</f>
        <v>2</v>
      </c>
      <c r="R9" s="93">
        <f t="shared" si="9"/>
        <v>1.0309278350515464E-2</v>
      </c>
      <c r="S9" s="85">
        <f>'Water Reading'!E9-'Water Reading'!E8</f>
        <v>64</v>
      </c>
      <c r="T9" s="93">
        <f t="shared" si="10"/>
        <v>0.32989690721649484</v>
      </c>
      <c r="U9" s="85">
        <f>'Water Reading'!O9-'Water Reading'!O8</f>
        <v>1</v>
      </c>
      <c r="V9" s="93">
        <f t="shared" si="11"/>
        <v>5.1546391752577319E-3</v>
      </c>
      <c r="W9" s="85">
        <f>'Water Reading'!R9-'Water Reading'!R8</f>
        <v>6</v>
      </c>
      <c r="X9" s="93">
        <f t="shared" si="12"/>
        <v>3.0927835051546393E-2</v>
      </c>
      <c r="Y9" s="64">
        <f t="shared" si="0"/>
        <v>302</v>
      </c>
      <c r="Z9" s="65">
        <f t="shared" si="1"/>
        <v>0.76455696202531642</v>
      </c>
    </row>
    <row r="10" spans="1:26" x14ac:dyDescent="0.25">
      <c r="A10" s="8">
        <f>'Water Reading'!A9</f>
        <v>44658</v>
      </c>
      <c r="B10" s="63">
        <f>TOTAL!I8</f>
        <v>379</v>
      </c>
      <c r="C10" s="64">
        <f>('Water Reading'!B10-'Water Reading'!B9)+('Water Reading'!C10-'Water Reading'!C9)</f>
        <v>-219502</v>
      </c>
      <c r="D10" s="65">
        <f t="shared" si="2"/>
        <v>-579.16094986807389</v>
      </c>
      <c r="E10" s="83">
        <f>'Water Reading'!H10-'Water Reading'!H9</f>
        <v>-62098</v>
      </c>
      <c r="F10" s="84">
        <f t="shared" si="3"/>
        <v>0.28290402820931015</v>
      </c>
      <c r="G10" s="88">
        <f>('Water Reading'!D10-'Water Reading'!D9)-('Water Reading'!R10-'Water Reading'!R9)-('Water Reading'!Q10-'Water Reading'!Q9)</f>
        <v>-249451</v>
      </c>
      <c r="H10" s="84">
        <f t="shared" si="4"/>
        <v>1.1364406702444625</v>
      </c>
      <c r="I10" s="85">
        <f>'Water Reading'!P10-'Water Reading'!P9</f>
        <v>-30217</v>
      </c>
      <c r="J10" s="66">
        <f t="shared" si="5"/>
        <v>0.13766161583949121</v>
      </c>
      <c r="K10" s="86">
        <f>('Water Reading'!I10-'Water Reading'!I9)-('Water Reading'!P10-'Water Reading'!P9)</f>
        <v>-43226</v>
      </c>
      <c r="L10" s="66">
        <f t="shared" si="6"/>
        <v>0.19692759063698737</v>
      </c>
      <c r="M10" s="85">
        <f>'Water Reading'!R10-'Water Reading'!R9</f>
        <v>-8017</v>
      </c>
      <c r="N10" s="87">
        <f t="shared" si="7"/>
        <v>3.6523585206512922E-2</v>
      </c>
      <c r="O10" s="85">
        <f>'Water Reading'!Q10-'Water Reading'!Q9</f>
        <v>-1541</v>
      </c>
      <c r="P10" s="92">
        <f t="shared" si="8"/>
        <v>7.0204371714152943E-3</v>
      </c>
      <c r="Q10" s="86">
        <f>'Water Reading'!N10-'Water Reading'!N9</f>
        <v>-8517</v>
      </c>
      <c r="R10" s="93">
        <f t="shared" si="9"/>
        <v>3.8801468779327754E-2</v>
      </c>
      <c r="S10" s="85">
        <f>'Water Reading'!E10-'Water Reading'!E9</f>
        <v>-266767</v>
      </c>
      <c r="T10" s="93">
        <f t="shared" si="10"/>
        <v>1.2153283341381855</v>
      </c>
      <c r="U10" s="85">
        <f>'Water Reading'!O10-'Water Reading'!O9</f>
        <v>-2038</v>
      </c>
      <c r="V10" s="93">
        <f t="shared" si="11"/>
        <v>9.2846534427932313E-3</v>
      </c>
      <c r="W10" s="85">
        <f>'Water Reading'!R10-'Water Reading'!R9</f>
        <v>-8017</v>
      </c>
      <c r="X10" s="93">
        <f t="shared" si="12"/>
        <v>3.6523585206512922E-2</v>
      </c>
      <c r="Y10" s="64">
        <f t="shared" si="0"/>
        <v>-679889</v>
      </c>
      <c r="Z10" s="65">
        <f t="shared" si="1"/>
        <v>-1793.9023746701846</v>
      </c>
    </row>
    <row r="11" spans="1:26" x14ac:dyDescent="0.25">
      <c r="A11" s="8">
        <f>'Water Reading'!A10</f>
        <v>44659</v>
      </c>
      <c r="B11" s="63">
        <f>TOTAL!I9</f>
        <v>360</v>
      </c>
      <c r="C11" s="64">
        <f>('Water Reading'!B11-'Water Reading'!B10)+('Water Reading'!C11-'Water Reading'!C10)</f>
        <v>0</v>
      </c>
      <c r="D11" s="65">
        <f t="shared" si="2"/>
        <v>0</v>
      </c>
      <c r="E11" s="83">
        <f>'Water Reading'!H11-'Water Reading'!H10</f>
        <v>0</v>
      </c>
      <c r="F11" s="84" t="e">
        <f t="shared" si="3"/>
        <v>#DIV/0!</v>
      </c>
      <c r="G11" s="88">
        <f>('Water Reading'!D11-'Water Reading'!D10)-('Water Reading'!R11-'Water Reading'!R10)-('Water Reading'!Q11-'Water Reading'!Q10)</f>
        <v>0</v>
      </c>
      <c r="H11" s="84" t="e">
        <f t="shared" si="4"/>
        <v>#DIV/0!</v>
      </c>
      <c r="I11" s="85">
        <f>'Water Reading'!P11-'Water Reading'!P10</f>
        <v>0</v>
      </c>
      <c r="J11" s="66" t="e">
        <f t="shared" si="5"/>
        <v>#DIV/0!</v>
      </c>
      <c r="K11" s="86">
        <f>('Water Reading'!I11-'Water Reading'!I10)-('Water Reading'!P11-'Water Reading'!P10)</f>
        <v>0</v>
      </c>
      <c r="L11" s="66" t="e">
        <f t="shared" si="6"/>
        <v>#DIV/0!</v>
      </c>
      <c r="M11" s="85">
        <f>'Water Reading'!R11-'Water Reading'!R10</f>
        <v>0</v>
      </c>
      <c r="N11" s="87" t="e">
        <f t="shared" si="7"/>
        <v>#DIV/0!</v>
      </c>
      <c r="O11" s="85">
        <f>'Water Reading'!Q11-'Water Reading'!Q10</f>
        <v>0</v>
      </c>
      <c r="P11" s="92" t="e">
        <f t="shared" si="8"/>
        <v>#DIV/0!</v>
      </c>
      <c r="Q11" s="86">
        <f>'Water Reading'!N11-'Water Reading'!N10</f>
        <v>0</v>
      </c>
      <c r="R11" s="93" t="e">
        <f t="shared" si="9"/>
        <v>#DIV/0!</v>
      </c>
      <c r="S11" s="85">
        <f>'Water Reading'!E11-'Water Reading'!E10</f>
        <v>0</v>
      </c>
      <c r="T11" s="93" t="e">
        <f t="shared" si="10"/>
        <v>#DIV/0!</v>
      </c>
      <c r="U11" s="85">
        <f>'Water Reading'!O11-'Water Reading'!O10</f>
        <v>0</v>
      </c>
      <c r="V11" s="93" t="e">
        <f t="shared" si="11"/>
        <v>#DIV/0!</v>
      </c>
      <c r="W11" s="85">
        <f>'Water Reading'!R11-'Water Reading'!R10</f>
        <v>0</v>
      </c>
      <c r="X11" s="93" t="e">
        <f t="shared" si="12"/>
        <v>#DIV/0!</v>
      </c>
      <c r="Y11" s="64">
        <f t="shared" si="0"/>
        <v>0</v>
      </c>
      <c r="Z11" s="65">
        <f t="shared" si="1"/>
        <v>0</v>
      </c>
    </row>
    <row r="12" spans="1:26" x14ac:dyDescent="0.25">
      <c r="A12" s="8">
        <f>'Water Reading'!A11</f>
        <v>44660</v>
      </c>
      <c r="B12" s="63">
        <f>TOTAL!I10</f>
        <v>0</v>
      </c>
      <c r="C12" s="64">
        <f>('Water Reading'!B12-'Water Reading'!B11)+('Water Reading'!C12-'Water Reading'!C11)</f>
        <v>0</v>
      </c>
      <c r="D12" s="65" t="e">
        <f t="shared" si="2"/>
        <v>#DIV/0!</v>
      </c>
      <c r="E12" s="83">
        <f>'Water Reading'!H12-'Water Reading'!H11</f>
        <v>0</v>
      </c>
      <c r="F12" s="84" t="e">
        <f t="shared" si="3"/>
        <v>#DIV/0!</v>
      </c>
      <c r="G12" s="88">
        <f>('Water Reading'!D12-'Water Reading'!D11)-('Water Reading'!R12-'Water Reading'!R11)-('Water Reading'!Q12-'Water Reading'!Q11)</f>
        <v>0</v>
      </c>
      <c r="H12" s="84" t="e">
        <f t="shared" si="4"/>
        <v>#DIV/0!</v>
      </c>
      <c r="I12" s="85">
        <f>'Water Reading'!P12-'Water Reading'!P11</f>
        <v>0</v>
      </c>
      <c r="J12" s="66" t="e">
        <f t="shared" si="5"/>
        <v>#DIV/0!</v>
      </c>
      <c r="K12" s="86">
        <f>('Water Reading'!I12-'Water Reading'!I11)-('Water Reading'!P12-'Water Reading'!P11)</f>
        <v>0</v>
      </c>
      <c r="L12" s="66" t="e">
        <f t="shared" si="6"/>
        <v>#DIV/0!</v>
      </c>
      <c r="M12" s="85">
        <f>'Water Reading'!R12-'Water Reading'!R11</f>
        <v>0</v>
      </c>
      <c r="N12" s="87" t="e">
        <f t="shared" si="7"/>
        <v>#DIV/0!</v>
      </c>
      <c r="O12" s="85">
        <f>'Water Reading'!Q12-'Water Reading'!Q11</f>
        <v>0</v>
      </c>
      <c r="P12" s="92" t="e">
        <f t="shared" si="8"/>
        <v>#DIV/0!</v>
      </c>
      <c r="Q12" s="86">
        <f>'Water Reading'!N12-'Water Reading'!N11</f>
        <v>0</v>
      </c>
      <c r="R12" s="93" t="e">
        <f t="shared" si="9"/>
        <v>#DIV/0!</v>
      </c>
      <c r="S12" s="85">
        <f>'Water Reading'!E12-'Water Reading'!E11</f>
        <v>0</v>
      </c>
      <c r="T12" s="93" t="e">
        <f t="shared" si="10"/>
        <v>#DIV/0!</v>
      </c>
      <c r="U12" s="85">
        <f>'Water Reading'!O12-'Water Reading'!O11</f>
        <v>0</v>
      </c>
      <c r="V12" s="93" t="e">
        <f t="shared" si="11"/>
        <v>#DIV/0!</v>
      </c>
      <c r="W12" s="85">
        <f>'Water Reading'!R12-'Water Reading'!R11</f>
        <v>0</v>
      </c>
      <c r="X12" s="93" t="e">
        <f t="shared" si="12"/>
        <v>#DIV/0!</v>
      </c>
      <c r="Y12" s="64">
        <f t="shared" si="0"/>
        <v>0</v>
      </c>
      <c r="Z12" s="65" t="e">
        <f t="shared" si="1"/>
        <v>#DIV/0!</v>
      </c>
    </row>
    <row r="13" spans="1:26" x14ac:dyDescent="0.25">
      <c r="A13" s="8">
        <f>'Water Reading'!A12</f>
        <v>44661</v>
      </c>
      <c r="B13" s="63">
        <f>TOTAL!I11</f>
        <v>0</v>
      </c>
      <c r="C13" s="64">
        <f>('Water Reading'!B13-'Water Reading'!B12)+('Water Reading'!C13-'Water Reading'!C12)</f>
        <v>0</v>
      </c>
      <c r="D13" s="65" t="e">
        <f t="shared" si="2"/>
        <v>#DIV/0!</v>
      </c>
      <c r="E13" s="83">
        <f>'Water Reading'!H13-'Water Reading'!H12</f>
        <v>0</v>
      </c>
      <c r="F13" s="84" t="e">
        <f t="shared" si="3"/>
        <v>#DIV/0!</v>
      </c>
      <c r="G13" s="88">
        <f>('Water Reading'!D13-'Water Reading'!D12)-('Water Reading'!R13-'Water Reading'!R12)-('Water Reading'!Q13-'Water Reading'!Q12)</f>
        <v>0</v>
      </c>
      <c r="H13" s="84" t="e">
        <f t="shared" si="4"/>
        <v>#DIV/0!</v>
      </c>
      <c r="I13" s="85">
        <f>'Water Reading'!P13-'Water Reading'!P12</f>
        <v>0</v>
      </c>
      <c r="J13" s="66" t="e">
        <f t="shared" si="5"/>
        <v>#DIV/0!</v>
      </c>
      <c r="K13" s="86">
        <f>('Water Reading'!I13-'Water Reading'!I12)-('Water Reading'!P13-'Water Reading'!P12)</f>
        <v>0</v>
      </c>
      <c r="L13" s="66" t="e">
        <f t="shared" si="6"/>
        <v>#DIV/0!</v>
      </c>
      <c r="M13" s="85">
        <f>'Water Reading'!R13-'Water Reading'!R12</f>
        <v>0</v>
      </c>
      <c r="N13" s="87" t="e">
        <f t="shared" si="7"/>
        <v>#DIV/0!</v>
      </c>
      <c r="O13" s="85">
        <f>'Water Reading'!Q13-'Water Reading'!Q12</f>
        <v>0</v>
      </c>
      <c r="P13" s="92" t="e">
        <f t="shared" si="8"/>
        <v>#DIV/0!</v>
      </c>
      <c r="Q13" s="86">
        <f>'Water Reading'!N13-'Water Reading'!N12</f>
        <v>0</v>
      </c>
      <c r="R13" s="93" t="e">
        <f t="shared" si="9"/>
        <v>#DIV/0!</v>
      </c>
      <c r="S13" s="85">
        <f>'Water Reading'!E13-'Water Reading'!E12</f>
        <v>0</v>
      </c>
      <c r="T13" s="93" t="e">
        <f t="shared" si="10"/>
        <v>#DIV/0!</v>
      </c>
      <c r="U13" s="85">
        <f>'Water Reading'!O13-'Water Reading'!O12</f>
        <v>0</v>
      </c>
      <c r="V13" s="93" t="e">
        <f t="shared" si="11"/>
        <v>#DIV/0!</v>
      </c>
      <c r="W13" s="85">
        <f>'Water Reading'!R13-'Water Reading'!R12</f>
        <v>0</v>
      </c>
      <c r="X13" s="93" t="e">
        <f t="shared" si="12"/>
        <v>#DIV/0!</v>
      </c>
      <c r="Y13" s="64">
        <f t="shared" si="0"/>
        <v>0</v>
      </c>
      <c r="Z13" s="65" t="e">
        <f t="shared" si="1"/>
        <v>#DIV/0!</v>
      </c>
    </row>
    <row r="14" spans="1:26" x14ac:dyDescent="0.25">
      <c r="A14" s="8">
        <f>'Water Reading'!A13</f>
        <v>44662</v>
      </c>
      <c r="B14" s="63">
        <f>TOTAL!I12</f>
        <v>0</v>
      </c>
      <c r="C14" s="64">
        <f>('Water Reading'!B14-'Water Reading'!B13)+('Water Reading'!C14-'Water Reading'!C13)</f>
        <v>0</v>
      </c>
      <c r="D14" s="65" t="e">
        <f t="shared" si="2"/>
        <v>#DIV/0!</v>
      </c>
      <c r="E14" s="83">
        <f>'Water Reading'!H14-'Water Reading'!H13</f>
        <v>0</v>
      </c>
      <c r="F14" s="84" t="e">
        <f t="shared" si="3"/>
        <v>#DIV/0!</v>
      </c>
      <c r="G14" s="88">
        <f>('Water Reading'!D14-'Water Reading'!D13)-('Water Reading'!R14-'Water Reading'!R13)-('Water Reading'!Q14-'Water Reading'!Q13)</f>
        <v>0</v>
      </c>
      <c r="H14" s="84" t="e">
        <f t="shared" si="4"/>
        <v>#DIV/0!</v>
      </c>
      <c r="I14" s="85">
        <f>'Water Reading'!P14-'Water Reading'!P13</f>
        <v>0</v>
      </c>
      <c r="J14" s="66" t="e">
        <f t="shared" si="5"/>
        <v>#DIV/0!</v>
      </c>
      <c r="K14" s="86">
        <f>('Water Reading'!I14-'Water Reading'!I13)-('Water Reading'!P14-'Water Reading'!P13)</f>
        <v>0</v>
      </c>
      <c r="L14" s="66" t="e">
        <f t="shared" si="6"/>
        <v>#DIV/0!</v>
      </c>
      <c r="M14" s="85">
        <f>'Water Reading'!R14-'Water Reading'!R13</f>
        <v>0</v>
      </c>
      <c r="N14" s="87" t="e">
        <f t="shared" si="7"/>
        <v>#DIV/0!</v>
      </c>
      <c r="O14" s="85">
        <f>'Water Reading'!Q14-'Water Reading'!Q13</f>
        <v>0</v>
      </c>
      <c r="P14" s="92" t="e">
        <f t="shared" si="8"/>
        <v>#DIV/0!</v>
      </c>
      <c r="Q14" s="86">
        <f>'Water Reading'!N14-'Water Reading'!N13</f>
        <v>0</v>
      </c>
      <c r="R14" s="93" t="e">
        <f t="shared" si="9"/>
        <v>#DIV/0!</v>
      </c>
      <c r="S14" s="85">
        <f>'Water Reading'!E14-'Water Reading'!E13</f>
        <v>0</v>
      </c>
      <c r="T14" s="93" t="e">
        <f t="shared" si="10"/>
        <v>#DIV/0!</v>
      </c>
      <c r="U14" s="85">
        <f>'Water Reading'!O14-'Water Reading'!O13</f>
        <v>0</v>
      </c>
      <c r="V14" s="93" t="e">
        <f t="shared" si="11"/>
        <v>#DIV/0!</v>
      </c>
      <c r="W14" s="85">
        <f>'Water Reading'!R14-'Water Reading'!R13</f>
        <v>0</v>
      </c>
      <c r="X14" s="93" t="e">
        <f t="shared" si="12"/>
        <v>#DIV/0!</v>
      </c>
      <c r="Y14" s="64">
        <f t="shared" si="0"/>
        <v>0</v>
      </c>
      <c r="Z14" s="65" t="e">
        <f t="shared" si="1"/>
        <v>#DIV/0!</v>
      </c>
    </row>
    <row r="15" spans="1:26" x14ac:dyDescent="0.25">
      <c r="A15" s="8">
        <f>'Water Reading'!A14</f>
        <v>44663</v>
      </c>
      <c r="B15" s="63">
        <f>TOTAL!I13</f>
        <v>0</v>
      </c>
      <c r="C15" s="64">
        <f>('Water Reading'!B15-'Water Reading'!B14)+('Water Reading'!C15-'Water Reading'!C14)</f>
        <v>0</v>
      </c>
      <c r="D15" s="65" t="e">
        <f t="shared" si="2"/>
        <v>#DIV/0!</v>
      </c>
      <c r="E15" s="83">
        <f>'Water Reading'!H15-'Water Reading'!H14</f>
        <v>0</v>
      </c>
      <c r="F15" s="84" t="e">
        <f t="shared" si="3"/>
        <v>#DIV/0!</v>
      </c>
      <c r="G15" s="88">
        <f>('Water Reading'!D15-'Water Reading'!D14)-('Water Reading'!R15-'Water Reading'!R14)-('Water Reading'!Q15-'Water Reading'!Q14)</f>
        <v>0</v>
      </c>
      <c r="H15" s="84" t="e">
        <f t="shared" si="4"/>
        <v>#DIV/0!</v>
      </c>
      <c r="I15" s="85">
        <f>'Water Reading'!P15-'Water Reading'!P14</f>
        <v>0</v>
      </c>
      <c r="J15" s="66" t="e">
        <f t="shared" si="5"/>
        <v>#DIV/0!</v>
      </c>
      <c r="K15" s="86">
        <f>('Water Reading'!I15-'Water Reading'!I14)-('Water Reading'!P15-'Water Reading'!P14)</f>
        <v>0</v>
      </c>
      <c r="L15" s="66" t="e">
        <f t="shared" si="6"/>
        <v>#DIV/0!</v>
      </c>
      <c r="M15" s="85">
        <f>'Water Reading'!R15-'Water Reading'!R14</f>
        <v>0</v>
      </c>
      <c r="N15" s="87" t="e">
        <f t="shared" si="7"/>
        <v>#DIV/0!</v>
      </c>
      <c r="O15" s="85">
        <f>'Water Reading'!Q15-'Water Reading'!Q14</f>
        <v>0</v>
      </c>
      <c r="P15" s="92" t="e">
        <f t="shared" si="8"/>
        <v>#DIV/0!</v>
      </c>
      <c r="Q15" s="86">
        <f>'Water Reading'!N15-'Water Reading'!N14</f>
        <v>0</v>
      </c>
      <c r="R15" s="93" t="e">
        <f t="shared" si="9"/>
        <v>#DIV/0!</v>
      </c>
      <c r="S15" s="85">
        <f>'Water Reading'!E15-'Water Reading'!E14</f>
        <v>0</v>
      </c>
      <c r="T15" s="93" t="e">
        <f t="shared" si="10"/>
        <v>#DIV/0!</v>
      </c>
      <c r="U15" s="85">
        <f>'Water Reading'!O15-'Water Reading'!O14</f>
        <v>0</v>
      </c>
      <c r="V15" s="93" t="e">
        <f t="shared" si="11"/>
        <v>#DIV/0!</v>
      </c>
      <c r="W15" s="85">
        <f>'Water Reading'!R15-'Water Reading'!R14</f>
        <v>0</v>
      </c>
      <c r="X15" s="93" t="e">
        <f t="shared" si="12"/>
        <v>#DIV/0!</v>
      </c>
      <c r="Y15" s="64">
        <f t="shared" si="0"/>
        <v>0</v>
      </c>
      <c r="Z15" s="65" t="e">
        <f t="shared" si="1"/>
        <v>#DIV/0!</v>
      </c>
    </row>
    <row r="16" spans="1:26" x14ac:dyDescent="0.25">
      <c r="A16" s="8">
        <f>'Water Reading'!A15</f>
        <v>44664</v>
      </c>
      <c r="B16" s="63">
        <f>TOTAL!I14</f>
        <v>0</v>
      </c>
      <c r="C16" s="64">
        <f>('Water Reading'!B16-'Water Reading'!B15)+('Water Reading'!C16-'Water Reading'!C15)</f>
        <v>0</v>
      </c>
      <c r="D16" s="65" t="e">
        <f t="shared" si="2"/>
        <v>#DIV/0!</v>
      </c>
      <c r="E16" s="83">
        <f>'Water Reading'!H16-'Water Reading'!H15</f>
        <v>0</v>
      </c>
      <c r="F16" s="84" t="e">
        <f t="shared" si="3"/>
        <v>#DIV/0!</v>
      </c>
      <c r="G16" s="88">
        <f>('Water Reading'!D16-'Water Reading'!D15)-('Water Reading'!R16-'Water Reading'!R15)-('Water Reading'!Q16-'Water Reading'!Q15)</f>
        <v>0</v>
      </c>
      <c r="H16" s="84" t="e">
        <f t="shared" si="4"/>
        <v>#DIV/0!</v>
      </c>
      <c r="I16" s="85">
        <f>'Water Reading'!P16-'Water Reading'!P15</f>
        <v>0</v>
      </c>
      <c r="J16" s="66" t="e">
        <f t="shared" si="5"/>
        <v>#DIV/0!</v>
      </c>
      <c r="K16" s="86">
        <f>('Water Reading'!I16-'Water Reading'!I15)-('Water Reading'!P16-'Water Reading'!P15)</f>
        <v>0</v>
      </c>
      <c r="L16" s="66" t="e">
        <f t="shared" si="6"/>
        <v>#DIV/0!</v>
      </c>
      <c r="M16" s="85">
        <f>'Water Reading'!R16-'Water Reading'!R15</f>
        <v>0</v>
      </c>
      <c r="N16" s="87" t="e">
        <f t="shared" si="7"/>
        <v>#DIV/0!</v>
      </c>
      <c r="O16" s="85">
        <f>'Water Reading'!Q16-'Water Reading'!Q15</f>
        <v>0</v>
      </c>
      <c r="P16" s="92" t="e">
        <f t="shared" si="8"/>
        <v>#DIV/0!</v>
      </c>
      <c r="Q16" s="86">
        <f>'Water Reading'!N16-'Water Reading'!N15</f>
        <v>0</v>
      </c>
      <c r="R16" s="93" t="e">
        <f t="shared" si="9"/>
        <v>#DIV/0!</v>
      </c>
      <c r="S16" s="85">
        <f>'Water Reading'!E16-'Water Reading'!E15</f>
        <v>0</v>
      </c>
      <c r="T16" s="93" t="e">
        <f t="shared" si="10"/>
        <v>#DIV/0!</v>
      </c>
      <c r="U16" s="85">
        <f>'Water Reading'!O16-'Water Reading'!O15</f>
        <v>0</v>
      </c>
      <c r="V16" s="93" t="e">
        <f t="shared" si="11"/>
        <v>#DIV/0!</v>
      </c>
      <c r="W16" s="85">
        <f>'Water Reading'!R16-'Water Reading'!R15</f>
        <v>0</v>
      </c>
      <c r="X16" s="93" t="e">
        <f t="shared" si="12"/>
        <v>#DIV/0!</v>
      </c>
      <c r="Y16" s="64">
        <f t="shared" si="0"/>
        <v>0</v>
      </c>
      <c r="Z16" s="65" t="e">
        <f t="shared" si="1"/>
        <v>#DIV/0!</v>
      </c>
    </row>
    <row r="17" spans="1:26" x14ac:dyDescent="0.25">
      <c r="A17" s="8">
        <f>'Water Reading'!A16</f>
        <v>44665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3">
        <f>'Water Reading'!H17-'Water Reading'!H16</f>
        <v>0</v>
      </c>
      <c r="F17" s="84" t="e">
        <f t="shared" si="3"/>
        <v>#DIV/0!</v>
      </c>
      <c r="G17" s="88">
        <f>('Water Reading'!D17-'Water Reading'!D16)-('Water Reading'!R17-'Water Reading'!R16)-('Water Reading'!Q17-'Water Reading'!Q16)</f>
        <v>0</v>
      </c>
      <c r="H17" s="84" t="e">
        <f t="shared" si="4"/>
        <v>#DIV/0!</v>
      </c>
      <c r="I17" s="85">
        <f>'Water Reading'!P17-'Water Reading'!P16</f>
        <v>0</v>
      </c>
      <c r="J17" s="66" t="e">
        <f t="shared" si="5"/>
        <v>#DIV/0!</v>
      </c>
      <c r="K17" s="86">
        <f>('Water Reading'!I17-'Water Reading'!I16)-('Water Reading'!P17-'Water Reading'!P16)</f>
        <v>0</v>
      </c>
      <c r="L17" s="66" t="e">
        <f t="shared" si="6"/>
        <v>#DIV/0!</v>
      </c>
      <c r="M17" s="85">
        <f>'Water Reading'!R17-'Water Reading'!R16</f>
        <v>0</v>
      </c>
      <c r="N17" s="87" t="e">
        <f t="shared" si="7"/>
        <v>#DIV/0!</v>
      </c>
      <c r="O17" s="85">
        <f>'Water Reading'!Q17-'Water Reading'!Q16</f>
        <v>0</v>
      </c>
      <c r="P17" s="92" t="e">
        <f t="shared" si="8"/>
        <v>#DIV/0!</v>
      </c>
      <c r="Q17" s="86">
        <f>'Water Reading'!N17-'Water Reading'!N16</f>
        <v>0</v>
      </c>
      <c r="R17" s="93" t="e">
        <f t="shared" si="9"/>
        <v>#DIV/0!</v>
      </c>
      <c r="S17" s="85">
        <f>'Water Reading'!E17-'Water Reading'!E16</f>
        <v>0</v>
      </c>
      <c r="T17" s="93" t="e">
        <f t="shared" si="10"/>
        <v>#DIV/0!</v>
      </c>
      <c r="U17" s="85">
        <f>'Water Reading'!O17-'Water Reading'!O16</f>
        <v>0</v>
      </c>
      <c r="V17" s="93" t="e">
        <f t="shared" si="11"/>
        <v>#DIV/0!</v>
      </c>
      <c r="W17" s="85">
        <f>'Water Reading'!R17-'Water Reading'!R16</f>
        <v>0</v>
      </c>
      <c r="X17" s="93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44666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3">
        <f>'Water Reading'!H18-'Water Reading'!H17</f>
        <v>0</v>
      </c>
      <c r="F18" s="84" t="e">
        <f t="shared" si="3"/>
        <v>#DIV/0!</v>
      </c>
      <c r="G18" s="88">
        <f>('Water Reading'!D18-'Water Reading'!D17)-('Water Reading'!R18-'Water Reading'!R17)-('Water Reading'!Q18-'Water Reading'!Q17)</f>
        <v>0</v>
      </c>
      <c r="H18" s="84" t="e">
        <f t="shared" si="4"/>
        <v>#DIV/0!</v>
      </c>
      <c r="I18" s="85">
        <f>'Water Reading'!P18-'Water Reading'!P17</f>
        <v>0</v>
      </c>
      <c r="J18" s="66" t="e">
        <f t="shared" si="5"/>
        <v>#DIV/0!</v>
      </c>
      <c r="K18" s="86">
        <f>('Water Reading'!I18-'Water Reading'!I17)-('Water Reading'!P18-'Water Reading'!P17)</f>
        <v>0</v>
      </c>
      <c r="L18" s="66" t="e">
        <f t="shared" si="6"/>
        <v>#DIV/0!</v>
      </c>
      <c r="M18" s="85">
        <f>'Water Reading'!R18-'Water Reading'!R17</f>
        <v>0</v>
      </c>
      <c r="N18" s="87" t="e">
        <f t="shared" si="7"/>
        <v>#DIV/0!</v>
      </c>
      <c r="O18" s="85">
        <f>'Water Reading'!Q18-'Water Reading'!Q17</f>
        <v>0</v>
      </c>
      <c r="P18" s="92" t="e">
        <f t="shared" si="8"/>
        <v>#DIV/0!</v>
      </c>
      <c r="Q18" s="86">
        <f>'Water Reading'!N18-'Water Reading'!N17</f>
        <v>0</v>
      </c>
      <c r="R18" s="93" t="e">
        <f t="shared" si="9"/>
        <v>#DIV/0!</v>
      </c>
      <c r="S18" s="85">
        <f>'Water Reading'!E18-'Water Reading'!E17</f>
        <v>0</v>
      </c>
      <c r="T18" s="93" t="e">
        <f t="shared" si="10"/>
        <v>#DIV/0!</v>
      </c>
      <c r="U18" s="85">
        <f>'Water Reading'!O18-'Water Reading'!O17</f>
        <v>0</v>
      </c>
      <c r="V18" s="93" t="e">
        <f t="shared" si="11"/>
        <v>#DIV/0!</v>
      </c>
      <c r="W18" s="85">
        <f>'Water Reading'!R18-'Water Reading'!R17</f>
        <v>0</v>
      </c>
      <c r="X18" s="93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44667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3">
        <f>'Water Reading'!H19-'Water Reading'!H18</f>
        <v>0</v>
      </c>
      <c r="F19" s="84" t="e">
        <f t="shared" si="3"/>
        <v>#DIV/0!</v>
      </c>
      <c r="G19" s="88">
        <f>('Water Reading'!D19-'Water Reading'!D18)-('Water Reading'!R19-'Water Reading'!R18)-('Water Reading'!Q19-'Water Reading'!Q18)</f>
        <v>0</v>
      </c>
      <c r="H19" s="84" t="e">
        <f t="shared" si="4"/>
        <v>#DIV/0!</v>
      </c>
      <c r="I19" s="85">
        <f>'Water Reading'!P19-'Water Reading'!P18</f>
        <v>0</v>
      </c>
      <c r="J19" s="66" t="e">
        <f t="shared" si="5"/>
        <v>#DIV/0!</v>
      </c>
      <c r="K19" s="86">
        <f>('Water Reading'!I19-'Water Reading'!I18)-('Water Reading'!P19-'Water Reading'!P18)</f>
        <v>0</v>
      </c>
      <c r="L19" s="66" t="e">
        <f t="shared" si="6"/>
        <v>#DIV/0!</v>
      </c>
      <c r="M19" s="85">
        <f>'Water Reading'!R19-'Water Reading'!R18</f>
        <v>0</v>
      </c>
      <c r="N19" s="87" t="e">
        <f t="shared" si="7"/>
        <v>#DIV/0!</v>
      </c>
      <c r="O19" s="85">
        <f>'Water Reading'!Q19-'Water Reading'!Q18</f>
        <v>0</v>
      </c>
      <c r="P19" s="92" t="e">
        <f t="shared" si="8"/>
        <v>#DIV/0!</v>
      </c>
      <c r="Q19" s="86">
        <f>'Water Reading'!N19-'Water Reading'!N18</f>
        <v>0</v>
      </c>
      <c r="R19" s="93" t="e">
        <f t="shared" si="9"/>
        <v>#DIV/0!</v>
      </c>
      <c r="S19" s="85">
        <f>'Water Reading'!E19-'Water Reading'!E18</f>
        <v>0</v>
      </c>
      <c r="T19" s="93" t="e">
        <f t="shared" si="10"/>
        <v>#DIV/0!</v>
      </c>
      <c r="U19" s="85">
        <f>'Water Reading'!O19-'Water Reading'!O18</f>
        <v>0</v>
      </c>
      <c r="V19" s="93" t="e">
        <f t="shared" si="11"/>
        <v>#DIV/0!</v>
      </c>
      <c r="W19" s="85">
        <f>'Water Reading'!R19-'Water Reading'!R18</f>
        <v>0</v>
      </c>
      <c r="X19" s="93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44668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3">
        <f>'Water Reading'!H20-'Water Reading'!H19</f>
        <v>0</v>
      </c>
      <c r="F20" s="84" t="e">
        <f t="shared" si="3"/>
        <v>#DIV/0!</v>
      </c>
      <c r="G20" s="88">
        <f>('Water Reading'!D20-'Water Reading'!D19)-('Water Reading'!R20-'Water Reading'!R19)-('Water Reading'!Q20-'Water Reading'!Q19)</f>
        <v>0</v>
      </c>
      <c r="H20" s="84" t="e">
        <f t="shared" si="4"/>
        <v>#DIV/0!</v>
      </c>
      <c r="I20" s="85">
        <f>'Water Reading'!P20-'Water Reading'!P19</f>
        <v>0</v>
      </c>
      <c r="J20" s="66" t="e">
        <f t="shared" si="5"/>
        <v>#DIV/0!</v>
      </c>
      <c r="K20" s="86">
        <f>('Water Reading'!I20-'Water Reading'!I19)-('Water Reading'!P20-'Water Reading'!P19)</f>
        <v>0</v>
      </c>
      <c r="L20" s="66" t="e">
        <f t="shared" si="6"/>
        <v>#DIV/0!</v>
      </c>
      <c r="M20" s="85">
        <f>'Water Reading'!R20-'Water Reading'!R19</f>
        <v>0</v>
      </c>
      <c r="N20" s="87" t="e">
        <f t="shared" si="7"/>
        <v>#DIV/0!</v>
      </c>
      <c r="O20" s="85">
        <f>'Water Reading'!Q20-'Water Reading'!Q19</f>
        <v>0</v>
      </c>
      <c r="P20" s="92" t="e">
        <f t="shared" si="8"/>
        <v>#DIV/0!</v>
      </c>
      <c r="Q20" s="86">
        <f>'Water Reading'!N20-'Water Reading'!N19</f>
        <v>0</v>
      </c>
      <c r="R20" s="93" t="e">
        <f t="shared" si="9"/>
        <v>#DIV/0!</v>
      </c>
      <c r="S20" s="85">
        <f>'Water Reading'!E20-'Water Reading'!E19</f>
        <v>0</v>
      </c>
      <c r="T20" s="93" t="e">
        <f t="shared" si="10"/>
        <v>#DIV/0!</v>
      </c>
      <c r="U20" s="85">
        <f>'Water Reading'!O20-'Water Reading'!O19</f>
        <v>0</v>
      </c>
      <c r="V20" s="93" t="e">
        <f t="shared" si="11"/>
        <v>#DIV/0!</v>
      </c>
      <c r="W20" s="85">
        <f>'Water Reading'!R20-'Water Reading'!R19</f>
        <v>0</v>
      </c>
      <c r="X20" s="93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44669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3">
        <f>'Water Reading'!H21-'Water Reading'!H20</f>
        <v>0</v>
      </c>
      <c r="F21" s="84" t="e">
        <f t="shared" si="3"/>
        <v>#DIV/0!</v>
      </c>
      <c r="G21" s="88">
        <f>('Water Reading'!D21-'Water Reading'!D20)-('Water Reading'!R21-'Water Reading'!R20)-('Water Reading'!Q21-'Water Reading'!Q20)</f>
        <v>0</v>
      </c>
      <c r="H21" s="84" t="e">
        <f t="shared" si="4"/>
        <v>#DIV/0!</v>
      </c>
      <c r="I21" s="85">
        <f>'Water Reading'!P21-'Water Reading'!P20</f>
        <v>0</v>
      </c>
      <c r="J21" s="66" t="e">
        <f t="shared" si="5"/>
        <v>#DIV/0!</v>
      </c>
      <c r="K21" s="86">
        <f>('Water Reading'!I21-'Water Reading'!I20)-('Water Reading'!P21-'Water Reading'!P20)</f>
        <v>0</v>
      </c>
      <c r="L21" s="66" t="e">
        <f t="shared" si="6"/>
        <v>#DIV/0!</v>
      </c>
      <c r="M21" s="85">
        <f>'Water Reading'!R21-'Water Reading'!R20</f>
        <v>0</v>
      </c>
      <c r="N21" s="87" t="e">
        <f t="shared" si="7"/>
        <v>#DIV/0!</v>
      </c>
      <c r="O21" s="85">
        <f>'Water Reading'!Q21-'Water Reading'!Q20</f>
        <v>0</v>
      </c>
      <c r="P21" s="92" t="e">
        <f t="shared" si="8"/>
        <v>#DIV/0!</v>
      </c>
      <c r="Q21" s="86">
        <f>'Water Reading'!N21-'Water Reading'!N20</f>
        <v>0</v>
      </c>
      <c r="R21" s="93" t="e">
        <f t="shared" si="9"/>
        <v>#DIV/0!</v>
      </c>
      <c r="S21" s="85">
        <f>'Water Reading'!E21-'Water Reading'!E20</f>
        <v>0</v>
      </c>
      <c r="T21" s="93" t="e">
        <f t="shared" si="10"/>
        <v>#DIV/0!</v>
      </c>
      <c r="U21" s="85">
        <f>'Water Reading'!O21-'Water Reading'!O20</f>
        <v>0</v>
      </c>
      <c r="V21" s="93" t="e">
        <f t="shared" si="11"/>
        <v>#DIV/0!</v>
      </c>
      <c r="W21" s="85">
        <f>'Water Reading'!R21-'Water Reading'!R20</f>
        <v>0</v>
      </c>
      <c r="X21" s="93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44670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3">
        <f>'Water Reading'!H22-'Water Reading'!H21</f>
        <v>0</v>
      </c>
      <c r="F22" s="84" t="e">
        <f t="shared" si="3"/>
        <v>#DIV/0!</v>
      </c>
      <c r="G22" s="88">
        <f>('Water Reading'!D22-'Water Reading'!D21)-('Water Reading'!R22-'Water Reading'!R21)-('Water Reading'!Q22-'Water Reading'!Q21)</f>
        <v>0</v>
      </c>
      <c r="H22" s="84" t="e">
        <f t="shared" si="4"/>
        <v>#DIV/0!</v>
      </c>
      <c r="I22" s="85">
        <f>'Water Reading'!P22-'Water Reading'!P21</f>
        <v>0</v>
      </c>
      <c r="J22" s="66" t="e">
        <f t="shared" si="5"/>
        <v>#DIV/0!</v>
      </c>
      <c r="K22" s="86">
        <f>('Water Reading'!I22-'Water Reading'!I21)-('Water Reading'!P22-'Water Reading'!P21)</f>
        <v>0</v>
      </c>
      <c r="L22" s="66" t="e">
        <f t="shared" si="6"/>
        <v>#DIV/0!</v>
      </c>
      <c r="M22" s="85">
        <f>'Water Reading'!R22-'Water Reading'!R21</f>
        <v>0</v>
      </c>
      <c r="N22" s="87" t="e">
        <f t="shared" si="7"/>
        <v>#DIV/0!</v>
      </c>
      <c r="O22" s="85">
        <f>'Water Reading'!Q22-'Water Reading'!Q21</f>
        <v>0</v>
      </c>
      <c r="P22" s="92" t="e">
        <f t="shared" si="8"/>
        <v>#DIV/0!</v>
      </c>
      <c r="Q22" s="86">
        <f>'Water Reading'!N22-'Water Reading'!N21</f>
        <v>0</v>
      </c>
      <c r="R22" s="93" t="e">
        <f t="shared" si="9"/>
        <v>#DIV/0!</v>
      </c>
      <c r="S22" s="85">
        <f>'Water Reading'!E22-'Water Reading'!E21</f>
        <v>0</v>
      </c>
      <c r="T22" s="93" t="e">
        <f t="shared" si="10"/>
        <v>#DIV/0!</v>
      </c>
      <c r="U22" s="85">
        <f>'Water Reading'!O22-'Water Reading'!O21</f>
        <v>0</v>
      </c>
      <c r="V22" s="93" t="e">
        <f t="shared" si="11"/>
        <v>#DIV/0!</v>
      </c>
      <c r="W22" s="85">
        <f>'Water Reading'!R22-'Water Reading'!R21</f>
        <v>0</v>
      </c>
      <c r="X22" s="93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44671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3">
        <f>'Water Reading'!H23-'Water Reading'!H22</f>
        <v>0</v>
      </c>
      <c r="F23" s="84" t="e">
        <f t="shared" si="3"/>
        <v>#DIV/0!</v>
      </c>
      <c r="G23" s="88">
        <f>('Water Reading'!D23-'Water Reading'!D22)-('Water Reading'!R23-'Water Reading'!R22)-('Water Reading'!Q23-'Water Reading'!Q22)</f>
        <v>0</v>
      </c>
      <c r="H23" s="84" t="e">
        <f t="shared" si="4"/>
        <v>#DIV/0!</v>
      </c>
      <c r="I23" s="85">
        <f>'Water Reading'!P23-'Water Reading'!P22</f>
        <v>0</v>
      </c>
      <c r="J23" s="66" t="e">
        <f t="shared" si="5"/>
        <v>#DIV/0!</v>
      </c>
      <c r="K23" s="86">
        <f>('Water Reading'!I23-'Water Reading'!I22)-('Water Reading'!P23-'Water Reading'!P22)</f>
        <v>0</v>
      </c>
      <c r="L23" s="66" t="e">
        <f t="shared" si="6"/>
        <v>#DIV/0!</v>
      </c>
      <c r="M23" s="85">
        <f>'Water Reading'!R23-'Water Reading'!R22</f>
        <v>0</v>
      </c>
      <c r="N23" s="87" t="e">
        <f t="shared" si="7"/>
        <v>#DIV/0!</v>
      </c>
      <c r="O23" s="85">
        <f>'Water Reading'!Q23-'Water Reading'!Q22</f>
        <v>0</v>
      </c>
      <c r="P23" s="92" t="e">
        <f t="shared" si="8"/>
        <v>#DIV/0!</v>
      </c>
      <c r="Q23" s="86">
        <f>'Water Reading'!N23-'Water Reading'!N22</f>
        <v>0</v>
      </c>
      <c r="R23" s="93" t="e">
        <f t="shared" si="9"/>
        <v>#DIV/0!</v>
      </c>
      <c r="S23" s="85">
        <f>'Water Reading'!E23-'Water Reading'!E22</f>
        <v>0</v>
      </c>
      <c r="T23" s="93" t="e">
        <f t="shared" si="10"/>
        <v>#DIV/0!</v>
      </c>
      <c r="U23" s="85">
        <f>'Water Reading'!O23-'Water Reading'!O22</f>
        <v>0</v>
      </c>
      <c r="V23" s="93" t="e">
        <f t="shared" si="11"/>
        <v>#DIV/0!</v>
      </c>
      <c r="W23" s="85">
        <f>'Water Reading'!R23-'Water Reading'!R22</f>
        <v>0</v>
      </c>
      <c r="X23" s="93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44672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3">
        <f>'Water Reading'!H24-'Water Reading'!H23</f>
        <v>0</v>
      </c>
      <c r="F24" s="84" t="e">
        <f t="shared" si="3"/>
        <v>#DIV/0!</v>
      </c>
      <c r="G24" s="88">
        <f>('Water Reading'!D24-'Water Reading'!D23)-('Water Reading'!R24-'Water Reading'!R23)-('Water Reading'!Q24-'Water Reading'!Q23)</f>
        <v>0</v>
      </c>
      <c r="H24" s="84" t="e">
        <f t="shared" si="4"/>
        <v>#DIV/0!</v>
      </c>
      <c r="I24" s="85">
        <f>'Water Reading'!P24-'Water Reading'!P23</f>
        <v>0</v>
      </c>
      <c r="J24" s="66" t="e">
        <f t="shared" si="5"/>
        <v>#DIV/0!</v>
      </c>
      <c r="K24" s="86">
        <f>('Water Reading'!I24-'Water Reading'!I23)-('Water Reading'!P24-'Water Reading'!P23)</f>
        <v>0</v>
      </c>
      <c r="L24" s="66" t="e">
        <f t="shared" si="6"/>
        <v>#DIV/0!</v>
      </c>
      <c r="M24" s="85">
        <f>'Water Reading'!R24-'Water Reading'!R23</f>
        <v>0</v>
      </c>
      <c r="N24" s="87" t="e">
        <f t="shared" si="7"/>
        <v>#DIV/0!</v>
      </c>
      <c r="O24" s="85">
        <f>'Water Reading'!Q24-'Water Reading'!Q23</f>
        <v>0</v>
      </c>
      <c r="P24" s="92" t="e">
        <f t="shared" si="8"/>
        <v>#DIV/0!</v>
      </c>
      <c r="Q24" s="86">
        <f>'Water Reading'!N24-'Water Reading'!N23</f>
        <v>0</v>
      </c>
      <c r="R24" s="93" t="e">
        <f t="shared" si="9"/>
        <v>#DIV/0!</v>
      </c>
      <c r="S24" s="85">
        <f>'Water Reading'!E24-'Water Reading'!E23</f>
        <v>0</v>
      </c>
      <c r="T24" s="93" t="e">
        <f t="shared" si="10"/>
        <v>#DIV/0!</v>
      </c>
      <c r="U24" s="85">
        <f>'Water Reading'!O24-'Water Reading'!O23</f>
        <v>0</v>
      </c>
      <c r="V24" s="93" t="e">
        <f t="shared" si="11"/>
        <v>#DIV/0!</v>
      </c>
      <c r="W24" s="85">
        <f>'Water Reading'!R24-'Water Reading'!R23</f>
        <v>0</v>
      </c>
      <c r="X24" s="93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44673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3">
        <f>'Water Reading'!H25-'Water Reading'!H24</f>
        <v>0</v>
      </c>
      <c r="F25" s="84" t="e">
        <f t="shared" si="3"/>
        <v>#DIV/0!</v>
      </c>
      <c r="G25" s="88">
        <f>('Water Reading'!D25-'Water Reading'!D24)-('Water Reading'!R25-'Water Reading'!R24)-('Water Reading'!Q25-'Water Reading'!Q24)</f>
        <v>0</v>
      </c>
      <c r="H25" s="84" t="e">
        <f t="shared" si="4"/>
        <v>#DIV/0!</v>
      </c>
      <c r="I25" s="85">
        <f>'Water Reading'!P25-'Water Reading'!P24</f>
        <v>0</v>
      </c>
      <c r="J25" s="66" t="e">
        <f t="shared" si="5"/>
        <v>#DIV/0!</v>
      </c>
      <c r="K25" s="86">
        <f>('Water Reading'!I25-'Water Reading'!I24)-('Water Reading'!P25-'Water Reading'!P24)</f>
        <v>0</v>
      </c>
      <c r="L25" s="66" t="e">
        <f t="shared" si="6"/>
        <v>#DIV/0!</v>
      </c>
      <c r="M25" s="85">
        <f>'Water Reading'!R25-'Water Reading'!R24</f>
        <v>0</v>
      </c>
      <c r="N25" s="87" t="e">
        <f t="shared" si="7"/>
        <v>#DIV/0!</v>
      </c>
      <c r="O25" s="85">
        <f>'Water Reading'!Q25-'Water Reading'!Q24</f>
        <v>0</v>
      </c>
      <c r="P25" s="92" t="e">
        <f t="shared" si="8"/>
        <v>#DIV/0!</v>
      </c>
      <c r="Q25" s="86">
        <f>'Water Reading'!N25-'Water Reading'!N24</f>
        <v>0</v>
      </c>
      <c r="R25" s="93" t="e">
        <f t="shared" si="9"/>
        <v>#DIV/0!</v>
      </c>
      <c r="S25" s="85">
        <f>'Water Reading'!E25-'Water Reading'!E24</f>
        <v>0</v>
      </c>
      <c r="T25" s="93" t="e">
        <f t="shared" si="10"/>
        <v>#DIV/0!</v>
      </c>
      <c r="U25" s="85">
        <f>'Water Reading'!O25-'Water Reading'!O24</f>
        <v>0</v>
      </c>
      <c r="V25" s="93" t="e">
        <f t="shared" si="11"/>
        <v>#DIV/0!</v>
      </c>
      <c r="W25" s="85">
        <f>'Water Reading'!R25-'Water Reading'!R24</f>
        <v>0</v>
      </c>
      <c r="X25" s="93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44674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3">
        <f>'Water Reading'!H26-'Water Reading'!H25</f>
        <v>0</v>
      </c>
      <c r="F26" s="84" t="e">
        <f t="shared" si="3"/>
        <v>#DIV/0!</v>
      </c>
      <c r="G26" s="88">
        <f>('Water Reading'!D26-'Water Reading'!D25)-('Water Reading'!R26-'Water Reading'!R25)-('Water Reading'!Q26-'Water Reading'!Q25)</f>
        <v>0</v>
      </c>
      <c r="H26" s="84" t="e">
        <f t="shared" si="4"/>
        <v>#DIV/0!</v>
      </c>
      <c r="I26" s="85">
        <f>'Water Reading'!P26-'Water Reading'!P25</f>
        <v>0</v>
      </c>
      <c r="J26" s="66" t="e">
        <f t="shared" si="5"/>
        <v>#DIV/0!</v>
      </c>
      <c r="K26" s="86">
        <f>('Water Reading'!I26-'Water Reading'!I25)-('Water Reading'!P26-'Water Reading'!P25)</f>
        <v>0</v>
      </c>
      <c r="L26" s="66" t="e">
        <f t="shared" si="6"/>
        <v>#DIV/0!</v>
      </c>
      <c r="M26" s="85">
        <f>'Water Reading'!R26-'Water Reading'!R25</f>
        <v>0</v>
      </c>
      <c r="N26" s="87" t="e">
        <f t="shared" si="7"/>
        <v>#DIV/0!</v>
      </c>
      <c r="O26" s="85">
        <f>'Water Reading'!Q26-'Water Reading'!Q25</f>
        <v>0</v>
      </c>
      <c r="P26" s="92" t="e">
        <f t="shared" si="8"/>
        <v>#DIV/0!</v>
      </c>
      <c r="Q26" s="86">
        <f>'Water Reading'!N26-'Water Reading'!N25</f>
        <v>0</v>
      </c>
      <c r="R26" s="93" t="e">
        <f t="shared" si="9"/>
        <v>#DIV/0!</v>
      </c>
      <c r="S26" s="85">
        <f>'Water Reading'!E26-'Water Reading'!E25</f>
        <v>0</v>
      </c>
      <c r="T26" s="93" t="e">
        <f t="shared" si="10"/>
        <v>#DIV/0!</v>
      </c>
      <c r="U26" s="85">
        <f>'Water Reading'!O26-'Water Reading'!O25</f>
        <v>0</v>
      </c>
      <c r="V26" s="93" t="e">
        <f t="shared" si="11"/>
        <v>#DIV/0!</v>
      </c>
      <c r="W26" s="85">
        <f>'Water Reading'!R26-'Water Reading'!R25</f>
        <v>0</v>
      </c>
      <c r="X26" s="93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44675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3">
        <f>'Water Reading'!H27-'Water Reading'!H26</f>
        <v>0</v>
      </c>
      <c r="F27" s="84" t="e">
        <f t="shared" si="3"/>
        <v>#DIV/0!</v>
      </c>
      <c r="G27" s="88">
        <f>('Water Reading'!D27-'Water Reading'!D26)-('Water Reading'!R27-'Water Reading'!R26)-('Water Reading'!Q27-'Water Reading'!Q26)</f>
        <v>0</v>
      </c>
      <c r="H27" s="84" t="e">
        <f t="shared" si="4"/>
        <v>#DIV/0!</v>
      </c>
      <c r="I27" s="85">
        <f>'Water Reading'!P27-'Water Reading'!P26</f>
        <v>0</v>
      </c>
      <c r="J27" s="66" t="e">
        <f t="shared" si="5"/>
        <v>#DIV/0!</v>
      </c>
      <c r="K27" s="86">
        <f>('Water Reading'!I27-'Water Reading'!I26)-('Water Reading'!P27-'Water Reading'!P26)</f>
        <v>0</v>
      </c>
      <c r="L27" s="66" t="e">
        <f t="shared" si="6"/>
        <v>#DIV/0!</v>
      </c>
      <c r="M27" s="85">
        <f>'Water Reading'!R27-'Water Reading'!R26</f>
        <v>0</v>
      </c>
      <c r="N27" s="87" t="e">
        <f t="shared" si="7"/>
        <v>#DIV/0!</v>
      </c>
      <c r="O27" s="85">
        <f>'Water Reading'!Q27-'Water Reading'!Q26</f>
        <v>0</v>
      </c>
      <c r="P27" s="92" t="e">
        <f t="shared" si="8"/>
        <v>#DIV/0!</v>
      </c>
      <c r="Q27" s="86">
        <f>'Water Reading'!N27-'Water Reading'!N26</f>
        <v>0</v>
      </c>
      <c r="R27" s="93" t="e">
        <f t="shared" si="9"/>
        <v>#DIV/0!</v>
      </c>
      <c r="S27" s="85">
        <f>'Water Reading'!E27-'Water Reading'!E26</f>
        <v>0</v>
      </c>
      <c r="T27" s="93" t="e">
        <f t="shared" si="10"/>
        <v>#DIV/0!</v>
      </c>
      <c r="U27" s="85">
        <f>'Water Reading'!O27-'Water Reading'!O26</f>
        <v>0</v>
      </c>
      <c r="V27" s="93" t="e">
        <f t="shared" si="11"/>
        <v>#DIV/0!</v>
      </c>
      <c r="W27" s="85">
        <f>'Water Reading'!R27-'Water Reading'!R26</f>
        <v>0</v>
      </c>
      <c r="X27" s="93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44676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3">
        <f>'Water Reading'!H28-'Water Reading'!H27</f>
        <v>0</v>
      </c>
      <c r="F28" s="84" t="e">
        <f t="shared" si="3"/>
        <v>#DIV/0!</v>
      </c>
      <c r="G28" s="88">
        <f>('Water Reading'!D28-'Water Reading'!D27)-('Water Reading'!R28-'Water Reading'!R27)-('Water Reading'!Q28-'Water Reading'!Q27)</f>
        <v>0</v>
      </c>
      <c r="H28" s="84" t="e">
        <f t="shared" si="4"/>
        <v>#DIV/0!</v>
      </c>
      <c r="I28" s="85">
        <f>'Water Reading'!P28-'Water Reading'!P27</f>
        <v>0</v>
      </c>
      <c r="J28" s="66" t="e">
        <f t="shared" si="5"/>
        <v>#DIV/0!</v>
      </c>
      <c r="K28" s="86">
        <f>('Water Reading'!I28-'Water Reading'!I27)-('Water Reading'!P28-'Water Reading'!P27)</f>
        <v>0</v>
      </c>
      <c r="L28" s="66" t="e">
        <f t="shared" si="6"/>
        <v>#DIV/0!</v>
      </c>
      <c r="M28" s="85">
        <f>'Water Reading'!R28-'Water Reading'!R27</f>
        <v>0</v>
      </c>
      <c r="N28" s="87" t="e">
        <f t="shared" si="7"/>
        <v>#DIV/0!</v>
      </c>
      <c r="O28" s="85">
        <f>'Water Reading'!Q28-'Water Reading'!Q27</f>
        <v>0</v>
      </c>
      <c r="P28" s="92" t="e">
        <f t="shared" si="8"/>
        <v>#DIV/0!</v>
      </c>
      <c r="Q28" s="86">
        <f>'Water Reading'!N28-'Water Reading'!N27</f>
        <v>0</v>
      </c>
      <c r="R28" s="93" t="e">
        <f t="shared" si="9"/>
        <v>#DIV/0!</v>
      </c>
      <c r="S28" s="85">
        <f>'Water Reading'!E28-'Water Reading'!E27</f>
        <v>0</v>
      </c>
      <c r="T28" s="93" t="e">
        <f t="shared" si="10"/>
        <v>#DIV/0!</v>
      </c>
      <c r="U28" s="85">
        <f>'Water Reading'!O28-'Water Reading'!O27</f>
        <v>0</v>
      </c>
      <c r="V28" s="93" t="e">
        <f t="shared" si="11"/>
        <v>#DIV/0!</v>
      </c>
      <c r="W28" s="85">
        <f>'Water Reading'!R28-'Water Reading'!R27</f>
        <v>0</v>
      </c>
      <c r="X28" s="93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44677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3">
        <f>'Water Reading'!H29-'Water Reading'!H28</f>
        <v>0</v>
      </c>
      <c r="F29" s="84" t="e">
        <f t="shared" si="3"/>
        <v>#DIV/0!</v>
      </c>
      <c r="G29" s="88">
        <f>('Water Reading'!D29-'Water Reading'!D28)-('Water Reading'!R29-'Water Reading'!R28)-('Water Reading'!Q29-'Water Reading'!Q28)</f>
        <v>0</v>
      </c>
      <c r="H29" s="84" t="e">
        <f t="shared" si="4"/>
        <v>#DIV/0!</v>
      </c>
      <c r="I29" s="85">
        <f>'Water Reading'!P29-'Water Reading'!P28</f>
        <v>0</v>
      </c>
      <c r="J29" s="66" t="e">
        <f t="shared" si="5"/>
        <v>#DIV/0!</v>
      </c>
      <c r="K29" s="86">
        <f>('Water Reading'!I29-'Water Reading'!I28)-('Water Reading'!P29-'Water Reading'!P28)</f>
        <v>0</v>
      </c>
      <c r="L29" s="66" t="e">
        <f t="shared" si="6"/>
        <v>#DIV/0!</v>
      </c>
      <c r="M29" s="85">
        <f>'Water Reading'!R29-'Water Reading'!R28</f>
        <v>0</v>
      </c>
      <c r="N29" s="87" t="e">
        <f t="shared" si="7"/>
        <v>#DIV/0!</v>
      </c>
      <c r="O29" s="85">
        <f>'Water Reading'!Q29-'Water Reading'!Q28</f>
        <v>0</v>
      </c>
      <c r="P29" s="92" t="e">
        <f t="shared" si="8"/>
        <v>#DIV/0!</v>
      </c>
      <c r="Q29" s="86">
        <f>'Water Reading'!N29-'Water Reading'!N28</f>
        <v>0</v>
      </c>
      <c r="R29" s="93" t="e">
        <f t="shared" si="9"/>
        <v>#DIV/0!</v>
      </c>
      <c r="S29" s="85">
        <f>'Water Reading'!E29-'Water Reading'!E28</f>
        <v>0</v>
      </c>
      <c r="T29" s="93" t="e">
        <f t="shared" si="10"/>
        <v>#DIV/0!</v>
      </c>
      <c r="U29" s="85">
        <f>'Water Reading'!O29-'Water Reading'!O28</f>
        <v>0</v>
      </c>
      <c r="V29" s="93" t="e">
        <f t="shared" si="11"/>
        <v>#DIV/0!</v>
      </c>
      <c r="W29" s="85">
        <f>'Water Reading'!R29-'Water Reading'!R28</f>
        <v>0</v>
      </c>
      <c r="X29" s="93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44678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3">
        <f>'Water Reading'!H30-'Water Reading'!H29</f>
        <v>0</v>
      </c>
      <c r="F30" s="84" t="e">
        <f t="shared" si="3"/>
        <v>#DIV/0!</v>
      </c>
      <c r="G30" s="88">
        <f>('Water Reading'!D30-'Water Reading'!D29)-('Water Reading'!R30-'Water Reading'!R29)-('Water Reading'!Q30-'Water Reading'!Q29)</f>
        <v>0</v>
      </c>
      <c r="H30" s="84" t="e">
        <f t="shared" si="4"/>
        <v>#DIV/0!</v>
      </c>
      <c r="I30" s="85">
        <f>'Water Reading'!P30-'Water Reading'!P29</f>
        <v>0</v>
      </c>
      <c r="J30" s="66" t="e">
        <f t="shared" si="5"/>
        <v>#DIV/0!</v>
      </c>
      <c r="K30" s="86">
        <f>('Water Reading'!I30-'Water Reading'!I29)-('Water Reading'!P30-'Water Reading'!P29)</f>
        <v>0</v>
      </c>
      <c r="L30" s="66" t="e">
        <f t="shared" si="6"/>
        <v>#DIV/0!</v>
      </c>
      <c r="M30" s="85">
        <f>'Water Reading'!R30-'Water Reading'!R29</f>
        <v>0</v>
      </c>
      <c r="N30" s="87" t="e">
        <f t="shared" si="7"/>
        <v>#DIV/0!</v>
      </c>
      <c r="O30" s="85">
        <f>'Water Reading'!Q30-'Water Reading'!Q29</f>
        <v>0</v>
      </c>
      <c r="P30" s="92" t="e">
        <f t="shared" si="8"/>
        <v>#DIV/0!</v>
      </c>
      <c r="Q30" s="86">
        <f>'Water Reading'!N30-'Water Reading'!N29</f>
        <v>0</v>
      </c>
      <c r="R30" s="93" t="e">
        <f t="shared" si="9"/>
        <v>#DIV/0!</v>
      </c>
      <c r="S30" s="85">
        <f>'Water Reading'!E30-'Water Reading'!E29</f>
        <v>0</v>
      </c>
      <c r="T30" s="93" t="e">
        <f t="shared" si="10"/>
        <v>#DIV/0!</v>
      </c>
      <c r="U30" s="85">
        <f>'Water Reading'!O30-'Water Reading'!O29</f>
        <v>0</v>
      </c>
      <c r="V30" s="93" t="e">
        <f t="shared" si="11"/>
        <v>#DIV/0!</v>
      </c>
      <c r="W30" s="85">
        <f>'Water Reading'!R30-'Water Reading'!R29</f>
        <v>0</v>
      </c>
      <c r="X30" s="93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44679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3">
        <f>'Water Reading'!H31-'Water Reading'!H30</f>
        <v>0</v>
      </c>
      <c r="F31" s="84" t="e">
        <f t="shared" si="3"/>
        <v>#DIV/0!</v>
      </c>
      <c r="G31" s="88">
        <f>('Water Reading'!D31-'Water Reading'!D30)-('Water Reading'!R31-'Water Reading'!R30)-('Water Reading'!Q31-'Water Reading'!Q30)</f>
        <v>0</v>
      </c>
      <c r="H31" s="84" t="e">
        <f t="shared" si="4"/>
        <v>#DIV/0!</v>
      </c>
      <c r="I31" s="85">
        <f>'Water Reading'!P31-'Water Reading'!P30</f>
        <v>0</v>
      </c>
      <c r="J31" s="66" t="e">
        <f t="shared" si="5"/>
        <v>#DIV/0!</v>
      </c>
      <c r="K31" s="86">
        <f>('Water Reading'!I31-'Water Reading'!I30)-('Water Reading'!P31-'Water Reading'!P30)</f>
        <v>0</v>
      </c>
      <c r="L31" s="66" t="e">
        <f t="shared" si="6"/>
        <v>#DIV/0!</v>
      </c>
      <c r="M31" s="85">
        <f>'Water Reading'!R31-'Water Reading'!R30</f>
        <v>0</v>
      </c>
      <c r="N31" s="87" t="e">
        <f t="shared" si="7"/>
        <v>#DIV/0!</v>
      </c>
      <c r="O31" s="85">
        <f>'Water Reading'!Q31-'Water Reading'!Q30</f>
        <v>0</v>
      </c>
      <c r="P31" s="92" t="e">
        <f t="shared" si="8"/>
        <v>#DIV/0!</v>
      </c>
      <c r="Q31" s="86">
        <f>'Water Reading'!N31-'Water Reading'!N30</f>
        <v>0</v>
      </c>
      <c r="R31" s="93" t="e">
        <f t="shared" si="9"/>
        <v>#DIV/0!</v>
      </c>
      <c r="S31" s="85">
        <f>'Water Reading'!E31-'Water Reading'!E30</f>
        <v>0</v>
      </c>
      <c r="T31" s="93" t="e">
        <f t="shared" si="10"/>
        <v>#DIV/0!</v>
      </c>
      <c r="U31" s="85">
        <f>'Water Reading'!O31-'Water Reading'!O30</f>
        <v>0</v>
      </c>
      <c r="V31" s="93" t="e">
        <f t="shared" si="11"/>
        <v>#DIV/0!</v>
      </c>
      <c r="W31" s="85">
        <f>'Water Reading'!R31-'Water Reading'!R30</f>
        <v>0</v>
      </c>
      <c r="X31" s="93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44680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3">
        <f>'Water Reading'!H32-'Water Reading'!H31</f>
        <v>0</v>
      </c>
      <c r="F32" s="84" t="e">
        <f t="shared" si="3"/>
        <v>#DIV/0!</v>
      </c>
      <c r="G32" s="88">
        <f>('Water Reading'!D32-'Water Reading'!D31)-('Water Reading'!R32-'Water Reading'!R31)-('Water Reading'!Q32-'Water Reading'!Q31)</f>
        <v>0</v>
      </c>
      <c r="H32" s="84" t="e">
        <f t="shared" si="4"/>
        <v>#DIV/0!</v>
      </c>
      <c r="I32" s="85">
        <f>'Water Reading'!P32-'Water Reading'!P31</f>
        <v>0</v>
      </c>
      <c r="J32" s="66" t="e">
        <f t="shared" si="5"/>
        <v>#DIV/0!</v>
      </c>
      <c r="K32" s="86">
        <f>('Water Reading'!I32-'Water Reading'!I31)-('Water Reading'!P32-'Water Reading'!P31)</f>
        <v>0</v>
      </c>
      <c r="L32" s="66" t="e">
        <f t="shared" si="6"/>
        <v>#DIV/0!</v>
      </c>
      <c r="M32" s="85">
        <f>'Water Reading'!R32-'Water Reading'!R31</f>
        <v>0</v>
      </c>
      <c r="N32" s="87" t="e">
        <f t="shared" si="7"/>
        <v>#DIV/0!</v>
      </c>
      <c r="O32" s="85">
        <f>'Water Reading'!Q32-'Water Reading'!Q31</f>
        <v>0</v>
      </c>
      <c r="P32" s="92" t="e">
        <f t="shared" si="8"/>
        <v>#DIV/0!</v>
      </c>
      <c r="Q32" s="86">
        <f>'Water Reading'!N32-'Water Reading'!N31</f>
        <v>0</v>
      </c>
      <c r="R32" s="93" t="e">
        <f t="shared" si="9"/>
        <v>#DIV/0!</v>
      </c>
      <c r="S32" s="85">
        <f>'Water Reading'!E32-'Water Reading'!E31</f>
        <v>0</v>
      </c>
      <c r="T32" s="93" t="e">
        <f t="shared" si="10"/>
        <v>#DIV/0!</v>
      </c>
      <c r="U32" s="85">
        <f>'Water Reading'!O32-'Water Reading'!O31</f>
        <v>0</v>
      </c>
      <c r="V32" s="93" t="e">
        <f t="shared" si="11"/>
        <v>#DIV/0!</v>
      </c>
      <c r="W32" s="85">
        <f>'Water Reading'!R32-'Water Reading'!R31</f>
        <v>0</v>
      </c>
      <c r="X32" s="93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44681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3">
        <f>'Water Reading'!H33-'Water Reading'!H32</f>
        <v>0</v>
      </c>
      <c r="F33" s="84" t="e">
        <f t="shared" si="3"/>
        <v>#DIV/0!</v>
      </c>
      <c r="G33" s="88">
        <f>('Water Reading'!D33-'Water Reading'!D32)-('Water Reading'!R33-'Water Reading'!R32)-('Water Reading'!Q33-'Water Reading'!Q32)</f>
        <v>0</v>
      </c>
      <c r="H33" s="84" t="e">
        <f t="shared" si="4"/>
        <v>#DIV/0!</v>
      </c>
      <c r="I33" s="85">
        <f>'Water Reading'!P33-'Water Reading'!P32</f>
        <v>0</v>
      </c>
      <c r="J33" s="66" t="e">
        <f t="shared" si="5"/>
        <v>#DIV/0!</v>
      </c>
      <c r="K33" s="86">
        <f>('Water Reading'!I33-'Water Reading'!I32)-('Water Reading'!P33-'Water Reading'!P32)</f>
        <v>0</v>
      </c>
      <c r="L33" s="66" t="e">
        <f t="shared" si="6"/>
        <v>#DIV/0!</v>
      </c>
      <c r="M33" s="85">
        <f>'Water Reading'!R33-'Water Reading'!R32</f>
        <v>0</v>
      </c>
      <c r="N33" s="87" t="e">
        <f t="shared" si="7"/>
        <v>#DIV/0!</v>
      </c>
      <c r="O33" s="85">
        <f>'Water Reading'!Q33-'Water Reading'!Q32</f>
        <v>0</v>
      </c>
      <c r="P33" s="92" t="e">
        <f t="shared" si="8"/>
        <v>#DIV/0!</v>
      </c>
      <c r="Q33" s="86">
        <f>'Water Reading'!N33-'Water Reading'!N32</f>
        <v>0</v>
      </c>
      <c r="R33" s="93" t="e">
        <f t="shared" si="9"/>
        <v>#DIV/0!</v>
      </c>
      <c r="S33" s="85">
        <f>'Water Reading'!E33-'Water Reading'!E32</f>
        <v>0</v>
      </c>
      <c r="T33" s="93" t="e">
        <f t="shared" si="10"/>
        <v>#DIV/0!</v>
      </c>
      <c r="U33" s="85">
        <f>'Water Reading'!O33-'Water Reading'!O32</f>
        <v>0</v>
      </c>
      <c r="V33" s="93" t="e">
        <f t="shared" si="11"/>
        <v>#DIV/0!</v>
      </c>
      <c r="W33" s="85">
        <f>'Water Reading'!R33-'Water Reading'!R32</f>
        <v>0</v>
      </c>
      <c r="X33" s="93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44682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3">
        <f>'Water Reading'!H34-'Water Reading'!H33</f>
        <v>0</v>
      </c>
      <c r="F34" s="84" t="e">
        <f t="shared" si="3"/>
        <v>#DIV/0!</v>
      </c>
      <c r="G34" s="88">
        <f>('Water Reading'!D34-'Water Reading'!D33)-('Water Reading'!R34-'Water Reading'!R33)-('Water Reading'!Q34-'Water Reading'!Q33)</f>
        <v>0</v>
      </c>
      <c r="H34" s="84" t="e">
        <f t="shared" si="4"/>
        <v>#DIV/0!</v>
      </c>
      <c r="I34" s="85">
        <f>'Water Reading'!P34-'Water Reading'!P33</f>
        <v>0</v>
      </c>
      <c r="J34" s="66" t="e">
        <f t="shared" si="5"/>
        <v>#DIV/0!</v>
      </c>
      <c r="K34" s="86">
        <f>('Water Reading'!I34-'Water Reading'!I33)-('Water Reading'!P34-'Water Reading'!P33)</f>
        <v>0</v>
      </c>
      <c r="L34" s="66" t="e">
        <f t="shared" si="6"/>
        <v>#DIV/0!</v>
      </c>
      <c r="M34" s="85">
        <f>'Water Reading'!R34-'Water Reading'!R33</f>
        <v>0</v>
      </c>
      <c r="N34" s="87" t="e">
        <f t="shared" si="7"/>
        <v>#DIV/0!</v>
      </c>
      <c r="O34" s="85">
        <f>'Water Reading'!Q34-'Water Reading'!Q33</f>
        <v>0</v>
      </c>
      <c r="P34" s="92" t="e">
        <f t="shared" si="8"/>
        <v>#DIV/0!</v>
      </c>
      <c r="Q34" s="86">
        <f>'Water Reading'!N34-'Water Reading'!N33</f>
        <v>0</v>
      </c>
      <c r="R34" s="93" t="e">
        <f t="shared" si="9"/>
        <v>#DIV/0!</v>
      </c>
      <c r="S34" s="85">
        <f>'Water Reading'!E34-'Water Reading'!E33</f>
        <v>0</v>
      </c>
      <c r="T34" s="93" t="e">
        <f t="shared" si="10"/>
        <v>#DIV/0!</v>
      </c>
      <c r="U34" s="85">
        <f>'Water Reading'!O34-'Water Reading'!O33</f>
        <v>0</v>
      </c>
      <c r="V34" s="93" t="e">
        <f t="shared" si="11"/>
        <v>#DIV/0!</v>
      </c>
      <c r="W34" s="85">
        <f>'Water Reading'!R34-'Water Reading'!R33</f>
        <v>0</v>
      </c>
      <c r="X34" s="93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1" t="s">
        <v>130</v>
      </c>
      <c r="C35" s="72">
        <f>SUM(C4:C34)</f>
        <v>-218338</v>
      </c>
      <c r="D35" s="90" t="e">
        <f>C35/B35</f>
        <v>#VALUE!</v>
      </c>
      <c r="E35" s="7">
        <f>SUM(E4:E34)</f>
        <v>-62050</v>
      </c>
      <c r="F35" s="89">
        <f>E35/C35</f>
        <v>0.28419239894109133</v>
      </c>
      <c r="G35" s="72">
        <f>SUM(G4:G34)</f>
        <v>-248339</v>
      </c>
      <c r="H35" s="89">
        <f>G35/C35</f>
        <v>1.1374062233784317</v>
      </c>
      <c r="I35" s="7">
        <f>SUM(I4:I34)</f>
        <v>-30271</v>
      </c>
      <c r="J35" s="89">
        <f>I35/C35</f>
        <v>0.1386428381683445</v>
      </c>
      <c r="K35" s="7">
        <f>SUM(K4:K34)</f>
        <v>-42864</v>
      </c>
      <c r="L35" s="89">
        <f>K35/C35</f>
        <v>0.19631946798083705</v>
      </c>
      <c r="M35" s="7">
        <f>SUM(M4:M34)</f>
        <v>-7975</v>
      </c>
      <c r="N35" s="89">
        <f>M35/C35</f>
        <v>3.6525936850204728E-2</v>
      </c>
      <c r="O35" s="7">
        <f>SUM(O4:O34)</f>
        <v>-1528</v>
      </c>
      <c r="P35" s="89">
        <f>O35/C35</f>
        <v>6.9983236999514517E-3</v>
      </c>
      <c r="Q35" s="7">
        <f>SUM(Q4:Q34)</f>
        <v>-8502</v>
      </c>
      <c r="R35" s="89">
        <f>Q35/C35</f>
        <v>3.8939625717923587E-2</v>
      </c>
      <c r="S35" s="72">
        <f>SUM(S4:S34)</f>
        <v>-266370</v>
      </c>
      <c r="T35" s="89">
        <f>S35/C35</f>
        <v>1.2199891910707252</v>
      </c>
      <c r="U35" s="7">
        <f>SUM(U4:U34)</f>
        <v>-2030</v>
      </c>
      <c r="V35" s="89">
        <f>U35/C35</f>
        <v>9.2975111982339306E-3</v>
      </c>
      <c r="W35" s="7">
        <f>SUM(W4:W34)</f>
        <v>-7975</v>
      </c>
      <c r="X35" s="89">
        <f>W35/C35</f>
        <v>3.6525936850204728E-2</v>
      </c>
      <c r="Y35" s="72">
        <f>SUM(Y4:Y34)</f>
        <v>-677904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2022-04-14T06:24:27Z</dcterms:modified>
  <cp:category/>
  <cp:contentStatus/>
</cp:coreProperties>
</file>