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0" yWindow="-75" windowWidth="16305" windowHeight="12165" tabRatio="579" firstSheet="6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4" i="77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1" s="1"/>
  <c r="D12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M23"/>
  <c r="I23"/>
  <c r="K23"/>
  <c r="Z23"/>
  <c r="Q11"/>
  <c r="I7" i="77"/>
  <c r="D32" i="2" l="1"/>
  <c r="E31"/>
  <c r="N23"/>
  <c r="R23" s="1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3" l="1"/>
  <c r="AR44" s="1"/>
  <c r="I22" i="82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2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F7" i="77"/>
  <c r="C36" i="76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<sst xmlns="http://schemas.openxmlformats.org/spreadsheetml/2006/main" count="662" uniqueCount="419">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</sst>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9516416"/>
        <c:axId val="117411200"/>
      </c:lineChart>
      <c:catAx>
        <c:axId val="9951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11200"/>
        <c:crosses val="autoZero"/>
        <c:auto val="1"/>
        <c:lblAlgn val="ctr"/>
        <c:lblOffset val="100"/>
      </c:catAx>
      <c:valAx>
        <c:axId val="117411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9045504"/>
        <c:axId val="119051392"/>
      </c:lineChart>
      <c:catAx>
        <c:axId val="11904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51392"/>
        <c:crosses val="autoZero"/>
        <c:auto val="1"/>
        <c:lblAlgn val="ctr"/>
        <c:lblOffset val="100"/>
      </c:catAx>
      <c:valAx>
        <c:axId val="11905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4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85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9067776"/>
        <c:axId val="119069312"/>
      </c:lineChart>
      <c:catAx>
        <c:axId val="1190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69312"/>
        <c:crosses val="autoZero"/>
        <c:auto val="1"/>
        <c:lblAlgn val="ctr"/>
        <c:lblOffset val="100"/>
      </c:catAx>
      <c:valAx>
        <c:axId val="119069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6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9159424"/>
        <c:axId val="119165312"/>
      </c:lineChart>
      <c:catAx>
        <c:axId val="11915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65312"/>
        <c:crosses val="autoZero"/>
        <c:auto val="1"/>
        <c:lblAlgn val="ctr"/>
        <c:lblOffset val="100"/>
      </c:catAx>
      <c:valAx>
        <c:axId val="119165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5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44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9210368"/>
        <c:axId val="119211904"/>
      </c:lineChart>
      <c:catAx>
        <c:axId val="11921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11904"/>
        <c:crosses val="autoZero"/>
        <c:auto val="1"/>
        <c:lblAlgn val="ctr"/>
        <c:lblOffset val="100"/>
      </c:catAx>
      <c:valAx>
        <c:axId val="119211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1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7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1297152"/>
        <c:axId val="121315328"/>
      </c:lineChart>
      <c:catAx>
        <c:axId val="12129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15328"/>
        <c:crosses val="autoZero"/>
        <c:auto val="1"/>
        <c:lblAlgn val="ctr"/>
        <c:lblOffset val="100"/>
      </c:catAx>
      <c:valAx>
        <c:axId val="12131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9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1368576"/>
        <c:axId val="121370112"/>
      </c:lineChart>
      <c:catAx>
        <c:axId val="12136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0112"/>
        <c:crosses val="autoZero"/>
        <c:auto val="1"/>
        <c:lblAlgn val="ctr"/>
        <c:lblOffset val="100"/>
      </c:catAx>
      <c:valAx>
        <c:axId val="12137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6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2766848"/>
        <c:axId val="122768384"/>
      </c:lineChart>
      <c:catAx>
        <c:axId val="1227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8384"/>
        <c:crosses val="autoZero"/>
        <c:auto val="1"/>
        <c:lblAlgn val="ctr"/>
        <c:lblOffset val="100"/>
      </c:catAx>
      <c:valAx>
        <c:axId val="12276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2784768"/>
        <c:axId val="122802944"/>
      </c:lineChart>
      <c:catAx>
        <c:axId val="12278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2944"/>
        <c:crosses val="autoZero"/>
        <c:auto val="1"/>
        <c:lblAlgn val="ctr"/>
        <c:lblOffset val="100"/>
      </c:catAx>
      <c:valAx>
        <c:axId val="122802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211"/>
          <c:w val="0.1272403315177568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2811136"/>
        <c:axId val="122812672"/>
      </c:lineChart>
      <c:catAx>
        <c:axId val="12281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12672"/>
        <c:crosses val="autoZero"/>
        <c:auto val="1"/>
        <c:lblAlgn val="ctr"/>
        <c:lblOffset val="100"/>
      </c:catAx>
      <c:valAx>
        <c:axId val="12281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1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2988800"/>
        <c:axId val="123416576"/>
      </c:lineChart>
      <c:catAx>
        <c:axId val="12298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16576"/>
        <c:crosses val="autoZero"/>
        <c:auto val="1"/>
        <c:lblAlgn val="ctr"/>
        <c:lblOffset val="100"/>
      </c:catAx>
      <c:valAx>
        <c:axId val="123416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8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5215104"/>
        <c:axId val="125216640"/>
      </c:lineChart>
      <c:catAx>
        <c:axId val="12521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6640"/>
        <c:crosses val="autoZero"/>
        <c:auto val="1"/>
        <c:lblAlgn val="ctr"/>
        <c:lblOffset val="100"/>
      </c:catAx>
      <c:valAx>
        <c:axId val="12521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20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6609664"/>
        <c:axId val="126681088"/>
      </c:lineChart>
      <c:catAx>
        <c:axId val="12660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81088"/>
        <c:crosses val="autoZero"/>
        <c:auto val="1"/>
        <c:lblAlgn val="ctr"/>
        <c:lblOffset val="100"/>
      </c:catAx>
      <c:valAx>
        <c:axId val="12668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0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211"/>
          <c:w val="0.135416885389372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6722048"/>
        <c:axId val="126723584"/>
      </c:lineChart>
      <c:catAx>
        <c:axId val="1267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23584"/>
        <c:crosses val="autoZero"/>
        <c:auto val="1"/>
        <c:lblAlgn val="ctr"/>
        <c:lblOffset val="100"/>
      </c:catAx>
      <c:valAx>
        <c:axId val="126723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21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6859136"/>
        <c:axId val="126860672"/>
      </c:lineChart>
      <c:catAx>
        <c:axId val="1268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60672"/>
        <c:crosses val="autoZero"/>
        <c:auto val="1"/>
        <c:lblAlgn val="ctr"/>
        <c:lblOffset val="100"/>
      </c:catAx>
      <c:valAx>
        <c:axId val="126860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6897536"/>
        <c:axId val="126911616"/>
      </c:lineChart>
      <c:catAx>
        <c:axId val="12689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11616"/>
        <c:crosses val="autoZero"/>
        <c:auto val="1"/>
        <c:lblAlgn val="ctr"/>
        <c:lblOffset val="100"/>
      </c:catAx>
      <c:valAx>
        <c:axId val="12691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9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211"/>
          <c:w val="0.135416885389372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6932096"/>
        <c:axId val="126933632"/>
      </c:lineChart>
      <c:catAx>
        <c:axId val="1269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33632"/>
        <c:crosses val="autoZero"/>
        <c:auto val="1"/>
        <c:lblAlgn val="ctr"/>
        <c:lblOffset val="100"/>
      </c:catAx>
      <c:valAx>
        <c:axId val="126933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3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22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7093376"/>
        <c:axId val="127099264"/>
      </c:lineChart>
      <c:catAx>
        <c:axId val="12709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9264"/>
        <c:crosses val="autoZero"/>
        <c:auto val="1"/>
        <c:lblAlgn val="ctr"/>
        <c:lblOffset val="100"/>
      </c:catAx>
      <c:valAx>
        <c:axId val="127099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7116032"/>
        <c:axId val="127117568"/>
      </c:lineChart>
      <c:catAx>
        <c:axId val="12711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17568"/>
        <c:crosses val="autoZero"/>
        <c:auto val="1"/>
        <c:lblAlgn val="ctr"/>
        <c:lblOffset val="100"/>
      </c:catAx>
      <c:valAx>
        <c:axId val="12711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1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7174912"/>
        <c:axId val="127176704"/>
      </c:lineChart>
      <c:catAx>
        <c:axId val="12717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6704"/>
        <c:crosses val="autoZero"/>
        <c:auto val="1"/>
        <c:lblAlgn val="ctr"/>
        <c:lblOffset val="100"/>
      </c:catAx>
      <c:valAx>
        <c:axId val="1271767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6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0695168"/>
        <c:axId val="130696704"/>
      </c:lineChart>
      <c:catAx>
        <c:axId val="13069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6704"/>
        <c:crosses val="autoZero"/>
        <c:auto val="1"/>
        <c:lblAlgn val="ctr"/>
        <c:lblOffset val="100"/>
      </c:catAx>
      <c:valAx>
        <c:axId val="130696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0774528"/>
        <c:axId val="130776064"/>
      </c:lineChart>
      <c:catAx>
        <c:axId val="13077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6064"/>
        <c:crosses val="autoZero"/>
        <c:auto val="1"/>
        <c:lblAlgn val="ctr"/>
        <c:lblOffset val="100"/>
      </c:catAx>
      <c:valAx>
        <c:axId val="13077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61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1476480"/>
        <c:axId val="131498752"/>
      </c:lineChart>
      <c:catAx>
        <c:axId val="1314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98752"/>
        <c:crosses val="autoZero"/>
        <c:auto val="1"/>
        <c:lblAlgn val="ctr"/>
        <c:lblOffset val="100"/>
      </c:catAx>
      <c:valAx>
        <c:axId val="13149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21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1621632"/>
        <c:axId val="131623168"/>
      </c:lineChart>
      <c:catAx>
        <c:axId val="13162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3168"/>
        <c:crosses val="autoZero"/>
        <c:auto val="1"/>
        <c:lblAlgn val="ctr"/>
        <c:lblOffset val="100"/>
      </c:catAx>
      <c:valAx>
        <c:axId val="13162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445"/>
          <c:w val="0.1234311819809411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1640704"/>
        <c:axId val="131654784"/>
      </c:lineChart>
      <c:catAx>
        <c:axId val="1316407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4784"/>
        <c:crosses val="autoZero"/>
        <c:auto val="1"/>
        <c:lblAlgn val="ctr"/>
        <c:lblOffset val="100"/>
      </c:catAx>
      <c:valAx>
        <c:axId val="131654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662"/>
          <c:w val="0.1569039853282379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2047616"/>
        <c:axId val="132049152"/>
      </c:lineChart>
      <c:catAx>
        <c:axId val="1320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49152"/>
        <c:crosses val="autoZero"/>
        <c:auto val="1"/>
        <c:lblAlgn val="ctr"/>
        <c:lblOffset val="100"/>
      </c:catAx>
      <c:valAx>
        <c:axId val="132049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9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3831296"/>
        <c:axId val="133837184"/>
      </c:lineChart>
      <c:catAx>
        <c:axId val="13383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7184"/>
        <c:crosses val="autoZero"/>
        <c:auto val="1"/>
        <c:lblAlgn val="ctr"/>
        <c:lblOffset val="100"/>
      </c:catAx>
      <c:valAx>
        <c:axId val="133837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58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1494144"/>
        <c:axId val="141495680"/>
      </c:lineChart>
      <c:catAx>
        <c:axId val="1414941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5680"/>
        <c:crosses val="autoZero"/>
        <c:auto val="1"/>
        <c:lblAlgn val="ctr"/>
        <c:lblOffset val="100"/>
      </c:catAx>
      <c:valAx>
        <c:axId val="1414956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66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2" sqref="E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6" t="s">
        <v>339</v>
      </c>
      <c r="B1" s="596" t="s">
        <v>198</v>
      </c>
      <c r="C1" s="596" t="s">
        <v>340</v>
      </c>
      <c r="D1" s="596" t="s">
        <v>341</v>
      </c>
      <c r="E1" s="597" t="s">
        <v>351</v>
      </c>
      <c r="F1" s="597" t="s">
        <v>352</v>
      </c>
      <c r="G1" s="597" t="s">
        <v>413</v>
      </c>
      <c r="H1" s="597" t="s">
        <v>353</v>
      </c>
      <c r="I1" s="597" t="s">
        <v>354</v>
      </c>
      <c r="J1" s="597" t="s">
        <v>355</v>
      </c>
      <c r="K1" s="597" t="s">
        <v>356</v>
      </c>
      <c r="L1" s="597" t="s">
        <v>357</v>
      </c>
      <c r="M1" s="598" t="s">
        <v>398</v>
      </c>
      <c r="N1" s="472" t="s">
        <v>399</v>
      </c>
      <c r="O1" s="597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0.28380254843195257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0.25505618299575694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7.0772876020416417E-2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0.23970592994900741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0.2682701357662059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0</v>
      </c>
      <c r="L8" s="318">
        <f>SUM(WATER!J12)</f>
        <v>0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0</v>
      </c>
      <c r="F9" s="317">
        <f>SUM('EDl log'!T11)</f>
        <v>0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0</v>
      </c>
      <c r="F10" s="317">
        <f>SUM('EDl log'!T12)</f>
        <v>0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0</v>
      </c>
      <c r="L10" s="318">
        <f>SUM(WATER!J14)</f>
        <v>0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0.69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0.69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Q10" sqref="A10:XFD10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24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5">
        <v>26334</v>
      </c>
      <c r="E4" s="600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5">
        <v>28502</v>
      </c>
      <c r="E5" s="600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5">
        <v>30435</v>
      </c>
      <c r="E6" s="600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24">
        <v>32222</v>
      </c>
      <c r="E7" s="600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24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24">
        <f t="shared" ref="D8:D34" si="23">D7</f>
        <v>32222</v>
      </c>
      <c r="E8" s="600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24">
        <f t="shared" si="23"/>
        <v>32222</v>
      </c>
      <c r="E9" s="600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24">
        <v>34124</v>
      </c>
      <c r="E10" s="600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24">
        <f t="shared" si="23"/>
        <v>34124</v>
      </c>
      <c r="E11" s="600">
        <f t="shared" si="7"/>
        <v>0</v>
      </c>
      <c r="F11" s="581">
        <f t="shared" si="24"/>
        <v>4098794</v>
      </c>
      <c r="G11" s="299">
        <f t="shared" si="12"/>
        <v>0</v>
      </c>
      <c r="H11" s="429">
        <f t="shared" si="25"/>
        <v>17980914</v>
      </c>
      <c r="I11" s="299">
        <f t="shared" si="13"/>
        <v>0</v>
      </c>
      <c r="J11" s="429">
        <f t="shared" si="26"/>
        <v>29584748</v>
      </c>
      <c r="K11" s="299">
        <f t="shared" si="14"/>
        <v>0</v>
      </c>
      <c r="L11" s="429">
        <f t="shared" si="27"/>
        <v>24456770</v>
      </c>
      <c r="M11" s="299">
        <f t="shared" si="15"/>
        <v>0</v>
      </c>
      <c r="N11" s="298">
        <f t="shared" si="16"/>
        <v>0</v>
      </c>
      <c r="O11" s="449">
        <f t="shared" ref="O11:O31" si="32">IF(B11&gt;0,N11/B11,0)</f>
        <v>0</v>
      </c>
      <c r="P11" s="572">
        <f t="shared" si="28"/>
        <v>18559.304</v>
      </c>
      <c r="Q11" s="450">
        <f t="shared" si="1"/>
        <v>0</v>
      </c>
      <c r="R11" s="432">
        <f t="shared" si="21"/>
        <v>0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f t="shared" si="29"/>
        <v>33403</v>
      </c>
      <c r="X11" s="432">
        <f t="shared" si="31"/>
        <v>0</v>
      </c>
      <c r="Y11" s="429">
        <f t="shared" si="30"/>
        <v>977372</v>
      </c>
      <c r="Z11" s="432">
        <f t="shared" si="22"/>
        <v>0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0</v>
      </c>
      <c r="AF11" s="455">
        <f t="shared" si="4"/>
        <v>0</v>
      </c>
      <c r="AG11" s="447">
        <f t="shared" ref="AG11:AG31" si="33">IF(AE11&gt;0,AF11/AE11,0)</f>
        <v>0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24">
        <f t="shared" si="23"/>
        <v>34124</v>
      </c>
      <c r="E12" s="600">
        <f t="shared" si="7"/>
        <v>0</v>
      </c>
      <c r="F12" s="581">
        <f t="shared" si="24"/>
        <v>4098794</v>
      </c>
      <c r="G12" s="299">
        <f t="shared" si="12"/>
        <v>0</v>
      </c>
      <c r="H12" s="429">
        <f t="shared" si="25"/>
        <v>17980914</v>
      </c>
      <c r="I12" s="299">
        <f t="shared" si="13"/>
        <v>0</v>
      </c>
      <c r="J12" s="429">
        <f t="shared" si="26"/>
        <v>29584748</v>
      </c>
      <c r="K12" s="299">
        <f t="shared" si="14"/>
        <v>0</v>
      </c>
      <c r="L12" s="429">
        <f t="shared" si="27"/>
        <v>24456770</v>
      </c>
      <c r="M12" s="299">
        <f t="shared" si="15"/>
        <v>0</v>
      </c>
      <c r="N12" s="298">
        <f>M12+K12+I12+G12+E12</f>
        <v>0</v>
      </c>
      <c r="O12" s="449">
        <f t="shared" si="32"/>
        <v>0</v>
      </c>
      <c r="P12" s="572">
        <f t="shared" si="28"/>
        <v>18559.304</v>
      </c>
      <c r="Q12" s="450">
        <f t="shared" si="1"/>
        <v>0</v>
      </c>
      <c r="R12" s="432">
        <f t="shared" si="21"/>
        <v>0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f t="shared" si="29"/>
        <v>33403</v>
      </c>
      <c r="X12" s="432">
        <f t="shared" si="31"/>
        <v>0</v>
      </c>
      <c r="Y12" s="429">
        <f t="shared" si="30"/>
        <v>977372</v>
      </c>
      <c r="Z12" s="432">
        <f t="shared" si="22"/>
        <v>0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0</v>
      </c>
      <c r="AF12" s="455">
        <f t="shared" si="4"/>
        <v>0</v>
      </c>
      <c r="AG12" s="447">
        <f t="shared" si="33"/>
        <v>0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24">
        <f t="shared" si="23"/>
        <v>34124</v>
      </c>
      <c r="E13" s="600">
        <f t="shared" si="7"/>
        <v>0</v>
      </c>
      <c r="F13" s="581">
        <f t="shared" si="24"/>
        <v>4098794</v>
      </c>
      <c r="G13" s="299">
        <f t="shared" si="12"/>
        <v>0</v>
      </c>
      <c r="H13" s="429">
        <f t="shared" si="25"/>
        <v>17980914</v>
      </c>
      <c r="I13" s="299">
        <f t="shared" si="13"/>
        <v>0</v>
      </c>
      <c r="J13" s="429">
        <f t="shared" si="26"/>
        <v>29584748</v>
      </c>
      <c r="K13" s="299">
        <f t="shared" si="14"/>
        <v>0</v>
      </c>
      <c r="L13" s="429">
        <f t="shared" si="27"/>
        <v>24456770</v>
      </c>
      <c r="M13" s="299">
        <f t="shared" si="15"/>
        <v>0</v>
      </c>
      <c r="N13" s="298">
        <f>M13+K13+I13+G13+E13</f>
        <v>0</v>
      </c>
      <c r="O13" s="449">
        <f t="shared" si="32"/>
        <v>0</v>
      </c>
      <c r="P13" s="572">
        <f t="shared" si="28"/>
        <v>18559.304</v>
      </c>
      <c r="Q13" s="450">
        <f t="shared" si="1"/>
        <v>0</v>
      </c>
      <c r="R13" s="432">
        <f t="shared" si="21"/>
        <v>0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f t="shared" si="29"/>
        <v>33403</v>
      </c>
      <c r="X13" s="432">
        <f t="shared" si="31"/>
        <v>0</v>
      </c>
      <c r="Y13" s="429">
        <f t="shared" si="30"/>
        <v>977372</v>
      </c>
      <c r="Z13" s="432">
        <f t="shared" si="22"/>
        <v>0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0</v>
      </c>
      <c r="AF13" s="455">
        <f t="shared" si="4"/>
        <v>0</v>
      </c>
      <c r="AG13" s="447">
        <f t="shared" si="33"/>
        <v>0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24">
        <f t="shared" si="23"/>
        <v>34124</v>
      </c>
      <c r="E14" s="600">
        <f t="shared" si="7"/>
        <v>0</v>
      </c>
      <c r="F14" s="581">
        <f t="shared" si="24"/>
        <v>4098794</v>
      </c>
      <c r="G14" s="299">
        <f t="shared" si="12"/>
        <v>0</v>
      </c>
      <c r="H14" s="429">
        <f t="shared" si="25"/>
        <v>17980914</v>
      </c>
      <c r="I14" s="299">
        <f t="shared" si="13"/>
        <v>0</v>
      </c>
      <c r="J14" s="429">
        <f t="shared" si="26"/>
        <v>29584748</v>
      </c>
      <c r="K14" s="299">
        <f t="shared" si="14"/>
        <v>0</v>
      </c>
      <c r="L14" s="429">
        <f t="shared" si="27"/>
        <v>24456770</v>
      </c>
      <c r="M14" s="299">
        <f t="shared" si="15"/>
        <v>0</v>
      </c>
      <c r="N14" s="298">
        <f t="shared" si="16"/>
        <v>0</v>
      </c>
      <c r="O14" s="449">
        <f t="shared" si="32"/>
        <v>0</v>
      </c>
      <c r="P14" s="572">
        <f t="shared" si="28"/>
        <v>18559.304</v>
      </c>
      <c r="Q14" s="450">
        <f t="shared" si="1"/>
        <v>0</v>
      </c>
      <c r="R14" s="432">
        <f t="shared" si="21"/>
        <v>0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f t="shared" si="29"/>
        <v>33403</v>
      </c>
      <c r="X14" s="432">
        <f t="shared" si="31"/>
        <v>0</v>
      </c>
      <c r="Y14" s="429">
        <f t="shared" si="30"/>
        <v>977372</v>
      </c>
      <c r="Z14" s="432">
        <f t="shared" si="22"/>
        <v>0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0</v>
      </c>
      <c r="AF14" s="455">
        <f t="shared" si="4"/>
        <v>0</v>
      </c>
      <c r="AG14" s="447">
        <f t="shared" si="33"/>
        <v>0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24">
        <f t="shared" si="23"/>
        <v>34124</v>
      </c>
      <c r="E15" s="600">
        <f t="shared" si="7"/>
        <v>0</v>
      </c>
      <c r="F15" s="581">
        <f t="shared" si="24"/>
        <v>4098794</v>
      </c>
      <c r="G15" s="299">
        <f t="shared" si="12"/>
        <v>0</v>
      </c>
      <c r="H15" s="429">
        <f t="shared" si="25"/>
        <v>17980914</v>
      </c>
      <c r="I15" s="299">
        <f t="shared" si="13"/>
        <v>0</v>
      </c>
      <c r="J15" s="429">
        <f t="shared" si="26"/>
        <v>29584748</v>
      </c>
      <c r="K15" s="299">
        <f t="shared" si="14"/>
        <v>0</v>
      </c>
      <c r="L15" s="429">
        <f t="shared" si="27"/>
        <v>24456770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18559.304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33403</v>
      </c>
      <c r="X15" s="432">
        <f t="shared" si="31"/>
        <v>0</v>
      </c>
      <c r="Y15" s="429">
        <f t="shared" si="30"/>
        <v>977372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24">
        <f t="shared" si="23"/>
        <v>34124</v>
      </c>
      <c r="E16" s="600">
        <f t="shared" si="7"/>
        <v>0</v>
      </c>
      <c r="F16" s="581">
        <f t="shared" si="24"/>
        <v>4098794</v>
      </c>
      <c r="G16" s="299">
        <f t="shared" si="12"/>
        <v>0</v>
      </c>
      <c r="H16" s="429">
        <f t="shared" si="25"/>
        <v>17980914</v>
      </c>
      <c r="I16" s="299">
        <f t="shared" si="13"/>
        <v>0</v>
      </c>
      <c r="J16" s="429">
        <f t="shared" si="26"/>
        <v>29584748</v>
      </c>
      <c r="K16" s="299">
        <f t="shared" si="14"/>
        <v>0</v>
      </c>
      <c r="L16" s="429">
        <f t="shared" si="27"/>
        <v>24456770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18559.304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33403</v>
      </c>
      <c r="X16" s="432">
        <f t="shared" si="31"/>
        <v>0</v>
      </c>
      <c r="Y16" s="429">
        <f t="shared" si="30"/>
        <v>977372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24">
        <f t="shared" si="23"/>
        <v>34124</v>
      </c>
      <c r="E17" s="600">
        <f t="shared" si="7"/>
        <v>0</v>
      </c>
      <c r="F17" s="581">
        <f t="shared" si="24"/>
        <v>4098794</v>
      </c>
      <c r="G17" s="299">
        <f t="shared" si="12"/>
        <v>0</v>
      </c>
      <c r="H17" s="429">
        <f t="shared" si="25"/>
        <v>17980914</v>
      </c>
      <c r="I17" s="299">
        <f t="shared" si="13"/>
        <v>0</v>
      </c>
      <c r="J17" s="429">
        <f t="shared" si="26"/>
        <v>29584748</v>
      </c>
      <c r="K17" s="299">
        <f t="shared" si="14"/>
        <v>0</v>
      </c>
      <c r="L17" s="429">
        <f t="shared" si="27"/>
        <v>24456770</v>
      </c>
      <c r="M17" s="299">
        <f t="shared" si="15"/>
        <v>0</v>
      </c>
      <c r="N17" s="298">
        <f t="shared" si="16"/>
        <v>0</v>
      </c>
      <c r="O17" s="449">
        <f t="shared" si="32"/>
        <v>0</v>
      </c>
      <c r="P17" s="572">
        <f t="shared" si="28"/>
        <v>18559.304</v>
      </c>
      <c r="Q17" s="450">
        <f t="shared" si="1"/>
        <v>0</v>
      </c>
      <c r="R17" s="432">
        <f t="shared" si="21"/>
        <v>0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f t="shared" si="29"/>
        <v>33403</v>
      </c>
      <c r="X17" s="432">
        <f>W17-W16</f>
        <v>0</v>
      </c>
      <c r="Y17" s="429">
        <f t="shared" si="30"/>
        <v>977372</v>
      </c>
      <c r="Z17" s="432">
        <f>Y17-Y16</f>
        <v>0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0</v>
      </c>
      <c r="AF17" s="455">
        <f t="shared" si="4"/>
        <v>0</v>
      </c>
      <c r="AG17" s="447">
        <f t="shared" si="33"/>
        <v>0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24">
        <f t="shared" si="23"/>
        <v>34124</v>
      </c>
      <c r="E18" s="600">
        <f t="shared" si="7"/>
        <v>0</v>
      </c>
      <c r="F18" s="581">
        <f t="shared" si="24"/>
        <v>4098794</v>
      </c>
      <c r="G18" s="299">
        <f t="shared" si="12"/>
        <v>0</v>
      </c>
      <c r="H18" s="429">
        <f t="shared" si="25"/>
        <v>17980914</v>
      </c>
      <c r="I18" s="299">
        <f t="shared" si="13"/>
        <v>0</v>
      </c>
      <c r="J18" s="429">
        <f t="shared" si="26"/>
        <v>29584748</v>
      </c>
      <c r="K18" s="299">
        <f t="shared" si="14"/>
        <v>0</v>
      </c>
      <c r="L18" s="429">
        <f t="shared" si="27"/>
        <v>24456770</v>
      </c>
      <c r="M18" s="299">
        <f t="shared" si="15"/>
        <v>0</v>
      </c>
      <c r="N18" s="298">
        <f>M18+K18+I18+G18+E18</f>
        <v>0</v>
      </c>
      <c r="O18" s="449">
        <f t="shared" si="32"/>
        <v>0</v>
      </c>
      <c r="P18" s="572">
        <f t="shared" si="28"/>
        <v>18559.304</v>
      </c>
      <c r="Q18" s="450">
        <f t="shared" si="1"/>
        <v>0</v>
      </c>
      <c r="R18" s="432">
        <f t="shared" si="21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f t="shared" si="29"/>
        <v>33403</v>
      </c>
      <c r="X18" s="432">
        <f t="shared" si="31"/>
        <v>0</v>
      </c>
      <c r="Y18" s="429">
        <f t="shared" si="30"/>
        <v>977372</v>
      </c>
      <c r="Z18" s="432">
        <f t="shared" si="22"/>
        <v>0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24">
        <f t="shared" si="23"/>
        <v>34124</v>
      </c>
      <c r="E19" s="600">
        <f t="shared" si="7"/>
        <v>0</v>
      </c>
      <c r="F19" s="581">
        <f t="shared" si="24"/>
        <v>4098794</v>
      </c>
      <c r="G19" s="299">
        <f t="shared" si="12"/>
        <v>0</v>
      </c>
      <c r="H19" s="429">
        <f t="shared" si="25"/>
        <v>17980914</v>
      </c>
      <c r="I19" s="299">
        <f t="shared" si="13"/>
        <v>0</v>
      </c>
      <c r="J19" s="429">
        <f t="shared" si="26"/>
        <v>29584748</v>
      </c>
      <c r="K19" s="299">
        <f t="shared" si="14"/>
        <v>0</v>
      </c>
      <c r="L19" s="429">
        <f t="shared" si="27"/>
        <v>24456770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8"/>
        <v>18559.304</v>
      </c>
      <c r="Q19" s="450">
        <f t="shared" si="1"/>
        <v>0</v>
      </c>
      <c r="R19" s="432">
        <f t="shared" si="21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9"/>
        <v>33403</v>
      </c>
      <c r="X19" s="432">
        <f t="shared" si="31"/>
        <v>0</v>
      </c>
      <c r="Y19" s="429">
        <f t="shared" si="30"/>
        <v>977372</v>
      </c>
      <c r="Z19" s="432">
        <f t="shared" si="22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24">
        <f t="shared" si="23"/>
        <v>34124</v>
      </c>
      <c r="E20" s="600">
        <f t="shared" si="7"/>
        <v>0</v>
      </c>
      <c r="F20" s="581">
        <f t="shared" si="24"/>
        <v>4098794</v>
      </c>
      <c r="G20" s="299">
        <f t="shared" si="12"/>
        <v>0</v>
      </c>
      <c r="H20" s="429">
        <f t="shared" si="25"/>
        <v>17980914</v>
      </c>
      <c r="I20" s="299">
        <f t="shared" si="13"/>
        <v>0</v>
      </c>
      <c r="J20" s="429">
        <f t="shared" si="26"/>
        <v>29584748</v>
      </c>
      <c r="K20" s="299">
        <f t="shared" si="14"/>
        <v>0</v>
      </c>
      <c r="L20" s="429">
        <f t="shared" si="27"/>
        <v>24456770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8"/>
        <v>18559.304</v>
      </c>
      <c r="Q20" s="450">
        <f t="shared" si="1"/>
        <v>0</v>
      </c>
      <c r="R20" s="432">
        <f t="shared" si="21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9"/>
        <v>33403</v>
      </c>
      <c r="X20" s="432">
        <f t="shared" si="31"/>
        <v>0</v>
      </c>
      <c r="Y20" s="429">
        <f t="shared" si="30"/>
        <v>977372</v>
      </c>
      <c r="Z20" s="432">
        <f t="shared" si="22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24">
        <f t="shared" si="23"/>
        <v>34124</v>
      </c>
      <c r="E21" s="600">
        <f t="shared" si="7"/>
        <v>0</v>
      </c>
      <c r="F21" s="581">
        <f t="shared" si="24"/>
        <v>4098794</v>
      </c>
      <c r="G21" s="299">
        <f t="shared" si="12"/>
        <v>0</v>
      </c>
      <c r="H21" s="429">
        <f t="shared" si="25"/>
        <v>17980914</v>
      </c>
      <c r="I21" s="299">
        <f t="shared" si="13"/>
        <v>0</v>
      </c>
      <c r="J21" s="429">
        <f t="shared" si="26"/>
        <v>29584748</v>
      </c>
      <c r="K21" s="299">
        <f t="shared" si="14"/>
        <v>0</v>
      </c>
      <c r="L21" s="429">
        <f t="shared" si="27"/>
        <v>24456770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18559.304</v>
      </c>
      <c r="Q21" s="450">
        <f t="shared" si="1"/>
        <v>0</v>
      </c>
      <c r="R21" s="432">
        <f t="shared" si="21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33403</v>
      </c>
      <c r="X21" s="432">
        <f t="shared" si="31"/>
        <v>0</v>
      </c>
      <c r="Y21" s="429">
        <f t="shared" si="30"/>
        <v>977372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34124</v>
      </c>
      <c r="E22" s="600">
        <f t="shared" si="7"/>
        <v>0</v>
      </c>
      <c r="F22" s="581">
        <f t="shared" si="24"/>
        <v>4098794</v>
      </c>
      <c r="G22" s="299">
        <f t="shared" si="12"/>
        <v>0</v>
      </c>
      <c r="H22" s="429">
        <f t="shared" si="25"/>
        <v>17980914</v>
      </c>
      <c r="I22" s="299">
        <f t="shared" si="13"/>
        <v>0</v>
      </c>
      <c r="J22" s="429">
        <f t="shared" si="26"/>
        <v>29584748</v>
      </c>
      <c r="K22" s="299">
        <f t="shared" si="14"/>
        <v>0</v>
      </c>
      <c r="L22" s="429">
        <f t="shared" si="27"/>
        <v>24456770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18559.304</v>
      </c>
      <c r="Q22" s="450">
        <f t="shared" si="1"/>
        <v>0</v>
      </c>
      <c r="R22" s="432">
        <f t="shared" si="21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33403</v>
      </c>
      <c r="X22" s="432">
        <f t="shared" si="31"/>
        <v>0</v>
      </c>
      <c r="Y22" s="429">
        <f t="shared" si="30"/>
        <v>977372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34124</v>
      </c>
      <c r="E23" s="600">
        <f t="shared" si="7"/>
        <v>0</v>
      </c>
      <c r="F23" s="581">
        <f t="shared" si="24"/>
        <v>4098794</v>
      </c>
      <c r="G23" s="299">
        <f t="shared" si="12"/>
        <v>0</v>
      </c>
      <c r="H23" s="429">
        <f t="shared" si="25"/>
        <v>17980914</v>
      </c>
      <c r="I23" s="299">
        <f t="shared" si="13"/>
        <v>0</v>
      </c>
      <c r="J23" s="429">
        <f t="shared" si="26"/>
        <v>29584748</v>
      </c>
      <c r="K23" s="299">
        <f t="shared" si="14"/>
        <v>0</v>
      </c>
      <c r="L23" s="429">
        <f t="shared" si="27"/>
        <v>24456770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18559.304</v>
      </c>
      <c r="Q23" s="450">
        <f t="shared" si="1"/>
        <v>0</v>
      </c>
      <c r="R23" s="432">
        <f t="shared" si="21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33403</v>
      </c>
      <c r="X23" s="432">
        <f t="shared" si="31"/>
        <v>0</v>
      </c>
      <c r="Y23" s="429">
        <f t="shared" si="30"/>
        <v>977372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34124</v>
      </c>
      <c r="E24" s="600">
        <f t="shared" si="7"/>
        <v>0</v>
      </c>
      <c r="F24" s="581">
        <f t="shared" si="24"/>
        <v>4098794</v>
      </c>
      <c r="G24" s="299">
        <f t="shared" si="12"/>
        <v>0</v>
      </c>
      <c r="H24" s="429">
        <f t="shared" si="25"/>
        <v>17980914</v>
      </c>
      <c r="I24" s="422">
        <f t="shared" si="13"/>
        <v>0</v>
      </c>
      <c r="J24" s="429">
        <f t="shared" si="26"/>
        <v>29584748</v>
      </c>
      <c r="K24" s="299">
        <f t="shared" si="14"/>
        <v>0</v>
      </c>
      <c r="L24" s="429">
        <f t="shared" si="27"/>
        <v>24456770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18559.304</v>
      </c>
      <c r="Q24" s="450">
        <f t="shared" si="1"/>
        <v>0</v>
      </c>
      <c r="R24" s="432">
        <f t="shared" si="21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33403</v>
      </c>
      <c r="X24" s="432">
        <f t="shared" si="31"/>
        <v>0</v>
      </c>
      <c r="Y24" s="429">
        <f t="shared" si="30"/>
        <v>977372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34124</v>
      </c>
      <c r="E25" s="600">
        <f t="shared" si="7"/>
        <v>0</v>
      </c>
      <c r="F25" s="581">
        <f t="shared" si="24"/>
        <v>4098794</v>
      </c>
      <c r="G25" s="299">
        <f t="shared" si="12"/>
        <v>0</v>
      </c>
      <c r="H25" s="429">
        <f t="shared" si="25"/>
        <v>17980914</v>
      </c>
      <c r="I25" s="299">
        <f t="shared" si="13"/>
        <v>0</v>
      </c>
      <c r="J25" s="429">
        <f t="shared" si="26"/>
        <v>29584748</v>
      </c>
      <c r="K25" s="299">
        <f t="shared" si="14"/>
        <v>0</v>
      </c>
      <c r="L25" s="429">
        <f t="shared" si="27"/>
        <v>24456770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18559.304</v>
      </c>
      <c r="Q25" s="450">
        <f t="shared" si="1"/>
        <v>0</v>
      </c>
      <c r="R25" s="432">
        <f t="shared" ref="R25:R31" si="35">N25-Q25</f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33403</v>
      </c>
      <c r="X25" s="432">
        <f t="shared" si="31"/>
        <v>0</v>
      </c>
      <c r="Y25" s="429">
        <f t="shared" si="30"/>
        <v>977372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34124</v>
      </c>
      <c r="E26" s="600">
        <f t="shared" si="7"/>
        <v>0</v>
      </c>
      <c r="F26" s="581">
        <f t="shared" si="24"/>
        <v>4098794</v>
      </c>
      <c r="G26" s="299">
        <f t="shared" si="12"/>
        <v>0</v>
      </c>
      <c r="H26" s="429">
        <f t="shared" si="25"/>
        <v>17980914</v>
      </c>
      <c r="I26" s="299">
        <f t="shared" si="13"/>
        <v>0</v>
      </c>
      <c r="J26" s="429">
        <f t="shared" si="26"/>
        <v>29584748</v>
      </c>
      <c r="K26" s="299">
        <f t="shared" si="14"/>
        <v>0</v>
      </c>
      <c r="L26" s="429">
        <f t="shared" si="27"/>
        <v>24456770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18559.304</v>
      </c>
      <c r="Q26" s="450">
        <f t="shared" si="1"/>
        <v>0</v>
      </c>
      <c r="R26" s="432">
        <f t="shared" si="35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33403</v>
      </c>
      <c r="X26" s="432">
        <f t="shared" si="31"/>
        <v>0</v>
      </c>
      <c r="Y26" s="429">
        <f t="shared" si="30"/>
        <v>977372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34124</v>
      </c>
      <c r="E27" s="600">
        <f t="shared" si="7"/>
        <v>0</v>
      </c>
      <c r="F27" s="581">
        <f t="shared" si="24"/>
        <v>4098794</v>
      </c>
      <c r="G27" s="299">
        <f t="shared" si="12"/>
        <v>0</v>
      </c>
      <c r="H27" s="429">
        <f t="shared" si="25"/>
        <v>17980914</v>
      </c>
      <c r="I27" s="299">
        <f t="shared" si="13"/>
        <v>0</v>
      </c>
      <c r="J27" s="429">
        <f t="shared" si="26"/>
        <v>29584748</v>
      </c>
      <c r="K27" s="299">
        <f t="shared" si="14"/>
        <v>0</v>
      </c>
      <c r="L27" s="429">
        <f t="shared" si="27"/>
        <v>24456770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18559.304</v>
      </c>
      <c r="Q27" s="450">
        <f t="shared" si="1"/>
        <v>0</v>
      </c>
      <c r="R27" s="432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33403</v>
      </c>
      <c r="X27" s="432">
        <f t="shared" si="31"/>
        <v>0</v>
      </c>
      <c r="Y27" s="429">
        <f t="shared" si="30"/>
        <v>977372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34124</v>
      </c>
      <c r="E28" s="600">
        <f t="shared" si="7"/>
        <v>0</v>
      </c>
      <c r="F28" s="581">
        <f t="shared" si="24"/>
        <v>4098794</v>
      </c>
      <c r="G28" s="299">
        <f>F28-F27</f>
        <v>0</v>
      </c>
      <c r="H28" s="429">
        <f t="shared" si="25"/>
        <v>17980914</v>
      </c>
      <c r="I28" s="299">
        <f t="shared" si="13"/>
        <v>0</v>
      </c>
      <c r="J28" s="429">
        <f t="shared" si="26"/>
        <v>29584748</v>
      </c>
      <c r="K28" s="299">
        <f t="shared" si="14"/>
        <v>0</v>
      </c>
      <c r="L28" s="429">
        <f t="shared" si="27"/>
        <v>24456770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18559.304</v>
      </c>
      <c r="Q28" s="450">
        <f t="shared" si="1"/>
        <v>0</v>
      </c>
      <c r="R28" s="432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33403</v>
      </c>
      <c r="X28" s="432">
        <f t="shared" si="31"/>
        <v>0</v>
      </c>
      <c r="Y28" s="429">
        <f t="shared" si="30"/>
        <v>977372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34124</v>
      </c>
      <c r="E29" s="600">
        <f t="shared" si="7"/>
        <v>0</v>
      </c>
      <c r="F29" s="581">
        <f t="shared" si="24"/>
        <v>4098794</v>
      </c>
      <c r="G29" s="299">
        <f t="shared" ref="G29" si="36">F29-F28</f>
        <v>0</v>
      </c>
      <c r="H29" s="429">
        <f t="shared" si="25"/>
        <v>17980914</v>
      </c>
      <c r="I29" s="299">
        <f t="shared" ref="I29" si="37">H29-H28</f>
        <v>0</v>
      </c>
      <c r="J29" s="429">
        <f t="shared" si="26"/>
        <v>29584748</v>
      </c>
      <c r="K29" s="299">
        <f t="shared" ref="K29" si="38">J29-J28</f>
        <v>0</v>
      </c>
      <c r="L29" s="429">
        <f t="shared" si="27"/>
        <v>24456770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18559.304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9"/>
        <v>33403</v>
      </c>
      <c r="X29" s="432">
        <f t="shared" ref="X29" si="46">W29-W28</f>
        <v>0</v>
      </c>
      <c r="Y29" s="429">
        <f t="shared" si="30"/>
        <v>977372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34124</v>
      </c>
      <c r="E30" s="600">
        <f t="shared" si="7"/>
        <v>0</v>
      </c>
      <c r="F30" s="581">
        <f t="shared" si="24"/>
        <v>4098794</v>
      </c>
      <c r="G30" s="299">
        <f t="shared" si="12"/>
        <v>0</v>
      </c>
      <c r="H30" s="429">
        <f t="shared" si="25"/>
        <v>17980914</v>
      </c>
      <c r="I30" s="299">
        <f t="shared" si="13"/>
        <v>0</v>
      </c>
      <c r="J30" s="429">
        <f t="shared" si="26"/>
        <v>29584748</v>
      </c>
      <c r="K30" s="299">
        <f t="shared" si="14"/>
        <v>0</v>
      </c>
      <c r="L30" s="429">
        <f t="shared" si="27"/>
        <v>24456770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18559.304</v>
      </c>
      <c r="Q30" s="450">
        <f t="shared" si="1"/>
        <v>0</v>
      </c>
      <c r="R30" s="432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33403</v>
      </c>
      <c r="X30" s="432">
        <f t="shared" si="31"/>
        <v>0</v>
      </c>
      <c r="Y30" s="429">
        <f t="shared" si="30"/>
        <v>977372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34124</v>
      </c>
      <c r="E31" s="600">
        <f t="shared" si="7"/>
        <v>0</v>
      </c>
      <c r="F31" s="581">
        <f t="shared" si="24"/>
        <v>4098794</v>
      </c>
      <c r="G31" s="299">
        <f t="shared" si="12"/>
        <v>0</v>
      </c>
      <c r="H31" s="429">
        <f t="shared" si="25"/>
        <v>17980914</v>
      </c>
      <c r="I31" s="299">
        <f t="shared" si="13"/>
        <v>0</v>
      </c>
      <c r="J31" s="429">
        <f t="shared" si="26"/>
        <v>29584748</v>
      </c>
      <c r="K31" s="299">
        <f t="shared" si="14"/>
        <v>0</v>
      </c>
      <c r="L31" s="429">
        <f t="shared" si="27"/>
        <v>24456770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18559.304</v>
      </c>
      <c r="Q31" s="450">
        <f t="shared" si="1"/>
        <v>0</v>
      </c>
      <c r="R31" s="432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33403</v>
      </c>
      <c r="X31" s="452">
        <f t="shared" si="31"/>
        <v>0</v>
      </c>
      <c r="Y31" s="429">
        <f t="shared" si="30"/>
        <v>977372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34124</v>
      </c>
      <c r="E32" s="600">
        <f t="shared" si="7"/>
        <v>0</v>
      </c>
      <c r="F32" s="581">
        <f t="shared" si="24"/>
        <v>4098794</v>
      </c>
      <c r="G32" s="299">
        <f t="shared" si="12"/>
        <v>0</v>
      </c>
      <c r="H32" s="429">
        <f t="shared" si="25"/>
        <v>17980914</v>
      </c>
      <c r="I32" s="299">
        <f t="shared" si="13"/>
        <v>0</v>
      </c>
      <c r="J32" s="429">
        <f t="shared" si="26"/>
        <v>29584748</v>
      </c>
      <c r="K32" s="299">
        <f t="shared" si="14"/>
        <v>0</v>
      </c>
      <c r="L32" s="429">
        <f t="shared" si="27"/>
        <v>24456770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18559.304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33403</v>
      </c>
      <c r="X32" s="452">
        <f>W32-W31</f>
        <v>0</v>
      </c>
      <c r="Y32" s="429">
        <f t="shared" si="30"/>
        <v>977372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34124</v>
      </c>
      <c r="E33" s="600">
        <f t="shared" si="7"/>
        <v>0</v>
      </c>
      <c r="F33" s="581">
        <f t="shared" si="24"/>
        <v>4098794</v>
      </c>
      <c r="G33" s="299">
        <f t="shared" si="12"/>
        <v>0</v>
      </c>
      <c r="H33" s="429">
        <f t="shared" si="25"/>
        <v>17980914</v>
      </c>
      <c r="I33" s="299">
        <f t="shared" si="13"/>
        <v>0</v>
      </c>
      <c r="J33" s="429">
        <f t="shared" si="26"/>
        <v>29584748</v>
      </c>
      <c r="K33" s="299">
        <f t="shared" si="14"/>
        <v>0</v>
      </c>
      <c r="L33" s="429">
        <f t="shared" si="27"/>
        <v>24456770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18559.304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33403</v>
      </c>
      <c r="X33" s="452">
        <f>W33-W32</f>
        <v>0</v>
      </c>
      <c r="Y33" s="429">
        <f t="shared" si="30"/>
        <v>977372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34124</v>
      </c>
      <c r="E34" s="601">
        <f>D34-D33</f>
        <v>0</v>
      </c>
      <c r="F34" s="581">
        <f t="shared" si="24"/>
        <v>4098794</v>
      </c>
      <c r="G34" s="299">
        <f t="shared" ref="G34" si="52">F34-F33</f>
        <v>0</v>
      </c>
      <c r="H34" s="429">
        <f t="shared" si="25"/>
        <v>17980914</v>
      </c>
      <c r="I34" s="299">
        <f t="shared" si="13"/>
        <v>0</v>
      </c>
      <c r="J34" s="429">
        <f t="shared" si="26"/>
        <v>29584748</v>
      </c>
      <c r="K34" s="299">
        <f t="shared" ref="K34" si="53">J34-J33</f>
        <v>0</v>
      </c>
      <c r="L34" s="429">
        <f t="shared" si="27"/>
        <v>24456770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8"/>
        <v>18559.304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33403</v>
      </c>
      <c r="X34" s="452">
        <f>W34-W33</f>
        <v>0</v>
      </c>
      <c r="Y34" s="429">
        <f t="shared" si="30"/>
        <v>977372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11" sqref="K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2">
        <f>J36</f>
        <v>49.666666666666671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3"/>
      <c r="V1" s="27" t="s">
        <v>104</v>
      </c>
      <c r="W1" s="384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3">SUM(S7*$T$2)</f>
        <v>0</v>
      </c>
      <c r="U7" s="388">
        <f t="shared" si="17"/>
        <v>0</v>
      </c>
      <c r="V7" s="62">
        <f t="shared" ref="V7:V32" si="34">R7+N7+I7:I7</f>
        <v>52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5"/>
        <v>52</v>
      </c>
      <c r="AJ7" s="305">
        <f>-tanks!AW8</f>
        <v>52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0"/>
        <v>0.8</v>
      </c>
      <c r="AZ7" s="42" t="s">
        <v>408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1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3"/>
        <v>0</v>
      </c>
      <c r="U8" s="388">
        <f t="shared" si="17"/>
        <v>1</v>
      </c>
      <c r="V8" s="62">
        <v>0</v>
      </c>
      <c r="W8" s="386">
        <f t="shared" si="18"/>
        <v>0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5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6"/>
        <v>0</v>
      </c>
      <c r="AH8" s="62">
        <f t="shared" si="37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1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1"/>
        <v>0</v>
      </c>
      <c r="E9" s="45">
        <f t="shared" si="12"/>
        <v>0</v>
      </c>
      <c r="F9" s="544">
        <f t="shared" si="32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3"/>
        <v>0</v>
      </c>
      <c r="U9" s="388">
        <f t="shared" si="17"/>
        <v>0</v>
      </c>
      <c r="V9" s="62">
        <f t="shared" si="34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5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6"/>
        <v>0</v>
      </c>
      <c r="AH9" s="62">
        <f t="shared" si="37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1"/>
        <v>0</v>
      </c>
      <c r="E10" s="45">
        <f t="shared" si="12"/>
        <v>0</v>
      </c>
      <c r="F10" s="544">
        <f t="shared" si="32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3"/>
        <v>0</v>
      </c>
      <c r="U10" s="388">
        <f t="shared" si="17"/>
        <v>0</v>
      </c>
      <c r="V10" s="62">
        <f t="shared" si="34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5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1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3"/>
        <v>0</v>
      </c>
      <c r="U11" s="388">
        <f t="shared" si="17"/>
        <v>3</v>
      </c>
      <c r="V11" s="62">
        <f t="shared" si="34"/>
        <v>209</v>
      </c>
      <c r="W11" s="386">
        <f t="shared" si="18"/>
        <v>69.666666666666671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5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6"/>
        <v>0</v>
      </c>
      <c r="AL11" s="305">
        <f t="shared" si="8"/>
        <v>3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f t="shared" si="41"/>
        <v>183</v>
      </c>
      <c r="C12" s="544">
        <f t="shared" si="42"/>
        <v>189</v>
      </c>
      <c r="D12" s="45">
        <f t="shared" si="31"/>
        <v>0</v>
      </c>
      <c r="E12" s="45">
        <f t="shared" si="12"/>
        <v>0</v>
      </c>
      <c r="F12" s="544">
        <f t="shared" si="32"/>
        <v>1909</v>
      </c>
      <c r="G12" s="52">
        <f t="shared" si="0"/>
        <v>0</v>
      </c>
      <c r="H12" s="544">
        <f t="shared" si="43"/>
        <v>18523</v>
      </c>
      <c r="I12" s="382">
        <f t="shared" si="1"/>
        <v>0</v>
      </c>
      <c r="J12" s="66">
        <f t="shared" si="13"/>
        <v>0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3"/>
        <v>0</v>
      </c>
      <c r="U12" s="388">
        <f t="shared" si="17"/>
        <v>0</v>
      </c>
      <c r="V12" s="62">
        <v>0</v>
      </c>
      <c r="W12" s="386" t="e">
        <f t="shared" si="18"/>
        <v>#DIV/0!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5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6"/>
        <v>0</v>
      </c>
      <c r="AH12" s="62">
        <f t="shared" si="37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0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f t="shared" si="41"/>
        <v>183</v>
      </c>
      <c r="C13" s="544">
        <f t="shared" si="42"/>
        <v>189</v>
      </c>
      <c r="D13" s="45">
        <f t="shared" si="31"/>
        <v>0</v>
      </c>
      <c r="E13" s="45">
        <f t="shared" si="12"/>
        <v>0</v>
      </c>
      <c r="F13" s="544">
        <f t="shared" si="32"/>
        <v>1909</v>
      </c>
      <c r="G13" s="52">
        <f t="shared" si="0"/>
        <v>0</v>
      </c>
      <c r="H13" s="544">
        <f t="shared" si="43"/>
        <v>18523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3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5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6"/>
        <v>0</v>
      </c>
      <c r="AH13" s="62">
        <f t="shared" si="37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f t="shared" si="41"/>
        <v>183</v>
      </c>
      <c r="C14" s="544">
        <f t="shared" si="42"/>
        <v>189</v>
      </c>
      <c r="D14" s="45">
        <f t="shared" si="31"/>
        <v>0</v>
      </c>
      <c r="E14" s="45">
        <f t="shared" si="12"/>
        <v>0</v>
      </c>
      <c r="F14" s="544">
        <f t="shared" si="32"/>
        <v>1909</v>
      </c>
      <c r="G14" s="52">
        <f t="shared" si="0"/>
        <v>0</v>
      </c>
      <c r="H14" s="544">
        <f t="shared" si="43"/>
        <v>18523</v>
      </c>
      <c r="I14" s="382">
        <f t="shared" si="1"/>
        <v>0</v>
      </c>
      <c r="J14" s="66">
        <f t="shared" si="13"/>
        <v>0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3"/>
        <v>0</v>
      </c>
      <c r="U14" s="388">
        <f t="shared" si="17"/>
        <v>0</v>
      </c>
      <c r="V14" s="62">
        <f t="shared" si="34"/>
        <v>0</v>
      </c>
      <c r="W14" s="386" t="e">
        <f t="shared" si="18"/>
        <v>#DIV/0!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5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26"/>
        <v>0</v>
      </c>
      <c r="AL14" s="305">
        <f t="shared" si="8"/>
        <v>0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f t="shared" si="41"/>
        <v>183</v>
      </c>
      <c r="C15" s="544">
        <f t="shared" si="42"/>
        <v>189</v>
      </c>
      <c r="D15" s="45">
        <f t="shared" si="31"/>
        <v>0</v>
      </c>
      <c r="E15" s="45">
        <f t="shared" si="12"/>
        <v>0</v>
      </c>
      <c r="F15" s="544">
        <f t="shared" si="32"/>
        <v>1909</v>
      </c>
      <c r="G15" s="52">
        <f t="shared" si="0"/>
        <v>0</v>
      </c>
      <c r="H15" s="544">
        <f t="shared" si="43"/>
        <v>18523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3"/>
        <v>0</v>
      </c>
      <c r="U15" s="388">
        <f t="shared" si="17"/>
        <v>0</v>
      </c>
      <c r="V15" s="62">
        <f t="shared" si="34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5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6"/>
        <v>0</v>
      </c>
      <c r="AH15" s="62">
        <f t="shared" si="37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1"/>
        <v>183</v>
      </c>
      <c r="C16" s="544">
        <f t="shared" si="42"/>
        <v>189</v>
      </c>
      <c r="D16" s="45">
        <f t="shared" si="31"/>
        <v>0</v>
      </c>
      <c r="E16" s="45">
        <f t="shared" si="12"/>
        <v>0</v>
      </c>
      <c r="F16" s="544">
        <f t="shared" si="32"/>
        <v>1909</v>
      </c>
      <c r="G16" s="52">
        <f t="shared" si="0"/>
        <v>0</v>
      </c>
      <c r="H16" s="544">
        <f t="shared" si="43"/>
        <v>18523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3"/>
        <v>0</v>
      </c>
      <c r="U16" s="388">
        <f t="shared" si="17"/>
        <v>0</v>
      </c>
      <c r="V16" s="62">
        <f t="shared" si="34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5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6"/>
        <v>0</v>
      </c>
      <c r="AH16" s="62">
        <f t="shared" si="37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1"/>
        <v>183</v>
      </c>
      <c r="C17" s="544">
        <f t="shared" si="42"/>
        <v>189</v>
      </c>
      <c r="D17" s="45">
        <f t="shared" si="31"/>
        <v>0</v>
      </c>
      <c r="E17" s="45">
        <f t="shared" si="12"/>
        <v>0</v>
      </c>
      <c r="F17" s="544">
        <f t="shared" si="32"/>
        <v>1909</v>
      </c>
      <c r="G17" s="52">
        <f t="shared" si="0"/>
        <v>0</v>
      </c>
      <c r="H17" s="544">
        <f t="shared" si="43"/>
        <v>18523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3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5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6"/>
        <v>0</v>
      </c>
      <c r="AH17" s="62">
        <f t="shared" si="37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f t="shared" si="41"/>
        <v>183</v>
      </c>
      <c r="C18" s="544">
        <f t="shared" si="42"/>
        <v>189</v>
      </c>
      <c r="D18" s="45">
        <f t="shared" si="31"/>
        <v>0</v>
      </c>
      <c r="E18" s="45">
        <f t="shared" si="12"/>
        <v>0</v>
      </c>
      <c r="F18" s="544">
        <f t="shared" si="32"/>
        <v>1909</v>
      </c>
      <c r="G18" s="52">
        <f t="shared" si="0"/>
        <v>0</v>
      </c>
      <c r="H18" s="544">
        <f t="shared" si="43"/>
        <v>18523</v>
      </c>
      <c r="I18" s="382">
        <f t="shared" si="1"/>
        <v>0</v>
      </c>
      <c r="J18" s="66">
        <f t="shared" si="13"/>
        <v>0</v>
      </c>
      <c r="K18" s="544">
        <f t="shared" si="14"/>
        <v>2358</v>
      </c>
      <c r="L18" s="52">
        <f t="shared" si="15"/>
        <v>0</v>
      </c>
      <c r="M18" s="544">
        <f t="shared" si="16"/>
        <v>174059</v>
      </c>
      <c r="N18" s="382">
        <f t="shared" si="2"/>
        <v>0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3"/>
        <v>0</v>
      </c>
      <c r="U18" s="388">
        <f t="shared" si="17"/>
        <v>0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6"/>
        <v>0</v>
      </c>
      <c r="AH18" s="62">
        <f t="shared" si="37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0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41"/>
        <v>183</v>
      </c>
      <c r="C19" s="544">
        <f t="shared" si="42"/>
        <v>189</v>
      </c>
      <c r="D19" s="45">
        <f t="shared" si="31"/>
        <v>0</v>
      </c>
      <c r="E19" s="45">
        <f t="shared" si="12"/>
        <v>0</v>
      </c>
      <c r="F19" s="544">
        <f t="shared" si="32"/>
        <v>1909</v>
      </c>
      <c r="G19" s="52">
        <f t="shared" si="0"/>
        <v>0</v>
      </c>
      <c r="H19" s="544">
        <f t="shared" si="43"/>
        <v>18523</v>
      </c>
      <c r="I19" s="382">
        <f t="shared" si="1"/>
        <v>0</v>
      </c>
      <c r="J19" s="66">
        <f t="shared" si="13"/>
        <v>0</v>
      </c>
      <c r="K19" s="544">
        <f t="shared" si="14"/>
        <v>2358</v>
      </c>
      <c r="L19" s="52">
        <f t="shared" si="15"/>
        <v>0</v>
      </c>
      <c r="M19" s="544">
        <f t="shared" si="16"/>
        <v>174059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3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6"/>
        <v>0</v>
      </c>
      <c r="AH19" s="62">
        <f t="shared" si="37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1"/>
        <v>183</v>
      </c>
      <c r="C20" s="544">
        <f t="shared" si="42"/>
        <v>189</v>
      </c>
      <c r="D20" s="45">
        <f>C19-C20</f>
        <v>0</v>
      </c>
      <c r="E20" s="45">
        <f t="shared" si="12"/>
        <v>0</v>
      </c>
      <c r="F20" s="544">
        <f t="shared" si="32"/>
        <v>1909</v>
      </c>
      <c r="G20" s="52">
        <f t="shared" si="0"/>
        <v>0</v>
      </c>
      <c r="H20" s="544">
        <f t="shared" si="43"/>
        <v>18523</v>
      </c>
      <c r="I20" s="382">
        <f t="shared" si="1"/>
        <v>0</v>
      </c>
      <c r="J20" s="66">
        <f t="shared" si="13"/>
        <v>0</v>
      </c>
      <c r="K20" s="544">
        <f t="shared" si="14"/>
        <v>2358</v>
      </c>
      <c r="L20" s="52">
        <f t="shared" si="15"/>
        <v>0</v>
      </c>
      <c r="M20" s="544">
        <f t="shared" si="16"/>
        <v>174059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3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6"/>
        <v>0</v>
      </c>
      <c r="AH20" s="62">
        <f t="shared" si="37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1"/>
        <v>183</v>
      </c>
      <c r="C21" s="544">
        <f t="shared" si="42"/>
        <v>189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1909</v>
      </c>
      <c r="G21" s="52">
        <f t="shared" si="0"/>
        <v>0</v>
      </c>
      <c r="H21" s="544">
        <f t="shared" si="43"/>
        <v>18523</v>
      </c>
      <c r="I21" s="382">
        <f t="shared" si="1"/>
        <v>0</v>
      </c>
      <c r="J21" s="66">
        <f t="shared" si="13"/>
        <v>0</v>
      </c>
      <c r="K21" s="544">
        <f t="shared" si="14"/>
        <v>2358</v>
      </c>
      <c r="L21" s="52">
        <f t="shared" si="15"/>
        <v>0</v>
      </c>
      <c r="M21" s="544">
        <f t="shared" si="16"/>
        <v>174059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3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6"/>
        <v>0</v>
      </c>
      <c r="AH21" s="62">
        <f t="shared" si="37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1"/>
        <v>183</v>
      </c>
      <c r="C22" s="544">
        <f t="shared" si="42"/>
        <v>189</v>
      </c>
      <c r="D22" s="45">
        <f t="shared" si="49"/>
        <v>0</v>
      </c>
      <c r="E22" s="45">
        <f t="shared" si="12"/>
        <v>0</v>
      </c>
      <c r="F22" s="544">
        <f t="shared" si="32"/>
        <v>1909</v>
      </c>
      <c r="G22" s="52">
        <f t="shared" si="0"/>
        <v>0</v>
      </c>
      <c r="H22" s="544">
        <f t="shared" si="43"/>
        <v>18523</v>
      </c>
      <c r="I22" s="382">
        <f t="shared" si="1"/>
        <v>0</v>
      </c>
      <c r="J22" s="66">
        <f t="shared" si="13"/>
        <v>0</v>
      </c>
      <c r="K22" s="544">
        <f t="shared" si="14"/>
        <v>2358</v>
      </c>
      <c r="L22" s="52">
        <f t="shared" si="15"/>
        <v>0</v>
      </c>
      <c r="M22" s="544">
        <f t="shared" si="16"/>
        <v>174059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3"/>
        <v>0</v>
      </c>
      <c r="U22" s="388">
        <f t="shared" si="17"/>
        <v>0</v>
      </c>
      <c r="V22" s="62">
        <f t="shared" si="34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6"/>
        <v>0</v>
      </c>
      <c r="AH22" s="62">
        <f t="shared" si="37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1"/>
        <v>183</v>
      </c>
      <c r="C23" s="544">
        <f t="shared" si="42"/>
        <v>189</v>
      </c>
      <c r="D23" s="45">
        <f t="shared" si="49"/>
        <v>0</v>
      </c>
      <c r="E23" s="45">
        <f t="shared" si="12"/>
        <v>0</v>
      </c>
      <c r="F23" s="544">
        <f t="shared" si="32"/>
        <v>1909</v>
      </c>
      <c r="G23" s="52">
        <f t="shared" si="0"/>
        <v>0</v>
      </c>
      <c r="H23" s="544">
        <f t="shared" si="43"/>
        <v>18523</v>
      </c>
      <c r="I23" s="382">
        <f t="shared" si="1"/>
        <v>0</v>
      </c>
      <c r="J23" s="66">
        <f t="shared" si="13"/>
        <v>0</v>
      </c>
      <c r="K23" s="544">
        <f t="shared" si="14"/>
        <v>2358</v>
      </c>
      <c r="L23" s="52">
        <f t="shared" si="15"/>
        <v>0</v>
      </c>
      <c r="M23" s="544">
        <f t="shared" si="16"/>
        <v>174059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3"/>
        <v>0</v>
      </c>
      <c r="U23" s="388">
        <f t="shared" si="17"/>
        <v>0</v>
      </c>
      <c r="V23" s="62">
        <f t="shared" si="34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1"/>
        <v>183</v>
      </c>
      <c r="C24" s="544">
        <f t="shared" si="42"/>
        <v>189</v>
      </c>
      <c r="D24" s="45">
        <f t="shared" si="49"/>
        <v>0</v>
      </c>
      <c r="E24" s="45">
        <f t="shared" si="12"/>
        <v>0</v>
      </c>
      <c r="F24" s="544">
        <f t="shared" si="32"/>
        <v>1909</v>
      </c>
      <c r="G24" s="52">
        <f t="shared" si="0"/>
        <v>0</v>
      </c>
      <c r="H24" s="544">
        <f t="shared" si="43"/>
        <v>18523</v>
      </c>
      <c r="I24" s="382">
        <f t="shared" si="1"/>
        <v>0</v>
      </c>
      <c r="J24" s="66">
        <f t="shared" si="13"/>
        <v>0</v>
      </c>
      <c r="K24" s="544">
        <f t="shared" si="14"/>
        <v>2358</v>
      </c>
      <c r="L24" s="52">
        <f t="shared" si="15"/>
        <v>0</v>
      </c>
      <c r="M24" s="544">
        <f t="shared" si="16"/>
        <v>174059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3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6"/>
        <v>0</v>
      </c>
      <c r="AH24" s="62">
        <f t="shared" si="37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1"/>
        <v>183</v>
      </c>
      <c r="C25" s="544">
        <f t="shared" si="42"/>
        <v>189</v>
      </c>
      <c r="D25" s="45">
        <f t="shared" si="49"/>
        <v>0</v>
      </c>
      <c r="E25" s="45">
        <f t="shared" si="12"/>
        <v>0</v>
      </c>
      <c r="F25" s="544">
        <f t="shared" si="32"/>
        <v>1909</v>
      </c>
      <c r="G25" s="52">
        <f t="shared" si="0"/>
        <v>0</v>
      </c>
      <c r="H25" s="544">
        <f t="shared" si="43"/>
        <v>18523</v>
      </c>
      <c r="I25" s="382">
        <f t="shared" si="1"/>
        <v>0</v>
      </c>
      <c r="J25" s="66">
        <f t="shared" si="13"/>
        <v>0</v>
      </c>
      <c r="K25" s="544">
        <f t="shared" si="14"/>
        <v>2358</v>
      </c>
      <c r="L25" s="52">
        <f t="shared" si="15"/>
        <v>0</v>
      </c>
      <c r="M25" s="544">
        <f t="shared" si="16"/>
        <v>174059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3"/>
        <v>0</v>
      </c>
      <c r="U25" s="388">
        <f t="shared" si="17"/>
        <v>0</v>
      </c>
      <c r="V25" s="62">
        <f t="shared" si="34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6"/>
        <v>0</v>
      </c>
      <c r="AH25" s="62">
        <f t="shared" si="37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1"/>
        <v>183</v>
      </c>
      <c r="C26" s="544">
        <f t="shared" si="42"/>
        <v>189</v>
      </c>
      <c r="D26" s="45">
        <f t="shared" si="49"/>
        <v>0</v>
      </c>
      <c r="E26" s="45">
        <f t="shared" si="12"/>
        <v>0</v>
      </c>
      <c r="F26" s="544">
        <f t="shared" si="32"/>
        <v>1909</v>
      </c>
      <c r="G26" s="52">
        <f t="shared" si="0"/>
        <v>0</v>
      </c>
      <c r="H26" s="544">
        <f t="shared" si="43"/>
        <v>18523</v>
      </c>
      <c r="I26" s="382">
        <f t="shared" si="1"/>
        <v>0</v>
      </c>
      <c r="J26" s="66">
        <f t="shared" si="13"/>
        <v>0</v>
      </c>
      <c r="K26" s="544">
        <f t="shared" si="14"/>
        <v>2358</v>
      </c>
      <c r="L26" s="52">
        <f t="shared" si="15"/>
        <v>0</v>
      </c>
      <c r="M26" s="544">
        <f t="shared" si="16"/>
        <v>174059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3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6"/>
        <v>0</v>
      </c>
      <c r="AH26" s="62">
        <f t="shared" si="37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1"/>
        <v>183</v>
      </c>
      <c r="C27" s="544">
        <f t="shared" si="42"/>
        <v>189</v>
      </c>
      <c r="D27" s="45">
        <f t="shared" si="49"/>
        <v>0</v>
      </c>
      <c r="E27" s="45">
        <f t="shared" si="12"/>
        <v>0</v>
      </c>
      <c r="F27" s="544">
        <f t="shared" si="32"/>
        <v>1909</v>
      </c>
      <c r="G27" s="52">
        <f t="shared" si="0"/>
        <v>0</v>
      </c>
      <c r="H27" s="544">
        <f t="shared" si="43"/>
        <v>18523</v>
      </c>
      <c r="I27" s="382">
        <f t="shared" si="1"/>
        <v>0</v>
      </c>
      <c r="J27" s="66">
        <f t="shared" si="13"/>
        <v>0</v>
      </c>
      <c r="K27" s="544">
        <f t="shared" si="14"/>
        <v>2358</v>
      </c>
      <c r="L27" s="52">
        <f t="shared" si="15"/>
        <v>0</v>
      </c>
      <c r="M27" s="544">
        <f t="shared" si="16"/>
        <v>174059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3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6"/>
        <v>0</v>
      </c>
      <c r="AH27" s="62">
        <f t="shared" si="37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1"/>
        <v>183</v>
      </c>
      <c r="C28" s="544">
        <f t="shared" si="42"/>
        <v>189</v>
      </c>
      <c r="D28" s="45">
        <f t="shared" si="49"/>
        <v>0</v>
      </c>
      <c r="E28" s="45">
        <f t="shared" si="12"/>
        <v>0</v>
      </c>
      <c r="F28" s="544">
        <f t="shared" si="32"/>
        <v>1909</v>
      </c>
      <c r="G28" s="52">
        <f t="shared" si="0"/>
        <v>0</v>
      </c>
      <c r="H28" s="544">
        <f t="shared" si="43"/>
        <v>18523</v>
      </c>
      <c r="I28" s="382">
        <f t="shared" si="1"/>
        <v>0</v>
      </c>
      <c r="J28" s="66">
        <f t="shared" si="13"/>
        <v>0</v>
      </c>
      <c r="K28" s="544">
        <f t="shared" si="14"/>
        <v>2358</v>
      </c>
      <c r="L28" s="52">
        <f t="shared" si="15"/>
        <v>0</v>
      </c>
      <c r="M28" s="544">
        <f t="shared" si="16"/>
        <v>174059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3"/>
        <v>0</v>
      </c>
      <c r="U28" s="388">
        <f t="shared" si="17"/>
        <v>0</v>
      </c>
      <c r="V28" s="62">
        <f t="shared" si="34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6"/>
        <v>0</v>
      </c>
      <c r="AH28" s="62">
        <f t="shared" si="37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1"/>
        <v>183</v>
      </c>
      <c r="C29" s="544">
        <f t="shared" si="42"/>
        <v>189</v>
      </c>
      <c r="D29" s="45">
        <f t="shared" si="49"/>
        <v>0</v>
      </c>
      <c r="E29" s="45">
        <f t="shared" si="12"/>
        <v>0</v>
      </c>
      <c r="F29" s="544">
        <f t="shared" si="32"/>
        <v>1909</v>
      </c>
      <c r="G29" s="52">
        <f t="shared" si="0"/>
        <v>0</v>
      </c>
      <c r="H29" s="544">
        <f t="shared" si="43"/>
        <v>18523</v>
      </c>
      <c r="I29" s="382">
        <f t="shared" si="1"/>
        <v>0</v>
      </c>
      <c r="J29" s="66">
        <f t="shared" si="13"/>
        <v>0</v>
      </c>
      <c r="K29" s="544">
        <f t="shared" si="14"/>
        <v>2358</v>
      </c>
      <c r="L29" s="52">
        <f t="shared" si="15"/>
        <v>0</v>
      </c>
      <c r="M29" s="544">
        <f t="shared" si="16"/>
        <v>174059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3"/>
        <v>0</v>
      </c>
      <c r="U29" s="388">
        <f t="shared" si="17"/>
        <v>0</v>
      </c>
      <c r="V29" s="62">
        <f t="shared" si="34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6"/>
        <v>0</v>
      </c>
      <c r="AH29" s="62">
        <f t="shared" si="37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1"/>
        <v>183</v>
      </c>
      <c r="C30" s="544">
        <f t="shared" si="42"/>
        <v>189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1909</v>
      </c>
      <c r="G30" s="52">
        <f t="shared" ref="G30" si="56">F30-F29</f>
        <v>0</v>
      </c>
      <c r="H30" s="544">
        <f t="shared" si="43"/>
        <v>18523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2358</v>
      </c>
      <c r="L30" s="52">
        <f t="shared" ref="L30" si="59">K30-K29</f>
        <v>0</v>
      </c>
      <c r="M30" s="544">
        <f t="shared" si="16"/>
        <v>174059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1"/>
        <v>183</v>
      </c>
      <c r="C31" s="544">
        <f t="shared" si="42"/>
        <v>189</v>
      </c>
      <c r="D31" s="45">
        <f t="shared" si="49"/>
        <v>0</v>
      </c>
      <c r="E31" s="45">
        <f t="shared" si="12"/>
        <v>0</v>
      </c>
      <c r="F31" s="544">
        <f t="shared" si="32"/>
        <v>1909</v>
      </c>
      <c r="G31" s="52">
        <f t="shared" si="0"/>
        <v>0</v>
      </c>
      <c r="H31" s="544">
        <f t="shared" si="43"/>
        <v>18523</v>
      </c>
      <c r="I31" s="382">
        <f t="shared" si="1"/>
        <v>0</v>
      </c>
      <c r="J31" s="66">
        <f t="shared" si="13"/>
        <v>0</v>
      </c>
      <c r="K31" s="544">
        <f t="shared" si="14"/>
        <v>2358</v>
      </c>
      <c r="L31" s="52">
        <f t="shared" si="15"/>
        <v>0</v>
      </c>
      <c r="M31" s="544">
        <f t="shared" si="16"/>
        <v>174059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3"/>
        <v>0</v>
      </c>
      <c r="U31" s="388">
        <f t="shared" si="17"/>
        <v>0</v>
      </c>
      <c r="V31" s="62">
        <f t="shared" si="34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6"/>
        <v>0</v>
      </c>
      <c r="AH31" s="62">
        <f t="shared" si="37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1"/>
        <v>183</v>
      </c>
      <c r="C32" s="544">
        <f t="shared" si="42"/>
        <v>189</v>
      </c>
      <c r="D32" s="45">
        <f t="shared" si="49"/>
        <v>0</v>
      </c>
      <c r="E32" s="45">
        <f t="shared" si="12"/>
        <v>0</v>
      </c>
      <c r="F32" s="544">
        <f t="shared" si="32"/>
        <v>1909</v>
      </c>
      <c r="G32" s="52">
        <f t="shared" si="0"/>
        <v>0</v>
      </c>
      <c r="H32" s="544">
        <f t="shared" si="43"/>
        <v>18523</v>
      </c>
      <c r="I32" s="382">
        <f t="shared" si="1"/>
        <v>0</v>
      </c>
      <c r="J32" s="66">
        <f t="shared" si="13"/>
        <v>0</v>
      </c>
      <c r="K32" s="544">
        <f t="shared" si="14"/>
        <v>2358</v>
      </c>
      <c r="L32" s="52">
        <f t="shared" si="15"/>
        <v>0</v>
      </c>
      <c r="M32" s="544">
        <f t="shared" si="16"/>
        <v>174059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3"/>
        <v>0</v>
      </c>
      <c r="U32" s="388">
        <f t="shared" si="17"/>
        <v>0</v>
      </c>
      <c r="V32" s="62">
        <f t="shared" si="34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6"/>
        <v>0</v>
      </c>
      <c r="AH32" s="62">
        <f t="shared" si="37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1"/>
        <v>183</v>
      </c>
      <c r="C33" s="544">
        <f t="shared" si="42"/>
        <v>189</v>
      </c>
      <c r="D33" s="45">
        <f>C32-C33</f>
        <v>0</v>
      </c>
      <c r="E33" s="45">
        <f>D33*8.38</f>
        <v>0</v>
      </c>
      <c r="F33" s="544">
        <f t="shared" si="32"/>
        <v>1909</v>
      </c>
      <c r="G33" s="52">
        <f>F33-F32</f>
        <v>0</v>
      </c>
      <c r="H33" s="544">
        <f t="shared" si="43"/>
        <v>18523</v>
      </c>
      <c r="I33" s="382">
        <f>SUM(H33-H32)</f>
        <v>0</v>
      </c>
      <c r="J33" s="66">
        <f>IF(G33&gt;0,I33/G33,0)</f>
        <v>0</v>
      </c>
      <c r="K33" s="544">
        <f t="shared" si="14"/>
        <v>2358</v>
      </c>
      <c r="L33" s="52">
        <f>K33-K32</f>
        <v>0</v>
      </c>
      <c r="M33" s="544">
        <f t="shared" si="16"/>
        <v>174059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1"/>
        <v>183</v>
      </c>
      <c r="C34" s="544">
        <f t="shared" si="42"/>
        <v>189</v>
      </c>
      <c r="D34" s="45">
        <f>C33-C34</f>
        <v>0</v>
      </c>
      <c r="E34" s="45">
        <f>D34*8.38</f>
        <v>0</v>
      </c>
      <c r="F34" s="544">
        <f t="shared" si="32"/>
        <v>1909</v>
      </c>
      <c r="G34" s="52">
        <f>F34-F33</f>
        <v>0</v>
      </c>
      <c r="H34" s="544">
        <f t="shared" si="43"/>
        <v>18523</v>
      </c>
      <c r="I34" s="382">
        <f>SUM(H34-H33)</f>
        <v>0</v>
      </c>
      <c r="J34" s="66">
        <f>IF(G34&gt;0,I34/G34,0)</f>
        <v>0</v>
      </c>
      <c r="K34" s="544">
        <f t="shared" si="14"/>
        <v>2358</v>
      </c>
      <c r="L34" s="52">
        <f>K34-K33</f>
        <v>0</v>
      </c>
      <c r="M34" s="544">
        <f t="shared" si="16"/>
        <v>174059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1"/>
        <v>183</v>
      </c>
      <c r="C35" s="544">
        <f t="shared" si="42"/>
        <v>189</v>
      </c>
      <c r="D35" s="45">
        <f>C34-C35</f>
        <v>0</v>
      </c>
      <c r="E35" s="45">
        <f>D35*8.38</f>
        <v>0</v>
      </c>
      <c r="F35" s="544">
        <f t="shared" si="32"/>
        <v>1909</v>
      </c>
      <c r="G35" s="52">
        <f>F35-F34</f>
        <v>0</v>
      </c>
      <c r="H35" s="544">
        <f t="shared" si="43"/>
        <v>18523</v>
      </c>
      <c r="I35" s="382">
        <f>SUM(H35-H34)</f>
        <v>0</v>
      </c>
      <c r="J35" s="66">
        <f>IF(G35&gt;0,I35/G35,0)</f>
        <v>0</v>
      </c>
      <c r="K35" s="544">
        <f t="shared" si="14"/>
        <v>2358</v>
      </c>
      <c r="L35" s="52">
        <f>K35-K34</f>
        <v>0</v>
      </c>
      <c r="M35" s="544">
        <f t="shared" si="16"/>
        <v>174059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49.666666666666671</v>
      </c>
      <c r="U36" s="70">
        <f>SUM(U5:U35)</f>
        <v>6</v>
      </c>
      <c r="V36" s="62">
        <f>SUM(V5:V35)</f>
        <v>261</v>
      </c>
      <c r="AE36" s="71" t="s">
        <v>380</v>
      </c>
      <c r="AG36" s="331"/>
      <c r="AH36" s="62">
        <f>SUM(AH5:AH35)</f>
        <v>0</v>
      </c>
      <c r="AL36" s="62">
        <f>SUM(AL5:AL35)</f>
        <v>6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43.5</v>
      </c>
      <c r="AH37" s="62">
        <f>AF37+AA37</f>
        <v>0</v>
      </c>
      <c r="AI37" s="308">
        <f>SUM(AI5:AI35)</f>
        <v>261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12" sqref="A12:XFD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8127132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4" t="s">
        <v>396</v>
      </c>
      <c r="N3" s="485"/>
      <c r="O3" s="486" t="s">
        <v>397</v>
      </c>
      <c r="P3" s="486"/>
      <c r="Q3" s="486" t="s">
        <v>393</v>
      </c>
      <c r="R3" s="486" t="s">
        <v>395</v>
      </c>
      <c r="S3" s="486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40" t="s">
        <v>126</v>
      </c>
      <c r="AO3" s="641"/>
      <c r="AP3" s="642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f t="shared" si="32"/>
        <v>625164</v>
      </c>
      <c r="H12" s="5">
        <f t="shared" si="9"/>
        <v>0</v>
      </c>
      <c r="I12" s="5">
        <f t="shared" si="10"/>
        <v>0</v>
      </c>
      <c r="J12" s="321">
        <f t="shared" si="0"/>
        <v>0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138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151.80000000000001</v>
      </c>
      <c r="BA12" s="411">
        <f t="shared" si="38"/>
        <v>243.6</v>
      </c>
      <c r="BB12" s="21">
        <f t="shared" si="39"/>
        <v>0</v>
      </c>
      <c r="BC12" s="21">
        <f t="shared" si="30"/>
        <v>-12.099999999999994</v>
      </c>
      <c r="BD12" s="21">
        <f t="shared" si="30"/>
        <v>-11.599999999999994</v>
      </c>
      <c r="BE12" s="24">
        <f t="shared" si="31"/>
        <v>-23.699999999999989</v>
      </c>
      <c r="BF12" s="96">
        <f t="shared" si="4"/>
        <v>23.699999999999989</v>
      </c>
      <c r="BG12" s="82">
        <f t="shared" si="5"/>
        <v>-23.699999999999989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625164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138</v>
      </c>
      <c r="AW13" s="5">
        <v>2.9</v>
      </c>
      <c r="AX13" s="201">
        <f t="shared" si="43"/>
        <v>84</v>
      </c>
      <c r="AY13" s="411">
        <f t="shared" si="36"/>
        <v>45.9</v>
      </c>
      <c r="AZ13" s="411">
        <f t="shared" si="37"/>
        <v>151.80000000000001</v>
      </c>
      <c r="BA13" s="411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f t="shared" si="32"/>
        <v>625164</v>
      </c>
      <c r="H14" s="5">
        <f t="shared" si="9"/>
        <v>0</v>
      </c>
      <c r="I14" s="5">
        <f t="shared" si="10"/>
        <v>0</v>
      </c>
      <c r="J14" s="321">
        <f t="shared" si="0"/>
        <v>0</v>
      </c>
      <c r="K14" s="5">
        <f>'Swimming Pool quality check '!H14</f>
        <v>6916</v>
      </c>
      <c r="L14" s="83">
        <f t="shared" si="40"/>
        <v>0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0</v>
      </c>
      <c r="AL14" s="314">
        <f t="shared" si="27"/>
        <v>0</v>
      </c>
      <c r="AM14" s="314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f t="shared" si="29"/>
        <v>51</v>
      </c>
      <c r="AU14" s="410">
        <f t="shared" si="42"/>
        <v>1.1000000000000001</v>
      </c>
      <c r="AV14" s="201">
        <f t="shared" si="35"/>
        <v>138</v>
      </c>
      <c r="AW14" s="5">
        <v>2.9</v>
      </c>
      <c r="AX14" s="201">
        <f t="shared" si="43"/>
        <v>84</v>
      </c>
      <c r="AY14" s="411">
        <f t="shared" si="36"/>
        <v>45.9</v>
      </c>
      <c r="AZ14" s="411">
        <f t="shared" si="37"/>
        <v>151.80000000000001</v>
      </c>
      <c r="BA14" s="411">
        <f t="shared" si="38"/>
        <v>243.6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32"/>
        <v>625164</v>
      </c>
      <c r="H15" s="5">
        <f t="shared" si="9"/>
        <v>0</v>
      </c>
      <c r="I15" s="5">
        <f t="shared" si="10"/>
        <v>0</v>
      </c>
      <c r="J15" s="321">
        <f t="shared" si="0"/>
        <v>0</v>
      </c>
      <c r="K15" s="5">
        <f>'Swimming Pool quality check '!H15</f>
        <v>6916</v>
      </c>
      <c r="L15" s="83">
        <f t="shared" si="40"/>
        <v>0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f t="shared" si="16"/>
        <v>153898</v>
      </c>
      <c r="Y15" s="311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0</v>
      </c>
      <c r="AL15" s="314">
        <f t="shared" si="27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f t="shared" si="29"/>
        <v>51</v>
      </c>
      <c r="AU15" s="410">
        <f t="shared" si="42"/>
        <v>1.1000000000000001</v>
      </c>
      <c r="AV15" s="201">
        <f t="shared" si="35"/>
        <v>138</v>
      </c>
      <c r="AW15" s="5">
        <v>2.9</v>
      </c>
      <c r="AX15" s="201">
        <f t="shared" si="43"/>
        <v>84</v>
      </c>
      <c r="AY15" s="411">
        <f t="shared" si="36"/>
        <v>45.9</v>
      </c>
      <c r="AZ15" s="411">
        <f t="shared" si="37"/>
        <v>151.80000000000001</v>
      </c>
      <c r="BA15" s="411">
        <f t="shared" si="38"/>
        <v>243.6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625164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6916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153898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51</v>
      </c>
      <c r="AU16" s="410">
        <f t="shared" si="42"/>
        <v>1.1000000000000001</v>
      </c>
      <c r="AV16" s="201">
        <f t="shared" si="35"/>
        <v>138</v>
      </c>
      <c r="AW16" s="5">
        <v>2.9</v>
      </c>
      <c r="AX16" s="201">
        <f t="shared" si="43"/>
        <v>84</v>
      </c>
      <c r="AY16" s="411">
        <f t="shared" si="36"/>
        <v>45.9</v>
      </c>
      <c r="AZ16" s="411">
        <f t="shared" si="37"/>
        <v>151.80000000000001</v>
      </c>
      <c r="BA16" s="411">
        <f t="shared" si="38"/>
        <v>243.6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625164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6916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153898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51</v>
      </c>
      <c r="AU17" s="410">
        <f t="shared" si="42"/>
        <v>1.1000000000000001</v>
      </c>
      <c r="AV17" s="201">
        <f t="shared" si="35"/>
        <v>138</v>
      </c>
      <c r="AW17" s="5">
        <v>2.9</v>
      </c>
      <c r="AX17" s="201">
        <f t="shared" si="43"/>
        <v>84</v>
      </c>
      <c r="AY17" s="411">
        <f t="shared" si="36"/>
        <v>45.9</v>
      </c>
      <c r="AZ17" s="411">
        <f t="shared" si="37"/>
        <v>151.80000000000001</v>
      </c>
      <c r="BA17" s="411">
        <f t="shared" si="38"/>
        <v>243.6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625164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6916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153898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51</v>
      </c>
      <c r="AU18" s="410">
        <f t="shared" si="42"/>
        <v>1.1000000000000001</v>
      </c>
      <c r="AV18" s="201">
        <f t="shared" si="35"/>
        <v>138</v>
      </c>
      <c r="AW18" s="5">
        <v>2.9</v>
      </c>
      <c r="AX18" s="201">
        <f t="shared" si="43"/>
        <v>84</v>
      </c>
      <c r="AY18" s="411">
        <f t="shared" si="36"/>
        <v>45.9</v>
      </c>
      <c r="AZ18" s="411">
        <f t="shared" si="37"/>
        <v>151.80000000000001</v>
      </c>
      <c r="BA18" s="411">
        <f t="shared" si="38"/>
        <v>243.6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32"/>
        <v>625164</v>
      </c>
      <c r="H19" s="5">
        <f t="shared" si="9"/>
        <v>0</v>
      </c>
      <c r="I19" s="5">
        <f t="shared" si="10"/>
        <v>0</v>
      </c>
      <c r="J19" s="321">
        <f t="shared" si="0"/>
        <v>0</v>
      </c>
      <c r="K19" s="5">
        <f>'Swimming Pool quality check '!H19</f>
        <v>6916</v>
      </c>
      <c r="L19" s="83">
        <f t="shared" si="40"/>
        <v>0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153898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0</v>
      </c>
      <c r="AL19" s="314">
        <f t="shared" si="27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f t="shared" si="29"/>
        <v>51</v>
      </c>
      <c r="AU19" s="410">
        <f t="shared" si="42"/>
        <v>1.1000000000000001</v>
      </c>
      <c r="AV19" s="201">
        <f t="shared" si="35"/>
        <v>138</v>
      </c>
      <c r="AW19" s="5">
        <v>2.9</v>
      </c>
      <c r="AX19" s="201">
        <f t="shared" si="43"/>
        <v>84</v>
      </c>
      <c r="AY19" s="411">
        <f>AS19*AT19</f>
        <v>45.9</v>
      </c>
      <c r="AZ19" s="411">
        <f>AU19*AV19</f>
        <v>151.80000000000001</v>
      </c>
      <c r="BA19" s="411">
        <f>AW19*AX19</f>
        <v>243.6</v>
      </c>
      <c r="BB19" s="21">
        <f t="shared" si="39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625164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6916</v>
      </c>
      <c r="L20" s="83">
        <f t="shared" si="40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153898</v>
      </c>
      <c r="Y20" s="311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51</v>
      </c>
      <c r="AU20" s="410">
        <f t="shared" si="42"/>
        <v>1.1000000000000001</v>
      </c>
      <c r="AV20" s="201">
        <f t="shared" si="35"/>
        <v>138</v>
      </c>
      <c r="AW20" s="5">
        <v>2.9</v>
      </c>
      <c r="AX20" s="201">
        <f t="shared" si="43"/>
        <v>84</v>
      </c>
      <c r="AY20" s="411">
        <f>AS20*AT20</f>
        <v>45.9</v>
      </c>
      <c r="AZ20" s="411">
        <f>AU20*AV20</f>
        <v>151.80000000000001</v>
      </c>
      <c r="BA20" s="411">
        <f>AW20*AX20</f>
        <v>243.6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625164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6916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153898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51</v>
      </c>
      <c r="AU21" s="410">
        <f t="shared" si="42"/>
        <v>1.1000000000000001</v>
      </c>
      <c r="AV21" s="201">
        <f t="shared" si="35"/>
        <v>138</v>
      </c>
      <c r="AW21" s="5">
        <v>2.9</v>
      </c>
      <c r="AX21" s="201">
        <f t="shared" si="43"/>
        <v>84</v>
      </c>
      <c r="AY21" s="411">
        <f>AS21*AT21</f>
        <v>45.9</v>
      </c>
      <c r="AZ21" s="411">
        <f>AU21*AV21</f>
        <v>151.80000000000001</v>
      </c>
      <c r="BA21" s="411">
        <f>AW21*AX21</f>
        <v>243.6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625164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6916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153898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51</v>
      </c>
      <c r="AU22" s="410">
        <f t="shared" si="42"/>
        <v>1.1000000000000001</v>
      </c>
      <c r="AV22" s="201">
        <f t="shared" si="35"/>
        <v>138</v>
      </c>
      <c r="AW22" s="5">
        <v>2.9</v>
      </c>
      <c r="AX22" s="201">
        <f t="shared" si="43"/>
        <v>84</v>
      </c>
      <c r="AY22" s="411">
        <f t="shared" si="36"/>
        <v>45.9</v>
      </c>
      <c r="AZ22" s="411">
        <f t="shared" si="37"/>
        <v>151.80000000000001</v>
      </c>
      <c r="BA22" s="411">
        <f t="shared" si="38"/>
        <v>243.6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625164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6916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153898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51</v>
      </c>
      <c r="AU23" s="410">
        <f t="shared" si="42"/>
        <v>1.1000000000000001</v>
      </c>
      <c r="AV23" s="201">
        <f t="shared" si="35"/>
        <v>138</v>
      </c>
      <c r="AW23" s="5">
        <v>2.9</v>
      </c>
      <c r="AX23" s="201">
        <f t="shared" si="43"/>
        <v>84</v>
      </c>
      <c r="AY23" s="411">
        <f t="shared" si="36"/>
        <v>45.9</v>
      </c>
      <c r="AZ23" s="411">
        <f t="shared" si="37"/>
        <v>151.80000000000001</v>
      </c>
      <c r="BA23" s="411">
        <f t="shared" si="38"/>
        <v>243.6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625164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6916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v>153898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51</v>
      </c>
      <c r="AU24" s="410">
        <f t="shared" si="42"/>
        <v>1.1000000000000001</v>
      </c>
      <c r="AV24" s="201">
        <f t="shared" si="35"/>
        <v>138</v>
      </c>
      <c r="AW24" s="5">
        <v>2.9</v>
      </c>
      <c r="AX24" s="201">
        <f t="shared" si="43"/>
        <v>84</v>
      </c>
      <c r="AY24" s="411">
        <f t="shared" si="36"/>
        <v>45.9</v>
      </c>
      <c r="AZ24" s="411">
        <f t="shared" si="37"/>
        <v>151.80000000000001</v>
      </c>
      <c r="BA24" s="411">
        <f t="shared" si="38"/>
        <v>243.6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625164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6916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153898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51</v>
      </c>
      <c r="AU25" s="410">
        <f t="shared" si="42"/>
        <v>1.1000000000000001</v>
      </c>
      <c r="AV25" s="201">
        <f t="shared" si="35"/>
        <v>138</v>
      </c>
      <c r="AW25" s="5">
        <v>2.9</v>
      </c>
      <c r="AX25" s="201">
        <f t="shared" si="43"/>
        <v>84</v>
      </c>
      <c r="AY25" s="411">
        <f t="shared" si="36"/>
        <v>45.9</v>
      </c>
      <c r="AZ25" s="411">
        <f t="shared" si="37"/>
        <v>151.80000000000001</v>
      </c>
      <c r="BA25" s="411">
        <f t="shared" si="38"/>
        <v>243.6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625164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6916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153898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51</v>
      </c>
      <c r="AU26" s="410">
        <f t="shared" si="42"/>
        <v>1.1000000000000001</v>
      </c>
      <c r="AV26" s="201">
        <f t="shared" si="35"/>
        <v>138</v>
      </c>
      <c r="AW26" s="5">
        <v>2.9</v>
      </c>
      <c r="AX26" s="201">
        <f t="shared" si="43"/>
        <v>84</v>
      </c>
      <c r="AY26" s="411">
        <f t="shared" si="36"/>
        <v>45.9</v>
      </c>
      <c r="AZ26" s="411">
        <f t="shared" si="37"/>
        <v>151.80000000000001</v>
      </c>
      <c r="BA26" s="411">
        <f t="shared" si="38"/>
        <v>243.6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625164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6916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153898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51</v>
      </c>
      <c r="AU27" s="410">
        <f t="shared" si="42"/>
        <v>1.1000000000000001</v>
      </c>
      <c r="AV27" s="201">
        <f t="shared" si="35"/>
        <v>138</v>
      </c>
      <c r="AW27" s="5">
        <v>2.9</v>
      </c>
      <c r="AX27" s="201">
        <f t="shared" si="43"/>
        <v>84</v>
      </c>
      <c r="AY27" s="411">
        <f t="shared" si="36"/>
        <v>45.9</v>
      </c>
      <c r="AZ27" s="411">
        <f t="shared" si="37"/>
        <v>151.80000000000001</v>
      </c>
      <c r="BA27" s="411">
        <f t="shared" si="38"/>
        <v>243.6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625164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6916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153898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51</v>
      </c>
      <c r="AU28" s="410">
        <f t="shared" si="42"/>
        <v>1.1000000000000001</v>
      </c>
      <c r="AV28" s="201">
        <f t="shared" si="35"/>
        <v>138</v>
      </c>
      <c r="AW28" s="5">
        <v>2.9</v>
      </c>
      <c r="AX28" s="201">
        <f t="shared" si="43"/>
        <v>84</v>
      </c>
      <c r="AY28" s="411">
        <f t="shared" si="36"/>
        <v>45.9</v>
      </c>
      <c r="AZ28" s="411">
        <f t="shared" si="37"/>
        <v>151.80000000000001</v>
      </c>
      <c r="BA28" s="411">
        <f t="shared" si="38"/>
        <v>243.6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625164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6916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153898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51</v>
      </c>
      <c r="AU29" s="410">
        <f t="shared" si="42"/>
        <v>1.1000000000000001</v>
      </c>
      <c r="AV29" s="201">
        <f t="shared" si="35"/>
        <v>138</v>
      </c>
      <c r="AW29" s="5">
        <v>2.9</v>
      </c>
      <c r="AX29" s="201">
        <f t="shared" si="43"/>
        <v>84</v>
      </c>
      <c r="AY29" s="411">
        <f t="shared" si="36"/>
        <v>45.9</v>
      </c>
      <c r="AZ29" s="411">
        <f t="shared" si="37"/>
        <v>151.80000000000001</v>
      </c>
      <c r="BA29" s="411">
        <f t="shared" si="38"/>
        <v>243.6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625164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6916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153898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51</v>
      </c>
      <c r="AU30" s="410">
        <f t="shared" si="42"/>
        <v>1.1000000000000001</v>
      </c>
      <c r="AV30" s="201">
        <f t="shared" si="35"/>
        <v>138</v>
      </c>
      <c r="AW30" s="5">
        <v>2.9</v>
      </c>
      <c r="AX30" s="201">
        <f t="shared" si="43"/>
        <v>84</v>
      </c>
      <c r="AY30" s="411">
        <f t="shared" si="36"/>
        <v>45.9</v>
      </c>
      <c r="AZ30" s="411">
        <f t="shared" si="37"/>
        <v>151.80000000000001</v>
      </c>
      <c r="BA30" s="411">
        <f t="shared" si="38"/>
        <v>243.6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625164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6916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153898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51</v>
      </c>
      <c r="AU31" s="410">
        <f t="shared" si="42"/>
        <v>1.1000000000000001</v>
      </c>
      <c r="AV31" s="201">
        <f t="shared" si="35"/>
        <v>138</v>
      </c>
      <c r="AW31" s="5">
        <v>2.9</v>
      </c>
      <c r="AX31" s="201">
        <f t="shared" si="43"/>
        <v>84</v>
      </c>
      <c r="AY31" s="411">
        <f t="shared" si="36"/>
        <v>45.9</v>
      </c>
      <c r="AZ31" s="411">
        <f>AU31*AV31</f>
        <v>151.80000000000001</v>
      </c>
      <c r="BA31" s="411">
        <f t="shared" si="38"/>
        <v>243.6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625164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6916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153898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51</v>
      </c>
      <c r="AU32" s="410">
        <f t="shared" si="42"/>
        <v>1.1000000000000001</v>
      </c>
      <c r="AV32" s="201">
        <f t="shared" si="35"/>
        <v>138</v>
      </c>
      <c r="AW32" s="5">
        <v>2.9</v>
      </c>
      <c r="AX32" s="201">
        <f t="shared" si="43"/>
        <v>84</v>
      </c>
      <c r="AY32" s="411">
        <f t="shared" si="36"/>
        <v>45.9</v>
      </c>
      <c r="AZ32" s="411">
        <f t="shared" si="37"/>
        <v>151.80000000000001</v>
      </c>
      <c r="BA32" s="411">
        <f t="shared" si="38"/>
        <v>243.6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625164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6916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153898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51</v>
      </c>
      <c r="AU33" s="410">
        <f t="shared" si="42"/>
        <v>1.1000000000000001</v>
      </c>
      <c r="AV33" s="201">
        <f t="shared" si="35"/>
        <v>138</v>
      </c>
      <c r="AW33" s="5">
        <v>2.9</v>
      </c>
      <c r="AX33" s="201">
        <f t="shared" si="43"/>
        <v>84</v>
      </c>
      <c r="AY33" s="411">
        <f t="shared" si="36"/>
        <v>45.9</v>
      </c>
      <c r="AZ33" s="411">
        <f t="shared" si="37"/>
        <v>151.80000000000001</v>
      </c>
      <c r="BA33" s="411">
        <f t="shared" si="38"/>
        <v>243.6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625164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6916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153898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51</v>
      </c>
      <c r="AU34" s="410">
        <f>AU33</f>
        <v>1.1000000000000001</v>
      </c>
      <c r="AV34" s="201">
        <f t="shared" si="35"/>
        <v>138</v>
      </c>
      <c r="AW34" s="5">
        <v>2.9</v>
      </c>
      <c r="AX34" s="201">
        <f t="shared" si="43"/>
        <v>84</v>
      </c>
      <c r="AY34" s="411">
        <f t="shared" si="36"/>
        <v>45.9</v>
      </c>
      <c r="AZ34" s="411">
        <f>AU34*AV34</f>
        <v>151.80000000000001</v>
      </c>
      <c r="BA34" s="411">
        <f>AW34*AX34</f>
        <v>243.6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625164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6916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153898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51</v>
      </c>
      <c r="AU35" s="410">
        <f>AU34</f>
        <v>1.1000000000000001</v>
      </c>
      <c r="AV35" s="201">
        <f t="shared" si="35"/>
        <v>138</v>
      </c>
      <c r="AW35" s="5">
        <v>2.9</v>
      </c>
      <c r="AX35" s="201">
        <f t="shared" si="43"/>
        <v>84</v>
      </c>
      <c r="AY35" s="411">
        <f t="shared" si="36"/>
        <v>45.9</v>
      </c>
      <c r="AZ35" s="411">
        <f>AU35*AV35</f>
        <v>151.80000000000001</v>
      </c>
      <c r="BA35" s="411">
        <f>AW35*AX35</f>
        <v>243.6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625164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6916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153898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51</v>
      </c>
      <c r="AU36" s="410">
        <f>AU35</f>
        <v>1.1000000000000001</v>
      </c>
      <c r="AV36" s="201">
        <f t="shared" si="35"/>
        <v>138</v>
      </c>
      <c r="AW36" s="5">
        <v>2.9</v>
      </c>
      <c r="AX36" s="201">
        <f t="shared" si="43"/>
        <v>84</v>
      </c>
      <c r="AY36" s="411">
        <f t="shared" ref="AY36" si="54">AS36*AT36</f>
        <v>45.9</v>
      </c>
      <c r="AZ36" s="411">
        <f>AU36*AV36</f>
        <v>151.80000000000001</v>
      </c>
      <c r="BA36" s="411">
        <f>AW36*AX36</f>
        <v>243.6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50</v>
      </c>
      <c r="I37" s="397">
        <f>SUM(I6:I36)</f>
        <v>50</v>
      </c>
      <c r="L37" s="259">
        <f>SUM(L7:L36)</f>
        <v>4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-4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50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50</v>
      </c>
      <c r="H39" s="1">
        <f>SUM(H38+C38)</f>
        <v>7500</v>
      </c>
      <c r="K39" s="1">
        <f>SUM(H39/G39)</f>
        <v>150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9" sqref="S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9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9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9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9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9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9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5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9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f t="shared" si="29"/>
        <v>11102</v>
      </c>
      <c r="C10" s="277">
        <f t="shared" si="9"/>
        <v>0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f t="shared" si="30"/>
        <v>13237</v>
      </c>
      <c r="S10" s="277">
        <f t="shared" si="4"/>
        <v>0</v>
      </c>
      <c r="T10" s="508">
        <f t="shared" si="18"/>
        <v>248746</v>
      </c>
      <c r="U10" s="277">
        <f t="shared" si="19"/>
        <v>0</v>
      </c>
      <c r="V10" s="277">
        <v>250</v>
      </c>
      <c r="W10" s="325"/>
      <c r="X10" s="599">
        <v>13230</v>
      </c>
      <c r="Y10" s="277" t="str">
        <f t="shared" ref="Y10:Y20" si="31">IF(R10-X10&lt;=0,"ok","oil change")</f>
        <v>oil change</v>
      </c>
      <c r="Z10" s="277">
        <f t="shared" si="6"/>
        <v>0</v>
      </c>
      <c r="AA10" s="277">
        <f t="shared" si="20"/>
        <v>0</v>
      </c>
      <c r="AB10" s="277">
        <f t="shared" si="21"/>
        <v>250</v>
      </c>
      <c r="AC10" s="277">
        <f t="shared" si="22"/>
        <v>0</v>
      </c>
      <c r="AD10" s="73">
        <f>ELEC!Q11</f>
        <v>0</v>
      </c>
      <c r="AE10" s="73" t="e">
        <f t="shared" si="25"/>
        <v>#DIV/0!</v>
      </c>
      <c r="AF10" s="389" t="e">
        <f t="shared" si="26"/>
        <v>#DIV/0!</v>
      </c>
      <c r="AG10" s="390" t="e">
        <f t="shared" si="27"/>
        <v>#DIV/0!</v>
      </c>
      <c r="AH10" s="390" t="e">
        <f t="shared" si="23"/>
        <v>#DIV/0!</v>
      </c>
      <c r="AI10" s="73">
        <f t="shared" si="28"/>
        <v>0</v>
      </c>
      <c r="AJ10" s="279">
        <f t="shared" si="7"/>
        <v>0.25738396624472576</v>
      </c>
      <c r="AK10" s="279" t="e">
        <f t="shared" si="8"/>
        <v>#DIV/0!</v>
      </c>
      <c r="AL10">
        <f t="shared" si="24"/>
        <v>0</v>
      </c>
    </row>
    <row r="11" spans="1:38" ht="16.5" thickBot="1">
      <c r="A11" s="4">
        <f>ELEC!C12</f>
        <v>44509</v>
      </c>
      <c r="B11" s="507">
        <f t="shared" si="29"/>
        <v>11102</v>
      </c>
      <c r="C11" s="277">
        <f t="shared" si="9"/>
        <v>0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f t="shared" si="30"/>
        <v>13237</v>
      </c>
      <c r="S11" s="277">
        <f t="shared" si="4"/>
        <v>0</v>
      </c>
      <c r="T11" s="508">
        <f t="shared" si="18"/>
        <v>248746</v>
      </c>
      <c r="U11" s="277">
        <f t="shared" si="19"/>
        <v>0</v>
      </c>
      <c r="V11" s="277">
        <v>250</v>
      </c>
      <c r="W11" s="325"/>
      <c r="X11" s="599">
        <v>13230</v>
      </c>
      <c r="Y11" s="277" t="str">
        <f t="shared" si="31"/>
        <v>oil change</v>
      </c>
      <c r="Z11" s="277">
        <f t="shared" si="6"/>
        <v>0</v>
      </c>
      <c r="AA11" s="277">
        <f t="shared" si="20"/>
        <v>0</v>
      </c>
      <c r="AB11" s="277">
        <f t="shared" si="21"/>
        <v>250</v>
      </c>
      <c r="AC11" s="277">
        <f t="shared" si="22"/>
        <v>0</v>
      </c>
      <c r="AD11" s="73">
        <f>ELEC!Q12</f>
        <v>0</v>
      </c>
      <c r="AE11" s="73" t="e">
        <f t="shared" si="25"/>
        <v>#DIV/0!</v>
      </c>
      <c r="AF11" s="389" t="e">
        <f t="shared" si="26"/>
        <v>#DIV/0!</v>
      </c>
      <c r="AG11" s="390" t="e">
        <f t="shared" si="27"/>
        <v>#DIV/0!</v>
      </c>
      <c r="AH11" s="390" t="e">
        <f t="shared" si="23"/>
        <v>#DIV/0!</v>
      </c>
      <c r="AI11" s="73">
        <f t="shared" si="28"/>
        <v>0</v>
      </c>
      <c r="AJ11" s="279">
        <f t="shared" si="7"/>
        <v>0.25738396624472576</v>
      </c>
      <c r="AK11" s="279" t="e">
        <f t="shared" si="8"/>
        <v>#DIV/0!</v>
      </c>
      <c r="AL11">
        <f t="shared" si="24"/>
        <v>0</v>
      </c>
    </row>
    <row r="12" spans="1:38" ht="16.5" thickBot="1">
      <c r="A12" s="4">
        <f>ELEC!C13</f>
        <v>44510</v>
      </c>
      <c r="B12" s="507">
        <f t="shared" si="29"/>
        <v>11102</v>
      </c>
      <c r="C12" s="277">
        <f t="shared" si="9"/>
        <v>0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f t="shared" si="30"/>
        <v>13237</v>
      </c>
      <c r="S12" s="277">
        <f t="shared" si="4"/>
        <v>0</v>
      </c>
      <c r="T12" s="508">
        <f t="shared" si="18"/>
        <v>248746</v>
      </c>
      <c r="U12" s="277">
        <f t="shared" si="19"/>
        <v>0</v>
      </c>
      <c r="V12" s="277">
        <v>250</v>
      </c>
      <c r="W12" s="325"/>
      <c r="X12" s="599">
        <v>13230</v>
      </c>
      <c r="Y12" s="277" t="str">
        <f t="shared" si="31"/>
        <v>oil change</v>
      </c>
      <c r="Z12" s="277">
        <f t="shared" si="6"/>
        <v>0</v>
      </c>
      <c r="AA12" s="277">
        <f t="shared" si="20"/>
        <v>0</v>
      </c>
      <c r="AB12" s="277">
        <f t="shared" si="21"/>
        <v>250</v>
      </c>
      <c r="AC12" s="277">
        <f t="shared" si="22"/>
        <v>0</v>
      </c>
      <c r="AD12" s="73">
        <f>ELEC!Q13</f>
        <v>0</v>
      </c>
      <c r="AE12" s="73" t="e">
        <f t="shared" si="25"/>
        <v>#DIV/0!</v>
      </c>
      <c r="AF12" s="389" t="e">
        <f t="shared" si="26"/>
        <v>#DIV/0!</v>
      </c>
      <c r="AG12" s="390" t="e">
        <f t="shared" si="27"/>
        <v>#DIV/0!</v>
      </c>
      <c r="AH12" s="390" t="e">
        <f t="shared" si="23"/>
        <v>#DIV/0!</v>
      </c>
      <c r="AI12" s="73">
        <f t="shared" si="28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4"/>
        <v>0</v>
      </c>
    </row>
    <row r="13" spans="1:38" ht="16.5" thickBot="1">
      <c r="A13" s="4">
        <f>ELEC!C14</f>
        <v>44511</v>
      </c>
      <c r="B13" s="507">
        <f t="shared" si="29"/>
        <v>11102</v>
      </c>
      <c r="C13" s="277">
        <f t="shared" si="9"/>
        <v>0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f t="shared" si="30"/>
        <v>13237</v>
      </c>
      <c r="S13" s="277">
        <f t="shared" si="4"/>
        <v>0</v>
      </c>
      <c r="T13" s="508">
        <f t="shared" si="18"/>
        <v>248746</v>
      </c>
      <c r="U13" s="277">
        <f t="shared" si="19"/>
        <v>0</v>
      </c>
      <c r="V13" s="277">
        <v>250</v>
      </c>
      <c r="W13" s="325"/>
      <c r="X13" s="599">
        <v>13230</v>
      </c>
      <c r="Y13" s="277" t="str">
        <f t="shared" si="31"/>
        <v>oil change</v>
      </c>
      <c r="Z13" s="277">
        <f t="shared" si="6"/>
        <v>0</v>
      </c>
      <c r="AA13" s="277">
        <f t="shared" si="20"/>
        <v>0</v>
      </c>
      <c r="AB13" s="277">
        <f t="shared" si="21"/>
        <v>250</v>
      </c>
      <c r="AC13" s="277">
        <f t="shared" si="22"/>
        <v>0</v>
      </c>
      <c r="AD13" s="73">
        <f>ELEC!Q14</f>
        <v>0</v>
      </c>
      <c r="AE13" s="73" t="e">
        <f t="shared" si="25"/>
        <v>#DIV/0!</v>
      </c>
      <c r="AF13" s="389" t="e">
        <f t="shared" si="26"/>
        <v>#DIV/0!</v>
      </c>
      <c r="AG13" s="390" t="e">
        <f t="shared" si="27"/>
        <v>#DIV/0!</v>
      </c>
      <c r="AH13" s="390" t="e">
        <f t="shared" si="23"/>
        <v>#DIV/0!</v>
      </c>
      <c r="AI13" s="73">
        <f t="shared" si="28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4"/>
        <v>0</v>
      </c>
    </row>
    <row r="14" spans="1:38" ht="16.5" thickBot="1">
      <c r="A14" s="4">
        <f>ELEC!C15</f>
        <v>44512</v>
      </c>
      <c r="B14" s="507">
        <f t="shared" si="29"/>
        <v>11102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13237</v>
      </c>
      <c r="S14" s="277">
        <f t="shared" si="4"/>
        <v>0</v>
      </c>
      <c r="T14" s="508">
        <f t="shared" si="18"/>
        <v>248746</v>
      </c>
      <c r="U14" s="277">
        <f t="shared" si="19"/>
        <v>0</v>
      </c>
      <c r="V14" s="277">
        <v>250</v>
      </c>
      <c r="W14" s="325"/>
      <c r="X14" s="599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11102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13237</v>
      </c>
      <c r="S15" s="277">
        <f t="shared" si="4"/>
        <v>0</v>
      </c>
      <c r="T15" s="508">
        <f t="shared" si="18"/>
        <v>248746</v>
      </c>
      <c r="U15" s="277">
        <f t="shared" si="19"/>
        <v>0</v>
      </c>
      <c r="V15" s="277">
        <v>250</v>
      </c>
      <c r="W15" s="325"/>
      <c r="X15" s="599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f t="shared" si="29"/>
        <v>11102</v>
      </c>
      <c r="C16" s="277">
        <f t="shared" si="9"/>
        <v>0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13237</v>
      </c>
      <c r="S16" s="277">
        <f t="shared" si="4"/>
        <v>0</v>
      </c>
      <c r="T16" s="508">
        <f t="shared" si="18"/>
        <v>248746</v>
      </c>
      <c r="U16" s="277">
        <f t="shared" si="19"/>
        <v>0</v>
      </c>
      <c r="V16" s="277">
        <v>250</v>
      </c>
      <c r="W16" s="325"/>
      <c r="X16" s="599">
        <v>13230</v>
      </c>
      <c r="Y16" s="277" t="str">
        <f t="shared" si="31"/>
        <v>oil change</v>
      </c>
      <c r="Z16" s="277">
        <f t="shared" si="6"/>
        <v>0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0</v>
      </c>
      <c r="AE16" s="73" t="e">
        <f t="shared" si="25"/>
        <v>#DIV/0!</v>
      </c>
      <c r="AF16" s="389" t="e">
        <f t="shared" si="26"/>
        <v>#DIV/0!</v>
      </c>
      <c r="AG16" s="390" t="e">
        <f t="shared" si="27"/>
        <v>#DIV/0!</v>
      </c>
      <c r="AH16" s="390" t="e">
        <f t="shared" si="23"/>
        <v>#DIV/0!</v>
      </c>
      <c r="AI16" s="73">
        <f t="shared" si="28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4"/>
        <v>0</v>
      </c>
    </row>
    <row r="17" spans="1:38" ht="16.5" thickBot="1">
      <c r="A17" s="4">
        <f>ELEC!C18</f>
        <v>44515</v>
      </c>
      <c r="B17" s="507">
        <f t="shared" si="29"/>
        <v>11102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30"/>
        <v>13237</v>
      </c>
      <c r="S17" s="277">
        <f t="shared" si="4"/>
        <v>0</v>
      </c>
      <c r="T17" s="508">
        <f t="shared" si="18"/>
        <v>248746</v>
      </c>
      <c r="U17" s="277">
        <f t="shared" si="19"/>
        <v>0</v>
      </c>
      <c r="V17" s="277">
        <v>250</v>
      </c>
      <c r="W17" s="325"/>
      <c r="X17" s="599">
        <v>13230</v>
      </c>
      <c r="Y17" s="277" t="str">
        <f t="shared" si="31"/>
        <v>oil change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5"/>
        <v>#DIV/0!</v>
      </c>
      <c r="AF17" s="389" t="e">
        <f t="shared" si="26"/>
        <v>#DIV/0!</v>
      </c>
      <c r="AG17" s="390" t="e">
        <f t="shared" si="27"/>
        <v>#DIV/0!</v>
      </c>
      <c r="AH17" s="390" t="e">
        <f t="shared" si="23"/>
        <v>#DIV/0!</v>
      </c>
      <c r="AI17" s="73">
        <f t="shared" si="28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9"/>
        <v>11102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13237</v>
      </c>
      <c r="S18" s="277">
        <f t="shared" si="4"/>
        <v>0</v>
      </c>
      <c r="T18" s="508">
        <f t="shared" si="18"/>
        <v>248746</v>
      </c>
      <c r="U18" s="277">
        <f t="shared" si="19"/>
        <v>0</v>
      </c>
      <c r="V18" s="277">
        <v>250</v>
      </c>
      <c r="W18" s="325"/>
      <c r="X18" s="599">
        <v>13230</v>
      </c>
      <c r="Y18" s="277" t="str">
        <f t="shared" si="31"/>
        <v>oil change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11102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13237</v>
      </c>
      <c r="S19" s="277">
        <f t="shared" si="4"/>
        <v>0</v>
      </c>
      <c r="T19" s="508">
        <f t="shared" si="18"/>
        <v>248746</v>
      </c>
      <c r="U19" s="277">
        <f t="shared" si="19"/>
        <v>0</v>
      </c>
      <c r="V19" s="277">
        <v>250</v>
      </c>
      <c r="W19" s="325"/>
      <c r="X19" s="599">
        <v>13230</v>
      </c>
      <c r="Y19" s="277" t="str">
        <f t="shared" si="31"/>
        <v>oil change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11102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13237</v>
      </c>
      <c r="S20" s="277">
        <f t="shared" si="4"/>
        <v>0</v>
      </c>
      <c r="T20" s="508">
        <f t="shared" si="18"/>
        <v>248746</v>
      </c>
      <c r="U20" s="277">
        <f t="shared" si="19"/>
        <v>0</v>
      </c>
      <c r="V20" s="277">
        <v>250</v>
      </c>
      <c r="W20" s="325"/>
      <c r="X20" s="599">
        <v>13230</v>
      </c>
      <c r="Y20" s="277" t="str">
        <f t="shared" si="31"/>
        <v>oil change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11102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13237</v>
      </c>
      <c r="S21" s="277">
        <f t="shared" si="4"/>
        <v>0</v>
      </c>
      <c r="T21" s="508">
        <f t="shared" si="18"/>
        <v>248746</v>
      </c>
      <c r="U21" s="277">
        <f t="shared" si="19"/>
        <v>0</v>
      </c>
      <c r="V21" s="277">
        <v>250</v>
      </c>
      <c r="W21" s="196"/>
      <c r="X21" s="599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11102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13237</v>
      </c>
      <c r="S22" s="277">
        <f t="shared" si="4"/>
        <v>0</v>
      </c>
      <c r="T22" s="508">
        <f t="shared" si="18"/>
        <v>248746</v>
      </c>
      <c r="U22" s="277">
        <f t="shared" si="19"/>
        <v>0</v>
      </c>
      <c r="V22" s="277">
        <v>250</v>
      </c>
      <c r="W22" s="196"/>
      <c r="X22" s="599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11102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13237</v>
      </c>
      <c r="S23" s="277">
        <f>R23-R22</f>
        <v>0</v>
      </c>
      <c r="T23" s="508">
        <f t="shared" si="18"/>
        <v>248746</v>
      </c>
      <c r="U23" s="277">
        <f>V23*S23</f>
        <v>0</v>
      </c>
      <c r="V23" s="277">
        <v>250</v>
      </c>
      <c r="W23" s="196"/>
      <c r="X23" s="599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11102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13237</v>
      </c>
      <c r="S24" s="277">
        <f t="shared" si="4"/>
        <v>0</v>
      </c>
      <c r="T24" s="508">
        <f t="shared" si="18"/>
        <v>248746</v>
      </c>
      <c r="U24" s="277">
        <f t="shared" si="19"/>
        <v>0</v>
      </c>
      <c r="V24" s="277">
        <v>250</v>
      </c>
      <c r="W24" s="196"/>
      <c r="X24" s="599">
        <v>13230</v>
      </c>
      <c r="Y24" s="277" t="str">
        <f t="shared" si="33"/>
        <v>oil change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11102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13237</v>
      </c>
      <c r="S25" s="277">
        <f t="shared" si="4"/>
        <v>0</v>
      </c>
      <c r="T25" s="508">
        <f t="shared" si="18"/>
        <v>248746</v>
      </c>
      <c r="U25" s="277">
        <f t="shared" si="19"/>
        <v>0</v>
      </c>
      <c r="V25" s="277">
        <v>250</v>
      </c>
      <c r="W25" s="196"/>
      <c r="X25" s="599">
        <v>13230</v>
      </c>
      <c r="Y25" s="277" t="str">
        <f t="shared" si="33"/>
        <v>oil change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11102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13237</v>
      </c>
      <c r="S26" s="277">
        <f t="shared" ref="S26" si="34">R26-R25</f>
        <v>0</v>
      </c>
      <c r="T26" s="508">
        <f t="shared" si="18"/>
        <v>248746</v>
      </c>
      <c r="U26" s="277">
        <f t="shared" si="19"/>
        <v>0</v>
      </c>
      <c r="V26" s="277">
        <v>250</v>
      </c>
      <c r="W26" s="196"/>
      <c r="X26" s="599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11102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13237</v>
      </c>
      <c r="S27" s="277">
        <f t="shared" si="4"/>
        <v>0</v>
      </c>
      <c r="T27" s="508">
        <f t="shared" si="18"/>
        <v>248746</v>
      </c>
      <c r="U27" s="277">
        <f t="shared" si="19"/>
        <v>0</v>
      </c>
      <c r="V27" s="277">
        <v>250</v>
      </c>
      <c r="W27" s="196"/>
      <c r="X27" s="599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11102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13237</v>
      </c>
      <c r="S28" s="277">
        <f t="shared" si="4"/>
        <v>0</v>
      </c>
      <c r="T28" s="508">
        <f t="shared" si="18"/>
        <v>248746</v>
      </c>
      <c r="U28" s="277">
        <f t="shared" si="19"/>
        <v>0</v>
      </c>
      <c r="V28" s="277">
        <v>250</v>
      </c>
      <c r="W28" s="196"/>
      <c r="X28" s="599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11102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13237</v>
      </c>
      <c r="S29" s="277">
        <f t="shared" si="4"/>
        <v>0</v>
      </c>
      <c r="T29" s="508">
        <f>T28+U29</f>
        <v>248746</v>
      </c>
      <c r="U29" s="277">
        <f>V29*S29</f>
        <v>0</v>
      </c>
      <c r="V29" s="277">
        <v>250</v>
      </c>
      <c r="W29" s="196"/>
      <c r="X29" s="599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11102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13237</v>
      </c>
      <c r="S30" s="277">
        <f t="shared" si="4"/>
        <v>0</v>
      </c>
      <c r="T30" s="508">
        <f t="shared" si="18"/>
        <v>248746</v>
      </c>
      <c r="U30" s="277">
        <f t="shared" si="19"/>
        <v>0</v>
      </c>
      <c r="V30" s="277">
        <v>250</v>
      </c>
      <c r="W30" s="275"/>
      <c r="X30" s="599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11102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13237</v>
      </c>
      <c r="S31" s="277">
        <f>R31-R30</f>
        <v>0</v>
      </c>
      <c r="T31" s="508">
        <f t="shared" si="18"/>
        <v>248746</v>
      </c>
      <c r="U31" s="277">
        <f t="shared" si="19"/>
        <v>0</v>
      </c>
      <c r="V31" s="277">
        <v>250</v>
      </c>
      <c r="W31" s="325"/>
      <c r="X31" s="599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11102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13237</v>
      </c>
      <c r="S32" s="277">
        <f>R32-R31</f>
        <v>0</v>
      </c>
      <c r="T32" s="508">
        <f t="shared" si="18"/>
        <v>248746</v>
      </c>
      <c r="U32" s="277">
        <f t="shared" si="19"/>
        <v>0</v>
      </c>
      <c r="V32" s="277">
        <v>250</v>
      </c>
      <c r="W32" s="325"/>
      <c r="X32" s="599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11102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13237</v>
      </c>
      <c r="S33" s="277">
        <f>R33-R32</f>
        <v>0</v>
      </c>
      <c r="T33" s="508">
        <f t="shared" si="18"/>
        <v>248746</v>
      </c>
      <c r="U33" s="277">
        <f t="shared" si="19"/>
        <v>0</v>
      </c>
      <c r="V33" s="277">
        <v>251</v>
      </c>
      <c r="W33" s="325"/>
      <c r="X33" s="599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51</v>
      </c>
      <c r="V34" s="40"/>
      <c r="X34">
        <v>341</v>
      </c>
      <c r="Z34" s="406">
        <f>SUM(Z3:Z33)</f>
        <v>51</v>
      </c>
      <c r="AL34">
        <f>SUM(AL3:AL33)</f>
        <v>5</v>
      </c>
    </row>
    <row r="35" spans="1:38">
      <c r="C35" s="40">
        <f>SUM(C3:C33)</f>
        <v>23</v>
      </c>
      <c r="K35" s="40">
        <f>SUM(K3:K33)</f>
        <v>0</v>
      </c>
      <c r="S35" s="40">
        <f>SUM(S3:S33)</f>
        <v>28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I1" activePane="topRight" state="frozen"/>
      <selection pane="topRight" activeCell="A12" sqref="A12:XFD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7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183</v>
      </c>
      <c r="C13" s="203">
        <f t="shared" si="18"/>
        <v>3937.4516129032259</v>
      </c>
      <c r="D13">
        <f t="shared" si="19"/>
        <v>183</v>
      </c>
      <c r="E13" s="203">
        <f t="shared" si="18"/>
        <v>3937.4516129032259</v>
      </c>
      <c r="F13">
        <f t="shared" si="20"/>
        <v>183</v>
      </c>
      <c r="G13" s="203">
        <f t="shared" si="1"/>
        <v>3937.4516129032259</v>
      </c>
      <c r="H13" s="203">
        <f t="shared" si="21"/>
        <v>183</v>
      </c>
      <c r="I13" s="203">
        <f t="shared" si="2"/>
        <v>3937.4516129032259</v>
      </c>
      <c r="J13" s="203">
        <f t="shared" si="22"/>
        <v>183</v>
      </c>
      <c r="K13" s="203">
        <f t="shared" si="3"/>
        <v>3937.4516129032259</v>
      </c>
      <c r="L13" s="203">
        <f t="shared" si="23"/>
        <v>183</v>
      </c>
      <c r="M13" s="203">
        <f t="shared" si="4"/>
        <v>3937.4516129032259</v>
      </c>
      <c r="N13" s="203">
        <f t="shared" si="24"/>
        <v>183</v>
      </c>
      <c r="O13" s="203">
        <f t="shared" si="5"/>
        <v>3937.4516129032259</v>
      </c>
      <c r="P13" s="203">
        <f t="shared" si="25"/>
        <v>183</v>
      </c>
      <c r="Q13" s="203">
        <f t="shared" si="6"/>
        <v>3937.4516129032259</v>
      </c>
      <c r="R13" s="203">
        <f t="shared" si="26"/>
        <v>183</v>
      </c>
      <c r="S13" s="203">
        <f t="shared" si="7"/>
        <v>3937.4516129032259</v>
      </c>
      <c r="T13" s="203">
        <f t="shared" si="27"/>
        <v>183</v>
      </c>
      <c r="U13" s="203">
        <f t="shared" si="8"/>
        <v>3937.4516129032259</v>
      </c>
      <c r="V13" s="203">
        <f t="shared" si="28"/>
        <v>183</v>
      </c>
      <c r="W13" s="203">
        <f t="shared" si="9"/>
        <v>3937.4516129032259</v>
      </c>
      <c r="X13" s="35">
        <f t="shared" si="10"/>
        <v>0.59032258064516141</v>
      </c>
      <c r="Y13" s="36">
        <f t="shared" si="29"/>
        <v>43311.967741935492</v>
      </c>
      <c r="Z13" s="203">
        <f>'B5'!C12</f>
        <v>189</v>
      </c>
      <c r="AA13" s="203">
        <f t="shared" si="30"/>
        <v>1890</v>
      </c>
      <c r="AB13" s="203">
        <f t="shared" si="31"/>
        <v>189</v>
      </c>
      <c r="AC13" s="203">
        <f t="shared" si="30"/>
        <v>1890</v>
      </c>
      <c r="AD13" s="203">
        <f t="shared" si="32"/>
        <v>189</v>
      </c>
      <c r="AE13" s="203">
        <f t="shared" si="11"/>
        <v>1890</v>
      </c>
      <c r="AF13" s="203">
        <f t="shared" si="33"/>
        <v>189</v>
      </c>
      <c r="AG13" s="203">
        <f t="shared" si="12"/>
        <v>1890</v>
      </c>
      <c r="AH13" s="203">
        <f t="shared" si="34"/>
        <v>189</v>
      </c>
      <c r="AI13" s="203">
        <f t="shared" si="13"/>
        <v>1890</v>
      </c>
      <c r="AJ13" s="203">
        <f t="shared" si="35"/>
        <v>189</v>
      </c>
      <c r="AK13" s="203">
        <f t="shared" si="14"/>
        <v>1890</v>
      </c>
      <c r="AL13" s="203">
        <f t="shared" si="36"/>
        <v>189</v>
      </c>
      <c r="AM13" s="203">
        <f t="shared" si="15"/>
        <v>1890</v>
      </c>
      <c r="AN13" s="35">
        <f t="shared" si="16"/>
        <v>0.67500000000000004</v>
      </c>
      <c r="AO13" s="36">
        <f t="shared" si="41"/>
        <v>13230</v>
      </c>
      <c r="AP13" s="530"/>
      <c r="AQ13" s="223">
        <f t="shared" si="37"/>
        <v>0.60817433303146706</v>
      </c>
      <c r="AR13" s="38">
        <f t="shared" si="38"/>
        <v>56541.967741935492</v>
      </c>
      <c r="AS13" s="197">
        <f t="shared" si="42"/>
        <v>0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80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45" t="e">
        <f>GEN!AF10</f>
        <v>#DIV/0!</v>
      </c>
    </row>
    <row r="14" spans="1:63">
      <c r="A14" s="428">
        <f>ELEC!C12</f>
        <v>44509</v>
      </c>
      <c r="B14">
        <f>'B5'!B13</f>
        <v>183</v>
      </c>
      <c r="C14" s="203">
        <f t="shared" si="18"/>
        <v>3937.4516129032259</v>
      </c>
      <c r="D14">
        <f t="shared" si="19"/>
        <v>183</v>
      </c>
      <c r="E14" s="203">
        <f t="shared" si="18"/>
        <v>3937.4516129032259</v>
      </c>
      <c r="F14">
        <f t="shared" si="20"/>
        <v>183</v>
      </c>
      <c r="G14" s="203">
        <f t="shared" si="1"/>
        <v>3937.4516129032259</v>
      </c>
      <c r="H14" s="203">
        <f t="shared" si="21"/>
        <v>183</v>
      </c>
      <c r="I14" s="203">
        <f t="shared" si="2"/>
        <v>3937.4516129032259</v>
      </c>
      <c r="J14" s="203">
        <f t="shared" si="22"/>
        <v>183</v>
      </c>
      <c r="K14" s="203">
        <f t="shared" si="3"/>
        <v>3937.4516129032259</v>
      </c>
      <c r="L14" s="203">
        <f t="shared" si="23"/>
        <v>183</v>
      </c>
      <c r="M14" s="203">
        <f t="shared" si="4"/>
        <v>3937.4516129032259</v>
      </c>
      <c r="N14" s="203">
        <f t="shared" si="24"/>
        <v>183</v>
      </c>
      <c r="O14" s="203">
        <f t="shared" si="5"/>
        <v>3937.4516129032259</v>
      </c>
      <c r="P14" s="203">
        <f t="shared" si="25"/>
        <v>183</v>
      </c>
      <c r="Q14" s="203">
        <f t="shared" si="6"/>
        <v>3937.4516129032259</v>
      </c>
      <c r="R14" s="203">
        <f t="shared" si="26"/>
        <v>183</v>
      </c>
      <c r="S14" s="203">
        <f t="shared" si="7"/>
        <v>3937.4516129032259</v>
      </c>
      <c r="T14" s="203">
        <f t="shared" si="27"/>
        <v>183</v>
      </c>
      <c r="U14" s="203">
        <f t="shared" si="8"/>
        <v>3937.4516129032259</v>
      </c>
      <c r="V14" s="203">
        <f t="shared" si="28"/>
        <v>183</v>
      </c>
      <c r="W14" s="203">
        <f t="shared" si="9"/>
        <v>3937.4516129032259</v>
      </c>
      <c r="X14" s="35">
        <f t="shared" si="10"/>
        <v>0.59032258064516141</v>
      </c>
      <c r="Y14" s="36">
        <f t="shared" si="29"/>
        <v>43311.967741935492</v>
      </c>
      <c r="Z14" s="203">
        <f>'B5'!C13</f>
        <v>189</v>
      </c>
      <c r="AA14" s="203">
        <f t="shared" si="30"/>
        <v>1890</v>
      </c>
      <c r="AB14" s="203">
        <f t="shared" si="31"/>
        <v>189</v>
      </c>
      <c r="AC14" s="203">
        <f t="shared" si="30"/>
        <v>1890</v>
      </c>
      <c r="AD14" s="203">
        <f t="shared" si="32"/>
        <v>189</v>
      </c>
      <c r="AE14" s="203">
        <f t="shared" si="11"/>
        <v>1890</v>
      </c>
      <c r="AF14" s="203">
        <f t="shared" si="33"/>
        <v>189</v>
      </c>
      <c r="AG14" s="203">
        <f t="shared" si="12"/>
        <v>1890</v>
      </c>
      <c r="AH14" s="203">
        <f t="shared" si="34"/>
        <v>189</v>
      </c>
      <c r="AI14" s="203">
        <f t="shared" si="13"/>
        <v>1890</v>
      </c>
      <c r="AJ14" s="203">
        <f t="shared" si="35"/>
        <v>189</v>
      </c>
      <c r="AK14" s="203">
        <f t="shared" si="14"/>
        <v>1890</v>
      </c>
      <c r="AL14" s="203">
        <f t="shared" si="36"/>
        <v>189</v>
      </c>
      <c r="AM14" s="203">
        <f t="shared" si="15"/>
        <v>1890</v>
      </c>
      <c r="AN14" s="35">
        <f t="shared" si="16"/>
        <v>0.67500000000000004</v>
      </c>
      <c r="AO14" s="36">
        <f t="shared" si="41"/>
        <v>13230</v>
      </c>
      <c r="AQ14" s="223">
        <f t="shared" si="37"/>
        <v>0.60817433303146706</v>
      </c>
      <c r="AR14" s="38">
        <f t="shared" si="38"/>
        <v>56541.967741935492</v>
      </c>
      <c r="AS14" s="197">
        <f t="shared" si="42"/>
        <v>0</v>
      </c>
      <c r="AT14" s="342"/>
      <c r="AU14" s="557"/>
      <c r="AV14" s="490">
        <f t="shared" si="43"/>
        <v>0.69</v>
      </c>
      <c r="AW14" s="280">
        <f>-SUM('B5'!AI13)</f>
        <v>0</v>
      </c>
      <c r="AX14" s="280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80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45" t="e">
        <f>GEN!AF11</f>
        <v>#DIV/0!</v>
      </c>
    </row>
    <row r="15" spans="1:63" ht="13.5" customHeight="1">
      <c r="A15" s="428">
        <f>ELEC!C13</f>
        <v>44510</v>
      </c>
      <c r="B15">
        <f>'B5'!B14</f>
        <v>183</v>
      </c>
      <c r="C15" s="203">
        <f>B15*$B$4</f>
        <v>3937.4516129032259</v>
      </c>
      <c r="D15">
        <f t="shared" si="19"/>
        <v>183</v>
      </c>
      <c r="E15" s="203">
        <f t="shared" si="18"/>
        <v>3937.4516129032259</v>
      </c>
      <c r="F15">
        <f t="shared" si="20"/>
        <v>183</v>
      </c>
      <c r="G15" s="203">
        <f t="shared" si="1"/>
        <v>3937.4516129032259</v>
      </c>
      <c r="H15" s="203">
        <f t="shared" si="21"/>
        <v>183</v>
      </c>
      <c r="I15" s="203">
        <f t="shared" si="2"/>
        <v>3937.4516129032259</v>
      </c>
      <c r="J15" s="203">
        <f t="shared" si="22"/>
        <v>183</v>
      </c>
      <c r="K15" s="203">
        <f t="shared" si="3"/>
        <v>3937.4516129032259</v>
      </c>
      <c r="L15" s="203">
        <f t="shared" si="23"/>
        <v>183</v>
      </c>
      <c r="M15" s="203">
        <f t="shared" si="4"/>
        <v>3937.4516129032259</v>
      </c>
      <c r="N15" s="203">
        <f t="shared" si="24"/>
        <v>183</v>
      </c>
      <c r="O15" s="203">
        <f t="shared" si="5"/>
        <v>3937.4516129032259</v>
      </c>
      <c r="P15" s="203">
        <f t="shared" si="25"/>
        <v>183</v>
      </c>
      <c r="Q15" s="203">
        <f t="shared" si="6"/>
        <v>3937.4516129032259</v>
      </c>
      <c r="R15" s="203">
        <f t="shared" si="26"/>
        <v>183</v>
      </c>
      <c r="S15" s="203">
        <f t="shared" si="7"/>
        <v>3937.4516129032259</v>
      </c>
      <c r="T15" s="203">
        <f t="shared" si="27"/>
        <v>183</v>
      </c>
      <c r="U15" s="203">
        <f t="shared" si="8"/>
        <v>3937.4516129032259</v>
      </c>
      <c r="V15" s="203">
        <f t="shared" si="28"/>
        <v>183</v>
      </c>
      <c r="W15" s="203">
        <f t="shared" si="9"/>
        <v>3937.4516129032259</v>
      </c>
      <c r="X15" s="35">
        <f t="shared" si="10"/>
        <v>0.59032258064516141</v>
      </c>
      <c r="Y15" s="36">
        <f t="shared" si="29"/>
        <v>43311.967741935492</v>
      </c>
      <c r="Z15" s="203">
        <f>'B5'!C14</f>
        <v>189</v>
      </c>
      <c r="AA15" s="203">
        <f t="shared" si="30"/>
        <v>1890</v>
      </c>
      <c r="AB15" s="203">
        <f t="shared" si="31"/>
        <v>189</v>
      </c>
      <c r="AC15" s="203">
        <f t="shared" si="30"/>
        <v>1890</v>
      </c>
      <c r="AD15" s="203">
        <f t="shared" si="32"/>
        <v>189</v>
      </c>
      <c r="AE15" s="203">
        <f t="shared" si="11"/>
        <v>1890</v>
      </c>
      <c r="AF15" s="203">
        <f t="shared" si="33"/>
        <v>189</v>
      </c>
      <c r="AG15" s="203">
        <f t="shared" si="12"/>
        <v>1890</v>
      </c>
      <c r="AH15" s="203">
        <f t="shared" si="34"/>
        <v>189</v>
      </c>
      <c r="AI15" s="203">
        <f t="shared" si="13"/>
        <v>1890</v>
      </c>
      <c r="AJ15" s="203">
        <f t="shared" si="35"/>
        <v>189</v>
      </c>
      <c r="AK15" s="203">
        <f t="shared" si="14"/>
        <v>1890</v>
      </c>
      <c r="AL15" s="203">
        <f t="shared" si="36"/>
        <v>189</v>
      </c>
      <c r="AM15" s="203">
        <f t="shared" si="15"/>
        <v>1890</v>
      </c>
      <c r="AN15" s="35">
        <f t="shared" si="16"/>
        <v>0.67500000000000004</v>
      </c>
      <c r="AO15" s="36">
        <f t="shared" si="41"/>
        <v>13230</v>
      </c>
      <c r="AQ15" s="223">
        <f t="shared" si="37"/>
        <v>0.60817433303146706</v>
      </c>
      <c r="AR15" s="38">
        <f t="shared" si="38"/>
        <v>56541.967741935492</v>
      </c>
      <c r="AS15" s="197">
        <f t="shared" si="42"/>
        <v>0</v>
      </c>
      <c r="AT15" s="342"/>
      <c r="AU15" s="557"/>
      <c r="AV15" s="490">
        <f>IF(AT15&gt;0,AU15,AV14)</f>
        <v>0.69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5" t="e">
        <f>GEN!AF12</f>
        <v>#DIV/0!</v>
      </c>
    </row>
    <row r="16" spans="1:63">
      <c r="A16" s="428">
        <f>ELEC!C14</f>
        <v>44511</v>
      </c>
      <c r="B16">
        <f>'B5'!B15</f>
        <v>183</v>
      </c>
      <c r="C16" s="203">
        <f t="shared" si="18"/>
        <v>3937.4516129032259</v>
      </c>
      <c r="D16">
        <f t="shared" si="19"/>
        <v>183</v>
      </c>
      <c r="E16" s="203">
        <f t="shared" si="18"/>
        <v>3937.4516129032259</v>
      </c>
      <c r="F16">
        <f t="shared" si="20"/>
        <v>183</v>
      </c>
      <c r="G16" s="203">
        <f t="shared" si="1"/>
        <v>3937.4516129032259</v>
      </c>
      <c r="H16" s="203">
        <f t="shared" si="21"/>
        <v>183</v>
      </c>
      <c r="I16" s="203">
        <f t="shared" si="2"/>
        <v>3937.4516129032259</v>
      </c>
      <c r="J16" s="203">
        <f t="shared" si="22"/>
        <v>183</v>
      </c>
      <c r="K16" s="203">
        <f t="shared" si="3"/>
        <v>3937.4516129032259</v>
      </c>
      <c r="L16" s="203">
        <f t="shared" si="23"/>
        <v>183</v>
      </c>
      <c r="M16" s="203">
        <f t="shared" si="4"/>
        <v>3937.4516129032259</v>
      </c>
      <c r="N16" s="203">
        <f t="shared" si="24"/>
        <v>183</v>
      </c>
      <c r="O16" s="203">
        <f t="shared" si="5"/>
        <v>3937.4516129032259</v>
      </c>
      <c r="P16" s="203">
        <f t="shared" si="25"/>
        <v>183</v>
      </c>
      <c r="Q16" s="203">
        <f t="shared" si="6"/>
        <v>3937.4516129032259</v>
      </c>
      <c r="R16" s="203">
        <f t="shared" si="26"/>
        <v>183</v>
      </c>
      <c r="S16" s="203">
        <f t="shared" si="7"/>
        <v>3937.4516129032259</v>
      </c>
      <c r="T16" s="203">
        <f t="shared" si="27"/>
        <v>183</v>
      </c>
      <c r="U16" s="203">
        <f t="shared" si="8"/>
        <v>3937.4516129032259</v>
      </c>
      <c r="V16" s="203">
        <f t="shared" si="28"/>
        <v>183</v>
      </c>
      <c r="W16" s="203">
        <f t="shared" si="9"/>
        <v>3937.4516129032259</v>
      </c>
      <c r="X16" s="35">
        <f t="shared" si="10"/>
        <v>0.59032258064516141</v>
      </c>
      <c r="Y16" s="36">
        <f t="shared" si="29"/>
        <v>43311.967741935492</v>
      </c>
      <c r="Z16" s="203">
        <f>'B5'!C15</f>
        <v>189</v>
      </c>
      <c r="AA16" s="203">
        <f t="shared" si="30"/>
        <v>1890</v>
      </c>
      <c r="AB16" s="203">
        <f t="shared" si="31"/>
        <v>189</v>
      </c>
      <c r="AC16" s="203">
        <f t="shared" si="30"/>
        <v>1890</v>
      </c>
      <c r="AD16" s="203">
        <f t="shared" si="32"/>
        <v>189</v>
      </c>
      <c r="AE16" s="203">
        <f t="shared" si="11"/>
        <v>1890</v>
      </c>
      <c r="AF16" s="203">
        <f t="shared" si="33"/>
        <v>189</v>
      </c>
      <c r="AG16" s="203">
        <f t="shared" si="12"/>
        <v>1890</v>
      </c>
      <c r="AH16" s="203">
        <f t="shared" si="34"/>
        <v>189</v>
      </c>
      <c r="AI16" s="203">
        <f t="shared" si="13"/>
        <v>1890</v>
      </c>
      <c r="AJ16" s="203">
        <f t="shared" si="35"/>
        <v>189</v>
      </c>
      <c r="AK16" s="203">
        <f t="shared" si="14"/>
        <v>1890</v>
      </c>
      <c r="AL16" s="203">
        <f t="shared" si="36"/>
        <v>189</v>
      </c>
      <c r="AM16" s="203">
        <f t="shared" si="15"/>
        <v>1890</v>
      </c>
      <c r="AN16" s="35">
        <f t="shared" si="16"/>
        <v>0.67500000000000004</v>
      </c>
      <c r="AO16" s="36">
        <f t="shared" si="41"/>
        <v>13230</v>
      </c>
      <c r="AQ16" s="223">
        <f t="shared" si="37"/>
        <v>0.60817433303146706</v>
      </c>
      <c r="AR16" s="38">
        <f t="shared" si="38"/>
        <v>56541.967741935492</v>
      </c>
      <c r="AS16" s="197">
        <f t="shared" si="42"/>
        <v>0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5" t="e">
        <f>GEN!AF13</f>
        <v>#DIV/0!</v>
      </c>
    </row>
    <row r="17" spans="1:64">
      <c r="A17" s="428">
        <f>ELEC!C15</f>
        <v>44512</v>
      </c>
      <c r="B17">
        <f>'B5'!B16</f>
        <v>183</v>
      </c>
      <c r="C17" s="203">
        <f t="shared" si="18"/>
        <v>3937.4516129032259</v>
      </c>
      <c r="D17">
        <f t="shared" si="19"/>
        <v>183</v>
      </c>
      <c r="E17" s="203">
        <f t="shared" si="18"/>
        <v>3937.4516129032259</v>
      </c>
      <c r="F17">
        <f t="shared" si="20"/>
        <v>183</v>
      </c>
      <c r="G17" s="203">
        <f t="shared" si="1"/>
        <v>3937.4516129032259</v>
      </c>
      <c r="H17" s="203">
        <f t="shared" si="21"/>
        <v>183</v>
      </c>
      <c r="I17" s="203">
        <f t="shared" si="2"/>
        <v>3937.4516129032259</v>
      </c>
      <c r="J17" s="203">
        <f t="shared" si="22"/>
        <v>183</v>
      </c>
      <c r="K17" s="203">
        <f t="shared" si="3"/>
        <v>3937.4516129032259</v>
      </c>
      <c r="L17" s="203">
        <f t="shared" si="23"/>
        <v>183</v>
      </c>
      <c r="M17" s="203">
        <f t="shared" si="4"/>
        <v>3937.4516129032259</v>
      </c>
      <c r="N17" s="203">
        <f t="shared" si="24"/>
        <v>183</v>
      </c>
      <c r="O17" s="203">
        <f t="shared" si="5"/>
        <v>3937.4516129032259</v>
      </c>
      <c r="P17" s="203">
        <f t="shared" si="25"/>
        <v>183</v>
      </c>
      <c r="Q17" s="203">
        <f t="shared" si="6"/>
        <v>3937.4516129032259</v>
      </c>
      <c r="R17" s="203">
        <f t="shared" si="26"/>
        <v>183</v>
      </c>
      <c r="S17" s="203">
        <f t="shared" si="7"/>
        <v>3937.4516129032259</v>
      </c>
      <c r="T17" s="203">
        <f t="shared" si="27"/>
        <v>183</v>
      </c>
      <c r="U17" s="203">
        <f t="shared" si="8"/>
        <v>3937.4516129032259</v>
      </c>
      <c r="V17" s="203">
        <f t="shared" si="28"/>
        <v>183</v>
      </c>
      <c r="W17" s="203">
        <f t="shared" si="9"/>
        <v>3937.4516129032259</v>
      </c>
      <c r="X17" s="35">
        <f t="shared" si="10"/>
        <v>0.59032258064516141</v>
      </c>
      <c r="Y17" s="36">
        <f t="shared" si="29"/>
        <v>43311.967741935492</v>
      </c>
      <c r="Z17" s="203">
        <f>'B5'!C16</f>
        <v>189</v>
      </c>
      <c r="AA17" s="203">
        <f t="shared" si="30"/>
        <v>1890</v>
      </c>
      <c r="AB17" s="203">
        <f t="shared" si="31"/>
        <v>189</v>
      </c>
      <c r="AC17" s="203">
        <f t="shared" si="30"/>
        <v>1890</v>
      </c>
      <c r="AD17" s="203">
        <f t="shared" si="32"/>
        <v>189</v>
      </c>
      <c r="AE17" s="203">
        <f t="shared" si="11"/>
        <v>1890</v>
      </c>
      <c r="AF17" s="203">
        <f t="shared" si="33"/>
        <v>189</v>
      </c>
      <c r="AG17" s="203">
        <f t="shared" si="12"/>
        <v>1890</v>
      </c>
      <c r="AH17" s="203">
        <f t="shared" si="34"/>
        <v>189</v>
      </c>
      <c r="AI17" s="203">
        <f t="shared" si="13"/>
        <v>1890</v>
      </c>
      <c r="AJ17" s="203">
        <f t="shared" si="35"/>
        <v>189</v>
      </c>
      <c r="AK17" s="203">
        <f t="shared" si="14"/>
        <v>1890</v>
      </c>
      <c r="AL17" s="203">
        <f t="shared" si="36"/>
        <v>189</v>
      </c>
      <c r="AM17" s="203">
        <f t="shared" si="15"/>
        <v>1890</v>
      </c>
      <c r="AN17" s="35">
        <f t="shared" si="16"/>
        <v>0.67500000000000004</v>
      </c>
      <c r="AO17" s="36">
        <f>SUM(AA17+AC17+AE17+AG17+AI17+AK17+AM17)</f>
        <v>13230</v>
      </c>
      <c r="AQ17" s="223">
        <f t="shared" si="37"/>
        <v>0.60817433303146706</v>
      </c>
      <c r="AR17" s="38">
        <f t="shared" si="38"/>
        <v>56541.967741935492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189</v>
      </c>
      <c r="AA18" s="203">
        <f t="shared" si="30"/>
        <v>1890</v>
      </c>
      <c r="AB18" s="203">
        <f t="shared" si="31"/>
        <v>189</v>
      </c>
      <c r="AC18" s="203">
        <f t="shared" si="30"/>
        <v>1890</v>
      </c>
      <c r="AD18" s="203">
        <f t="shared" si="32"/>
        <v>189</v>
      </c>
      <c r="AE18" s="203">
        <f t="shared" si="11"/>
        <v>1890</v>
      </c>
      <c r="AF18" s="203">
        <f t="shared" si="33"/>
        <v>189</v>
      </c>
      <c r="AG18" s="203">
        <f t="shared" si="12"/>
        <v>1890</v>
      </c>
      <c r="AH18" s="203">
        <f t="shared" si="34"/>
        <v>189</v>
      </c>
      <c r="AI18" s="203">
        <f t="shared" si="13"/>
        <v>1890</v>
      </c>
      <c r="AJ18" s="203">
        <f t="shared" si="35"/>
        <v>189</v>
      </c>
      <c r="AK18" s="203">
        <f t="shared" si="14"/>
        <v>1890</v>
      </c>
      <c r="AL18" s="203">
        <f t="shared" si="36"/>
        <v>189</v>
      </c>
      <c r="AM18" s="203">
        <f t="shared" si="15"/>
        <v>1890</v>
      </c>
      <c r="AN18" s="35">
        <f t="shared" si="16"/>
        <v>0.67500000000000004</v>
      </c>
      <c r="AO18" s="36">
        <f t="shared" si="41"/>
        <v>13230</v>
      </c>
      <c r="AQ18" s="223">
        <f t="shared" si="37"/>
        <v>0.60817433303146706</v>
      </c>
      <c r="AR18" s="38">
        <f t="shared" si="38"/>
        <v>56541.967741935492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189</v>
      </c>
      <c r="AA19" s="203">
        <f t="shared" si="30"/>
        <v>1890</v>
      </c>
      <c r="AB19" s="203">
        <f t="shared" si="31"/>
        <v>189</v>
      </c>
      <c r="AC19" s="203">
        <f t="shared" si="30"/>
        <v>1890</v>
      </c>
      <c r="AD19" s="203">
        <f t="shared" si="32"/>
        <v>189</v>
      </c>
      <c r="AE19" s="203">
        <f t="shared" si="11"/>
        <v>1890</v>
      </c>
      <c r="AF19" s="203">
        <f t="shared" si="33"/>
        <v>189</v>
      </c>
      <c r="AG19" s="203">
        <f t="shared" si="12"/>
        <v>1890</v>
      </c>
      <c r="AH19" s="203">
        <f t="shared" si="34"/>
        <v>189</v>
      </c>
      <c r="AI19" s="203">
        <f t="shared" si="13"/>
        <v>1890</v>
      </c>
      <c r="AJ19" s="203">
        <f t="shared" si="35"/>
        <v>189</v>
      </c>
      <c r="AK19" s="203">
        <f t="shared" si="14"/>
        <v>1890</v>
      </c>
      <c r="AL19" s="203">
        <f t="shared" si="36"/>
        <v>189</v>
      </c>
      <c r="AM19" s="203">
        <f t="shared" si="15"/>
        <v>1890</v>
      </c>
      <c r="AN19" s="35">
        <f t="shared" si="16"/>
        <v>0.67500000000000004</v>
      </c>
      <c r="AO19" s="36">
        <f t="shared" si="41"/>
        <v>13230</v>
      </c>
      <c r="AQ19" s="223">
        <f t="shared" si="37"/>
        <v>0.60817433303146706</v>
      </c>
      <c r="AR19" s="38">
        <f t="shared" si="38"/>
        <v>56541.967741935492</v>
      </c>
      <c r="AS19" s="197">
        <f t="shared" ref="AS19:AS36" si="46">SUM(AR19-AR18-AT19)</f>
        <v>0</v>
      </c>
      <c r="AT19" s="342"/>
      <c r="AU19" s="557"/>
      <c r="AV19" s="490">
        <f t="shared" si="45"/>
        <v>0.69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189</v>
      </c>
      <c r="AA20" s="203">
        <f t="shared" si="30"/>
        <v>1890</v>
      </c>
      <c r="AB20" s="203">
        <f t="shared" si="31"/>
        <v>189</v>
      </c>
      <c r="AC20" s="203">
        <f t="shared" si="30"/>
        <v>1890</v>
      </c>
      <c r="AD20" s="203">
        <f t="shared" si="32"/>
        <v>189</v>
      </c>
      <c r="AE20" s="203">
        <f t="shared" si="11"/>
        <v>1890</v>
      </c>
      <c r="AF20" s="203">
        <f t="shared" si="33"/>
        <v>189</v>
      </c>
      <c r="AG20" s="203">
        <f t="shared" si="12"/>
        <v>1890</v>
      </c>
      <c r="AH20" s="203">
        <f t="shared" si="34"/>
        <v>189</v>
      </c>
      <c r="AI20" s="203">
        <f t="shared" si="13"/>
        <v>1890</v>
      </c>
      <c r="AJ20" s="203">
        <f t="shared" si="35"/>
        <v>189</v>
      </c>
      <c r="AK20" s="203">
        <f t="shared" si="14"/>
        <v>1890</v>
      </c>
      <c r="AL20" s="203">
        <f t="shared" si="36"/>
        <v>189</v>
      </c>
      <c r="AM20" s="203">
        <f t="shared" si="15"/>
        <v>1890</v>
      </c>
      <c r="AN20" s="35">
        <f t="shared" si="16"/>
        <v>0.67500000000000004</v>
      </c>
      <c r="AO20" s="36">
        <f t="shared" si="41"/>
        <v>13230</v>
      </c>
      <c r="AQ20" s="223">
        <f t="shared" si="37"/>
        <v>0.60817433303146706</v>
      </c>
      <c r="AR20" s="38">
        <f t="shared" si="38"/>
        <v>56541.967741935492</v>
      </c>
      <c r="AS20" s="197">
        <f t="shared" si="46"/>
        <v>0</v>
      </c>
      <c r="AT20" s="342"/>
      <c r="AU20" s="557"/>
      <c r="AV20" s="490">
        <f t="shared" si="45"/>
        <v>0.69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183</v>
      </c>
      <c r="C21" s="203">
        <f t="shared" si="18"/>
        <v>3937.4516129032259</v>
      </c>
      <c r="D21">
        <f t="shared" si="19"/>
        <v>183</v>
      </c>
      <c r="E21" s="203">
        <f t="shared" si="18"/>
        <v>3937.4516129032259</v>
      </c>
      <c r="F21">
        <f t="shared" si="20"/>
        <v>183</v>
      </c>
      <c r="G21" s="203">
        <f t="shared" si="1"/>
        <v>3937.4516129032259</v>
      </c>
      <c r="H21" s="203">
        <f t="shared" si="21"/>
        <v>183</v>
      </c>
      <c r="I21" s="203">
        <f t="shared" si="2"/>
        <v>3937.4516129032259</v>
      </c>
      <c r="J21" s="203">
        <f t="shared" si="22"/>
        <v>183</v>
      </c>
      <c r="K21" s="203">
        <f t="shared" si="3"/>
        <v>3937.4516129032259</v>
      </c>
      <c r="L21" s="203">
        <f t="shared" si="23"/>
        <v>183</v>
      </c>
      <c r="M21" s="203">
        <f t="shared" si="4"/>
        <v>3937.4516129032259</v>
      </c>
      <c r="N21" s="203">
        <f t="shared" si="24"/>
        <v>183</v>
      </c>
      <c r="O21" s="203">
        <f t="shared" si="5"/>
        <v>3937.4516129032259</v>
      </c>
      <c r="P21" s="203">
        <f t="shared" si="25"/>
        <v>183</v>
      </c>
      <c r="Q21" s="203">
        <f t="shared" si="6"/>
        <v>3937.4516129032259</v>
      </c>
      <c r="R21" s="203">
        <f t="shared" si="26"/>
        <v>183</v>
      </c>
      <c r="S21" s="203">
        <f t="shared" si="7"/>
        <v>3937.4516129032259</v>
      </c>
      <c r="T21" s="203">
        <f t="shared" si="27"/>
        <v>183</v>
      </c>
      <c r="U21" s="203">
        <f t="shared" si="8"/>
        <v>3937.4516129032259</v>
      </c>
      <c r="V21" s="203">
        <f t="shared" si="28"/>
        <v>183</v>
      </c>
      <c r="W21" s="203">
        <f t="shared" si="9"/>
        <v>3937.4516129032259</v>
      </c>
      <c r="X21" s="35">
        <f t="shared" si="10"/>
        <v>0.59032258064516141</v>
      </c>
      <c r="Y21" s="36">
        <f t="shared" si="29"/>
        <v>43311.967741935492</v>
      </c>
      <c r="Z21" s="203">
        <f>'B5'!C20</f>
        <v>189</v>
      </c>
      <c r="AA21" s="203">
        <f t="shared" si="30"/>
        <v>1890</v>
      </c>
      <c r="AB21" s="203">
        <f t="shared" si="31"/>
        <v>189</v>
      </c>
      <c r="AC21" s="203">
        <f t="shared" si="30"/>
        <v>1890</v>
      </c>
      <c r="AD21" s="203">
        <f t="shared" si="32"/>
        <v>189</v>
      </c>
      <c r="AE21" s="203">
        <f t="shared" si="11"/>
        <v>1890</v>
      </c>
      <c r="AF21" s="203">
        <f t="shared" si="33"/>
        <v>189</v>
      </c>
      <c r="AG21" s="203">
        <f t="shared" si="12"/>
        <v>1890</v>
      </c>
      <c r="AH21" s="203">
        <f t="shared" si="34"/>
        <v>189</v>
      </c>
      <c r="AI21" s="203">
        <f t="shared" si="13"/>
        <v>1890</v>
      </c>
      <c r="AJ21" s="203">
        <f t="shared" si="35"/>
        <v>189</v>
      </c>
      <c r="AK21" s="203">
        <f t="shared" si="14"/>
        <v>1890</v>
      </c>
      <c r="AL21" s="203">
        <f t="shared" si="36"/>
        <v>189</v>
      </c>
      <c r="AM21" s="203">
        <f t="shared" si="15"/>
        <v>1890</v>
      </c>
      <c r="AN21" s="35">
        <f t="shared" si="16"/>
        <v>0.67500000000000004</v>
      </c>
      <c r="AO21" s="36">
        <f t="shared" si="41"/>
        <v>13230</v>
      </c>
      <c r="AQ21" s="223">
        <f t="shared" si="37"/>
        <v>0.60817433303146706</v>
      </c>
      <c r="AR21" s="38">
        <f t="shared" si="38"/>
        <v>56541.967741935492</v>
      </c>
      <c r="AS21" s="197">
        <f t="shared" si="46"/>
        <v>0</v>
      </c>
      <c r="AT21" s="342"/>
      <c r="AU21" s="557"/>
      <c r="AV21" s="490">
        <f t="shared" si="45"/>
        <v>0.69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189</v>
      </c>
      <c r="AA22" s="203">
        <f t="shared" si="30"/>
        <v>1890</v>
      </c>
      <c r="AB22" s="203">
        <f t="shared" si="31"/>
        <v>189</v>
      </c>
      <c r="AC22" s="203">
        <f t="shared" si="30"/>
        <v>1890</v>
      </c>
      <c r="AD22" s="203">
        <f t="shared" si="32"/>
        <v>189</v>
      </c>
      <c r="AE22" s="203">
        <f t="shared" si="11"/>
        <v>1890</v>
      </c>
      <c r="AF22" s="203">
        <f t="shared" si="33"/>
        <v>189</v>
      </c>
      <c r="AG22" s="203">
        <f t="shared" si="12"/>
        <v>1890</v>
      </c>
      <c r="AH22" s="203">
        <f t="shared" si="34"/>
        <v>189</v>
      </c>
      <c r="AI22" s="203">
        <f t="shared" si="13"/>
        <v>1890</v>
      </c>
      <c r="AJ22" s="203">
        <f t="shared" si="35"/>
        <v>189</v>
      </c>
      <c r="AK22" s="203">
        <f t="shared" si="14"/>
        <v>1890</v>
      </c>
      <c r="AL22" s="203">
        <f t="shared" si="36"/>
        <v>189</v>
      </c>
      <c r="AM22" s="203">
        <f t="shared" si="15"/>
        <v>1890</v>
      </c>
      <c r="AN22" s="35">
        <f t="shared" si="16"/>
        <v>0.67500000000000004</v>
      </c>
      <c r="AO22" s="36">
        <f t="shared" si="41"/>
        <v>13230</v>
      </c>
      <c r="AQ22" s="223">
        <f t="shared" si="37"/>
        <v>0.60817433303146706</v>
      </c>
      <c r="AR22" s="38">
        <f t="shared" si="38"/>
        <v>56541.967741935492</v>
      </c>
      <c r="AS22" s="197">
        <f t="shared" si="46"/>
        <v>0</v>
      </c>
      <c r="AT22" s="342"/>
      <c r="AU22" s="557"/>
      <c r="AV22" s="490">
        <f t="shared" si="43"/>
        <v>0.69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183</v>
      </c>
      <c r="C23" s="203">
        <f t="shared" si="18"/>
        <v>3937.4516129032259</v>
      </c>
      <c r="D23">
        <f t="shared" si="19"/>
        <v>183</v>
      </c>
      <c r="E23" s="203">
        <f t="shared" si="18"/>
        <v>3937.4516129032259</v>
      </c>
      <c r="F23">
        <f t="shared" si="20"/>
        <v>183</v>
      </c>
      <c r="G23" s="203">
        <f t="shared" si="1"/>
        <v>3937.4516129032259</v>
      </c>
      <c r="H23" s="203">
        <f t="shared" si="21"/>
        <v>183</v>
      </c>
      <c r="I23" s="203">
        <f t="shared" si="2"/>
        <v>3937.4516129032259</v>
      </c>
      <c r="J23" s="203">
        <f t="shared" si="22"/>
        <v>183</v>
      </c>
      <c r="K23" s="203">
        <f t="shared" si="3"/>
        <v>3937.4516129032259</v>
      </c>
      <c r="L23" s="203">
        <f t="shared" si="23"/>
        <v>183</v>
      </c>
      <c r="M23" s="203">
        <f t="shared" si="4"/>
        <v>3937.4516129032259</v>
      </c>
      <c r="N23" s="203">
        <f t="shared" si="24"/>
        <v>183</v>
      </c>
      <c r="O23" s="203">
        <f t="shared" si="5"/>
        <v>3937.4516129032259</v>
      </c>
      <c r="P23" s="203">
        <f t="shared" si="25"/>
        <v>183</v>
      </c>
      <c r="Q23" s="203">
        <f t="shared" si="6"/>
        <v>3937.4516129032259</v>
      </c>
      <c r="R23" s="203">
        <f t="shared" si="26"/>
        <v>183</v>
      </c>
      <c r="S23" s="203">
        <f t="shared" si="7"/>
        <v>3937.4516129032259</v>
      </c>
      <c r="T23" s="203">
        <f t="shared" si="27"/>
        <v>183</v>
      </c>
      <c r="U23" s="203">
        <f t="shared" si="8"/>
        <v>3937.4516129032259</v>
      </c>
      <c r="V23" s="203">
        <f t="shared" si="28"/>
        <v>183</v>
      </c>
      <c r="W23" s="203">
        <f t="shared" si="9"/>
        <v>3937.4516129032259</v>
      </c>
      <c r="X23" s="35">
        <f t="shared" si="10"/>
        <v>0.59032258064516141</v>
      </c>
      <c r="Y23" s="36">
        <f t="shared" si="29"/>
        <v>43311.967741935492</v>
      </c>
      <c r="Z23" s="203">
        <f>'B5'!C22</f>
        <v>189</v>
      </c>
      <c r="AA23" s="203">
        <f t="shared" si="30"/>
        <v>1890</v>
      </c>
      <c r="AB23" s="203">
        <f t="shared" si="31"/>
        <v>189</v>
      </c>
      <c r="AC23" s="203">
        <f t="shared" si="30"/>
        <v>1890</v>
      </c>
      <c r="AD23" s="203">
        <f t="shared" si="32"/>
        <v>189</v>
      </c>
      <c r="AE23" s="203">
        <f t="shared" si="11"/>
        <v>1890</v>
      </c>
      <c r="AF23" s="203">
        <f t="shared" si="33"/>
        <v>189</v>
      </c>
      <c r="AG23" s="203">
        <f t="shared" si="12"/>
        <v>1890</v>
      </c>
      <c r="AH23" s="203">
        <f t="shared" si="34"/>
        <v>189</v>
      </c>
      <c r="AI23" s="203">
        <f t="shared" si="13"/>
        <v>1890</v>
      </c>
      <c r="AJ23" s="203">
        <f t="shared" si="35"/>
        <v>189</v>
      </c>
      <c r="AK23" s="203">
        <f t="shared" si="14"/>
        <v>1890</v>
      </c>
      <c r="AL23" s="203">
        <f t="shared" si="36"/>
        <v>189</v>
      </c>
      <c r="AM23" s="203">
        <f t="shared" si="15"/>
        <v>1890</v>
      </c>
      <c r="AN23" s="35">
        <f t="shared" si="16"/>
        <v>0.67500000000000004</v>
      </c>
      <c r="AO23" s="36">
        <f t="shared" si="41"/>
        <v>13230</v>
      </c>
      <c r="AQ23" s="223">
        <f t="shared" si="37"/>
        <v>0.60817433303146706</v>
      </c>
      <c r="AR23" s="38">
        <f t="shared" si="38"/>
        <v>56541.967741935492</v>
      </c>
      <c r="AS23" s="197">
        <f t="shared" si="46"/>
        <v>0</v>
      </c>
      <c r="AT23" s="342"/>
      <c r="AU23" s="557"/>
      <c r="AV23" s="490">
        <f t="shared" si="43"/>
        <v>0.69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183</v>
      </c>
      <c r="C24" s="203">
        <f t="shared" si="18"/>
        <v>3937.4516129032259</v>
      </c>
      <c r="D24">
        <f t="shared" si="19"/>
        <v>183</v>
      </c>
      <c r="E24" s="203">
        <f t="shared" si="18"/>
        <v>3937.4516129032259</v>
      </c>
      <c r="F24">
        <f t="shared" si="20"/>
        <v>183</v>
      </c>
      <c r="G24" s="203">
        <f t="shared" si="1"/>
        <v>3937.4516129032259</v>
      </c>
      <c r="H24" s="203">
        <f t="shared" si="21"/>
        <v>183</v>
      </c>
      <c r="I24" s="203">
        <f t="shared" si="2"/>
        <v>3937.4516129032259</v>
      </c>
      <c r="J24" s="203">
        <f t="shared" si="22"/>
        <v>183</v>
      </c>
      <c r="K24" s="203">
        <f t="shared" si="3"/>
        <v>3937.4516129032259</v>
      </c>
      <c r="L24" s="203">
        <f t="shared" si="23"/>
        <v>183</v>
      </c>
      <c r="M24" s="203">
        <f t="shared" si="4"/>
        <v>3937.4516129032259</v>
      </c>
      <c r="N24" s="203">
        <f t="shared" si="24"/>
        <v>183</v>
      </c>
      <c r="O24" s="203">
        <f t="shared" si="5"/>
        <v>3937.4516129032259</v>
      </c>
      <c r="P24" s="203">
        <f t="shared" si="25"/>
        <v>183</v>
      </c>
      <c r="Q24" s="203">
        <f t="shared" si="6"/>
        <v>3937.4516129032259</v>
      </c>
      <c r="R24" s="203">
        <f t="shared" si="26"/>
        <v>183</v>
      </c>
      <c r="S24" s="203">
        <f t="shared" si="7"/>
        <v>3937.4516129032259</v>
      </c>
      <c r="T24" s="203">
        <f t="shared" si="27"/>
        <v>183</v>
      </c>
      <c r="U24" s="203">
        <f t="shared" si="8"/>
        <v>3937.4516129032259</v>
      </c>
      <c r="V24" s="203">
        <f t="shared" si="28"/>
        <v>183</v>
      </c>
      <c r="W24" s="203">
        <f t="shared" si="9"/>
        <v>3937.4516129032259</v>
      </c>
      <c r="X24" s="35">
        <f t="shared" si="10"/>
        <v>0.59032258064516141</v>
      </c>
      <c r="Y24" s="36">
        <f t="shared" si="29"/>
        <v>43311.967741935492</v>
      </c>
      <c r="Z24" s="203">
        <f>'B5'!C23</f>
        <v>189</v>
      </c>
      <c r="AA24" s="203">
        <f t="shared" si="30"/>
        <v>1890</v>
      </c>
      <c r="AB24" s="203">
        <f t="shared" si="31"/>
        <v>189</v>
      </c>
      <c r="AC24" s="203">
        <f t="shared" si="30"/>
        <v>1890</v>
      </c>
      <c r="AD24" s="203">
        <f t="shared" si="32"/>
        <v>189</v>
      </c>
      <c r="AE24" s="203">
        <f t="shared" si="11"/>
        <v>1890</v>
      </c>
      <c r="AF24" s="203">
        <f t="shared" si="33"/>
        <v>189</v>
      </c>
      <c r="AG24" s="203">
        <f t="shared" si="12"/>
        <v>1890</v>
      </c>
      <c r="AH24" s="203">
        <f t="shared" si="34"/>
        <v>189</v>
      </c>
      <c r="AI24" s="203">
        <f t="shared" si="13"/>
        <v>1890</v>
      </c>
      <c r="AJ24" s="203">
        <f t="shared" si="35"/>
        <v>189</v>
      </c>
      <c r="AK24" s="203">
        <f t="shared" si="14"/>
        <v>1890</v>
      </c>
      <c r="AL24" s="203">
        <f t="shared" si="36"/>
        <v>189</v>
      </c>
      <c r="AM24" s="203">
        <f t="shared" si="15"/>
        <v>1890</v>
      </c>
      <c r="AN24" s="35">
        <f t="shared" si="16"/>
        <v>0.67500000000000004</v>
      </c>
      <c r="AO24" s="36">
        <f t="shared" si="41"/>
        <v>13230</v>
      </c>
      <c r="AQ24" s="223">
        <f t="shared" si="37"/>
        <v>0.60817433303146706</v>
      </c>
      <c r="AR24" s="38">
        <f t="shared" si="38"/>
        <v>56541.967741935492</v>
      </c>
      <c r="AS24" s="197">
        <f t="shared" si="46"/>
        <v>0</v>
      </c>
      <c r="AT24" s="342"/>
      <c r="AU24" s="557"/>
      <c r="AV24" s="490">
        <f t="shared" si="43"/>
        <v>0.69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183</v>
      </c>
      <c r="C25" s="203">
        <f t="shared" si="18"/>
        <v>3937.4516129032259</v>
      </c>
      <c r="D25">
        <f t="shared" si="19"/>
        <v>183</v>
      </c>
      <c r="E25" s="203">
        <f t="shared" si="18"/>
        <v>3937.4516129032259</v>
      </c>
      <c r="F25">
        <f t="shared" si="20"/>
        <v>183</v>
      </c>
      <c r="G25" s="203">
        <f t="shared" si="1"/>
        <v>3937.4516129032259</v>
      </c>
      <c r="H25" s="203">
        <f t="shared" si="21"/>
        <v>183</v>
      </c>
      <c r="I25" s="203">
        <f t="shared" si="2"/>
        <v>3937.4516129032259</v>
      </c>
      <c r="J25" s="203">
        <f t="shared" si="22"/>
        <v>183</v>
      </c>
      <c r="K25" s="203">
        <f t="shared" si="3"/>
        <v>3937.4516129032259</v>
      </c>
      <c r="L25" s="203">
        <f t="shared" si="23"/>
        <v>183</v>
      </c>
      <c r="M25" s="203">
        <f t="shared" si="4"/>
        <v>3937.4516129032259</v>
      </c>
      <c r="N25" s="203">
        <f t="shared" si="24"/>
        <v>183</v>
      </c>
      <c r="O25" s="203">
        <f t="shared" si="5"/>
        <v>3937.4516129032259</v>
      </c>
      <c r="P25" s="203">
        <f t="shared" si="25"/>
        <v>183</v>
      </c>
      <c r="Q25" s="203">
        <f t="shared" si="6"/>
        <v>3937.4516129032259</v>
      </c>
      <c r="R25" s="203">
        <f t="shared" si="26"/>
        <v>183</v>
      </c>
      <c r="S25" s="203">
        <f t="shared" si="7"/>
        <v>3937.4516129032259</v>
      </c>
      <c r="T25" s="203">
        <f t="shared" si="27"/>
        <v>183</v>
      </c>
      <c r="U25" s="203">
        <f t="shared" si="8"/>
        <v>3937.4516129032259</v>
      </c>
      <c r="V25" s="203">
        <f t="shared" si="28"/>
        <v>183</v>
      </c>
      <c r="W25" s="203">
        <f t="shared" si="9"/>
        <v>3937.4516129032259</v>
      </c>
      <c r="X25" s="35">
        <f t="shared" si="10"/>
        <v>0.59032258064516141</v>
      </c>
      <c r="Y25" s="36">
        <f t="shared" si="29"/>
        <v>43311.967741935492</v>
      </c>
      <c r="Z25" s="203">
        <f>'B5'!C24</f>
        <v>189</v>
      </c>
      <c r="AA25" s="203">
        <f t="shared" si="30"/>
        <v>1890</v>
      </c>
      <c r="AB25" s="203">
        <f t="shared" si="31"/>
        <v>189</v>
      </c>
      <c r="AC25" s="203">
        <f t="shared" si="30"/>
        <v>1890</v>
      </c>
      <c r="AD25" s="203">
        <f t="shared" si="32"/>
        <v>189</v>
      </c>
      <c r="AE25" s="203">
        <f t="shared" si="11"/>
        <v>1890</v>
      </c>
      <c r="AF25" s="203">
        <f t="shared" si="33"/>
        <v>189</v>
      </c>
      <c r="AG25" s="203">
        <f t="shared" si="12"/>
        <v>1890</v>
      </c>
      <c r="AH25" s="203">
        <f t="shared" si="34"/>
        <v>189</v>
      </c>
      <c r="AI25" s="203">
        <f t="shared" si="13"/>
        <v>1890</v>
      </c>
      <c r="AJ25" s="203">
        <f t="shared" si="35"/>
        <v>189</v>
      </c>
      <c r="AK25" s="203">
        <f t="shared" si="14"/>
        <v>1890</v>
      </c>
      <c r="AL25" s="203">
        <f t="shared" si="36"/>
        <v>189</v>
      </c>
      <c r="AM25" s="203">
        <f t="shared" si="15"/>
        <v>1890</v>
      </c>
      <c r="AN25" s="35">
        <f t="shared" si="16"/>
        <v>0.67500000000000004</v>
      </c>
      <c r="AO25" s="36">
        <f t="shared" si="41"/>
        <v>13230</v>
      </c>
      <c r="AQ25" s="223">
        <f t="shared" si="37"/>
        <v>0.60817433303146706</v>
      </c>
      <c r="AR25" s="38">
        <f t="shared" si="38"/>
        <v>56541.967741935492</v>
      </c>
      <c r="AS25" s="197">
        <f t="shared" si="46"/>
        <v>0</v>
      </c>
      <c r="AT25" s="342"/>
      <c r="AU25" s="558"/>
      <c r="AV25" s="490">
        <f t="shared" si="43"/>
        <v>0.69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183</v>
      </c>
      <c r="C26" s="203">
        <f t="shared" si="18"/>
        <v>3937.4516129032259</v>
      </c>
      <c r="D26">
        <f t="shared" si="19"/>
        <v>183</v>
      </c>
      <c r="E26" s="203">
        <f t="shared" si="18"/>
        <v>3937.4516129032259</v>
      </c>
      <c r="F26">
        <f t="shared" si="20"/>
        <v>183</v>
      </c>
      <c r="G26" s="203">
        <f t="shared" si="1"/>
        <v>3937.4516129032259</v>
      </c>
      <c r="H26" s="203">
        <f t="shared" si="21"/>
        <v>183</v>
      </c>
      <c r="I26" s="203">
        <f t="shared" si="2"/>
        <v>3937.4516129032259</v>
      </c>
      <c r="J26" s="203">
        <f t="shared" si="22"/>
        <v>183</v>
      </c>
      <c r="K26" s="203">
        <f t="shared" si="3"/>
        <v>3937.4516129032259</v>
      </c>
      <c r="L26" s="203">
        <f t="shared" si="23"/>
        <v>183</v>
      </c>
      <c r="M26" s="203">
        <f t="shared" si="4"/>
        <v>3937.4516129032259</v>
      </c>
      <c r="N26" s="203">
        <f t="shared" si="24"/>
        <v>183</v>
      </c>
      <c r="O26" s="203">
        <f t="shared" si="5"/>
        <v>3937.4516129032259</v>
      </c>
      <c r="P26" s="203">
        <f t="shared" si="25"/>
        <v>183</v>
      </c>
      <c r="Q26" s="203">
        <f t="shared" si="6"/>
        <v>3937.4516129032259</v>
      </c>
      <c r="R26" s="203">
        <f t="shared" si="26"/>
        <v>183</v>
      </c>
      <c r="S26" s="203">
        <f t="shared" si="7"/>
        <v>3937.4516129032259</v>
      </c>
      <c r="T26" s="203">
        <f t="shared" si="27"/>
        <v>183</v>
      </c>
      <c r="U26" s="203">
        <f t="shared" si="8"/>
        <v>3937.4516129032259</v>
      </c>
      <c r="V26" s="203">
        <f t="shared" si="28"/>
        <v>183</v>
      </c>
      <c r="W26" s="203">
        <f t="shared" si="9"/>
        <v>3937.4516129032259</v>
      </c>
      <c r="X26" s="35">
        <f t="shared" si="10"/>
        <v>0.59032258064516141</v>
      </c>
      <c r="Y26" s="36">
        <f t="shared" si="29"/>
        <v>43311.967741935492</v>
      </c>
      <c r="Z26" s="203">
        <f>'B5'!C25</f>
        <v>189</v>
      </c>
      <c r="AA26" s="203">
        <f t="shared" si="30"/>
        <v>1890</v>
      </c>
      <c r="AB26" s="203">
        <f t="shared" si="31"/>
        <v>189</v>
      </c>
      <c r="AC26" s="203">
        <f t="shared" si="30"/>
        <v>1890</v>
      </c>
      <c r="AD26" s="203">
        <f t="shared" si="32"/>
        <v>189</v>
      </c>
      <c r="AE26" s="203">
        <f t="shared" si="11"/>
        <v>1890</v>
      </c>
      <c r="AF26" s="203">
        <f t="shared" si="33"/>
        <v>189</v>
      </c>
      <c r="AG26" s="203">
        <f t="shared" si="12"/>
        <v>1890</v>
      </c>
      <c r="AH26" s="203">
        <f t="shared" si="34"/>
        <v>189</v>
      </c>
      <c r="AI26" s="203">
        <f t="shared" si="13"/>
        <v>1890</v>
      </c>
      <c r="AJ26" s="203">
        <f t="shared" si="35"/>
        <v>189</v>
      </c>
      <c r="AK26" s="203">
        <f t="shared" si="14"/>
        <v>1890</v>
      </c>
      <c r="AL26" s="203">
        <f t="shared" si="36"/>
        <v>189</v>
      </c>
      <c r="AM26" s="203">
        <f t="shared" si="15"/>
        <v>1890</v>
      </c>
      <c r="AN26" s="35">
        <f t="shared" si="16"/>
        <v>0.67500000000000004</v>
      </c>
      <c r="AO26" s="36">
        <f t="shared" si="41"/>
        <v>13230</v>
      </c>
      <c r="AQ26" s="223">
        <f t="shared" si="37"/>
        <v>0.60817433303146706</v>
      </c>
      <c r="AR26" s="38">
        <f t="shared" si="38"/>
        <v>56541.967741935492</v>
      </c>
      <c r="AS26" s="197">
        <f t="shared" si="46"/>
        <v>0</v>
      </c>
      <c r="AT26" s="342"/>
      <c r="AU26" s="557"/>
      <c r="AV26" s="490">
        <f t="shared" si="43"/>
        <v>0.69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183</v>
      </c>
      <c r="C27" s="203">
        <f t="shared" si="18"/>
        <v>3937.4516129032259</v>
      </c>
      <c r="D27">
        <f t="shared" si="19"/>
        <v>183</v>
      </c>
      <c r="E27" s="203">
        <f t="shared" si="18"/>
        <v>3937.4516129032259</v>
      </c>
      <c r="F27">
        <f t="shared" si="20"/>
        <v>183</v>
      </c>
      <c r="G27" s="203">
        <f t="shared" si="1"/>
        <v>3937.4516129032259</v>
      </c>
      <c r="H27" s="203">
        <f t="shared" si="21"/>
        <v>183</v>
      </c>
      <c r="I27" s="203">
        <f t="shared" si="2"/>
        <v>3937.4516129032259</v>
      </c>
      <c r="J27" s="203">
        <f t="shared" si="22"/>
        <v>183</v>
      </c>
      <c r="K27" s="203">
        <f t="shared" si="3"/>
        <v>3937.4516129032259</v>
      </c>
      <c r="L27" s="203">
        <f t="shared" si="23"/>
        <v>183</v>
      </c>
      <c r="M27" s="203">
        <f t="shared" si="4"/>
        <v>3937.4516129032259</v>
      </c>
      <c r="N27" s="203">
        <f t="shared" si="24"/>
        <v>183</v>
      </c>
      <c r="O27" s="203">
        <f t="shared" si="5"/>
        <v>3937.4516129032259</v>
      </c>
      <c r="P27" s="203">
        <f t="shared" si="25"/>
        <v>183</v>
      </c>
      <c r="Q27" s="203">
        <f t="shared" si="6"/>
        <v>3937.4516129032259</v>
      </c>
      <c r="R27" s="203">
        <f t="shared" si="26"/>
        <v>183</v>
      </c>
      <c r="S27" s="203">
        <f t="shared" si="7"/>
        <v>3937.4516129032259</v>
      </c>
      <c r="T27" s="203">
        <f t="shared" si="27"/>
        <v>183</v>
      </c>
      <c r="U27" s="203">
        <f t="shared" si="8"/>
        <v>3937.4516129032259</v>
      </c>
      <c r="V27" s="203">
        <f t="shared" si="28"/>
        <v>183</v>
      </c>
      <c r="W27" s="203">
        <f t="shared" si="9"/>
        <v>3937.4516129032259</v>
      </c>
      <c r="X27" s="35">
        <f t="shared" si="10"/>
        <v>0.59032258064516141</v>
      </c>
      <c r="Y27" s="36">
        <f t="shared" si="29"/>
        <v>43311.967741935492</v>
      </c>
      <c r="Z27" s="203">
        <f>'B5'!C26</f>
        <v>189</v>
      </c>
      <c r="AA27" s="203">
        <f t="shared" si="30"/>
        <v>1890</v>
      </c>
      <c r="AB27" s="203">
        <f t="shared" si="31"/>
        <v>189</v>
      </c>
      <c r="AC27" s="203">
        <f t="shared" si="30"/>
        <v>1890</v>
      </c>
      <c r="AD27" s="203">
        <f t="shared" si="32"/>
        <v>189</v>
      </c>
      <c r="AE27" s="203">
        <f t="shared" si="11"/>
        <v>1890</v>
      </c>
      <c r="AF27" s="203">
        <f t="shared" si="33"/>
        <v>189</v>
      </c>
      <c r="AG27" s="203">
        <f t="shared" si="12"/>
        <v>1890</v>
      </c>
      <c r="AH27" s="203">
        <f t="shared" si="34"/>
        <v>189</v>
      </c>
      <c r="AI27" s="203">
        <f t="shared" si="13"/>
        <v>1890</v>
      </c>
      <c r="AJ27" s="203">
        <f t="shared" si="35"/>
        <v>189</v>
      </c>
      <c r="AK27" s="203">
        <f t="shared" si="14"/>
        <v>1890</v>
      </c>
      <c r="AL27" s="203">
        <f t="shared" si="36"/>
        <v>189</v>
      </c>
      <c r="AM27" s="203">
        <f t="shared" si="15"/>
        <v>1890</v>
      </c>
      <c r="AN27" s="35">
        <f t="shared" si="16"/>
        <v>0.67500000000000004</v>
      </c>
      <c r="AO27" s="36">
        <f t="shared" si="41"/>
        <v>13230</v>
      </c>
      <c r="AQ27" s="223">
        <f t="shared" si="37"/>
        <v>0.60817433303146706</v>
      </c>
      <c r="AR27" s="38">
        <f t="shared" si="38"/>
        <v>56541.967741935492</v>
      </c>
      <c r="AS27" s="197">
        <f t="shared" si="46"/>
        <v>0</v>
      </c>
      <c r="AT27" s="342"/>
      <c r="AU27" s="557"/>
      <c r="AV27" s="490">
        <f t="shared" si="43"/>
        <v>0.69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183</v>
      </c>
      <c r="C28" s="203">
        <f t="shared" si="18"/>
        <v>3937.4516129032259</v>
      </c>
      <c r="D28">
        <f t="shared" si="19"/>
        <v>183</v>
      </c>
      <c r="E28" s="203">
        <f t="shared" si="18"/>
        <v>3937.4516129032259</v>
      </c>
      <c r="F28">
        <f t="shared" si="20"/>
        <v>183</v>
      </c>
      <c r="G28" s="203">
        <f t="shared" si="1"/>
        <v>3937.4516129032259</v>
      </c>
      <c r="H28" s="203">
        <f t="shared" si="21"/>
        <v>183</v>
      </c>
      <c r="I28" s="203">
        <f t="shared" si="2"/>
        <v>3937.4516129032259</v>
      </c>
      <c r="J28" s="203">
        <f t="shared" si="22"/>
        <v>183</v>
      </c>
      <c r="K28" s="203">
        <f t="shared" si="3"/>
        <v>3937.4516129032259</v>
      </c>
      <c r="L28" s="203">
        <f t="shared" si="23"/>
        <v>183</v>
      </c>
      <c r="M28" s="203">
        <f t="shared" si="4"/>
        <v>3937.4516129032259</v>
      </c>
      <c r="N28" s="203">
        <f t="shared" si="24"/>
        <v>183</v>
      </c>
      <c r="O28" s="203">
        <f t="shared" si="5"/>
        <v>3937.4516129032259</v>
      </c>
      <c r="P28" s="203">
        <f t="shared" si="25"/>
        <v>183</v>
      </c>
      <c r="Q28" s="203">
        <f t="shared" si="6"/>
        <v>3937.4516129032259</v>
      </c>
      <c r="R28" s="203">
        <f t="shared" si="26"/>
        <v>183</v>
      </c>
      <c r="S28" s="203">
        <f t="shared" si="7"/>
        <v>3937.4516129032259</v>
      </c>
      <c r="T28" s="203">
        <f t="shared" si="27"/>
        <v>183</v>
      </c>
      <c r="U28" s="203">
        <f t="shared" si="8"/>
        <v>3937.4516129032259</v>
      </c>
      <c r="V28" s="203">
        <f t="shared" si="28"/>
        <v>183</v>
      </c>
      <c r="W28" s="203">
        <f t="shared" si="9"/>
        <v>3937.4516129032259</v>
      </c>
      <c r="X28" s="35">
        <f t="shared" si="10"/>
        <v>0.59032258064516141</v>
      </c>
      <c r="Y28" s="36">
        <f t="shared" si="29"/>
        <v>43311.967741935492</v>
      </c>
      <c r="Z28" s="203">
        <f>'B5'!C27</f>
        <v>189</v>
      </c>
      <c r="AA28" s="203">
        <f t="shared" si="30"/>
        <v>1890</v>
      </c>
      <c r="AB28" s="203">
        <f t="shared" si="31"/>
        <v>189</v>
      </c>
      <c r="AC28" s="203">
        <f t="shared" si="30"/>
        <v>1890</v>
      </c>
      <c r="AD28" s="203">
        <f t="shared" si="32"/>
        <v>189</v>
      </c>
      <c r="AE28" s="203">
        <f t="shared" si="11"/>
        <v>1890</v>
      </c>
      <c r="AF28" s="203">
        <f t="shared" si="33"/>
        <v>189</v>
      </c>
      <c r="AG28" s="203">
        <f t="shared" si="12"/>
        <v>1890</v>
      </c>
      <c r="AH28" s="203">
        <f t="shared" si="34"/>
        <v>189</v>
      </c>
      <c r="AI28" s="203">
        <f t="shared" si="13"/>
        <v>1890</v>
      </c>
      <c r="AJ28" s="203">
        <f t="shared" si="35"/>
        <v>189</v>
      </c>
      <c r="AK28" s="203">
        <f t="shared" si="14"/>
        <v>1890</v>
      </c>
      <c r="AL28" s="203">
        <f t="shared" si="36"/>
        <v>189</v>
      </c>
      <c r="AM28" s="203">
        <f t="shared" si="15"/>
        <v>1890</v>
      </c>
      <c r="AN28" s="35">
        <f t="shared" si="16"/>
        <v>0.67500000000000004</v>
      </c>
      <c r="AO28" s="36">
        <f t="shared" si="41"/>
        <v>13230</v>
      </c>
      <c r="AQ28" s="223">
        <f t="shared" si="37"/>
        <v>0.60817433303146706</v>
      </c>
      <c r="AR28" s="38">
        <f t="shared" si="38"/>
        <v>56541.967741935492</v>
      </c>
      <c r="AS28" s="197">
        <f t="shared" si="46"/>
        <v>0</v>
      </c>
      <c r="AT28" s="342"/>
      <c r="AU28" s="558"/>
      <c r="AV28" s="490">
        <f t="shared" si="43"/>
        <v>0.69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183</v>
      </c>
      <c r="C29" s="203">
        <f t="shared" si="18"/>
        <v>3937.4516129032259</v>
      </c>
      <c r="D29">
        <f t="shared" si="19"/>
        <v>183</v>
      </c>
      <c r="E29" s="203">
        <f t="shared" si="18"/>
        <v>3937.4516129032259</v>
      </c>
      <c r="F29">
        <f t="shared" si="20"/>
        <v>183</v>
      </c>
      <c r="G29" s="203">
        <f t="shared" si="1"/>
        <v>3937.4516129032259</v>
      </c>
      <c r="H29" s="203">
        <f t="shared" si="21"/>
        <v>183</v>
      </c>
      <c r="I29" s="203">
        <f t="shared" si="2"/>
        <v>3937.4516129032259</v>
      </c>
      <c r="J29" s="203">
        <f t="shared" si="22"/>
        <v>183</v>
      </c>
      <c r="K29" s="203">
        <f t="shared" si="3"/>
        <v>3937.4516129032259</v>
      </c>
      <c r="L29" s="203">
        <f t="shared" si="23"/>
        <v>183</v>
      </c>
      <c r="M29" s="203">
        <f t="shared" si="4"/>
        <v>3937.4516129032259</v>
      </c>
      <c r="N29" s="203">
        <f t="shared" si="24"/>
        <v>183</v>
      </c>
      <c r="O29" s="203">
        <f t="shared" si="5"/>
        <v>3937.4516129032259</v>
      </c>
      <c r="P29" s="203">
        <f t="shared" si="25"/>
        <v>183</v>
      </c>
      <c r="Q29" s="203">
        <f t="shared" si="6"/>
        <v>3937.4516129032259</v>
      </c>
      <c r="R29" s="203">
        <f t="shared" si="26"/>
        <v>183</v>
      </c>
      <c r="S29" s="203">
        <f t="shared" si="7"/>
        <v>3937.4516129032259</v>
      </c>
      <c r="T29" s="203">
        <f t="shared" si="27"/>
        <v>183</v>
      </c>
      <c r="U29" s="203">
        <f t="shared" si="8"/>
        <v>3937.4516129032259</v>
      </c>
      <c r="V29" s="203">
        <f t="shared" si="28"/>
        <v>183</v>
      </c>
      <c r="W29" s="203">
        <f t="shared" si="9"/>
        <v>3937.4516129032259</v>
      </c>
      <c r="X29" s="35">
        <f t="shared" si="10"/>
        <v>0.59032258064516141</v>
      </c>
      <c r="Y29" s="36">
        <f t="shared" si="29"/>
        <v>43311.967741935492</v>
      </c>
      <c r="Z29" s="203">
        <f>'B5'!C28</f>
        <v>189</v>
      </c>
      <c r="AA29" s="203">
        <f t="shared" si="30"/>
        <v>1890</v>
      </c>
      <c r="AB29" s="203">
        <f t="shared" si="31"/>
        <v>189</v>
      </c>
      <c r="AC29" s="203">
        <f t="shared" si="30"/>
        <v>1890</v>
      </c>
      <c r="AD29" s="203">
        <f t="shared" si="32"/>
        <v>189</v>
      </c>
      <c r="AE29" s="203">
        <f t="shared" si="11"/>
        <v>1890</v>
      </c>
      <c r="AF29" s="203">
        <f t="shared" si="33"/>
        <v>189</v>
      </c>
      <c r="AG29" s="203">
        <f t="shared" si="12"/>
        <v>1890</v>
      </c>
      <c r="AH29" s="203">
        <f t="shared" si="34"/>
        <v>189</v>
      </c>
      <c r="AI29" s="203">
        <f t="shared" si="13"/>
        <v>1890</v>
      </c>
      <c r="AJ29" s="203">
        <f t="shared" si="35"/>
        <v>189</v>
      </c>
      <c r="AK29" s="203">
        <f t="shared" si="14"/>
        <v>1890</v>
      </c>
      <c r="AL29" s="203">
        <f t="shared" si="36"/>
        <v>189</v>
      </c>
      <c r="AM29" s="203">
        <f t="shared" si="15"/>
        <v>1890</v>
      </c>
      <c r="AN29" s="35">
        <f t="shared" si="16"/>
        <v>0.67500000000000004</v>
      </c>
      <c r="AO29" s="36">
        <f t="shared" si="41"/>
        <v>13230</v>
      </c>
      <c r="AQ29" s="223">
        <f t="shared" si="37"/>
        <v>0.60817433303146706</v>
      </c>
      <c r="AR29" s="38">
        <f t="shared" si="38"/>
        <v>56541.967741935492</v>
      </c>
      <c r="AS29" s="197">
        <f>SUM(AR29-AR28-AT29)</f>
        <v>0</v>
      </c>
      <c r="AT29" s="342"/>
      <c r="AU29" s="558"/>
      <c r="AV29" s="490">
        <f t="shared" si="43"/>
        <v>0.69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183</v>
      </c>
      <c r="C30" s="203">
        <f t="shared" si="18"/>
        <v>3937.4516129032259</v>
      </c>
      <c r="D30">
        <f t="shared" ref="D30:D35" si="47">SUM(B30)</f>
        <v>183</v>
      </c>
      <c r="E30" s="203">
        <f t="shared" si="18"/>
        <v>3937.4516129032259</v>
      </c>
      <c r="F30">
        <f t="shared" ref="F30:F35" si="48">SUM(D30)</f>
        <v>183</v>
      </c>
      <c r="G30" s="203">
        <f t="shared" si="1"/>
        <v>3937.4516129032259</v>
      </c>
      <c r="H30" s="203">
        <f t="shared" ref="H30:H35" si="49">SUM(F30)</f>
        <v>183</v>
      </c>
      <c r="I30" s="203">
        <f t="shared" si="2"/>
        <v>3937.4516129032259</v>
      </c>
      <c r="J30" s="203">
        <f t="shared" ref="J30:J35" si="50">SUM(H30)</f>
        <v>183</v>
      </c>
      <c r="K30" s="203">
        <f t="shared" si="3"/>
        <v>3937.4516129032259</v>
      </c>
      <c r="L30" s="203">
        <f t="shared" ref="L30:L35" si="51">SUM(J30)</f>
        <v>183</v>
      </c>
      <c r="M30" s="203">
        <f t="shared" si="4"/>
        <v>3937.4516129032259</v>
      </c>
      <c r="N30" s="203">
        <f t="shared" ref="N30:N35" si="52">SUM(L30)</f>
        <v>183</v>
      </c>
      <c r="O30" s="203">
        <f t="shared" si="5"/>
        <v>3937.4516129032259</v>
      </c>
      <c r="P30" s="203">
        <f t="shared" ref="P30:P35" si="53">SUM(N30)</f>
        <v>183</v>
      </c>
      <c r="Q30" s="203">
        <f t="shared" si="6"/>
        <v>3937.4516129032259</v>
      </c>
      <c r="R30" s="203">
        <f t="shared" ref="R30:R35" si="54">SUM(P30)</f>
        <v>183</v>
      </c>
      <c r="S30" s="203">
        <f t="shared" si="7"/>
        <v>3937.4516129032259</v>
      </c>
      <c r="T30" s="203">
        <f t="shared" ref="T30:T35" si="55">SUM(R30)</f>
        <v>183</v>
      </c>
      <c r="U30" s="203">
        <f t="shared" si="8"/>
        <v>3937.4516129032259</v>
      </c>
      <c r="V30" s="203">
        <f t="shared" ref="V30:V35" si="56">SUM(T30)</f>
        <v>183</v>
      </c>
      <c r="W30" s="203">
        <f t="shared" si="9"/>
        <v>3937.4516129032259</v>
      </c>
      <c r="X30" s="35">
        <f t="shared" ref="X30:X35" si="57">SUM(Y30/73370)</f>
        <v>0.59032258064516141</v>
      </c>
      <c r="Y30" s="36">
        <f t="shared" ref="Y30:Y35" si="58">SUM(C30+E30+G30+I30+K30+M30+O30+Q30+S30+U30+W30)</f>
        <v>43311.967741935492</v>
      </c>
      <c r="Z30" s="203">
        <f>'B5'!C29</f>
        <v>189</v>
      </c>
      <c r="AA30" s="203">
        <f t="shared" si="30"/>
        <v>1890</v>
      </c>
      <c r="AB30" s="203">
        <f t="shared" ref="AB30:AB35" si="59">SUM(Z30)</f>
        <v>189</v>
      </c>
      <c r="AC30" s="203">
        <f t="shared" si="30"/>
        <v>1890</v>
      </c>
      <c r="AD30" s="203">
        <f t="shared" ref="AD30:AD35" si="60">SUM(AB30)</f>
        <v>189</v>
      </c>
      <c r="AE30" s="203">
        <f t="shared" si="11"/>
        <v>1890</v>
      </c>
      <c r="AF30" s="203">
        <f t="shared" ref="AF30:AF35" si="61">SUM(AD30)</f>
        <v>189</v>
      </c>
      <c r="AG30" s="203">
        <f t="shared" si="12"/>
        <v>1890</v>
      </c>
      <c r="AH30" s="203">
        <f t="shared" ref="AH30:AH35" si="62">SUM(AF30)</f>
        <v>189</v>
      </c>
      <c r="AI30" s="203">
        <f t="shared" si="13"/>
        <v>1890</v>
      </c>
      <c r="AJ30" s="203">
        <f t="shared" ref="AJ30:AJ35" si="63">SUM(AH30)</f>
        <v>189</v>
      </c>
      <c r="AK30" s="203">
        <f t="shared" si="14"/>
        <v>1890</v>
      </c>
      <c r="AL30" s="203">
        <f t="shared" ref="AL30:AL35" si="64">SUM(AJ30)</f>
        <v>189</v>
      </c>
      <c r="AM30" s="203">
        <f t="shared" si="15"/>
        <v>1890</v>
      </c>
      <c r="AN30" s="35">
        <f t="shared" ref="AN30:AN35" si="65">SUM(AO30/19600)</f>
        <v>0.67500000000000004</v>
      </c>
      <c r="AO30" s="36">
        <f t="shared" ref="AO30:AO35" si="66">SUM(AA30+AC30+AE30+AG30+AI30+AK30+AM30)</f>
        <v>13230</v>
      </c>
      <c r="AQ30" s="223">
        <f t="shared" si="37"/>
        <v>0.60817433303146706</v>
      </c>
      <c r="AR30" s="38">
        <f t="shared" si="38"/>
        <v>56541.967741935492</v>
      </c>
      <c r="AS30" s="197">
        <f>SUM(AR30-AR29-AT30)</f>
        <v>0</v>
      </c>
      <c r="AT30" s="342"/>
      <c r="AU30" s="558"/>
      <c r="AV30" s="490">
        <f t="shared" si="43"/>
        <v>0.69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183</v>
      </c>
      <c r="C31" s="203">
        <f t="shared" si="18"/>
        <v>3937.4516129032259</v>
      </c>
      <c r="D31">
        <f t="shared" si="47"/>
        <v>183</v>
      </c>
      <c r="E31" s="203">
        <f t="shared" si="18"/>
        <v>3937.4516129032259</v>
      </c>
      <c r="F31">
        <f t="shared" si="48"/>
        <v>183</v>
      </c>
      <c r="G31" s="203">
        <f t="shared" si="1"/>
        <v>3937.4516129032259</v>
      </c>
      <c r="H31" s="203">
        <f t="shared" si="49"/>
        <v>183</v>
      </c>
      <c r="I31" s="203">
        <f t="shared" si="2"/>
        <v>3937.4516129032259</v>
      </c>
      <c r="J31" s="203">
        <f t="shared" si="50"/>
        <v>183</v>
      </c>
      <c r="K31" s="203">
        <f t="shared" si="3"/>
        <v>3937.4516129032259</v>
      </c>
      <c r="L31" s="203">
        <f t="shared" si="51"/>
        <v>183</v>
      </c>
      <c r="M31" s="203">
        <f t="shared" si="4"/>
        <v>3937.4516129032259</v>
      </c>
      <c r="N31" s="203">
        <f t="shared" si="52"/>
        <v>183</v>
      </c>
      <c r="O31" s="203">
        <f t="shared" si="5"/>
        <v>3937.4516129032259</v>
      </c>
      <c r="P31" s="203">
        <f t="shared" si="53"/>
        <v>183</v>
      </c>
      <c r="Q31" s="203">
        <f t="shared" si="6"/>
        <v>3937.4516129032259</v>
      </c>
      <c r="R31" s="203">
        <f t="shared" si="54"/>
        <v>183</v>
      </c>
      <c r="S31" s="203">
        <f t="shared" si="7"/>
        <v>3937.4516129032259</v>
      </c>
      <c r="T31" s="203">
        <f t="shared" si="55"/>
        <v>183</v>
      </c>
      <c r="U31" s="203">
        <f t="shared" si="8"/>
        <v>3937.4516129032259</v>
      </c>
      <c r="V31" s="203">
        <f t="shared" si="56"/>
        <v>183</v>
      </c>
      <c r="W31" s="203">
        <f t="shared" si="9"/>
        <v>3937.4516129032259</v>
      </c>
      <c r="X31" s="35">
        <f t="shared" si="57"/>
        <v>0.59032258064516141</v>
      </c>
      <c r="Y31" s="36">
        <f t="shared" si="58"/>
        <v>43311.967741935492</v>
      </c>
      <c r="Z31" s="203">
        <f>'B5'!C30</f>
        <v>189</v>
      </c>
      <c r="AA31" s="203">
        <f t="shared" si="30"/>
        <v>1890</v>
      </c>
      <c r="AB31" s="203">
        <f t="shared" si="59"/>
        <v>189</v>
      </c>
      <c r="AC31" s="203">
        <f t="shared" si="30"/>
        <v>1890</v>
      </c>
      <c r="AD31" s="203">
        <f t="shared" si="60"/>
        <v>189</v>
      </c>
      <c r="AE31" s="203">
        <f t="shared" si="11"/>
        <v>1890</v>
      </c>
      <c r="AF31" s="203">
        <f t="shared" si="61"/>
        <v>189</v>
      </c>
      <c r="AG31" s="203">
        <f t="shared" si="12"/>
        <v>1890</v>
      </c>
      <c r="AH31" s="203">
        <f t="shared" si="62"/>
        <v>189</v>
      </c>
      <c r="AI31" s="203">
        <f t="shared" si="13"/>
        <v>1890</v>
      </c>
      <c r="AJ31" s="203">
        <f t="shared" si="63"/>
        <v>189</v>
      </c>
      <c r="AK31" s="203">
        <f t="shared" si="14"/>
        <v>1890</v>
      </c>
      <c r="AL31" s="203">
        <f t="shared" si="64"/>
        <v>189</v>
      </c>
      <c r="AM31" s="203">
        <f t="shared" si="15"/>
        <v>1890</v>
      </c>
      <c r="AN31" s="35">
        <f t="shared" si="65"/>
        <v>0.67500000000000004</v>
      </c>
      <c r="AO31" s="36">
        <f t="shared" si="66"/>
        <v>13230</v>
      </c>
      <c r="AQ31" s="223">
        <f t="shared" si="37"/>
        <v>0.60817433303146706</v>
      </c>
      <c r="AR31" s="38">
        <f t="shared" si="38"/>
        <v>56541.967741935492</v>
      </c>
      <c r="AS31" s="197">
        <f t="shared" si="46"/>
        <v>0</v>
      </c>
      <c r="AT31" s="342"/>
      <c r="AU31" s="583"/>
      <c r="AV31" s="490">
        <f t="shared" si="43"/>
        <v>0.69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183</v>
      </c>
      <c r="C32" s="203">
        <f t="shared" si="18"/>
        <v>3937.4516129032259</v>
      </c>
      <c r="D32">
        <f t="shared" si="47"/>
        <v>183</v>
      </c>
      <c r="E32" s="203">
        <f t="shared" si="18"/>
        <v>3937.4516129032259</v>
      </c>
      <c r="F32">
        <f t="shared" si="48"/>
        <v>183</v>
      </c>
      <c r="G32" s="203">
        <f t="shared" si="1"/>
        <v>3937.4516129032259</v>
      </c>
      <c r="H32" s="203">
        <f t="shared" si="49"/>
        <v>183</v>
      </c>
      <c r="I32" s="203">
        <f t="shared" si="2"/>
        <v>3937.4516129032259</v>
      </c>
      <c r="J32" s="203">
        <f t="shared" si="50"/>
        <v>183</v>
      </c>
      <c r="K32" s="203">
        <f t="shared" si="3"/>
        <v>3937.4516129032259</v>
      </c>
      <c r="L32" s="203">
        <f t="shared" si="51"/>
        <v>183</v>
      </c>
      <c r="M32" s="203">
        <f t="shared" si="4"/>
        <v>3937.4516129032259</v>
      </c>
      <c r="N32" s="203">
        <f t="shared" si="52"/>
        <v>183</v>
      </c>
      <c r="O32" s="203">
        <f t="shared" si="5"/>
        <v>3937.4516129032259</v>
      </c>
      <c r="P32" s="203">
        <f t="shared" si="53"/>
        <v>183</v>
      </c>
      <c r="Q32" s="203">
        <f t="shared" si="6"/>
        <v>3937.4516129032259</v>
      </c>
      <c r="R32" s="203">
        <f t="shared" si="54"/>
        <v>183</v>
      </c>
      <c r="S32" s="203">
        <f t="shared" si="7"/>
        <v>3937.4516129032259</v>
      </c>
      <c r="T32" s="203">
        <f t="shared" si="55"/>
        <v>183</v>
      </c>
      <c r="U32" s="203">
        <f t="shared" si="8"/>
        <v>3937.4516129032259</v>
      </c>
      <c r="V32" s="203">
        <f t="shared" si="56"/>
        <v>183</v>
      </c>
      <c r="W32" s="203">
        <f t="shared" si="9"/>
        <v>3937.4516129032259</v>
      </c>
      <c r="X32" s="35">
        <f t="shared" si="57"/>
        <v>0.59032258064516141</v>
      </c>
      <c r="Y32" s="36">
        <f t="shared" si="58"/>
        <v>43311.967741935492</v>
      </c>
      <c r="Z32" s="203">
        <f>'B5'!C31</f>
        <v>189</v>
      </c>
      <c r="AA32" s="203">
        <f t="shared" si="30"/>
        <v>1890</v>
      </c>
      <c r="AB32" s="203">
        <f t="shared" si="59"/>
        <v>189</v>
      </c>
      <c r="AC32" s="203">
        <f t="shared" si="30"/>
        <v>1890</v>
      </c>
      <c r="AD32" s="203">
        <f t="shared" si="60"/>
        <v>189</v>
      </c>
      <c r="AE32" s="203">
        <f t="shared" si="11"/>
        <v>1890</v>
      </c>
      <c r="AF32" s="203">
        <f t="shared" si="61"/>
        <v>189</v>
      </c>
      <c r="AG32" s="203">
        <f t="shared" si="12"/>
        <v>1890</v>
      </c>
      <c r="AH32" s="203">
        <f t="shared" si="62"/>
        <v>189</v>
      </c>
      <c r="AI32" s="203">
        <f t="shared" si="13"/>
        <v>1890</v>
      </c>
      <c r="AJ32" s="203">
        <f t="shared" si="63"/>
        <v>189</v>
      </c>
      <c r="AK32" s="203">
        <f t="shared" si="14"/>
        <v>1890</v>
      </c>
      <c r="AL32" s="203">
        <f t="shared" si="64"/>
        <v>189</v>
      </c>
      <c r="AM32" s="203">
        <f t="shared" si="15"/>
        <v>1890</v>
      </c>
      <c r="AN32" s="35">
        <f t="shared" si="65"/>
        <v>0.67500000000000004</v>
      </c>
      <c r="AO32" s="36">
        <f t="shared" si="66"/>
        <v>13230</v>
      </c>
      <c r="AQ32" s="223">
        <f t="shared" si="37"/>
        <v>0.60817433303146706</v>
      </c>
      <c r="AR32" s="38">
        <f t="shared" si="38"/>
        <v>56541.967741935492</v>
      </c>
      <c r="AS32" s="197">
        <f t="shared" si="46"/>
        <v>0</v>
      </c>
      <c r="AT32" s="342"/>
      <c r="AU32" s="557"/>
      <c r="AV32" s="490">
        <f>IF(AT32&gt;0,AU32,AV31)</f>
        <v>0.69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183</v>
      </c>
      <c r="C33" s="203">
        <f t="shared" si="18"/>
        <v>3937.4516129032259</v>
      </c>
      <c r="D33">
        <f t="shared" si="47"/>
        <v>183</v>
      </c>
      <c r="E33" s="203">
        <f t="shared" si="18"/>
        <v>3937.4516129032259</v>
      </c>
      <c r="F33">
        <f t="shared" si="48"/>
        <v>183</v>
      </c>
      <c r="G33" s="203">
        <f t="shared" si="1"/>
        <v>3937.4516129032259</v>
      </c>
      <c r="H33" s="203">
        <f t="shared" si="49"/>
        <v>183</v>
      </c>
      <c r="I33" s="203">
        <f t="shared" si="2"/>
        <v>3937.4516129032259</v>
      </c>
      <c r="J33" s="203">
        <f t="shared" si="50"/>
        <v>183</v>
      </c>
      <c r="K33" s="203">
        <f t="shared" si="3"/>
        <v>3937.4516129032259</v>
      </c>
      <c r="L33" s="203">
        <f t="shared" si="51"/>
        <v>183</v>
      </c>
      <c r="M33" s="203">
        <f t="shared" si="4"/>
        <v>3937.4516129032259</v>
      </c>
      <c r="N33" s="203">
        <f t="shared" si="52"/>
        <v>183</v>
      </c>
      <c r="O33" s="203">
        <f t="shared" si="5"/>
        <v>3937.4516129032259</v>
      </c>
      <c r="P33" s="203">
        <f t="shared" si="53"/>
        <v>183</v>
      </c>
      <c r="Q33" s="203">
        <f t="shared" si="6"/>
        <v>3937.4516129032259</v>
      </c>
      <c r="R33" s="203">
        <f t="shared" si="54"/>
        <v>183</v>
      </c>
      <c r="S33" s="203">
        <f t="shared" si="7"/>
        <v>3937.4516129032259</v>
      </c>
      <c r="T33" s="203">
        <f t="shared" si="55"/>
        <v>183</v>
      </c>
      <c r="U33" s="203">
        <f t="shared" si="8"/>
        <v>3937.4516129032259</v>
      </c>
      <c r="V33" s="203">
        <f t="shared" si="56"/>
        <v>183</v>
      </c>
      <c r="W33" s="203">
        <f t="shared" si="9"/>
        <v>3937.4516129032259</v>
      </c>
      <c r="X33" s="35">
        <f t="shared" si="57"/>
        <v>0.59032258064516141</v>
      </c>
      <c r="Y33" s="36">
        <f t="shared" si="58"/>
        <v>43311.967741935492</v>
      </c>
      <c r="Z33" s="203">
        <f>'B5'!C32</f>
        <v>189</v>
      </c>
      <c r="AA33" s="203">
        <f t="shared" si="30"/>
        <v>1890</v>
      </c>
      <c r="AB33" s="203">
        <f t="shared" si="59"/>
        <v>189</v>
      </c>
      <c r="AC33" s="203">
        <f t="shared" si="30"/>
        <v>1890</v>
      </c>
      <c r="AD33" s="203">
        <f t="shared" si="60"/>
        <v>189</v>
      </c>
      <c r="AE33" s="203">
        <f t="shared" si="11"/>
        <v>1890</v>
      </c>
      <c r="AF33" s="203">
        <f t="shared" si="61"/>
        <v>189</v>
      </c>
      <c r="AG33" s="203">
        <f t="shared" si="12"/>
        <v>1890</v>
      </c>
      <c r="AH33" s="203">
        <f t="shared" si="62"/>
        <v>189</v>
      </c>
      <c r="AI33" s="203">
        <f t="shared" si="13"/>
        <v>1890</v>
      </c>
      <c r="AJ33" s="203">
        <f t="shared" si="63"/>
        <v>189</v>
      </c>
      <c r="AK33" s="203">
        <f t="shared" si="14"/>
        <v>1890</v>
      </c>
      <c r="AL33" s="203">
        <f t="shared" si="64"/>
        <v>189</v>
      </c>
      <c r="AM33" s="203">
        <f t="shared" si="15"/>
        <v>1890</v>
      </c>
      <c r="AN33" s="35">
        <f t="shared" si="65"/>
        <v>0.67500000000000004</v>
      </c>
      <c r="AO33" s="36">
        <f t="shared" si="66"/>
        <v>13230</v>
      </c>
      <c r="AQ33" s="223">
        <f t="shared" si="37"/>
        <v>0.60817433303146706</v>
      </c>
      <c r="AR33" s="38">
        <f t="shared" si="38"/>
        <v>56541.967741935492</v>
      </c>
      <c r="AS33" s="197">
        <f>SUM(AR33-AR32-AT33)</f>
        <v>0</v>
      </c>
      <c r="AT33" s="342"/>
      <c r="AU33" s="557"/>
      <c r="AV33" s="490">
        <f>IF(AT33&gt;0,AU33,AV32)</f>
        <v>0.69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183</v>
      </c>
      <c r="C34" s="203">
        <f>B34*$B$4</f>
        <v>3937.4516129032259</v>
      </c>
      <c r="D34">
        <f t="shared" si="47"/>
        <v>183</v>
      </c>
      <c r="E34" s="203">
        <f>D34*$B$4</f>
        <v>3937.4516129032259</v>
      </c>
      <c r="F34">
        <f t="shared" si="48"/>
        <v>183</v>
      </c>
      <c r="G34" s="203">
        <f>F34*$B$4</f>
        <v>3937.4516129032259</v>
      </c>
      <c r="H34" s="203">
        <f t="shared" si="49"/>
        <v>183</v>
      </c>
      <c r="I34" s="203">
        <f>H34*$B$4</f>
        <v>3937.4516129032259</v>
      </c>
      <c r="J34" s="203">
        <f t="shared" si="50"/>
        <v>183</v>
      </c>
      <c r="K34" s="203">
        <f>J34*$B$4</f>
        <v>3937.4516129032259</v>
      </c>
      <c r="L34" s="203">
        <f t="shared" si="51"/>
        <v>183</v>
      </c>
      <c r="M34" s="203">
        <f>L34*$B$4</f>
        <v>3937.4516129032259</v>
      </c>
      <c r="N34" s="203">
        <f t="shared" si="52"/>
        <v>183</v>
      </c>
      <c r="O34" s="203">
        <f>N34*$B$4</f>
        <v>3937.4516129032259</v>
      </c>
      <c r="P34" s="203">
        <f t="shared" si="53"/>
        <v>183</v>
      </c>
      <c r="Q34" s="203">
        <f>P34*$B$4</f>
        <v>3937.4516129032259</v>
      </c>
      <c r="R34" s="203">
        <f t="shared" si="54"/>
        <v>183</v>
      </c>
      <c r="S34" s="203">
        <f>R34*$B$4</f>
        <v>3937.4516129032259</v>
      </c>
      <c r="T34" s="203">
        <f t="shared" si="55"/>
        <v>183</v>
      </c>
      <c r="U34" s="203">
        <f>T34*$B$4</f>
        <v>3937.4516129032259</v>
      </c>
      <c r="V34" s="203">
        <f t="shared" si="56"/>
        <v>183</v>
      </c>
      <c r="W34" s="203">
        <f>V34*$B$4</f>
        <v>3937.4516129032259</v>
      </c>
      <c r="X34" s="35">
        <f t="shared" si="57"/>
        <v>0.59032258064516141</v>
      </c>
      <c r="Y34" s="36">
        <f t="shared" si="58"/>
        <v>43311.967741935492</v>
      </c>
      <c r="Z34" s="203">
        <f>'B5'!C33</f>
        <v>189</v>
      </c>
      <c r="AA34" s="203">
        <f>SUM(Z34*$Z$4)</f>
        <v>1890</v>
      </c>
      <c r="AB34" s="203">
        <f t="shared" si="59"/>
        <v>189</v>
      </c>
      <c r="AC34" s="203">
        <f>SUM(AB34*$Z$4)</f>
        <v>1890</v>
      </c>
      <c r="AD34" s="203">
        <f t="shared" si="60"/>
        <v>189</v>
      </c>
      <c r="AE34" s="203">
        <f>SUM(AD34*$Z$4)</f>
        <v>1890</v>
      </c>
      <c r="AF34" s="203">
        <f t="shared" si="61"/>
        <v>189</v>
      </c>
      <c r="AG34" s="203">
        <f>SUM(AF34*$Z$4)</f>
        <v>1890</v>
      </c>
      <c r="AH34" s="203">
        <f t="shared" si="62"/>
        <v>189</v>
      </c>
      <c r="AI34" s="203">
        <f>SUM(AH34*$Z$4)</f>
        <v>1890</v>
      </c>
      <c r="AJ34" s="203">
        <f t="shared" si="63"/>
        <v>189</v>
      </c>
      <c r="AK34" s="203">
        <f>SUM(AJ34*$Z$4)</f>
        <v>1890</v>
      </c>
      <c r="AL34" s="203">
        <f t="shared" si="64"/>
        <v>189</v>
      </c>
      <c r="AM34" s="203">
        <f>SUM(AL34*$Z$4)</f>
        <v>1890</v>
      </c>
      <c r="AN34" s="35">
        <f t="shared" si="65"/>
        <v>0.67500000000000004</v>
      </c>
      <c r="AO34" s="36">
        <f t="shared" si="66"/>
        <v>13230</v>
      </c>
      <c r="AQ34" s="223">
        <f>SUM(AR34/92970)</f>
        <v>0.60817433303146706</v>
      </c>
      <c r="AR34" s="38">
        <f t="shared" si="38"/>
        <v>56541.967741935492</v>
      </c>
      <c r="AS34" s="197">
        <f t="shared" si="46"/>
        <v>0</v>
      </c>
      <c r="AT34" s="342"/>
      <c r="AU34" s="557"/>
      <c r="AV34" s="490">
        <f>IF(AT34&gt;0,AU34,AV33)</f>
        <v>0.69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183</v>
      </c>
      <c r="C35" s="203">
        <f>B35*$B$4</f>
        <v>3937.4516129032259</v>
      </c>
      <c r="D35">
        <f t="shared" si="47"/>
        <v>183</v>
      </c>
      <c r="E35" s="203">
        <f>D35*$B$4</f>
        <v>3937.4516129032259</v>
      </c>
      <c r="F35">
        <f t="shared" si="48"/>
        <v>183</v>
      </c>
      <c r="G35" s="203">
        <f>F35*$B$4</f>
        <v>3937.4516129032259</v>
      </c>
      <c r="H35" s="203">
        <f t="shared" si="49"/>
        <v>183</v>
      </c>
      <c r="I35" s="203">
        <f>H35*$B$4</f>
        <v>3937.4516129032259</v>
      </c>
      <c r="J35" s="203">
        <f t="shared" si="50"/>
        <v>183</v>
      </c>
      <c r="K35" s="203">
        <f>J35*$B$4</f>
        <v>3937.4516129032259</v>
      </c>
      <c r="L35" s="203">
        <f t="shared" si="51"/>
        <v>183</v>
      </c>
      <c r="M35" s="203">
        <f>L35*$B$4</f>
        <v>3937.4516129032259</v>
      </c>
      <c r="N35" s="203">
        <f t="shared" si="52"/>
        <v>183</v>
      </c>
      <c r="O35" s="203">
        <f>N35*$B$4</f>
        <v>3937.4516129032259</v>
      </c>
      <c r="P35" s="203">
        <f t="shared" si="53"/>
        <v>183</v>
      </c>
      <c r="Q35" s="203">
        <f>P35*$B$4</f>
        <v>3937.4516129032259</v>
      </c>
      <c r="R35" s="203">
        <f t="shared" si="54"/>
        <v>183</v>
      </c>
      <c r="S35" s="203">
        <f>R35*$B$4</f>
        <v>3937.4516129032259</v>
      </c>
      <c r="T35" s="203">
        <f t="shared" si="55"/>
        <v>183</v>
      </c>
      <c r="U35" s="203">
        <f>T35*$B$4</f>
        <v>3937.4516129032259</v>
      </c>
      <c r="V35" s="203">
        <f t="shared" si="56"/>
        <v>183</v>
      </c>
      <c r="W35" s="203">
        <f>V35*$B$4</f>
        <v>3937.4516129032259</v>
      </c>
      <c r="X35" s="35">
        <f t="shared" si="57"/>
        <v>0.59032258064516141</v>
      </c>
      <c r="Y35" s="36">
        <f t="shared" si="58"/>
        <v>43311.967741935492</v>
      </c>
      <c r="Z35" s="203">
        <f>'B5'!C34</f>
        <v>189</v>
      </c>
      <c r="AA35" s="203">
        <f>SUM(Z35*$Z$4)</f>
        <v>1890</v>
      </c>
      <c r="AB35" s="203">
        <f t="shared" si="59"/>
        <v>189</v>
      </c>
      <c r="AC35" s="203">
        <f>SUM(AB35*$Z$4)</f>
        <v>1890</v>
      </c>
      <c r="AD35" s="203">
        <f t="shared" si="60"/>
        <v>189</v>
      </c>
      <c r="AE35" s="203">
        <f>SUM(AD35*$Z$4)</f>
        <v>1890</v>
      </c>
      <c r="AF35" s="203">
        <f t="shared" si="61"/>
        <v>189</v>
      </c>
      <c r="AG35" s="203">
        <f>SUM(AF35*$Z$4)</f>
        <v>1890</v>
      </c>
      <c r="AH35" s="203">
        <f t="shared" si="62"/>
        <v>189</v>
      </c>
      <c r="AI35" s="203">
        <f>SUM(AH35*$Z$4)</f>
        <v>1890</v>
      </c>
      <c r="AJ35" s="203">
        <f t="shared" si="63"/>
        <v>189</v>
      </c>
      <c r="AK35" s="203">
        <f>SUM(AJ35*$Z$4)</f>
        <v>1890</v>
      </c>
      <c r="AL35" s="203">
        <f t="shared" si="64"/>
        <v>189</v>
      </c>
      <c r="AM35" s="203">
        <f>SUM(AL35*$Z$4)</f>
        <v>1890</v>
      </c>
      <c r="AN35" s="35">
        <f t="shared" si="65"/>
        <v>0.67500000000000004</v>
      </c>
      <c r="AO35" s="36">
        <f t="shared" si="66"/>
        <v>13230</v>
      </c>
      <c r="AQ35" s="223">
        <f>SUM(AR35/92970)</f>
        <v>0.60817433303146706</v>
      </c>
      <c r="AR35" s="38">
        <f t="shared" si="38"/>
        <v>56541.967741935492</v>
      </c>
      <c r="AS35" s="197">
        <f t="shared" si="46"/>
        <v>0</v>
      </c>
      <c r="AT35" s="342"/>
      <c r="AU35" s="557"/>
      <c r="AV35" s="546">
        <f>IF(AT35&gt;0,AU35,AV34)</f>
        <v>0.69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183</v>
      </c>
      <c r="C36" s="203">
        <f>B36*$B$4</f>
        <v>3937.4516129032259</v>
      </c>
      <c r="D36">
        <f t="shared" ref="D36" si="67">SUM(B36)</f>
        <v>183</v>
      </c>
      <c r="E36" s="203">
        <f>D36*$B$4</f>
        <v>3937.4516129032259</v>
      </c>
      <c r="F36">
        <f t="shared" ref="F36" si="68">SUM(D36)</f>
        <v>183</v>
      </c>
      <c r="G36" s="203">
        <f>F36*$B$4</f>
        <v>3937.4516129032259</v>
      </c>
      <c r="H36" s="203">
        <f t="shared" ref="H36" si="69">SUM(F36)</f>
        <v>183</v>
      </c>
      <c r="I36" s="203">
        <f>H36*$B$4</f>
        <v>3937.4516129032259</v>
      </c>
      <c r="J36" s="203">
        <f t="shared" ref="J36" si="70">SUM(H36)</f>
        <v>183</v>
      </c>
      <c r="K36" s="203">
        <f>J36*$B$4</f>
        <v>3937.4516129032259</v>
      </c>
      <c r="L36" s="203">
        <f t="shared" ref="L36" si="71">SUM(J36)</f>
        <v>183</v>
      </c>
      <c r="M36" s="203">
        <f>L36*$B$4</f>
        <v>3937.4516129032259</v>
      </c>
      <c r="N36" s="203">
        <f t="shared" ref="N36" si="72">SUM(L36)</f>
        <v>183</v>
      </c>
      <c r="O36" s="203">
        <f>N36*$B$4</f>
        <v>3937.4516129032259</v>
      </c>
      <c r="P36" s="203">
        <f t="shared" ref="P36" si="73">SUM(N36)</f>
        <v>183</v>
      </c>
      <c r="Q36" s="203">
        <f>P36*$B$4</f>
        <v>3937.4516129032259</v>
      </c>
      <c r="R36" s="203">
        <f t="shared" ref="R36" si="74">SUM(P36)</f>
        <v>183</v>
      </c>
      <c r="S36" s="203">
        <f>R36*$B$4</f>
        <v>3937.4516129032259</v>
      </c>
      <c r="T36" s="203">
        <f t="shared" ref="T36" si="75">SUM(R36)</f>
        <v>183</v>
      </c>
      <c r="U36" s="203">
        <f>T36*$B$4</f>
        <v>3937.4516129032259</v>
      </c>
      <c r="V36" s="203">
        <f t="shared" ref="V36" si="76">SUM(T36)</f>
        <v>183</v>
      </c>
      <c r="W36" s="203">
        <f>V36*$B$4</f>
        <v>3937.4516129032259</v>
      </c>
      <c r="X36" s="35">
        <f t="shared" ref="X36" si="77">SUM(Y36/73370)</f>
        <v>0.59032258064516141</v>
      </c>
      <c r="Y36" s="36">
        <f t="shared" ref="Y36" si="78">SUM(C36+E36+G36+I36+K36+M36+O36+Q36+S36+U36+W36)</f>
        <v>43311.967741935492</v>
      </c>
      <c r="Z36" s="203">
        <f>'B5'!C35</f>
        <v>189</v>
      </c>
      <c r="AA36" s="203">
        <f>SUM(Z36*$Z$4)</f>
        <v>1890</v>
      </c>
      <c r="AB36" s="203">
        <f t="shared" ref="AB36" si="79">SUM(Z36)</f>
        <v>189</v>
      </c>
      <c r="AC36" s="203">
        <f>SUM(AB36*$Z$4)</f>
        <v>1890</v>
      </c>
      <c r="AD36" s="203">
        <f t="shared" ref="AD36" si="80">SUM(AB36)</f>
        <v>189</v>
      </c>
      <c r="AE36" s="203">
        <f>SUM(AD36*$Z$4)</f>
        <v>1890</v>
      </c>
      <c r="AF36" s="203">
        <f t="shared" ref="AF36" si="81">SUM(AD36)</f>
        <v>189</v>
      </c>
      <c r="AG36" s="203">
        <f>SUM(AF36*$Z$4)</f>
        <v>1890</v>
      </c>
      <c r="AH36" s="203">
        <f t="shared" ref="AH36" si="82">SUM(AF36)</f>
        <v>189</v>
      </c>
      <c r="AI36" s="203">
        <f>SUM(AH36*$Z$4)</f>
        <v>1890</v>
      </c>
      <c r="AJ36" s="203">
        <f t="shared" ref="AJ36" si="83">SUM(AH36)</f>
        <v>189</v>
      </c>
      <c r="AK36" s="203">
        <f>SUM(AJ36*$Z$4)</f>
        <v>1890</v>
      </c>
      <c r="AL36" s="203">
        <f t="shared" ref="AL36" si="84">SUM(AJ36)</f>
        <v>189</v>
      </c>
      <c r="AM36" s="203">
        <f>SUM(AL36*$Z$4)</f>
        <v>1890</v>
      </c>
      <c r="AN36" s="35">
        <f t="shared" ref="AN36" si="85">SUM(AO36/19600)</f>
        <v>0.67500000000000004</v>
      </c>
      <c r="AO36" s="36">
        <f t="shared" ref="AO36" si="86">SUM(AA36+AC36+AE36+AG36+AI36+AK36+AM36)</f>
        <v>13230</v>
      </c>
      <c r="AQ36" s="223">
        <f>SUM(AR36/92970)</f>
        <v>0.60817433303146706</v>
      </c>
      <c r="AR36" s="38">
        <f t="shared" si="38"/>
        <v>56541.967741935492</v>
      </c>
      <c r="AS36" s="197">
        <f t="shared" si="46"/>
        <v>0</v>
      </c>
      <c r="AT36" s="342"/>
      <c r="AU36" s="557"/>
      <c r="AV36" s="546">
        <f>IF(AT36&gt;0,AU36,AV35)</f>
        <v>0.69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</row>
    <row r="37" spans="1:60">
      <c r="AQ37" s="20"/>
      <c r="AR37" s="460" t="s">
        <v>223</v>
      </c>
      <c r="AS37" s="465">
        <f>COUNT(AT6:AT36)</f>
        <v>1</v>
      </c>
      <c r="AT37" s="203">
        <f>SUM(AT6:AT36)</f>
        <v>10000</v>
      </c>
      <c r="AU37" s="553">
        <f>SUM(AU6:AU36)/AS37</f>
        <v>0.69</v>
      </c>
      <c r="AX37" s="203">
        <f>SUM(AX6:AX36)</f>
        <v>-9125.6451612903184</v>
      </c>
      <c r="AY37" s="203">
        <f>SUM(AY6:AY36)</f>
        <v>-9386.6451612903184</v>
      </c>
    </row>
    <row r="38" spans="1:60">
      <c r="AS38" s="206"/>
      <c r="AT38" s="82">
        <f>+AT37*AU37</f>
        <v>6899.9999999999991</v>
      </c>
    </row>
    <row r="40" spans="1:60">
      <c r="AS40" s="165">
        <f>SUM(AS6:AS36)/'EDl log'!A35</f>
        <v>-4693.3225806451592</v>
      </c>
      <c r="AT40" s="203"/>
    </row>
    <row r="41" spans="1:60">
      <c r="AX41">
        <v>43309</v>
      </c>
    </row>
    <row r="42" spans="1:60">
      <c r="AR42" s="203">
        <f>AR8-22000</f>
        <v>38975.451612903242</v>
      </c>
      <c r="AU42" s="203"/>
      <c r="AX42">
        <f>AX37/AX41</f>
        <v>-0.21071013325845248</v>
      </c>
    </row>
    <row r="43" spans="1:60">
      <c r="AR43">
        <f>AR42/5500</f>
        <v>7.0864457478005898</v>
      </c>
    </row>
    <row r="44" spans="1:60">
      <c r="AR44">
        <f>AR43*2</f>
        <v>14.17289149560118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25" sqref="D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5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1481.251935483881</v>
      </c>
      <c r="R4" s="286">
        <f>SUM(P4:Q4)</f>
        <v>1652.5822395192597</v>
      </c>
      <c r="S4" s="288">
        <f>SUM(ELEC!N4)</f>
        <v>5823</v>
      </c>
      <c r="T4" s="323">
        <f>IF(S4&gt;0,R4/S4,0)</f>
        <v>0.28380254843195257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44502</v>
      </c>
      <c r="B5" s="615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5">
        <f t="shared" ref="F5:F34" si="8">F4</f>
        <v>159573</v>
      </c>
      <c r="G5" s="160">
        <f t="shared" si="1"/>
        <v>0</v>
      </c>
      <c r="H5" s="615">
        <f t="shared" ref="H5:H33" si="9">H4</f>
        <v>540897</v>
      </c>
      <c r="I5" s="161">
        <f t="shared" si="2"/>
        <v>0</v>
      </c>
      <c r="J5" s="616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1644.5593548387062</v>
      </c>
      <c r="R5" s="286">
        <f t="shared" ref="R5:R30" si="13">SUM(P5:Q5)</f>
        <v>1804.5224946949804</v>
      </c>
      <c r="S5" s="288">
        <f>SUM(ELEC!N5)</f>
        <v>7075</v>
      </c>
      <c r="T5" s="323">
        <f>IF(S5&gt;0,R5/S5,0)</f>
        <v>0.25505618299575694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44503</v>
      </c>
      <c r="B6" s="615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5">
        <f t="shared" si="8"/>
        <v>159573</v>
      </c>
      <c r="G6" s="160">
        <f t="shared" si="1"/>
        <v>0</v>
      </c>
      <c r="H6" s="615">
        <v>541313</v>
      </c>
      <c r="I6" s="161">
        <f t="shared" si="2"/>
        <v>416</v>
      </c>
      <c r="J6" s="616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255.98999999998492</v>
      </c>
      <c r="R6" s="286">
        <f t="shared" si="13"/>
        <v>446.85993919290922</v>
      </c>
      <c r="S6" s="288">
        <f>SUM(ELEC!N6)</f>
        <v>6314</v>
      </c>
      <c r="T6" s="323">
        <f t="shared" ref="T6:T30" si="16">IF(S6&gt;0,R6/S6,0)</f>
        <v>7.0772876020416417E-2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44504</v>
      </c>
      <c r="B7" s="615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5">
        <f t="shared" si="8"/>
        <v>159573</v>
      </c>
      <c r="G7" s="160">
        <f t="shared" si="1"/>
        <v>0</v>
      </c>
      <c r="H7" s="615">
        <f t="shared" si="9"/>
        <v>541313</v>
      </c>
      <c r="I7" s="161">
        <f t="shared" si="2"/>
        <v>0</v>
      </c>
      <c r="J7" s="616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1366.2445161290559</v>
      </c>
      <c r="R7" s="286">
        <f t="shared" si="13"/>
        <v>1526.2076559853301</v>
      </c>
      <c r="S7" s="288">
        <f>SUM(ELEC!N7)</f>
        <v>6367</v>
      </c>
      <c r="T7" s="323">
        <f t="shared" si="16"/>
        <v>0.23970592994900741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44505</v>
      </c>
      <c r="B8" s="615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5">
        <f t="shared" si="8"/>
        <v>159573</v>
      </c>
      <c r="G8" s="160">
        <f t="shared" si="1"/>
        <v>0</v>
      </c>
      <c r="H8" s="615">
        <f t="shared" si="9"/>
        <v>541313</v>
      </c>
      <c r="I8" s="161">
        <f t="shared" si="2"/>
        <v>0</v>
      </c>
      <c r="J8" s="616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5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5">
        <f t="shared" si="8"/>
        <v>159573</v>
      </c>
      <c r="G9" s="160">
        <f t="shared" si="1"/>
        <v>0</v>
      </c>
      <c r="H9" s="615">
        <f t="shared" si="9"/>
        <v>541313</v>
      </c>
      <c r="I9" s="161">
        <f t="shared" si="2"/>
        <v>0</v>
      </c>
      <c r="J9" s="616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9">
        <f>'[2]EDl log'!AB26</f>
        <v>57600</v>
      </c>
      <c r="AC9" s="619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5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5">
        <f t="shared" si="8"/>
        <v>159573</v>
      </c>
      <c r="G10" s="160">
        <f t="shared" si="1"/>
        <v>0</v>
      </c>
      <c r="H10" s="615">
        <f t="shared" si="9"/>
        <v>541313</v>
      </c>
      <c r="I10" s="161">
        <f t="shared" si="2"/>
        <v>0</v>
      </c>
      <c r="J10" s="616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1548.6493548386911</v>
      </c>
      <c r="R10" s="286">
        <f t="shared" si="13"/>
        <v>1708.6124946949653</v>
      </c>
      <c r="S10" s="288">
        <f>SUM(ELEC!N10)</f>
        <v>6369</v>
      </c>
      <c r="T10" s="323">
        <f t="shared" si="16"/>
        <v>0.2682701357662059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9">
        <f>'[2]EDl log'!AB27</f>
        <v>360864</v>
      </c>
      <c r="AC10" s="619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5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5">
        <f t="shared" si="8"/>
        <v>159573</v>
      </c>
      <c r="G11" s="160">
        <f t="shared" si="1"/>
        <v>0</v>
      </c>
      <c r="H11" s="615">
        <f t="shared" si="9"/>
        <v>541313</v>
      </c>
      <c r="I11" s="161">
        <f t="shared" si="2"/>
        <v>0</v>
      </c>
      <c r="J11" s="616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0</v>
      </c>
      <c r="R11" s="286">
        <f t="shared" si="13"/>
        <v>159.96313985627418</v>
      </c>
      <c r="S11" s="288">
        <f>SUM(ELEC!N11)</f>
        <v>0</v>
      </c>
      <c r="T11" s="323">
        <f t="shared" si="16"/>
        <v>0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9">
        <f>'[2]EDl log'!AB28</f>
        <v>57920</v>
      </c>
      <c r="AC11" s="619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5">
        <f t="shared" si="7"/>
        <v>1100502</v>
      </c>
      <c r="C12" s="255">
        <f t="shared" si="0"/>
        <v>0</v>
      </c>
      <c r="D12" s="296">
        <f t="shared" si="14"/>
        <v>0</v>
      </c>
      <c r="E12" s="296">
        <f t="shared" si="15"/>
        <v>1100502</v>
      </c>
      <c r="F12" s="615">
        <f t="shared" si="8"/>
        <v>159573</v>
      </c>
      <c r="G12" s="160">
        <f t="shared" si="1"/>
        <v>0</v>
      </c>
      <c r="H12" s="615">
        <f t="shared" si="9"/>
        <v>541313</v>
      </c>
      <c r="I12" s="161">
        <f t="shared" si="2"/>
        <v>0</v>
      </c>
      <c r="J12" s="616">
        <f t="shared" si="10"/>
        <v>399615</v>
      </c>
      <c r="K12" s="162">
        <f t="shared" si="11"/>
        <v>0</v>
      </c>
      <c r="L12" s="285">
        <f t="shared" si="3"/>
        <v>0</v>
      </c>
      <c r="M12" s="285">
        <f t="shared" si="4"/>
        <v>0</v>
      </c>
      <c r="N12" s="285">
        <f t="shared" si="5"/>
        <v>0</v>
      </c>
      <c r="O12" s="285">
        <f t="shared" si="6"/>
        <v>159.96313985627418</v>
      </c>
      <c r="P12" s="286">
        <f t="shared" si="12"/>
        <v>159.96313985627418</v>
      </c>
      <c r="Q12" s="286">
        <f>SUM(-tanks!AX14*tanks!$AU$37)</f>
        <v>0</v>
      </c>
      <c r="R12" s="286">
        <f t="shared" si="13"/>
        <v>159.96313985627418</v>
      </c>
      <c r="S12" s="288">
        <f>SUM(ELEC!N12)</f>
        <v>0</v>
      </c>
      <c r="T12" s="323">
        <f t="shared" si="16"/>
        <v>0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9">
        <f>'[2]EDl log'!AB29</f>
        <v>476384</v>
      </c>
      <c r="AC12" s="619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5">
        <f t="shared" si="7"/>
        <v>1100502</v>
      </c>
      <c r="C13" s="255">
        <f t="shared" si="0"/>
        <v>0</v>
      </c>
      <c r="D13" s="296">
        <f t="shared" si="14"/>
        <v>0</v>
      </c>
      <c r="E13" s="296">
        <f t="shared" si="15"/>
        <v>1100502</v>
      </c>
      <c r="F13" s="615">
        <f t="shared" si="8"/>
        <v>159573</v>
      </c>
      <c r="G13" s="160">
        <f t="shared" si="1"/>
        <v>0</v>
      </c>
      <c r="H13" s="615">
        <f t="shared" si="9"/>
        <v>541313</v>
      </c>
      <c r="I13" s="161">
        <f t="shared" si="2"/>
        <v>0</v>
      </c>
      <c r="J13" s="616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19">
        <f>'[2]EDl log'!AB30</f>
        <v>7710717</v>
      </c>
      <c r="AC13" s="619"/>
      <c r="AD13" s="247"/>
    </row>
    <row r="14" spans="1:32" ht="20.100000000000001" customHeight="1">
      <c r="A14" s="163">
        <f>ELEC!C14</f>
        <v>44511</v>
      </c>
      <c r="B14" s="615">
        <f t="shared" si="7"/>
        <v>1100502</v>
      </c>
      <c r="C14" s="255">
        <f t="shared" si="0"/>
        <v>0</v>
      </c>
      <c r="D14" s="296">
        <f t="shared" si="14"/>
        <v>0</v>
      </c>
      <c r="E14" s="296">
        <f t="shared" si="15"/>
        <v>1100502</v>
      </c>
      <c r="F14" s="615">
        <f t="shared" si="8"/>
        <v>159573</v>
      </c>
      <c r="G14" s="160">
        <f t="shared" si="1"/>
        <v>0</v>
      </c>
      <c r="H14" s="615">
        <f t="shared" si="9"/>
        <v>541313</v>
      </c>
      <c r="I14" s="161">
        <f t="shared" si="2"/>
        <v>0</v>
      </c>
      <c r="J14" s="616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9"/>
      <c r="AC14" s="619"/>
      <c r="AD14" s="247"/>
    </row>
    <row r="15" spans="1:32" ht="20.100000000000001" customHeight="1">
      <c r="A15" s="163">
        <f>ELEC!C15</f>
        <v>44512</v>
      </c>
      <c r="B15" s="615">
        <f t="shared" si="7"/>
        <v>1100502</v>
      </c>
      <c r="C15" s="255">
        <f t="shared" si="0"/>
        <v>0</v>
      </c>
      <c r="D15" s="296">
        <f t="shared" si="14"/>
        <v>0</v>
      </c>
      <c r="E15" s="296">
        <f t="shared" si="15"/>
        <v>1100502</v>
      </c>
      <c r="F15" s="615">
        <f t="shared" si="8"/>
        <v>159573</v>
      </c>
      <c r="G15" s="160">
        <f t="shared" si="1"/>
        <v>0</v>
      </c>
      <c r="H15" s="615">
        <f t="shared" si="9"/>
        <v>541313</v>
      </c>
      <c r="I15" s="161">
        <f t="shared" si="2"/>
        <v>0</v>
      </c>
      <c r="J15" s="616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8">
        <f>'[2]EDl log'!X32</f>
        <v>32</v>
      </c>
      <c r="Y15" s="618">
        <f>'[2]EDl log'!Y32</f>
        <v>32</v>
      </c>
      <c r="Z15" s="172">
        <f>'[5]EDl log'!Z32</f>
        <v>0</v>
      </c>
      <c r="AA15" s="172">
        <f>'[5]EDl log'!AA32</f>
        <v>0</v>
      </c>
      <c r="AB15" s="619"/>
      <c r="AC15" s="619"/>
      <c r="AD15" s="247"/>
    </row>
    <row r="16" spans="1:32" ht="20.100000000000001" customHeight="1">
      <c r="A16" s="163">
        <f>ELEC!C16</f>
        <v>44513</v>
      </c>
      <c r="B16" s="615">
        <f t="shared" si="7"/>
        <v>1100502</v>
      </c>
      <c r="C16" s="255">
        <f t="shared" si="0"/>
        <v>0</v>
      </c>
      <c r="D16" s="296">
        <f t="shared" si="14"/>
        <v>0</v>
      </c>
      <c r="E16" s="296">
        <f t="shared" si="15"/>
        <v>1100502</v>
      </c>
      <c r="F16" s="615">
        <f t="shared" si="8"/>
        <v>159573</v>
      </c>
      <c r="G16" s="160">
        <f t="shared" si="1"/>
        <v>0</v>
      </c>
      <c r="H16" s="615">
        <f t="shared" si="9"/>
        <v>541313</v>
      </c>
      <c r="I16" s="161">
        <f t="shared" si="2"/>
        <v>0</v>
      </c>
      <c r="J16" s="616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8"/>
      <c r="Z16" s="172">
        <f>'[5]EDl log'!Z33</f>
        <v>0</v>
      </c>
      <c r="AA16" s="172">
        <f>'[5]EDl log'!AA33</f>
        <v>0</v>
      </c>
      <c r="AB16" s="619">
        <f>'[2]EDl log'!AB33</f>
        <v>848178.87</v>
      </c>
      <c r="AC16" s="619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5">
        <f t="shared" si="7"/>
        <v>1100502</v>
      </c>
      <c r="C17" s="255">
        <f t="shared" si="0"/>
        <v>0</v>
      </c>
      <c r="D17" s="296">
        <f t="shared" si="14"/>
        <v>0</v>
      </c>
      <c r="E17" s="296">
        <f t="shared" si="15"/>
        <v>1100502</v>
      </c>
      <c r="F17" s="615">
        <f t="shared" si="8"/>
        <v>159573</v>
      </c>
      <c r="G17" s="160">
        <f>F17-F16</f>
        <v>0</v>
      </c>
      <c r="H17" s="615">
        <f t="shared" si="9"/>
        <v>541313</v>
      </c>
      <c r="I17" s="161">
        <f t="shared" si="2"/>
        <v>0</v>
      </c>
      <c r="J17" s="616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19">
        <f>'[2]EDl log'!AB34</f>
        <v>8558895.8699999992</v>
      </c>
      <c r="AC17" s="619"/>
      <c r="AD17" s="247"/>
    </row>
    <row r="18" spans="1:32" ht="20.100000000000001" customHeight="1" thickBot="1">
      <c r="A18" s="163">
        <f>ELEC!C18</f>
        <v>44515</v>
      </c>
      <c r="B18" s="615">
        <f t="shared" si="7"/>
        <v>1100502</v>
      </c>
      <c r="C18" s="255">
        <f>SUM(B18-B17)</f>
        <v>0</v>
      </c>
      <c r="D18" s="296">
        <f>SUM(G18+I18+K18)</f>
        <v>0</v>
      </c>
      <c r="E18" s="296">
        <f t="shared" si="15"/>
        <v>1100502</v>
      </c>
      <c r="F18" s="615">
        <f t="shared" si="8"/>
        <v>159573</v>
      </c>
      <c r="G18" s="160">
        <f t="shared" si="1"/>
        <v>0</v>
      </c>
      <c r="H18" s="615">
        <f t="shared" si="9"/>
        <v>541313</v>
      </c>
      <c r="I18" s="161">
        <f t="shared" si="2"/>
        <v>0</v>
      </c>
      <c r="J18" s="616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19"/>
      <c r="AC18" s="619"/>
      <c r="AD18" s="247"/>
    </row>
    <row r="19" spans="1:32" ht="20.100000000000001" customHeight="1" thickBot="1">
      <c r="A19" s="163">
        <f>ELEC!C19</f>
        <v>44516</v>
      </c>
      <c r="B19" s="615">
        <f t="shared" si="7"/>
        <v>1100502</v>
      </c>
      <c r="C19" s="255">
        <f t="shared" si="0"/>
        <v>0</v>
      </c>
      <c r="D19" s="296">
        <f t="shared" si="14"/>
        <v>0</v>
      </c>
      <c r="E19" s="296">
        <f t="shared" si="15"/>
        <v>1100502</v>
      </c>
      <c r="F19" s="615">
        <f t="shared" si="8"/>
        <v>159573</v>
      </c>
      <c r="G19" s="160">
        <f t="shared" si="1"/>
        <v>0</v>
      </c>
      <c r="H19" s="615">
        <f t="shared" si="9"/>
        <v>541313</v>
      </c>
      <c r="I19" s="161">
        <f t="shared" si="2"/>
        <v>0</v>
      </c>
      <c r="J19" s="616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19">
        <f>'[2]EDl log'!AB36</f>
        <v>5114.9034825870649</v>
      </c>
      <c r="AC19" s="619"/>
      <c r="AD19" s="247"/>
    </row>
    <row r="20" spans="1:32" ht="20.100000000000001" customHeight="1" thickBot="1">
      <c r="A20" s="163">
        <f>ELEC!C20</f>
        <v>44517</v>
      </c>
      <c r="B20" s="615">
        <f t="shared" si="7"/>
        <v>1100502</v>
      </c>
      <c r="C20" s="255">
        <f t="shared" si="0"/>
        <v>0</v>
      </c>
      <c r="D20" s="296">
        <f t="shared" si="14"/>
        <v>0</v>
      </c>
      <c r="E20" s="296">
        <f t="shared" si="15"/>
        <v>1100502</v>
      </c>
      <c r="F20" s="615">
        <f t="shared" si="8"/>
        <v>159573</v>
      </c>
      <c r="G20" s="160">
        <f t="shared" si="1"/>
        <v>0</v>
      </c>
      <c r="H20" s="615">
        <f t="shared" si="9"/>
        <v>541313</v>
      </c>
      <c r="I20" s="161">
        <f t="shared" si="2"/>
        <v>0</v>
      </c>
      <c r="J20" s="616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5">
        <f t="shared" si="7"/>
        <v>1100502</v>
      </c>
      <c r="C21" s="255">
        <f t="shared" si="0"/>
        <v>0</v>
      </c>
      <c r="D21" s="296">
        <f t="shared" si="14"/>
        <v>0</v>
      </c>
      <c r="E21" s="296">
        <f t="shared" si="15"/>
        <v>1100502</v>
      </c>
      <c r="F21" s="615">
        <f t="shared" si="8"/>
        <v>159573</v>
      </c>
      <c r="G21" s="160">
        <f t="shared" si="1"/>
        <v>0</v>
      </c>
      <c r="H21" s="615">
        <f t="shared" si="9"/>
        <v>541313</v>
      </c>
      <c r="I21" s="161">
        <f t="shared" si="2"/>
        <v>0</v>
      </c>
      <c r="J21" s="616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44519</v>
      </c>
      <c r="B22" s="615">
        <f t="shared" si="7"/>
        <v>1100502</v>
      </c>
      <c r="C22" s="255">
        <f t="shared" si="0"/>
        <v>0</v>
      </c>
      <c r="D22" s="296">
        <f t="shared" si="14"/>
        <v>0</v>
      </c>
      <c r="E22" s="296">
        <f t="shared" si="15"/>
        <v>1100502</v>
      </c>
      <c r="F22" s="615">
        <f t="shared" si="8"/>
        <v>159573</v>
      </c>
      <c r="G22" s="160">
        <f t="shared" si="1"/>
        <v>0</v>
      </c>
      <c r="H22" s="615">
        <f t="shared" si="9"/>
        <v>541313</v>
      </c>
      <c r="I22" s="161">
        <f t="shared" si="2"/>
        <v>0</v>
      </c>
      <c r="J22" s="616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44520</v>
      </c>
      <c r="B23" s="615">
        <f t="shared" si="7"/>
        <v>1100502</v>
      </c>
      <c r="C23" s="255">
        <f t="shared" si="0"/>
        <v>0</v>
      </c>
      <c r="D23" s="296">
        <f t="shared" si="14"/>
        <v>0</v>
      </c>
      <c r="E23" s="296">
        <f t="shared" si="15"/>
        <v>1100502</v>
      </c>
      <c r="F23" s="615">
        <f t="shared" si="8"/>
        <v>159573</v>
      </c>
      <c r="G23" s="160">
        <f t="shared" si="1"/>
        <v>0</v>
      </c>
      <c r="H23" s="615">
        <f t="shared" si="9"/>
        <v>541313</v>
      </c>
      <c r="I23" s="161">
        <f t="shared" si="2"/>
        <v>0</v>
      </c>
      <c r="J23" s="616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44521</v>
      </c>
      <c r="B24" s="615">
        <f t="shared" si="7"/>
        <v>1100502</v>
      </c>
      <c r="C24" s="255">
        <f t="shared" si="0"/>
        <v>0</v>
      </c>
      <c r="D24" s="296">
        <f t="shared" si="14"/>
        <v>0</v>
      </c>
      <c r="E24" s="296">
        <f t="shared" si="15"/>
        <v>1100502</v>
      </c>
      <c r="F24" s="615">
        <f t="shared" si="8"/>
        <v>159573</v>
      </c>
      <c r="G24" s="160">
        <f t="shared" si="1"/>
        <v>0</v>
      </c>
      <c r="H24" s="615">
        <f t="shared" si="9"/>
        <v>541313</v>
      </c>
      <c r="I24" s="161">
        <f t="shared" si="2"/>
        <v>0</v>
      </c>
      <c r="J24" s="616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44522</v>
      </c>
      <c r="B25" s="615">
        <f t="shared" si="7"/>
        <v>1100502</v>
      </c>
      <c r="C25" s="255">
        <f t="shared" si="0"/>
        <v>0</v>
      </c>
      <c r="D25" s="296">
        <f t="shared" si="14"/>
        <v>0</v>
      </c>
      <c r="E25" s="296">
        <f t="shared" si="15"/>
        <v>1100502</v>
      </c>
      <c r="F25" s="615">
        <f t="shared" si="8"/>
        <v>159573</v>
      </c>
      <c r="G25" s="160">
        <f t="shared" si="1"/>
        <v>0</v>
      </c>
      <c r="H25" s="615">
        <f t="shared" si="9"/>
        <v>541313</v>
      </c>
      <c r="I25" s="161">
        <f t="shared" si="2"/>
        <v>0</v>
      </c>
      <c r="J25" s="616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5">
        <f t="shared" si="7"/>
        <v>1100502</v>
      </c>
      <c r="C26" s="255">
        <f t="shared" si="0"/>
        <v>0</v>
      </c>
      <c r="D26" s="296">
        <f t="shared" si="14"/>
        <v>0</v>
      </c>
      <c r="E26" s="296">
        <f t="shared" si="15"/>
        <v>1100502</v>
      </c>
      <c r="F26" s="615">
        <f t="shared" si="8"/>
        <v>159573</v>
      </c>
      <c r="G26" s="160">
        <f t="shared" si="1"/>
        <v>0</v>
      </c>
      <c r="H26" s="615">
        <f t="shared" si="9"/>
        <v>541313</v>
      </c>
      <c r="I26" s="161">
        <f t="shared" si="2"/>
        <v>0</v>
      </c>
      <c r="J26" s="616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5">
        <f t="shared" si="7"/>
        <v>1100502</v>
      </c>
      <c r="C27" s="255">
        <f t="shared" si="0"/>
        <v>0</v>
      </c>
      <c r="D27" s="296">
        <f t="shared" si="14"/>
        <v>0</v>
      </c>
      <c r="E27" s="296">
        <f t="shared" si="15"/>
        <v>1100502</v>
      </c>
      <c r="F27" s="615">
        <f t="shared" si="8"/>
        <v>159573</v>
      </c>
      <c r="G27" s="160">
        <f t="shared" si="1"/>
        <v>0</v>
      </c>
      <c r="H27" s="615">
        <f t="shared" si="9"/>
        <v>541313</v>
      </c>
      <c r="I27" s="161">
        <f t="shared" si="2"/>
        <v>0</v>
      </c>
      <c r="J27" s="616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541313</v>
      </c>
      <c r="X27" s="172" t="s">
        <v>212</v>
      </c>
      <c r="Y27" s="172">
        <v>112</v>
      </c>
      <c r="Z27" s="172">
        <v>1</v>
      </c>
      <c r="AA27" s="325">
        <f>(W27-V27)*Z27</f>
        <v>569</v>
      </c>
      <c r="AB27" s="325">
        <f>SUM(AA27*Y27)</f>
        <v>63728</v>
      </c>
      <c r="AC27" s="244">
        <f>AC10</f>
        <v>6200000</v>
      </c>
      <c r="AD27" s="480">
        <f>SUM(I36)</f>
        <v>1</v>
      </c>
    </row>
    <row r="28" spans="1:32" ht="20.100000000000001" customHeight="1">
      <c r="A28" s="163">
        <f>ELEC!C28</f>
        <v>44525</v>
      </c>
      <c r="B28" s="615">
        <f t="shared" si="7"/>
        <v>1100502</v>
      </c>
      <c r="C28" s="255">
        <f t="shared" si="0"/>
        <v>0</v>
      </c>
      <c r="D28" s="296">
        <f t="shared" si="14"/>
        <v>0</v>
      </c>
      <c r="E28" s="296">
        <f>B27+D28</f>
        <v>1100502</v>
      </c>
      <c r="F28" s="615">
        <f t="shared" si="8"/>
        <v>159573</v>
      </c>
      <c r="G28" s="160">
        <f t="shared" si="1"/>
        <v>0</v>
      </c>
      <c r="H28" s="615">
        <f t="shared" si="9"/>
        <v>541313</v>
      </c>
      <c r="I28" s="161">
        <f t="shared" si="2"/>
        <v>0</v>
      </c>
      <c r="J28" s="616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159573</v>
      </c>
      <c r="X28" s="172" t="s">
        <v>197</v>
      </c>
      <c r="Y28" s="172">
        <v>320</v>
      </c>
      <c r="Z28" s="172">
        <v>1</v>
      </c>
      <c r="AA28" s="325">
        <f>(W28-V28)*Z28</f>
        <v>0</v>
      </c>
      <c r="AB28" s="325">
        <f>SUM(AA28*Y28)</f>
        <v>0</v>
      </c>
      <c r="AC28" s="244">
        <f>AC11</f>
        <v>1000</v>
      </c>
      <c r="AD28" s="480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44526</v>
      </c>
      <c r="B29" s="615">
        <f t="shared" si="7"/>
        <v>1100502</v>
      </c>
      <c r="C29" s="255">
        <f t="shared" si="0"/>
        <v>0</v>
      </c>
      <c r="D29" s="296">
        <f t="shared" si="14"/>
        <v>0</v>
      </c>
      <c r="E29" s="296">
        <f>B28+D29</f>
        <v>1100502</v>
      </c>
      <c r="F29" s="615">
        <f t="shared" si="8"/>
        <v>159573</v>
      </c>
      <c r="G29" s="160">
        <f t="shared" si="1"/>
        <v>0</v>
      </c>
      <c r="H29" s="615">
        <f t="shared" si="9"/>
        <v>541313</v>
      </c>
      <c r="I29" s="161">
        <f t="shared" si="2"/>
        <v>0</v>
      </c>
      <c r="J29" s="616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569</v>
      </c>
      <c r="AB29" s="325">
        <f>SUM(AB26:AB28)</f>
        <v>63728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5">
        <f t="shared" si="7"/>
        <v>1100502</v>
      </c>
      <c r="C30" s="255">
        <f t="shared" si="0"/>
        <v>0</v>
      </c>
      <c r="D30" s="296">
        <f t="shared" si="14"/>
        <v>0</v>
      </c>
      <c r="E30" s="296">
        <f t="shared" si="15"/>
        <v>1100502</v>
      </c>
      <c r="F30" s="615">
        <f t="shared" si="8"/>
        <v>159573</v>
      </c>
      <c r="G30" s="160">
        <f t="shared" si="1"/>
        <v>0</v>
      </c>
      <c r="H30" s="615">
        <f t="shared" si="9"/>
        <v>541313</v>
      </c>
      <c r="I30" s="161">
        <f t="shared" si="2"/>
        <v>0</v>
      </c>
      <c r="J30" s="616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7298061</v>
      </c>
      <c r="AC30" s="244"/>
    </row>
    <row r="31" spans="1:32" ht="20.100000000000001" customHeight="1">
      <c r="A31" s="163">
        <f>ELEC!C31</f>
        <v>44528</v>
      </c>
      <c r="B31" s="615">
        <f t="shared" si="7"/>
        <v>1100502</v>
      </c>
      <c r="C31" s="255">
        <f>SUM(B31-B30)</f>
        <v>0</v>
      </c>
      <c r="D31" s="296">
        <f t="shared" si="14"/>
        <v>0</v>
      </c>
      <c r="E31" s="296">
        <f>B30+D31</f>
        <v>1100502</v>
      </c>
      <c r="F31" s="615">
        <f t="shared" si="8"/>
        <v>159573</v>
      </c>
      <c r="G31" s="160">
        <f>F31-F30</f>
        <v>0</v>
      </c>
      <c r="H31" s="615">
        <f t="shared" si="9"/>
        <v>541313</v>
      </c>
      <c r="I31" s="161">
        <f>H31-H30</f>
        <v>0</v>
      </c>
      <c r="J31" s="616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5">
        <f t="shared" si="7"/>
        <v>1100502</v>
      </c>
      <c r="C32" s="255">
        <f>SUM(B32-B31)</f>
        <v>0</v>
      </c>
      <c r="D32" s="296">
        <f t="shared" si="14"/>
        <v>0</v>
      </c>
      <c r="E32" s="296">
        <f>B31+D32</f>
        <v>1100502</v>
      </c>
      <c r="F32" s="615">
        <f t="shared" si="8"/>
        <v>159573</v>
      </c>
      <c r="G32" s="160">
        <f>F32-F31</f>
        <v>0</v>
      </c>
      <c r="H32" s="615">
        <f t="shared" si="9"/>
        <v>541313</v>
      </c>
      <c r="I32" s="161">
        <f>H32-H31</f>
        <v>0</v>
      </c>
      <c r="J32" s="616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51</v>
      </c>
      <c r="X32" s="222">
        <f>SUM(W32/A35)</f>
        <v>25.5</v>
      </c>
      <c r="Y32" s="251">
        <f>SUM(X32/1)</f>
        <v>25.5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5">
        <f t="shared" si="7"/>
        <v>1100502</v>
      </c>
      <c r="C33" s="255">
        <f>SUM(B33-B32)</f>
        <v>0</v>
      </c>
      <c r="D33" s="296">
        <f t="shared" si="14"/>
        <v>0</v>
      </c>
      <c r="E33" s="296">
        <f>B32+D33</f>
        <v>1100502</v>
      </c>
      <c r="F33" s="615">
        <f t="shared" si="8"/>
        <v>159573</v>
      </c>
      <c r="G33" s="160">
        <f>F33-F32</f>
        <v>0</v>
      </c>
      <c r="H33" s="615">
        <f t="shared" si="9"/>
        <v>541313</v>
      </c>
      <c r="I33" s="161">
        <f>H33-H32</f>
        <v>0</v>
      </c>
      <c r="J33" s="616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49"/>
      <c r="X33" s="222"/>
      <c r="Y33" s="251"/>
      <c r="Z33" s="3" t="s">
        <v>417</v>
      </c>
      <c r="AA33" s="613">
        <v>0.11</v>
      </c>
      <c r="AB33" s="614">
        <f>AB30*AA33</f>
        <v>802786.71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5">
        <f t="shared" si="7"/>
        <v>1100502</v>
      </c>
      <c r="C34" s="255">
        <f>SUM(B34-B33)</f>
        <v>0</v>
      </c>
      <c r="D34" s="296">
        <f t="shared" ref="D34" si="20">SUM(G34+I34+K34)</f>
        <v>0</v>
      </c>
      <c r="E34" s="296">
        <f>B33+D34</f>
        <v>1100502</v>
      </c>
      <c r="F34" s="615">
        <f t="shared" si="8"/>
        <v>159573</v>
      </c>
      <c r="G34" s="160">
        <f>F34-F33</f>
        <v>0</v>
      </c>
      <c r="H34" s="593">
        <f t="shared" ref="H34" si="21">H33</f>
        <v>541313</v>
      </c>
      <c r="I34" s="161">
        <f>H34-H33</f>
        <v>0</v>
      </c>
      <c r="J34" s="616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09">
        <f>AB30+AB33</f>
        <v>8100847.71</v>
      </c>
      <c r="AC34" s="244">
        <f>SUM(AC30)</f>
        <v>0</v>
      </c>
    </row>
    <row r="35" spans="1:32" ht="15.75" thickBot="1">
      <c r="A35" s="506">
        <f>A37-COUNTIF(C4:C33,0)</f>
        <v>2</v>
      </c>
      <c r="C35" s="173">
        <f>SUM(C4:C34)/A35</f>
        <v>284.5</v>
      </c>
      <c r="D35" s="173"/>
      <c r="E35" s="173"/>
      <c r="F35" s="576"/>
      <c r="G35" s="576">
        <f>SUM(G4:G34)/A35</f>
        <v>0</v>
      </c>
      <c r="H35" s="173"/>
      <c r="I35" s="173">
        <f>SUM(I4:I34)/A35</f>
        <v>284.5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8">
        <f>AB30/1507.5</f>
        <v>4841.1681592039804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4841.1681592039804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69"/>
      <c r="AC45" s="669"/>
      <c r="AD45" s="551"/>
      <c r="AE45" s="17"/>
      <c r="AF45" s="17"/>
    </row>
    <row r="46" spans="1:32">
      <c r="V46" s="669"/>
      <c r="W46" s="669"/>
      <c r="X46" s="669"/>
      <c r="Y46" s="669"/>
      <c r="Z46" s="513"/>
      <c r="AA46" s="513"/>
      <c r="AB46" s="669"/>
      <c r="AC46" s="669"/>
      <c r="AD46" s="551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51"/>
      <c r="AE47" s="17"/>
      <c r="AF47" s="17"/>
    </row>
    <row r="48" spans="1:32">
      <c r="V48" s="670"/>
      <c r="W48" s="670"/>
      <c r="X48" s="671"/>
      <c r="Y48" s="671"/>
      <c r="Z48" s="671"/>
      <c r="AA48" s="514"/>
      <c r="AB48" s="669"/>
      <c r="AC48" s="669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B11" sqref="B11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/>
      <c r="C12" s="37"/>
      <c r="D12" s="26">
        <f>(C12+B12)/2</f>
        <v>0</v>
      </c>
      <c r="E12" s="341"/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/>
      <c r="C13" s="37"/>
      <c r="D13" s="26">
        <f t="shared" ref="D13:D32" si="3">(C13+B13)/2</f>
        <v>0</v>
      </c>
      <c r="E13" s="327"/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59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-23.699999999999989</v>
      </c>
      <c r="J8" s="9">
        <f>'B5'!A10</f>
        <v>44506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2</v>
      </c>
      <c r="I9" s="15">
        <f>WATER!BC12+WATER!BD12+WATER!BE13-Sheet1!G9</f>
        <v>-23.699999999999989</v>
      </c>
      <c r="J9" s="9">
        <f>'B5'!A11</f>
        <v>44507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2</v>
      </c>
      <c r="G12" s="78">
        <f>WATER!BG12</f>
        <v>-23.699999999999989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4" activePane="bottomLeft" state="frozen"/>
      <selection pane="bottomLeft" activeCell="H13" sqref="H1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322</v>
      </c>
      <c r="I1" s="696" t="s">
        <v>323</v>
      </c>
      <c r="J1" s="693" t="s">
        <v>43</v>
      </c>
    </row>
    <row r="2" spans="1:18" ht="38.25" thickBot="1">
      <c r="A2" s="691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701"/>
      <c r="I3" s="698"/>
      <c r="J3" s="695"/>
    </row>
    <row r="4" spans="1:18" ht="19.5" thickBot="1">
      <c r="A4" s="605"/>
      <c r="B4" s="620" t="s">
        <v>326</v>
      </c>
      <c r="C4" s="621" t="s">
        <v>320</v>
      </c>
      <c r="D4" s="622" t="s">
        <v>327</v>
      </c>
      <c r="E4" s="623" t="s">
        <v>326</v>
      </c>
      <c r="F4" s="622" t="s">
        <v>320</v>
      </c>
      <c r="G4" s="623" t="s">
        <v>327</v>
      </c>
      <c r="H4" s="586">
        <v>0</v>
      </c>
      <c r="I4" s="587"/>
      <c r="J4" s="588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0">
        <f>'[2]Swimming Pool quality check '!$A$36</f>
        <v>44500</v>
      </c>
      <c r="B5" s="608">
        <f>'[2]Swimming Pool quality check '!B36</f>
        <v>1.9</v>
      </c>
      <c r="C5" s="608">
        <f>'[2]Swimming Pool quality check '!C36</f>
        <v>8</v>
      </c>
      <c r="D5" s="608">
        <f>'[2]Swimming Pool quality check '!D36</f>
        <v>0</v>
      </c>
      <c r="E5" s="608">
        <f>'[2]Swimming Pool quality check '!E36</f>
        <v>0</v>
      </c>
      <c r="F5" s="608">
        <f>'[2]Swimming Pool quality check '!F36</f>
        <v>0</v>
      </c>
      <c r="G5" s="608">
        <f>'[2]Swimming Pool quality check '!G36</f>
        <v>0</v>
      </c>
      <c r="H5" s="608">
        <f>'[2]Swimming Pool quality check '!H36</f>
        <v>6911</v>
      </c>
      <c r="I5" s="589">
        <f>'[7]Swimming Pool quality check '!I36</f>
        <v>0</v>
      </c>
      <c r="J5" s="590">
        <f>'[8]Swimming Pool quality check '!J36</f>
        <v>0.33333333333333398</v>
      </c>
      <c r="K5" s="606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11">
        <f>ELEC!C4</f>
        <v>44501</v>
      </c>
      <c r="B6" s="603">
        <v>2.1</v>
      </c>
      <c r="C6" s="604">
        <v>7.9</v>
      </c>
      <c r="D6" s="170">
        <v>0</v>
      </c>
      <c r="E6" s="170">
        <v>0</v>
      </c>
      <c r="F6" s="170">
        <v>0</v>
      </c>
      <c r="G6" s="170">
        <v>0</v>
      </c>
      <c r="H6" s="542">
        <v>6912</v>
      </c>
      <c r="I6" s="482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11">
        <f>ELEC!C5</f>
        <v>44502</v>
      </c>
      <c r="B7" s="603">
        <v>2.2000000000000002</v>
      </c>
      <c r="C7" s="604">
        <v>8.6</v>
      </c>
      <c r="D7" s="170">
        <v>0</v>
      </c>
      <c r="E7" s="170">
        <v>0</v>
      </c>
      <c r="F7" s="170">
        <v>0</v>
      </c>
      <c r="G7" s="170">
        <v>0</v>
      </c>
      <c r="H7" s="542">
        <v>6913</v>
      </c>
      <c r="I7" s="482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11">
        <f>ELEC!C6</f>
        <v>44503</v>
      </c>
      <c r="B8" s="603">
        <v>2</v>
      </c>
      <c r="C8" s="604">
        <v>8.1999999999999993</v>
      </c>
      <c r="D8" s="170">
        <v>0</v>
      </c>
      <c r="E8" s="170">
        <v>0</v>
      </c>
      <c r="F8" s="170">
        <v>0</v>
      </c>
      <c r="G8" s="542">
        <v>0</v>
      </c>
      <c r="H8" s="542">
        <f t="shared" ref="H8:H36" si="3">H7</f>
        <v>6913</v>
      </c>
      <c r="I8" s="482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11">
        <f>ELEC!C7</f>
        <v>44504</v>
      </c>
      <c r="B9" s="603">
        <v>2.2999999999999998</v>
      </c>
      <c r="C9" s="604">
        <v>7.8</v>
      </c>
      <c r="D9" s="170">
        <v>0</v>
      </c>
      <c r="E9" s="170">
        <v>0</v>
      </c>
      <c r="F9" s="170">
        <v>0</v>
      </c>
      <c r="G9" s="542">
        <v>0</v>
      </c>
      <c r="H9" s="542">
        <v>6914</v>
      </c>
      <c r="I9" s="482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11">
        <f>ELEC!C8</f>
        <v>44505</v>
      </c>
      <c r="B10" s="603"/>
      <c r="C10" s="604"/>
      <c r="D10" s="170"/>
      <c r="E10" s="170"/>
      <c r="F10" s="170"/>
      <c r="G10" s="170"/>
      <c r="H10" s="542">
        <f t="shared" si="3"/>
        <v>6914</v>
      </c>
      <c r="I10" s="482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11">
        <f>ELEC!C9</f>
        <v>44506</v>
      </c>
      <c r="B11" s="603"/>
      <c r="C11" s="604"/>
      <c r="D11" s="170"/>
      <c r="E11" s="170"/>
      <c r="F11" s="170"/>
      <c r="G11" s="170"/>
      <c r="H11" s="542">
        <f t="shared" si="3"/>
        <v>6914</v>
      </c>
      <c r="I11" s="482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11">
        <f>ELEC!C10</f>
        <v>44507</v>
      </c>
      <c r="B12" s="603">
        <v>1.5</v>
      </c>
      <c r="C12" s="604">
        <v>8</v>
      </c>
      <c r="D12" s="170">
        <v>0</v>
      </c>
      <c r="E12" s="170">
        <v>0</v>
      </c>
      <c r="F12" s="170">
        <v>0</v>
      </c>
      <c r="G12" s="170">
        <v>0</v>
      </c>
      <c r="H12" s="542">
        <v>6916</v>
      </c>
      <c r="I12" s="482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11">
        <f>ELEC!C11</f>
        <v>44508</v>
      </c>
      <c r="B13" s="603"/>
      <c r="C13" s="604"/>
      <c r="D13" s="170"/>
      <c r="E13" s="170"/>
      <c r="F13" s="170"/>
      <c r="G13" s="170"/>
      <c r="H13" s="542">
        <f t="shared" si="3"/>
        <v>6916</v>
      </c>
      <c r="I13" s="482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11">
        <f>ELEC!C12</f>
        <v>44509</v>
      </c>
      <c r="B14" s="603"/>
      <c r="C14" s="604"/>
      <c r="D14" s="170"/>
      <c r="E14" s="170"/>
      <c r="F14" s="170"/>
      <c r="G14" s="170"/>
      <c r="H14" s="542">
        <f t="shared" si="3"/>
        <v>6916</v>
      </c>
      <c r="I14" s="482">
        <f t="shared" si="4"/>
        <v>0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11">
        <f>ELEC!C13</f>
        <v>44510</v>
      </c>
      <c r="B15" s="602"/>
      <c r="C15" s="604"/>
      <c r="D15" s="604"/>
      <c r="E15" s="604"/>
      <c r="F15" s="604"/>
      <c r="G15" s="604"/>
      <c r="H15" s="542">
        <f t="shared" si="3"/>
        <v>6916</v>
      </c>
      <c r="I15" s="482">
        <f t="shared" si="4"/>
        <v>0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11">
        <f>ELEC!C14</f>
        <v>44511</v>
      </c>
      <c r="B16" s="602"/>
      <c r="C16" s="604"/>
      <c r="D16" s="604"/>
      <c r="E16" s="604"/>
      <c r="F16" s="604"/>
      <c r="G16" s="604"/>
      <c r="H16" s="542">
        <f t="shared" si="3"/>
        <v>6916</v>
      </c>
      <c r="I16" s="482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11">
        <f>ELEC!C15</f>
        <v>44512</v>
      </c>
      <c r="B17" s="603"/>
      <c r="C17" s="604"/>
      <c r="D17" s="170"/>
      <c r="E17" s="170"/>
      <c r="F17" s="604"/>
      <c r="G17" s="604"/>
      <c r="H17" s="542">
        <f t="shared" si="3"/>
        <v>6916</v>
      </c>
      <c r="I17" s="482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11">
        <f>ELEC!C16</f>
        <v>44513</v>
      </c>
      <c r="B18" s="603"/>
      <c r="C18" s="604"/>
      <c r="D18" s="170"/>
      <c r="E18" s="170"/>
      <c r="F18" s="604"/>
      <c r="G18" s="170"/>
      <c r="H18" s="542">
        <f t="shared" si="3"/>
        <v>6916</v>
      </c>
      <c r="I18" s="482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11">
        <f>ELEC!C17</f>
        <v>44514</v>
      </c>
      <c r="B19" s="603"/>
      <c r="C19" s="604"/>
      <c r="D19" s="170"/>
      <c r="E19" s="170"/>
      <c r="F19" s="604"/>
      <c r="G19" s="170"/>
      <c r="H19" s="542">
        <f t="shared" si="3"/>
        <v>6916</v>
      </c>
      <c r="I19" s="482">
        <f t="shared" si="4"/>
        <v>0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11">
        <f>ELEC!C18</f>
        <v>44515</v>
      </c>
      <c r="B20" s="603"/>
      <c r="C20" s="604"/>
      <c r="D20" s="170"/>
      <c r="E20" s="170"/>
      <c r="F20" s="604"/>
      <c r="G20" s="170"/>
      <c r="H20" s="542">
        <f t="shared" si="3"/>
        <v>6916</v>
      </c>
      <c r="I20" s="482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11">
        <f>ELEC!C19</f>
        <v>44516</v>
      </c>
      <c r="B21" s="603"/>
      <c r="C21" s="604"/>
      <c r="D21" s="170"/>
      <c r="E21" s="170"/>
      <c r="F21" s="604"/>
      <c r="G21" s="170"/>
      <c r="H21" s="542">
        <f t="shared" si="3"/>
        <v>6916</v>
      </c>
      <c r="I21" s="482">
        <f t="shared" si="4"/>
        <v>0</v>
      </c>
      <c r="J21" s="541" t="s">
        <v>410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11">
        <f>ELEC!C20</f>
        <v>44517</v>
      </c>
      <c r="B22" s="603"/>
      <c r="C22" s="604"/>
      <c r="D22" s="170"/>
      <c r="E22" s="604"/>
      <c r="F22" s="604"/>
      <c r="G22" s="604"/>
      <c r="H22" s="542">
        <f t="shared" si="3"/>
        <v>6916</v>
      </c>
      <c r="I22" s="482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11">
        <f>ELEC!C21</f>
        <v>44518</v>
      </c>
      <c r="B23" s="603"/>
      <c r="C23" s="604"/>
      <c r="D23" s="170"/>
      <c r="E23" s="604"/>
      <c r="F23" s="604"/>
      <c r="G23" s="604"/>
      <c r="H23" s="542">
        <f t="shared" si="3"/>
        <v>6916</v>
      </c>
      <c r="I23" s="482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11">
        <f>ELEC!C22</f>
        <v>44519</v>
      </c>
      <c r="B24" s="603"/>
      <c r="C24" s="604"/>
      <c r="D24" s="170"/>
      <c r="E24" s="604"/>
      <c r="F24" s="604"/>
      <c r="G24" s="170"/>
      <c r="H24" s="542">
        <f t="shared" si="3"/>
        <v>6916</v>
      </c>
      <c r="I24" s="482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11">
        <f>ELEC!C23</f>
        <v>44520</v>
      </c>
      <c r="B25" s="603"/>
      <c r="C25" s="604"/>
      <c r="D25" s="170"/>
      <c r="E25" s="604"/>
      <c r="F25" s="604"/>
      <c r="G25" s="170"/>
      <c r="H25" s="542">
        <f t="shared" si="3"/>
        <v>6916</v>
      </c>
      <c r="I25" s="482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11">
        <f>ELEC!C24</f>
        <v>44521</v>
      </c>
      <c r="B26" s="603"/>
      <c r="C26" s="604"/>
      <c r="D26" s="170"/>
      <c r="E26" s="604"/>
      <c r="F26" s="604"/>
      <c r="G26" s="170"/>
      <c r="H26" s="542">
        <f t="shared" si="3"/>
        <v>6916</v>
      </c>
      <c r="I26" s="482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11">
        <f>ELEC!C25</f>
        <v>44522</v>
      </c>
      <c r="B27" s="603"/>
      <c r="C27" s="604"/>
      <c r="D27" s="170"/>
      <c r="E27" s="604"/>
      <c r="F27" s="604"/>
      <c r="G27" s="170"/>
      <c r="H27" s="542">
        <f t="shared" si="3"/>
        <v>6916</v>
      </c>
      <c r="I27" s="482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11">
        <f>ELEC!C26</f>
        <v>44523</v>
      </c>
      <c r="B28" s="603"/>
      <c r="C28" s="604"/>
      <c r="D28" s="170"/>
      <c r="E28" s="604"/>
      <c r="F28" s="604"/>
      <c r="G28" s="170"/>
      <c r="H28" s="542">
        <f t="shared" si="3"/>
        <v>6916</v>
      </c>
      <c r="I28" s="482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11">
        <f>ELEC!C27</f>
        <v>44524</v>
      </c>
      <c r="B29" s="603"/>
      <c r="C29" s="604"/>
      <c r="D29" s="170"/>
      <c r="E29" s="604"/>
      <c r="F29" s="604"/>
      <c r="G29" s="604"/>
      <c r="H29" s="542">
        <f t="shared" si="3"/>
        <v>6916</v>
      </c>
      <c r="I29" s="482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11">
        <f>ELEC!C28</f>
        <v>44525</v>
      </c>
      <c r="B30" s="603"/>
      <c r="C30" s="170"/>
      <c r="D30" s="170"/>
      <c r="E30" s="170"/>
      <c r="F30" s="170"/>
      <c r="G30" s="170"/>
      <c r="H30" s="542">
        <f t="shared" si="3"/>
        <v>6916</v>
      </c>
      <c r="I30" s="482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11">
        <f>ELEC!C29</f>
        <v>44526</v>
      </c>
      <c r="B31" s="603"/>
      <c r="C31" s="170"/>
      <c r="D31" s="170"/>
      <c r="E31" s="170"/>
      <c r="F31" s="170"/>
      <c r="G31" s="170"/>
      <c r="H31" s="542">
        <f t="shared" si="3"/>
        <v>6916</v>
      </c>
      <c r="I31" s="482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11">
        <f>ELEC!C30</f>
        <v>44527</v>
      </c>
      <c r="B32" s="603"/>
      <c r="C32" s="170"/>
      <c r="D32" s="170"/>
      <c r="E32" s="170"/>
      <c r="F32" s="170"/>
      <c r="G32" s="482"/>
      <c r="H32" s="542">
        <f t="shared" si="3"/>
        <v>6916</v>
      </c>
      <c r="I32" s="482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11">
        <f>ELEC!C31</f>
        <v>44528</v>
      </c>
      <c r="B33" s="603"/>
      <c r="C33" s="170"/>
      <c r="D33" s="170"/>
      <c r="E33" s="170"/>
      <c r="F33" s="170"/>
      <c r="G33" s="482"/>
      <c r="H33" s="542">
        <f t="shared" si="3"/>
        <v>6916</v>
      </c>
      <c r="I33" s="482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11">
        <f>ELEC!C32</f>
        <v>44529</v>
      </c>
      <c r="B34" s="603"/>
      <c r="C34" s="170"/>
      <c r="D34" s="170"/>
      <c r="E34" s="170"/>
      <c r="F34" s="170"/>
      <c r="G34" s="482"/>
      <c r="H34" s="542">
        <f t="shared" si="3"/>
        <v>6916</v>
      </c>
      <c r="I34" s="482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11">
        <f>ELEC!C33</f>
        <v>44530</v>
      </c>
      <c r="B35" s="603"/>
      <c r="C35" s="170"/>
      <c r="D35" s="170"/>
      <c r="E35" s="170"/>
      <c r="F35" s="170"/>
      <c r="G35" s="482"/>
      <c r="H35" s="542">
        <f t="shared" si="3"/>
        <v>6916</v>
      </c>
      <c r="I35" s="482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12">
        <f>ELEC!C34</f>
        <v>44531</v>
      </c>
      <c r="B36" s="609"/>
      <c r="C36" s="591"/>
      <c r="D36" s="591"/>
      <c r="E36" s="591"/>
      <c r="F36" s="591"/>
      <c r="G36" s="592"/>
      <c r="H36" s="542">
        <f t="shared" si="3"/>
        <v>6916</v>
      </c>
      <c r="I36" s="592">
        <f>H36-H35</f>
        <v>0</v>
      </c>
      <c r="J36" s="607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405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0</v>
      </c>
      <c r="S55" s="262">
        <f>'General information '!C12</f>
        <v>0</v>
      </c>
      <c r="T55" s="119">
        <f t="shared" si="8"/>
        <v>-18.3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0</v>
      </c>
      <c r="S56" s="262">
        <f>'General information '!C13</f>
        <v>0</v>
      </c>
      <c r="T56" s="119">
        <f t="shared" si="8"/>
        <v>-18.3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-457.50000000000017</v>
      </c>
      <c r="S81" s="119">
        <f>SUMIF(T48:T78,"&gt;0")</f>
        <v>26.499999999999996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-2185.1000000000004</v>
      </c>
      <c r="O86" s="142">
        <f>C43+G43+K43+O43+S43+W43+C81+G81+K81+O81+S81+W81</f>
        <v>1145.0999999999999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50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870.10000000000014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10000</v>
      </c>
      <c r="C8" s="470">
        <f>SUM(tanks!AU37)</f>
        <v>0.69</v>
      </c>
      <c r="D8" s="191">
        <f>SUM(B8*C8)*D4</f>
        <v>10401749.999999998</v>
      </c>
      <c r="E8" s="192">
        <f>SUM(D8/D4/F4)</f>
        <v>2299.9999999999995</v>
      </c>
      <c r="F8" s="192">
        <f>SUM(E8*F4)</f>
        <v>6899.9999999999982</v>
      </c>
      <c r="G8" s="582">
        <f>E8*$G$4</f>
        <v>68999.999999999985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569</v>
      </c>
      <c r="C10" s="181"/>
      <c r="D10" s="183">
        <f>'EDl log'!AB30</f>
        <v>7298061</v>
      </c>
      <c r="E10" s="182">
        <f>SUM(D10/D4/F4)</f>
        <v>1613.7227197346601</v>
      </c>
      <c r="F10" s="182">
        <f>SUM(E10*F4)</f>
        <v>4841.1681592039804</v>
      </c>
      <c r="G10" s="483">
        <f>E10*$G$4</f>
        <v>48411.681592039808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4203.756053067993</v>
      </c>
      <c r="F12" s="180">
        <f>SUM(F6:F10)</f>
        <v>12611.268159203979</v>
      </c>
      <c r="G12" s="179">
        <f>SUM(G6:G10)</f>
        <v>125611.68159203979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67620.781592039799</v>
      </c>
      <c r="I14" s="408">
        <f>SUM(G12-I12)</f>
        <v>74367.761871609691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59</v>
      </c>
      <c r="C16" s="418">
        <f>'[16]Utility Cost '!B16</f>
        <v>19.816666666666666</v>
      </c>
      <c r="D16" s="417"/>
      <c r="E16" s="594">
        <f>B16-C16</f>
        <v>39.183333333333337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383</v>
      </c>
      <c r="B18" s="498">
        <f>GEN!Z34</f>
        <v>51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-34</v>
      </c>
      <c r="F18" s="500">
        <f>B18-D18</f>
        <v>-151.66666666666666</v>
      </c>
    </row>
    <row r="19" spans="1:10">
      <c r="A19" s="494" t="s">
        <v>414</v>
      </c>
      <c r="B19" s="498">
        <f>GEN!AL34</f>
        <v>5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407</v>
      </c>
      <c r="B20" s="492">
        <f>B18/B19</f>
        <v>10.199999999999999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2021-11-08T09:12:55Z</dcterms:modified>
</cp:coreProperties>
</file>