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20" yWindow="195" windowWidth="14100" windowHeight="1042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P28" i="3"/>
  <c r="K27" i="1"/>
  <c r="AV33" i="5" l="1"/>
  <c r="AV34" s="1"/>
  <c r="AV35" s="1"/>
  <c r="AN18" i="2" l="1"/>
  <c r="F17" i="1" l="1"/>
  <c r="H17"/>
  <c r="AM30" i="2"/>
  <c r="AM31" s="1"/>
  <c r="AM32" s="1"/>
  <c r="AM33" s="1"/>
  <c r="C15" i="77"/>
  <c r="C16"/>
  <c r="C17"/>
  <c r="C18"/>
  <c r="C19"/>
  <c r="C14"/>
  <c r="A14" i="5"/>
  <c r="AN12" i="2" l="1"/>
  <c r="AN11"/>
  <c r="AL30"/>
  <c r="AL31" s="1"/>
  <c r="AL32" s="1"/>
  <c r="AL33" s="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N6" l="1"/>
  <c r="AN7"/>
  <c r="AO8" s="1"/>
  <c r="H7" i="82" s="1"/>
  <c r="AN8" i="2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J31" i="76"/>
  <c r="J32" s="1"/>
  <c r="J33" s="1"/>
  <c r="J34" s="1"/>
  <c r="K34" s="1"/>
  <c r="N34" s="1"/>
  <c r="H31"/>
  <c r="H32" s="1"/>
  <c r="H33" s="1"/>
  <c r="H34" s="1"/>
  <c r="F31"/>
  <c r="F32" s="1"/>
  <c r="F33" s="1"/>
  <c r="F34" s="1"/>
  <c r="B31"/>
  <c r="B32" s="1"/>
  <c r="B33" s="1"/>
  <c r="B34" s="1"/>
  <c r="C34" s="1"/>
  <c r="AC34"/>
  <c r="AB34" s="1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3"/>
  <c r="R3"/>
  <c r="R4" s="1"/>
  <c r="R5" s="1"/>
  <c r="R6" s="1"/>
  <c r="R8" s="1"/>
  <c r="R9" s="1"/>
  <c r="R10" s="1"/>
  <c r="R11" s="1"/>
  <c r="R17" s="1"/>
  <c r="R18" s="1"/>
  <c r="R19" s="1"/>
  <c r="R20" s="1"/>
  <c r="R21" s="1"/>
  <c r="R29" s="1"/>
  <c r="R30" s="1"/>
  <c r="R31" s="1"/>
  <c r="R32" s="1"/>
  <c r="R33" s="1"/>
  <c r="D24"/>
  <c r="D25" s="1"/>
  <c r="D26" s="1"/>
  <c r="D27" s="1"/>
  <c r="D30" s="1"/>
  <c r="D31" s="1"/>
  <c r="D32" s="1"/>
  <c r="D33" s="1"/>
  <c r="E33" s="1"/>
  <c r="B13"/>
  <c r="B25" s="1"/>
  <c r="B26" s="1"/>
  <c r="B30" s="1"/>
  <c r="B31" s="1"/>
  <c r="B32" s="1"/>
  <c r="B33" s="1"/>
  <c r="AJ33"/>
  <c r="A33"/>
  <c r="A33" i="2"/>
  <c r="AZ36" i="7" s="1"/>
  <c r="BB36"/>
  <c r="T27" i="3" l="1"/>
  <c r="T29" s="1"/>
  <c r="T30" s="1"/>
  <c r="T31" s="1"/>
  <c r="T32" s="1"/>
  <c r="T33" s="1"/>
  <c r="T22"/>
  <c r="D16" i="2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8" s="1"/>
  <c r="H29" s="1"/>
  <c r="H30" s="1"/>
  <c r="H32" s="1"/>
  <c r="H33" s="1"/>
  <c r="H34" s="1"/>
  <c r="K34" i="5" s="1"/>
  <c r="H6" i="79"/>
  <c r="K6" i="5" s="1"/>
  <c r="AX19"/>
  <c r="AX33" s="1"/>
  <c r="AX34" s="1"/>
  <c r="AX35" s="1"/>
  <c r="AT11"/>
  <c r="AT17" s="1"/>
  <c r="AT18" s="1"/>
  <c r="AT19" s="1"/>
  <c r="AT21" s="1"/>
  <c r="AT22" s="1"/>
  <c r="AT25" s="1"/>
  <c r="AT26" s="1"/>
  <c r="AT29" s="1"/>
  <c r="AT33" s="1"/>
  <c r="AT34" s="1"/>
  <c r="AT35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2" s="1"/>
  <c r="AG33" s="1"/>
  <c r="AG34" s="1"/>
  <c r="AG35" s="1"/>
  <c r="AG36" s="1"/>
  <c r="AH36" s="1"/>
  <c r="AE6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3" s="1"/>
  <c r="X34" s="1"/>
  <c r="X35" s="1"/>
  <c r="X36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3" s="1"/>
  <c r="G34" s="1"/>
  <c r="G35" s="1"/>
  <c r="G36" s="1"/>
  <c r="H36" s="1"/>
  <c r="A36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5" s="1"/>
  <c r="V26" s="1"/>
  <c r="V27" s="1"/>
  <c r="V28" s="1"/>
  <c r="V29" s="1"/>
  <c r="V30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3" s="1"/>
  <c r="Q26" s="1"/>
  <c r="Q28" s="1"/>
  <c r="Q29" s="1"/>
  <c r="Q32" s="1"/>
  <c r="Q33" s="1"/>
  <c r="Q34" s="1"/>
  <c r="Q35" s="1"/>
  <c r="R35" s="1"/>
  <c r="P8"/>
  <c r="P11" s="1"/>
  <c r="P14" s="1"/>
  <c r="P15" s="1"/>
  <c r="P17" s="1"/>
  <c r="P20" s="1"/>
  <c r="P21" s="1"/>
  <c r="P23" s="1"/>
  <c r="P25" s="1"/>
  <c r="P26" s="1"/>
  <c r="P28" s="1"/>
  <c r="P29" s="1"/>
  <c r="P32" s="1"/>
  <c r="P33" s="1"/>
  <c r="P34" s="1"/>
  <c r="P35" s="1"/>
  <c r="S35" s="1"/>
  <c r="T35" s="1"/>
  <c r="M7"/>
  <c r="M10" s="1"/>
  <c r="M13" s="1"/>
  <c r="M15" s="1"/>
  <c r="M16" s="1"/>
  <c r="M18" s="1"/>
  <c r="M19" s="1"/>
  <c r="M22" s="1"/>
  <c r="M24" s="1"/>
  <c r="M27" s="1"/>
  <c r="M28" s="1"/>
  <c r="M30" s="1"/>
  <c r="M31" s="1"/>
  <c r="M32" s="1"/>
  <c r="M33" s="1"/>
  <c r="M34" s="1"/>
  <c r="M35" s="1"/>
  <c r="N35" s="1"/>
  <c r="K7"/>
  <c r="K10" s="1"/>
  <c r="K13" s="1"/>
  <c r="K15" s="1"/>
  <c r="K16" s="1"/>
  <c r="K18" s="1"/>
  <c r="K19" s="1"/>
  <c r="K22" s="1"/>
  <c r="K24" s="1"/>
  <c r="K25" s="1"/>
  <c r="K28" s="1"/>
  <c r="K30" s="1"/>
  <c r="K31" s="1"/>
  <c r="K32" s="1"/>
  <c r="K33" s="1"/>
  <c r="K34" s="1"/>
  <c r="K35" s="1"/>
  <c r="L35" s="1"/>
  <c r="H6"/>
  <c r="H8"/>
  <c r="H9" s="1"/>
  <c r="H12" s="1"/>
  <c r="H14" s="1"/>
  <c r="H18" s="1"/>
  <c r="H21" s="1"/>
  <c r="H23" s="1"/>
  <c r="H24" s="1"/>
  <c r="H27" s="1"/>
  <c r="H29" s="1"/>
  <c r="H30" s="1"/>
  <c r="H32" s="1"/>
  <c r="H33" s="1"/>
  <c r="H34" s="1"/>
  <c r="H35" s="1"/>
  <c r="I35" s="1"/>
  <c r="F6"/>
  <c r="F8" s="1"/>
  <c r="F9" s="1"/>
  <c r="F12" s="1"/>
  <c r="F14" s="1"/>
  <c r="F18" s="1"/>
  <c r="F20" s="1"/>
  <c r="F21" s="1"/>
  <c r="F23" s="1"/>
  <c r="F24" s="1"/>
  <c r="F27" s="1"/>
  <c r="F29" s="1"/>
  <c r="F30" s="1"/>
  <c r="F32" s="1"/>
  <c r="F33" s="1"/>
  <c r="F34" s="1"/>
  <c r="F35" s="1"/>
  <c r="G35" s="1"/>
  <c r="J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7" s="1"/>
  <c r="Z29" s="1"/>
  <c r="Z30" s="1"/>
  <c r="Z31" s="1"/>
  <c r="Z32" s="1"/>
  <c r="Z33" s="1"/>
  <c r="Z34" s="1"/>
  <c r="Z35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7" s="1"/>
  <c r="X29" s="1"/>
  <c r="X30" s="1"/>
  <c r="X31" s="1"/>
  <c r="X32" s="1"/>
  <c r="X33" s="1"/>
  <c r="X34" s="1"/>
  <c r="X35" s="1"/>
  <c r="Y35" s="1"/>
  <c r="AB35" s="1"/>
  <c r="B32"/>
  <c r="B33" s="1"/>
  <c r="B34" s="1"/>
  <c r="B35" s="1"/>
  <c r="B36" i="7" s="1"/>
  <c r="C32" i="1"/>
  <c r="C33" s="1"/>
  <c r="C34" s="1"/>
  <c r="A35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9" s="1"/>
  <c r="AA30" s="1"/>
  <c r="AA31" s="1"/>
  <c r="AA32" s="1"/>
  <c r="AA33" s="1"/>
  <c r="AB33" s="1"/>
  <c r="W4"/>
  <c r="W5" s="1"/>
  <c r="W8" s="1"/>
  <c r="W9" s="1"/>
  <c r="W10" s="1"/>
  <c r="W11" s="1"/>
  <c r="W30" s="1"/>
  <c r="W31" s="1"/>
  <c r="W32" s="1"/>
  <c r="W33" s="1"/>
  <c r="X33" s="1"/>
  <c r="P30"/>
  <c r="P31" s="1"/>
  <c r="P32" s="1"/>
  <c r="P33" s="1"/>
  <c r="Q33" s="1"/>
  <c r="AD33" i="3" s="1"/>
  <c r="AI33" s="1"/>
  <c r="L30" i="2"/>
  <c r="L31" s="1"/>
  <c r="L32" s="1"/>
  <c r="L33" s="1"/>
  <c r="M33" s="1"/>
  <c r="E32" i="82" s="1"/>
  <c r="J30" i="2"/>
  <c r="J31" s="1"/>
  <c r="J32" s="1"/>
  <c r="J33" s="1"/>
  <c r="K33" s="1"/>
  <c r="F32" i="82" s="1"/>
  <c r="H30" i="2"/>
  <c r="H31" s="1"/>
  <c r="H32" s="1"/>
  <c r="H33" s="1"/>
  <c r="I33" s="1"/>
  <c r="G32" i="82" s="1"/>
  <c r="F30" i="2"/>
  <c r="F31" s="1"/>
  <c r="F32" s="1"/>
  <c r="F33" s="1"/>
  <c r="G33" s="1"/>
  <c r="I32" i="82" s="1"/>
  <c r="Y3" i="2"/>
  <c r="Y4" s="1"/>
  <c r="Y5" s="1"/>
  <c r="Y8" s="1"/>
  <c r="Y9" s="1"/>
  <c r="Y10" s="1"/>
  <c r="S3"/>
  <c r="F37" i="73"/>
  <c r="Y30" i="2" l="1"/>
  <c r="Y31" s="1"/>
  <c r="Y32" s="1"/>
  <c r="Y33" s="1"/>
  <c r="Z33" s="1"/>
  <c r="Y11"/>
  <c r="AF36" i="5"/>
  <c r="AI36" s="1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5" i="79"/>
  <c r="H36" s="1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A36" i="5"/>
  <c r="AJ36"/>
  <c r="Q36"/>
  <c r="M32" i="81" s="1"/>
  <c r="E36" i="5"/>
  <c r="D36"/>
  <c r="I36"/>
  <c r="V35" i="1"/>
  <c r="C35"/>
  <c r="Z36" i="7" s="1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AO28"/>
  <c r="H27" i="82" s="1"/>
  <c r="D28" i="2" l="1"/>
  <c r="AO29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T34" s="1"/>
  <c r="F32" i="81" s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C33" s="1"/>
  <c r="AC34" s="1"/>
  <c r="AC35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E33" s="1"/>
  <c r="AE34" s="1"/>
  <c r="AE35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U21" i="2" l="1"/>
  <c r="U22" s="1"/>
  <c r="U23" s="1"/>
  <c r="U24" s="1"/>
  <c r="U25" s="1"/>
  <c r="U26" s="1"/>
  <c r="U27" s="1"/>
  <c r="U28" s="1"/>
  <c r="U29" s="1"/>
  <c r="U30" s="1"/>
  <c r="U31" s="1"/>
  <c r="AW36" i="7"/>
  <c r="G32" i="81" s="1"/>
  <c r="AK35" i="1"/>
  <c r="AG35"/>
  <c r="AM35"/>
  <c r="S23" i="3"/>
  <c r="U23" s="1"/>
  <c r="E25"/>
  <c r="K29" i="76"/>
  <c r="M31" i="2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U32" i="2" l="1"/>
  <c r="U33" s="1"/>
  <c r="V33" s="1"/>
  <c r="AF33" s="1"/>
  <c r="V31"/>
  <c r="E31" i="3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N31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I32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19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G20" i="2" l="1"/>
  <c r="AS7" i="7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F22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AG22" i="2" l="1"/>
  <c r="BJ7" i="7"/>
  <c r="Q5" i="76"/>
  <c r="H24" i="65"/>
  <c r="AF23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AG23" i="2" l="1"/>
  <c r="H25" i="65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F25" i="2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AG25" l="1"/>
  <c r="B24" i="63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F27" i="2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AG27" l="1"/>
  <c r="B26" i="63"/>
  <c r="AG28" i="2"/>
  <c r="AF28"/>
  <c r="H30" i="65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V32" i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AC33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H33" i="3" l="1"/>
  <c r="AG3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M3" l="1"/>
  <c r="AA3" s="1"/>
  <c r="AC3" s="1"/>
  <c r="AH3" s="1"/>
  <c r="P6" i="5" l="1"/>
  <c r="N6"/>
  <c r="M4" i="3"/>
  <c r="AA4" s="1"/>
  <c r="AC4" s="1"/>
  <c r="AH4" s="1"/>
  <c r="C6" i="5"/>
  <c r="G2" i="63"/>
  <c r="Q6" i="5" l="1"/>
  <c r="M2" i="81" s="1"/>
  <c r="M5" i="3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AC33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P15" s="1"/>
  <c r="R15" s="1"/>
  <c r="T15" s="1"/>
  <c r="F13" i="81" s="1"/>
  <c r="O33" i="76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BB26" i="5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 (Fixed manually)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<sst xmlns="http://schemas.openxmlformats.org/spreadsheetml/2006/main" count="664" uniqueCount="423">
  <si>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</si>
  <si>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</si>
  <si>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</si>
  <si>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</si>
  <si>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</si>
  <si>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</si>
  <si>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</si>
  <si>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</si>
  <si>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</si>
  <si>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</si>
  <si>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</si>
  <si>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</si>
  <si>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</si>
  <si>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</si>
  <si>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</si>
  <si>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</si>
  <si>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</si>
  <si>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</si>
  <si>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</si>
  <si>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</si>
  <si>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</si>
  <si>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</si>
  <si>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</si>
  <si>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</si>
  <si>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</si>
  <si>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</si>
  <si>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</si>
  <si>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</si>
  <si>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</si>
  <si>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</si>
  <si>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</si>
  <si>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</si>
  <si>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</si>
  <si>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</si>
  <si>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</si>
  <si>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</si>
  <si>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</si>
  <si>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</si>
  <si>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</si>
  <si>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</si>
  <si>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</si>
  <si>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</si>
  <si>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</si>
  <si>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</si>
  <si>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</si>
  <si>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</si>
  <si>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</si>
  <si>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</si>
  <si>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</si>
  <si>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</si>
  <si>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</si>
  <si>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</si>
  <si>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</si>
  <si>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</si>
  <si>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</si>
  <si>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</si>
  <si>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</si>
  <si>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</si>
  <si>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</si>
  <si>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</si>
  <si>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</si>
  <si>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</si>
  <si>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</si>
  <si>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</si>
  <si>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</si>
  <si>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</si>
  <si>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</si>
  <si>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</si>
  <si>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</si>
  <si>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</si>
  <si>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</si>
  <si>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</si>
  <si>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</si>
  <si>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</si>
  <si>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</si>
  <si>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</si>
  <si>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</si>
  <si>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</si>
  <si>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</si>
  <si>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</si>
  <si>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</si>
  <si>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</si>
  <si>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</si>
  <si>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</si>
  <si>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</si>
  <si>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</si>
  <si>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</si>
  <si>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</si>
  <si>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</si>
  <si>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</si>
  <si>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</si>
  <si>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</si>
  <si>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</si>
  <si>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</si>
  <si>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</si>
  <si>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</si>
  <si>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</si>
  <si>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</si>
  <si>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</si>
  <si>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</si>
  <si>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</si>
  <si>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</si>
  <si>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</si>
  <si>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</si>
  <si>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</si>
  <si>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</si>
  <si>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</si>
  <si>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</si>
  <si>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</si>
  <si>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</si>
  <si>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</si>
  <si>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</si>
  <si>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</si>
  <si>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</si>
  <si>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</si>
  <si>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</si>
  <si>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</si>
  <si>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</si>
  <si>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</si>
  <si>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</si>
  <si>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</si>
  <si>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</si>
  <si>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</si>
  <si>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</si>
  <si>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</si>
  <si>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</si>
  <si>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</si>
  <si>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</si>
  <si>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</si>
  <si>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</si>
  <si>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</si>
  <si>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</si>
  <si>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</si>
  <si>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</si>
  <si>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</si>
  <si>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</si>
  <si>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</si>
  <si>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</si>
  <si>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</si>
  <si>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</si>
  <si>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</si>
  <si>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</si>
  <si>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</si>
  <si>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</si>
  <si>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</si>
  <si>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</si>
  <si>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</si>
  <si>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</si>
  <si>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</si>
  <si>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</si>
  <si>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</si>
  <si>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</si>
  <si>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</si>
  <si>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</si>
  <si>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</si>
  <si>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</si>
  <si>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</si>
  <si>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</si>
  <si>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</si>
  <si>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</si>
  <si>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</si>
  <si>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</si>
  <si>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</si>
  <si>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</si>
  <si>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</si>
  <si>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</si>
  <si>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</si>
  <si>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</si>
  <si>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</si>
  <si>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</si>
  <si>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</si>
  <si>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</si>
  <si>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</si>
  <si>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</si>
  <si>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</si>
  <si>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</si>
  <si>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</si>
  <si>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</si>
  <si>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</si>
  <si>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</si>
  <si>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</si>
  <si>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</si>
  <si>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</si>
  <si>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</si>
  <si>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</si>
  <si>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</si>
  <si>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</si>
  <si>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</si>
  <si>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</si>
  <si>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</si>
  <si>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</si>
  <si>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</si>
  <si>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</si>
  <si>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</si>
  <si>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</si>
  <si>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</si>
  <si>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</si>
  <si>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</si>
  <si>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</si>
  <si>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</si>
  <si>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</si>
  <si>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</si>
  <si>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</si>
  <si>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</si>
  <si>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</si>
  <si>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</si>
  <si>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</si>
  <si>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</si>
  <si>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</si>
  <si>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</si>
  <si>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</si>
  <si>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</si>
  <si>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</si>
  <si>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</si>
  <si>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</si>
  <si>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</si>
  <si>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</si>
  <si>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</si>
  <si>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</si>
  <si>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</si>
  <si>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</si>
  <si>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</si>
  <si>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</si>
  <si>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</si>
  <si>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</si>
  <si>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</si>
  <si>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</si>
  <si>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</si>
  <si>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</si>
  <si>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</si>
  <si>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</si>
  <si>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</si>
  <si>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</si>
  <si>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</si>
  <si>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</si>
  <si>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</si>
  <si>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</si>
  <si>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</si>
  <si>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</si>
  <si>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</si>
  <si>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</si>
  <si>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</si>
  <si>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</si>
  <si>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</si>
  <si>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</si>
  <si>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</si>
  <si>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</si>
  <si>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</si>
  <si>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</si>
  <si>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</si>
  <si>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</si>
  <si>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</si>
  <si>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</si>
  <si>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</si>
  <si>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</si>
  <si>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</si>
  <si>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</si>
  <si>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</si>
  <si>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</si>
  <si>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</si>
  <si>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</si>
  <si>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</si>
  <si>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</si>
  <si>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</si>
  <si>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</si>
  <si>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</si>
  <si>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</si>
  <si>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</si>
  <si>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</si>
  <si>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</si>
  <si>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</si>
  <si>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</si>
  <si>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</si>
  <si>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</si>
  <si>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</si>
  <si>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</si>
  <si>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</si>
  <si>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</si>
  <si>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</si>
  <si>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</si>
  <si>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</si>
  <si>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</si>
  <si>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</si>
  <si>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</si>
  <si>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</si>
  <si>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</si>
  <si>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</si>
  <si>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</si>
  <si>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</si>
  <si>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</si>
  <si>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</si>
  <si>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</si>
  <si>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</si>
  <si>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</si>
  <si>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</si>
  <si>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</si>
  <si>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</si>
  <si>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</si>
  <si>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</si>
  <si>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</si>
  <si>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</si>
  <si>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</si>
  <si>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</si>
  <si>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</si>
  <si>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</si>
  <si>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</si>
  <si>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</si>
  <si>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</si>
  <si>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</si>
  <si>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</si>
  <si>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</si>
  <si>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</si>
  <si>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</si>
  <si>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</si>
  <si>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</si>
  <si>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</si>
  <si>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</si>
  <si>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</si>
  <si>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</si>
  <si>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</si>
  <si>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</si>
  <si>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</si>
  <si>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</si>
  <si>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</si>
  <si>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</si>
  <si>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</si>
  <si>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</si>
  <si>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</si>
  <si>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</si>
  <si>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</si>
  <si>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</si>
  <si>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</si>
  <si>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</si>
  <si>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</si>
  <si>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</si>
  <si>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</si>
  <si>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</si>
  <si>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</si>
  <si>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</si>
  <si>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</si>
  <si>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</si>
  <si>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</si>
  <si>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</si>
  <si>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</si>
  <si>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</si>
  <si>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</si>
  <si>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</si>
  <si>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</si>
  <si>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</si>
  <si>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</si>
  <si>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</si>
  <si>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</si>
  <si>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</si>
  <si>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</si>
  <si>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</si>
  <si>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</si>
  <si>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</si>
  <si>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</si>
  <si>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</si>
  <si>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</si>
  <si>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</si>
  <si>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</si>
  <si>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</si>
  <si>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</si>
  <si>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</si>
  <si>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</si>
  <si>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</si>
  <si>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</si>
  <si>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</si>
  <si>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</si>
  <si>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</si>
  <si>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</si>
  <si>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</si>
  <si>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</si>
  <si>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</si>
  <si>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</si>
  <si>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</si>
  <si>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</si>
  <si>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</si>
  <si>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</si>
  <si>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</si>
  <si>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</si>
  <si>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</si>
  <si>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</si>
  <si>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</si>
  <si>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</si>
  <si>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</si>
  <si>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</si>
  <si>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</si>
  <si>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</si>
  <si>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</si>
  <si>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</si>
  <si>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</si>
  <si>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</si>
  <si>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</si>
  <si>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</si>
  <si>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</si>
  <si>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</si>
  <si>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</si>
  <si>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</si>
  <si>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</si>
  <si>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</si>
  <si>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</si>
  <si>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</si>
  <si>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</si>
  <si>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</si>
  <si>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</si>
  <si>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</si>
  <si>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</si>
  <si>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</si>
  <si>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</si>
  <si>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</si>
  <si>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</si>
  <si>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</si>
  <si>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</si>
  <si>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</si>
  <si>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</si>
  <si>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</si>
  <si>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</si>
  <si>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</si>
  <si>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</si>
  <si>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</si>
  <si>
    <t>0,4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</si>
</sst>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4" fontId="0" fillId="24" borderId="0" xfId="0" applyNumberFormat="1" applyFill="1" applyBorder="1" applyAlignment="1">
      <alignment horizont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0" fontId="0" fillId="24" borderId="0" xfId="0" applyFill="1" applyBorder="1" applyAlignment="1">
      <alignment horizontal="center"/>
    </xf>
    <xf numFmtId="2" fontId="0" fillId="3" borderId="0" xfId="0" applyNumberFormat="1" applyFill="1" applyBorder="1"/>
    <xf numFmtId="43" fontId="0" fillId="11" borderId="0" xfId="0" applyNumberFormat="1" applyFill="1" applyBorder="1"/>
    <xf numFmtId="43" fontId="23" fillId="12" borderId="0" xfId="0" applyNumberFormat="1" applyFont="1" applyFill="1" applyBorder="1"/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11827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8081024"/>
        <c:axId val="135065600"/>
      </c:lineChart>
      <c:catAx>
        <c:axId val="9808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65600"/>
        <c:crosses val="autoZero"/>
        <c:auto val="1"/>
        <c:lblAlgn val="ctr"/>
        <c:lblOffset val="100"/>
      </c:catAx>
      <c:valAx>
        <c:axId val="135065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8509184"/>
        <c:axId val="98510720"/>
      </c:lineChart>
      <c:catAx>
        <c:axId val="9850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0720"/>
        <c:crosses val="autoZero"/>
        <c:auto val="1"/>
        <c:lblAlgn val="ctr"/>
        <c:lblOffset val="100"/>
      </c:catAx>
      <c:valAx>
        <c:axId val="98510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0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13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8518912"/>
        <c:axId val="98520448"/>
      </c:lineChart>
      <c:catAx>
        <c:axId val="9851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20448"/>
        <c:crosses val="autoZero"/>
        <c:auto val="1"/>
        <c:lblAlgn val="ctr"/>
        <c:lblOffset val="100"/>
      </c:catAx>
      <c:valAx>
        <c:axId val="985204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266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8561408"/>
        <c:axId val="98563200"/>
      </c:lineChart>
      <c:catAx>
        <c:axId val="9856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63200"/>
        <c:crosses val="autoZero"/>
        <c:auto val="1"/>
        <c:lblAlgn val="ctr"/>
        <c:lblOffset val="100"/>
      </c:catAx>
      <c:valAx>
        <c:axId val="98563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5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260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9124352"/>
        <c:axId val="99125888"/>
      </c:lineChart>
      <c:catAx>
        <c:axId val="991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25888"/>
        <c:crosses val="autoZero"/>
        <c:auto val="1"/>
        <c:lblAlgn val="ctr"/>
        <c:lblOffset val="100"/>
      </c:catAx>
      <c:valAx>
        <c:axId val="99125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2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9265536"/>
        <c:axId val="99267328"/>
      </c:lineChart>
      <c:catAx>
        <c:axId val="9926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7328"/>
        <c:crosses val="autoZero"/>
        <c:auto val="1"/>
        <c:lblAlgn val="ctr"/>
        <c:lblOffset val="100"/>
      </c:catAx>
      <c:valAx>
        <c:axId val="9926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9554048"/>
        <c:axId val="99555584"/>
      </c:lineChart>
      <c:catAx>
        <c:axId val="995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5584"/>
        <c:crosses val="autoZero"/>
        <c:auto val="1"/>
        <c:lblAlgn val="ctr"/>
        <c:lblOffset val="100"/>
      </c:catAx>
      <c:valAx>
        <c:axId val="99555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435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9587968"/>
        <c:axId val="99589504"/>
      </c:lineChart>
      <c:catAx>
        <c:axId val="995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9504"/>
        <c:crosses val="autoZero"/>
        <c:auto val="1"/>
        <c:lblAlgn val="ctr"/>
        <c:lblOffset val="100"/>
      </c:catAx>
      <c:valAx>
        <c:axId val="9958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9614080"/>
        <c:axId val="99628160"/>
      </c:lineChart>
      <c:catAx>
        <c:axId val="9961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8160"/>
        <c:crosses val="autoZero"/>
        <c:auto val="1"/>
        <c:lblAlgn val="ctr"/>
        <c:lblOffset val="100"/>
      </c:catAx>
      <c:valAx>
        <c:axId val="99628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1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67"/>
          <c:w val="0.1272403315177459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9665024"/>
        <c:axId val="99666560"/>
      </c:lineChart>
      <c:catAx>
        <c:axId val="996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66560"/>
        <c:crosses val="autoZero"/>
        <c:auto val="1"/>
        <c:lblAlgn val="ctr"/>
        <c:lblOffset val="100"/>
      </c:catAx>
      <c:valAx>
        <c:axId val="9966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9867264"/>
        <c:axId val="98308480"/>
      </c:lineChart>
      <c:catAx>
        <c:axId val="9986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08480"/>
        <c:crosses val="autoZero"/>
        <c:auto val="1"/>
        <c:lblAlgn val="ctr"/>
        <c:lblOffset val="100"/>
      </c:catAx>
      <c:valAx>
        <c:axId val="98308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6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0160256"/>
        <c:axId val="100161792"/>
      </c:lineChart>
      <c:catAx>
        <c:axId val="10016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61792"/>
        <c:crosses val="autoZero"/>
        <c:auto val="1"/>
        <c:lblAlgn val="ctr"/>
        <c:lblOffset val="100"/>
      </c:catAx>
      <c:valAx>
        <c:axId val="10016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6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93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136</c:v>
                </c:pt>
                <c:pt idx="19">
                  <c:v>95</c:v>
                </c:pt>
                <c:pt idx="20">
                  <c:v>63</c:v>
                </c:pt>
                <c:pt idx="21">
                  <c:v>209</c:v>
                </c:pt>
                <c:pt idx="22">
                  <c:v>129</c:v>
                </c:pt>
                <c:pt idx="23">
                  <c:v>69</c:v>
                </c:pt>
                <c:pt idx="24">
                  <c:v>211.20000000001164</c:v>
                </c:pt>
                <c:pt idx="25">
                  <c:v>90</c:v>
                </c:pt>
                <c:pt idx="26">
                  <c:v>114</c:v>
                </c:pt>
                <c:pt idx="27">
                  <c:v>106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0182656"/>
        <c:axId val="100352384"/>
      </c:lineChart>
      <c:catAx>
        <c:axId val="10018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52384"/>
        <c:crosses val="autoZero"/>
        <c:auto val="1"/>
        <c:lblAlgn val="ctr"/>
        <c:lblOffset val="100"/>
      </c:catAx>
      <c:valAx>
        <c:axId val="10035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8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67"/>
          <c:w val="0.1354168853893601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0385152"/>
        <c:axId val="100386688"/>
      </c:lineChart>
      <c:catAx>
        <c:axId val="1003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86688"/>
        <c:crosses val="autoZero"/>
        <c:auto val="1"/>
        <c:lblAlgn val="ctr"/>
        <c:lblOffset val="100"/>
      </c:catAx>
      <c:valAx>
        <c:axId val="10038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6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11827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0407552"/>
        <c:axId val="100417536"/>
      </c:lineChart>
      <c:catAx>
        <c:axId val="10040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7536"/>
        <c:crosses val="autoZero"/>
        <c:auto val="1"/>
        <c:lblAlgn val="ctr"/>
        <c:lblOffset val="100"/>
      </c:catAx>
      <c:valAx>
        <c:axId val="100417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0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0450304"/>
        <c:axId val="100451840"/>
      </c:lineChart>
      <c:catAx>
        <c:axId val="1004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51840"/>
        <c:crosses val="autoZero"/>
        <c:auto val="1"/>
        <c:lblAlgn val="ctr"/>
        <c:lblOffset val="100"/>
      </c:catAx>
      <c:valAx>
        <c:axId val="10045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67"/>
          <c:w val="0.1354168853893601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0283904"/>
        <c:axId val="100285440"/>
      </c:lineChart>
      <c:catAx>
        <c:axId val="10028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5440"/>
        <c:crosses val="autoZero"/>
        <c:auto val="1"/>
        <c:lblAlgn val="ctr"/>
        <c:lblOffset val="100"/>
      </c:catAx>
      <c:valAx>
        <c:axId val="100285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28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-2690.0967741935383</c:v>
                </c:pt>
                <c:pt idx="18">
                  <c:v>-2690.0967741935601</c:v>
                </c:pt>
                <c:pt idx="19">
                  <c:v>-1618.4451612903176</c:v>
                </c:pt>
                <c:pt idx="20">
                  <c:v>-2760.0967741935601</c:v>
                </c:pt>
                <c:pt idx="21">
                  <c:v>-3680.1290322580389</c:v>
                </c:pt>
                <c:pt idx="22">
                  <c:v>-1875.0645161290449</c:v>
                </c:pt>
                <c:pt idx="23">
                  <c:v>-2211.3225806451737</c:v>
                </c:pt>
                <c:pt idx="24">
                  <c:v>-2146.7419354838567</c:v>
                </c:pt>
                <c:pt idx="25">
                  <c:v>-4293.4838709677424</c:v>
                </c:pt>
                <c:pt idx="26">
                  <c:v>-3066.7741935483937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0310016"/>
        <c:axId val="100479744"/>
      </c:lineChart>
      <c:catAx>
        <c:axId val="10031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9744"/>
        <c:crosses val="autoZero"/>
        <c:auto val="1"/>
        <c:lblAlgn val="ctr"/>
        <c:lblOffset val="100"/>
      </c:catAx>
      <c:valAx>
        <c:axId val="100479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0516992"/>
        <c:axId val="100518528"/>
      </c:lineChart>
      <c:catAx>
        <c:axId val="1005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8528"/>
        <c:crosses val="autoZero"/>
        <c:auto val="1"/>
        <c:lblAlgn val="ctr"/>
        <c:lblOffset val="100"/>
      </c:catAx>
      <c:valAx>
        <c:axId val="10051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0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0547200"/>
        <c:axId val="100548992"/>
      </c:lineChart>
      <c:catAx>
        <c:axId val="1005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48992"/>
        <c:crosses val="autoZero"/>
        <c:auto val="1"/>
        <c:lblAlgn val="ctr"/>
        <c:lblOffset val="100"/>
      </c:catAx>
      <c:valAx>
        <c:axId val="100548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30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0573568"/>
        <c:axId val="100575104"/>
      </c:lineChart>
      <c:catAx>
        <c:axId val="10057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75104"/>
        <c:crosses val="autoZero"/>
        <c:auto val="1"/>
        <c:lblAlgn val="ctr"/>
        <c:lblOffset val="100"/>
      </c:catAx>
      <c:valAx>
        <c:axId val="1005751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7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0603776"/>
        <c:axId val="100605312"/>
      </c:lineChart>
      <c:catAx>
        <c:axId val="10060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5312"/>
        <c:crosses val="autoZero"/>
        <c:auto val="1"/>
        <c:lblAlgn val="ctr"/>
        <c:lblOffset val="100"/>
      </c:catAx>
      <c:valAx>
        <c:axId val="10060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09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435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0613504"/>
        <c:axId val="100652160"/>
      </c:lineChart>
      <c:catAx>
        <c:axId val="10061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52160"/>
        <c:crosses val="autoZero"/>
        <c:auto val="1"/>
        <c:lblAlgn val="ctr"/>
        <c:lblOffset val="100"/>
      </c:catAx>
      <c:valAx>
        <c:axId val="10065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6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0680832"/>
        <c:axId val="100682368"/>
      </c:lineChart>
      <c:catAx>
        <c:axId val="10068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82368"/>
        <c:crosses val="autoZero"/>
        <c:auto val="1"/>
        <c:lblAlgn val="ctr"/>
        <c:lblOffset val="100"/>
      </c:catAx>
      <c:valAx>
        <c:axId val="10068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8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583"/>
          <c:w val="0.1234311819809348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-73.2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130.90000000000003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0720640"/>
        <c:axId val="100722176"/>
      </c:lineChart>
      <c:catAx>
        <c:axId val="100720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2176"/>
        <c:crosses val="autoZero"/>
        <c:auto val="1"/>
        <c:lblAlgn val="ctr"/>
        <c:lblOffset val="100"/>
      </c:catAx>
      <c:valAx>
        <c:axId val="1007221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797"/>
          <c:w val="0.1569039853282269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260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0754560"/>
        <c:axId val="100756096"/>
      </c:lineChart>
      <c:catAx>
        <c:axId val="10075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56096"/>
        <c:crosses val="autoZero"/>
        <c:auto val="1"/>
        <c:lblAlgn val="ctr"/>
        <c:lblOffset val="100"/>
      </c:catAx>
      <c:valAx>
        <c:axId val="100756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5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73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0854784"/>
        <c:axId val="100864768"/>
      </c:lineChart>
      <c:catAx>
        <c:axId val="10085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64768"/>
        <c:crosses val="autoZero"/>
        <c:auto val="1"/>
        <c:lblAlgn val="ctr"/>
        <c:lblOffset val="100"/>
      </c:catAx>
      <c:valAx>
        <c:axId val="10086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5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4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-73.2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130.90000000000003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5231744"/>
        <c:axId val="135233536"/>
      </c:lineChart>
      <c:catAx>
        <c:axId val="1352317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33536"/>
        <c:crosses val="autoZero"/>
        <c:auto val="1"/>
        <c:lblAlgn val="ctr"/>
        <c:lblOffset val="100"/>
      </c:catAx>
      <c:valAx>
        <c:axId val="135233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3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7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1" sqref="D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0.20265498890731051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0.15946937470607025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0.1648932492530906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0.23069229486307824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0.43179438073398563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0.33343126346082208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0.24911546763796824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0.26949466957016704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0.22805083199046164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0.26187808584759287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-6.1126052246236226E-2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0.3001420504726191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0.24391848078480571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0.22465661491553673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0.25122630798947099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0.27281888207174548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0.23295037423762763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10297</v>
      </c>
      <c r="F19" s="330">
        <f>SUM('EDl log'!T21)</f>
        <v>0.26907288372962662</v>
      </c>
      <c r="G19" s="203">
        <f>-tanks!AW23</f>
        <v>136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15339</v>
      </c>
      <c r="F20" s="330">
        <f>SUM('EDl log'!T22)</f>
        <v>0.18550929282458389</v>
      </c>
      <c r="G20" s="203">
        <f>-tanks!AW24</f>
        <v>95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8897</v>
      </c>
      <c r="F21" s="330">
        <f>SUM('EDl log'!T23)</f>
        <v>0.19633130714780239</v>
      </c>
      <c r="G21" s="203">
        <f>-tanks!AW25</f>
        <v>63</v>
      </c>
      <c r="H21" s="330">
        <f>SUM(tanks!AV25)</f>
        <v>1.0029999999999999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10235</v>
      </c>
      <c r="F22" s="330">
        <f>SUM('EDl log'!T24)</f>
        <v>0.26992346243212922</v>
      </c>
      <c r="G22" s="203">
        <f>-tanks!AW26</f>
        <v>209</v>
      </c>
      <c r="H22" s="330">
        <f>SUM(tanks!AV26)</f>
        <v>1.0029999999999999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12191</v>
      </c>
      <c r="F23" s="330">
        <f>SUM('EDl log'!T25)</f>
        <v>0.30429694474521723</v>
      </c>
      <c r="G23" s="203">
        <f>-tanks!AW27</f>
        <v>129</v>
      </c>
      <c r="H23" s="330">
        <f>SUM(tanks!AV27)</f>
        <v>1.0029999999999999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8568</v>
      </c>
      <c r="F24" s="330">
        <f>SUM('EDl log'!T26)</f>
        <v>0.24375169577451483</v>
      </c>
      <c r="G24" s="203">
        <f>-tanks!AW28</f>
        <v>69</v>
      </c>
      <c r="H24" s="330">
        <f>SUM(tanks!AV28)</f>
        <v>1.0029999999999999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13728</v>
      </c>
      <c r="F25" s="330">
        <f>SUM('EDl log'!T27)</f>
        <v>0.15829810952724416</v>
      </c>
      <c r="G25" s="203">
        <f>-tanks!AW29</f>
        <v>211.20000000001164</v>
      </c>
      <c r="H25" s="330">
        <f>SUM(tanks!AV29)</f>
        <v>1.0029999999999999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9803</v>
      </c>
      <c r="F26" s="330">
        <f>SUM('EDl log'!T28)</f>
        <v>0.23926221224576705</v>
      </c>
      <c r="G26" s="203">
        <f>-tanks!AW30</f>
        <v>90</v>
      </c>
      <c r="H26" s="330">
        <f>SUM(tanks!AV30)</f>
        <v>1.0029999999999999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14177</v>
      </c>
      <c r="F27" s="330">
        <f>SUM('EDl log'!T29)</f>
        <v>0.30392979829592592</v>
      </c>
      <c r="G27" s="203">
        <f>-tanks!AW31</f>
        <v>114</v>
      </c>
      <c r="H27" s="330">
        <f>SUM(tanks!AV31)</f>
        <v>1.0029999999999999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11827</v>
      </c>
      <c r="F28" s="330">
        <f>SUM('EDl log'!T30)</f>
        <v>0.26851453785874208</v>
      </c>
      <c r="G28" s="203">
        <f>-tanks!AW32</f>
        <v>106</v>
      </c>
      <c r="H28" s="330">
        <f>SUM(tanks!AV32)</f>
        <v>1.0029999999999999</v>
      </c>
      <c r="I28" s="10">
        <f>('B5'!AU31)*0.51</f>
        <v>0</v>
      </c>
      <c r="J28" s="309">
        <f>'B5'!AX31/0.51</f>
        <v>1.5686274509803921</v>
      </c>
      <c r="K28" s="203">
        <f>WATER!I32</f>
        <v>435</v>
      </c>
      <c r="L28" s="331">
        <f>SUM(WATER!J32)</f>
        <v>0.55617352614015569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1.0029999999999999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1.0029999999999999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1.0029999999999999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0</v>
      </c>
      <c r="F32" s="330">
        <f>SUM('EDl log'!T34)</f>
        <v>0</v>
      </c>
      <c r="G32" s="203">
        <f>-tanks!AW36</f>
        <v>0</v>
      </c>
      <c r="H32" s="330">
        <f>SUM(tanks!AV36)</f>
        <v>1.0029999999999999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P20" sqref="P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1882</v>
      </c>
      <c r="F19" s="203">
        <f>ELEC!K20</f>
        <v>3480</v>
      </c>
      <c r="G19" s="203">
        <f>ELEC!I20</f>
        <v>1684</v>
      </c>
      <c r="H19" s="203">
        <f>ELEC!AO20</f>
        <v>2450</v>
      </c>
      <c r="I19" s="203">
        <f>ELEC!G20</f>
        <v>801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2524</v>
      </c>
      <c r="F20" s="203">
        <f>ELEC!K21</f>
        <v>6644</v>
      </c>
      <c r="G20" s="203">
        <f>ELEC!I21</f>
        <v>1176</v>
      </c>
      <c r="H20" s="203">
        <f>ELEC!AO21</f>
        <v>3949</v>
      </c>
      <c r="I20" s="203">
        <f>ELEC!G21</f>
        <v>1046</v>
      </c>
      <c r="J20" s="203">
        <f>WATER!Y24</f>
        <v>60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1502</v>
      </c>
      <c r="F21" s="203">
        <f>ELEC!K22</f>
        <v>3922</v>
      </c>
      <c r="G21" s="203">
        <f>ELEC!I22</f>
        <v>582</v>
      </c>
      <c r="H21" s="203">
        <f>ELEC!AO22</f>
        <v>2418</v>
      </c>
      <c r="I21" s="203">
        <f>ELEC!G22</f>
        <v>473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1992</v>
      </c>
      <c r="F22" s="203">
        <f>ELEC!K23</f>
        <v>4110</v>
      </c>
      <c r="G22" s="203">
        <f>ELEC!I23</f>
        <v>774</v>
      </c>
      <c r="H22" s="203">
        <f>ELEC!AO23</f>
        <v>2787</v>
      </c>
      <c r="I22" s="203">
        <f>ELEC!G23</f>
        <v>572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2186</v>
      </c>
      <c r="F23" s="203">
        <f>ELEC!K24</f>
        <v>5208</v>
      </c>
      <c r="G23" s="203">
        <f>ELEC!I24</f>
        <v>846</v>
      </c>
      <c r="H23" s="203">
        <f>ELEC!AO24</f>
        <v>3243</v>
      </c>
      <c r="I23" s="203">
        <f>ELEC!G24</f>
        <v>708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1698</v>
      </c>
      <c r="F24" s="203">
        <f>ELEC!K25</f>
        <v>3084</v>
      </c>
      <c r="G24" s="203">
        <f>ELEC!I25</f>
        <v>762</v>
      </c>
      <c r="H24" s="203">
        <f>ELEC!AO25</f>
        <v>2306</v>
      </c>
      <c r="I24" s="203">
        <f>ELEC!G25</f>
        <v>718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2230</v>
      </c>
      <c r="F25" s="203">
        <f>ELEC!K26</f>
        <v>6256</v>
      </c>
      <c r="G25" s="203">
        <f>ELEC!I26</f>
        <v>952</v>
      </c>
      <c r="H25" s="203">
        <f>ELEC!AO26</f>
        <v>3528</v>
      </c>
      <c r="I25" s="203">
        <f>ELEC!G26</f>
        <v>762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2102</v>
      </c>
      <c r="F26" s="203">
        <f>ELEC!K27</f>
        <v>3580</v>
      </c>
      <c r="G26" s="203">
        <f>ELEC!I27</f>
        <v>876</v>
      </c>
      <c r="H26" s="203">
        <f>ELEC!AO27</f>
        <v>2482</v>
      </c>
      <c r="I26" s="203">
        <f>ELEC!G27</f>
        <v>763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2448</v>
      </c>
      <c r="F27" s="203">
        <f>ELEC!K28</f>
        <v>6608</v>
      </c>
      <c r="G27" s="203">
        <f>ELEC!I28</f>
        <v>956</v>
      </c>
      <c r="H27" s="203">
        <f>ELEC!AO28</f>
        <v>3437</v>
      </c>
      <c r="I27" s="203">
        <f>ELEC!G28</f>
        <v>728</v>
      </c>
      <c r="J27" s="203">
        <f>WATER!Y31</f>
        <v>2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2160</v>
      </c>
      <c r="F28" s="203">
        <f>ELEC!K29</f>
        <v>5032</v>
      </c>
      <c r="G28" s="203">
        <f>ELEC!I29</f>
        <v>908</v>
      </c>
      <c r="H28" s="203">
        <f>ELEC!AO29</f>
        <v>2935</v>
      </c>
      <c r="I28" s="203">
        <f>ELEC!G29</f>
        <v>792</v>
      </c>
      <c r="J28" s="203">
        <f>WATER!Y32</f>
        <v>71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ELEC!AO30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ELEC!AO31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ELEC!AO32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ELEC!AO33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opLeftCell="G1" zoomScale="90" zoomScaleNormal="90" zoomScaleSheetLayoutView="100" workbookViewId="0">
      <pane ySplit="1" topLeftCell="A8" activePane="bottomLeft" state="frozen"/>
      <selection activeCell="C1" sqref="C1"/>
      <selection pane="bottomLeft" activeCell="G29" sqref="G29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600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33" si="10">W3</f>
        <v>32312</v>
      </c>
      <c r="X4" s="448">
        <f t="shared" si="5"/>
        <v>0</v>
      </c>
      <c r="Y4" s="444">
        <f t="shared" ref="Y4:Y33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32"/>
      <c r="AL4" s="661" t="s">
        <v>421</v>
      </c>
      <c r="AM4" s="661"/>
      <c r="AN4" s="661"/>
      <c r="AO4" s="662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33"/>
      <c r="AL5" s="630" t="s">
        <v>419</v>
      </c>
      <c r="AM5" s="631" t="s">
        <v>418</v>
      </c>
      <c r="AN5" s="631" t="s">
        <v>391</v>
      </c>
      <c r="AO5" s="634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35">
        <v>44320</v>
      </c>
      <c r="AL6" s="17">
        <v>270643</v>
      </c>
      <c r="AM6" s="17">
        <v>409413</v>
      </c>
      <c r="AN6" s="17">
        <f>AM6+AL6</f>
        <v>680056</v>
      </c>
      <c r="AO6" s="636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35">
        <v>44321</v>
      </c>
      <c r="AL7" s="17">
        <v>270643</v>
      </c>
      <c r="AM7" s="17">
        <v>409413</v>
      </c>
      <c r="AN7" s="17">
        <f>AM7+AL7</f>
        <v>680056</v>
      </c>
      <c r="AO7" s="636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46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46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46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35">
        <v>44322</v>
      </c>
      <c r="AL8" s="17">
        <v>274499</v>
      </c>
      <c r="AM8" s="17">
        <v>411324</v>
      </c>
      <c r="AN8" s="17">
        <f>AM8+AL8</f>
        <v>685823</v>
      </c>
      <c r="AO8" s="636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35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36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35">
        <v>44324</v>
      </c>
      <c r="AL10" s="17">
        <v>280877</v>
      </c>
      <c r="AM10" s="17">
        <v>413100</v>
      </c>
      <c r="AN10" s="17">
        <f t="shared" si="26"/>
        <v>693977</v>
      </c>
      <c r="AO10" s="636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46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46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46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35">
        <v>44325</v>
      </c>
      <c r="AL11" s="17">
        <v>284469</v>
      </c>
      <c r="AM11" s="17">
        <v>414008</v>
      </c>
      <c r="AN11" s="17">
        <f>AM11+AL11</f>
        <v>698477</v>
      </c>
      <c r="AO11" s="636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35">
        <v>44326</v>
      </c>
      <c r="AL12" s="17">
        <v>286090</v>
      </c>
      <c r="AM12" s="17">
        <v>415178</v>
      </c>
      <c r="AN12" s="17">
        <f>AM12+AL12</f>
        <v>701268</v>
      </c>
      <c r="AO12" s="636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35">
        <v>44327</v>
      </c>
      <c r="AL13" s="17">
        <v>287725</v>
      </c>
      <c r="AM13" s="17">
        <v>416235</v>
      </c>
      <c r="AN13" s="17">
        <f t="shared" si="26"/>
        <v>703960</v>
      </c>
      <c r="AO13" s="636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35">
        <v>44328</v>
      </c>
      <c r="AL14" s="17">
        <v>289550</v>
      </c>
      <c r="AM14" s="17">
        <v>416899</v>
      </c>
      <c r="AN14" s="17">
        <f t="shared" si="26"/>
        <v>706449</v>
      </c>
      <c r="AO14" s="636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35">
        <v>44329</v>
      </c>
      <c r="AL15" s="17">
        <v>291124</v>
      </c>
      <c r="AM15" s="17">
        <v>417740</v>
      </c>
      <c r="AN15" s="17">
        <f t="shared" si="26"/>
        <v>708864</v>
      </c>
      <c r="AO15" s="636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35">
        <v>44330</v>
      </c>
      <c r="AL16" s="17">
        <v>292977</v>
      </c>
      <c r="AM16" s="17">
        <v>419023</v>
      </c>
      <c r="AN16" s="17">
        <f t="shared" si="26"/>
        <v>712000</v>
      </c>
      <c r="AO16" s="636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46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35">
        <v>44331</v>
      </c>
      <c r="AL17" s="17">
        <v>294108</v>
      </c>
      <c r="AM17" s="17">
        <v>419924</v>
      </c>
      <c r="AN17" s="17">
        <f t="shared" si="26"/>
        <v>714032</v>
      </c>
      <c r="AO17" s="636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46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35">
        <v>44332</v>
      </c>
      <c r="AL18" s="17">
        <v>296883</v>
      </c>
      <c r="AM18" s="17">
        <v>420592</v>
      </c>
      <c r="AN18" s="17">
        <f t="shared" si="26"/>
        <v>717475</v>
      </c>
      <c r="AO18" s="636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17065.003000000001</v>
      </c>
      <c r="Q19" s="448">
        <f t="shared" si="32"/>
        <v>9391.9999999998254</v>
      </c>
      <c r="R19" s="448">
        <f t="shared" si="33"/>
        <v>697.00000000017462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-1034411.9999999998</v>
      </c>
      <c r="AK19" s="635">
        <v>44333</v>
      </c>
      <c r="AL19" s="17">
        <v>299259</v>
      </c>
      <c r="AM19" s="17">
        <v>421917</v>
      </c>
      <c r="AN19" s="17">
        <f t="shared" si="26"/>
        <v>721176</v>
      </c>
      <c r="AO19" s="636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32870113</v>
      </c>
      <c r="E20" s="311">
        <f t="shared" si="13"/>
        <v>2450</v>
      </c>
      <c r="F20" s="646">
        <v>4021684</v>
      </c>
      <c r="G20" s="312">
        <f t="shared" si="1"/>
        <v>801</v>
      </c>
      <c r="H20" s="444">
        <v>17872138</v>
      </c>
      <c r="I20" s="312">
        <f t="shared" si="14"/>
        <v>1684</v>
      </c>
      <c r="J20" s="646">
        <v>29054174</v>
      </c>
      <c r="K20" s="312">
        <f t="shared" si="15"/>
        <v>3480</v>
      </c>
      <c r="L20" s="444">
        <v>24207420</v>
      </c>
      <c r="M20" s="312">
        <f t="shared" si="16"/>
        <v>1882</v>
      </c>
      <c r="N20" s="310">
        <f t="shared" si="17"/>
        <v>10297</v>
      </c>
      <c r="O20" s="466">
        <f t="shared" si="28"/>
        <v>0</v>
      </c>
      <c r="P20" s="591">
        <v>17073.79</v>
      </c>
      <c r="Q20" s="448">
        <f>(P20-P19)*1000</f>
        <v>8787.0000000002619</v>
      </c>
      <c r="R20" s="448">
        <f t="shared" si="33"/>
        <v>1509.9999999997381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v>32387</v>
      </c>
      <c r="X20" s="448">
        <f t="shared" si="25"/>
        <v>11</v>
      </c>
      <c r="Y20" s="646">
        <v>738782</v>
      </c>
      <c r="Z20" s="448">
        <f t="shared" si="22"/>
        <v>2111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11</v>
      </c>
      <c r="AF20" s="472">
        <f t="shared" si="6"/>
        <v>2111</v>
      </c>
      <c r="AG20" s="464">
        <f t="shared" si="29"/>
        <v>191.90909090909091</v>
      </c>
      <c r="AI20" s="465">
        <f>R20-'EDl log'!B18</f>
        <v>-1035295.0000000002</v>
      </c>
      <c r="AK20" s="635">
        <v>44334</v>
      </c>
      <c r="AL20" s="17">
        <v>301110</v>
      </c>
      <c r="AM20" s="17">
        <v>422516</v>
      </c>
      <c r="AN20" s="17">
        <f t="shared" si="26"/>
        <v>723626</v>
      </c>
      <c r="AO20" s="636">
        <f t="shared" si="27"/>
        <v>2450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32874062</v>
      </c>
      <c r="E21" s="311">
        <f t="shared" si="13"/>
        <v>3949</v>
      </c>
      <c r="F21" s="646">
        <v>4022730</v>
      </c>
      <c r="G21" s="312">
        <f t="shared" si="1"/>
        <v>1046</v>
      </c>
      <c r="H21" s="444">
        <v>17873314</v>
      </c>
      <c r="I21" s="312">
        <f t="shared" si="14"/>
        <v>1176</v>
      </c>
      <c r="J21" s="646">
        <v>29060818</v>
      </c>
      <c r="K21" s="312">
        <f t="shared" si="15"/>
        <v>6644</v>
      </c>
      <c r="L21" s="444">
        <v>24209944</v>
      </c>
      <c r="M21" s="312">
        <f t="shared" si="16"/>
        <v>2524</v>
      </c>
      <c r="N21" s="310">
        <f t="shared" si="17"/>
        <v>15339</v>
      </c>
      <c r="O21" s="466">
        <f t="shared" si="28"/>
        <v>0</v>
      </c>
      <c r="P21" s="591">
        <v>17086.036</v>
      </c>
      <c r="Q21" s="448">
        <f t="shared" si="32"/>
        <v>12245.999999999185</v>
      </c>
      <c r="R21" s="448">
        <f t="shared" si="33"/>
        <v>3093.0000000008149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v>32397</v>
      </c>
      <c r="X21" s="448">
        <f t="shared" si="25"/>
        <v>10</v>
      </c>
      <c r="Y21" s="646">
        <v>740914</v>
      </c>
      <c r="Z21" s="448">
        <f t="shared" si="22"/>
        <v>2132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10</v>
      </c>
      <c r="AF21" s="472">
        <f t="shared" si="6"/>
        <v>2132</v>
      </c>
      <c r="AG21" s="464">
        <f t="shared" si="29"/>
        <v>213.2</v>
      </c>
      <c r="AI21" s="465">
        <f>R21-'EDl log'!B19</f>
        <v>-1034408.9999999992</v>
      </c>
      <c r="AK21" s="635">
        <v>44335</v>
      </c>
      <c r="AL21" s="660">
        <v>304137</v>
      </c>
      <c r="AM21" s="660">
        <v>423438</v>
      </c>
      <c r="AN21" s="17">
        <f t="shared" si="26"/>
        <v>727575</v>
      </c>
      <c r="AO21" s="636">
        <f t="shared" si="27"/>
        <v>3949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32876480</v>
      </c>
      <c r="E22" s="311">
        <f t="shared" si="13"/>
        <v>2418</v>
      </c>
      <c r="F22" s="444">
        <v>4023203</v>
      </c>
      <c r="G22" s="312">
        <f t="shared" si="1"/>
        <v>473</v>
      </c>
      <c r="H22" s="444">
        <v>17873896</v>
      </c>
      <c r="I22" s="312">
        <f t="shared" si="14"/>
        <v>582</v>
      </c>
      <c r="J22" s="444">
        <v>29064740</v>
      </c>
      <c r="K22" s="312">
        <f t="shared" si="15"/>
        <v>3922</v>
      </c>
      <c r="L22" s="444">
        <v>24211446</v>
      </c>
      <c r="M22" s="312">
        <f t="shared" si="16"/>
        <v>1502</v>
      </c>
      <c r="N22" s="310">
        <f t="shared" si="17"/>
        <v>8897</v>
      </c>
      <c r="O22" s="466">
        <f t="shared" si="28"/>
        <v>0</v>
      </c>
      <c r="P22" s="591">
        <v>17093.373</v>
      </c>
      <c r="Q22" s="448">
        <f t="shared" si="32"/>
        <v>7336.9999999995343</v>
      </c>
      <c r="R22" s="448">
        <f t="shared" si="33"/>
        <v>1560.0000000004657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v>32412</v>
      </c>
      <c r="X22" s="448">
        <f t="shared" si="25"/>
        <v>15</v>
      </c>
      <c r="Y22" s="444">
        <v>743939</v>
      </c>
      <c r="Z22" s="448">
        <f t="shared" si="22"/>
        <v>3025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15</v>
      </c>
      <c r="AF22" s="472">
        <f t="shared" si="6"/>
        <v>3025</v>
      </c>
      <c r="AG22" s="464">
        <f t="shared" si="29"/>
        <v>201.66666666666666</v>
      </c>
      <c r="AI22" s="465">
        <f>R22-'EDl log'!B20</f>
        <v>-1038206.9999999995</v>
      </c>
      <c r="AK22" s="635">
        <v>44336</v>
      </c>
      <c r="AL22" s="17">
        <v>305964</v>
      </c>
      <c r="AM22" s="17">
        <v>424029</v>
      </c>
      <c r="AN22" s="17">
        <f t="shared" si="26"/>
        <v>729993</v>
      </c>
      <c r="AO22" s="636">
        <f t="shared" si="27"/>
        <v>2418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32879267</v>
      </c>
      <c r="E23" s="311">
        <f t="shared" si="13"/>
        <v>2787</v>
      </c>
      <c r="F23" s="444">
        <v>4023775</v>
      </c>
      <c r="G23" s="312">
        <f t="shared" si="1"/>
        <v>572</v>
      </c>
      <c r="H23" s="444">
        <v>17874670</v>
      </c>
      <c r="I23" s="437">
        <f t="shared" si="14"/>
        <v>774</v>
      </c>
      <c r="J23" s="444">
        <v>29068850</v>
      </c>
      <c r="K23" s="312">
        <f t="shared" si="15"/>
        <v>4110</v>
      </c>
      <c r="L23" s="444">
        <v>24213438</v>
      </c>
      <c r="M23" s="312">
        <f t="shared" si="16"/>
        <v>1992</v>
      </c>
      <c r="N23" s="310">
        <f t="shared" si="17"/>
        <v>10235</v>
      </c>
      <c r="O23" s="466">
        <f t="shared" si="28"/>
        <v>0</v>
      </c>
      <c r="P23" s="591">
        <v>17101.325000000001</v>
      </c>
      <c r="Q23" s="448">
        <f t="shared" si="32"/>
        <v>7952.000000001135</v>
      </c>
      <c r="R23" s="448">
        <f t="shared" si="33"/>
        <v>2282.999999998865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v>32421</v>
      </c>
      <c r="X23" s="448">
        <f t="shared" si="25"/>
        <v>9</v>
      </c>
      <c r="Y23" s="444">
        <v>745900</v>
      </c>
      <c r="Z23" s="448">
        <f t="shared" si="22"/>
        <v>1961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9</v>
      </c>
      <c r="AF23" s="472">
        <f t="shared" si="6"/>
        <v>1961</v>
      </c>
      <c r="AG23" s="464">
        <f t="shared" si="29"/>
        <v>217.88888888888889</v>
      </c>
      <c r="AI23" s="465">
        <f>R23-'EDl log'!B21</f>
        <v>-1039226.0000000012</v>
      </c>
      <c r="AK23" s="635">
        <v>44337</v>
      </c>
      <c r="AL23" s="17">
        <v>308024</v>
      </c>
      <c r="AM23" s="17">
        <v>424756</v>
      </c>
      <c r="AN23" s="17">
        <f t="shared" si="26"/>
        <v>732780</v>
      </c>
      <c r="AO23" s="636">
        <f t="shared" si="27"/>
        <v>2787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32882510</v>
      </c>
      <c r="E24" s="311">
        <f t="shared" si="13"/>
        <v>3243</v>
      </c>
      <c r="F24" s="444">
        <v>4024483</v>
      </c>
      <c r="G24" s="312">
        <f t="shared" si="1"/>
        <v>708</v>
      </c>
      <c r="H24" s="444">
        <v>17875516</v>
      </c>
      <c r="I24" s="312">
        <f t="shared" si="14"/>
        <v>846</v>
      </c>
      <c r="J24" s="444">
        <v>29074058</v>
      </c>
      <c r="K24" s="312">
        <f t="shared" si="15"/>
        <v>5208</v>
      </c>
      <c r="L24" s="444">
        <v>24215624</v>
      </c>
      <c r="M24" s="312">
        <f t="shared" si="16"/>
        <v>2186</v>
      </c>
      <c r="N24" s="310">
        <f t="shared" si="17"/>
        <v>12191</v>
      </c>
      <c r="O24" s="466">
        <f t="shared" si="28"/>
        <v>0</v>
      </c>
      <c r="P24" s="591">
        <v>17111.871999999999</v>
      </c>
      <c r="Q24" s="448">
        <f t="shared" si="32"/>
        <v>10546.999999998661</v>
      </c>
      <c r="R24" s="448">
        <f t="shared" si="33"/>
        <v>1644.0000000013388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v>32435</v>
      </c>
      <c r="X24" s="448">
        <f t="shared" si="25"/>
        <v>14</v>
      </c>
      <c r="Y24" s="444">
        <v>748409</v>
      </c>
      <c r="Z24" s="448">
        <f t="shared" si="22"/>
        <v>2509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14</v>
      </c>
      <c r="AF24" s="472">
        <f t="shared" si="6"/>
        <v>2509</v>
      </c>
      <c r="AG24" s="464">
        <f t="shared" si="29"/>
        <v>179.21428571428572</v>
      </c>
      <c r="AI24" s="465">
        <f>R24-'EDl log'!B22</f>
        <v>-1041692.9999999986</v>
      </c>
      <c r="AK24" s="635">
        <v>44338</v>
      </c>
      <c r="AL24" s="17">
        <v>310775</v>
      </c>
      <c r="AM24" s="17">
        <v>425248</v>
      </c>
      <c r="AN24" s="17">
        <f t="shared" si="26"/>
        <v>736023</v>
      </c>
      <c r="AO24" s="636">
        <f t="shared" si="27"/>
        <v>3243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32884816</v>
      </c>
      <c r="E25" s="311">
        <f t="shared" si="13"/>
        <v>2306</v>
      </c>
      <c r="F25" s="444">
        <v>4025201</v>
      </c>
      <c r="G25" s="312">
        <f t="shared" si="1"/>
        <v>718</v>
      </c>
      <c r="H25" s="444">
        <v>17876278</v>
      </c>
      <c r="I25" s="312">
        <f t="shared" si="14"/>
        <v>762</v>
      </c>
      <c r="J25" s="444">
        <v>29077142</v>
      </c>
      <c r="K25" s="312">
        <f t="shared" si="15"/>
        <v>3084</v>
      </c>
      <c r="L25" s="444">
        <v>24217322</v>
      </c>
      <c r="M25" s="312">
        <f t="shared" si="16"/>
        <v>1698</v>
      </c>
      <c r="N25" s="310">
        <f t="shared" si="17"/>
        <v>8568</v>
      </c>
      <c r="O25" s="466">
        <f t="shared" si="28"/>
        <v>0</v>
      </c>
      <c r="P25" s="591">
        <v>17117.406999999999</v>
      </c>
      <c r="Q25" s="448">
        <f t="shared" si="32"/>
        <v>5534.9999999998545</v>
      </c>
      <c r="R25" s="448">
        <f t="shared" si="33"/>
        <v>3033.0000000001455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v>32442</v>
      </c>
      <c r="X25" s="448">
        <f t="shared" si="25"/>
        <v>7</v>
      </c>
      <c r="Y25" s="444">
        <v>749823</v>
      </c>
      <c r="Z25" s="448">
        <f t="shared" si="22"/>
        <v>1414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7</v>
      </c>
      <c r="AF25" s="472">
        <f t="shared" si="6"/>
        <v>1414</v>
      </c>
      <c r="AG25" s="464">
        <f t="shared" si="29"/>
        <v>202</v>
      </c>
      <c r="AI25" s="465">
        <f>R25-'EDl log'!B23</f>
        <v>-1041223.9999999999</v>
      </c>
      <c r="AK25" s="635">
        <v>44339</v>
      </c>
      <c r="AL25" s="17">
        <v>312222</v>
      </c>
      <c r="AM25" s="17">
        <v>426107</v>
      </c>
      <c r="AN25" s="17">
        <f t="shared" si="26"/>
        <v>738329</v>
      </c>
      <c r="AO25" s="636">
        <f t="shared" si="27"/>
        <v>2306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32888344</v>
      </c>
      <c r="E26" s="311">
        <f t="shared" si="13"/>
        <v>3528</v>
      </c>
      <c r="F26" s="444">
        <v>4025963</v>
      </c>
      <c r="G26" s="312">
        <f t="shared" si="1"/>
        <v>762</v>
      </c>
      <c r="H26" s="444">
        <v>17877230</v>
      </c>
      <c r="I26" s="312">
        <f t="shared" si="14"/>
        <v>952</v>
      </c>
      <c r="J26" s="444">
        <v>29083398</v>
      </c>
      <c r="K26" s="312">
        <f t="shared" si="15"/>
        <v>6256</v>
      </c>
      <c r="L26" s="444">
        <v>24219552</v>
      </c>
      <c r="M26" s="312">
        <f t="shared" si="16"/>
        <v>2230</v>
      </c>
      <c r="N26" s="310">
        <f t="shared" si="17"/>
        <v>13728</v>
      </c>
      <c r="O26" s="466">
        <f t="shared" si="28"/>
        <v>0</v>
      </c>
      <c r="P26" s="591">
        <v>17129.861000000001</v>
      </c>
      <c r="Q26" s="448">
        <f t="shared" si="32"/>
        <v>12454.000000001543</v>
      </c>
      <c r="R26" s="448">
        <f t="shared" si="33"/>
        <v>1273.9999999984575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v>32458</v>
      </c>
      <c r="X26" s="448">
        <f t="shared" si="25"/>
        <v>16</v>
      </c>
      <c r="Y26" s="444">
        <v>752966</v>
      </c>
      <c r="Z26" s="448">
        <f t="shared" si="22"/>
        <v>3143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16</v>
      </c>
      <c r="AF26" s="472">
        <f t="shared" si="6"/>
        <v>3143</v>
      </c>
      <c r="AG26" s="464">
        <f t="shared" si="29"/>
        <v>196.4375</v>
      </c>
      <c r="AI26" s="465">
        <f>R26-'EDl log'!B24</f>
        <v>-1044290.0000000015</v>
      </c>
      <c r="AK26" s="635">
        <v>44340</v>
      </c>
      <c r="AL26" s="17">
        <v>315305</v>
      </c>
      <c r="AM26" s="17">
        <v>426552</v>
      </c>
      <c r="AN26" s="17">
        <f t="shared" si="26"/>
        <v>741857</v>
      </c>
      <c r="AO26" s="636">
        <f t="shared" si="27"/>
        <v>3528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32890826</v>
      </c>
      <c r="E27" s="311">
        <f t="shared" si="13"/>
        <v>2482</v>
      </c>
      <c r="F27" s="444">
        <v>4026726</v>
      </c>
      <c r="G27" s="312">
        <f>F27-F26</f>
        <v>763</v>
      </c>
      <c r="H27" s="444">
        <v>17878106</v>
      </c>
      <c r="I27" s="312">
        <f t="shared" si="14"/>
        <v>876</v>
      </c>
      <c r="J27" s="444">
        <v>29086978</v>
      </c>
      <c r="K27" s="312">
        <f t="shared" si="15"/>
        <v>3580</v>
      </c>
      <c r="L27" s="444">
        <v>24221654</v>
      </c>
      <c r="M27" s="312">
        <f t="shared" si="16"/>
        <v>2102</v>
      </c>
      <c r="N27" s="310">
        <f t="shared" si="17"/>
        <v>9803</v>
      </c>
      <c r="O27" s="466">
        <f t="shared" si="28"/>
        <v>0</v>
      </c>
      <c r="P27" s="591">
        <v>17136.036</v>
      </c>
      <c r="Q27" s="448">
        <f t="shared" si="32"/>
        <v>6174.9999999992724</v>
      </c>
      <c r="R27" s="448">
        <f t="shared" si="33"/>
        <v>3628.0000000007276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v>32465</v>
      </c>
      <c r="X27" s="448">
        <f t="shared" si="25"/>
        <v>7</v>
      </c>
      <c r="Y27" s="444">
        <v>754541</v>
      </c>
      <c r="Z27" s="448">
        <f t="shared" si="22"/>
        <v>1575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7</v>
      </c>
      <c r="AF27" s="472">
        <f t="shared" si="6"/>
        <v>1575</v>
      </c>
      <c r="AG27" s="464">
        <f t="shared" si="29"/>
        <v>225</v>
      </c>
      <c r="AI27" s="465">
        <f>R27-'EDl log'!B25</f>
        <v>-1042903.9999999993</v>
      </c>
      <c r="AK27" s="635">
        <v>44341</v>
      </c>
      <c r="AL27" s="17">
        <v>316769</v>
      </c>
      <c r="AM27" s="17">
        <v>427570</v>
      </c>
      <c r="AN27" s="17">
        <f t="shared" si="26"/>
        <v>744339</v>
      </c>
      <c r="AO27" s="636">
        <f t="shared" si="27"/>
        <v>2482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32894263</v>
      </c>
      <c r="E28" s="311">
        <f t="shared" si="13"/>
        <v>3437</v>
      </c>
      <c r="F28" s="444">
        <v>4027454</v>
      </c>
      <c r="G28" s="312">
        <f t="shared" si="1"/>
        <v>728</v>
      </c>
      <c r="H28" s="444">
        <v>17879062</v>
      </c>
      <c r="I28" s="312">
        <f t="shared" si="14"/>
        <v>956</v>
      </c>
      <c r="J28" s="444">
        <v>29093586</v>
      </c>
      <c r="K28" s="312">
        <f t="shared" si="15"/>
        <v>6608</v>
      </c>
      <c r="L28" s="444">
        <v>24224102</v>
      </c>
      <c r="M28" s="312">
        <f t="shared" si="16"/>
        <v>2448</v>
      </c>
      <c r="N28" s="310">
        <f t="shared" si="17"/>
        <v>14177</v>
      </c>
      <c r="O28" s="466">
        <f t="shared" si="28"/>
        <v>0</v>
      </c>
      <c r="P28" s="591">
        <v>17149.121999999999</v>
      </c>
      <c r="Q28" s="448">
        <f t="shared" si="32"/>
        <v>13085.999999999331</v>
      </c>
      <c r="R28" s="448">
        <f t="shared" si="33"/>
        <v>1091.0000000006694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v>32481</v>
      </c>
      <c r="X28" s="448">
        <f t="shared" si="25"/>
        <v>16</v>
      </c>
      <c r="Y28" s="444">
        <v>757511</v>
      </c>
      <c r="Z28" s="448">
        <f t="shared" si="22"/>
        <v>2970</v>
      </c>
      <c r="AA28" s="444">
        <v>35939</v>
      </c>
      <c r="AB28" s="448">
        <f t="shared" si="19"/>
        <v>0</v>
      </c>
      <c r="AC28" s="444">
        <v>961645</v>
      </c>
      <c r="AD28" s="448">
        <f t="shared" si="34"/>
        <v>0</v>
      </c>
      <c r="AE28" s="471">
        <f t="shared" si="12"/>
        <v>16</v>
      </c>
      <c r="AF28" s="472">
        <f t="shared" si="6"/>
        <v>2970</v>
      </c>
      <c r="AG28" s="464">
        <f t="shared" si="29"/>
        <v>185.625</v>
      </c>
      <c r="AI28" s="465">
        <f>R28-'EDl log'!B26</f>
        <v>-1047127.9999999993</v>
      </c>
      <c r="AK28" s="635">
        <v>44342</v>
      </c>
      <c r="AL28" s="17">
        <v>319879</v>
      </c>
      <c r="AM28" s="17">
        <v>427897</v>
      </c>
      <c r="AN28" s="17">
        <f t="shared" si="26"/>
        <v>747776</v>
      </c>
      <c r="AO28" s="636">
        <f t="shared" si="27"/>
        <v>3437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32897198</v>
      </c>
      <c r="E29" s="311">
        <f t="shared" si="13"/>
        <v>2935</v>
      </c>
      <c r="F29" s="444">
        <v>4028246</v>
      </c>
      <c r="G29" s="312">
        <f t="shared" si="1"/>
        <v>792</v>
      </c>
      <c r="H29" s="444">
        <v>17879970</v>
      </c>
      <c r="I29" s="312">
        <f t="shared" si="14"/>
        <v>908</v>
      </c>
      <c r="J29" s="444">
        <v>29098618</v>
      </c>
      <c r="K29" s="312">
        <f t="shared" si="15"/>
        <v>5032</v>
      </c>
      <c r="L29" s="444">
        <v>24226262</v>
      </c>
      <c r="M29" s="312">
        <f t="shared" si="16"/>
        <v>2160</v>
      </c>
      <c r="N29" s="310">
        <f t="shared" si="17"/>
        <v>11827</v>
      </c>
      <c r="O29" s="466">
        <f t="shared" si="28"/>
        <v>0</v>
      </c>
      <c r="P29" s="591">
        <v>17158.558000000001</v>
      </c>
      <c r="Q29" s="448">
        <f t="shared" si="32"/>
        <v>9436.0000000015134</v>
      </c>
      <c r="R29" s="448">
        <f t="shared" si="33"/>
        <v>2390.9999999984866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v>32492</v>
      </c>
      <c r="X29" s="448">
        <f t="shared" si="25"/>
        <v>11</v>
      </c>
      <c r="Y29" s="444">
        <v>760371</v>
      </c>
      <c r="Z29" s="448">
        <f t="shared" si="22"/>
        <v>2860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11</v>
      </c>
      <c r="AF29" s="472">
        <f t="shared" si="6"/>
        <v>2860</v>
      </c>
      <c r="AG29" s="464">
        <f t="shared" si="29"/>
        <v>260</v>
      </c>
      <c r="AI29" s="465">
        <f>R29-'EDl log'!B27</f>
        <v>-1046612.0000000015</v>
      </c>
      <c r="AK29" s="635">
        <v>44343</v>
      </c>
      <c r="AL29" s="17">
        <v>322078</v>
      </c>
      <c r="AM29" s="17">
        <v>428633</v>
      </c>
      <c r="AN29" s="17">
        <f t="shared" si="26"/>
        <v>750711</v>
      </c>
      <c r="AO29" s="636">
        <f t="shared" si="27"/>
        <v>2935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32897198</v>
      </c>
      <c r="E30" s="311">
        <f t="shared" si="13"/>
        <v>0</v>
      </c>
      <c r="F30" s="444">
        <f t="shared" ref="F29:F33" si="35">F29</f>
        <v>4028246</v>
      </c>
      <c r="G30" s="312">
        <f t="shared" si="1"/>
        <v>0</v>
      </c>
      <c r="H30" s="444">
        <f t="shared" ref="H29:H33" si="36">H29</f>
        <v>17879970</v>
      </c>
      <c r="I30" s="312">
        <f t="shared" si="14"/>
        <v>0</v>
      </c>
      <c r="J30" s="444">
        <f t="shared" ref="J29:J33" si="37">J29</f>
        <v>29098618</v>
      </c>
      <c r="K30" s="312">
        <f t="shared" si="15"/>
        <v>0</v>
      </c>
      <c r="L30" s="444">
        <f t="shared" ref="L29:L33" si="38">L29</f>
        <v>24226262</v>
      </c>
      <c r="M30" s="312">
        <f t="shared" si="16"/>
        <v>0</v>
      </c>
      <c r="N30" s="310">
        <f t="shared" si="17"/>
        <v>0</v>
      </c>
      <c r="O30" s="466">
        <f t="shared" si="28"/>
        <v>0</v>
      </c>
      <c r="P30" s="591">
        <f t="shared" ref="P29:P33" si="39">P29</f>
        <v>17158.558000000001</v>
      </c>
      <c r="Q30" s="448">
        <f t="shared" si="32"/>
        <v>0</v>
      </c>
      <c r="R30" s="448">
        <f t="shared" si="33"/>
        <v>0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f t="shared" si="10"/>
        <v>32492</v>
      </c>
      <c r="X30" s="469">
        <f t="shared" si="25"/>
        <v>0</v>
      </c>
      <c r="Y30" s="444">
        <f t="shared" si="11"/>
        <v>760371</v>
      </c>
      <c r="Z30" s="448">
        <f t="shared" si="22"/>
        <v>0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0</v>
      </c>
      <c r="AF30" s="472">
        <f t="shared" si="6"/>
        <v>0</v>
      </c>
      <c r="AG30" s="464">
        <f t="shared" si="29"/>
        <v>0</v>
      </c>
      <c r="AI30" s="465">
        <f>R30-'EDl log'!B28</f>
        <v>-1050985</v>
      </c>
      <c r="AK30" s="635">
        <v>44344</v>
      </c>
      <c r="AL30" s="17">
        <f t="shared" ref="AL29:AM33" si="40">AL29</f>
        <v>322078</v>
      </c>
      <c r="AM30" s="17">
        <f t="shared" si="40"/>
        <v>428633</v>
      </c>
      <c r="AN30" s="17">
        <f t="shared" si="26"/>
        <v>750711</v>
      </c>
      <c r="AO30" s="636">
        <f t="shared" si="27"/>
        <v>0</v>
      </c>
    </row>
    <row r="31" spans="1:41">
      <c r="A31" s="456">
        <f>'General information '!F34</f>
        <v>0</v>
      </c>
      <c r="B31" s="450">
        <f t="shared" ref="B31:B32" si="41">SUM(230*A31)</f>
        <v>0</v>
      </c>
      <c r="C31" s="457">
        <v>44345</v>
      </c>
      <c r="D31" s="444">
        <f t="shared" si="24"/>
        <v>32897198</v>
      </c>
      <c r="E31" s="311">
        <f t="shared" si="13"/>
        <v>0</v>
      </c>
      <c r="F31" s="444">
        <f t="shared" si="35"/>
        <v>4028246</v>
      </c>
      <c r="G31" s="312">
        <f t="shared" si="1"/>
        <v>0</v>
      </c>
      <c r="H31" s="444">
        <f t="shared" si="36"/>
        <v>17879970</v>
      </c>
      <c r="I31" s="312">
        <f t="shared" si="14"/>
        <v>0</v>
      </c>
      <c r="J31" s="444">
        <f t="shared" si="37"/>
        <v>29098618</v>
      </c>
      <c r="K31" s="312">
        <f t="shared" si="15"/>
        <v>0</v>
      </c>
      <c r="L31" s="444">
        <f t="shared" si="38"/>
        <v>24226262</v>
      </c>
      <c r="M31" s="312">
        <f t="shared" si="16"/>
        <v>0</v>
      </c>
      <c r="N31" s="310">
        <f t="shared" ref="N31:N32" si="42">M31+K31+I31+G31+E31</f>
        <v>0</v>
      </c>
      <c r="O31" s="466">
        <f t="shared" ref="O31:O32" si="43">IF(B31&gt;0,N31/B31,0)</f>
        <v>0</v>
      </c>
      <c r="P31" s="591">
        <f t="shared" si="39"/>
        <v>17158.558000000001</v>
      </c>
      <c r="Q31" s="448">
        <f t="shared" ref="Q31:Q32" si="44">(P31-P30)*1000</f>
        <v>0</v>
      </c>
      <c r="R31" s="448">
        <f t="shared" ref="R31:R32" si="45">N31-Q31</f>
        <v>0</v>
      </c>
      <c r="S31" s="444">
        <f t="shared" si="9"/>
        <v>10175</v>
      </c>
      <c r="T31" s="468">
        <f t="shared" ref="T31:T32" si="46">S31-S30</f>
        <v>0</v>
      </c>
      <c r="U31" s="444">
        <f t="shared" si="9"/>
        <v>429166</v>
      </c>
      <c r="V31" s="448">
        <f t="shared" ref="V31:V32" si="47">U31-U30</f>
        <v>0</v>
      </c>
      <c r="W31" s="444">
        <f t="shared" si="10"/>
        <v>32492</v>
      </c>
      <c r="X31" s="469">
        <f t="shared" ref="X31:X32" si="48">W31-W30</f>
        <v>0</v>
      </c>
      <c r="Y31" s="444">
        <f t="shared" si="11"/>
        <v>760371</v>
      </c>
      <c r="Z31" s="448">
        <f t="shared" ref="Z31:Z32" si="49">Y31-Y30</f>
        <v>0</v>
      </c>
      <c r="AA31" s="444">
        <f t="shared" si="30"/>
        <v>35939</v>
      </c>
      <c r="AB31" s="448">
        <f t="shared" ref="AB31:AB32" si="50">AA31-AA30</f>
        <v>0</v>
      </c>
      <c r="AC31" s="444">
        <f t="shared" si="23"/>
        <v>961645</v>
      </c>
      <c r="AD31" s="448">
        <f t="shared" ref="AD31:AD32" si="51">AC31-AC30</f>
        <v>0</v>
      </c>
      <c r="AE31" s="471">
        <f t="shared" ref="AE31:AE32" si="52">AB31+X31+T31</f>
        <v>0</v>
      </c>
      <c r="AF31" s="472">
        <f t="shared" ref="AF31:AF32" si="53">V31+Z31+AD31</f>
        <v>0</v>
      </c>
      <c r="AG31" s="464">
        <f t="shared" ref="AG31:AG32" si="54">IF(AE31&gt;0,AF31/AE31,0)</f>
        <v>0</v>
      </c>
      <c r="AI31" s="465">
        <f>R31-'EDl log'!B29</f>
        <v>-1051724</v>
      </c>
      <c r="AK31" s="635">
        <v>44345</v>
      </c>
      <c r="AL31" s="17">
        <f t="shared" si="40"/>
        <v>322078</v>
      </c>
      <c r="AM31" s="17">
        <f t="shared" si="40"/>
        <v>428633</v>
      </c>
      <c r="AN31" s="17">
        <f t="shared" si="26"/>
        <v>750711</v>
      </c>
      <c r="AO31" s="636">
        <f t="shared" si="27"/>
        <v>0</v>
      </c>
    </row>
    <row r="32" spans="1:41">
      <c r="A32" s="456">
        <f>'General information '!F35</f>
        <v>0</v>
      </c>
      <c r="B32" s="450">
        <f t="shared" si="41"/>
        <v>0</v>
      </c>
      <c r="C32" s="457">
        <v>44346</v>
      </c>
      <c r="D32" s="444">
        <f t="shared" si="24"/>
        <v>32897198</v>
      </c>
      <c r="E32" s="311">
        <f t="shared" si="13"/>
        <v>0</v>
      </c>
      <c r="F32" s="444">
        <f t="shared" si="35"/>
        <v>4028246</v>
      </c>
      <c r="G32" s="312">
        <f t="shared" si="1"/>
        <v>0</v>
      </c>
      <c r="H32" s="444">
        <f t="shared" si="36"/>
        <v>17879970</v>
      </c>
      <c r="I32" s="312">
        <f t="shared" si="14"/>
        <v>0</v>
      </c>
      <c r="J32" s="444">
        <f t="shared" si="37"/>
        <v>29098618</v>
      </c>
      <c r="K32" s="312">
        <f t="shared" si="15"/>
        <v>0</v>
      </c>
      <c r="L32" s="444">
        <f t="shared" si="38"/>
        <v>24226262</v>
      </c>
      <c r="M32" s="312">
        <f t="shared" si="16"/>
        <v>0</v>
      </c>
      <c r="N32" s="310">
        <f t="shared" si="42"/>
        <v>0</v>
      </c>
      <c r="O32" s="466">
        <f t="shared" si="43"/>
        <v>0</v>
      </c>
      <c r="P32" s="591">
        <f t="shared" si="39"/>
        <v>17158.558000000001</v>
      </c>
      <c r="Q32" s="448">
        <f t="shared" si="44"/>
        <v>0</v>
      </c>
      <c r="R32" s="448">
        <f t="shared" si="45"/>
        <v>0</v>
      </c>
      <c r="S32" s="444">
        <f t="shared" si="9"/>
        <v>10175</v>
      </c>
      <c r="T32" s="468">
        <f t="shared" si="46"/>
        <v>0</v>
      </c>
      <c r="U32" s="444">
        <f t="shared" si="9"/>
        <v>429166</v>
      </c>
      <c r="V32" s="448">
        <f t="shared" si="47"/>
        <v>0</v>
      </c>
      <c r="W32" s="444">
        <f t="shared" si="10"/>
        <v>32492</v>
      </c>
      <c r="X32" s="469">
        <f t="shared" si="48"/>
        <v>0</v>
      </c>
      <c r="Y32" s="444">
        <f t="shared" si="11"/>
        <v>760371</v>
      </c>
      <c r="Z32" s="448">
        <f t="shared" si="49"/>
        <v>0</v>
      </c>
      <c r="AA32" s="444">
        <f t="shared" si="30"/>
        <v>35939</v>
      </c>
      <c r="AB32" s="448">
        <f t="shared" si="50"/>
        <v>0</v>
      </c>
      <c r="AC32" s="444">
        <f t="shared" si="23"/>
        <v>961645</v>
      </c>
      <c r="AD32" s="448">
        <f t="shared" si="51"/>
        <v>0</v>
      </c>
      <c r="AE32" s="471">
        <f t="shared" si="52"/>
        <v>0</v>
      </c>
      <c r="AF32" s="472">
        <f t="shared" si="53"/>
        <v>0</v>
      </c>
      <c r="AG32" s="464">
        <f t="shared" si="54"/>
        <v>0</v>
      </c>
      <c r="AI32" s="465">
        <f>R32-'EDl log'!B30</f>
        <v>-1053131</v>
      </c>
      <c r="AK32" s="635">
        <v>44346</v>
      </c>
      <c r="AL32" s="17">
        <f t="shared" si="40"/>
        <v>322078</v>
      </c>
      <c r="AM32" s="17">
        <f t="shared" si="40"/>
        <v>428633</v>
      </c>
      <c r="AN32" s="17">
        <f t="shared" si="26"/>
        <v>750711</v>
      </c>
      <c r="AO32" s="636">
        <f t="shared" si="27"/>
        <v>0</v>
      </c>
    </row>
    <row r="33" spans="1:41" ht="15.75" thickBot="1">
      <c r="A33" s="456">
        <f>'General information '!F36</f>
        <v>0</v>
      </c>
      <c r="B33" s="450">
        <f t="shared" ref="B33" si="55">SUM(230*A33)</f>
        <v>0</v>
      </c>
      <c r="C33" s="457">
        <v>44347</v>
      </c>
      <c r="D33" s="444">
        <f t="shared" si="24"/>
        <v>32897198</v>
      </c>
      <c r="E33" s="311">
        <f t="shared" ref="E33" si="56">D33-D32</f>
        <v>0</v>
      </c>
      <c r="F33" s="444">
        <f t="shared" si="35"/>
        <v>4028246</v>
      </c>
      <c r="G33" s="312">
        <f t="shared" ref="G33" si="57">F33-F32</f>
        <v>0</v>
      </c>
      <c r="H33" s="444">
        <f t="shared" si="36"/>
        <v>17879970</v>
      </c>
      <c r="I33" s="312">
        <f t="shared" ref="I33" si="58">H33-H32</f>
        <v>0</v>
      </c>
      <c r="J33" s="444">
        <f t="shared" si="37"/>
        <v>29098618</v>
      </c>
      <c r="K33" s="312">
        <f t="shared" ref="K33" si="59">J33-J32</f>
        <v>0</v>
      </c>
      <c r="L33" s="444">
        <f t="shared" si="38"/>
        <v>24226262</v>
      </c>
      <c r="M33" s="312">
        <f t="shared" ref="M33" si="60">L33-L32</f>
        <v>0</v>
      </c>
      <c r="N33" s="310">
        <f t="shared" ref="N33" si="61">M33+K33+I33+G33+E33</f>
        <v>0</v>
      </c>
      <c r="O33" s="466">
        <f t="shared" ref="O33" si="62">IF(B33&gt;0,N33/B33,0)</f>
        <v>0</v>
      </c>
      <c r="P33" s="591">
        <f t="shared" si="39"/>
        <v>17158.558000000001</v>
      </c>
      <c r="Q33" s="448">
        <f t="shared" ref="Q33" si="63">(P33-P32)*1000</f>
        <v>0</v>
      </c>
      <c r="R33" s="448">
        <f t="shared" ref="R33" si="64">N33-Q33</f>
        <v>0</v>
      </c>
      <c r="S33" s="444">
        <f t="shared" si="9"/>
        <v>10175</v>
      </c>
      <c r="T33" s="468">
        <f t="shared" ref="T33" si="65">S33-S32</f>
        <v>0</v>
      </c>
      <c r="U33" s="444">
        <f t="shared" si="9"/>
        <v>429166</v>
      </c>
      <c r="V33" s="448">
        <f t="shared" ref="V33" si="66">U33-U32</f>
        <v>0</v>
      </c>
      <c r="W33" s="444">
        <f t="shared" si="10"/>
        <v>32492</v>
      </c>
      <c r="X33" s="469">
        <f t="shared" ref="X33" si="67">W33-W32</f>
        <v>0</v>
      </c>
      <c r="Y33" s="444">
        <f t="shared" si="11"/>
        <v>760371</v>
      </c>
      <c r="Z33" s="448">
        <f t="shared" ref="Z33" si="68">Y33-Y32</f>
        <v>0</v>
      </c>
      <c r="AA33" s="444">
        <f t="shared" si="30"/>
        <v>35939</v>
      </c>
      <c r="AB33" s="448">
        <f t="shared" ref="AB33" si="69">AA33-AA32</f>
        <v>0</v>
      </c>
      <c r="AC33" s="444">
        <f t="shared" si="23"/>
        <v>961645</v>
      </c>
      <c r="AD33" s="448">
        <f t="shared" ref="AD33" si="70">AC33-AC32</f>
        <v>0</v>
      </c>
      <c r="AE33" s="471">
        <f t="shared" ref="AE33" si="71">AB33+X33+T33</f>
        <v>0</v>
      </c>
      <c r="AF33" s="472">
        <f t="shared" ref="AF33" si="72">V33+Z33+AD33</f>
        <v>0</v>
      </c>
      <c r="AG33" s="464">
        <f t="shared" ref="AG33" si="73">IF(AE33&gt;0,AF33/AE33,0)</f>
        <v>0</v>
      </c>
      <c r="AI33" s="465">
        <f>R33-'EDl log'!B31</f>
        <v>-1053131</v>
      </c>
      <c r="AK33" s="635">
        <v>44347</v>
      </c>
      <c r="AL33" s="17">
        <f t="shared" si="40"/>
        <v>322078</v>
      </c>
      <c r="AM33" s="17">
        <f t="shared" si="40"/>
        <v>428633</v>
      </c>
      <c r="AN33" s="17">
        <f t="shared" si="26"/>
        <v>750711</v>
      </c>
      <c r="AO33" s="637">
        <f t="shared" si="27"/>
        <v>0</v>
      </c>
    </row>
    <row r="34" spans="1:41">
      <c r="AK34" s="638"/>
      <c r="AL34" s="639"/>
      <c r="AM34" s="639"/>
      <c r="AN34" s="639"/>
      <c r="AO34" s="640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1" activePane="bottomLeft" state="frozen"/>
      <selection activeCell="K1" sqref="K1"/>
      <selection pane="bottomLeft" activeCell="R31" sqref="R3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71" t="s">
        <v>2</v>
      </c>
      <c r="G1" s="672"/>
      <c r="H1" s="672"/>
      <c r="I1" s="673"/>
      <c r="J1" s="282">
        <f>J36</f>
        <v>71.615384615384613</v>
      </c>
      <c r="K1" s="674" t="s">
        <v>4</v>
      </c>
      <c r="L1" s="675"/>
      <c r="M1" s="675"/>
      <c r="N1" s="675"/>
      <c r="O1" s="676"/>
      <c r="P1" s="665" t="s">
        <v>6</v>
      </c>
      <c r="Q1" s="666"/>
      <c r="R1" s="666"/>
      <c r="S1" s="666"/>
      <c r="T1" s="667"/>
      <c r="U1" s="397"/>
      <c r="V1" s="27" t="s">
        <v>104</v>
      </c>
      <c r="W1" s="398"/>
      <c r="X1" s="665" t="s">
        <v>8</v>
      </c>
      <c r="Y1" s="666"/>
      <c r="Z1" s="666"/>
      <c r="AA1" s="666"/>
      <c r="AB1" s="666"/>
      <c r="AC1" s="668" t="s">
        <v>10</v>
      </c>
      <c r="AD1" s="669"/>
      <c r="AE1" s="669"/>
      <c r="AF1" s="670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3"/>
      <c r="R2" s="664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1" si="8">D6*8.38</f>
        <v>16.760000000000002</v>
      </c>
      <c r="F6" s="584">
        <f t="shared" ref="F6:F35" si="9">F5</f>
        <v>1825</v>
      </c>
      <c r="G6" s="52">
        <f t="shared" si="0"/>
        <v>0</v>
      </c>
      <c r="H6" s="584">
        <f t="shared" ref="H6:H35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2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5" si="17">X5</f>
        <v>2467</v>
      </c>
      <c r="Y6" s="52">
        <f t="shared" ref="Y6:Y32" si="18">X6-X5</f>
        <v>0</v>
      </c>
      <c r="Z6" s="584">
        <f t="shared" ref="Z6:Z35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32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5" si="31">K6</f>
        <v>2316</v>
      </c>
      <c r="L7" s="52">
        <f t="shared" si="12"/>
        <v>0</v>
      </c>
      <c r="M7" s="584">
        <f t="shared" ref="M7:M35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5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1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v>179</v>
      </c>
      <c r="C22" s="584">
        <v>186</v>
      </c>
      <c r="D22" s="45">
        <f t="shared" si="86"/>
        <v>8</v>
      </c>
      <c r="E22" s="45">
        <f t="shared" si="8"/>
        <v>67.040000000000006</v>
      </c>
      <c r="F22" s="584">
        <v>1835</v>
      </c>
      <c r="G22" s="52">
        <f t="shared" si="0"/>
        <v>2</v>
      </c>
      <c r="H22" s="584">
        <v>12933</v>
      </c>
      <c r="I22" s="396">
        <f t="shared" si="1"/>
        <v>92</v>
      </c>
      <c r="J22" s="66">
        <f t="shared" si="11"/>
        <v>46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v>2090</v>
      </c>
      <c r="Q22" s="584">
        <v>175754</v>
      </c>
      <c r="R22" s="395">
        <f t="shared" si="52"/>
        <v>44</v>
      </c>
      <c r="S22" s="52">
        <f t="shared" si="4"/>
        <v>1</v>
      </c>
      <c r="T22" s="67">
        <f t="shared" si="33"/>
        <v>0</v>
      </c>
      <c r="U22" s="402">
        <f t="shared" si="14"/>
        <v>3</v>
      </c>
      <c r="V22" s="62">
        <f t="shared" si="15"/>
        <v>136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0">AC21</f>
        <v>1936</v>
      </c>
      <c r="AD22" s="45">
        <f t="shared" si="6"/>
        <v>0</v>
      </c>
      <c r="AE22" s="584">
        <f t="shared" si="90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136</v>
      </c>
      <c r="AJ22" s="318">
        <f>-tanks!AW23</f>
        <v>136</v>
      </c>
      <c r="AK22" s="318">
        <f t="shared" si="23"/>
        <v>0</v>
      </c>
      <c r="AL22" s="318">
        <f t="shared" si="7"/>
        <v>3</v>
      </c>
      <c r="AM22" s="318">
        <f t="shared" si="24"/>
        <v>0</v>
      </c>
      <c r="AN22" s="584">
        <f t="shared" ref="AN22:AP22" si="91">AN21</f>
        <v>67</v>
      </c>
      <c r="AO22" s="320">
        <f t="shared" si="26"/>
        <v>2010.0000000000002</v>
      </c>
      <c r="AP22" s="584">
        <f t="shared" si="91"/>
        <v>55</v>
      </c>
      <c r="AQ22" s="320">
        <f t="shared" si="27"/>
        <v>1650.0000000000002</v>
      </c>
      <c r="AR22" s="584">
        <f t="shared" ref="AR22" si="92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v>170</v>
      </c>
      <c r="C23" s="584">
        <v>178</v>
      </c>
      <c r="D23" s="45">
        <f t="shared" si="86"/>
        <v>8</v>
      </c>
      <c r="E23" s="45">
        <f t="shared" si="8"/>
        <v>67.040000000000006</v>
      </c>
      <c r="F23" s="584">
        <f t="shared" si="9"/>
        <v>1835</v>
      </c>
      <c r="G23" s="52">
        <f t="shared" si="0"/>
        <v>0</v>
      </c>
      <c r="H23" s="584">
        <f t="shared" si="10"/>
        <v>12933</v>
      </c>
      <c r="I23" s="396">
        <f t="shared" si="1"/>
        <v>0</v>
      </c>
      <c r="J23" s="66">
        <f t="shared" si="11"/>
        <v>0</v>
      </c>
      <c r="K23" s="584">
        <v>2325</v>
      </c>
      <c r="L23" s="52">
        <f t="shared" si="12"/>
        <v>1</v>
      </c>
      <c r="M23" s="584">
        <v>171417</v>
      </c>
      <c r="N23" s="396">
        <f t="shared" si="2"/>
        <v>95</v>
      </c>
      <c r="O23" s="64">
        <f t="shared" si="13"/>
        <v>1869</v>
      </c>
      <c r="P23" s="584">
        <f t="shared" si="81"/>
        <v>2090</v>
      </c>
      <c r="Q23" s="584">
        <f t="shared" si="82"/>
        <v>175754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1</v>
      </c>
      <c r="V23" s="62">
        <f t="shared" si="15"/>
        <v>95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3">AC22</f>
        <v>1936</v>
      </c>
      <c r="AD23" s="45">
        <f t="shared" si="6"/>
        <v>0</v>
      </c>
      <c r="AE23" s="584">
        <f t="shared" si="93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4">SUM(AH23+V23)</f>
        <v>95</v>
      </c>
      <c r="AJ23" s="318">
        <f>-tanks!AW24</f>
        <v>95</v>
      </c>
      <c r="AK23" s="318">
        <f t="shared" ref="AK23" si="95">SUM(AJ23-AI23)</f>
        <v>0</v>
      </c>
      <c r="AL23" s="318">
        <f t="shared" ref="AL23" si="96">S23+L23+G23</f>
        <v>1</v>
      </c>
      <c r="AM23" s="318">
        <f t="shared" ref="AM23" si="97">Y23+AD23</f>
        <v>0</v>
      </c>
      <c r="AN23" s="584">
        <f t="shared" ref="AN23:AP23" si="98">AN22</f>
        <v>67</v>
      </c>
      <c r="AO23" s="320">
        <f t="shared" si="26"/>
        <v>2010.0000000000002</v>
      </c>
      <c r="AP23" s="584">
        <f t="shared" si="98"/>
        <v>55</v>
      </c>
      <c r="AQ23" s="320">
        <f t="shared" si="27"/>
        <v>1650.0000000000002</v>
      </c>
      <c r="AR23" s="584">
        <f t="shared" ref="AR23" si="9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v>203</v>
      </c>
      <c r="C24" s="584">
        <v>210</v>
      </c>
      <c r="D24" s="45">
        <f t="shared" si="86"/>
        <v>-32</v>
      </c>
      <c r="E24" s="45">
        <f t="shared" si="8"/>
        <v>-268.16000000000003</v>
      </c>
      <c r="F24" s="584">
        <f t="shared" si="9"/>
        <v>1835</v>
      </c>
      <c r="G24" s="52">
        <f t="shared" si="0"/>
        <v>0</v>
      </c>
      <c r="H24" s="584">
        <f t="shared" si="10"/>
        <v>12933</v>
      </c>
      <c r="I24" s="396">
        <f t="shared" si="1"/>
        <v>0</v>
      </c>
      <c r="J24" s="66">
        <f t="shared" si="11"/>
        <v>0</v>
      </c>
      <c r="K24" s="584">
        <f t="shared" si="31"/>
        <v>2325</v>
      </c>
      <c r="L24" s="52">
        <f t="shared" si="12"/>
        <v>0</v>
      </c>
      <c r="M24" s="584">
        <f t="shared" si="32"/>
        <v>171417</v>
      </c>
      <c r="N24" s="396">
        <f t="shared" si="2"/>
        <v>0</v>
      </c>
      <c r="O24" s="64">
        <f t="shared" si="13"/>
        <v>1869</v>
      </c>
      <c r="P24" s="584">
        <v>2091</v>
      </c>
      <c r="Q24" s="584">
        <v>175817</v>
      </c>
      <c r="R24" s="395">
        <f t="shared" si="52"/>
        <v>63</v>
      </c>
      <c r="S24" s="52">
        <f t="shared" si="4"/>
        <v>1</v>
      </c>
      <c r="T24" s="67">
        <f t="shared" si="33"/>
        <v>0</v>
      </c>
      <c r="U24" s="402">
        <f t="shared" si="14"/>
        <v>1</v>
      </c>
      <c r="V24" s="62">
        <f t="shared" si="15"/>
        <v>63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0">SUM(Y24*$AB$2)</f>
        <v>0</v>
      </c>
      <c r="AC24" s="584">
        <f t="shared" ref="AC24:AE24" si="101">AC23</f>
        <v>1936</v>
      </c>
      <c r="AD24" s="45">
        <f t="shared" si="6"/>
        <v>0</v>
      </c>
      <c r="AE24" s="584">
        <f t="shared" si="101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63</v>
      </c>
      <c r="AJ24" s="318">
        <f>-tanks!AW25</f>
        <v>63</v>
      </c>
      <c r="AK24" s="318">
        <f t="shared" si="23"/>
        <v>0</v>
      </c>
      <c r="AL24" s="318">
        <f t="shared" si="7"/>
        <v>1</v>
      </c>
      <c r="AM24" s="318">
        <f t="shared" si="24"/>
        <v>0</v>
      </c>
      <c r="AN24" s="584">
        <f t="shared" ref="AN24:AP24" si="102">AN23</f>
        <v>67</v>
      </c>
      <c r="AO24" s="320">
        <f t="shared" si="26"/>
        <v>2010.0000000000002</v>
      </c>
      <c r="AP24" s="584">
        <f t="shared" si="102"/>
        <v>55</v>
      </c>
      <c r="AQ24" s="320">
        <f t="shared" si="27"/>
        <v>1650.0000000000002</v>
      </c>
      <c r="AR24" s="584">
        <f t="shared" ref="AR24" si="103">AR23</f>
        <v>61</v>
      </c>
      <c r="AS24" s="320">
        <f t="shared" si="40"/>
        <v>1830</v>
      </c>
      <c r="AT24" s="320">
        <f t="shared" ref="AT24:AT32" si="104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v>194</v>
      </c>
      <c r="C25" s="584">
        <v>201</v>
      </c>
      <c r="D25" s="45">
        <f t="shared" si="86"/>
        <v>9</v>
      </c>
      <c r="E25" s="45">
        <f t="shared" si="8"/>
        <v>75.42</v>
      </c>
      <c r="F25" s="584">
        <v>1836</v>
      </c>
      <c r="G25" s="52">
        <f t="shared" si="0"/>
        <v>1</v>
      </c>
      <c r="H25" s="584">
        <v>13065</v>
      </c>
      <c r="I25" s="396">
        <f t="shared" si="1"/>
        <v>132</v>
      </c>
      <c r="J25" s="66">
        <f t="shared" si="11"/>
        <v>132</v>
      </c>
      <c r="K25" s="584">
        <f t="shared" si="31"/>
        <v>2325</v>
      </c>
      <c r="L25" s="52">
        <f t="shared" si="12"/>
        <v>0</v>
      </c>
      <c r="M25" s="584">
        <v>171439</v>
      </c>
      <c r="N25" s="396">
        <f t="shared" si="2"/>
        <v>22</v>
      </c>
      <c r="O25" s="64">
        <f>O24</f>
        <v>1869</v>
      </c>
      <c r="P25" s="584">
        <f t="shared" si="81"/>
        <v>2091</v>
      </c>
      <c r="Q25" s="584">
        <v>175849</v>
      </c>
      <c r="R25" s="395">
        <f t="shared" si="52"/>
        <v>32</v>
      </c>
      <c r="S25" s="52">
        <f t="shared" si="4"/>
        <v>0</v>
      </c>
      <c r="T25" s="67">
        <f t="shared" si="33"/>
        <v>0</v>
      </c>
      <c r="U25" s="402">
        <f t="shared" si="14"/>
        <v>1</v>
      </c>
      <c r="V25" s="62">
        <f t="shared" si="15"/>
        <v>186</v>
      </c>
      <c r="W25" s="400"/>
      <c r="X25" s="584">
        <v>2468</v>
      </c>
      <c r="Y25" s="52">
        <f t="shared" si="18"/>
        <v>1</v>
      </c>
      <c r="Z25" s="584">
        <v>138920</v>
      </c>
      <c r="AA25" s="65">
        <f t="shared" si="5"/>
        <v>23</v>
      </c>
      <c r="AB25" s="284">
        <f t="shared" si="100"/>
        <v>0</v>
      </c>
      <c r="AC25" s="584">
        <f t="shared" ref="AC25:AE25" si="105">AC24</f>
        <v>1936</v>
      </c>
      <c r="AD25" s="45">
        <f t="shared" si="6"/>
        <v>0</v>
      </c>
      <c r="AE25" s="584">
        <f t="shared" si="105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23</v>
      </c>
      <c r="AI25" s="318">
        <f t="shared" si="22"/>
        <v>209</v>
      </c>
      <c r="AJ25" s="318">
        <f>-tanks!AW26</f>
        <v>209</v>
      </c>
      <c r="AK25" s="318">
        <f t="shared" si="23"/>
        <v>0</v>
      </c>
      <c r="AL25" s="318">
        <f t="shared" si="7"/>
        <v>1</v>
      </c>
      <c r="AM25" s="318">
        <f t="shared" si="24"/>
        <v>1</v>
      </c>
      <c r="AN25" s="584">
        <f t="shared" ref="AN25:AP25" si="106">AN24</f>
        <v>67</v>
      </c>
      <c r="AO25" s="320">
        <f t="shared" si="26"/>
        <v>2010.0000000000002</v>
      </c>
      <c r="AP25" s="584">
        <f t="shared" si="106"/>
        <v>55</v>
      </c>
      <c r="AQ25" s="320">
        <f t="shared" ref="AQ25:AQ32" si="107">(AP25/100)*3000</f>
        <v>1650.0000000000002</v>
      </c>
      <c r="AR25" s="584">
        <f t="shared" ref="AR25" si="108">AR24</f>
        <v>61</v>
      </c>
      <c r="AS25" s="320">
        <f t="shared" si="40"/>
        <v>1830</v>
      </c>
      <c r="AT25" s="320">
        <f t="shared" si="104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v>182</v>
      </c>
      <c r="C26" s="584">
        <v>189</v>
      </c>
      <c r="D26" s="45">
        <f t="shared" si="86"/>
        <v>12</v>
      </c>
      <c r="E26" s="45">
        <f t="shared" si="8"/>
        <v>100.56</v>
      </c>
      <c r="F26" s="584">
        <v>1837</v>
      </c>
      <c r="G26" s="52">
        <f t="shared" si="0"/>
        <v>1</v>
      </c>
      <c r="H26" s="584">
        <v>13110</v>
      </c>
      <c r="I26" s="396">
        <f t="shared" si="1"/>
        <v>45</v>
      </c>
      <c r="J26" s="66">
        <f t="shared" si="11"/>
        <v>45</v>
      </c>
      <c r="K26" s="584">
        <v>2326</v>
      </c>
      <c r="L26" s="52">
        <f t="shared" si="12"/>
        <v>1</v>
      </c>
      <c r="M26" s="584">
        <v>171523</v>
      </c>
      <c r="N26" s="396">
        <f t="shared" si="2"/>
        <v>84</v>
      </c>
      <c r="O26" s="64">
        <f t="shared" si="13"/>
        <v>1869</v>
      </c>
      <c r="P26" s="584">
        <f t="shared" si="81"/>
        <v>2091</v>
      </c>
      <c r="Q26" s="584">
        <f t="shared" si="82"/>
        <v>175849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2</v>
      </c>
      <c r="V26" s="62">
        <f t="shared" si="15"/>
        <v>129</v>
      </c>
      <c r="W26" s="400"/>
      <c r="X26" s="584">
        <v>2468</v>
      </c>
      <c r="Y26" s="52">
        <f t="shared" si="18"/>
        <v>0</v>
      </c>
      <c r="Z26" s="584">
        <v>138920</v>
      </c>
      <c r="AA26" s="65">
        <f t="shared" si="5"/>
        <v>0</v>
      </c>
      <c r="AB26" s="284">
        <f t="shared" si="100"/>
        <v>0</v>
      </c>
      <c r="AC26" s="584">
        <f t="shared" ref="AC26:AE26" si="109">AC25</f>
        <v>1936</v>
      </c>
      <c r="AD26" s="45">
        <f t="shared" si="6"/>
        <v>0</v>
      </c>
      <c r="AE26" s="584">
        <f t="shared" si="109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129</v>
      </c>
      <c r="AJ26" s="318">
        <f>-tanks!AW27</f>
        <v>129</v>
      </c>
      <c r="AK26" s="318">
        <f t="shared" si="23"/>
        <v>0</v>
      </c>
      <c r="AL26" s="318">
        <f t="shared" si="7"/>
        <v>2</v>
      </c>
      <c r="AM26" s="318">
        <f t="shared" si="24"/>
        <v>0</v>
      </c>
      <c r="AN26" s="584">
        <f t="shared" ref="AN26:AP26" si="110">AN25</f>
        <v>67</v>
      </c>
      <c r="AO26" s="320">
        <f t="shared" si="26"/>
        <v>2010.0000000000002</v>
      </c>
      <c r="AP26" s="584">
        <f t="shared" si="110"/>
        <v>55</v>
      </c>
      <c r="AQ26" s="320">
        <f t="shared" si="107"/>
        <v>1650.0000000000002</v>
      </c>
      <c r="AR26" s="584">
        <f t="shared" ref="AR26" si="111">AR25</f>
        <v>61</v>
      </c>
      <c r="AS26" s="320">
        <f t="shared" si="40"/>
        <v>1830</v>
      </c>
      <c r="AT26" s="320">
        <f t="shared" si="104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v>176</v>
      </c>
      <c r="C27" s="584">
        <v>182.5</v>
      </c>
      <c r="D27" s="45">
        <f t="shared" si="86"/>
        <v>6.5</v>
      </c>
      <c r="E27" s="45">
        <f t="shared" si="8"/>
        <v>54.470000000000006</v>
      </c>
      <c r="F27" s="584">
        <f t="shared" si="9"/>
        <v>1837</v>
      </c>
      <c r="G27" s="52">
        <f t="shared" si="0"/>
        <v>0</v>
      </c>
      <c r="H27" s="584">
        <f t="shared" si="10"/>
        <v>13110</v>
      </c>
      <c r="I27" s="396">
        <f t="shared" si="1"/>
        <v>0</v>
      </c>
      <c r="J27" s="66">
        <f t="shared" si="11"/>
        <v>0</v>
      </c>
      <c r="K27" s="584">
        <f t="shared" si="31"/>
        <v>2326</v>
      </c>
      <c r="L27" s="52">
        <f t="shared" si="12"/>
        <v>0</v>
      </c>
      <c r="M27" s="584">
        <f t="shared" si="32"/>
        <v>171523</v>
      </c>
      <c r="N27" s="396">
        <f t="shared" si="2"/>
        <v>0</v>
      </c>
      <c r="O27" s="64">
        <f t="shared" si="13"/>
        <v>1869</v>
      </c>
      <c r="P27" s="584">
        <v>2092</v>
      </c>
      <c r="Q27" s="584">
        <v>175918</v>
      </c>
      <c r="R27" s="395">
        <f t="shared" si="52"/>
        <v>69</v>
      </c>
      <c r="S27" s="52">
        <f t="shared" si="4"/>
        <v>1</v>
      </c>
      <c r="T27" s="67">
        <f t="shared" si="33"/>
        <v>0</v>
      </c>
      <c r="U27" s="402">
        <f t="shared" si="14"/>
        <v>1</v>
      </c>
      <c r="V27" s="62">
        <f t="shared" si="15"/>
        <v>69</v>
      </c>
      <c r="W27" s="400"/>
      <c r="X27" s="584">
        <f t="shared" si="17"/>
        <v>2468</v>
      </c>
      <c r="Y27" s="52">
        <f t="shared" si="18"/>
        <v>0</v>
      </c>
      <c r="Z27" s="584">
        <f t="shared" si="19"/>
        <v>138920</v>
      </c>
      <c r="AA27" s="65">
        <f t="shared" si="5"/>
        <v>0</v>
      </c>
      <c r="AB27" s="284">
        <f t="shared" si="100"/>
        <v>0</v>
      </c>
      <c r="AC27" s="584">
        <f t="shared" ref="AC27:AE27" si="112">AC26</f>
        <v>1936</v>
      </c>
      <c r="AD27" s="45">
        <f t="shared" si="6"/>
        <v>0</v>
      </c>
      <c r="AE27" s="584">
        <f t="shared" si="112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69</v>
      </c>
      <c r="AJ27" s="318">
        <f>-tanks!AW28</f>
        <v>69</v>
      </c>
      <c r="AK27" s="318">
        <f t="shared" si="23"/>
        <v>0</v>
      </c>
      <c r="AL27" s="318">
        <f t="shared" si="7"/>
        <v>1</v>
      </c>
      <c r="AM27" s="318">
        <f t="shared" si="24"/>
        <v>0</v>
      </c>
      <c r="AN27" s="584">
        <f t="shared" ref="AN27:AP27" si="113">AN26</f>
        <v>67</v>
      </c>
      <c r="AO27" s="320">
        <f>(AN27/100)*3000</f>
        <v>2010.0000000000002</v>
      </c>
      <c r="AP27" s="584">
        <f t="shared" si="113"/>
        <v>55</v>
      </c>
      <c r="AQ27" s="320">
        <f t="shared" si="107"/>
        <v>1650.0000000000002</v>
      </c>
      <c r="AR27" s="584">
        <f t="shared" ref="AR27" si="114">AR26</f>
        <v>61</v>
      </c>
      <c r="AS27" s="320">
        <f t="shared" si="40"/>
        <v>1830</v>
      </c>
      <c r="AT27" s="320">
        <f t="shared" si="104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v>208</v>
      </c>
      <c r="C28" s="584">
        <v>215</v>
      </c>
      <c r="D28" s="45">
        <f t="shared" si="86"/>
        <v>-32.5</v>
      </c>
      <c r="E28" s="45">
        <f t="shared" si="8"/>
        <v>-272.35000000000002</v>
      </c>
      <c r="F28" s="584">
        <v>1838</v>
      </c>
      <c r="G28" s="52">
        <f t="shared" si="0"/>
        <v>1</v>
      </c>
      <c r="H28" s="584">
        <v>13198</v>
      </c>
      <c r="I28" s="396">
        <f t="shared" si="1"/>
        <v>88</v>
      </c>
      <c r="J28" s="66">
        <f t="shared" si="11"/>
        <v>88</v>
      </c>
      <c r="K28" s="584">
        <f t="shared" si="31"/>
        <v>2326</v>
      </c>
      <c r="L28" s="52">
        <f t="shared" si="12"/>
        <v>0</v>
      </c>
      <c r="M28" s="584">
        <f t="shared" si="32"/>
        <v>171523</v>
      </c>
      <c r="N28" s="396">
        <f t="shared" si="2"/>
        <v>0</v>
      </c>
      <c r="O28" s="64">
        <f t="shared" si="13"/>
        <v>1869</v>
      </c>
      <c r="P28" s="584">
        <f t="shared" si="81"/>
        <v>2092</v>
      </c>
      <c r="Q28" s="584">
        <f t="shared" si="82"/>
        <v>175918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1</v>
      </c>
      <c r="V28" s="62">
        <f t="shared" si="15"/>
        <v>88</v>
      </c>
      <c r="W28" s="400"/>
      <c r="X28" s="584">
        <v>2469</v>
      </c>
      <c r="Y28" s="52">
        <f t="shared" si="18"/>
        <v>1</v>
      </c>
      <c r="Z28" s="584">
        <v>138993</v>
      </c>
      <c r="AA28" s="65">
        <f t="shared" si="5"/>
        <v>73</v>
      </c>
      <c r="AB28" s="284">
        <f t="shared" si="100"/>
        <v>0</v>
      </c>
      <c r="AC28" s="584">
        <v>1936</v>
      </c>
      <c r="AD28" s="45">
        <f t="shared" si="6"/>
        <v>0</v>
      </c>
      <c r="AE28" s="584">
        <v>365571</v>
      </c>
      <c r="AF28" s="306">
        <f t="shared" si="21"/>
        <v>50.200000000011642</v>
      </c>
      <c r="AG28" s="209">
        <f t="shared" si="36"/>
        <v>0</v>
      </c>
      <c r="AH28" s="62">
        <f t="shared" si="37"/>
        <v>123.20000000001164</v>
      </c>
      <c r="AI28" s="318">
        <f t="shared" si="22"/>
        <v>211.20000000001164</v>
      </c>
      <c r="AJ28" s="318">
        <f>-tanks!AW29</f>
        <v>211.20000000001164</v>
      </c>
      <c r="AK28" s="318">
        <f t="shared" si="23"/>
        <v>0</v>
      </c>
      <c r="AL28" s="318">
        <f t="shared" si="7"/>
        <v>1</v>
      </c>
      <c r="AM28" s="318">
        <f t="shared" si="24"/>
        <v>1</v>
      </c>
      <c r="AN28" s="584">
        <f t="shared" ref="AN28:AP28" si="115">AN27</f>
        <v>67</v>
      </c>
      <c r="AO28" s="320">
        <f t="shared" ref="AO28:AO32" si="116">(AN28/100)*3000</f>
        <v>2010.0000000000002</v>
      </c>
      <c r="AP28" s="584">
        <f t="shared" si="115"/>
        <v>55</v>
      </c>
      <c r="AQ28" s="320">
        <f t="shared" si="107"/>
        <v>1650.0000000000002</v>
      </c>
      <c r="AR28" s="584">
        <f t="shared" ref="AR28" si="117">AR27</f>
        <v>61</v>
      </c>
      <c r="AS28" s="320">
        <f t="shared" si="40"/>
        <v>1830</v>
      </c>
      <c r="AT28" s="320">
        <f t="shared" si="104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v>201</v>
      </c>
      <c r="C29" s="584">
        <v>208</v>
      </c>
      <c r="D29" s="45">
        <f t="shared" si="86"/>
        <v>7</v>
      </c>
      <c r="E29" s="45">
        <f t="shared" si="8"/>
        <v>58.660000000000004</v>
      </c>
      <c r="F29" s="584">
        <f t="shared" si="9"/>
        <v>1838</v>
      </c>
      <c r="G29" s="52">
        <f t="shared" si="0"/>
        <v>0</v>
      </c>
      <c r="H29" s="584">
        <f t="shared" si="10"/>
        <v>13198</v>
      </c>
      <c r="I29" s="396">
        <f t="shared" si="1"/>
        <v>0</v>
      </c>
      <c r="J29" s="66">
        <f t="shared" si="11"/>
        <v>0</v>
      </c>
      <c r="K29" s="584">
        <v>2327</v>
      </c>
      <c r="L29" s="52">
        <f t="shared" si="12"/>
        <v>1</v>
      </c>
      <c r="M29" s="584">
        <v>171613</v>
      </c>
      <c r="N29" s="396">
        <f t="shared" si="2"/>
        <v>90</v>
      </c>
      <c r="O29" s="64">
        <f t="shared" si="13"/>
        <v>1869</v>
      </c>
      <c r="P29" s="584">
        <f t="shared" si="81"/>
        <v>2092</v>
      </c>
      <c r="Q29" s="584">
        <f t="shared" si="82"/>
        <v>175918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1</v>
      </c>
      <c r="V29" s="62">
        <f t="shared" si="15"/>
        <v>90</v>
      </c>
      <c r="W29" s="400"/>
      <c r="X29" s="584">
        <f t="shared" si="17"/>
        <v>2469</v>
      </c>
      <c r="Y29" s="52">
        <f t="shared" si="18"/>
        <v>0</v>
      </c>
      <c r="Z29" s="584">
        <f t="shared" si="19"/>
        <v>138993</v>
      </c>
      <c r="AA29" s="65">
        <f t="shared" si="5"/>
        <v>0</v>
      </c>
      <c r="AB29" s="284">
        <f t="shared" si="100"/>
        <v>0</v>
      </c>
      <c r="AC29" s="584">
        <f t="shared" ref="AC29:AE29" si="118">AC28</f>
        <v>1936</v>
      </c>
      <c r="AD29" s="45">
        <f t="shared" si="6"/>
        <v>0</v>
      </c>
      <c r="AE29" s="584">
        <f t="shared" si="118"/>
        <v>365571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90</v>
      </c>
      <c r="AJ29" s="318">
        <f>-tanks!AW30</f>
        <v>90</v>
      </c>
      <c r="AK29" s="318">
        <f t="shared" si="23"/>
        <v>0</v>
      </c>
      <c r="AL29" s="318">
        <f t="shared" si="7"/>
        <v>1</v>
      </c>
      <c r="AM29" s="318">
        <f t="shared" si="24"/>
        <v>0</v>
      </c>
      <c r="AN29" s="584">
        <f t="shared" ref="AN29:AP29" si="119">AN28</f>
        <v>67</v>
      </c>
      <c r="AO29" s="320">
        <f t="shared" si="116"/>
        <v>2010.0000000000002</v>
      </c>
      <c r="AP29" s="584">
        <f t="shared" si="119"/>
        <v>55</v>
      </c>
      <c r="AQ29" s="320">
        <f t="shared" si="107"/>
        <v>1650.0000000000002</v>
      </c>
      <c r="AR29" s="584">
        <f t="shared" ref="AR29" si="120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v>187</v>
      </c>
      <c r="C30" s="584">
        <v>194</v>
      </c>
      <c r="D30" s="45">
        <f t="shared" si="86"/>
        <v>14</v>
      </c>
      <c r="E30" s="45">
        <f t="shared" si="8"/>
        <v>117.32000000000001</v>
      </c>
      <c r="F30" s="584">
        <f t="shared" si="9"/>
        <v>1838</v>
      </c>
      <c r="G30" s="52">
        <f t="shared" si="0"/>
        <v>0</v>
      </c>
      <c r="H30" s="584">
        <f t="shared" si="10"/>
        <v>13198</v>
      </c>
      <c r="I30" s="396">
        <f t="shared" si="1"/>
        <v>0</v>
      </c>
      <c r="J30" s="66">
        <f t="shared" si="11"/>
        <v>0</v>
      </c>
      <c r="K30" s="584">
        <f t="shared" si="31"/>
        <v>2327</v>
      </c>
      <c r="L30" s="52">
        <f t="shared" si="12"/>
        <v>0</v>
      </c>
      <c r="M30" s="584">
        <f t="shared" si="32"/>
        <v>171613</v>
      </c>
      <c r="N30" s="396">
        <f t="shared" si="2"/>
        <v>0</v>
      </c>
      <c r="O30" s="64">
        <f t="shared" si="13"/>
        <v>1869</v>
      </c>
      <c r="P30" s="584">
        <v>2093</v>
      </c>
      <c r="Q30" s="584">
        <v>176032</v>
      </c>
      <c r="R30" s="395">
        <f t="shared" si="52"/>
        <v>114</v>
      </c>
      <c r="S30" s="52">
        <f t="shared" si="4"/>
        <v>1</v>
      </c>
      <c r="T30" s="67">
        <f t="shared" si="33"/>
        <v>0</v>
      </c>
      <c r="U30" s="402">
        <f t="shared" si="14"/>
        <v>1</v>
      </c>
      <c r="V30" s="62">
        <f t="shared" si="15"/>
        <v>114</v>
      </c>
      <c r="W30" s="400"/>
      <c r="X30" s="584">
        <f t="shared" si="17"/>
        <v>2469</v>
      </c>
      <c r="Y30" s="52">
        <f t="shared" si="18"/>
        <v>0</v>
      </c>
      <c r="Z30" s="584">
        <f t="shared" si="19"/>
        <v>138993</v>
      </c>
      <c r="AA30" s="65">
        <f t="shared" si="5"/>
        <v>0</v>
      </c>
      <c r="AB30" s="284">
        <f t="shared" si="100"/>
        <v>0</v>
      </c>
      <c r="AC30" s="584">
        <f t="shared" ref="AC30:AE30" si="121">AC29</f>
        <v>1936</v>
      </c>
      <c r="AD30" s="45">
        <f t="shared" si="6"/>
        <v>0</v>
      </c>
      <c r="AE30" s="584">
        <f t="shared" si="121"/>
        <v>365571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114</v>
      </c>
      <c r="AJ30" s="318">
        <f>-tanks!AW31</f>
        <v>114</v>
      </c>
      <c r="AK30" s="318">
        <f t="shared" si="23"/>
        <v>0</v>
      </c>
      <c r="AL30" s="318">
        <f t="shared" si="7"/>
        <v>1</v>
      </c>
      <c r="AM30" s="318">
        <f t="shared" si="24"/>
        <v>0</v>
      </c>
      <c r="AN30" s="584">
        <f t="shared" ref="AN30:AP30" si="122">AN29</f>
        <v>67</v>
      </c>
      <c r="AO30" s="320">
        <f t="shared" si="116"/>
        <v>2010.0000000000002</v>
      </c>
      <c r="AP30" s="584">
        <f t="shared" si="122"/>
        <v>55</v>
      </c>
      <c r="AQ30" s="320">
        <f t="shared" si="107"/>
        <v>1650.0000000000002</v>
      </c>
      <c r="AR30" s="584">
        <f t="shared" ref="AR30" si="123">AR29</f>
        <v>61</v>
      </c>
      <c r="AS30" s="320">
        <f t="shared" si="40"/>
        <v>1830</v>
      </c>
      <c r="AT30" s="320">
        <f t="shared" si="104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v>177</v>
      </c>
      <c r="C31" s="584">
        <v>184</v>
      </c>
      <c r="D31" s="45">
        <f t="shared" si="86"/>
        <v>10</v>
      </c>
      <c r="E31" s="45">
        <f t="shared" si="8"/>
        <v>83.800000000000011</v>
      </c>
      <c r="F31" s="584">
        <v>1839</v>
      </c>
      <c r="G31" s="52">
        <f t="shared" si="0"/>
        <v>1</v>
      </c>
      <c r="H31" s="584">
        <v>13281</v>
      </c>
      <c r="I31" s="396">
        <f t="shared" si="1"/>
        <v>83</v>
      </c>
      <c r="J31" s="66">
        <f t="shared" si="11"/>
        <v>83</v>
      </c>
      <c r="K31" s="584">
        <f t="shared" si="31"/>
        <v>2327</v>
      </c>
      <c r="L31" s="52">
        <f t="shared" si="12"/>
        <v>0</v>
      </c>
      <c r="M31" s="584">
        <f t="shared" si="32"/>
        <v>171613</v>
      </c>
      <c r="N31" s="396">
        <f t="shared" si="2"/>
        <v>0</v>
      </c>
      <c r="O31" s="64">
        <f t="shared" si="13"/>
        <v>1869</v>
      </c>
      <c r="P31" s="584">
        <v>2094</v>
      </c>
      <c r="Q31" s="584">
        <v>176055</v>
      </c>
      <c r="R31" s="395">
        <f t="shared" si="52"/>
        <v>23</v>
      </c>
      <c r="S31" s="52">
        <f t="shared" si="4"/>
        <v>1</v>
      </c>
      <c r="T31" s="67">
        <f t="shared" si="33"/>
        <v>0</v>
      </c>
      <c r="U31" s="402">
        <f t="shared" si="14"/>
        <v>2</v>
      </c>
      <c r="V31" s="62">
        <f t="shared" si="15"/>
        <v>106</v>
      </c>
      <c r="W31" s="400"/>
      <c r="X31" s="584">
        <f t="shared" si="17"/>
        <v>2469</v>
      </c>
      <c r="Y31" s="52">
        <f t="shared" si="18"/>
        <v>0</v>
      </c>
      <c r="Z31" s="584">
        <f t="shared" si="19"/>
        <v>138993</v>
      </c>
      <c r="AA31" s="65">
        <f t="shared" si="5"/>
        <v>0</v>
      </c>
      <c r="AB31" s="284">
        <f t="shared" si="100"/>
        <v>0</v>
      </c>
      <c r="AC31" s="584">
        <f t="shared" ref="AC31:AE31" si="124">AC30</f>
        <v>1936</v>
      </c>
      <c r="AD31" s="269">
        <f t="shared" si="6"/>
        <v>0</v>
      </c>
      <c r="AE31" s="584">
        <f t="shared" si="124"/>
        <v>365571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106</v>
      </c>
      <c r="AJ31" s="318">
        <f>-tanks!AW32</f>
        <v>106</v>
      </c>
      <c r="AK31" s="318">
        <f t="shared" si="23"/>
        <v>0</v>
      </c>
      <c r="AL31" s="318">
        <f t="shared" si="7"/>
        <v>2</v>
      </c>
      <c r="AM31" s="318">
        <f t="shared" si="24"/>
        <v>0</v>
      </c>
      <c r="AN31" s="584">
        <f t="shared" ref="AN31:AP31" si="125">AN30</f>
        <v>67</v>
      </c>
      <c r="AO31" s="320">
        <f t="shared" si="116"/>
        <v>2010.0000000000002</v>
      </c>
      <c r="AP31" s="584">
        <f t="shared" si="125"/>
        <v>55</v>
      </c>
      <c r="AQ31" s="320">
        <f t="shared" si="107"/>
        <v>1650.0000000000002</v>
      </c>
      <c r="AR31" s="584">
        <f t="shared" ref="AR31" si="126">AR30</f>
        <v>61</v>
      </c>
      <c r="AS31" s="320">
        <f t="shared" si="40"/>
        <v>1830</v>
      </c>
      <c r="AT31" s="320">
        <f t="shared" si="104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f t="shared" ref="B31:B35" si="127">B31</f>
        <v>177</v>
      </c>
      <c r="C32" s="584">
        <f t="shared" ref="C31:C35" si="128">C31</f>
        <v>184</v>
      </c>
      <c r="D32" s="45">
        <f t="shared" si="30"/>
        <v>0</v>
      </c>
      <c r="E32" s="45">
        <f t="shared" ref="E32" si="129">D32*8.38</f>
        <v>0</v>
      </c>
      <c r="F32" s="584">
        <f t="shared" si="9"/>
        <v>1839</v>
      </c>
      <c r="G32" s="52">
        <f t="shared" si="0"/>
        <v>0</v>
      </c>
      <c r="H32" s="584">
        <f t="shared" si="10"/>
        <v>13281</v>
      </c>
      <c r="I32" s="396">
        <f t="shared" si="1"/>
        <v>0</v>
      </c>
      <c r="J32" s="66">
        <f t="shared" si="11"/>
        <v>0</v>
      </c>
      <c r="K32" s="584">
        <f t="shared" si="31"/>
        <v>2327</v>
      </c>
      <c r="L32" s="52">
        <f t="shared" si="12"/>
        <v>0</v>
      </c>
      <c r="M32" s="584">
        <f t="shared" si="32"/>
        <v>171613</v>
      </c>
      <c r="N32" s="396">
        <f t="shared" si="2"/>
        <v>0</v>
      </c>
      <c r="O32" s="64">
        <f t="shared" si="13"/>
        <v>1869</v>
      </c>
      <c r="P32" s="584">
        <f t="shared" si="81"/>
        <v>2094</v>
      </c>
      <c r="Q32" s="584">
        <f t="shared" si="82"/>
        <v>176055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0</v>
      </c>
      <c r="V32" s="62">
        <f t="shared" si="15"/>
        <v>0</v>
      </c>
      <c r="W32" s="400"/>
      <c r="X32" s="584">
        <f t="shared" si="17"/>
        <v>2469</v>
      </c>
      <c r="Y32" s="52">
        <f t="shared" si="18"/>
        <v>0</v>
      </c>
      <c r="Z32" s="584">
        <f t="shared" si="19"/>
        <v>138993</v>
      </c>
      <c r="AA32" s="65">
        <f t="shared" si="5"/>
        <v>0</v>
      </c>
      <c r="AB32" s="284">
        <f t="shared" si="100"/>
        <v>0</v>
      </c>
      <c r="AC32" s="584">
        <f t="shared" ref="AC32:AE32" si="130">AC31</f>
        <v>1936</v>
      </c>
      <c r="AD32" s="269">
        <f t="shared" si="6"/>
        <v>0</v>
      </c>
      <c r="AE32" s="584">
        <f t="shared" si="130"/>
        <v>365571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0</v>
      </c>
      <c r="AJ32" s="318">
        <f>-tanks!AW33</f>
        <v>0</v>
      </c>
      <c r="AK32" s="318">
        <f t="shared" si="23"/>
        <v>0</v>
      </c>
      <c r="AL32" s="318">
        <f t="shared" si="7"/>
        <v>0</v>
      </c>
      <c r="AM32" s="318">
        <f t="shared" si="24"/>
        <v>0</v>
      </c>
      <c r="AN32" s="584">
        <f t="shared" ref="AN32:AP32" si="131">AN31</f>
        <v>67</v>
      </c>
      <c r="AO32" s="320">
        <f t="shared" si="116"/>
        <v>2010.0000000000002</v>
      </c>
      <c r="AP32" s="584">
        <f t="shared" si="131"/>
        <v>55</v>
      </c>
      <c r="AQ32" s="320">
        <f t="shared" si="107"/>
        <v>1650.0000000000002</v>
      </c>
      <c r="AR32" s="584">
        <f t="shared" ref="AR32" si="132">AR31</f>
        <v>61</v>
      </c>
      <c r="AS32" s="320">
        <f t="shared" si="40"/>
        <v>1830</v>
      </c>
      <c r="AT32" s="320">
        <f t="shared" si="104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f t="shared" si="127"/>
        <v>177</v>
      </c>
      <c r="C33" s="584">
        <f t="shared" si="128"/>
        <v>184</v>
      </c>
      <c r="D33" s="45">
        <f t="shared" ref="D33:D34" si="133">C32-C33</f>
        <v>0</v>
      </c>
      <c r="E33" s="45">
        <f t="shared" ref="E33:E34" si="134">D33*8.38</f>
        <v>0</v>
      </c>
      <c r="F33" s="584">
        <f t="shared" si="9"/>
        <v>1839</v>
      </c>
      <c r="G33" s="52">
        <f t="shared" ref="G33:G34" si="135">F33-F32</f>
        <v>0</v>
      </c>
      <c r="H33" s="584">
        <f t="shared" si="10"/>
        <v>13281</v>
      </c>
      <c r="I33" s="396">
        <f t="shared" ref="I33:I34" si="136">SUM(H33-H32)</f>
        <v>0</v>
      </c>
      <c r="J33" s="66">
        <f t="shared" ref="J33:J34" si="137">IF(G33&gt;0,I33/G33,0)</f>
        <v>0</v>
      </c>
      <c r="K33" s="584">
        <f t="shared" si="31"/>
        <v>2327</v>
      </c>
      <c r="L33" s="52">
        <f t="shared" ref="L33:L34" si="138">K33-K32</f>
        <v>0</v>
      </c>
      <c r="M33" s="584">
        <f t="shared" si="32"/>
        <v>171613</v>
      </c>
      <c r="N33" s="396">
        <f t="shared" ref="N33:N34" si="139">M33-M32</f>
        <v>0</v>
      </c>
      <c r="O33" s="64">
        <f t="shared" ref="O33" si="140">O32</f>
        <v>1869</v>
      </c>
      <c r="P33" s="584">
        <f t="shared" si="81"/>
        <v>2094</v>
      </c>
      <c r="Q33" s="584">
        <f t="shared" si="82"/>
        <v>176055</v>
      </c>
      <c r="R33" s="395">
        <f t="shared" ref="R33:R34" si="141">Q33-Q32</f>
        <v>0</v>
      </c>
      <c r="S33" s="52">
        <f t="shared" ref="S33:S34" si="142">SUM(P33-P32)</f>
        <v>0</v>
      </c>
      <c r="T33" s="67">
        <f t="shared" ref="T33:T34" si="143">SUM(S33*$T$2)</f>
        <v>0</v>
      </c>
      <c r="U33" s="402">
        <f t="shared" ref="U33:U34" si="144">SUM(G33+L33+S33)</f>
        <v>0</v>
      </c>
      <c r="V33" s="62">
        <f t="shared" ref="V33:V34" si="145">R33+N33+I33:I33</f>
        <v>0</v>
      </c>
      <c r="W33" s="400"/>
      <c r="X33" s="584">
        <f t="shared" si="17"/>
        <v>2469</v>
      </c>
      <c r="Y33" s="52">
        <f t="shared" ref="Y33:Y34" si="146">X33-X32</f>
        <v>0</v>
      </c>
      <c r="Z33" s="584">
        <f t="shared" si="19"/>
        <v>138993</v>
      </c>
      <c r="AA33" s="65">
        <f t="shared" ref="AA33:AA34" si="147">Z33-Z32</f>
        <v>0</v>
      </c>
      <c r="AB33" s="284">
        <f t="shared" ref="AB33:AB34" si="148">SUM(Y33*$AB$2)</f>
        <v>0</v>
      </c>
      <c r="AC33" s="584">
        <f t="shared" ref="AC33:AE33" si="149">AC32</f>
        <v>1936</v>
      </c>
      <c r="AD33" s="269">
        <f t="shared" ref="AD33:AD34" si="150">AC33-AC32</f>
        <v>0</v>
      </c>
      <c r="AE33" s="584">
        <f t="shared" si="149"/>
        <v>365571</v>
      </c>
      <c r="AF33" s="306">
        <f t="shared" ref="AF33:AF34" si="151">AE33-AE32</f>
        <v>0</v>
      </c>
      <c r="AG33" s="209">
        <f t="shared" ref="AG33:AG34" si="152">IF(AD33&gt;0,AF33/AD33,0)</f>
        <v>0</v>
      </c>
      <c r="AH33" s="62">
        <f t="shared" ref="AH33:AH34" si="153">AF33+AA33</f>
        <v>0</v>
      </c>
      <c r="AI33" s="318">
        <f t="shared" ref="AI33:AI34" si="154">SUM(AH33+V33)</f>
        <v>0</v>
      </c>
      <c r="AJ33" s="318">
        <f>-tanks!AW34</f>
        <v>0</v>
      </c>
      <c r="AK33" s="318">
        <f t="shared" ref="AK33:AK34" si="155">SUM(AJ33-AI33)</f>
        <v>0</v>
      </c>
      <c r="AL33" s="318">
        <f t="shared" ref="AL33:AL34" si="156">S33+L33+G33</f>
        <v>0</v>
      </c>
      <c r="AM33" s="318">
        <f t="shared" ref="AM33:AM34" si="157">Y33+AD33</f>
        <v>0</v>
      </c>
      <c r="AN33" s="584">
        <f t="shared" ref="AN33:AP33" si="158">AN32</f>
        <v>67</v>
      </c>
      <c r="AO33" s="320">
        <f t="shared" ref="AO33:AO34" si="159">(AN33/100)*3000</f>
        <v>2010.0000000000002</v>
      </c>
      <c r="AP33" s="584">
        <f t="shared" si="158"/>
        <v>55</v>
      </c>
      <c r="AQ33" s="320">
        <f t="shared" ref="AQ33:AQ34" si="160">(AP33/100)*3000</f>
        <v>1650.0000000000002</v>
      </c>
      <c r="AR33" s="584">
        <f t="shared" ref="AR33" si="161">AR32</f>
        <v>61</v>
      </c>
      <c r="AS33" s="320">
        <f t="shared" ref="AS33:AS34" si="162">(AR33/100)*3000</f>
        <v>1830</v>
      </c>
      <c r="AT33" s="320">
        <f t="shared" ref="AT33:AT34" si="163">SUM(AO33+AQ33+AS33)</f>
        <v>5490</v>
      </c>
      <c r="AU33" s="320">
        <f t="shared" ref="AU33:AU34" si="164">AT32-AT33+AV33</f>
        <v>0</v>
      </c>
      <c r="AV33" s="269"/>
      <c r="AW33" s="269"/>
      <c r="AX33" s="313">
        <f t="shared" ref="AX33:AX34" si="165">IF(AV33&gt;0,AW33,AX32)</f>
        <v>0.8</v>
      </c>
    </row>
    <row r="34" spans="1:50">
      <c r="A34" s="63">
        <f>ELEC!C32</f>
        <v>44346</v>
      </c>
      <c r="B34" s="584">
        <f t="shared" si="127"/>
        <v>177</v>
      </c>
      <c r="C34" s="584">
        <f t="shared" si="128"/>
        <v>184</v>
      </c>
      <c r="D34" s="45">
        <f t="shared" si="133"/>
        <v>0</v>
      </c>
      <c r="E34" s="45">
        <f t="shared" si="134"/>
        <v>0</v>
      </c>
      <c r="F34" s="584">
        <f t="shared" si="9"/>
        <v>1839</v>
      </c>
      <c r="G34" s="52">
        <f t="shared" si="135"/>
        <v>0</v>
      </c>
      <c r="H34" s="584">
        <f t="shared" si="10"/>
        <v>13281</v>
      </c>
      <c r="I34" s="396">
        <f t="shared" si="136"/>
        <v>0</v>
      </c>
      <c r="J34" s="66">
        <f t="shared" si="137"/>
        <v>0</v>
      </c>
      <c r="K34" s="584">
        <f t="shared" si="31"/>
        <v>2327</v>
      </c>
      <c r="L34" s="52">
        <f t="shared" si="138"/>
        <v>0</v>
      </c>
      <c r="M34" s="584">
        <f t="shared" si="32"/>
        <v>171613</v>
      </c>
      <c r="N34" s="396">
        <f t="shared" si="139"/>
        <v>0</v>
      </c>
      <c r="O34" s="64">
        <f t="shared" ref="O34:O35" si="166">O33</f>
        <v>1869</v>
      </c>
      <c r="P34" s="584">
        <f t="shared" si="81"/>
        <v>2094</v>
      </c>
      <c r="Q34" s="584">
        <f t="shared" si="82"/>
        <v>176055</v>
      </c>
      <c r="R34" s="395">
        <f t="shared" si="141"/>
        <v>0</v>
      </c>
      <c r="S34" s="52">
        <f t="shared" si="142"/>
        <v>0</v>
      </c>
      <c r="T34" s="67">
        <f t="shared" si="143"/>
        <v>0</v>
      </c>
      <c r="U34" s="402">
        <f t="shared" si="144"/>
        <v>0</v>
      </c>
      <c r="V34" s="62">
        <f t="shared" si="145"/>
        <v>0</v>
      </c>
      <c r="W34" s="400"/>
      <c r="X34" s="584">
        <f t="shared" si="17"/>
        <v>2469</v>
      </c>
      <c r="Y34" s="52">
        <f t="shared" si="146"/>
        <v>0</v>
      </c>
      <c r="Z34" s="584">
        <f t="shared" si="19"/>
        <v>138993</v>
      </c>
      <c r="AA34" s="65">
        <f t="shared" si="147"/>
        <v>0</v>
      </c>
      <c r="AB34" s="284">
        <f t="shared" si="148"/>
        <v>0</v>
      </c>
      <c r="AC34" s="584">
        <f t="shared" ref="AC34:AE35" si="167">AC33</f>
        <v>1936</v>
      </c>
      <c r="AD34" s="269">
        <f t="shared" si="150"/>
        <v>0</v>
      </c>
      <c r="AE34" s="584">
        <f t="shared" si="167"/>
        <v>365571</v>
      </c>
      <c r="AF34" s="306">
        <f t="shared" si="151"/>
        <v>0</v>
      </c>
      <c r="AG34" s="209">
        <f t="shared" si="152"/>
        <v>0</v>
      </c>
      <c r="AH34" s="62">
        <f t="shared" si="153"/>
        <v>0</v>
      </c>
      <c r="AI34" s="318">
        <f t="shared" si="154"/>
        <v>0</v>
      </c>
      <c r="AJ34" s="318">
        <f>-tanks!AW35</f>
        <v>0</v>
      </c>
      <c r="AK34" s="318">
        <f t="shared" si="155"/>
        <v>0</v>
      </c>
      <c r="AL34" s="318">
        <f t="shared" si="156"/>
        <v>0</v>
      </c>
      <c r="AM34" s="318">
        <f t="shared" si="157"/>
        <v>0</v>
      </c>
      <c r="AN34" s="584">
        <f t="shared" ref="AN34:AP35" si="168">AN33</f>
        <v>67</v>
      </c>
      <c r="AO34" s="320">
        <f t="shared" si="159"/>
        <v>2010.0000000000002</v>
      </c>
      <c r="AP34" s="584">
        <f t="shared" si="168"/>
        <v>55</v>
      </c>
      <c r="AQ34" s="320">
        <f t="shared" si="160"/>
        <v>1650.0000000000002</v>
      </c>
      <c r="AR34" s="584">
        <f t="shared" ref="AR34:AR35" si="169">AR33</f>
        <v>61</v>
      </c>
      <c r="AS34" s="320">
        <f t="shared" si="162"/>
        <v>1830</v>
      </c>
      <c r="AT34" s="320">
        <f t="shared" si="163"/>
        <v>5490</v>
      </c>
      <c r="AU34" s="320">
        <f t="shared" si="164"/>
        <v>0</v>
      </c>
      <c r="AV34" s="269"/>
      <c r="AW34" s="269"/>
      <c r="AX34" s="313">
        <f t="shared" si="165"/>
        <v>0.8</v>
      </c>
    </row>
    <row r="35" spans="1:50">
      <c r="A35" s="63">
        <f>ELEC!C33</f>
        <v>44347</v>
      </c>
      <c r="B35" s="584">
        <f t="shared" si="127"/>
        <v>177</v>
      </c>
      <c r="C35" s="584">
        <f t="shared" si="128"/>
        <v>184</v>
      </c>
      <c r="D35" s="45">
        <f t="shared" ref="D35" si="170">C34-C35</f>
        <v>0</v>
      </c>
      <c r="E35" s="45">
        <f t="shared" ref="E35" si="171">D35*8.38</f>
        <v>0</v>
      </c>
      <c r="F35" s="584">
        <f t="shared" si="9"/>
        <v>1839</v>
      </c>
      <c r="G35" s="52">
        <f t="shared" ref="G35" si="172">F35-F34</f>
        <v>0</v>
      </c>
      <c r="H35" s="584">
        <f t="shared" si="10"/>
        <v>13281</v>
      </c>
      <c r="I35" s="396">
        <f t="shared" ref="I35" si="173">SUM(H35-H34)</f>
        <v>0</v>
      </c>
      <c r="J35" s="66">
        <f t="shared" ref="J35" si="174">IF(G35&gt;0,I35/G35,0)</f>
        <v>0</v>
      </c>
      <c r="K35" s="584">
        <f t="shared" si="31"/>
        <v>2327</v>
      </c>
      <c r="L35" s="52">
        <f t="shared" ref="L35" si="175">K35-K34</f>
        <v>0</v>
      </c>
      <c r="M35" s="584">
        <f t="shared" si="32"/>
        <v>171613</v>
      </c>
      <c r="N35" s="396">
        <f t="shared" ref="N35" si="176">M35-M34</f>
        <v>0</v>
      </c>
      <c r="O35" s="64">
        <f t="shared" si="166"/>
        <v>1869</v>
      </c>
      <c r="P35" s="584">
        <f t="shared" si="81"/>
        <v>2094</v>
      </c>
      <c r="Q35" s="584">
        <f t="shared" si="82"/>
        <v>176055</v>
      </c>
      <c r="R35" s="395">
        <f t="shared" ref="R35" si="177">Q35-Q34</f>
        <v>0</v>
      </c>
      <c r="S35" s="52">
        <f t="shared" ref="S35" si="178">SUM(P35-P34)</f>
        <v>0</v>
      </c>
      <c r="T35" s="67">
        <f t="shared" ref="T35" si="179">SUM(S35*$T$2)</f>
        <v>0</v>
      </c>
      <c r="U35" s="402">
        <f t="shared" ref="U35" si="180">SUM(G35+L35+S35)</f>
        <v>0</v>
      </c>
      <c r="V35" s="62">
        <f t="shared" ref="V35" si="181">R35+N35+I35:I35</f>
        <v>0</v>
      </c>
      <c r="W35" s="400"/>
      <c r="X35" s="584">
        <f t="shared" si="17"/>
        <v>2469</v>
      </c>
      <c r="Y35" s="52">
        <f t="shared" ref="Y35" si="182">X35-X34</f>
        <v>0</v>
      </c>
      <c r="Z35" s="584">
        <f t="shared" si="19"/>
        <v>138993</v>
      </c>
      <c r="AA35" s="65">
        <f t="shared" ref="AA35" si="183">Z35-Z34</f>
        <v>0</v>
      </c>
      <c r="AB35" s="284">
        <f t="shared" ref="AB35" si="184">SUM(Y35*$AB$2)</f>
        <v>0</v>
      </c>
      <c r="AC35" s="584">
        <f t="shared" si="167"/>
        <v>1936</v>
      </c>
      <c r="AD35" s="269">
        <f t="shared" ref="AD35" si="185">AC35-AC34</f>
        <v>0</v>
      </c>
      <c r="AE35" s="584">
        <f t="shared" si="167"/>
        <v>365571</v>
      </c>
      <c r="AF35" s="306">
        <f t="shared" ref="AF35" si="186">AE35-AE34</f>
        <v>0</v>
      </c>
      <c r="AG35" s="209">
        <f t="shared" ref="AG35" si="187">IF(AD35&gt;0,AF35/AD35,0)</f>
        <v>0</v>
      </c>
      <c r="AH35" s="62">
        <f t="shared" ref="AH35" si="188">AF35+AA35</f>
        <v>0</v>
      </c>
      <c r="AI35" s="318">
        <f t="shared" ref="AI35" si="189">SUM(AH35+V35)</f>
        <v>0</v>
      </c>
      <c r="AJ35" s="318">
        <f>-tanks!AW37</f>
        <v>0</v>
      </c>
      <c r="AK35" s="318">
        <f t="shared" ref="AK35" si="190">SUM(AJ35-AI35)</f>
        <v>0</v>
      </c>
      <c r="AL35" s="318">
        <f t="shared" ref="AL35" si="191">S35+L35+G35</f>
        <v>0</v>
      </c>
      <c r="AM35" s="318">
        <f t="shared" ref="AM35" si="192">Y35+AD35</f>
        <v>0</v>
      </c>
      <c r="AN35" s="584">
        <f t="shared" si="168"/>
        <v>67</v>
      </c>
      <c r="AO35" s="320">
        <f t="shared" ref="AO35" si="193">(AN35/100)*3000</f>
        <v>2010.0000000000002</v>
      </c>
      <c r="AP35" s="584">
        <f t="shared" si="168"/>
        <v>55</v>
      </c>
      <c r="AQ35" s="320">
        <f t="shared" ref="AQ35" si="194">(AP35/100)*3000</f>
        <v>1650.0000000000002</v>
      </c>
      <c r="AR35" s="584">
        <f t="shared" si="169"/>
        <v>61</v>
      </c>
      <c r="AS35" s="320">
        <f t="shared" ref="AS35" si="195">(AR35/100)*3000</f>
        <v>1830</v>
      </c>
      <c r="AT35" s="320">
        <f t="shared" ref="AT35" si="196">SUM(AO35+AQ35+AS35)</f>
        <v>5490</v>
      </c>
      <c r="AU35" s="320">
        <f t="shared" ref="AU35" si="197">AT34-AT35+AV35</f>
        <v>0</v>
      </c>
      <c r="AV35" s="269"/>
      <c r="AW35" s="269"/>
      <c r="AX35" s="313">
        <f t="shared" ref="AX35" si="198">IF(AV35&gt;0,AW35,AX34)</f>
        <v>0.8</v>
      </c>
    </row>
    <row r="36" spans="1:50">
      <c r="J36" s="283">
        <f>SUM(J5:J32)/(COUNT(J5:J32)-COUNTIF(J5:J32,0))</f>
        <v>71.615384615384613</v>
      </c>
      <c r="V36" s="62">
        <f>SUM(V5:V32)</f>
        <v>3281</v>
      </c>
      <c r="AE36" s="71" t="s">
        <v>383</v>
      </c>
      <c r="AG36" s="344"/>
      <c r="AH36" s="62">
        <f>SUM(AH5:AH32)</f>
        <v>202.20000000001164</v>
      </c>
      <c r="AL36" s="62">
        <f>SUM(AL5:AL32)</f>
        <v>41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3483.2000000000116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22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8057178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80" t="s">
        <v>95</v>
      </c>
      <c r="AS2" s="681"/>
      <c r="AT2" s="681"/>
      <c r="AU2" s="681"/>
      <c r="AV2" s="682"/>
      <c r="AW2" s="680" t="s">
        <v>96</v>
      </c>
      <c r="AX2" s="681"/>
      <c r="AY2" s="682"/>
      <c r="AZ2" s="680" t="s">
        <v>98</v>
      </c>
      <c r="BA2" s="681"/>
      <c r="BB2" s="682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77" t="s">
        <v>126</v>
      </c>
      <c r="AO3" s="678"/>
      <c r="AP3" s="679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6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V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184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202.4</v>
      </c>
      <c r="BA18" s="426">
        <f t="shared" si="34"/>
        <v>466.9</v>
      </c>
      <c r="BB18" s="21">
        <f t="shared" si="35"/>
        <v>0</v>
      </c>
      <c r="BC18" s="21">
        <f t="shared" si="36"/>
        <v>0</v>
      </c>
      <c r="BD18" s="21">
        <f t="shared" si="36"/>
        <v>-31.900000000000034</v>
      </c>
      <c r="BE18" s="24">
        <f t="shared" si="37"/>
        <v>-31.900000000000034</v>
      </c>
      <c r="BF18" s="96">
        <f t="shared" si="8"/>
        <v>372.90000000000003</v>
      </c>
      <c r="BG18" s="82">
        <f t="shared" si="9"/>
        <v>-31.900000000000034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v>183</v>
      </c>
      <c r="AW19" s="5">
        <v>2.9</v>
      </c>
      <c r="AX19" s="201">
        <f t="shared" ref="AX19:AX35" si="46">AX18</f>
        <v>161</v>
      </c>
      <c r="AY19" s="426">
        <f t="shared" ref="AY19:AY21" si="47">AS19*AT19</f>
        <v>119.7</v>
      </c>
      <c r="AZ19" s="426">
        <f t="shared" ref="AZ19:AZ21" si="48">AU19*AV19</f>
        <v>201.3</v>
      </c>
      <c r="BA19" s="426">
        <f t="shared" ref="BA19:BA21" si="49">AW19*AX19</f>
        <v>466.9</v>
      </c>
      <c r="BB19" s="21">
        <f t="shared" ref="BB19:BB20" si="50">AY19-AY18</f>
        <v>0</v>
      </c>
      <c r="BC19" s="21">
        <f t="shared" ref="BC19:BC20" si="51">AZ19-AZ18</f>
        <v>-1.0999999999999943</v>
      </c>
      <c r="BD19" s="21">
        <f t="shared" ref="BD19:BD20" si="52">BA19-BA18</f>
        <v>0</v>
      </c>
      <c r="BE19" s="24">
        <f t="shared" ref="BE19:BE20" si="53">SUM(BB19:BD19)</f>
        <v>-1.0999999999999943</v>
      </c>
      <c r="BF19" s="96">
        <f t="shared" si="8"/>
        <v>1.0999999999999943</v>
      </c>
      <c r="BG19" s="82">
        <f t="shared" si="9"/>
        <v>-1.0999999999999943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7"/>
        <v>119.7</v>
      </c>
      <c r="AZ20" s="426">
        <f t="shared" si="48"/>
        <v>200.20000000000002</v>
      </c>
      <c r="BA20" s="426">
        <f t="shared" si="49"/>
        <v>443.7</v>
      </c>
      <c r="BB20" s="21">
        <f t="shared" si="50"/>
        <v>0</v>
      </c>
      <c r="BC20" s="21">
        <f t="shared" si="51"/>
        <v>-1.0999999999999943</v>
      </c>
      <c r="BD20" s="21">
        <f t="shared" si="52"/>
        <v>-23.199999999999989</v>
      </c>
      <c r="BE20" s="24">
        <f t="shared" si="53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7"/>
        <v>119.7</v>
      </c>
      <c r="AZ21" s="426">
        <f t="shared" si="48"/>
        <v>199.10000000000002</v>
      </c>
      <c r="BA21" s="426">
        <f t="shared" si="49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4">AS21</f>
        <v>0.9</v>
      </c>
      <c r="AT22" s="201">
        <f t="shared" si="54"/>
        <v>133</v>
      </c>
      <c r="AU22" s="425">
        <f t="shared" si="42"/>
        <v>1.1000000000000001</v>
      </c>
      <c r="AV22" s="201"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6768</v>
      </c>
      <c r="L23" s="274">
        <f t="shared" si="40"/>
        <v>2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-2</v>
      </c>
      <c r="AL23" s="327">
        <f t="shared" si="31"/>
        <v>0</v>
      </c>
      <c r="AM23" s="327">
        <f>'General information '!D23</f>
        <v>23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4"/>
        <v>0.9</v>
      </c>
      <c r="AT23" s="201">
        <v>130</v>
      </c>
      <c r="AU23" s="425">
        <f t="shared" si="42"/>
        <v>1.1000000000000001</v>
      </c>
      <c r="AV23" s="201">
        <v>180</v>
      </c>
      <c r="AW23" s="5">
        <v>2.9</v>
      </c>
      <c r="AX23" s="201">
        <v>126</v>
      </c>
      <c r="AY23" s="426">
        <f t="shared" si="7"/>
        <v>117</v>
      </c>
      <c r="AZ23" s="426">
        <f t="shared" si="33"/>
        <v>198.00000000000003</v>
      </c>
      <c r="BA23" s="426">
        <f t="shared" si="34"/>
        <v>365.4</v>
      </c>
      <c r="BB23" s="21">
        <f t="shared" si="35"/>
        <v>-2.7000000000000028</v>
      </c>
      <c r="BC23" s="21">
        <f t="shared" si="35"/>
        <v>-1.0999999999999943</v>
      </c>
      <c r="BD23" s="21">
        <f t="shared" si="35"/>
        <v>-29</v>
      </c>
      <c r="BE23" s="24">
        <f t="shared" si="37"/>
        <v>-32.799999999999997</v>
      </c>
      <c r="BF23" s="96">
        <f t="shared" si="8"/>
        <v>32.799999999999997</v>
      </c>
      <c r="BG23" s="82">
        <f t="shared" si="9"/>
        <v>-32.799999999999997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6769</v>
      </c>
      <c r="L24" s="274">
        <f t="shared" si="40"/>
        <v>1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v>472</v>
      </c>
      <c r="W24" s="324">
        <f t="shared" si="19"/>
        <v>1</v>
      </c>
      <c r="X24" s="5">
        <v>151832</v>
      </c>
      <c r="Y24" s="324">
        <f t="shared" si="41"/>
        <v>60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59</v>
      </c>
      <c r="AL24" s="327">
        <f t="shared" si="31"/>
        <v>-1</v>
      </c>
      <c r="AM24" s="327">
        <f>'General information '!D24</f>
        <v>23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4"/>
        <v>0.9</v>
      </c>
      <c r="AT24" s="201">
        <v>64</v>
      </c>
      <c r="AU24" s="425">
        <f t="shared" si="42"/>
        <v>1.1000000000000001</v>
      </c>
      <c r="AV24" s="201">
        <v>180</v>
      </c>
      <c r="AW24" s="5">
        <v>2.9</v>
      </c>
      <c r="AX24" s="201">
        <v>117</v>
      </c>
      <c r="AY24" s="426">
        <f t="shared" si="7"/>
        <v>57.6</v>
      </c>
      <c r="AZ24" s="426">
        <f t="shared" si="33"/>
        <v>198.00000000000003</v>
      </c>
      <c r="BA24" s="426">
        <f t="shared" si="34"/>
        <v>339.3</v>
      </c>
      <c r="BB24" s="21">
        <f t="shared" si="35"/>
        <v>-59.4</v>
      </c>
      <c r="BC24" s="21">
        <f t="shared" si="35"/>
        <v>0</v>
      </c>
      <c r="BD24" s="21">
        <f t="shared" si="35"/>
        <v>-26.099999999999966</v>
      </c>
      <c r="BE24" s="24">
        <f t="shared" si="37"/>
        <v>-85.499999999999972</v>
      </c>
      <c r="BF24" s="96">
        <f t="shared" si="8"/>
        <v>85.499999999999972</v>
      </c>
      <c r="BG24" s="82">
        <f t="shared" si="9"/>
        <v>-85.499999999999972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6769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472</v>
      </c>
      <c r="W25" s="324">
        <f t="shared" si="19"/>
        <v>0</v>
      </c>
      <c r="X25" s="5">
        <f t="shared" si="20"/>
        <v>151832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23.5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4"/>
        <v>0.9</v>
      </c>
      <c r="AT25" s="201">
        <f t="shared" si="54"/>
        <v>64</v>
      </c>
      <c r="AU25" s="425">
        <f t="shared" si="42"/>
        <v>1.1000000000000001</v>
      </c>
      <c r="AV25" s="201">
        <v>179</v>
      </c>
      <c r="AW25" s="5">
        <v>2.9</v>
      </c>
      <c r="AX25" s="201">
        <v>111</v>
      </c>
      <c r="AY25" s="426">
        <f t="shared" si="7"/>
        <v>57.6</v>
      </c>
      <c r="AZ25" s="426">
        <f t="shared" si="33"/>
        <v>196.9</v>
      </c>
      <c r="BA25" s="426">
        <f t="shared" si="34"/>
        <v>321.89999999999998</v>
      </c>
      <c r="BB25" s="21">
        <f t="shared" si="35"/>
        <v>0</v>
      </c>
      <c r="BC25" s="21">
        <f t="shared" si="35"/>
        <v>-1.1000000000000227</v>
      </c>
      <c r="BD25" s="21">
        <f t="shared" si="35"/>
        <v>-17.400000000000034</v>
      </c>
      <c r="BE25" s="24">
        <f t="shared" si="37"/>
        <v>-18.500000000000057</v>
      </c>
      <c r="BF25" s="96">
        <f t="shared" si="8"/>
        <v>18.500000000000057</v>
      </c>
      <c r="BG25" s="82">
        <f t="shared" si="9"/>
        <v>-18.500000000000057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6769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472</v>
      </c>
      <c r="W26" s="324">
        <f t="shared" si="19"/>
        <v>0</v>
      </c>
      <c r="X26" s="5">
        <f t="shared" si="20"/>
        <v>151832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24.5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4"/>
        <v>0.9</v>
      </c>
      <c r="AT26" s="201">
        <f t="shared" si="54"/>
        <v>64</v>
      </c>
      <c r="AU26" s="425">
        <f t="shared" si="42"/>
        <v>1.1000000000000001</v>
      </c>
      <c r="AV26" s="201">
        <v>178</v>
      </c>
      <c r="AW26" s="5">
        <v>2.9</v>
      </c>
      <c r="AX26" s="201">
        <v>108</v>
      </c>
      <c r="AY26" s="426">
        <v>108</v>
      </c>
      <c r="AZ26" s="426">
        <f t="shared" si="33"/>
        <v>195.8</v>
      </c>
      <c r="BA26" s="426">
        <f t="shared" si="34"/>
        <v>313.2</v>
      </c>
      <c r="BB26" s="21">
        <f t="shared" si="35"/>
        <v>50.4</v>
      </c>
      <c r="BC26" s="21">
        <f t="shared" si="35"/>
        <v>-1.0999999999999943</v>
      </c>
      <c r="BD26" s="21">
        <f t="shared" si="35"/>
        <v>-8.6999999999999886</v>
      </c>
      <c r="BE26" s="24">
        <f t="shared" si="37"/>
        <v>40.600000000000016</v>
      </c>
      <c r="BF26" s="96">
        <f t="shared" si="8"/>
        <v>-40.600000000000016</v>
      </c>
      <c r="BG26" s="82">
        <f t="shared" si="9"/>
        <v>40.600000000000016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6770</v>
      </c>
      <c r="L27" s="274">
        <f t="shared" si="40"/>
        <v>1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472</v>
      </c>
      <c r="W27" s="324">
        <f t="shared" si="19"/>
        <v>0</v>
      </c>
      <c r="X27" s="5">
        <f t="shared" si="20"/>
        <v>151832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-1</v>
      </c>
      <c r="AL27" s="327">
        <f t="shared" si="31"/>
        <v>0</v>
      </c>
      <c r="AM27" s="327">
        <f>'General information '!D27</f>
        <v>24.5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4"/>
        <v>0.9</v>
      </c>
      <c r="AT27" s="201">
        <v>120</v>
      </c>
      <c r="AU27" s="425">
        <f t="shared" si="42"/>
        <v>1.1000000000000001</v>
      </c>
      <c r="AV27" s="201">
        <v>177</v>
      </c>
      <c r="AW27" s="5">
        <v>2.9</v>
      </c>
      <c r="AX27" s="201">
        <v>105</v>
      </c>
      <c r="AY27" s="426">
        <f t="shared" si="7"/>
        <v>108</v>
      </c>
      <c r="AZ27" s="426">
        <f t="shared" si="33"/>
        <v>194.70000000000002</v>
      </c>
      <c r="BA27" s="426">
        <f t="shared" si="34"/>
        <v>304.5</v>
      </c>
      <c r="BB27" s="21">
        <f t="shared" si="35"/>
        <v>0</v>
      </c>
      <c r="BC27" s="21">
        <f t="shared" si="35"/>
        <v>-1.0999999999999943</v>
      </c>
      <c r="BD27" s="21">
        <f t="shared" si="35"/>
        <v>-8.6999999999999886</v>
      </c>
      <c r="BE27" s="24">
        <f t="shared" si="37"/>
        <v>-9.7999999999999829</v>
      </c>
      <c r="BF27" s="96">
        <f t="shared" si="8"/>
        <v>9.7999999999999829</v>
      </c>
      <c r="BG27" s="82">
        <f t="shared" si="9"/>
        <v>-9.7999999999999829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6770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472</v>
      </c>
      <c r="W28" s="324">
        <f t="shared" si="19"/>
        <v>0</v>
      </c>
      <c r="X28" s="5">
        <f t="shared" si="20"/>
        <v>151832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23.5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4"/>
        <v>0.9</v>
      </c>
      <c r="AT28" s="201">
        <v>120</v>
      </c>
      <c r="AU28" s="425">
        <f t="shared" si="42"/>
        <v>1.1000000000000001</v>
      </c>
      <c r="AV28" s="201">
        <v>176</v>
      </c>
      <c r="AW28" s="5">
        <v>2.9</v>
      </c>
      <c r="AX28" s="201">
        <v>102</v>
      </c>
      <c r="AY28" s="426">
        <f t="shared" si="7"/>
        <v>108</v>
      </c>
      <c r="AZ28" s="426">
        <f t="shared" si="33"/>
        <v>193.60000000000002</v>
      </c>
      <c r="BA28" s="426">
        <f t="shared" si="34"/>
        <v>295.8</v>
      </c>
      <c r="BB28" s="21">
        <f t="shared" si="35"/>
        <v>0</v>
      </c>
      <c r="BC28" s="21">
        <f t="shared" si="35"/>
        <v>-1.0999999999999943</v>
      </c>
      <c r="BD28" s="21">
        <f t="shared" si="35"/>
        <v>-8.6999999999999886</v>
      </c>
      <c r="BE28" s="24">
        <f t="shared" si="37"/>
        <v>-9.7999999999999829</v>
      </c>
      <c r="BF28" s="96">
        <f t="shared" si="8"/>
        <v>9.7999999999999829</v>
      </c>
      <c r="BG28" s="82">
        <f t="shared" si="9"/>
        <v>-9.7999999999999829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6770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472</v>
      </c>
      <c r="W29" s="324">
        <f t="shared" si="19"/>
        <v>0</v>
      </c>
      <c r="X29" s="5">
        <f t="shared" si="20"/>
        <v>151832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24.5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4"/>
        <v>0.9</v>
      </c>
      <c r="AT29" s="201">
        <f t="shared" si="54"/>
        <v>120</v>
      </c>
      <c r="AU29" s="425">
        <f t="shared" si="42"/>
        <v>1.1000000000000001</v>
      </c>
      <c r="AV29" s="201">
        <v>175</v>
      </c>
      <c r="AW29" s="5">
        <v>2.9</v>
      </c>
      <c r="AX29" s="201">
        <v>115</v>
      </c>
      <c r="AY29" s="426">
        <f t="shared" si="7"/>
        <v>108</v>
      </c>
      <c r="AZ29" s="426">
        <f t="shared" si="33"/>
        <v>192.50000000000003</v>
      </c>
      <c r="BA29" s="426">
        <f t="shared" si="34"/>
        <v>333.5</v>
      </c>
      <c r="BB29" s="21">
        <f t="shared" si="35"/>
        <v>0</v>
      </c>
      <c r="BC29" s="21">
        <f t="shared" si="35"/>
        <v>-1.0999999999999943</v>
      </c>
      <c r="BD29" s="21">
        <f t="shared" si="35"/>
        <v>37.699999999999989</v>
      </c>
      <c r="BE29" s="24">
        <f t="shared" si="37"/>
        <v>36.599999999999994</v>
      </c>
      <c r="BF29" s="96">
        <f t="shared" si="8"/>
        <v>-36.599999999999994</v>
      </c>
      <c r="BG29" s="82">
        <f t="shared" si="9"/>
        <v>36.599999999999994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6770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472</v>
      </c>
      <c r="W30" s="324">
        <f t="shared" si="19"/>
        <v>0</v>
      </c>
      <c r="X30" s="5">
        <f t="shared" si="20"/>
        <v>151832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24.5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4"/>
        <v>0.9</v>
      </c>
      <c r="AT30" s="201">
        <v>84</v>
      </c>
      <c r="AU30" s="425">
        <f t="shared" si="42"/>
        <v>1.1000000000000001</v>
      </c>
      <c r="AV30" s="201">
        <v>172</v>
      </c>
      <c r="AW30" s="5">
        <v>2.9</v>
      </c>
      <c r="AX30" s="201">
        <v>111</v>
      </c>
      <c r="AY30" s="426">
        <f t="shared" si="7"/>
        <v>75.600000000000009</v>
      </c>
      <c r="AZ30" s="426">
        <f t="shared" si="33"/>
        <v>189.20000000000002</v>
      </c>
      <c r="BA30" s="426">
        <f t="shared" si="34"/>
        <v>321.89999999999998</v>
      </c>
      <c r="BB30" s="21">
        <f t="shared" si="35"/>
        <v>-32.399999999999991</v>
      </c>
      <c r="BC30" s="21">
        <f t="shared" si="35"/>
        <v>-3.3000000000000114</v>
      </c>
      <c r="BD30" s="21">
        <f t="shared" si="35"/>
        <v>-11.600000000000023</v>
      </c>
      <c r="BE30" s="24">
        <f t="shared" si="37"/>
        <v>-47.300000000000026</v>
      </c>
      <c r="BF30" s="96">
        <f t="shared" si="8"/>
        <v>47.300000000000026</v>
      </c>
      <c r="BG30" s="82">
        <f t="shared" si="9"/>
        <v>-47.300000000000026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6773</v>
      </c>
      <c r="L31" s="274">
        <f t="shared" si="40"/>
        <v>3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v>474</v>
      </c>
      <c r="W31" s="324">
        <f t="shared" si="19"/>
        <v>2</v>
      </c>
      <c r="X31" s="5">
        <v>151834</v>
      </c>
      <c r="Y31" s="324">
        <f t="shared" si="41"/>
        <v>2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v>229.81</v>
      </c>
      <c r="AF31" s="83">
        <f t="shared" si="26"/>
        <v>3.0000000000001137E-2</v>
      </c>
      <c r="AG31" s="5">
        <v>2205.98</v>
      </c>
      <c r="AH31" s="83">
        <f>AG31-AG30</f>
        <v>0.36000000000012733</v>
      </c>
      <c r="AI31" s="83">
        <f>AF31+AH31</f>
        <v>0.39000000000012847</v>
      </c>
      <c r="AJ31" s="326">
        <f t="shared" si="30"/>
        <v>0</v>
      </c>
      <c r="AK31" s="327">
        <f t="shared" si="39"/>
        <v>-1</v>
      </c>
      <c r="AL31" s="327">
        <f t="shared" si="31"/>
        <v>-2</v>
      </c>
      <c r="AM31" s="327">
        <f>'General information '!D31</f>
        <v>24.5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4"/>
        <v>0.9</v>
      </c>
      <c r="AT31" s="201">
        <v>65</v>
      </c>
      <c r="AU31" s="425">
        <f t="shared" si="42"/>
        <v>1.1000000000000001</v>
      </c>
      <c r="AV31" s="201">
        <v>169</v>
      </c>
      <c r="AW31" s="5">
        <v>2.9</v>
      </c>
      <c r="AX31" s="201">
        <v>105</v>
      </c>
      <c r="AY31" s="426">
        <f t="shared" si="7"/>
        <v>58.5</v>
      </c>
      <c r="AZ31" s="426">
        <f t="shared" si="33"/>
        <v>185.9</v>
      </c>
      <c r="BA31" s="426">
        <f t="shared" si="34"/>
        <v>304.5</v>
      </c>
      <c r="BB31" s="21">
        <f t="shared" si="35"/>
        <v>-17.100000000000009</v>
      </c>
      <c r="BC31" s="21">
        <f t="shared" si="35"/>
        <v>-3.3000000000000114</v>
      </c>
      <c r="BD31" s="21">
        <f t="shared" si="35"/>
        <v>-17.399999999999977</v>
      </c>
      <c r="BE31" s="24">
        <f t="shared" si="37"/>
        <v>-37.799999999999997</v>
      </c>
      <c r="BF31" s="96">
        <f t="shared" si="8"/>
        <v>37.799999999999997</v>
      </c>
      <c r="BG31" s="82">
        <f t="shared" si="9"/>
        <v>-37.799999999999997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v>620151</v>
      </c>
      <c r="H32" s="5">
        <f t="shared" si="14"/>
        <v>435</v>
      </c>
      <c r="I32" s="5">
        <f t="shared" si="0"/>
        <v>435</v>
      </c>
      <c r="J32" s="334">
        <f t="shared" si="1"/>
        <v>0.55617352614015569</v>
      </c>
      <c r="K32" s="5">
        <f>'Swimming Pool quality check '!H32</f>
        <v>6773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474</v>
      </c>
      <c r="W32" s="324">
        <f t="shared" si="19"/>
        <v>0</v>
      </c>
      <c r="X32" s="5">
        <v>151905</v>
      </c>
      <c r="Y32" s="324">
        <f t="shared" si="41"/>
        <v>71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229.81</v>
      </c>
      <c r="AF32" s="83">
        <f t="shared" si="26"/>
        <v>0</v>
      </c>
      <c r="AG32" s="5">
        <f t="shared" si="27"/>
        <v>2205.98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71</v>
      </c>
      <c r="AL32" s="327">
        <f t="shared" si="31"/>
        <v>0</v>
      </c>
      <c r="AM32" s="327">
        <f>'General information '!D32</f>
        <v>23.5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4"/>
        <v>0.9</v>
      </c>
      <c r="AT32" s="201">
        <v>120</v>
      </c>
      <c r="AU32" s="425">
        <f t="shared" si="42"/>
        <v>1.1000000000000001</v>
      </c>
      <c r="AV32" s="201">
        <v>168</v>
      </c>
      <c r="AW32" s="5">
        <v>2.9</v>
      </c>
      <c r="AX32" s="201">
        <v>117</v>
      </c>
      <c r="AY32" s="426">
        <f t="shared" si="7"/>
        <v>108</v>
      </c>
      <c r="AZ32" s="426">
        <f t="shared" si="33"/>
        <v>184.8</v>
      </c>
      <c r="BA32" s="426">
        <f t="shared" si="34"/>
        <v>339.3</v>
      </c>
      <c r="BB32" s="21">
        <f t="shared" si="35"/>
        <v>49.5</v>
      </c>
      <c r="BC32" s="21">
        <f t="shared" si="35"/>
        <v>-1.0999999999999943</v>
      </c>
      <c r="BD32" s="21">
        <f t="shared" si="35"/>
        <v>34.800000000000011</v>
      </c>
      <c r="BE32" s="24">
        <f t="shared" si="37"/>
        <v>83.200000000000017</v>
      </c>
      <c r="BF32" s="96">
        <f t="shared" si="8"/>
        <v>351.79999999999995</v>
      </c>
      <c r="BG32" s="82">
        <f t="shared" si="9"/>
        <v>83.200000000000045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620151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6773</v>
      </c>
      <c r="L33" s="274">
        <f t="shared" si="40"/>
        <v>0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474</v>
      </c>
      <c r="W33" s="324">
        <f t="shared" si="19"/>
        <v>0</v>
      </c>
      <c r="X33" s="5">
        <f t="shared" si="20"/>
        <v>151905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229.81</v>
      </c>
      <c r="AF33" s="83">
        <f>AE33-AE32</f>
        <v>0</v>
      </c>
      <c r="AG33" s="5">
        <f t="shared" si="27"/>
        <v>2205.98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4"/>
        <v>0.9</v>
      </c>
      <c r="AT33" s="201">
        <f t="shared" si="54"/>
        <v>120</v>
      </c>
      <c r="AU33" s="425">
        <f t="shared" si="42"/>
        <v>1.1000000000000001</v>
      </c>
      <c r="AV33" s="201">
        <f t="shared" si="42"/>
        <v>168</v>
      </c>
      <c r="AW33" s="5">
        <v>2.9</v>
      </c>
      <c r="AX33" s="201">
        <f t="shared" si="46"/>
        <v>117</v>
      </c>
      <c r="AY33" s="426">
        <f t="shared" si="7"/>
        <v>108</v>
      </c>
      <c r="AZ33" s="426">
        <f t="shared" si="33"/>
        <v>184.8</v>
      </c>
      <c r="BA33" s="426">
        <f t="shared" si="34"/>
        <v>339.3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5">B34-B33</f>
        <v>0</v>
      </c>
      <c r="D34" s="419">
        <f t="shared" ref="D34:D35" si="56">C34/27</f>
        <v>0</v>
      </c>
      <c r="E34" s="333">
        <f>SUM((C34*$E$4)+(7500/'EDl log'!$A$37))</f>
        <v>241.93548387096774</v>
      </c>
      <c r="F34" s="327"/>
      <c r="G34" s="5">
        <f t="shared" si="13"/>
        <v>620151</v>
      </c>
      <c r="H34" s="5">
        <f t="shared" ref="H34:H35" si="57">G34-G33</f>
        <v>0</v>
      </c>
      <c r="I34" s="5">
        <f t="shared" ref="I34:I35" si="58">C34+H34</f>
        <v>0</v>
      </c>
      <c r="J34" s="334">
        <f t="shared" ref="J34:J35" si="59">IF(I34&gt;0,E34/I34,0)</f>
        <v>0</v>
      </c>
      <c r="K34" s="5">
        <f>'Swimming Pool quality check '!H34</f>
        <v>6773</v>
      </c>
      <c r="L34" s="274">
        <f t="shared" ref="L34:L35" si="60">K34-K33</f>
        <v>0</v>
      </c>
      <c r="M34" s="410">
        <f t="shared" si="15"/>
        <v>457.44</v>
      </c>
      <c r="N34" s="511">
        <f t="shared" ref="N34:N35" si="61">SUM(M34-M33)</f>
        <v>0</v>
      </c>
      <c r="O34" s="410">
        <f t="shared" si="16"/>
        <v>529.52</v>
      </c>
      <c r="P34" s="511">
        <f t="shared" ref="P34:P35" si="62">SUM(O34-O33)</f>
        <v>0</v>
      </c>
      <c r="Q34" s="511">
        <f t="shared" ref="Q34:Q35" si="63">SUM(P34+N34)</f>
        <v>0</v>
      </c>
      <c r="R34" s="513"/>
      <c r="S34" s="513"/>
      <c r="T34" s="5">
        <f t="shared" si="17"/>
        <v>5171</v>
      </c>
      <c r="U34" s="5">
        <f t="shared" ref="U34:U35" si="64">SUM(T34-T33)</f>
        <v>0</v>
      </c>
      <c r="V34" s="5">
        <f t="shared" si="18"/>
        <v>474</v>
      </c>
      <c r="W34" s="324">
        <f t="shared" ref="W34:W35" si="65">+V34-V33</f>
        <v>0</v>
      </c>
      <c r="X34" s="5">
        <f t="shared" si="20"/>
        <v>151905</v>
      </c>
      <c r="Y34" s="324">
        <f t="shared" ref="Y34:Y35" si="66">SUM(X34-X33)</f>
        <v>0</v>
      </c>
      <c r="Z34" s="5">
        <f t="shared" si="21"/>
        <v>98847</v>
      </c>
      <c r="AA34" s="83">
        <f t="shared" ref="AA34:AA35" si="67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8">AC34-AC33</f>
        <v>0</v>
      </c>
      <c r="AE34" s="5">
        <f t="shared" si="25"/>
        <v>229.81</v>
      </c>
      <c r="AF34" s="83">
        <f t="shared" ref="AF34:AF35" si="69">AE34-AE33</f>
        <v>0</v>
      </c>
      <c r="AG34" s="5">
        <f t="shared" si="27"/>
        <v>2205.98</v>
      </c>
      <c r="AH34" s="83">
        <f t="shared" ref="AH34:AH35" si="70">AG34-AG33</f>
        <v>0</v>
      </c>
      <c r="AI34" s="83">
        <f t="shared" ref="AI34:AI35" si="71">AF34+AH34</f>
        <v>0</v>
      </c>
      <c r="AJ34" s="326">
        <f t="shared" ref="AJ34:AJ35" si="72">+Z34-Z33</f>
        <v>0</v>
      </c>
      <c r="AK34" s="327">
        <f t="shared" ref="AK34:AK35" si="73">SUM(Y34-L34)</f>
        <v>0</v>
      </c>
      <c r="AL34" s="327">
        <f t="shared" ref="AL34:AL35" si="74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75">A34</f>
        <v>44345</v>
      </c>
      <c r="AS34" s="424">
        <f t="shared" ref="AS34:AT34" si="76">AS33</f>
        <v>0.9</v>
      </c>
      <c r="AT34" s="201">
        <f t="shared" si="76"/>
        <v>120</v>
      </c>
      <c r="AU34" s="425">
        <f t="shared" ref="AU34:AV34" si="77">AU33</f>
        <v>1.1000000000000001</v>
      </c>
      <c r="AV34" s="201">
        <f t="shared" si="77"/>
        <v>168</v>
      </c>
      <c r="AW34" s="5">
        <v>2.9</v>
      </c>
      <c r="AX34" s="201">
        <f t="shared" si="46"/>
        <v>117</v>
      </c>
      <c r="AY34" s="426">
        <f t="shared" ref="AY34:AY35" si="78">AS34*AT34</f>
        <v>108</v>
      </c>
      <c r="AZ34" s="426">
        <f t="shared" ref="AZ34:AZ35" si="79">AU34*AV34</f>
        <v>184.8</v>
      </c>
      <c r="BA34" s="426">
        <f t="shared" ref="BA34:BA35" si="80">AW34*AX34</f>
        <v>339.3</v>
      </c>
      <c r="BB34" s="21">
        <f t="shared" ref="BB34:BB35" si="81">AY34-AY33</f>
        <v>0</v>
      </c>
      <c r="BC34" s="21">
        <f t="shared" ref="BC34:BC35" si="82">AZ34-AZ33</f>
        <v>0</v>
      </c>
      <c r="BD34" s="21">
        <f t="shared" ref="BD34:BD35" si="83">BA34-BA33</f>
        <v>0</v>
      </c>
      <c r="BE34" s="24">
        <f t="shared" ref="BE34:BE35" si="84">SUM(BB34:BD34)</f>
        <v>0</v>
      </c>
      <c r="BF34" s="96">
        <f t="shared" ref="BF34:BF35" si="85">SUM(I34-BE34)</f>
        <v>0</v>
      </c>
      <c r="BG34" s="82">
        <f t="shared" ref="BG34:BG35" si="86">SUM(I34-BF34)</f>
        <v>0</v>
      </c>
    </row>
    <row r="35" spans="1:59" ht="15.75" thickBot="1">
      <c r="A35" s="6">
        <f>ELEC!C32</f>
        <v>44346</v>
      </c>
      <c r="B35" s="5">
        <f t="shared" si="10"/>
        <v>109443</v>
      </c>
      <c r="C35" s="5">
        <f t="shared" si="55"/>
        <v>0</v>
      </c>
      <c r="D35" s="419">
        <f t="shared" si="56"/>
        <v>0</v>
      </c>
      <c r="E35" s="333">
        <f>SUM((C35*$E$4)+(7500/'EDl log'!$A$37))</f>
        <v>241.93548387096774</v>
      </c>
      <c r="F35" s="327"/>
      <c r="G35" s="5">
        <f t="shared" si="13"/>
        <v>620151</v>
      </c>
      <c r="H35" s="5">
        <f t="shared" si="57"/>
        <v>0</v>
      </c>
      <c r="I35" s="5">
        <f t="shared" si="58"/>
        <v>0</v>
      </c>
      <c r="J35" s="334">
        <f t="shared" si="59"/>
        <v>0</v>
      </c>
      <c r="K35" s="5">
        <f>'Swimming Pool quality check '!H35</f>
        <v>6773</v>
      </c>
      <c r="L35" s="274">
        <f t="shared" si="60"/>
        <v>0</v>
      </c>
      <c r="M35" s="410">
        <f t="shared" si="15"/>
        <v>457.44</v>
      </c>
      <c r="N35" s="511">
        <f t="shared" si="61"/>
        <v>0</v>
      </c>
      <c r="O35" s="410">
        <f t="shared" si="16"/>
        <v>529.52</v>
      </c>
      <c r="P35" s="511">
        <f t="shared" si="62"/>
        <v>0</v>
      </c>
      <c r="Q35" s="511">
        <f t="shared" si="63"/>
        <v>0</v>
      </c>
      <c r="R35" s="513"/>
      <c r="S35" s="513"/>
      <c r="T35" s="5">
        <f t="shared" si="17"/>
        <v>5171</v>
      </c>
      <c r="U35" s="5">
        <f t="shared" si="64"/>
        <v>0</v>
      </c>
      <c r="V35" s="5">
        <f t="shared" si="18"/>
        <v>474</v>
      </c>
      <c r="W35" s="324">
        <f t="shared" si="65"/>
        <v>0</v>
      </c>
      <c r="X35" s="5">
        <f t="shared" si="20"/>
        <v>151905</v>
      </c>
      <c r="Y35" s="324">
        <f t="shared" si="66"/>
        <v>0</v>
      </c>
      <c r="Z35" s="5">
        <f t="shared" si="21"/>
        <v>98847</v>
      </c>
      <c r="AA35" s="83">
        <f t="shared" si="67"/>
        <v>0</v>
      </c>
      <c r="AB35" s="5">
        <f t="shared" si="23"/>
        <v>261</v>
      </c>
      <c r="AC35" s="5">
        <f t="shared" si="24"/>
        <v>731</v>
      </c>
      <c r="AD35" s="83">
        <f t="shared" si="68"/>
        <v>0</v>
      </c>
      <c r="AE35" s="5">
        <f t="shared" si="25"/>
        <v>229.81</v>
      </c>
      <c r="AF35" s="83">
        <f t="shared" si="69"/>
        <v>0</v>
      </c>
      <c r="AG35" s="5">
        <f t="shared" si="27"/>
        <v>2205.98</v>
      </c>
      <c r="AH35" s="83">
        <f t="shared" si="70"/>
        <v>0</v>
      </c>
      <c r="AI35" s="83">
        <f t="shared" si="71"/>
        <v>0</v>
      </c>
      <c r="AJ35" s="326">
        <f t="shared" si="72"/>
        <v>0</v>
      </c>
      <c r="AK35" s="327">
        <f t="shared" si="73"/>
        <v>0</v>
      </c>
      <c r="AL35" s="327">
        <f t="shared" si="74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5"/>
        <v>44346</v>
      </c>
      <c r="AS35" s="424">
        <f t="shared" ref="AS35:AT35" si="87">AS34</f>
        <v>0.9</v>
      </c>
      <c r="AT35" s="201">
        <f t="shared" si="87"/>
        <v>120</v>
      </c>
      <c r="AU35" s="425">
        <f t="shared" ref="AU35:AV35" si="88">AU34</f>
        <v>1.1000000000000001</v>
      </c>
      <c r="AV35" s="201">
        <f t="shared" si="88"/>
        <v>168</v>
      </c>
      <c r="AW35" s="5">
        <v>2.9</v>
      </c>
      <c r="AX35" s="201">
        <f t="shared" si="46"/>
        <v>117</v>
      </c>
      <c r="AY35" s="426">
        <f t="shared" si="78"/>
        <v>108</v>
      </c>
      <c r="AZ35" s="426">
        <f t="shared" si="79"/>
        <v>184.8</v>
      </c>
      <c r="BA35" s="426">
        <f t="shared" si="80"/>
        <v>339.3</v>
      </c>
      <c r="BB35" s="21">
        <f t="shared" si="81"/>
        <v>0</v>
      </c>
      <c r="BC35" s="21">
        <f t="shared" si="82"/>
        <v>0</v>
      </c>
      <c r="BD35" s="21">
        <f t="shared" si="83"/>
        <v>0</v>
      </c>
      <c r="BE35" s="24">
        <f t="shared" si="84"/>
        <v>0</v>
      </c>
      <c r="BF35" s="96">
        <f t="shared" si="85"/>
        <v>0</v>
      </c>
      <c r="BG35" s="82">
        <f t="shared" si="86"/>
        <v>0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89">B36-B35</f>
        <v>0</v>
      </c>
      <c r="D36" s="419">
        <f t="shared" ref="D36" si="90">C36/27</f>
        <v>0</v>
      </c>
      <c r="E36" s="333">
        <f>SUM((C36*$E$4)+(7500/'EDl log'!$A$37))</f>
        <v>241.93548387096774</v>
      </c>
      <c r="F36" s="327"/>
      <c r="G36" s="5">
        <f t="shared" si="13"/>
        <v>620151</v>
      </c>
      <c r="H36" s="5">
        <f t="shared" ref="H36" si="91">G36-G35</f>
        <v>0</v>
      </c>
      <c r="I36" s="5">
        <f t="shared" ref="I36" si="92">C36+H36</f>
        <v>0</v>
      </c>
      <c r="J36" s="334">
        <f t="shared" ref="J36" si="93">IF(I36&gt;0,E36/I36,0)</f>
        <v>0</v>
      </c>
      <c r="K36" s="5">
        <f>'Swimming Pool quality check '!H36</f>
        <v>6773</v>
      </c>
      <c r="L36" s="274">
        <f t="shared" ref="L36" si="94">K36-K35</f>
        <v>0</v>
      </c>
      <c r="M36" s="410">
        <f t="shared" si="15"/>
        <v>457.44</v>
      </c>
      <c r="N36" s="511">
        <f t="shared" ref="N36" si="95">SUM(M36-M35)</f>
        <v>0</v>
      </c>
      <c r="O36" s="410">
        <f t="shared" si="16"/>
        <v>529.52</v>
      </c>
      <c r="P36" s="511">
        <f t="shared" ref="P36" si="96">SUM(O36-O35)</f>
        <v>0</v>
      </c>
      <c r="Q36" s="511">
        <f t="shared" ref="Q36" si="97">SUM(P36+N36)</f>
        <v>0</v>
      </c>
      <c r="R36" s="513"/>
      <c r="S36" s="513"/>
      <c r="T36" s="5">
        <f t="shared" si="17"/>
        <v>5171</v>
      </c>
      <c r="U36" s="5">
        <f t="shared" ref="U36" si="98">SUM(T36-T35)</f>
        <v>0</v>
      </c>
      <c r="V36" s="5">
        <f t="shared" si="18"/>
        <v>474</v>
      </c>
      <c r="W36" s="324">
        <f t="shared" ref="W36" si="99">+V36-V35</f>
        <v>0</v>
      </c>
      <c r="X36" s="5">
        <f t="shared" si="20"/>
        <v>151905</v>
      </c>
      <c r="Y36" s="324">
        <f t="shared" ref="Y36" si="100">SUM(X36-X35)</f>
        <v>0</v>
      </c>
      <c r="Z36" s="5">
        <f t="shared" si="21"/>
        <v>98847</v>
      </c>
      <c r="AA36" s="83">
        <f t="shared" ref="AA36" si="101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2">AC36-AC35</f>
        <v>0</v>
      </c>
      <c r="AE36" s="5">
        <f>AE35</f>
        <v>229.81</v>
      </c>
      <c r="AF36" s="83">
        <f t="shared" ref="AF36" si="103">AE36-AE35</f>
        <v>0</v>
      </c>
      <c r="AG36" s="5">
        <f t="shared" si="27"/>
        <v>2205.98</v>
      </c>
      <c r="AH36" s="83">
        <f t="shared" ref="AH36" si="104">AG36-AG35</f>
        <v>0</v>
      </c>
      <c r="AI36" s="83">
        <f t="shared" ref="AI36" si="105">AF36+AH36</f>
        <v>0</v>
      </c>
      <c r="AJ36" s="326">
        <f t="shared" ref="AJ36" si="106">+Z36-Z35</f>
        <v>0</v>
      </c>
      <c r="AK36" s="327">
        <f t="shared" ref="AK36" si="107">SUM(Y36-L36)</f>
        <v>0</v>
      </c>
      <c r="AL36" s="327">
        <f t="shared" ref="AL36" si="108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609"/>
      <c r="AS36" s="610"/>
      <c r="AT36" s="201"/>
      <c r="AU36" s="611"/>
      <c r="AV36" s="612"/>
      <c r="AW36" s="608"/>
      <c r="AX36" s="612"/>
      <c r="AY36" s="613"/>
      <c r="AZ36" s="613"/>
      <c r="BA36" s="613"/>
      <c r="BB36" s="614"/>
      <c r="BC36" s="614"/>
      <c r="BD36" s="614"/>
      <c r="BE36" s="615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1660</v>
      </c>
      <c r="I37" s="412">
        <f>SUM(I6:I33)</f>
        <v>1660</v>
      </c>
      <c r="L37" s="268">
        <f>SUM(L7:L33)</f>
        <v>22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3</v>
      </c>
      <c r="AJ37" s="322">
        <f>SUM(AJ6:AJ33)</f>
        <v>79</v>
      </c>
      <c r="AK37" s="327">
        <f>SUM(Y37-L37)</f>
        <v>-19</v>
      </c>
      <c r="AL37" s="322">
        <f>SUM(AL6:AL33)</f>
        <v>75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1660</v>
      </c>
      <c r="Z38" s="322">
        <f>SUM(Y37:AJ37)</f>
        <v>82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1660</v>
      </c>
      <c r="H39" s="1">
        <f>SUM(H38+C38)</f>
        <v>7500</v>
      </c>
      <c r="K39" s="1">
        <f>SUM(H39/G39)</f>
        <v>4.5180722891566267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D1" zoomScale="120" zoomScaleNormal="120" workbookViewId="0">
      <pane ySplit="1" topLeftCell="A17" activePane="bottomLeft" state="frozen"/>
      <selection pane="bottomLeft" activeCell="S29" sqref="S29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[3]GEN!G32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[3]GEN!O32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[3]GEN!W32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3" si="15">R3</f>
        <v>12150</v>
      </c>
      <c r="S4" s="287">
        <f t="shared" si="4"/>
        <v>0</v>
      </c>
      <c r="T4" s="535">
        <f t="shared" ref="T4:T33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48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33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9391.9999999998254</v>
      </c>
      <c r="AE19" s="73">
        <f t="shared" si="24"/>
        <v>1043.5555555555361</v>
      </c>
      <c r="AF19" s="403">
        <f t="shared" si="25"/>
        <v>0.65222222222221005</v>
      </c>
      <c r="AG19" s="404">
        <f t="shared" si="26"/>
        <v>208.71111111110721</v>
      </c>
      <c r="AH19" s="404">
        <f t="shared" si="21"/>
        <v>-93.911111111105924</v>
      </c>
      <c r="AI19" s="73">
        <f t="shared" si="27"/>
        <v>2417.3502109704195</v>
      </c>
      <c r="AJ19" s="289">
        <f t="shared" si="7"/>
        <v>0.25738396624472576</v>
      </c>
      <c r="AK19" s="289">
        <f t="shared" si="31"/>
        <v>268.59446788560217</v>
      </c>
    </row>
    <row r="20" spans="1:37" ht="15.75" thickBot="1">
      <c r="A20" s="4">
        <f>ELEC!C20</f>
        <v>44334</v>
      </c>
      <c r="B20" s="534">
        <v>10026</v>
      </c>
      <c r="C20" s="287">
        <f>B20-B19</f>
        <v>11</v>
      </c>
      <c r="D20" s="270">
        <v>406672</v>
      </c>
      <c r="E20" s="287">
        <f t="shared" si="10"/>
        <v>1275</v>
      </c>
      <c r="F20" s="287">
        <f t="shared" si="0"/>
        <v>115.90909090909091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11</v>
      </c>
      <c r="AA20" s="287">
        <f t="shared" si="18"/>
        <v>1275</v>
      </c>
      <c r="AB20" s="287">
        <f t="shared" si="19"/>
        <v>365.90909090909088</v>
      </c>
      <c r="AC20" s="287">
        <f t="shared" si="20"/>
        <v>115.90909090909091</v>
      </c>
      <c r="AD20" s="73">
        <f>ELEC!Q20</f>
        <v>8787.0000000002619</v>
      </c>
      <c r="AE20" s="73">
        <f t="shared" si="24"/>
        <v>798.81818181820563</v>
      </c>
      <c r="AF20" s="403">
        <f t="shared" si="25"/>
        <v>0.49926136363637852</v>
      </c>
      <c r="AG20" s="404">
        <f t="shared" si="26"/>
        <v>159.76363636364113</v>
      </c>
      <c r="AH20" s="404">
        <f t="shared" si="21"/>
        <v>-43.85454545455022</v>
      </c>
      <c r="AI20" s="73">
        <f>AD20*AJ20</f>
        <v>2261.6329113924726</v>
      </c>
      <c r="AJ20" s="289">
        <f t="shared" si="7"/>
        <v>0.25738396624472576</v>
      </c>
      <c r="AK20" s="289">
        <f t="shared" si="31"/>
        <v>205.60299194477022</v>
      </c>
    </row>
    <row r="21" spans="1:37" ht="15.75" thickBot="1">
      <c r="A21" s="4">
        <f>ELEC!C21</f>
        <v>44335</v>
      </c>
      <c r="B21" s="534">
        <v>10042</v>
      </c>
      <c r="C21" s="287">
        <f t="shared" ref="C21" si="33">B21-B20</f>
        <v>16</v>
      </c>
      <c r="D21" s="270">
        <v>408288</v>
      </c>
      <c r="E21" s="287">
        <f t="shared" si="10"/>
        <v>1616</v>
      </c>
      <c r="F21" s="287">
        <f t="shared" si="0"/>
        <v>101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16</v>
      </c>
      <c r="AA21" s="287">
        <f t="shared" si="18"/>
        <v>1616</v>
      </c>
      <c r="AB21" s="287">
        <f t="shared" si="19"/>
        <v>351</v>
      </c>
      <c r="AC21" s="287">
        <f t="shared" si="20"/>
        <v>101</v>
      </c>
      <c r="AD21" s="73">
        <f>ELEC!Q21</f>
        <v>12245.999999999185</v>
      </c>
      <c r="AE21" s="73">
        <f t="shared" si="24"/>
        <v>765.37499999994907</v>
      </c>
      <c r="AF21" s="403">
        <f t="shared" si="25"/>
        <v>0.47835937499996817</v>
      </c>
      <c r="AG21" s="404">
        <f t="shared" si="26"/>
        <v>153.07499999998981</v>
      </c>
      <c r="AH21" s="404">
        <f t="shared" si="21"/>
        <v>-52.074999999989814</v>
      </c>
      <c r="AI21" s="73">
        <f t="shared" si="27"/>
        <v>3151.9240506327019</v>
      </c>
      <c r="AJ21" s="289">
        <f t="shared" si="7"/>
        <v>0.25738396624472576</v>
      </c>
      <c r="AK21" s="289">
        <f t="shared" si="31"/>
        <v>196.99525316454387</v>
      </c>
    </row>
    <row r="22" spans="1:37" ht="15.75" thickBot="1">
      <c r="A22" s="4">
        <f>ELEC!C22</f>
        <v>44336</v>
      </c>
      <c r="B22" s="534">
        <v>10052</v>
      </c>
      <c r="C22" s="287">
        <f t="shared" si="9"/>
        <v>10</v>
      </c>
      <c r="D22" s="535">
        <v>409524</v>
      </c>
      <c r="E22" s="287">
        <f>150*C22</f>
        <v>1500</v>
      </c>
      <c r="F22" s="287">
        <f t="shared" si="0"/>
        <v>150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4">IF(R22-X22&lt;=0,"ok","oil change")</f>
        <v>ok</v>
      </c>
      <c r="Z22" s="287">
        <f t="shared" si="6"/>
        <v>10</v>
      </c>
      <c r="AA22" s="287">
        <f t="shared" si="18"/>
        <v>1500</v>
      </c>
      <c r="AB22" s="287">
        <f t="shared" si="19"/>
        <v>400</v>
      </c>
      <c r="AC22" s="287">
        <f t="shared" si="20"/>
        <v>150</v>
      </c>
      <c r="AD22" s="73">
        <f>ELEC!Q22</f>
        <v>7336.9999999995343</v>
      </c>
      <c r="AE22" s="73">
        <f t="shared" si="24"/>
        <v>733.69999999995343</v>
      </c>
      <c r="AF22" s="403">
        <f t="shared" si="25"/>
        <v>0.4585624999999709</v>
      </c>
      <c r="AG22" s="404">
        <f t="shared" si="26"/>
        <v>146.73999999999069</v>
      </c>
      <c r="AH22" s="404">
        <f t="shared" si="21"/>
        <v>3.2600000000093132</v>
      </c>
      <c r="AI22" s="73">
        <f t="shared" si="27"/>
        <v>1888.426160337433</v>
      </c>
      <c r="AJ22" s="289">
        <f t="shared" si="7"/>
        <v>0.25738396624472576</v>
      </c>
      <c r="AK22" s="289">
        <f t="shared" si="31"/>
        <v>188.8426160337433</v>
      </c>
    </row>
    <row r="23" spans="1:37" ht="15.75" thickBot="1">
      <c r="A23" s="4">
        <f>ELEC!C23</f>
        <v>44337</v>
      </c>
      <c r="B23" s="534">
        <v>10054</v>
      </c>
      <c r="C23" s="287">
        <f t="shared" si="9"/>
        <v>2</v>
      </c>
      <c r="D23" s="535">
        <v>409912</v>
      </c>
      <c r="E23" s="287">
        <f>150*C23</f>
        <v>300</v>
      </c>
      <c r="F23" s="287">
        <f t="shared" si="0"/>
        <v>150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v>12182</v>
      </c>
      <c r="S23" s="287">
        <f>R23-R22</f>
        <v>10</v>
      </c>
      <c r="T23" s="535">
        <v>369837</v>
      </c>
      <c r="U23" s="287">
        <f t="shared" si="17"/>
        <v>2500</v>
      </c>
      <c r="V23" s="287">
        <v>250</v>
      </c>
      <c r="W23" s="196"/>
      <c r="X23" s="288">
        <f t="shared" si="23"/>
        <v>12192</v>
      </c>
      <c r="Y23" s="287" t="str">
        <f t="shared" si="34"/>
        <v>ok</v>
      </c>
      <c r="Z23" s="287">
        <f t="shared" si="6"/>
        <v>12</v>
      </c>
      <c r="AA23" s="287">
        <f t="shared" si="18"/>
        <v>2800</v>
      </c>
      <c r="AB23" s="287">
        <f t="shared" si="19"/>
        <v>400</v>
      </c>
      <c r="AC23" s="287">
        <f t="shared" si="20"/>
        <v>233.33333333333334</v>
      </c>
      <c r="AD23" s="73">
        <f>ELEC!Q23</f>
        <v>7952.000000001135</v>
      </c>
      <c r="AE23" s="73">
        <f t="shared" si="24"/>
        <v>662.66666666676122</v>
      </c>
      <c r="AF23" s="403">
        <f t="shared" si="25"/>
        <v>0.41416666666672575</v>
      </c>
      <c r="AG23" s="404">
        <f t="shared" si="26"/>
        <v>132.53333333335223</v>
      </c>
      <c r="AH23" s="404">
        <f t="shared" si="21"/>
        <v>100.79999999998111</v>
      </c>
      <c r="AI23" s="73">
        <f t="shared" si="27"/>
        <v>2046.7172995783515</v>
      </c>
      <c r="AJ23" s="289">
        <f t="shared" si="7"/>
        <v>0.25738396624472576</v>
      </c>
      <c r="AK23" s="289">
        <f t="shared" si="31"/>
        <v>170.55977496486261</v>
      </c>
    </row>
    <row r="24" spans="1:37" ht="15.75" thickBot="1">
      <c r="A24" s="4">
        <f>ELEC!C24</f>
        <v>44338</v>
      </c>
      <c r="B24" s="534">
        <v>10054</v>
      </c>
      <c r="C24" s="287">
        <f t="shared" si="9"/>
        <v>0</v>
      </c>
      <c r="D24" s="535">
        <f t="shared" ref="D24:D33" si="35">D23</f>
        <v>409912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v>12198</v>
      </c>
      <c r="S24" s="287">
        <f t="shared" si="4"/>
        <v>16</v>
      </c>
      <c r="T24" s="535">
        <v>373837</v>
      </c>
      <c r="U24" s="287">
        <f t="shared" si="17"/>
        <v>4000</v>
      </c>
      <c r="V24" s="287">
        <v>250</v>
      </c>
      <c r="W24" s="196"/>
      <c r="X24" s="288">
        <f t="shared" si="23"/>
        <v>12192</v>
      </c>
      <c r="Y24" s="287" t="str">
        <f t="shared" si="34"/>
        <v>oil change</v>
      </c>
      <c r="Z24" s="287">
        <f t="shared" si="6"/>
        <v>16</v>
      </c>
      <c r="AA24" s="287">
        <f t="shared" si="18"/>
        <v>4000</v>
      </c>
      <c r="AB24" s="287">
        <f t="shared" si="19"/>
        <v>250</v>
      </c>
      <c r="AC24" s="287">
        <f t="shared" si="20"/>
        <v>250</v>
      </c>
      <c r="AD24" s="73">
        <f>ELEC!Q24</f>
        <v>10546.999999998661</v>
      </c>
      <c r="AE24" s="73">
        <f t="shared" si="24"/>
        <v>659.18749999991633</v>
      </c>
      <c r="AF24" s="403">
        <f t="shared" si="25"/>
        <v>0.4119921874999477</v>
      </c>
      <c r="AG24" s="404">
        <f t="shared" si="26"/>
        <v>131.83749999998327</v>
      </c>
      <c r="AH24" s="404">
        <f t="shared" si="21"/>
        <v>118.16250000001673</v>
      </c>
      <c r="AI24" s="73">
        <f t="shared" si="27"/>
        <v>2714.628691982778</v>
      </c>
      <c r="AJ24" s="289">
        <f t="shared" si="7"/>
        <v>0.25738396624472576</v>
      </c>
      <c r="AK24" s="289">
        <f t="shared" si="31"/>
        <v>169.66429324892363</v>
      </c>
    </row>
    <row r="25" spans="1:37" ht="15.75" thickBot="1">
      <c r="A25" s="4">
        <f>ELEC!C25</f>
        <v>44339</v>
      </c>
      <c r="B25" s="534">
        <f t="shared" si="30"/>
        <v>10054</v>
      </c>
      <c r="C25" s="287">
        <f t="shared" si="9"/>
        <v>0</v>
      </c>
      <c r="D25" s="535">
        <f t="shared" si="35"/>
        <v>409912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v>12206</v>
      </c>
      <c r="S25" s="287">
        <f t="shared" si="4"/>
        <v>8</v>
      </c>
      <c r="T25" s="535">
        <v>375837</v>
      </c>
      <c r="U25" s="287">
        <f t="shared" si="17"/>
        <v>2000</v>
      </c>
      <c r="V25" s="287">
        <v>250</v>
      </c>
      <c r="W25" s="196"/>
      <c r="X25" s="288">
        <f t="shared" si="23"/>
        <v>12192</v>
      </c>
      <c r="Y25" s="287" t="str">
        <f t="shared" si="34"/>
        <v>oil change</v>
      </c>
      <c r="Z25" s="287">
        <f t="shared" si="6"/>
        <v>8</v>
      </c>
      <c r="AA25" s="287">
        <f t="shared" si="18"/>
        <v>2000</v>
      </c>
      <c r="AB25" s="287">
        <f t="shared" si="19"/>
        <v>250</v>
      </c>
      <c r="AC25" s="287">
        <f t="shared" si="20"/>
        <v>250</v>
      </c>
      <c r="AD25" s="73">
        <f>ELEC!Q25</f>
        <v>5534.9999999998545</v>
      </c>
      <c r="AE25" s="73">
        <f t="shared" si="24"/>
        <v>691.87499999998181</v>
      </c>
      <c r="AF25" s="403">
        <f t="shared" si="25"/>
        <v>0.43242187499998863</v>
      </c>
      <c r="AG25" s="404">
        <f t="shared" si="26"/>
        <v>138.37499999999636</v>
      </c>
      <c r="AH25" s="404">
        <f t="shared" si="21"/>
        <v>111.62500000000364</v>
      </c>
      <c r="AI25" s="73">
        <f t="shared" si="27"/>
        <v>1424.6202531645197</v>
      </c>
      <c r="AJ25" s="289">
        <f t="shared" si="7"/>
        <v>0.25738396624472576</v>
      </c>
      <c r="AK25" s="289">
        <f t="shared" si="31"/>
        <v>178.07753164556496</v>
      </c>
    </row>
    <row r="26" spans="1:37" ht="15.75" thickBot="1">
      <c r="A26" s="4">
        <f>ELEC!C26</f>
        <v>44340</v>
      </c>
      <c r="B26" s="534">
        <f t="shared" si="30"/>
        <v>10054</v>
      </c>
      <c r="C26" s="287">
        <f t="shared" si="9"/>
        <v>0</v>
      </c>
      <c r="D26" s="535">
        <f t="shared" si="35"/>
        <v>409912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v>12223</v>
      </c>
      <c r="S26" s="287">
        <f t="shared" si="4"/>
        <v>17</v>
      </c>
      <c r="T26" s="535">
        <v>380087</v>
      </c>
      <c r="U26" s="287">
        <f t="shared" si="17"/>
        <v>4250</v>
      </c>
      <c r="V26" s="287">
        <v>250</v>
      </c>
      <c r="W26" s="196"/>
      <c r="X26" s="288">
        <f t="shared" si="23"/>
        <v>12192</v>
      </c>
      <c r="Y26" s="287" t="str">
        <f t="shared" si="34"/>
        <v>oil change</v>
      </c>
      <c r="Z26" s="287">
        <f t="shared" si="6"/>
        <v>17</v>
      </c>
      <c r="AA26" s="287">
        <f t="shared" si="18"/>
        <v>4250</v>
      </c>
      <c r="AB26" s="287">
        <f t="shared" si="19"/>
        <v>250</v>
      </c>
      <c r="AC26" s="287">
        <f t="shared" si="20"/>
        <v>250</v>
      </c>
      <c r="AD26" s="73">
        <f>ELEC!Q26</f>
        <v>12454.000000001543</v>
      </c>
      <c r="AE26" s="73">
        <f t="shared" si="24"/>
        <v>732.5882352942084</v>
      </c>
      <c r="AF26" s="403">
        <f t="shared" si="25"/>
        <v>0.45786764705888028</v>
      </c>
      <c r="AG26" s="404">
        <f t="shared" si="26"/>
        <v>146.5176470588417</v>
      </c>
      <c r="AH26" s="404">
        <f t="shared" si="21"/>
        <v>103.4823529411583</v>
      </c>
      <c r="AI26" s="73">
        <f t="shared" si="27"/>
        <v>3205.4599156122117</v>
      </c>
      <c r="AJ26" s="289">
        <f t="shared" si="7"/>
        <v>0.25738396624472576</v>
      </c>
      <c r="AK26" s="289">
        <f t="shared" si="31"/>
        <v>188.55646562424775</v>
      </c>
    </row>
    <row r="27" spans="1:37" ht="15.75" thickBot="1">
      <c r="A27" s="4">
        <f>ELEC!C27</f>
        <v>44341</v>
      </c>
      <c r="B27" s="534">
        <v>10054</v>
      </c>
      <c r="C27" s="287">
        <f t="shared" si="9"/>
        <v>0</v>
      </c>
      <c r="D27" s="535">
        <f t="shared" si="35"/>
        <v>409912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v>12232</v>
      </c>
      <c r="S27" s="287">
        <f t="shared" si="4"/>
        <v>9</v>
      </c>
      <c r="T27" s="535">
        <f t="shared" si="16"/>
        <v>380087</v>
      </c>
      <c r="U27" s="287">
        <f t="shared" si="17"/>
        <v>2250</v>
      </c>
      <c r="V27" s="287">
        <v>250</v>
      </c>
      <c r="W27" s="196"/>
      <c r="X27" s="288">
        <v>12342</v>
      </c>
      <c r="Y27" s="287" t="str">
        <f t="shared" si="34"/>
        <v>ok</v>
      </c>
      <c r="Z27" s="287">
        <f t="shared" si="6"/>
        <v>9</v>
      </c>
      <c r="AA27" s="287">
        <f t="shared" si="18"/>
        <v>2250</v>
      </c>
      <c r="AB27" s="287">
        <f t="shared" si="19"/>
        <v>250</v>
      </c>
      <c r="AC27" s="287">
        <f t="shared" si="20"/>
        <v>250</v>
      </c>
      <c r="AD27" s="73">
        <f>ELEC!Q27</f>
        <v>6174.9999999992724</v>
      </c>
      <c r="AE27" s="73">
        <f t="shared" si="24"/>
        <v>686.11111111103025</v>
      </c>
      <c r="AF27" s="403">
        <f t="shared" si="25"/>
        <v>0.4288194444443939</v>
      </c>
      <c r="AG27" s="404">
        <f t="shared" si="26"/>
        <v>137.22222222220606</v>
      </c>
      <c r="AH27" s="404">
        <f t="shared" si="21"/>
        <v>112.77777777779394</v>
      </c>
      <c r="AI27" s="73">
        <f t="shared" si="27"/>
        <v>1589.3459915609942</v>
      </c>
      <c r="AJ27" s="289">
        <f t="shared" si="7"/>
        <v>0.25738396624472576</v>
      </c>
      <c r="AK27" s="289">
        <f t="shared" si="31"/>
        <v>176.5939990623327</v>
      </c>
    </row>
    <row r="28" spans="1:37" ht="15.75" thickBot="1">
      <c r="A28" s="4">
        <f>ELEC!C28</f>
        <v>44342</v>
      </c>
      <c r="B28" s="534">
        <v>10064</v>
      </c>
      <c r="C28" s="287">
        <f t="shared" si="9"/>
        <v>10</v>
      </c>
      <c r="D28" s="535">
        <v>411327</v>
      </c>
      <c r="E28" s="287">
        <f t="shared" si="10"/>
        <v>1415</v>
      </c>
      <c r="F28" s="287">
        <f t="shared" si="0"/>
        <v>141.5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v>12240</v>
      </c>
      <c r="S28" s="287">
        <f t="shared" si="4"/>
        <v>8</v>
      </c>
      <c r="T28" s="535">
        <v>382087</v>
      </c>
      <c r="U28" s="287">
        <f t="shared" si="17"/>
        <v>2000</v>
      </c>
      <c r="V28" s="287">
        <v>250</v>
      </c>
      <c r="W28" s="196"/>
      <c r="X28" s="288">
        <f t="shared" si="23"/>
        <v>12342</v>
      </c>
      <c r="Y28" s="287" t="str">
        <f t="shared" si="34"/>
        <v>ok</v>
      </c>
      <c r="Z28" s="287">
        <f t="shared" si="6"/>
        <v>18</v>
      </c>
      <c r="AA28" s="287">
        <f t="shared" si="18"/>
        <v>3415</v>
      </c>
      <c r="AB28" s="287">
        <f t="shared" si="19"/>
        <v>391.5</v>
      </c>
      <c r="AC28" s="287">
        <f t="shared" si="20"/>
        <v>189.72222222222223</v>
      </c>
      <c r="AD28" s="73">
        <f>ELEC!Q28</f>
        <v>13085.999999999331</v>
      </c>
      <c r="AE28" s="73">
        <f t="shared" si="24"/>
        <v>726.99999999996282</v>
      </c>
      <c r="AF28" s="403">
        <f t="shared" si="25"/>
        <v>0.45437499999997677</v>
      </c>
      <c r="AG28" s="404">
        <f t="shared" si="26"/>
        <v>145.39999999999256</v>
      </c>
      <c r="AH28" s="404">
        <f t="shared" si="21"/>
        <v>44.322222222229669</v>
      </c>
      <c r="AI28" s="73">
        <f t="shared" si="27"/>
        <v>3368.1265822783089</v>
      </c>
      <c r="AJ28" s="289">
        <f t="shared" si="7"/>
        <v>0.25738396624472576</v>
      </c>
      <c r="AK28" s="289">
        <f t="shared" si="31"/>
        <v>187.11814345990604</v>
      </c>
    </row>
    <row r="29" spans="1:37" ht="15.75" thickBot="1">
      <c r="A29" s="4">
        <f>ELEC!C29</f>
        <v>44343</v>
      </c>
      <c r="B29" s="534">
        <v>10077</v>
      </c>
      <c r="C29" s="287">
        <f t="shared" si="9"/>
        <v>13</v>
      </c>
      <c r="D29" s="535">
        <v>412973</v>
      </c>
      <c r="E29" s="287">
        <f>SUM(D29-D28)</f>
        <v>1646</v>
      </c>
      <c r="F29" s="287">
        <f t="shared" si="0"/>
        <v>126.61538461538461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12240</v>
      </c>
      <c r="S29" s="287">
        <f t="shared" si="4"/>
        <v>0</v>
      </c>
      <c r="T29" s="535">
        <f t="shared" si="16"/>
        <v>382087</v>
      </c>
      <c r="U29" s="287">
        <f t="shared" si="17"/>
        <v>0</v>
      </c>
      <c r="V29" s="287">
        <v>250</v>
      </c>
      <c r="W29" s="196"/>
      <c r="X29" s="288">
        <f t="shared" si="23"/>
        <v>12342</v>
      </c>
      <c r="Y29" s="287" t="str">
        <f t="shared" si="34"/>
        <v>ok</v>
      </c>
      <c r="Z29" s="287">
        <f t="shared" si="6"/>
        <v>13</v>
      </c>
      <c r="AA29" s="287">
        <f t="shared" si="18"/>
        <v>1646</v>
      </c>
      <c r="AB29" s="287">
        <f t="shared" si="19"/>
        <v>376.61538461538464</v>
      </c>
      <c r="AC29" s="287">
        <f t="shared" si="20"/>
        <v>126.61538461538461</v>
      </c>
      <c r="AD29" s="73">
        <f>ELEC!Q29</f>
        <v>9436.0000000015134</v>
      </c>
      <c r="AE29" s="73">
        <f t="shared" si="24"/>
        <v>725.84615384627023</v>
      </c>
      <c r="AF29" s="403">
        <f t="shared" si="25"/>
        <v>0.4536538461539189</v>
      </c>
      <c r="AG29" s="404">
        <f t="shared" si="26"/>
        <v>145.16923076925406</v>
      </c>
      <c r="AH29" s="404">
        <f t="shared" si="21"/>
        <v>-18.553846153869443</v>
      </c>
      <c r="AI29" s="73">
        <f t="shared" si="27"/>
        <v>2428.6751054856218</v>
      </c>
      <c r="AJ29" s="289">
        <f t="shared" si="7"/>
        <v>0.25738396624472576</v>
      </c>
      <c r="AK29" s="289">
        <f t="shared" si="31"/>
        <v>186.82116196043245</v>
      </c>
    </row>
    <row r="30" spans="1:37" ht="15.75" thickBot="1">
      <c r="A30" s="4">
        <f>ELEC!C30</f>
        <v>44344</v>
      </c>
      <c r="B30" s="534">
        <f t="shared" si="30"/>
        <v>10077</v>
      </c>
      <c r="C30" s="287">
        <f t="shared" si="9"/>
        <v>0</v>
      </c>
      <c r="D30" s="535">
        <f t="shared" si="35"/>
        <v>412973</v>
      </c>
      <c r="E30" s="287">
        <f t="shared" si="10"/>
        <v>0</v>
      </c>
      <c r="F30" s="287">
        <f t="shared" si="0"/>
        <v>0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12240</v>
      </c>
      <c r="S30" s="287">
        <f t="shared" si="4"/>
        <v>0</v>
      </c>
      <c r="T30" s="535">
        <f t="shared" si="16"/>
        <v>382087</v>
      </c>
      <c r="U30" s="287">
        <f t="shared" si="17"/>
        <v>0</v>
      </c>
      <c r="V30" s="287">
        <v>250</v>
      </c>
      <c r="W30" s="285"/>
      <c r="X30" s="288">
        <f t="shared" si="23"/>
        <v>12342</v>
      </c>
      <c r="Y30" s="287" t="str">
        <f t="shared" si="34"/>
        <v>ok</v>
      </c>
      <c r="Z30" s="287">
        <f t="shared" si="6"/>
        <v>0</v>
      </c>
      <c r="AA30" s="287">
        <f t="shared" si="18"/>
        <v>0</v>
      </c>
      <c r="AB30" s="287">
        <f t="shared" si="19"/>
        <v>250</v>
      </c>
      <c r="AC30" s="287">
        <f t="shared" si="20"/>
        <v>0</v>
      </c>
      <c r="AD30" s="73">
        <f>ELEC!Q30</f>
        <v>0</v>
      </c>
      <c r="AE30" s="73" t="e">
        <f t="shared" si="24"/>
        <v>#DIV/0!</v>
      </c>
      <c r="AF30" s="403" t="e">
        <f t="shared" si="25"/>
        <v>#DIV/0!</v>
      </c>
      <c r="AG30" s="404" t="e">
        <f t="shared" si="26"/>
        <v>#DIV/0!</v>
      </c>
      <c r="AH30" s="404" t="e">
        <f t="shared" si="21"/>
        <v>#DIV/0!</v>
      </c>
      <c r="AI30" s="73">
        <f t="shared" si="27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44345</v>
      </c>
      <c r="B31" s="534">
        <f t="shared" si="30"/>
        <v>10077</v>
      </c>
      <c r="C31" s="287">
        <f t="shared" ref="C31:C32" si="36">B31-B30</f>
        <v>0</v>
      </c>
      <c r="D31" s="535">
        <f t="shared" si="35"/>
        <v>412973</v>
      </c>
      <c r="E31" s="287">
        <f t="shared" ref="E31:E32" si="37">SUM(D31-D30)</f>
        <v>0</v>
      </c>
      <c r="F31" s="287">
        <f t="shared" ref="F31:F32" si="38">IF(C31&gt;0,E31/C31,0)</f>
        <v>0</v>
      </c>
      <c r="G31" s="338"/>
      <c r="H31" s="270">
        <f t="shared" si="22"/>
        <v>10105</v>
      </c>
      <c r="I31" s="287" t="str">
        <f t="shared" ref="I31:I32" si="39">IF(B31-H31&lt;=0,"ok","oil change")</f>
        <v>ok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12240</v>
      </c>
      <c r="S31" s="287">
        <f t="shared" ref="S31:S32" si="44">R31-R30</f>
        <v>0</v>
      </c>
      <c r="T31" s="535">
        <f t="shared" si="16"/>
        <v>382087</v>
      </c>
      <c r="U31" s="287">
        <f t="shared" si="17"/>
        <v>0</v>
      </c>
      <c r="V31" s="287">
        <v>250</v>
      </c>
      <c r="W31" s="338"/>
      <c r="X31" s="288">
        <f t="shared" si="23"/>
        <v>12342</v>
      </c>
      <c r="Y31" s="287" t="str">
        <f t="shared" ref="Y31:Y32" si="45">IF(R31-X31&lt;=0,"ok","oil change")</f>
        <v>ok</v>
      </c>
      <c r="Z31" s="287">
        <f t="shared" ref="Z31:Z32" si="46">C31+K31+S31</f>
        <v>0</v>
      </c>
      <c r="AA31" s="287">
        <f t="shared" ref="AA31:AA32" si="47">U31+M31+E31</f>
        <v>0</v>
      </c>
      <c r="AB31" s="287">
        <f t="shared" ref="AB31:AB32" si="48">V31+N31+F31</f>
        <v>250</v>
      </c>
      <c r="AC31" s="287">
        <f t="shared" ref="AC31:AC32" si="49">IF(Z31&gt;0,AA31/Z31,0)</f>
        <v>0</v>
      </c>
      <c r="AD31" s="73">
        <f>ELEC!Q31</f>
        <v>0</v>
      </c>
      <c r="AE31" s="73" t="e">
        <f t="shared" ref="AE31:AE32" si="50">SUM(AD31/Z31)</f>
        <v>#DIV/0!</v>
      </c>
      <c r="AF31" s="403" t="e">
        <f t="shared" ref="AF31:AF32" si="51">SUM(AE31/1600)</f>
        <v>#DIV/0!</v>
      </c>
      <c r="AG31" s="501" t="e">
        <f t="shared" ref="AG31:AG32" si="52">SUM(320*AF31)</f>
        <v>#DIV/0!</v>
      </c>
      <c r="AH31" s="501" t="e">
        <f t="shared" ref="AH31:AH32" si="53">SUM(AC31-AG31)</f>
        <v>#DIV/0!</v>
      </c>
      <c r="AI31" s="73">
        <f t="shared" ref="AI31:AI32" si="54">AD31*AJ31</f>
        <v>0</v>
      </c>
      <c r="AJ31" s="289">
        <f t="shared" si="7"/>
        <v>0.25738396624472576</v>
      </c>
      <c r="AK31" s="289">
        <f t="shared" ref="AK31:AK32" si="55">IF(Z31&gt;0,AI31/Z31,0)</f>
        <v>0</v>
      </c>
    </row>
    <row r="32" spans="1:37" ht="15.75" thickBot="1">
      <c r="A32" s="4">
        <f>ELEC!C32</f>
        <v>44346</v>
      </c>
      <c r="B32" s="534">
        <f t="shared" si="30"/>
        <v>10077</v>
      </c>
      <c r="C32" s="287">
        <f t="shared" si="36"/>
        <v>0</v>
      </c>
      <c r="D32" s="535">
        <f t="shared" si="35"/>
        <v>412973</v>
      </c>
      <c r="E32" s="287">
        <f t="shared" si="37"/>
        <v>0</v>
      </c>
      <c r="F32" s="287">
        <f t="shared" si="38"/>
        <v>0</v>
      </c>
      <c r="G32" s="338"/>
      <c r="H32" s="270">
        <f t="shared" si="22"/>
        <v>10105</v>
      </c>
      <c r="I32" s="287" t="str">
        <f t="shared" si="39"/>
        <v>ok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12240</v>
      </c>
      <c r="S32" s="287">
        <f t="shared" si="44"/>
        <v>0</v>
      </c>
      <c r="T32" s="535">
        <f t="shared" si="16"/>
        <v>382087</v>
      </c>
      <c r="U32" s="287">
        <f t="shared" si="17"/>
        <v>0</v>
      </c>
      <c r="V32" s="287">
        <v>250</v>
      </c>
      <c r="W32" s="338"/>
      <c r="X32" s="288">
        <f t="shared" si="23"/>
        <v>12342</v>
      </c>
      <c r="Y32" s="287" t="str">
        <f t="shared" si="45"/>
        <v>ok</v>
      </c>
      <c r="Z32" s="287">
        <f t="shared" si="46"/>
        <v>0</v>
      </c>
      <c r="AA32" s="287">
        <f t="shared" si="47"/>
        <v>0</v>
      </c>
      <c r="AB32" s="287">
        <f t="shared" si="48"/>
        <v>250</v>
      </c>
      <c r="AC32" s="287">
        <f t="shared" si="49"/>
        <v>0</v>
      </c>
      <c r="AD32" s="73">
        <f>ELEC!Q32</f>
        <v>0</v>
      </c>
      <c r="AE32" s="73" t="e">
        <f t="shared" si="50"/>
        <v>#DIV/0!</v>
      </c>
      <c r="AF32" s="403" t="e">
        <f t="shared" si="51"/>
        <v>#DIV/0!</v>
      </c>
      <c r="AG32" s="501" t="e">
        <f t="shared" si="52"/>
        <v>#DIV/0!</v>
      </c>
      <c r="AH32" s="501" t="e">
        <f t="shared" si="53"/>
        <v>#DIV/0!</v>
      </c>
      <c r="AI32" s="73">
        <f t="shared" si="54"/>
        <v>0</v>
      </c>
      <c r="AJ32" s="289">
        <f t="shared" si="7"/>
        <v>0.25738396624472576</v>
      </c>
      <c r="AK32" s="289">
        <f t="shared" si="55"/>
        <v>0</v>
      </c>
    </row>
    <row r="33" spans="1:37">
      <c r="A33" s="4">
        <f>ELEC!C33</f>
        <v>44347</v>
      </c>
      <c r="B33" s="534">
        <f t="shared" si="30"/>
        <v>10077</v>
      </c>
      <c r="C33" s="287">
        <f t="shared" ref="C33" si="56">B33-B32</f>
        <v>0</v>
      </c>
      <c r="D33" s="535">
        <f t="shared" si="35"/>
        <v>412973</v>
      </c>
      <c r="E33" s="287">
        <f t="shared" ref="E33" si="57">SUM(D33-D32)</f>
        <v>0</v>
      </c>
      <c r="F33" s="287">
        <f t="shared" ref="F33" si="58">IF(C33&gt;0,E33/C33,0)</f>
        <v>0</v>
      </c>
      <c r="G33" s="338"/>
      <c r="H33" s="270">
        <f t="shared" si="22"/>
        <v>10105</v>
      </c>
      <c r="I33" s="287" t="str">
        <f t="shared" ref="I33" si="59">IF(B33-H33&lt;=0,"ok","oil change")</f>
        <v>ok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f t="shared" si="15"/>
        <v>12240</v>
      </c>
      <c r="S33" s="287">
        <f t="shared" ref="S33" si="64">R33-R32</f>
        <v>0</v>
      </c>
      <c r="T33" s="535">
        <f t="shared" si="16"/>
        <v>382087</v>
      </c>
      <c r="U33" s="287">
        <f t="shared" ref="U33" si="65">V33*S33</f>
        <v>0</v>
      </c>
      <c r="V33" s="287">
        <v>250</v>
      </c>
      <c r="W33" s="338"/>
      <c r="X33" s="288">
        <f t="shared" si="23"/>
        <v>12342</v>
      </c>
      <c r="Y33" s="287" t="str">
        <f t="shared" ref="Y33" si="66">IF(R33-X33&lt;=0,"ok","oil change")</f>
        <v>ok</v>
      </c>
      <c r="Z33" s="287">
        <f t="shared" ref="Z33" si="67">C33+K33+S33</f>
        <v>0</v>
      </c>
      <c r="AA33" s="287">
        <f t="shared" ref="AA33" si="68">U33+M33+E33</f>
        <v>0</v>
      </c>
      <c r="AB33" s="287">
        <f t="shared" ref="AB33" si="69">V33+N33+F33</f>
        <v>250</v>
      </c>
      <c r="AC33" s="287">
        <f t="shared" ref="AC33" si="70">IF(Z33&gt;0,AA33/Z33,0)</f>
        <v>0</v>
      </c>
      <c r="AD33" s="73">
        <f>ELEC!Q33</f>
        <v>0</v>
      </c>
      <c r="AE33" s="73" t="e">
        <f t="shared" ref="AE33" si="71">SUM(AD33/Z33)</f>
        <v>#DIV/0!</v>
      </c>
      <c r="AF33" s="403" t="e">
        <f t="shared" ref="AF33" si="72">SUM(AE33/1600)</f>
        <v>#DIV/0!</v>
      </c>
      <c r="AG33" s="501" t="e">
        <f t="shared" ref="AG33" si="73">SUM(320*AF33)</f>
        <v>#DIV/0!</v>
      </c>
      <c r="AH33" s="501" t="e">
        <f t="shared" ref="AH33" si="74">SUM(AC33-AG33)</f>
        <v>#DIV/0!</v>
      </c>
      <c r="AI33" s="73">
        <f t="shared" ref="AI33" si="75">AD33*AJ33</f>
        <v>0</v>
      </c>
      <c r="AJ33" s="289">
        <f t="shared" si="7"/>
        <v>0.25738396624472576</v>
      </c>
      <c r="AK33" s="289">
        <f t="shared" ref="AK33" si="76">IF(Z33&gt;0,AI33/Z33,0)</f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274</v>
      </c>
      <c r="V34" s="40"/>
      <c r="X34">
        <v>341</v>
      </c>
      <c r="Z34" s="421">
        <f>SUM(Z3:Z33)</f>
        <v>274</v>
      </c>
    </row>
    <row r="35" spans="1:37">
      <c r="C35" s="40">
        <f>SUM(C3:C33)</f>
        <v>184</v>
      </c>
      <c r="K35" s="40">
        <f>SUM(K3:K33)</f>
        <v>0</v>
      </c>
      <c r="S35" s="40">
        <f>SUM(S3:S33)</f>
        <v>90</v>
      </c>
      <c r="U35" s="40"/>
      <c r="V35" s="40"/>
      <c r="X35" s="40"/>
    </row>
  </sheetData>
  <conditionalFormatting sqref="K3:K33 S3:S33 Z3:Z33 C3:C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3" zoomScale="90" zoomScaleNormal="90" workbookViewId="0">
      <pane xSplit="1" topLeftCell="AH1" activePane="topRight" state="frozen"/>
      <selection pane="topRight" activeCell="AS30" sqref="AS30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5" t="s">
        <v>108</v>
      </c>
      <c r="AS3" s="685" t="s">
        <v>233</v>
      </c>
      <c r="AT3" s="683" t="s">
        <v>301</v>
      </c>
      <c r="AU3" s="684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6"/>
      <c r="AS4" s="686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U5" s="529"/>
      <c r="AV5" s="289">
        <f>[4]tanks!AV35</f>
        <v>0.92</v>
      </c>
      <c r="AW5" s="289">
        <f>[4]tanks!AW35</f>
        <v>-169</v>
      </c>
      <c r="AX5" s="289">
        <f>[4]tanks!AX35</f>
        <v>-1434.3870967742259</v>
      </c>
      <c r="AY5" s="289">
        <f>[4]tanks!AY35</f>
        <v>-1603.3870967742259</v>
      </c>
      <c r="AZ5" s="502">
        <f>[4]tanks!AZ35</f>
        <v>0</v>
      </c>
      <c r="BA5" s="289">
        <f>[4]tanks!BA35</f>
        <v>23</v>
      </c>
      <c r="BB5" s="502">
        <f>[4]tanks!BB35</f>
        <v>0.56000000000000005</v>
      </c>
      <c r="BC5" s="529">
        <f>[5]tanks!BC36</f>
        <v>0</v>
      </c>
      <c r="BD5" s="529">
        <f>[5]tanks!BD36</f>
        <v>19222</v>
      </c>
      <c r="BE5" s="529" t="e">
        <f>[5]tanks!BE36</f>
        <v>#REF!</v>
      </c>
      <c r="BF5" s="529">
        <f>[5]tanks!BF36</f>
        <v>0</v>
      </c>
      <c r="BG5" s="529" t="e">
        <f>[5]tanks!BG36</f>
        <v>#REF!</v>
      </c>
      <c r="BH5" s="529">
        <f>[6]tanks!BH36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593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593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593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593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593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593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593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593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593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593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51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593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593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593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593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593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2417.3502109704195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593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2261.6329113924726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17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39"/>
        <v>-2690.0967741935383</v>
      </c>
      <c r="AT23" s="271"/>
      <c r="AU23" s="593"/>
      <c r="AV23" s="515">
        <f t="shared" si="43"/>
        <v>0.94</v>
      </c>
      <c r="AW23" s="290">
        <f>-SUM('B5'!AI22)</f>
        <v>-136</v>
      </c>
      <c r="AX23" s="290">
        <f t="shared" si="40"/>
        <v>-2554.0967741935383</v>
      </c>
      <c r="AY23" s="37">
        <f t="shared" si="41"/>
        <v>-2690.0967741935383</v>
      </c>
      <c r="AZ23" s="100">
        <f>ELEC!A20</f>
        <v>0</v>
      </c>
      <c r="BA23" s="118">
        <f>'General information '!D23</f>
        <v>23</v>
      </c>
      <c r="BB23" s="394">
        <f>SUM('General information '!E23)</f>
        <v>0.34</v>
      </c>
      <c r="BC23" s="3">
        <f t="shared" si="44"/>
        <v>0</v>
      </c>
      <c r="BD23" s="102">
        <v>19222</v>
      </c>
      <c r="BE23" s="14">
        <f>(305/1185)*ELEC!Q21</f>
        <v>3151.9240506327019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3">
        <f t="shared" si="37"/>
        <v>0.56679747542564884</v>
      </c>
      <c r="AR24" s="38">
        <f t="shared" si="38"/>
        <v>52695.161290322576</v>
      </c>
      <c r="AS24" s="197">
        <f t="shared" si="39"/>
        <v>-2690.0967741935601</v>
      </c>
      <c r="AT24" s="271"/>
      <c r="AU24" s="593"/>
      <c r="AV24" s="515">
        <f t="shared" si="43"/>
        <v>0.94</v>
      </c>
      <c r="AW24" s="290">
        <f>-SUM('B5'!AI23)</f>
        <v>-95</v>
      </c>
      <c r="AX24" s="290">
        <f t="shared" si="40"/>
        <v>-2595.0967741935601</v>
      </c>
      <c r="AY24" s="37">
        <f t="shared" si="41"/>
        <v>-2690.0967741935601</v>
      </c>
      <c r="AZ24" s="100">
        <f>ELEC!A21</f>
        <v>0</v>
      </c>
      <c r="BA24" s="118">
        <f>'General information '!D24</f>
        <v>23</v>
      </c>
      <c r="BB24" s="394">
        <f>SUM('General information '!E24)</f>
        <v>0.73</v>
      </c>
      <c r="BC24" s="3">
        <f t="shared" si="44"/>
        <v>0</v>
      </c>
      <c r="BD24" s="102">
        <v>19222</v>
      </c>
      <c r="BE24" s="14">
        <f>(305/1185)*ELEC!Q22</f>
        <v>1888.426160337433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203</v>
      </c>
      <c r="C25" s="203">
        <f t="shared" si="18"/>
        <v>4367.7741935483873</v>
      </c>
      <c r="D25">
        <f t="shared" si="19"/>
        <v>203</v>
      </c>
      <c r="E25" s="203">
        <f t="shared" si="18"/>
        <v>4367.7741935483873</v>
      </c>
      <c r="F25">
        <f t="shared" si="20"/>
        <v>203</v>
      </c>
      <c r="G25" s="203">
        <f t="shared" si="1"/>
        <v>4367.7741935483873</v>
      </c>
      <c r="H25" s="203">
        <f t="shared" si="21"/>
        <v>203</v>
      </c>
      <c r="I25" s="203">
        <f t="shared" si="2"/>
        <v>4367.7741935483873</v>
      </c>
      <c r="J25" s="203">
        <f t="shared" si="22"/>
        <v>203</v>
      </c>
      <c r="K25" s="203">
        <f t="shared" si="3"/>
        <v>4367.7741935483873</v>
      </c>
      <c r="L25" s="203">
        <f t="shared" si="23"/>
        <v>203</v>
      </c>
      <c r="M25" s="203">
        <f t="shared" si="4"/>
        <v>4367.7741935483873</v>
      </c>
      <c r="N25" s="203">
        <f t="shared" si="24"/>
        <v>203</v>
      </c>
      <c r="O25" s="203">
        <f t="shared" si="5"/>
        <v>4367.7741935483873</v>
      </c>
      <c r="P25" s="203">
        <f t="shared" si="25"/>
        <v>203</v>
      </c>
      <c r="Q25" s="203">
        <f t="shared" si="6"/>
        <v>4367.7741935483873</v>
      </c>
      <c r="R25" s="203">
        <f t="shared" si="26"/>
        <v>203</v>
      </c>
      <c r="S25" s="203">
        <f t="shared" si="7"/>
        <v>4367.7741935483873</v>
      </c>
      <c r="T25" s="203">
        <f t="shared" si="27"/>
        <v>203</v>
      </c>
      <c r="U25" s="203">
        <f t="shared" si="8"/>
        <v>4367.7741935483873</v>
      </c>
      <c r="V25" s="203">
        <f t="shared" si="28"/>
        <v>203</v>
      </c>
      <c r="W25" s="203">
        <f t="shared" si="9"/>
        <v>4367.7741935483873</v>
      </c>
      <c r="X25" s="35">
        <f t="shared" si="10"/>
        <v>0.65483870967741931</v>
      </c>
      <c r="Y25" s="36">
        <f t="shared" si="29"/>
        <v>48045.516129032258</v>
      </c>
      <c r="Z25" s="203">
        <f>'B5'!C24</f>
        <v>210</v>
      </c>
      <c r="AA25" s="203">
        <f t="shared" si="30"/>
        <v>2100</v>
      </c>
      <c r="AB25" s="203">
        <f t="shared" si="31"/>
        <v>210</v>
      </c>
      <c r="AC25" s="203">
        <f t="shared" si="30"/>
        <v>2100</v>
      </c>
      <c r="AD25" s="203">
        <f t="shared" si="32"/>
        <v>210</v>
      </c>
      <c r="AE25" s="203">
        <f t="shared" si="11"/>
        <v>2100</v>
      </c>
      <c r="AF25" s="203">
        <f t="shared" si="33"/>
        <v>210</v>
      </c>
      <c r="AG25" s="203">
        <f t="shared" si="12"/>
        <v>2100</v>
      </c>
      <c r="AH25" s="203">
        <f t="shared" si="34"/>
        <v>210</v>
      </c>
      <c r="AI25" s="203">
        <f t="shared" si="13"/>
        <v>2100</v>
      </c>
      <c r="AJ25" s="203">
        <f t="shared" si="35"/>
        <v>210</v>
      </c>
      <c r="AK25" s="203">
        <f t="shared" si="14"/>
        <v>2100</v>
      </c>
      <c r="AL25" s="203">
        <f t="shared" si="36"/>
        <v>210</v>
      </c>
      <c r="AM25" s="203">
        <f t="shared" si="15"/>
        <v>2100</v>
      </c>
      <c r="AN25" s="35">
        <f t="shared" si="16"/>
        <v>0.75</v>
      </c>
      <c r="AO25" s="36">
        <f t="shared" si="17"/>
        <v>14700</v>
      </c>
      <c r="AQ25" s="223">
        <f t="shared" si="37"/>
        <v>0.67490067902583906</v>
      </c>
      <c r="AR25" s="38">
        <f t="shared" si="38"/>
        <v>62745.516129032258</v>
      </c>
      <c r="AS25" s="197">
        <f t="shared" si="39"/>
        <v>-1618.4451612903176</v>
      </c>
      <c r="AT25" s="271">
        <v>11668.8</v>
      </c>
      <c r="AU25" s="651">
        <v>1.0029999999999999</v>
      </c>
      <c r="AV25" s="515">
        <f t="shared" si="43"/>
        <v>1.0029999999999999</v>
      </c>
      <c r="AW25" s="290">
        <f>-SUM('B5'!AI24)</f>
        <v>-63</v>
      </c>
      <c r="AX25" s="290">
        <f t="shared" si="40"/>
        <v>-1555.4451612903176</v>
      </c>
      <c r="AY25" s="37">
        <f t="shared" si="41"/>
        <v>-1618.4451612903176</v>
      </c>
      <c r="AZ25" s="100">
        <f>ELEC!A22</f>
        <v>0</v>
      </c>
      <c r="BA25" s="118">
        <f>'General information '!D25</f>
        <v>23.5</v>
      </c>
      <c r="BB25" s="394">
        <f>SUM('General information '!E25)</f>
        <v>0.77</v>
      </c>
      <c r="BC25" s="3">
        <f t="shared" si="44"/>
        <v>1</v>
      </c>
      <c r="BD25" s="102">
        <v>19222</v>
      </c>
      <c r="BE25" s="14">
        <f>(305/1185)*ELEC!Q23</f>
        <v>2046.7172995783515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194</v>
      </c>
      <c r="C26" s="203">
        <f t="shared" si="18"/>
        <v>4174.1290322580644</v>
      </c>
      <c r="D26">
        <f t="shared" si="19"/>
        <v>194</v>
      </c>
      <c r="E26" s="203">
        <f t="shared" si="18"/>
        <v>4174.1290322580644</v>
      </c>
      <c r="F26">
        <f t="shared" si="20"/>
        <v>194</v>
      </c>
      <c r="G26" s="203">
        <f t="shared" si="1"/>
        <v>4174.1290322580644</v>
      </c>
      <c r="H26" s="203">
        <f t="shared" si="21"/>
        <v>194</v>
      </c>
      <c r="I26" s="203">
        <f t="shared" si="2"/>
        <v>4174.1290322580644</v>
      </c>
      <c r="J26" s="203">
        <f t="shared" si="22"/>
        <v>194</v>
      </c>
      <c r="K26" s="203">
        <f t="shared" si="3"/>
        <v>4174.1290322580644</v>
      </c>
      <c r="L26" s="203">
        <f t="shared" si="23"/>
        <v>194</v>
      </c>
      <c r="M26" s="203">
        <f t="shared" si="4"/>
        <v>4174.1290322580644</v>
      </c>
      <c r="N26" s="203">
        <f t="shared" si="24"/>
        <v>194</v>
      </c>
      <c r="O26" s="203">
        <f t="shared" si="5"/>
        <v>4174.1290322580644</v>
      </c>
      <c r="P26" s="203">
        <f t="shared" si="25"/>
        <v>194</v>
      </c>
      <c r="Q26" s="203">
        <f t="shared" si="6"/>
        <v>4174.1290322580644</v>
      </c>
      <c r="R26" s="203">
        <f t="shared" si="26"/>
        <v>194</v>
      </c>
      <c r="S26" s="203">
        <f t="shared" si="7"/>
        <v>4174.1290322580644</v>
      </c>
      <c r="T26" s="203">
        <f t="shared" si="27"/>
        <v>194</v>
      </c>
      <c r="U26" s="203">
        <f t="shared" si="8"/>
        <v>4174.1290322580644</v>
      </c>
      <c r="V26" s="203">
        <f t="shared" si="28"/>
        <v>194</v>
      </c>
      <c r="W26" s="203">
        <f t="shared" si="9"/>
        <v>4174.1290322580644</v>
      </c>
      <c r="X26" s="35">
        <f t="shared" si="10"/>
        <v>0.62580645161290305</v>
      </c>
      <c r="Y26" s="36">
        <f t="shared" si="29"/>
        <v>45915.419354838697</v>
      </c>
      <c r="Z26" s="203">
        <f>'B5'!C25</f>
        <v>201</v>
      </c>
      <c r="AA26" s="203">
        <f t="shared" si="30"/>
        <v>2010</v>
      </c>
      <c r="AB26" s="203">
        <f t="shared" si="31"/>
        <v>201</v>
      </c>
      <c r="AC26" s="203">
        <f t="shared" si="30"/>
        <v>2010</v>
      </c>
      <c r="AD26" s="203">
        <f t="shared" si="32"/>
        <v>201</v>
      </c>
      <c r="AE26" s="203">
        <f t="shared" si="11"/>
        <v>2010</v>
      </c>
      <c r="AF26" s="203">
        <f t="shared" si="33"/>
        <v>201</v>
      </c>
      <c r="AG26" s="203">
        <f t="shared" si="12"/>
        <v>2010</v>
      </c>
      <c r="AH26" s="203">
        <f t="shared" si="34"/>
        <v>201</v>
      </c>
      <c r="AI26" s="203">
        <f t="shared" si="13"/>
        <v>2010</v>
      </c>
      <c r="AJ26" s="203">
        <f t="shared" si="35"/>
        <v>201</v>
      </c>
      <c r="AK26" s="203">
        <f t="shared" si="14"/>
        <v>2010</v>
      </c>
      <c r="AL26" s="203">
        <f t="shared" si="36"/>
        <v>201</v>
      </c>
      <c r="AM26" s="203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3">
        <f t="shared" si="37"/>
        <v>0.64521264230223407</v>
      </c>
      <c r="AR26" s="38">
        <f t="shared" si="38"/>
        <v>59985.419354838697</v>
      </c>
      <c r="AS26" s="197">
        <f t="shared" si="39"/>
        <v>-2760.0967741935601</v>
      </c>
      <c r="AT26" s="271"/>
      <c r="AU26" s="593"/>
      <c r="AV26" s="515">
        <f t="shared" si="43"/>
        <v>1.0029999999999999</v>
      </c>
      <c r="AW26" s="290">
        <f>-SUM('B5'!AI25)</f>
        <v>-209</v>
      </c>
      <c r="AX26" s="290">
        <f t="shared" si="40"/>
        <v>-2551.0967741935601</v>
      </c>
      <c r="AY26" s="37">
        <f t="shared" si="41"/>
        <v>-2760.0967741935601</v>
      </c>
      <c r="AZ26" s="100">
        <f>ELEC!A23</f>
        <v>0</v>
      </c>
      <c r="BA26" s="118">
        <f>'General information '!D26</f>
        <v>24.5</v>
      </c>
      <c r="BB26" s="394">
        <f>SUM('General information '!E26)</f>
        <v>0.47</v>
      </c>
      <c r="BC26" s="3">
        <f t="shared" si="44"/>
        <v>0</v>
      </c>
      <c r="BD26" s="102">
        <v>19222</v>
      </c>
      <c r="BE26" s="14">
        <f>(305/1185)*ELEC!Q24</f>
        <v>2714.628691982778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182</v>
      </c>
      <c r="C27" s="203">
        <f t="shared" si="18"/>
        <v>3915.9354838709678</v>
      </c>
      <c r="D27">
        <f t="shared" si="19"/>
        <v>182</v>
      </c>
      <c r="E27" s="203">
        <f t="shared" si="18"/>
        <v>3915.9354838709678</v>
      </c>
      <c r="F27">
        <f t="shared" si="20"/>
        <v>182</v>
      </c>
      <c r="G27" s="203">
        <f t="shared" si="1"/>
        <v>3915.9354838709678</v>
      </c>
      <c r="H27" s="203">
        <f t="shared" si="21"/>
        <v>182</v>
      </c>
      <c r="I27" s="203">
        <f t="shared" si="2"/>
        <v>3915.9354838709678</v>
      </c>
      <c r="J27" s="203">
        <f t="shared" si="22"/>
        <v>182</v>
      </c>
      <c r="K27" s="203">
        <f t="shared" si="3"/>
        <v>3915.9354838709678</v>
      </c>
      <c r="L27" s="203">
        <f t="shared" si="23"/>
        <v>182</v>
      </c>
      <c r="M27" s="203">
        <f t="shared" si="4"/>
        <v>3915.9354838709678</v>
      </c>
      <c r="N27" s="203">
        <f t="shared" si="24"/>
        <v>182</v>
      </c>
      <c r="O27" s="203">
        <f t="shared" si="5"/>
        <v>3915.9354838709678</v>
      </c>
      <c r="P27" s="203">
        <f t="shared" si="25"/>
        <v>182</v>
      </c>
      <c r="Q27" s="203">
        <f t="shared" si="6"/>
        <v>3915.9354838709678</v>
      </c>
      <c r="R27" s="203">
        <f t="shared" si="26"/>
        <v>182</v>
      </c>
      <c r="S27" s="203">
        <f t="shared" si="7"/>
        <v>3915.9354838709678</v>
      </c>
      <c r="T27" s="203">
        <f t="shared" si="27"/>
        <v>182</v>
      </c>
      <c r="U27" s="203">
        <f t="shared" si="8"/>
        <v>3915.9354838709678</v>
      </c>
      <c r="V27" s="203">
        <f t="shared" si="28"/>
        <v>182</v>
      </c>
      <c r="W27" s="203">
        <f t="shared" si="9"/>
        <v>3915.9354838709678</v>
      </c>
      <c r="X27" s="35">
        <f t="shared" si="10"/>
        <v>0.58709677419354855</v>
      </c>
      <c r="Y27" s="36">
        <f t="shared" si="29"/>
        <v>43075.290322580659</v>
      </c>
      <c r="Z27" s="203">
        <f>'B5'!C26</f>
        <v>189</v>
      </c>
      <c r="AA27" s="203">
        <f t="shared" si="30"/>
        <v>1890</v>
      </c>
      <c r="AB27" s="203">
        <f t="shared" si="31"/>
        <v>189</v>
      </c>
      <c r="AC27" s="203">
        <f t="shared" si="30"/>
        <v>1890</v>
      </c>
      <c r="AD27" s="203">
        <f t="shared" si="32"/>
        <v>189</v>
      </c>
      <c r="AE27" s="203">
        <f t="shared" si="11"/>
        <v>1890</v>
      </c>
      <c r="AF27" s="203">
        <f t="shared" si="33"/>
        <v>189</v>
      </c>
      <c r="AG27" s="203">
        <f t="shared" si="12"/>
        <v>1890</v>
      </c>
      <c r="AH27" s="203">
        <f t="shared" si="34"/>
        <v>189</v>
      </c>
      <c r="AI27" s="203">
        <f t="shared" si="13"/>
        <v>1890</v>
      </c>
      <c r="AJ27" s="203">
        <f t="shared" si="35"/>
        <v>189</v>
      </c>
      <c r="AK27" s="203">
        <f t="shared" si="14"/>
        <v>1890</v>
      </c>
      <c r="AL27" s="203">
        <f t="shared" si="36"/>
        <v>189</v>
      </c>
      <c r="AM27" s="203">
        <f t="shared" si="15"/>
        <v>1890</v>
      </c>
      <c r="AN27" s="35">
        <f t="shared" si="16"/>
        <v>0.67500000000000004</v>
      </c>
      <c r="AO27" s="36">
        <f t="shared" si="17"/>
        <v>13230</v>
      </c>
      <c r="AQ27" s="223">
        <f t="shared" si="37"/>
        <v>0.6056285933374278</v>
      </c>
      <c r="AR27" s="38">
        <f t="shared" si="38"/>
        <v>56305.290322580659</v>
      </c>
      <c r="AS27" s="197">
        <f t="shared" si="39"/>
        <v>-3680.1290322580389</v>
      </c>
      <c r="AT27" s="271"/>
      <c r="AU27" s="593"/>
      <c r="AV27" s="515">
        <f t="shared" si="43"/>
        <v>1.0029999999999999</v>
      </c>
      <c r="AW27" s="290">
        <f>-SUM('B5'!AI26)</f>
        <v>-129</v>
      </c>
      <c r="AX27" s="290">
        <f t="shared" si="40"/>
        <v>-3551.1290322580389</v>
      </c>
      <c r="AY27" s="37">
        <f t="shared" si="41"/>
        <v>-3680.1290322580389</v>
      </c>
      <c r="AZ27" s="100">
        <f>ELEC!A24</f>
        <v>0</v>
      </c>
      <c r="BA27" s="118">
        <f>'General information '!D27</f>
        <v>24.5</v>
      </c>
      <c r="BB27" s="394">
        <f>SUM('General information '!E27)</f>
        <v>0.5</v>
      </c>
      <c r="BC27" s="3">
        <f t="shared" si="44"/>
        <v>0</v>
      </c>
      <c r="BD27" s="102">
        <v>19222</v>
      </c>
      <c r="BE27" s="14">
        <f>(305/1185)*ELEC!Q25</f>
        <v>1424.6202531645197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176</v>
      </c>
      <c r="C28" s="203">
        <f t="shared" si="18"/>
        <v>3786.8387096774195</v>
      </c>
      <c r="D28">
        <f t="shared" si="19"/>
        <v>176</v>
      </c>
      <c r="E28" s="203">
        <f t="shared" si="18"/>
        <v>3786.8387096774195</v>
      </c>
      <c r="F28">
        <f t="shared" si="20"/>
        <v>176</v>
      </c>
      <c r="G28" s="203">
        <f t="shared" si="1"/>
        <v>3786.8387096774195</v>
      </c>
      <c r="H28" s="203">
        <f t="shared" si="21"/>
        <v>176</v>
      </c>
      <c r="I28" s="203">
        <f t="shared" si="2"/>
        <v>3786.8387096774195</v>
      </c>
      <c r="J28" s="203">
        <f t="shared" si="22"/>
        <v>176</v>
      </c>
      <c r="K28" s="203">
        <f t="shared" si="3"/>
        <v>3786.8387096774195</v>
      </c>
      <c r="L28" s="203">
        <f t="shared" si="23"/>
        <v>176</v>
      </c>
      <c r="M28" s="203">
        <f t="shared" si="4"/>
        <v>3786.8387096774195</v>
      </c>
      <c r="N28" s="203">
        <f t="shared" si="24"/>
        <v>176</v>
      </c>
      <c r="O28" s="203">
        <f t="shared" si="5"/>
        <v>3786.8387096774195</v>
      </c>
      <c r="P28" s="203">
        <f t="shared" si="25"/>
        <v>176</v>
      </c>
      <c r="Q28" s="203">
        <f t="shared" si="6"/>
        <v>3786.8387096774195</v>
      </c>
      <c r="R28" s="203">
        <f t="shared" si="26"/>
        <v>176</v>
      </c>
      <c r="S28" s="203">
        <f t="shared" si="7"/>
        <v>3786.8387096774195</v>
      </c>
      <c r="T28" s="203">
        <f t="shared" si="27"/>
        <v>176</v>
      </c>
      <c r="U28" s="203">
        <f t="shared" si="8"/>
        <v>3786.8387096774195</v>
      </c>
      <c r="V28" s="203">
        <f t="shared" si="28"/>
        <v>176</v>
      </c>
      <c r="W28" s="203">
        <f t="shared" si="9"/>
        <v>3786.8387096774195</v>
      </c>
      <c r="X28" s="35">
        <f t="shared" si="10"/>
        <v>0.56774193548387097</v>
      </c>
      <c r="Y28" s="36">
        <f t="shared" si="29"/>
        <v>41655.225806451614</v>
      </c>
      <c r="Z28" s="203">
        <f>'B5'!C27</f>
        <v>182.5</v>
      </c>
      <c r="AA28" s="203">
        <f t="shared" si="30"/>
        <v>1825</v>
      </c>
      <c r="AB28" s="203">
        <f t="shared" si="31"/>
        <v>182.5</v>
      </c>
      <c r="AC28" s="203">
        <f t="shared" si="30"/>
        <v>1825</v>
      </c>
      <c r="AD28" s="203">
        <f t="shared" si="32"/>
        <v>182.5</v>
      </c>
      <c r="AE28" s="203">
        <f t="shared" si="11"/>
        <v>1825</v>
      </c>
      <c r="AF28" s="203">
        <f t="shared" si="33"/>
        <v>182.5</v>
      </c>
      <c r="AG28" s="203">
        <f t="shared" si="12"/>
        <v>1825</v>
      </c>
      <c r="AH28" s="203">
        <f t="shared" si="34"/>
        <v>182.5</v>
      </c>
      <c r="AI28" s="203">
        <f t="shared" si="13"/>
        <v>1825</v>
      </c>
      <c r="AJ28" s="203">
        <f t="shared" si="35"/>
        <v>182.5</v>
      </c>
      <c r="AK28" s="203">
        <f t="shared" si="14"/>
        <v>1825</v>
      </c>
      <c r="AL28" s="203">
        <f t="shared" si="36"/>
        <v>182.5</v>
      </c>
      <c r="AM28" s="203">
        <f t="shared" si="15"/>
        <v>1825</v>
      </c>
      <c r="AN28" s="35">
        <f t="shared" si="16"/>
        <v>0.6517857142857143</v>
      </c>
      <c r="AO28" s="36">
        <f t="shared" si="17"/>
        <v>12775</v>
      </c>
      <c r="AQ28" s="223">
        <f t="shared" si="37"/>
        <v>0.5854601033285104</v>
      </c>
      <c r="AR28" s="38">
        <f t="shared" si="38"/>
        <v>54430.225806451614</v>
      </c>
      <c r="AS28" s="197">
        <f t="shared" si="39"/>
        <v>-1875.0645161290449</v>
      </c>
      <c r="AT28" s="355"/>
      <c r="AU28" s="651"/>
      <c r="AV28" s="515">
        <f t="shared" si="43"/>
        <v>1.0029999999999999</v>
      </c>
      <c r="AW28" s="290">
        <f>-SUM('B5'!AI27)</f>
        <v>-69</v>
      </c>
      <c r="AX28" s="290">
        <f t="shared" si="40"/>
        <v>-1806.0645161290449</v>
      </c>
      <c r="AY28" s="37">
        <f t="shared" si="41"/>
        <v>-1875.0645161290449</v>
      </c>
      <c r="AZ28" s="100">
        <f>ELEC!A25</f>
        <v>0</v>
      </c>
      <c r="BA28" s="118">
        <f>'General information '!D28</f>
        <v>23.5</v>
      </c>
      <c r="BB28" s="394">
        <f>SUM('General information '!E28)</f>
        <v>0.55000000000000004</v>
      </c>
      <c r="BC28" s="3">
        <f t="shared" si="44"/>
        <v>0</v>
      </c>
      <c r="BD28" s="102">
        <v>19222</v>
      </c>
      <c r="BE28" s="14">
        <f>(305/1185)*ELEC!Q26</f>
        <v>3205.4599156122117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17"/>
        <v>15050</v>
      </c>
      <c r="AQ29" s="223">
        <f t="shared" si="37"/>
        <v>0.69139403276117495</v>
      </c>
      <c r="AR29" s="38">
        <f t="shared" si="38"/>
        <v>64278.90322580644</v>
      </c>
      <c r="AS29" s="197">
        <f t="shared" si="39"/>
        <v>-2211.3225806451737</v>
      </c>
      <c r="AT29" s="355">
        <v>12060</v>
      </c>
      <c r="AU29" s="651">
        <v>1.0029999999999999</v>
      </c>
      <c r="AV29" s="515">
        <f t="shared" si="43"/>
        <v>1.0029999999999999</v>
      </c>
      <c r="AW29" s="290">
        <f>-SUM('B5'!AI28)</f>
        <v>-211.20000000001164</v>
      </c>
      <c r="AX29" s="290">
        <f>-SUM(AW29-AS29)</f>
        <v>-2000.1225806451621</v>
      </c>
      <c r="AY29" s="37">
        <f t="shared" si="41"/>
        <v>-2211.3225806451737</v>
      </c>
      <c r="AZ29" s="100">
        <f>ELEC!A26</f>
        <v>0</v>
      </c>
      <c r="BA29" s="118">
        <f>'General information '!D29</f>
        <v>24.5</v>
      </c>
      <c r="BB29" s="394">
        <f>SUM('General information '!E29)</f>
        <v>0.55000000000000004</v>
      </c>
      <c r="BC29" s="3">
        <f t="shared" si="44"/>
        <v>1</v>
      </c>
      <c r="BD29" s="102">
        <v>19222</v>
      </c>
      <c r="BE29" s="14">
        <f>(305/1185)*ELEC!Q27</f>
        <v>1589.3459915609942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201</v>
      </c>
      <c r="C30" s="203">
        <f t="shared" si="18"/>
        <v>4324.7419354838712</v>
      </c>
      <c r="D30">
        <f t="shared" ref="D30:D33" si="45">SUM(B30)</f>
        <v>201</v>
      </c>
      <c r="E30" s="203">
        <f t="shared" si="18"/>
        <v>4324.7419354838712</v>
      </c>
      <c r="F30">
        <f t="shared" ref="F30:F33" si="46">SUM(D30)</f>
        <v>201</v>
      </c>
      <c r="G30" s="203">
        <f t="shared" si="1"/>
        <v>4324.7419354838712</v>
      </c>
      <c r="H30" s="203">
        <f t="shared" ref="H30:H33" si="47">SUM(F30)</f>
        <v>201</v>
      </c>
      <c r="I30" s="203">
        <f t="shared" si="2"/>
        <v>4324.7419354838712</v>
      </c>
      <c r="J30" s="203">
        <f t="shared" ref="J30:J33" si="48">SUM(H30)</f>
        <v>201</v>
      </c>
      <c r="K30" s="203">
        <f t="shared" si="3"/>
        <v>4324.7419354838712</v>
      </c>
      <c r="L30" s="203">
        <f t="shared" ref="L30:L33" si="49">SUM(J30)</f>
        <v>201</v>
      </c>
      <c r="M30" s="203">
        <f t="shared" si="4"/>
        <v>4324.7419354838712</v>
      </c>
      <c r="N30" s="203">
        <f t="shared" ref="N30:N33" si="50">SUM(L30)</f>
        <v>201</v>
      </c>
      <c r="O30" s="203">
        <f t="shared" si="5"/>
        <v>4324.7419354838712</v>
      </c>
      <c r="P30" s="203">
        <f t="shared" ref="P30:P33" si="51">SUM(N30)</f>
        <v>201</v>
      </c>
      <c r="Q30" s="203">
        <f t="shared" si="6"/>
        <v>4324.7419354838712</v>
      </c>
      <c r="R30" s="203">
        <f t="shared" ref="R30:R33" si="52">SUM(P30)</f>
        <v>201</v>
      </c>
      <c r="S30" s="203">
        <f t="shared" si="7"/>
        <v>4324.7419354838712</v>
      </c>
      <c r="T30" s="203">
        <f t="shared" ref="T30:T33" si="53">SUM(R30)</f>
        <v>201</v>
      </c>
      <c r="U30" s="203">
        <f t="shared" si="8"/>
        <v>4324.7419354838712</v>
      </c>
      <c r="V30" s="203">
        <f t="shared" ref="V30:V33" si="54">SUM(T30)</f>
        <v>201</v>
      </c>
      <c r="W30" s="203">
        <f t="shared" si="9"/>
        <v>4324.7419354838712</v>
      </c>
      <c r="X30" s="35">
        <f t="shared" ref="X30:X33" si="55">SUM(Y30/73370)</f>
        <v>0.64838709677419359</v>
      </c>
      <c r="Y30" s="36">
        <f t="shared" ref="Y30:Y33" si="56">SUM(C30+E30+G30+I30+K30+M30+O30+Q30+S30+U30+W30)</f>
        <v>47572.161290322583</v>
      </c>
      <c r="Z30" s="203">
        <f>'B5'!C29</f>
        <v>208</v>
      </c>
      <c r="AA30" s="203">
        <f t="shared" si="30"/>
        <v>2080</v>
      </c>
      <c r="AB30" s="203">
        <f t="shared" ref="AB30:AB33" si="57">SUM(Z30)</f>
        <v>208</v>
      </c>
      <c r="AC30" s="203">
        <f t="shared" si="30"/>
        <v>2080</v>
      </c>
      <c r="AD30" s="203">
        <f t="shared" ref="AD30:AD33" si="58">SUM(AB30)</f>
        <v>208</v>
      </c>
      <c r="AE30" s="203">
        <f t="shared" si="11"/>
        <v>2080</v>
      </c>
      <c r="AF30" s="203">
        <f t="shared" ref="AF30:AF33" si="59">SUM(AD30)</f>
        <v>208</v>
      </c>
      <c r="AG30" s="203">
        <f t="shared" si="12"/>
        <v>2080</v>
      </c>
      <c r="AH30" s="203">
        <f t="shared" ref="AH30:AH33" si="60">SUM(AF30)</f>
        <v>208</v>
      </c>
      <c r="AI30" s="203">
        <f t="shared" si="13"/>
        <v>2080</v>
      </c>
      <c r="AJ30" s="203">
        <f t="shared" ref="AJ30:AJ33" si="61">SUM(AH30)</f>
        <v>208</v>
      </c>
      <c r="AK30" s="203">
        <f t="shared" si="14"/>
        <v>2080</v>
      </c>
      <c r="AL30" s="203">
        <f t="shared" ref="AL30:AL33" si="62">SUM(AJ30)</f>
        <v>208</v>
      </c>
      <c r="AM30" s="203">
        <f t="shared" si="15"/>
        <v>2080</v>
      </c>
      <c r="AN30" s="35">
        <f t="shared" ref="AN30:AN33" si="63">SUM(AO30/19600)</f>
        <v>0.74285714285714288</v>
      </c>
      <c r="AO30" s="36">
        <f t="shared" ref="AO30:AO33" si="64">SUM(AA30+AC30+AE30+AG30+AI30+AK30+AM30)</f>
        <v>14560</v>
      </c>
      <c r="AQ30" s="223">
        <f t="shared" si="37"/>
        <v>0.66830333753170468</v>
      </c>
      <c r="AR30" s="38">
        <f t="shared" si="38"/>
        <v>62132.161290322583</v>
      </c>
      <c r="AS30" s="197">
        <f t="shared" si="39"/>
        <v>-2146.7419354838567</v>
      </c>
      <c r="AT30" s="355"/>
      <c r="AU30" s="593"/>
      <c r="AV30" s="515">
        <f t="shared" si="43"/>
        <v>1.0029999999999999</v>
      </c>
      <c r="AW30" s="290">
        <f>-SUM('B5'!AI29)</f>
        <v>-90</v>
      </c>
      <c r="AX30" s="290">
        <f>-SUM(AW30-AS30)</f>
        <v>-2056.7419354838567</v>
      </c>
      <c r="AY30" s="37">
        <f t="shared" si="41"/>
        <v>-2146.7419354838567</v>
      </c>
      <c r="AZ30" s="100">
        <f>ELEC!A27</f>
        <v>0</v>
      </c>
      <c r="BA30" s="118">
        <f>'General information '!D30</f>
        <v>24.5</v>
      </c>
      <c r="BB30" s="394">
        <f>SUM('General information '!E30)</f>
        <v>0.66</v>
      </c>
      <c r="BC30" s="3">
        <f t="shared" si="44"/>
        <v>0</v>
      </c>
      <c r="BD30" s="102">
        <v>19222</v>
      </c>
      <c r="BE30" s="14">
        <f>(305/1185)*ELEC!Q28</f>
        <v>3368.1265822783089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187</v>
      </c>
      <c r="C31" s="203">
        <f t="shared" si="18"/>
        <v>4023.516129032258</v>
      </c>
      <c r="D31">
        <f t="shared" si="45"/>
        <v>187</v>
      </c>
      <c r="E31" s="203">
        <f t="shared" si="18"/>
        <v>4023.516129032258</v>
      </c>
      <c r="F31">
        <f t="shared" si="46"/>
        <v>187</v>
      </c>
      <c r="G31" s="203">
        <f t="shared" si="1"/>
        <v>4023.516129032258</v>
      </c>
      <c r="H31" s="203">
        <f t="shared" si="47"/>
        <v>187</v>
      </c>
      <c r="I31" s="203">
        <f t="shared" si="2"/>
        <v>4023.516129032258</v>
      </c>
      <c r="J31" s="203">
        <f t="shared" si="48"/>
        <v>187</v>
      </c>
      <c r="K31" s="203">
        <f t="shared" si="3"/>
        <v>4023.516129032258</v>
      </c>
      <c r="L31" s="203">
        <f t="shared" si="49"/>
        <v>187</v>
      </c>
      <c r="M31" s="203">
        <f t="shared" si="4"/>
        <v>4023.516129032258</v>
      </c>
      <c r="N31" s="203">
        <f t="shared" si="50"/>
        <v>187</v>
      </c>
      <c r="O31" s="203">
        <f t="shared" si="5"/>
        <v>4023.516129032258</v>
      </c>
      <c r="P31" s="203">
        <f t="shared" si="51"/>
        <v>187</v>
      </c>
      <c r="Q31" s="203">
        <f t="shared" si="6"/>
        <v>4023.516129032258</v>
      </c>
      <c r="R31" s="203">
        <f t="shared" si="52"/>
        <v>187</v>
      </c>
      <c r="S31" s="203">
        <f t="shared" si="7"/>
        <v>4023.516129032258</v>
      </c>
      <c r="T31" s="203">
        <f t="shared" si="53"/>
        <v>187</v>
      </c>
      <c r="U31" s="203">
        <f t="shared" si="8"/>
        <v>4023.516129032258</v>
      </c>
      <c r="V31" s="203">
        <f t="shared" si="54"/>
        <v>187</v>
      </c>
      <c r="W31" s="203">
        <f t="shared" si="9"/>
        <v>4023.516129032258</v>
      </c>
      <c r="X31" s="35">
        <f t="shared" si="55"/>
        <v>0.60322580645161294</v>
      </c>
      <c r="Y31" s="36">
        <f t="shared" si="56"/>
        <v>44258.677419354841</v>
      </c>
      <c r="Z31" s="203">
        <f>'B5'!C30</f>
        <v>194</v>
      </c>
      <c r="AA31" s="203">
        <f t="shared" si="30"/>
        <v>1940</v>
      </c>
      <c r="AB31" s="203">
        <f t="shared" si="57"/>
        <v>194</v>
      </c>
      <c r="AC31" s="203">
        <f t="shared" si="30"/>
        <v>1940</v>
      </c>
      <c r="AD31" s="203">
        <f t="shared" si="58"/>
        <v>194</v>
      </c>
      <c r="AE31" s="203">
        <f t="shared" si="11"/>
        <v>1940</v>
      </c>
      <c r="AF31" s="203">
        <f t="shared" si="59"/>
        <v>194</v>
      </c>
      <c r="AG31" s="203">
        <f t="shared" si="12"/>
        <v>1940</v>
      </c>
      <c r="AH31" s="203">
        <f t="shared" si="60"/>
        <v>194</v>
      </c>
      <c r="AI31" s="203">
        <f t="shared" si="13"/>
        <v>1940</v>
      </c>
      <c r="AJ31" s="203">
        <f t="shared" si="61"/>
        <v>194</v>
      </c>
      <c r="AK31" s="203">
        <f t="shared" si="14"/>
        <v>1940</v>
      </c>
      <c r="AL31" s="203">
        <f t="shared" si="62"/>
        <v>194</v>
      </c>
      <c r="AM31" s="203">
        <f t="shared" si="15"/>
        <v>1940</v>
      </c>
      <c r="AN31" s="35">
        <f t="shared" si="63"/>
        <v>0.69285714285714284</v>
      </c>
      <c r="AO31" s="36">
        <f t="shared" si="64"/>
        <v>13580</v>
      </c>
      <c r="AQ31" s="223">
        <f t="shared" si="37"/>
        <v>0.62212194707276369</v>
      </c>
      <c r="AR31" s="38">
        <f t="shared" si="38"/>
        <v>57838.677419354841</v>
      </c>
      <c r="AS31" s="197">
        <f t="shared" si="39"/>
        <v>-4293.4838709677424</v>
      </c>
      <c r="AT31" s="355"/>
      <c r="AU31" s="593"/>
      <c r="AV31" s="515">
        <f t="shared" si="43"/>
        <v>1.0029999999999999</v>
      </c>
      <c r="AW31" s="290">
        <f>-SUM('B5'!AI30)</f>
        <v>-114</v>
      </c>
      <c r="AX31" s="290">
        <f t="shared" si="40"/>
        <v>-4179.4838709677424</v>
      </c>
      <c r="AY31" s="37">
        <f t="shared" si="41"/>
        <v>-4293.4838709677424</v>
      </c>
      <c r="AZ31" s="100">
        <f>ELEC!A28</f>
        <v>0</v>
      </c>
      <c r="BA31" s="118">
        <f>'General information '!D31</f>
        <v>24.5</v>
      </c>
      <c r="BB31" s="394">
        <f>SUM('General information '!E31)</f>
        <v>0.65</v>
      </c>
      <c r="BC31" s="3">
        <f t="shared" si="44"/>
        <v>0</v>
      </c>
      <c r="BD31" s="102">
        <v>19222</v>
      </c>
      <c r="BE31" s="14">
        <f>(305/1185)*ELEC!Q29</f>
        <v>2428.6751054856218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184</v>
      </c>
      <c r="AA32" s="203">
        <f t="shared" si="30"/>
        <v>1840</v>
      </c>
      <c r="AB32" s="203">
        <f t="shared" si="57"/>
        <v>184</v>
      </c>
      <c r="AC32" s="203">
        <f t="shared" si="30"/>
        <v>1840</v>
      </c>
      <c r="AD32" s="203">
        <f t="shared" si="58"/>
        <v>184</v>
      </c>
      <c r="AE32" s="203">
        <f t="shared" si="11"/>
        <v>1840</v>
      </c>
      <c r="AF32" s="203">
        <f t="shared" si="59"/>
        <v>184</v>
      </c>
      <c r="AG32" s="203">
        <f t="shared" si="12"/>
        <v>1840</v>
      </c>
      <c r="AH32" s="203">
        <f t="shared" si="60"/>
        <v>184</v>
      </c>
      <c r="AI32" s="203">
        <f t="shared" si="13"/>
        <v>1840</v>
      </c>
      <c r="AJ32" s="203">
        <f t="shared" si="61"/>
        <v>184</v>
      </c>
      <c r="AK32" s="203">
        <f t="shared" si="14"/>
        <v>1840</v>
      </c>
      <c r="AL32" s="203">
        <f t="shared" si="62"/>
        <v>184</v>
      </c>
      <c r="AM32" s="203">
        <f t="shared" si="15"/>
        <v>1840</v>
      </c>
      <c r="AN32" s="35">
        <f t="shared" si="63"/>
        <v>0.65714285714285714</v>
      </c>
      <c r="AO32" s="36">
        <f t="shared" si="64"/>
        <v>12880</v>
      </c>
      <c r="AQ32" s="223">
        <f t="shared" si="37"/>
        <v>0.58913523960209147</v>
      </c>
      <c r="AR32" s="38">
        <f t="shared" si="38"/>
        <v>54771.903225806447</v>
      </c>
      <c r="AS32" s="197">
        <f t="shared" si="39"/>
        <v>-3066.7741935483937</v>
      </c>
      <c r="AT32" s="355"/>
      <c r="AU32" s="593"/>
      <c r="AV32" s="515">
        <f>IF(AT32&gt;0,AU32,AV31)</f>
        <v>1.0029999999999999</v>
      </c>
      <c r="AW32" s="290">
        <f>-SUM('B5'!AI31)</f>
        <v>-106</v>
      </c>
      <c r="AX32" s="290">
        <f t="shared" si="40"/>
        <v>-2960.7741935483937</v>
      </c>
      <c r="AY32" s="37">
        <f t="shared" si="41"/>
        <v>-3066.7741935483937</v>
      </c>
      <c r="AZ32" s="100">
        <f>ELEC!A29</f>
        <v>0</v>
      </c>
      <c r="BA32" s="118">
        <f>'General information '!D32</f>
        <v>23.5</v>
      </c>
      <c r="BB32" s="394">
        <f>SUM('General information '!E32)</f>
        <v>0.6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177</v>
      </c>
      <c r="C33" s="203">
        <f t="shared" si="18"/>
        <v>3808.3548387096776</v>
      </c>
      <c r="D33">
        <f t="shared" si="45"/>
        <v>177</v>
      </c>
      <c r="E33" s="203">
        <f t="shared" si="18"/>
        <v>3808.3548387096776</v>
      </c>
      <c r="F33">
        <f t="shared" si="46"/>
        <v>177</v>
      </c>
      <c r="G33" s="203">
        <f t="shared" si="1"/>
        <v>3808.3548387096776</v>
      </c>
      <c r="H33" s="203">
        <f t="shared" si="47"/>
        <v>177</v>
      </c>
      <c r="I33" s="203">
        <f t="shared" si="2"/>
        <v>3808.3548387096776</v>
      </c>
      <c r="J33" s="203">
        <f t="shared" si="48"/>
        <v>177</v>
      </c>
      <c r="K33" s="203">
        <f t="shared" si="3"/>
        <v>3808.3548387096776</v>
      </c>
      <c r="L33" s="203">
        <f t="shared" si="49"/>
        <v>177</v>
      </c>
      <c r="M33" s="203">
        <f t="shared" si="4"/>
        <v>3808.3548387096776</v>
      </c>
      <c r="N33" s="203">
        <f t="shared" si="50"/>
        <v>177</v>
      </c>
      <c r="O33" s="203">
        <f t="shared" si="5"/>
        <v>3808.3548387096776</v>
      </c>
      <c r="P33" s="203">
        <f t="shared" si="51"/>
        <v>177</v>
      </c>
      <c r="Q33" s="203">
        <f t="shared" si="6"/>
        <v>3808.3548387096776</v>
      </c>
      <c r="R33" s="203">
        <f t="shared" si="52"/>
        <v>177</v>
      </c>
      <c r="S33" s="203">
        <f t="shared" si="7"/>
        <v>3808.3548387096776</v>
      </c>
      <c r="T33" s="203">
        <f t="shared" si="53"/>
        <v>177</v>
      </c>
      <c r="U33" s="203">
        <f t="shared" si="8"/>
        <v>3808.3548387096776</v>
      </c>
      <c r="V33" s="203">
        <f t="shared" si="54"/>
        <v>177</v>
      </c>
      <c r="W33" s="203">
        <f t="shared" si="9"/>
        <v>3808.3548387096776</v>
      </c>
      <c r="X33" s="35">
        <f t="shared" si="55"/>
        <v>0.57096774193548383</v>
      </c>
      <c r="Y33" s="36">
        <f t="shared" si="56"/>
        <v>41891.903225806447</v>
      </c>
      <c r="Z33" s="203">
        <f>'B5'!C32</f>
        <v>184</v>
      </c>
      <c r="AA33" s="203">
        <f t="shared" si="30"/>
        <v>1840</v>
      </c>
      <c r="AB33" s="203">
        <f t="shared" si="57"/>
        <v>184</v>
      </c>
      <c r="AC33" s="203">
        <f t="shared" si="30"/>
        <v>1840</v>
      </c>
      <c r="AD33" s="203">
        <f t="shared" si="58"/>
        <v>184</v>
      </c>
      <c r="AE33" s="203">
        <f t="shared" si="11"/>
        <v>1840</v>
      </c>
      <c r="AF33" s="203">
        <f t="shared" si="59"/>
        <v>184</v>
      </c>
      <c r="AG33" s="203">
        <f t="shared" si="12"/>
        <v>1840</v>
      </c>
      <c r="AH33" s="203">
        <f t="shared" si="60"/>
        <v>184</v>
      </c>
      <c r="AI33" s="203">
        <f t="shared" si="13"/>
        <v>1840</v>
      </c>
      <c r="AJ33" s="203">
        <f t="shared" si="61"/>
        <v>184</v>
      </c>
      <c r="AK33" s="203">
        <f t="shared" si="14"/>
        <v>1840</v>
      </c>
      <c r="AL33" s="203">
        <f t="shared" si="62"/>
        <v>184</v>
      </c>
      <c r="AM33" s="203">
        <f t="shared" si="15"/>
        <v>1840</v>
      </c>
      <c r="AN33" s="35">
        <f t="shared" si="63"/>
        <v>0.65714285714285714</v>
      </c>
      <c r="AO33" s="36">
        <f t="shared" si="64"/>
        <v>12880</v>
      </c>
      <c r="AQ33" s="223">
        <f t="shared" si="37"/>
        <v>0.58913523960209147</v>
      </c>
      <c r="AR33" s="38">
        <f t="shared" si="38"/>
        <v>54771.903225806447</v>
      </c>
      <c r="AS33" s="197">
        <f t="shared" si="39"/>
        <v>0</v>
      </c>
      <c r="AT33" s="355"/>
      <c r="AU33" s="593"/>
      <c r="AV33" s="515">
        <f>IF(AT33&gt;0,AU33,AV32)</f>
        <v>1.0029999999999999</v>
      </c>
      <c r="AW33" s="290">
        <f>-SUM('B5'!AI32)</f>
        <v>0</v>
      </c>
      <c r="AX33" s="290">
        <f t="shared" si="40"/>
        <v>0</v>
      </c>
      <c r="AY33" s="37">
        <f t="shared" si="41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177</v>
      </c>
      <c r="C34" s="203">
        <f t="shared" ref="C34:C35" si="65">B34*$B$4</f>
        <v>3808.3548387096776</v>
      </c>
      <c r="D34">
        <f t="shared" ref="D34:D35" si="66">SUM(B34)</f>
        <v>177</v>
      </c>
      <c r="E34" s="203">
        <f t="shared" ref="E34:E35" si="67">D34*$B$4</f>
        <v>3808.3548387096776</v>
      </c>
      <c r="F34">
        <f t="shared" ref="F34:F35" si="68">SUM(D34)</f>
        <v>177</v>
      </c>
      <c r="G34" s="203">
        <f t="shared" ref="G34:G35" si="69">F34*$B$4</f>
        <v>3808.3548387096776</v>
      </c>
      <c r="H34" s="203">
        <f t="shared" ref="H34:H35" si="70">SUM(F34)</f>
        <v>177</v>
      </c>
      <c r="I34" s="203">
        <f t="shared" ref="I34:I35" si="71">H34*$B$4</f>
        <v>3808.3548387096776</v>
      </c>
      <c r="J34" s="203">
        <f t="shared" ref="J34:J35" si="72">SUM(H34)</f>
        <v>177</v>
      </c>
      <c r="K34" s="203">
        <f t="shared" ref="K34:K35" si="73">J34*$B$4</f>
        <v>3808.3548387096776</v>
      </c>
      <c r="L34" s="203">
        <f t="shared" ref="L34:L35" si="74">SUM(J34)</f>
        <v>177</v>
      </c>
      <c r="M34" s="203">
        <f t="shared" ref="M34:M35" si="75">L34*$B$4</f>
        <v>3808.3548387096776</v>
      </c>
      <c r="N34" s="203">
        <f t="shared" ref="N34:N35" si="76">SUM(L34)</f>
        <v>177</v>
      </c>
      <c r="O34" s="203">
        <f t="shared" ref="O34:O35" si="77">N34*$B$4</f>
        <v>3808.3548387096776</v>
      </c>
      <c r="P34" s="203">
        <f t="shared" ref="P34:P35" si="78">SUM(N34)</f>
        <v>177</v>
      </c>
      <c r="Q34" s="203">
        <f t="shared" ref="Q34:Q35" si="79">P34*$B$4</f>
        <v>3808.3548387096776</v>
      </c>
      <c r="R34" s="203">
        <f t="shared" ref="R34:R35" si="80">SUM(P34)</f>
        <v>177</v>
      </c>
      <c r="S34" s="203">
        <f t="shared" ref="S34:S35" si="81">R34*$B$4</f>
        <v>3808.3548387096776</v>
      </c>
      <c r="T34" s="203">
        <f t="shared" ref="T34:T35" si="82">SUM(R34)</f>
        <v>177</v>
      </c>
      <c r="U34" s="203">
        <f t="shared" ref="U34:U35" si="83">T34*$B$4</f>
        <v>3808.3548387096776</v>
      </c>
      <c r="V34" s="203">
        <f t="shared" ref="V34:V35" si="84">SUM(T34)</f>
        <v>177</v>
      </c>
      <c r="W34" s="203">
        <f t="shared" ref="W34:W35" si="85">V34*$B$4</f>
        <v>3808.3548387096776</v>
      </c>
      <c r="X34" s="35">
        <f t="shared" ref="X34:X35" si="86">SUM(Y34/73370)</f>
        <v>0.57096774193548383</v>
      </c>
      <c r="Y34" s="36">
        <f t="shared" ref="Y34:Y35" si="87">SUM(C34+E34+G34+I34+K34+M34+O34+Q34+S34+U34+W34)</f>
        <v>41891.903225806447</v>
      </c>
      <c r="Z34" s="203">
        <f>'B5'!C33</f>
        <v>184</v>
      </c>
      <c r="AA34" s="203">
        <f t="shared" ref="AA34:AA35" si="88">SUM(Z34*$Z$4)</f>
        <v>1840</v>
      </c>
      <c r="AB34" s="203">
        <f t="shared" ref="AB34:AB35" si="89">SUM(Z34)</f>
        <v>184</v>
      </c>
      <c r="AC34" s="203">
        <f t="shared" ref="AC34:AC35" si="90">SUM(AB34*$Z$4)</f>
        <v>1840</v>
      </c>
      <c r="AD34" s="203">
        <f t="shared" ref="AD34:AD35" si="91">SUM(AB34)</f>
        <v>184</v>
      </c>
      <c r="AE34" s="203">
        <f t="shared" ref="AE34:AE35" si="92">SUM(AD34*$Z$4)</f>
        <v>1840</v>
      </c>
      <c r="AF34" s="203">
        <f t="shared" ref="AF34:AF35" si="93">SUM(AD34)</f>
        <v>184</v>
      </c>
      <c r="AG34" s="203">
        <f t="shared" ref="AG34:AG35" si="94">SUM(AF34*$Z$4)</f>
        <v>1840</v>
      </c>
      <c r="AH34" s="203">
        <f t="shared" ref="AH34:AH35" si="95">SUM(AF34)</f>
        <v>184</v>
      </c>
      <c r="AI34" s="203">
        <f t="shared" ref="AI34:AI35" si="96">SUM(AH34*$Z$4)</f>
        <v>1840</v>
      </c>
      <c r="AJ34" s="203">
        <f t="shared" ref="AJ34:AJ35" si="97">SUM(AH34)</f>
        <v>184</v>
      </c>
      <c r="AK34" s="203">
        <f t="shared" ref="AK34:AK35" si="98">SUM(AJ34*$Z$4)</f>
        <v>1840</v>
      </c>
      <c r="AL34" s="203">
        <f t="shared" ref="AL34:AL35" si="99">SUM(AJ34)</f>
        <v>184</v>
      </c>
      <c r="AM34" s="203">
        <f t="shared" ref="AM34:AM35" si="100">SUM(AL34*$Z$4)</f>
        <v>1840</v>
      </c>
      <c r="AN34" s="35">
        <f t="shared" ref="AN34:AN35" si="101">SUM(AO34/19600)</f>
        <v>0.65714285714285714</v>
      </c>
      <c r="AO34" s="36">
        <f t="shared" ref="AO34:AO35" si="102">SUM(AA34+AC34+AE34+AG34+AI34+AK34+AM34)</f>
        <v>12880</v>
      </c>
      <c r="AQ34" s="223">
        <f t="shared" ref="AQ34:AQ35" si="103">SUM(AR34/92970)</f>
        <v>0.58913523960209147</v>
      </c>
      <c r="AR34" s="38">
        <f t="shared" si="38"/>
        <v>54771.903225806447</v>
      </c>
      <c r="AS34" s="197">
        <f t="shared" si="39"/>
        <v>0</v>
      </c>
      <c r="AT34" s="355"/>
      <c r="AU34" s="593"/>
      <c r="AV34" s="515">
        <f t="shared" ref="AV34:AV35" si="104">IF(AT34&gt;0,AU34,AV33)</f>
        <v>1.0029999999999999</v>
      </c>
      <c r="AW34" s="290">
        <f>-SUM('B5'!AI33)</f>
        <v>0</v>
      </c>
      <c r="AX34" s="290">
        <f t="shared" ref="AX34:AX35" si="105">-SUM(AW34-AS34)</f>
        <v>0</v>
      </c>
      <c r="AY34" s="37">
        <f t="shared" ref="AY34:AY35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177</v>
      </c>
      <c r="C35" s="203">
        <f t="shared" si="65"/>
        <v>3808.3548387096776</v>
      </c>
      <c r="D35">
        <f t="shared" si="66"/>
        <v>177</v>
      </c>
      <c r="E35" s="203">
        <f t="shared" si="67"/>
        <v>3808.3548387096776</v>
      </c>
      <c r="F35">
        <f t="shared" si="68"/>
        <v>177</v>
      </c>
      <c r="G35" s="203">
        <f t="shared" si="69"/>
        <v>3808.3548387096776</v>
      </c>
      <c r="H35" s="203">
        <f t="shared" si="70"/>
        <v>177</v>
      </c>
      <c r="I35" s="203">
        <f t="shared" si="71"/>
        <v>3808.3548387096776</v>
      </c>
      <c r="J35" s="203">
        <f t="shared" si="72"/>
        <v>177</v>
      </c>
      <c r="K35" s="203">
        <f t="shared" si="73"/>
        <v>3808.3548387096776</v>
      </c>
      <c r="L35" s="203">
        <f t="shared" si="74"/>
        <v>177</v>
      </c>
      <c r="M35" s="203">
        <f t="shared" si="75"/>
        <v>3808.3548387096776</v>
      </c>
      <c r="N35" s="203">
        <f t="shared" si="76"/>
        <v>177</v>
      </c>
      <c r="O35" s="203">
        <f t="shared" si="77"/>
        <v>3808.3548387096776</v>
      </c>
      <c r="P35" s="203">
        <f t="shared" si="78"/>
        <v>177</v>
      </c>
      <c r="Q35" s="203">
        <f t="shared" si="79"/>
        <v>3808.3548387096776</v>
      </c>
      <c r="R35" s="203">
        <f t="shared" si="80"/>
        <v>177</v>
      </c>
      <c r="S35" s="203">
        <f t="shared" si="81"/>
        <v>3808.3548387096776</v>
      </c>
      <c r="T35" s="203">
        <f t="shared" si="82"/>
        <v>177</v>
      </c>
      <c r="U35" s="203">
        <f t="shared" si="83"/>
        <v>3808.3548387096776</v>
      </c>
      <c r="V35" s="203">
        <f t="shared" si="84"/>
        <v>177</v>
      </c>
      <c r="W35" s="203">
        <f t="shared" si="85"/>
        <v>3808.3548387096776</v>
      </c>
      <c r="X35" s="35">
        <f t="shared" si="86"/>
        <v>0.57096774193548383</v>
      </c>
      <c r="Y35" s="36">
        <f t="shared" si="87"/>
        <v>41891.903225806447</v>
      </c>
      <c r="Z35" s="203">
        <f>'B5'!C34</f>
        <v>184</v>
      </c>
      <c r="AA35" s="203">
        <f t="shared" si="88"/>
        <v>1840</v>
      </c>
      <c r="AB35" s="203">
        <f t="shared" si="89"/>
        <v>184</v>
      </c>
      <c r="AC35" s="203">
        <f t="shared" si="90"/>
        <v>1840</v>
      </c>
      <c r="AD35" s="203">
        <f t="shared" si="91"/>
        <v>184</v>
      </c>
      <c r="AE35" s="203">
        <f t="shared" si="92"/>
        <v>1840</v>
      </c>
      <c r="AF35" s="203">
        <f t="shared" si="93"/>
        <v>184</v>
      </c>
      <c r="AG35" s="203">
        <f t="shared" si="94"/>
        <v>1840</v>
      </c>
      <c r="AH35" s="203">
        <f t="shared" si="95"/>
        <v>184</v>
      </c>
      <c r="AI35" s="203">
        <f t="shared" si="96"/>
        <v>1840</v>
      </c>
      <c r="AJ35" s="203">
        <f t="shared" si="97"/>
        <v>184</v>
      </c>
      <c r="AK35" s="203">
        <f t="shared" si="98"/>
        <v>1840</v>
      </c>
      <c r="AL35" s="203">
        <f t="shared" si="99"/>
        <v>184</v>
      </c>
      <c r="AM35" s="203">
        <f t="shared" si="100"/>
        <v>1840</v>
      </c>
      <c r="AN35" s="35">
        <f t="shared" si="101"/>
        <v>0.65714285714285714</v>
      </c>
      <c r="AO35" s="36">
        <f t="shared" si="102"/>
        <v>12880</v>
      </c>
      <c r="AQ35" s="223">
        <f t="shared" si="103"/>
        <v>0.58913523960209147</v>
      </c>
      <c r="AR35" s="38">
        <f t="shared" si="38"/>
        <v>54771.903225806447</v>
      </c>
      <c r="AS35" s="197">
        <f t="shared" si="39"/>
        <v>0</v>
      </c>
      <c r="AT35" s="355"/>
      <c r="AU35" s="593"/>
      <c r="AV35" s="587">
        <f t="shared" si="104"/>
        <v>1.0029999999999999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177</v>
      </c>
      <c r="C36" s="203">
        <f t="shared" ref="C36" si="107">B36*$B$4</f>
        <v>3808.3548387096776</v>
      </c>
      <c r="D36">
        <f t="shared" ref="D36" si="108">SUM(B36)</f>
        <v>177</v>
      </c>
      <c r="E36" s="203">
        <f t="shared" ref="E36" si="109">D36*$B$4</f>
        <v>3808.3548387096776</v>
      </c>
      <c r="F36">
        <f t="shared" ref="F36" si="110">SUM(D36)</f>
        <v>177</v>
      </c>
      <c r="G36" s="203">
        <f t="shared" ref="G36" si="111">F36*$B$4</f>
        <v>3808.3548387096776</v>
      </c>
      <c r="H36" s="203">
        <f t="shared" ref="H36" si="112">SUM(F36)</f>
        <v>177</v>
      </c>
      <c r="I36" s="203">
        <f t="shared" ref="I36" si="113">H36*$B$4</f>
        <v>3808.3548387096776</v>
      </c>
      <c r="J36" s="203">
        <f t="shared" ref="J36" si="114">SUM(H36)</f>
        <v>177</v>
      </c>
      <c r="K36" s="203">
        <f t="shared" ref="K36" si="115">J36*$B$4</f>
        <v>3808.3548387096776</v>
      </c>
      <c r="L36" s="203">
        <f t="shared" ref="L36" si="116">SUM(J36)</f>
        <v>177</v>
      </c>
      <c r="M36" s="203">
        <f t="shared" ref="M36" si="117">L36*$B$4</f>
        <v>3808.3548387096776</v>
      </c>
      <c r="N36" s="203">
        <f t="shared" ref="N36" si="118">SUM(L36)</f>
        <v>177</v>
      </c>
      <c r="O36" s="203">
        <f t="shared" ref="O36" si="119">N36*$B$4</f>
        <v>3808.3548387096776</v>
      </c>
      <c r="P36" s="203">
        <f t="shared" ref="P36" si="120">SUM(N36)</f>
        <v>177</v>
      </c>
      <c r="Q36" s="203">
        <f t="shared" ref="Q36" si="121">P36*$B$4</f>
        <v>3808.3548387096776</v>
      </c>
      <c r="R36" s="203">
        <f t="shared" ref="R36" si="122">SUM(P36)</f>
        <v>177</v>
      </c>
      <c r="S36" s="203">
        <f t="shared" ref="S36" si="123">R36*$B$4</f>
        <v>3808.3548387096776</v>
      </c>
      <c r="T36" s="203">
        <f t="shared" ref="T36" si="124">SUM(R36)</f>
        <v>177</v>
      </c>
      <c r="U36" s="203">
        <f t="shared" ref="U36" si="125">T36*$B$4</f>
        <v>3808.3548387096776</v>
      </c>
      <c r="V36" s="203">
        <f t="shared" ref="V36" si="126">SUM(T36)</f>
        <v>177</v>
      </c>
      <c r="W36" s="203">
        <f t="shared" ref="W36" si="127">V36*$B$4</f>
        <v>3808.3548387096776</v>
      </c>
      <c r="X36" s="35">
        <f t="shared" ref="X36" si="128">SUM(Y36/73370)</f>
        <v>0.57096774193548383</v>
      </c>
      <c r="Y36" s="36">
        <f t="shared" ref="Y36" si="129">SUM(C36+E36+G36+I36+K36+M36+O36+Q36+S36+U36+W36)</f>
        <v>41891.903225806447</v>
      </c>
      <c r="Z36" s="203">
        <f>'B5'!C35</f>
        <v>184</v>
      </c>
      <c r="AA36" s="203">
        <f t="shared" ref="AA36" si="130">SUM(Z36*$Z$4)</f>
        <v>1840</v>
      </c>
      <c r="AB36" s="203">
        <f t="shared" ref="AB36" si="131">SUM(Z36)</f>
        <v>184</v>
      </c>
      <c r="AC36" s="203">
        <f t="shared" ref="AC36" si="132">SUM(AB36*$Z$4)</f>
        <v>1840</v>
      </c>
      <c r="AD36" s="203">
        <f t="shared" ref="AD36" si="133">SUM(AB36)</f>
        <v>184</v>
      </c>
      <c r="AE36" s="203">
        <f t="shared" ref="AE36" si="134">SUM(AD36*$Z$4)</f>
        <v>1840</v>
      </c>
      <c r="AF36" s="203">
        <f t="shared" ref="AF36" si="135">SUM(AD36)</f>
        <v>184</v>
      </c>
      <c r="AG36" s="203">
        <f t="shared" ref="AG36" si="136">SUM(AF36*$Z$4)</f>
        <v>1840</v>
      </c>
      <c r="AH36" s="203">
        <f t="shared" ref="AH36" si="137">SUM(AF36)</f>
        <v>184</v>
      </c>
      <c r="AI36" s="203">
        <f t="shared" ref="AI36" si="138">SUM(AH36*$Z$4)</f>
        <v>1840</v>
      </c>
      <c r="AJ36" s="203">
        <f t="shared" ref="AJ36" si="139">SUM(AH36)</f>
        <v>184</v>
      </c>
      <c r="AK36" s="203">
        <f t="shared" ref="AK36" si="140">SUM(AJ36*$Z$4)</f>
        <v>1840</v>
      </c>
      <c r="AL36" s="203">
        <f t="shared" ref="AL36" si="141">SUM(AJ36)</f>
        <v>184</v>
      </c>
      <c r="AM36" s="203">
        <f t="shared" ref="AM36" si="142">SUM(AL36*$Z$4)</f>
        <v>1840</v>
      </c>
      <c r="AN36" s="35">
        <f t="shared" ref="AN36" si="143">SUM(AO36/19600)</f>
        <v>0.65714285714285714</v>
      </c>
      <c r="AO36" s="36">
        <f t="shared" ref="AO36" si="144">SUM(AA36+AC36+AE36+AG36+AI36+AK36+AM36)</f>
        <v>12880</v>
      </c>
      <c r="AQ36" s="223">
        <f t="shared" ref="AQ36" si="145">SUM(AR36/92970)</f>
        <v>0.58913523960209147</v>
      </c>
      <c r="AR36" s="38">
        <f t="shared" si="38"/>
        <v>54771.903225806447</v>
      </c>
      <c r="AS36" s="197">
        <f t="shared" si="39"/>
        <v>0</v>
      </c>
      <c r="AT36" s="355"/>
      <c r="AU36" s="593"/>
      <c r="AV36" s="587">
        <f t="shared" ref="AV36" si="146">IF(AT36&gt;0,AU36,AV35)</f>
        <v>1.0029999999999999</v>
      </c>
      <c r="AW36" s="290">
        <f>-SUM('B5'!AI35)</f>
        <v>0</v>
      </c>
      <c r="AX36" s="290">
        <f t="shared" ref="AX36" si="147">-SUM(AW36-AS36)</f>
        <v>0</v>
      </c>
      <c r="AY36" s="37">
        <f t="shared" ref="AY36" si="148">SUM(AX36+AW36)</f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3</v>
      </c>
      <c r="AT37" s="203">
        <f>SUM(AT6:AT36)</f>
        <v>38273.800000000003</v>
      </c>
      <c r="AU37" s="82">
        <f>SUM(AU6:AU36)/AS37</f>
        <v>0.98199999999999987</v>
      </c>
      <c r="AX37" s="203">
        <f>SUM(AX6:AX36)</f>
        <v>-53734.599999999984</v>
      </c>
      <c r="AY37" s="203">
        <f>SUM(AY6:AY36)</f>
        <v>-57217.799999999996</v>
      </c>
    </row>
    <row r="38" spans="1:60">
      <c r="AS38" s="206"/>
      <c r="AT38" s="82">
        <f>+AT37*AU37</f>
        <v>37584.871599999999</v>
      </c>
    </row>
    <row r="40" spans="1:60">
      <c r="AS40" s="165">
        <f>SUM(AS6:AS36)/'EDl log'!A35</f>
        <v>-2119.1777777777775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-1.2407259461081988</v>
      </c>
    </row>
  </sheetData>
  <mergeCells count="3">
    <mergeCell ref="AT3:AU3"/>
    <mergeCell ref="AS3:AS4"/>
    <mergeCell ref="AR3:AR4"/>
  </mergeCells>
  <conditionalFormatting sqref="AW6:AX36">
    <cfRule type="cellIs" dxfId="3" priority="5" stopIfTrue="1" operator="greaterThan">
      <formula>0</formula>
    </cfRule>
  </conditionalFormatting>
  <conditionalFormatting sqref="AT6:AU36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4" zoomScale="70" zoomScaleNormal="70" workbookViewId="0">
      <selection activeCell="L30" sqref="L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1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1314.2961290322469</v>
      </c>
      <c r="R4" s="297">
        <f>SUM(P4:Q4)</f>
        <v>1691.3585374204135</v>
      </c>
      <c r="S4" s="299">
        <f>SUM(ELEC!N3)</f>
        <v>8346</v>
      </c>
      <c r="T4" s="336">
        <f>IF(S4&gt;0,R4/S4,0)</f>
        <v>0.20265498890731051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697"/>
      <c r="AC4" s="698"/>
    </row>
    <row r="5" spans="1:32" ht="20.100000000000001" customHeight="1">
      <c r="A5" s="163">
        <f>ELEC!C4</f>
        <v>44318</v>
      </c>
      <c r="B5" s="607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07">
        <v>151431</v>
      </c>
      <c r="G5" s="160">
        <f t="shared" si="1"/>
        <v>339</v>
      </c>
      <c r="H5" s="607">
        <v>494679</v>
      </c>
      <c r="I5" s="161">
        <f t="shared" si="2"/>
        <v>1071</v>
      </c>
      <c r="J5" s="607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684.48567741935381</v>
      </c>
      <c r="R5" s="297">
        <f t="shared" ref="R5:R30" si="10">SUM(P5:Q5)</f>
        <v>1044.2054655753479</v>
      </c>
      <c r="S5" s="299">
        <f>SUM(ELEC!N4)</f>
        <v>6548</v>
      </c>
      <c r="T5" s="336">
        <f>IF(S5&gt;0,R5/S5,0)</f>
        <v>0.15946937470607025</v>
      </c>
      <c r="U5" s="250"/>
      <c r="V5" s="691"/>
      <c r="W5" s="692"/>
      <c r="X5" s="692"/>
      <c r="Y5" s="693"/>
      <c r="Z5" s="26" t="s">
        <v>203</v>
      </c>
      <c r="AA5" s="264">
        <f>'[8]EDl log'!AA22</f>
        <v>5000</v>
      </c>
      <c r="AB5" s="699"/>
      <c r="AC5" s="700"/>
    </row>
    <row r="6" spans="1:32" ht="20.100000000000001" customHeight="1">
      <c r="A6" s="163">
        <f>ELEC!C5</f>
        <v>44319</v>
      </c>
      <c r="B6" s="607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07">
        <v>151769</v>
      </c>
      <c r="G6" s="160">
        <f t="shared" si="1"/>
        <v>338</v>
      </c>
      <c r="H6" s="607">
        <v>495673</v>
      </c>
      <c r="I6" s="161">
        <f t="shared" si="2"/>
        <v>994</v>
      </c>
      <c r="J6" s="607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833.74967741933949</v>
      </c>
      <c r="R6" s="297">
        <f t="shared" si="10"/>
        <v>1183.7686363879375</v>
      </c>
      <c r="S6" s="299">
        <f>SUM(ELEC!N5)</f>
        <v>7179</v>
      </c>
      <c r="T6" s="336">
        <f t="shared" ref="T6:T30" si="12">IF(S6&gt;0,R6/S6,0)</f>
        <v>0.1648932492530906</v>
      </c>
      <c r="V6" s="694"/>
      <c r="W6" s="695"/>
      <c r="X6" s="695"/>
      <c r="Y6" s="696"/>
      <c r="Z6" s="3"/>
      <c r="AA6" s="3"/>
      <c r="AB6" s="699"/>
      <c r="AC6" s="700"/>
    </row>
    <row r="7" spans="1:32" ht="20.100000000000001" customHeight="1">
      <c r="A7" s="163">
        <f>ELEC!C6</f>
        <v>44320</v>
      </c>
      <c r="B7" s="607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07">
        <v>151883</v>
      </c>
      <c r="G7" s="160">
        <f t="shared" si="1"/>
        <v>114</v>
      </c>
      <c r="H7" s="607">
        <v>496424</v>
      </c>
      <c r="I7" s="161">
        <f t="shared" si="2"/>
        <v>751</v>
      </c>
      <c r="J7" s="607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1644.9133548387363</v>
      </c>
      <c r="R7" s="297">
        <f t="shared" si="10"/>
        <v>1933.8935078371849</v>
      </c>
      <c r="S7" s="299">
        <f>SUM(ELEC!N6)</f>
        <v>8383</v>
      </c>
      <c r="T7" s="336">
        <f t="shared" si="12"/>
        <v>0.23069229486307824</v>
      </c>
      <c r="V7" s="687" t="s">
        <v>204</v>
      </c>
      <c r="W7" s="688"/>
      <c r="X7" s="689" t="s">
        <v>205</v>
      </c>
      <c r="Y7" s="690"/>
      <c r="Z7" s="688"/>
      <c r="AA7" s="26"/>
      <c r="AB7" s="701"/>
      <c r="AC7" s="702"/>
    </row>
    <row r="8" spans="1:32" ht="20.100000000000001" customHeight="1">
      <c r="A8" s="163">
        <f>ELEC!C7</f>
        <v>44321</v>
      </c>
      <c r="B8" s="607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07">
        <v>152275</v>
      </c>
      <c r="G8" s="160">
        <f t="shared" si="1"/>
        <v>392</v>
      </c>
      <c r="H8" s="607">
        <v>497192</v>
      </c>
      <c r="I8" s="161">
        <f t="shared" si="2"/>
        <v>768</v>
      </c>
      <c r="J8" s="607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1714.6353548387076</v>
      </c>
      <c r="R8" s="297">
        <f t="shared" si="10"/>
        <v>2058.7956073396435</v>
      </c>
      <c r="S8" s="299">
        <f>SUM(ELEC!N7)</f>
        <v>4768</v>
      </c>
      <c r="T8" s="336">
        <f>IF(S8&gt;0,R8/S8,0)</f>
        <v>0.43179438073398563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07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07">
        <v>152555</v>
      </c>
      <c r="G9" s="160">
        <f t="shared" si="1"/>
        <v>280</v>
      </c>
      <c r="H9" s="607">
        <v>498020</v>
      </c>
      <c r="I9" s="161">
        <f t="shared" si="2"/>
        <v>828</v>
      </c>
      <c r="J9" s="607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983.67890322579319</v>
      </c>
      <c r="R9" s="297">
        <f>SUM(P9:Q9)</f>
        <v>1304.3831026587359</v>
      </c>
      <c r="S9" s="299">
        <f>SUM(ELEC!N8)</f>
        <v>3912</v>
      </c>
      <c r="T9" s="336">
        <f t="shared" si="12"/>
        <v>0.33343126346082208</v>
      </c>
      <c r="V9" s="254">
        <f>'[4]EDl log'!V26</f>
        <v>344256</v>
      </c>
      <c r="W9" s="254">
        <f>'[4]EDl log'!W26</f>
        <v>365756</v>
      </c>
      <c r="X9" s="254" t="s">
        <v>199</v>
      </c>
      <c r="Y9" s="642">
        <f>'[4]EDl log'!Y26</f>
        <v>80</v>
      </c>
      <c r="Z9" s="254">
        <v>1</v>
      </c>
      <c r="AA9" s="620">
        <f>'[4]EDl log'!AA26</f>
        <v>21500</v>
      </c>
      <c r="AB9" s="620">
        <f>'[4]EDl log'!AB26</f>
        <v>1720000</v>
      </c>
      <c r="AC9" s="620">
        <f>'[4]EDl log'!AC26</f>
        <v>1033333</v>
      </c>
      <c r="AD9" s="617">
        <f>'[4]EDl log'!AD26</f>
        <v>0.41224067185642516</v>
      </c>
    </row>
    <row r="10" spans="1:32" ht="20.100000000000001" customHeight="1">
      <c r="A10" s="163">
        <f>ELEC!C9</f>
        <v>44323</v>
      </c>
      <c r="B10" s="607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07">
        <v>152749</v>
      </c>
      <c r="G10" s="160">
        <f t="shared" si="1"/>
        <v>194</v>
      </c>
      <c r="H10" s="607">
        <v>498840</v>
      </c>
      <c r="I10" s="161">
        <f t="shared" si="2"/>
        <v>820</v>
      </c>
      <c r="J10" s="607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1945.0885806451756</v>
      </c>
      <c r="R10" s="297">
        <f t="shared" si="10"/>
        <v>2240.8932775905564</v>
      </c>
      <c r="S10" s="299">
        <f>SUM(ELEC!N9)</f>
        <v>8995.3999999999069</v>
      </c>
      <c r="T10" s="336">
        <f t="shared" si="12"/>
        <v>0.24911546763796824</v>
      </c>
      <c r="V10" s="254">
        <f>'[4]EDl log'!V27</f>
        <v>468436</v>
      </c>
      <c r="W10" s="254">
        <f>'[4]EDl log'!W27</f>
        <v>492400</v>
      </c>
      <c r="X10" s="254" t="s">
        <v>213</v>
      </c>
      <c r="Y10" s="642">
        <f>'[4]EDl log'!Y27</f>
        <v>112</v>
      </c>
      <c r="Z10" s="254">
        <v>1</v>
      </c>
      <c r="AA10" s="620">
        <f>'[4]EDl log'!AA27</f>
        <v>23964</v>
      </c>
      <c r="AB10" s="620">
        <f>'[4]EDl log'!AB27</f>
        <v>2683968</v>
      </c>
      <c r="AC10" s="620">
        <f>'[4]EDl log'!AC27</f>
        <v>6200000</v>
      </c>
      <c r="AD10" s="617">
        <f>'[4]EDl log'!AD27</f>
        <v>0.45948537024964525</v>
      </c>
    </row>
    <row r="11" spans="1:32" ht="20.100000000000001" customHeight="1">
      <c r="A11" s="163">
        <f>ELEC!C10</f>
        <v>44324</v>
      </c>
      <c r="B11" s="607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07">
        <v>152844</v>
      </c>
      <c r="G11" s="160">
        <f t="shared" si="1"/>
        <v>95</v>
      </c>
      <c r="H11" s="607">
        <v>499520</v>
      </c>
      <c r="I11" s="161">
        <f t="shared" si="2"/>
        <v>680</v>
      </c>
      <c r="J11" s="607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1954.9085806451399</v>
      </c>
      <c r="R11" s="297">
        <f t="shared" si="10"/>
        <v>2223.2771250200394</v>
      </c>
      <c r="S11" s="299">
        <f>SUM(ELEC!N10)</f>
        <v>8249.8000000002794</v>
      </c>
      <c r="T11" s="336">
        <f t="shared" si="12"/>
        <v>0.26949466957016704</v>
      </c>
      <c r="V11" s="254">
        <f>'[4]EDl log'!V28</f>
        <v>143963</v>
      </c>
      <c r="W11" s="254">
        <f>'[4]EDl log'!W28</f>
        <v>150653</v>
      </c>
      <c r="X11" s="254" t="s">
        <v>197</v>
      </c>
      <c r="Y11" s="642">
        <f>'[4]EDl log'!Y28</f>
        <v>320</v>
      </c>
      <c r="Z11" s="254">
        <v>1</v>
      </c>
      <c r="AA11" s="620">
        <f>'[4]EDl log'!AA28</f>
        <v>6690</v>
      </c>
      <c r="AB11" s="620">
        <f>'[4]EDl log'!AB28</f>
        <v>2140800</v>
      </c>
      <c r="AC11" s="620">
        <f>'[4]EDl log'!AC28</f>
        <v>1000</v>
      </c>
      <c r="AD11" s="617">
        <f>'[4]EDl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47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49">
        <v>153110</v>
      </c>
      <c r="G12" s="160">
        <f t="shared" si="1"/>
        <v>266</v>
      </c>
      <c r="H12" s="647">
        <v>500136</v>
      </c>
      <c r="I12" s="161">
        <f t="shared" si="2"/>
        <v>616</v>
      </c>
      <c r="J12" s="647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1765.6993548387291</v>
      </c>
      <c r="R12" s="297">
        <f t="shared" si="10"/>
        <v>2058.3411993794662</v>
      </c>
      <c r="S12" s="299">
        <f>SUM(ELEC!N11)</f>
        <v>9025.7999999998137</v>
      </c>
      <c r="T12" s="336">
        <f t="shared" si="12"/>
        <v>0.22805083199046164</v>
      </c>
      <c r="V12" s="561"/>
      <c r="W12" s="264"/>
      <c r="X12" s="3"/>
      <c r="Y12" s="264"/>
      <c r="Z12" s="559"/>
      <c r="AA12" s="620">
        <f>'[4]EDl log'!AA29</f>
        <v>52154</v>
      </c>
      <c r="AB12" s="620"/>
      <c r="AC12" s="621"/>
      <c r="AD12" s="618"/>
    </row>
    <row r="13" spans="1:32" ht="20.100000000000001" customHeight="1">
      <c r="A13" s="163">
        <f>ELEC!C12</f>
        <v>44326</v>
      </c>
      <c r="B13" s="607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07">
        <v>153293</v>
      </c>
      <c r="G13" s="160">
        <f t="shared" si="1"/>
        <v>183</v>
      </c>
      <c r="H13" s="607">
        <v>500776</v>
      </c>
      <c r="I13" s="161">
        <f t="shared" si="2"/>
        <v>640</v>
      </c>
      <c r="J13" s="607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2191.2538064516007</v>
      </c>
      <c r="R13" s="297">
        <f t="shared" si="10"/>
        <v>2482.8661319210278</v>
      </c>
      <c r="S13" s="299">
        <f>SUM(ELEC!N12)</f>
        <v>9481</v>
      </c>
      <c r="T13" s="336">
        <f>IF(S13&gt;0,R13/S13,0)</f>
        <v>0.26187808584759287</v>
      </c>
      <c r="V13" s="561" t="str">
        <f>'[8]EDl log'!V30</f>
        <v>Occ %</v>
      </c>
      <c r="W13" s="589">
        <f>'[1]EDl log'!W30</f>
        <v>0</v>
      </c>
      <c r="X13" s="503"/>
      <c r="Y13" s="264" t="str">
        <f>'[6]EDl log'!Y30</f>
        <v>Per G</v>
      </c>
      <c r="Z13" s="3"/>
      <c r="AA13" s="3"/>
      <c r="AB13" s="620">
        <f>'[4]EDl log'!AB30</f>
        <v>6544768</v>
      </c>
      <c r="AC13" s="642"/>
    </row>
    <row r="14" spans="1:32" ht="20.100000000000001" customHeight="1">
      <c r="A14" s="163">
        <f>ELEC!C13</f>
        <v>44327</v>
      </c>
      <c r="B14" s="607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07">
        <v>153429</v>
      </c>
      <c r="G14" s="160">
        <f t="shared" si="1"/>
        <v>136</v>
      </c>
      <c r="H14" s="607">
        <v>501555</v>
      </c>
      <c r="I14" s="161">
        <f t="shared" si="2"/>
        <v>779</v>
      </c>
      <c r="J14" s="607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-840.46529032257706</v>
      </c>
      <c r="R14" s="297">
        <f t="shared" ref="R14:R17" si="18">SUM(P14:Q14)</f>
        <v>-551.84599967902068</v>
      </c>
      <c r="S14" s="299">
        <f>SUM(ELEC!N13)</f>
        <v>9028</v>
      </c>
      <c r="T14" s="336">
        <f t="shared" ref="T14:T17" si="19">IF(S14&gt;0,R14/S14,0)</f>
        <v>-6.1126052246236226E-2</v>
      </c>
      <c r="V14" s="561" t="str">
        <f>'[8]EDl log'!V31</f>
        <v>Gen RH</v>
      </c>
      <c r="W14" s="590">
        <f>'[4]EDl log'!$W$33</f>
        <v>240</v>
      </c>
      <c r="X14" s="644">
        <f>'[4]EDl log'!$X$33</f>
        <v>8</v>
      </c>
      <c r="Y14" s="645">
        <f>'[4]EDl log'!$Y$33</f>
        <v>4</v>
      </c>
      <c r="Z14" s="264"/>
      <c r="AA14" s="3"/>
      <c r="AB14" s="643">
        <f>'[4]EDl log'!$AB$33</f>
        <v>13779101</v>
      </c>
      <c r="AC14" s="643">
        <f>'[4]EDl log'!$AC$33</f>
        <v>7234333</v>
      </c>
    </row>
    <row r="15" spans="1:32" ht="20.100000000000001" customHeight="1">
      <c r="A15" s="163">
        <f>ELEC!C14</f>
        <v>44328</v>
      </c>
      <c r="B15" s="607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07">
        <v>153620</v>
      </c>
      <c r="G15" s="160">
        <f t="shared" si="1"/>
        <v>191</v>
      </c>
      <c r="H15" s="607">
        <v>502210</v>
      </c>
      <c r="I15" s="161">
        <f t="shared" si="2"/>
        <v>655</v>
      </c>
      <c r="J15" s="607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2559.1870322580758</v>
      </c>
      <c r="R15" s="297">
        <f t="shared" si="18"/>
        <v>2824.6368369978181</v>
      </c>
      <c r="S15" s="299">
        <f>SUM(ELEC!N14)</f>
        <v>9411</v>
      </c>
      <c r="T15" s="336">
        <f t="shared" si="19"/>
        <v>0.3001420504726191</v>
      </c>
      <c r="V15" s="561" t="str">
        <f>'[8]EDl log'!V32</f>
        <v>H Deg</v>
      </c>
      <c r="W15" s="254">
        <f>'[4]Degree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07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07">
        <v>153788</v>
      </c>
      <c r="G16" s="160">
        <f t="shared" si="1"/>
        <v>168</v>
      </c>
      <c r="H16" s="607">
        <v>503101</v>
      </c>
      <c r="I16" s="161">
        <f t="shared" si="2"/>
        <v>891</v>
      </c>
      <c r="J16" s="607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2063.9105806451539</v>
      </c>
      <c r="R16" s="297">
        <f t="shared" si="18"/>
        <v>2352.837665650236</v>
      </c>
      <c r="S16" s="299">
        <f>SUM(ELEC!N15)</f>
        <v>9646</v>
      </c>
      <c r="T16" s="336">
        <f t="shared" si="19"/>
        <v>0.24391848078480571</v>
      </c>
      <c r="V16" s="561" t="str">
        <f>'[8]EDl log'!V33</f>
        <v>C Deg</v>
      </c>
      <c r="W16" s="254">
        <f>'[4]Degree Days 2020'!$O$43</f>
        <v>45.40000000000002</v>
      </c>
      <c r="X16" s="254"/>
      <c r="Y16" s="254"/>
      <c r="Z16" s="3"/>
      <c r="AA16" s="3"/>
      <c r="AB16" s="567">
        <f>'[4]EDl log'!$AB$35</f>
        <v>9140.3655058043114</v>
      </c>
      <c r="AC16" s="580"/>
    </row>
    <row r="17" spans="1:32" ht="20.100000000000001" customHeight="1">
      <c r="A17" s="163">
        <f>ELEC!C16</f>
        <v>44330</v>
      </c>
      <c r="B17" s="607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07">
        <v>153788</v>
      </c>
      <c r="G17" s="160">
        <f t="shared" si="1"/>
        <v>0</v>
      </c>
      <c r="H17" s="607">
        <v>503838</v>
      </c>
      <c r="I17" s="161">
        <f t="shared" si="2"/>
        <v>737</v>
      </c>
      <c r="J17" s="607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1719.5453548387004</v>
      </c>
      <c r="R17" s="297">
        <f t="shared" si="18"/>
        <v>1992.2548610709798</v>
      </c>
      <c r="S17" s="299">
        <f>SUM(ELEC!N16)</f>
        <v>8868</v>
      </c>
      <c r="T17" s="336">
        <f t="shared" si="19"/>
        <v>0.22465661491553673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'[5]EDl log'!AC34</f>
        <v>0</v>
      </c>
    </row>
    <row r="18" spans="1:32" ht="20.100000000000001" customHeight="1" thickBot="1">
      <c r="A18" s="163">
        <f>ELEC!C17</f>
        <v>44331</v>
      </c>
      <c r="B18" s="607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07">
        <v>154064</v>
      </c>
      <c r="G18" s="160">
        <f t="shared" si="1"/>
        <v>276</v>
      </c>
      <c r="H18" s="607">
        <v>504573</v>
      </c>
      <c r="I18" s="161">
        <f t="shared" si="2"/>
        <v>735</v>
      </c>
      <c r="J18" s="607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1601.7053548387291</v>
      </c>
      <c r="R18" s="297">
        <f t="shared" si="10"/>
        <v>1906.0539987161164</v>
      </c>
      <c r="S18" s="299">
        <f>SUM(ELEC!N17)</f>
        <v>7587</v>
      </c>
      <c r="T18" s="336">
        <f t="shared" si="12"/>
        <v>0.25122630798947099</v>
      </c>
      <c r="V18" s="228"/>
      <c r="W18" s="229"/>
      <c r="X18" s="229"/>
      <c r="Y18" s="430"/>
      <c r="Z18" s="503"/>
      <c r="AA18" s="578"/>
      <c r="AB18" s="577"/>
      <c r="AC18" s="559">
        <f>'[5]EDl log'!AC35</f>
        <v>0</v>
      </c>
    </row>
    <row r="19" spans="1:32" ht="20.100000000000001" customHeight="1" thickBot="1">
      <c r="A19" s="653">
        <f>ELEC!C18</f>
        <v>44332</v>
      </c>
      <c r="B19" s="607">
        <v>1037502</v>
      </c>
      <c r="C19" s="264">
        <f t="shared" si="0"/>
        <v>697</v>
      </c>
      <c r="D19" s="308">
        <f t="shared" si="7"/>
        <v>697</v>
      </c>
      <c r="E19" s="308">
        <f t="shared" si="11"/>
        <v>1037502</v>
      </c>
      <c r="F19" s="607">
        <v>154300</v>
      </c>
      <c r="G19" s="160">
        <f t="shared" si="1"/>
        <v>236</v>
      </c>
      <c r="H19" s="607">
        <v>504800</v>
      </c>
      <c r="I19" s="161">
        <f t="shared" si="2"/>
        <v>227</v>
      </c>
      <c r="J19" s="607">
        <v>378401</v>
      </c>
      <c r="K19" s="162">
        <f t="shared" si="3"/>
        <v>234</v>
      </c>
      <c r="L19" s="296">
        <f t="shared" si="20"/>
        <v>50.096185737976782</v>
      </c>
      <c r="M19" s="296">
        <f t="shared" si="21"/>
        <v>16.865008291873963</v>
      </c>
      <c r="N19" s="296">
        <f t="shared" si="22"/>
        <v>12.417910447761194</v>
      </c>
      <c r="O19" s="296">
        <f t="shared" si="8"/>
        <v>154.80303857058792</v>
      </c>
      <c r="P19" s="297">
        <f t="shared" si="9"/>
        <v>234.18214304819986</v>
      </c>
      <c r="Q19" s="297">
        <f>SUM(-tanks!AX21*tanks!$AU$37)</f>
        <v>3268.5394838709403</v>
      </c>
      <c r="R19" s="297">
        <f t="shared" si="10"/>
        <v>3502.7216269191404</v>
      </c>
      <c r="S19" s="299">
        <f>SUM(ELEC!N18)</f>
        <v>12839</v>
      </c>
      <c r="T19" s="336">
        <f t="shared" si="12"/>
        <v>0.27281888207174548</v>
      </c>
      <c r="V19" s="228"/>
      <c r="W19" s="229"/>
      <c r="X19" s="229"/>
      <c r="Y19" s="562"/>
      <c r="Z19" s="562"/>
      <c r="AA19" s="578"/>
      <c r="AB19" s="577"/>
      <c r="AC19" s="559">
        <f>'[5]EDl log'!AC36</f>
        <v>0</v>
      </c>
    </row>
    <row r="20" spans="1:32" ht="20.100000000000001" customHeight="1" thickBot="1">
      <c r="A20" s="163">
        <f>ELEC!C19</f>
        <v>44333</v>
      </c>
      <c r="B20" s="607">
        <v>1039767</v>
      </c>
      <c r="C20" s="264">
        <f t="shared" si="0"/>
        <v>2265</v>
      </c>
      <c r="D20" s="308">
        <f t="shared" si="7"/>
        <v>2264</v>
      </c>
      <c r="E20" s="308">
        <f t="shared" si="11"/>
        <v>1039766</v>
      </c>
      <c r="F20" s="607">
        <v>154501</v>
      </c>
      <c r="G20" s="160">
        <f t="shared" si="1"/>
        <v>201</v>
      </c>
      <c r="H20" s="607">
        <v>506049</v>
      </c>
      <c r="I20" s="161">
        <f t="shared" si="2"/>
        <v>1249</v>
      </c>
      <c r="J20" s="607">
        <v>379215</v>
      </c>
      <c r="K20" s="162">
        <f t="shared" si="3"/>
        <v>814</v>
      </c>
      <c r="L20" s="296">
        <f t="shared" si="20"/>
        <v>42.666666666666664</v>
      </c>
      <c r="M20" s="296">
        <f t="shared" si="21"/>
        <v>92.794693200663346</v>
      </c>
      <c r="N20" s="296">
        <f t="shared" si="22"/>
        <v>43.197346600331677</v>
      </c>
      <c r="O20" s="296">
        <f t="shared" si="8"/>
        <v>154.80303857058792</v>
      </c>
      <c r="P20" s="297">
        <f t="shared" si="9"/>
        <v>333.4617450382496</v>
      </c>
      <c r="Q20" s="297">
        <f>SUM(-tanks!AX22*tanks!$AU$37)</f>
        <v>2016.7745806451755</v>
      </c>
      <c r="R20" s="297">
        <f t="shared" si="10"/>
        <v>2350.2363256834251</v>
      </c>
      <c r="S20" s="299">
        <f>SUM(ELEC!N19)</f>
        <v>10089</v>
      </c>
      <c r="T20" s="336">
        <f t="shared" si="12"/>
        <v>0.23295037423762763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07">
        <v>1041509</v>
      </c>
      <c r="C21" s="264">
        <f t="shared" si="0"/>
        <v>1742</v>
      </c>
      <c r="D21" s="308">
        <f t="shared" si="7"/>
        <v>1743</v>
      </c>
      <c r="E21" s="308">
        <f t="shared" si="11"/>
        <v>1041510</v>
      </c>
      <c r="F21" s="607">
        <v>154501</v>
      </c>
      <c r="G21" s="160">
        <f t="shared" si="1"/>
        <v>0</v>
      </c>
      <c r="H21" s="607">
        <v>506766</v>
      </c>
      <c r="I21" s="161">
        <f t="shared" si="2"/>
        <v>717</v>
      </c>
      <c r="J21" s="607">
        <v>380241</v>
      </c>
      <c r="K21" s="162">
        <f t="shared" si="3"/>
        <v>1026</v>
      </c>
      <c r="L21" s="296">
        <f t="shared" si="20"/>
        <v>0</v>
      </c>
      <c r="M21" s="296">
        <f t="shared" si="21"/>
        <v>53.269651741293529</v>
      </c>
      <c r="N21" s="296">
        <f t="shared" si="22"/>
        <v>54.447761194029852</v>
      </c>
      <c r="O21" s="296">
        <f t="shared" si="8"/>
        <v>154.80303857058792</v>
      </c>
      <c r="P21" s="297">
        <f t="shared" si="9"/>
        <v>262.5204515059113</v>
      </c>
      <c r="Q21" s="297">
        <f>SUM(-tanks!AX23*tanks!$AU$37)</f>
        <v>2508.1230322580541</v>
      </c>
      <c r="R21" s="297">
        <f t="shared" si="10"/>
        <v>2770.6434837639654</v>
      </c>
      <c r="S21" s="299">
        <f>SUM(ELEC!N20)</f>
        <v>10297</v>
      </c>
      <c r="T21" s="336">
        <f t="shared" si="12"/>
        <v>0.26907288372962662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697"/>
      <c r="AC21" s="698"/>
    </row>
    <row r="22" spans="1:32" ht="20.100000000000001" customHeight="1">
      <c r="A22" s="163">
        <f>ELEC!C21</f>
        <v>44335</v>
      </c>
      <c r="B22" s="657">
        <v>1043337</v>
      </c>
      <c r="C22" s="264">
        <f t="shared" si="0"/>
        <v>1828</v>
      </c>
      <c r="D22" s="308">
        <f t="shared" si="7"/>
        <v>1828</v>
      </c>
      <c r="E22" s="308">
        <f t="shared" si="11"/>
        <v>1043337</v>
      </c>
      <c r="F22" s="649">
        <v>154650</v>
      </c>
      <c r="G22" s="160">
        <f t="shared" si="1"/>
        <v>149</v>
      </c>
      <c r="H22" s="657">
        <v>507784</v>
      </c>
      <c r="I22" s="161">
        <f t="shared" si="2"/>
        <v>1018</v>
      </c>
      <c r="J22" s="657">
        <v>380902</v>
      </c>
      <c r="K22" s="162">
        <f t="shared" si="3"/>
        <v>661</v>
      </c>
      <c r="L22" s="296">
        <f t="shared" si="20"/>
        <v>31.628524046434496</v>
      </c>
      <c r="M22" s="296">
        <f t="shared" si="21"/>
        <v>75.632504145936977</v>
      </c>
      <c r="N22" s="296">
        <f t="shared" si="22"/>
        <v>35.077943615257048</v>
      </c>
      <c r="O22" s="296">
        <f t="shared" si="8"/>
        <v>154.80303857058792</v>
      </c>
      <c r="P22" s="297">
        <f t="shared" si="9"/>
        <v>297.14201037821647</v>
      </c>
      <c r="Q22" s="297">
        <f>SUM(-tanks!AX24*tanks!$AU$37)</f>
        <v>2548.3850322580756</v>
      </c>
      <c r="R22" s="297">
        <f t="shared" si="10"/>
        <v>2845.5270426362922</v>
      </c>
      <c r="S22" s="299">
        <f>SUM(ELEC!N21)</f>
        <v>15339</v>
      </c>
      <c r="T22" s="336">
        <f t="shared" si="12"/>
        <v>0.18550929282458389</v>
      </c>
      <c r="V22" s="703"/>
      <c r="W22" s="704"/>
      <c r="X22" s="704"/>
      <c r="Y22" s="705"/>
      <c r="Z22" s="26" t="s">
        <v>203</v>
      </c>
      <c r="AA22" s="26">
        <v>5000</v>
      </c>
      <c r="AB22" s="699"/>
      <c r="AC22" s="700"/>
    </row>
    <row r="23" spans="1:32" ht="20.100000000000001" customHeight="1">
      <c r="A23" s="163">
        <f>ELEC!C22</f>
        <v>44336</v>
      </c>
      <c r="B23" s="607">
        <v>1044257</v>
      </c>
      <c r="C23" s="264">
        <f t="shared" si="0"/>
        <v>920</v>
      </c>
      <c r="D23" s="308">
        <f t="shared" si="7"/>
        <v>920</v>
      </c>
      <c r="E23" s="308">
        <f t="shared" si="11"/>
        <v>1044257</v>
      </c>
      <c r="F23" s="607">
        <v>154650</v>
      </c>
      <c r="G23" s="160">
        <f t="shared" si="1"/>
        <v>0</v>
      </c>
      <c r="H23" s="607">
        <v>508523</v>
      </c>
      <c r="I23" s="161">
        <f t="shared" si="2"/>
        <v>739</v>
      </c>
      <c r="J23" s="607">
        <v>381083</v>
      </c>
      <c r="K23" s="162">
        <f t="shared" si="3"/>
        <v>181</v>
      </c>
      <c r="L23" s="296">
        <f t="shared" si="20"/>
        <v>0</v>
      </c>
      <c r="M23" s="296">
        <f t="shared" si="21"/>
        <v>54.904145936981756</v>
      </c>
      <c r="N23" s="296">
        <f t="shared" si="22"/>
        <v>9.6053067993366508</v>
      </c>
      <c r="O23" s="296">
        <f t="shared" si="8"/>
        <v>154.80303857058792</v>
      </c>
      <c r="P23" s="297">
        <f t="shared" si="9"/>
        <v>219.31249130690634</v>
      </c>
      <c r="Q23" s="297">
        <f>SUM(-tanks!AX25*tanks!$AU$37)</f>
        <v>1527.4471483870916</v>
      </c>
      <c r="R23" s="297">
        <f t="shared" si="10"/>
        <v>1746.759639693998</v>
      </c>
      <c r="S23" s="299">
        <f>SUM(ELEC!N22)</f>
        <v>8897</v>
      </c>
      <c r="T23" s="336">
        <f t="shared" si="12"/>
        <v>0.19633130714780239</v>
      </c>
      <c r="V23" s="706"/>
      <c r="W23" s="707"/>
      <c r="X23" s="707"/>
      <c r="Y23" s="708"/>
      <c r="Z23" s="709"/>
      <c r="AA23" s="710"/>
      <c r="AB23" s="699"/>
      <c r="AC23" s="700"/>
    </row>
    <row r="24" spans="1:32" ht="20.100000000000001" customHeight="1">
      <c r="A24" s="163">
        <f>ELEC!C23</f>
        <v>44337</v>
      </c>
      <c r="B24" s="607">
        <v>1045564</v>
      </c>
      <c r="C24" s="264">
        <f t="shared" si="0"/>
        <v>1307</v>
      </c>
      <c r="D24" s="308">
        <f t="shared" si="7"/>
        <v>1307</v>
      </c>
      <c r="E24" s="308">
        <f t="shared" si="11"/>
        <v>1045564</v>
      </c>
      <c r="F24" s="607">
        <v>154794</v>
      </c>
      <c r="G24" s="160">
        <f t="shared" si="1"/>
        <v>144</v>
      </c>
      <c r="H24" s="607">
        <v>509013</v>
      </c>
      <c r="I24" s="161">
        <f t="shared" si="2"/>
        <v>490</v>
      </c>
      <c r="J24" s="607">
        <v>381756</v>
      </c>
      <c r="K24" s="162">
        <f t="shared" si="3"/>
        <v>673</v>
      </c>
      <c r="L24" s="296">
        <f t="shared" si="20"/>
        <v>30.567164179104477</v>
      </c>
      <c r="M24" s="296">
        <f t="shared" si="21"/>
        <v>36.404643449419567</v>
      </c>
      <c r="N24" s="296">
        <f t="shared" si="22"/>
        <v>35.714759535655055</v>
      </c>
      <c r="O24" s="296">
        <f t="shared" si="8"/>
        <v>154.80303857058792</v>
      </c>
      <c r="P24" s="297">
        <f t="shared" si="9"/>
        <v>257.489605734767</v>
      </c>
      <c r="Q24" s="297">
        <f>SUM(-tanks!AX26*tanks!$AU$37)</f>
        <v>2505.1770322580755</v>
      </c>
      <c r="R24" s="297">
        <f t="shared" si="10"/>
        <v>2762.6666379928424</v>
      </c>
      <c r="S24" s="299">
        <f>SUM(ELEC!N23)</f>
        <v>10235</v>
      </c>
      <c r="T24" s="336">
        <f t="shared" si="12"/>
        <v>0.26992346243212922</v>
      </c>
      <c r="V24" s="711" t="s">
        <v>204</v>
      </c>
      <c r="W24" s="712"/>
      <c r="X24" s="713" t="s">
        <v>205</v>
      </c>
      <c r="Y24" s="714"/>
      <c r="Z24" s="715"/>
      <c r="AA24" s="170"/>
      <c r="AB24" s="701"/>
      <c r="AC24" s="702"/>
    </row>
    <row r="25" spans="1:32" ht="20.100000000000001" customHeight="1">
      <c r="A25" s="163">
        <f>ELEC!C24</f>
        <v>44338</v>
      </c>
      <c r="B25" s="607">
        <v>1046532</v>
      </c>
      <c r="C25" s="264">
        <f t="shared" si="0"/>
        <v>968</v>
      </c>
      <c r="D25" s="308">
        <f t="shared" si="7"/>
        <v>968</v>
      </c>
      <c r="E25" s="308">
        <f t="shared" si="11"/>
        <v>1046532</v>
      </c>
      <c r="F25" s="607">
        <v>154794</v>
      </c>
      <c r="G25" s="160">
        <f t="shared" si="1"/>
        <v>0</v>
      </c>
      <c r="H25" s="607">
        <v>509781</v>
      </c>
      <c r="I25" s="161">
        <f t="shared" si="2"/>
        <v>768</v>
      </c>
      <c r="J25" s="607">
        <v>381956</v>
      </c>
      <c r="K25" s="162">
        <f t="shared" si="3"/>
        <v>200</v>
      </c>
      <c r="L25" s="296">
        <f t="shared" si="20"/>
        <v>0</v>
      </c>
      <c r="M25" s="296">
        <f t="shared" si="21"/>
        <v>57.058706467661693</v>
      </c>
      <c r="N25" s="296">
        <f t="shared" si="22"/>
        <v>10.613598673300165</v>
      </c>
      <c r="O25" s="296">
        <f t="shared" si="8"/>
        <v>154.80303857058792</v>
      </c>
      <c r="P25" s="297">
        <f t="shared" si="9"/>
        <v>222.47534371154978</v>
      </c>
      <c r="Q25" s="297">
        <f>SUM(-tanks!AX27*tanks!$AU$37)</f>
        <v>3487.2087096773939</v>
      </c>
      <c r="R25" s="297">
        <f t="shared" si="10"/>
        <v>3709.6840533889435</v>
      </c>
      <c r="S25" s="299">
        <f>SUM(ELEC!N24)</f>
        <v>12191</v>
      </c>
      <c r="T25" s="336">
        <f t="shared" si="12"/>
        <v>0.30429694474521723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07">
        <v>1048219</v>
      </c>
      <c r="C26" s="264">
        <f t="shared" si="0"/>
        <v>1687</v>
      </c>
      <c r="D26" s="308">
        <f t="shared" si="7"/>
        <v>1688</v>
      </c>
      <c r="E26" s="308">
        <f t="shared" si="11"/>
        <v>1048220</v>
      </c>
      <c r="F26" s="607">
        <v>155137</v>
      </c>
      <c r="G26" s="160">
        <f t="shared" si="1"/>
        <v>343</v>
      </c>
      <c r="H26" s="607">
        <v>510531</v>
      </c>
      <c r="I26" s="161">
        <f t="shared" si="2"/>
        <v>750</v>
      </c>
      <c r="J26" s="607">
        <v>382551</v>
      </c>
      <c r="K26" s="162">
        <f t="shared" si="3"/>
        <v>595</v>
      </c>
      <c r="L26" s="296">
        <f t="shared" si="20"/>
        <v>72.809286898839133</v>
      </c>
      <c r="M26" s="296">
        <f t="shared" si="21"/>
        <v>55.721393034825873</v>
      </c>
      <c r="N26" s="296">
        <f t="shared" si="22"/>
        <v>31.575456053067992</v>
      </c>
      <c r="O26" s="296">
        <f t="shared" si="8"/>
        <v>154.80303857058792</v>
      </c>
      <c r="P26" s="297">
        <f t="shared" si="9"/>
        <v>314.90917455732091</v>
      </c>
      <c r="Q26" s="297">
        <f>SUM(-tanks!AX28*tanks!$AU$37)</f>
        <v>1773.555354838722</v>
      </c>
      <c r="R26" s="297">
        <f t="shared" si="10"/>
        <v>2088.464529396043</v>
      </c>
      <c r="S26" s="299">
        <f>SUM(ELEC!N25)</f>
        <v>8568</v>
      </c>
      <c r="T26" s="336">
        <f t="shared" si="12"/>
        <v>0.24375169577451483</v>
      </c>
      <c r="V26" s="254">
        <f>W9</f>
        <v>365756</v>
      </c>
      <c r="W26" s="170">
        <f>J34</f>
        <v>384519</v>
      </c>
      <c r="X26" s="172" t="s">
        <v>199</v>
      </c>
      <c r="Y26" s="172">
        <v>80</v>
      </c>
      <c r="Z26" s="172">
        <v>1</v>
      </c>
      <c r="AA26" s="338">
        <f>(W26-V26)*Z26</f>
        <v>18763</v>
      </c>
      <c r="AB26" s="338">
        <f>AA26*Y26</f>
        <v>1501040</v>
      </c>
      <c r="AC26" s="249">
        <f>AC9</f>
        <v>1033333</v>
      </c>
      <c r="AD26" s="616">
        <f>SUM(K36)</f>
        <v>0.4233433361160624</v>
      </c>
    </row>
    <row r="27" spans="1:32" ht="20.100000000000001" customHeight="1">
      <c r="A27" s="163">
        <f>ELEC!C26</f>
        <v>44340</v>
      </c>
      <c r="B27" s="607">
        <v>1049003</v>
      </c>
      <c r="C27" s="264">
        <f t="shared" si="0"/>
        <v>784</v>
      </c>
      <c r="D27" s="308">
        <f t="shared" si="7"/>
        <v>790</v>
      </c>
      <c r="E27" s="308">
        <f t="shared" si="11"/>
        <v>1049009</v>
      </c>
      <c r="F27" s="607">
        <v>155137</v>
      </c>
      <c r="G27" s="160">
        <f t="shared" si="1"/>
        <v>0</v>
      </c>
      <c r="H27" s="607">
        <v>511109</v>
      </c>
      <c r="I27" s="161">
        <f t="shared" si="2"/>
        <v>578</v>
      </c>
      <c r="J27" s="607">
        <v>382763</v>
      </c>
      <c r="K27" s="162">
        <f t="shared" si="3"/>
        <v>212</v>
      </c>
      <c r="L27" s="296">
        <f t="shared" si="20"/>
        <v>0</v>
      </c>
      <c r="M27" s="296">
        <f t="shared" si="21"/>
        <v>42.942620232172473</v>
      </c>
      <c r="N27" s="296">
        <f t="shared" si="22"/>
        <v>11.250414593698176</v>
      </c>
      <c r="O27" s="296">
        <f t="shared" si="8"/>
        <v>154.80303857058792</v>
      </c>
      <c r="P27" s="297">
        <f t="shared" si="9"/>
        <v>208.99607339645857</v>
      </c>
      <c r="Q27" s="297">
        <f>SUM(-tanks!AX29*tanks!$AU$37)</f>
        <v>1964.120374193549</v>
      </c>
      <c r="R27" s="297">
        <f t="shared" si="10"/>
        <v>2173.1164475900077</v>
      </c>
      <c r="S27" s="299">
        <f>SUM(ELEC!N26)</f>
        <v>13728</v>
      </c>
      <c r="T27" s="336">
        <f t="shared" si="12"/>
        <v>0.15829810952724416</v>
      </c>
      <c r="V27" s="254">
        <f t="shared" ref="V27:V28" si="23">W10</f>
        <v>492400</v>
      </c>
      <c r="W27" s="170">
        <f>H34</f>
        <v>513001</v>
      </c>
      <c r="X27" s="172" t="s">
        <v>213</v>
      </c>
      <c r="Y27" s="172">
        <v>112</v>
      </c>
      <c r="Z27" s="172">
        <v>1</v>
      </c>
      <c r="AA27" s="338">
        <f>(W27-V27)*Z27</f>
        <v>20601</v>
      </c>
      <c r="AB27" s="338">
        <f>SUM(AA27*Y27)</f>
        <v>2307312</v>
      </c>
      <c r="AC27" s="249">
        <f>AC10</f>
        <v>6200000</v>
      </c>
      <c r="AD27" s="616">
        <f>SUM(I36)</f>
        <v>0.46481351955055167</v>
      </c>
    </row>
    <row r="28" spans="1:32" ht="20.100000000000001" customHeight="1">
      <c r="A28" s="163">
        <f>ELEC!C27</f>
        <v>44341</v>
      </c>
      <c r="B28" s="607">
        <v>1050985</v>
      </c>
      <c r="C28" s="264">
        <f t="shared" si="0"/>
        <v>1982</v>
      </c>
      <c r="D28" s="308">
        <f t="shared" si="7"/>
        <v>1976</v>
      </c>
      <c r="E28" s="308">
        <f t="shared" si="11"/>
        <v>1050979</v>
      </c>
      <c r="F28" s="607">
        <v>155451</v>
      </c>
      <c r="G28" s="160">
        <f t="shared" si="1"/>
        <v>314</v>
      </c>
      <c r="H28" s="607">
        <v>511868</v>
      </c>
      <c r="I28" s="161">
        <f t="shared" si="2"/>
        <v>759</v>
      </c>
      <c r="J28" s="607">
        <v>383666</v>
      </c>
      <c r="K28" s="162">
        <f t="shared" si="3"/>
        <v>903</v>
      </c>
      <c r="L28" s="296">
        <f t="shared" si="20"/>
        <v>66.653399668325036</v>
      </c>
      <c r="M28" s="296">
        <f t="shared" si="21"/>
        <v>56.390049751243779</v>
      </c>
      <c r="N28" s="296">
        <f t="shared" si="22"/>
        <v>47.920398009950247</v>
      </c>
      <c r="O28" s="296">
        <f t="shared" si="8"/>
        <v>154.80303857058792</v>
      </c>
      <c r="P28" s="297">
        <f t="shared" si="9"/>
        <v>325.76688600010698</v>
      </c>
      <c r="Q28" s="297">
        <f>SUM(-tanks!AX30*tanks!$AU$37)</f>
        <v>2019.720580645147</v>
      </c>
      <c r="R28" s="297">
        <f t="shared" si="10"/>
        <v>2345.4874666452542</v>
      </c>
      <c r="S28" s="299">
        <f>SUM(ELEC!N27)</f>
        <v>9803</v>
      </c>
      <c r="T28" s="336">
        <f t="shared" si="12"/>
        <v>0.23926221224576705</v>
      </c>
      <c r="V28" s="254">
        <f t="shared" si="23"/>
        <v>150653</v>
      </c>
      <c r="W28" s="170">
        <f>F34</f>
        <v>155610</v>
      </c>
      <c r="X28" s="172" t="s">
        <v>197</v>
      </c>
      <c r="Y28" s="172">
        <v>320</v>
      </c>
      <c r="Z28" s="172">
        <v>1</v>
      </c>
      <c r="AA28" s="338">
        <f>(W28-V28)*Z28</f>
        <v>4957</v>
      </c>
      <c r="AB28" s="338">
        <f>SUM(AA28*Y28)</f>
        <v>1586240</v>
      </c>
      <c r="AC28" s="249">
        <f>AC11</f>
        <v>1000</v>
      </c>
      <c r="AD28" s="616">
        <f>SUM(G36)</f>
        <v>0.11184314433338598</v>
      </c>
      <c r="AE28" s="40">
        <f>SUM(AB28*5%)</f>
        <v>79312</v>
      </c>
      <c r="AF28" s="82">
        <f>SUM(AE28/7)*31</f>
        <v>351238.8571428571</v>
      </c>
    </row>
    <row r="29" spans="1:32" ht="20.100000000000001" customHeight="1">
      <c r="A29" s="163">
        <f>ELEC!C28</f>
        <v>44342</v>
      </c>
      <c r="B29" s="607">
        <v>1051724</v>
      </c>
      <c r="C29" s="264">
        <f t="shared" si="0"/>
        <v>739</v>
      </c>
      <c r="D29" s="308">
        <f t="shared" si="7"/>
        <v>728</v>
      </c>
      <c r="E29" s="308">
        <f t="shared" si="11"/>
        <v>1051713</v>
      </c>
      <c r="F29" s="607">
        <v>155451</v>
      </c>
      <c r="G29" s="160">
        <f t="shared" si="1"/>
        <v>0</v>
      </c>
      <c r="H29" s="607">
        <v>512392</v>
      </c>
      <c r="I29" s="161">
        <f t="shared" si="2"/>
        <v>524</v>
      </c>
      <c r="J29" s="607">
        <v>383870</v>
      </c>
      <c r="K29" s="162">
        <f t="shared" si="3"/>
        <v>204</v>
      </c>
      <c r="L29" s="296">
        <f t="shared" si="20"/>
        <v>0</v>
      </c>
      <c r="M29" s="296">
        <f t="shared" si="21"/>
        <v>38.930679933665012</v>
      </c>
      <c r="N29" s="296">
        <f t="shared" si="22"/>
        <v>10.82587064676617</v>
      </c>
      <c r="O29" s="296">
        <f t="shared" si="8"/>
        <v>154.80303857058792</v>
      </c>
      <c r="P29" s="297">
        <f t="shared" si="9"/>
        <v>204.55958915101911</v>
      </c>
      <c r="Q29" s="297">
        <f>SUM(-tanks!AX31*tanks!$AU$37)</f>
        <v>4104.2531612903222</v>
      </c>
      <c r="R29" s="297">
        <f t="shared" si="10"/>
        <v>4308.8127504413414</v>
      </c>
      <c r="S29" s="299">
        <f>SUM(ELEC!N28)</f>
        <v>14177</v>
      </c>
      <c r="T29" s="336">
        <f t="shared" si="12"/>
        <v>0.30392979829592592</v>
      </c>
      <c r="V29" s="213"/>
      <c r="W29" s="214"/>
      <c r="X29" s="214"/>
      <c r="Y29" s="215"/>
      <c r="Z29" s="3"/>
      <c r="AA29" s="338">
        <f>SUM(AA26:AA28)</f>
        <v>44321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07">
        <v>1053131</v>
      </c>
      <c r="C30" s="264">
        <f t="shared" si="0"/>
        <v>1407</v>
      </c>
      <c r="D30" s="308">
        <f t="shared" si="7"/>
        <v>1417</v>
      </c>
      <c r="E30" s="308">
        <f t="shared" si="11"/>
        <v>1053141</v>
      </c>
      <c r="F30" s="607">
        <v>155610</v>
      </c>
      <c r="G30" s="160">
        <f t="shared" si="1"/>
        <v>159</v>
      </c>
      <c r="H30" s="607">
        <v>513001</v>
      </c>
      <c r="I30" s="161">
        <f t="shared" si="2"/>
        <v>609</v>
      </c>
      <c r="J30" s="607">
        <v>384519</v>
      </c>
      <c r="K30" s="162">
        <f t="shared" si="3"/>
        <v>649</v>
      </c>
      <c r="L30" s="296">
        <f t="shared" si="20"/>
        <v>33.75124378109453</v>
      </c>
      <c r="M30" s="296">
        <f t="shared" si="21"/>
        <v>45.245771144278606</v>
      </c>
      <c r="N30" s="296">
        <f t="shared" si="22"/>
        <v>34.441127694859041</v>
      </c>
      <c r="O30" s="296">
        <f t="shared" si="8"/>
        <v>154.80303857058792</v>
      </c>
      <c r="P30" s="297">
        <f t="shared" si="9"/>
        <v>268.2411811908201</v>
      </c>
      <c r="Q30" s="297">
        <f>SUM(-tanks!AX32*tanks!$AU$37)</f>
        <v>2907.4802580645223</v>
      </c>
      <c r="R30" s="297">
        <f t="shared" si="10"/>
        <v>3175.7214392553424</v>
      </c>
      <c r="S30" s="299">
        <f>SUM(ELEC!N29)</f>
        <v>11827</v>
      </c>
      <c r="T30" s="336">
        <f t="shared" si="12"/>
        <v>0.26851453785874208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5394592</v>
      </c>
      <c r="AC30" s="249"/>
    </row>
    <row r="31" spans="1:32" ht="20.100000000000001" customHeight="1">
      <c r="A31" s="163">
        <f>ELEC!C30</f>
        <v>44344</v>
      </c>
      <c r="B31" s="607">
        <f t="shared" ref="B30:B34" si="24">B30</f>
        <v>1053131</v>
      </c>
      <c r="C31" s="264">
        <f t="shared" ref="C31:C33" si="25">SUM(B31-B30)</f>
        <v>0</v>
      </c>
      <c r="D31" s="308">
        <f t="shared" ref="D31:D33" si="26">SUM(G31+I31+K31)</f>
        <v>0</v>
      </c>
      <c r="E31" s="308">
        <f t="shared" ref="E31:E33" si="27">B30+D31</f>
        <v>1053131</v>
      </c>
      <c r="F31" s="607">
        <f t="shared" ref="F30:F34" si="28">F30</f>
        <v>155610</v>
      </c>
      <c r="G31" s="160">
        <f t="shared" ref="G31:G33" si="29">F31-F30</f>
        <v>0</v>
      </c>
      <c r="H31" s="607">
        <f t="shared" ref="H30:H34" si="30">H30</f>
        <v>513001</v>
      </c>
      <c r="I31" s="161">
        <f t="shared" ref="I31:I33" si="31">H31-H30</f>
        <v>0</v>
      </c>
      <c r="J31" s="607">
        <f t="shared" ref="J30:J34" si="32">J30</f>
        <v>384519</v>
      </c>
      <c r="K31" s="162">
        <f t="shared" ref="K31:K33" si="33">J31-J30</f>
        <v>0</v>
      </c>
      <c r="L31" s="296">
        <f t="shared" ref="L31:L33" si="34">SUM(G31*$Y$28)/1507.5</f>
        <v>0</v>
      </c>
      <c r="M31" s="296">
        <f t="shared" ref="M31:M33" si="35">SUM(I31*$Y$27)/1507.5</f>
        <v>0</v>
      </c>
      <c r="N31" s="296">
        <f t="shared" ref="N31:N33" si="36">SUM(K31*$Y$26)/1507.5</f>
        <v>0</v>
      </c>
      <c r="O31" s="296">
        <f t="shared" si="8"/>
        <v>154.80303857058792</v>
      </c>
      <c r="P31" s="297">
        <f t="shared" ref="P31:P33" si="37">SUM(L31:O31)</f>
        <v>154.80303857058792</v>
      </c>
      <c r="Q31" s="297">
        <f>SUM(-tanks!AX33*tanks!$AU$37)</f>
        <v>0</v>
      </c>
      <c r="R31" s="297">
        <f t="shared" ref="R31:R33" si="38">SUM(P31:Q31)</f>
        <v>154.80303857058792</v>
      </c>
      <c r="S31" s="299">
        <f>SUM(ELEC!N30)</f>
        <v>0</v>
      </c>
      <c r="T31" s="336">
        <f t="shared" ref="T31:T33" si="39">IF(S31&gt;0,R31/S31,0)</f>
        <v>0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07">
        <f t="shared" si="24"/>
        <v>1053131</v>
      </c>
      <c r="C32" s="264">
        <f t="shared" si="25"/>
        <v>0</v>
      </c>
      <c r="D32" s="308">
        <f t="shared" si="26"/>
        <v>0</v>
      </c>
      <c r="E32" s="308">
        <f t="shared" si="27"/>
        <v>1053131</v>
      </c>
      <c r="F32" s="607">
        <f t="shared" si="28"/>
        <v>155610</v>
      </c>
      <c r="G32" s="160">
        <f t="shared" si="29"/>
        <v>0</v>
      </c>
      <c r="H32" s="607">
        <f t="shared" si="30"/>
        <v>513001</v>
      </c>
      <c r="I32" s="161">
        <f t="shared" si="31"/>
        <v>0</v>
      </c>
      <c r="J32" s="607">
        <f t="shared" si="32"/>
        <v>384519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8"/>
        <v>154.80303857058792</v>
      </c>
      <c r="P32" s="297">
        <f t="shared" si="37"/>
        <v>154.80303857058792</v>
      </c>
      <c r="Q32" s="297">
        <f>SUM(-tanks!AX34*tanks!$AU$37)</f>
        <v>0</v>
      </c>
      <c r="R32" s="297">
        <f t="shared" si="38"/>
        <v>154.80303857058792</v>
      </c>
      <c r="S32" s="299">
        <f>SUM(ELEC!N31)</f>
        <v>0</v>
      </c>
      <c r="T32" s="336">
        <f t="shared" si="39"/>
        <v>0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07">
        <f t="shared" si="24"/>
        <v>1053131</v>
      </c>
      <c r="C33" s="264">
        <f t="shared" si="25"/>
        <v>0</v>
      </c>
      <c r="D33" s="308">
        <f t="shared" si="26"/>
        <v>0</v>
      </c>
      <c r="E33" s="308">
        <f t="shared" si="27"/>
        <v>1053131</v>
      </c>
      <c r="F33" s="607">
        <f t="shared" si="28"/>
        <v>155610</v>
      </c>
      <c r="G33" s="160">
        <f t="shared" si="29"/>
        <v>0</v>
      </c>
      <c r="H33" s="607">
        <f t="shared" si="30"/>
        <v>513001</v>
      </c>
      <c r="I33" s="161">
        <f t="shared" si="31"/>
        <v>0</v>
      </c>
      <c r="J33" s="607">
        <f t="shared" si="32"/>
        <v>384519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8"/>
        <v>154.80303857058792</v>
      </c>
      <c r="P33" s="297">
        <f t="shared" si="37"/>
        <v>154.80303857058792</v>
      </c>
      <c r="Q33" s="297">
        <f>SUM(-tanks!AX35*tanks!$AU$37)</f>
        <v>0</v>
      </c>
      <c r="R33" s="297">
        <f t="shared" si="38"/>
        <v>154.80303857058792</v>
      </c>
      <c r="S33" s="299">
        <f>SUM(ELEC!N32)</f>
        <v>0</v>
      </c>
      <c r="T33" s="336">
        <f t="shared" si="39"/>
        <v>0</v>
      </c>
      <c r="V33" s="216" t="s">
        <v>317</v>
      </c>
      <c r="W33" s="590">
        <f>'Utility Cost '!B18</f>
        <v>274</v>
      </c>
      <c r="X33" s="222">
        <f>SUM(W33/A35)</f>
        <v>10.148148148148149</v>
      </c>
      <c r="Y33" s="260">
        <f>SUM(X33/1)</f>
        <v>10.148148148148149</v>
      </c>
      <c r="Z33" s="3"/>
      <c r="AA33" s="3"/>
      <c r="AB33" s="536">
        <f>SUM(AB30+AC33)</f>
        <v>12628925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07">
        <f t="shared" si="24"/>
        <v>1053131</v>
      </c>
      <c r="C34" s="264">
        <f t="shared" ref="C34" si="40">SUM(B34-B33)</f>
        <v>0</v>
      </c>
      <c r="D34" s="308">
        <f t="shared" ref="D34" si="41">SUM(G34+I34+K34)</f>
        <v>0</v>
      </c>
      <c r="E34" s="308">
        <f t="shared" ref="E34" si="42">B33+D34</f>
        <v>1053131</v>
      </c>
      <c r="F34" s="607">
        <f t="shared" si="28"/>
        <v>155610</v>
      </c>
      <c r="G34" s="160">
        <f t="shared" ref="G34" si="43">F34-F33</f>
        <v>0</v>
      </c>
      <c r="H34" s="607">
        <f t="shared" si="30"/>
        <v>513001</v>
      </c>
      <c r="I34" s="161">
        <f t="shared" ref="I34" si="44">H34-H33</f>
        <v>0</v>
      </c>
      <c r="J34" s="607">
        <f t="shared" si="32"/>
        <v>384519</v>
      </c>
      <c r="K34" s="162">
        <f t="shared" ref="K34" si="45">J34-J33</f>
        <v>0</v>
      </c>
      <c r="L34" s="296">
        <f t="shared" ref="L34" si="46">SUM(G34*$Y$28)/1507.5</f>
        <v>0</v>
      </c>
      <c r="M34" s="296">
        <f t="shared" ref="M34" si="47">SUM(I34*$Y$27)/1507.5</f>
        <v>0</v>
      </c>
      <c r="N34" s="296">
        <f t="shared" ref="N34" si="48">SUM(K34*$Y$26)/1507.5</f>
        <v>0</v>
      </c>
      <c r="O34" s="296">
        <f t="shared" si="8"/>
        <v>154.80303857058792</v>
      </c>
      <c r="P34" s="297">
        <f t="shared" ref="P34" si="49">SUM(L34:O34)</f>
        <v>154.80303857058792</v>
      </c>
      <c r="Q34" s="297">
        <f>SUM(-tanks!AX36*tanks!$AU$37)</f>
        <v>0</v>
      </c>
      <c r="R34" s="297">
        <f t="shared" ref="R34" si="50">SUM(P34:Q34)</f>
        <v>154.80303857058792</v>
      </c>
      <c r="S34" s="299">
        <f>SUM(ELEC!N33)</f>
        <v>0</v>
      </c>
      <c r="T34" s="336">
        <f t="shared" ref="T34" si="51">IF(S34&gt;0,R34/S34,0)</f>
        <v>0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27</v>
      </c>
      <c r="C35" s="173">
        <f>SUM(C4:C33)/A35</f>
        <v>1641.5185185185185</v>
      </c>
      <c r="D35" s="173"/>
      <c r="E35" s="173"/>
      <c r="G35" s="173">
        <f>SUM(G4:G33)/A35</f>
        <v>183.59259259259258</v>
      </c>
      <c r="I35" s="173">
        <f>SUM(I4:I33)/A35</f>
        <v>763</v>
      </c>
      <c r="K35" s="173">
        <f>SUM(K4:K33)/A35</f>
        <v>694.92592592592598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16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0.11184314433338598</v>
      </c>
      <c r="H36" s="212"/>
      <c r="I36" s="225">
        <f>SUM(I35/C35)</f>
        <v>0.46481351955055167</v>
      </c>
      <c r="J36" s="212"/>
      <c r="K36" s="225">
        <f>SUM(K35/C35)</f>
        <v>0.4233433361160624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8377.3963515754567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8377.3963515754567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19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16"/>
      <c r="AC45" s="716"/>
      <c r="AD45" s="619"/>
      <c r="AE45" s="17"/>
      <c r="AF45" s="17"/>
    </row>
    <row r="46" spans="1:32">
      <c r="V46" s="716"/>
      <c r="W46" s="716"/>
      <c r="X46" s="716"/>
      <c r="Y46" s="716"/>
      <c r="Z46" s="540"/>
      <c r="AA46" s="540"/>
      <c r="AB46" s="716"/>
      <c r="AC46" s="716"/>
      <c r="AD46" s="619"/>
      <c r="AE46" s="17"/>
      <c r="AF46" s="17"/>
    </row>
    <row r="47" spans="1:32">
      <c r="V47" s="716"/>
      <c r="W47" s="716"/>
      <c r="X47" s="716"/>
      <c r="Y47" s="716"/>
      <c r="Z47" s="716"/>
      <c r="AA47" s="716"/>
      <c r="AB47" s="716"/>
      <c r="AC47" s="716"/>
      <c r="AD47" s="619"/>
      <c r="AE47" s="17"/>
      <c r="AF47" s="17"/>
    </row>
    <row r="48" spans="1:32">
      <c r="V48" s="717"/>
      <c r="W48" s="717"/>
      <c r="X48" s="718"/>
      <c r="Y48" s="718"/>
      <c r="Z48" s="718"/>
      <c r="AA48" s="541"/>
      <c r="AB48" s="716"/>
      <c r="AC48" s="716"/>
      <c r="AD48" s="619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19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19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19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19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19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19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1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1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1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19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19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1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1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19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19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19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19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19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19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1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1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1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1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1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1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1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1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1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1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1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1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19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1" activePane="bottomLeft" state="frozen"/>
      <selection pane="bottomLeft" activeCell="G32" sqref="G32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9" t="s">
        <v>193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1"/>
    </row>
    <row r="2" spans="1:15" ht="15.75" customHeight="1" thickBot="1">
      <c r="A2" s="722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4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22">
        <f t="shared" ref="D5" si="0">(C5+B5)/2</f>
        <v>23</v>
      </c>
      <c r="E5" s="623">
        <v>0.56000000000000005</v>
      </c>
      <c r="F5" s="624">
        <v>0</v>
      </c>
      <c r="G5" s="625">
        <f t="shared" ref="G5" si="1">F5*230</f>
        <v>0</v>
      </c>
      <c r="H5" s="626">
        <v>0</v>
      </c>
      <c r="I5" s="626">
        <v>0</v>
      </c>
      <c r="J5" s="356">
        <v>0</v>
      </c>
      <c r="K5" s="627">
        <f t="shared" ref="K5" si="2">+J5+H5+I5</f>
        <v>0</v>
      </c>
      <c r="L5" s="626"/>
      <c r="M5" s="626"/>
      <c r="N5" s="628"/>
      <c r="O5" s="626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>
        <v>32</v>
      </c>
      <c r="C23" s="37">
        <v>14</v>
      </c>
      <c r="D23" s="26">
        <f>(C23+B23)/2</f>
        <v>23</v>
      </c>
      <c r="E23" s="340">
        <v>0.34</v>
      </c>
      <c r="F23" s="394">
        <v>0</v>
      </c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>
        <v>26</v>
      </c>
      <c r="C24" s="37">
        <v>20</v>
      </c>
      <c r="D24" s="26">
        <f t="shared" ref="D24" si="8">(C24+B24)/2</f>
        <v>23</v>
      </c>
      <c r="E24" s="394">
        <v>0.73</v>
      </c>
      <c r="F24" s="340">
        <v>0</v>
      </c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>
        <v>26</v>
      </c>
      <c r="C25" s="37">
        <v>21</v>
      </c>
      <c r="D25" s="26">
        <f t="shared" si="6"/>
        <v>23.5</v>
      </c>
      <c r="E25" s="340">
        <v>0.77</v>
      </c>
      <c r="F25" s="340">
        <v>0</v>
      </c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>
        <v>25</v>
      </c>
      <c r="C26" s="37">
        <v>24</v>
      </c>
      <c r="D26" s="26">
        <f>(C26+B26)/2</f>
        <v>24.5</v>
      </c>
      <c r="E26" s="340">
        <v>0.47</v>
      </c>
      <c r="F26" s="340">
        <v>0</v>
      </c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>
        <v>26</v>
      </c>
      <c r="C27" s="37">
        <v>23</v>
      </c>
      <c r="D27" s="26">
        <f t="shared" si="6"/>
        <v>24.5</v>
      </c>
      <c r="E27" s="340">
        <v>0.5</v>
      </c>
      <c r="F27" s="340">
        <v>0</v>
      </c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>
        <v>25</v>
      </c>
      <c r="C28" s="37">
        <v>22</v>
      </c>
      <c r="D28" s="26">
        <f t="shared" si="6"/>
        <v>23.5</v>
      </c>
      <c r="E28" s="394">
        <v>0.55000000000000004</v>
      </c>
      <c r="F28" s="340">
        <v>0</v>
      </c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>
        <v>26</v>
      </c>
      <c r="C29" s="37">
        <v>23</v>
      </c>
      <c r="D29" s="26">
        <f t="shared" si="6"/>
        <v>24.5</v>
      </c>
      <c r="E29" s="340">
        <v>0.55000000000000004</v>
      </c>
      <c r="F29" s="340">
        <v>0</v>
      </c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>
        <v>27</v>
      </c>
      <c r="C30" s="37">
        <v>22</v>
      </c>
      <c r="D30" s="26">
        <f t="shared" si="6"/>
        <v>24.5</v>
      </c>
      <c r="E30" s="340">
        <v>0.66</v>
      </c>
      <c r="F30" s="394">
        <v>0</v>
      </c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>
        <v>26</v>
      </c>
      <c r="C31" s="37">
        <v>23</v>
      </c>
      <c r="D31" s="26">
        <f t="shared" si="6"/>
        <v>24.5</v>
      </c>
      <c r="E31" s="341">
        <v>0.65</v>
      </c>
      <c r="F31" s="280">
        <v>0</v>
      </c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>
        <v>25</v>
      </c>
      <c r="C32" s="37">
        <v>22</v>
      </c>
      <c r="D32" s="279">
        <f>(C32+B32)/2</f>
        <v>23.5</v>
      </c>
      <c r="E32" s="341">
        <v>0.6</v>
      </c>
      <c r="F32" s="342">
        <v>0</v>
      </c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/>
      <c r="C33" s="37"/>
      <c r="D33" s="26">
        <f t="shared" si="6"/>
        <v>0</v>
      </c>
      <c r="E33" s="340"/>
      <c r="F33" s="342"/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/>
      <c r="C34" s="37"/>
      <c r="D34" s="26">
        <f t="shared" ref="D34:D35" si="10">(C34+B34)/2</f>
        <v>0</v>
      </c>
      <c r="E34" s="394"/>
      <c r="F34" s="342"/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/>
      <c r="C35" s="37"/>
      <c r="D35" s="26">
        <f t="shared" si="10"/>
        <v>0</v>
      </c>
      <c r="E35" s="394"/>
      <c r="F35" s="342"/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/>
      <c r="C36" s="37"/>
      <c r="D36" s="26">
        <f t="shared" ref="D36" si="13">(C36+B36)/2</f>
        <v>0</v>
      </c>
      <c r="E36" s="394"/>
      <c r="F36" s="342"/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23.148148148148149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-5778.9999999986612</v>
      </c>
      <c r="E6" s="3">
        <f>ELEC!Q24</f>
        <v>10546.999999998661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-47.5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-25.399999999999977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697.00000000017462</v>
      </c>
      <c r="E18" s="3">
        <f>ELEC!Q19</f>
        <v>9391.9999999998254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11</v>
      </c>
      <c r="B19" s="3">
        <f>ELEC!AF20</f>
        <v>2111</v>
      </c>
      <c r="C19" s="3">
        <f>ELEC!N20</f>
        <v>10297</v>
      </c>
      <c r="D19" s="3">
        <f t="shared" si="0"/>
        <v>1509.9999999997381</v>
      </c>
      <c r="E19" s="3">
        <f>ELEC!Q20</f>
        <v>8787.0000000002619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-55.999999999999986</v>
      </c>
      <c r="J19" s="9">
        <f>'B5'!A21</f>
        <v>44333</v>
      </c>
    </row>
    <row r="20" spans="1:10">
      <c r="A20" s="3">
        <f>ELEC!T21+ELEC!X21+ELEC!AB21</f>
        <v>10</v>
      </c>
      <c r="B20" s="3">
        <f>ELEC!AF21</f>
        <v>2132</v>
      </c>
      <c r="C20" s="3">
        <f>ELEC!N21</f>
        <v>15339</v>
      </c>
      <c r="D20" s="3">
        <f t="shared" si="0"/>
        <v>3093.0000000008149</v>
      </c>
      <c r="E20" s="3">
        <f>ELEC!Q21</f>
        <v>12245.999999999185</v>
      </c>
      <c r="F20" s="3">
        <f>GEN!Z20</f>
        <v>11</v>
      </c>
      <c r="G20" s="3">
        <f>WATER!C23+WATER!H23</f>
        <v>0</v>
      </c>
      <c r="H20" s="3">
        <f>WATER!L23</f>
        <v>2</v>
      </c>
      <c r="I20" s="15">
        <f>WATER!BC23+WATER!BD23+WATER!BE24-Sheet1!G20</f>
        <v>-115.59999999999997</v>
      </c>
      <c r="J20" s="9">
        <f>'B5'!A22</f>
        <v>44334</v>
      </c>
    </row>
    <row r="21" spans="1:10">
      <c r="A21" s="3">
        <f>ELEC!T22+ELEC!X22+ELEC!AB22</f>
        <v>15</v>
      </c>
      <c r="B21" s="3">
        <f>ELEC!AF22</f>
        <v>3025</v>
      </c>
      <c r="C21" s="3">
        <f>ELEC!N22</f>
        <v>8897</v>
      </c>
      <c r="D21" s="3">
        <f t="shared" si="0"/>
        <v>1560.0000000004657</v>
      </c>
      <c r="E21" s="3">
        <f>ELEC!Q22</f>
        <v>7336.9999999995343</v>
      </c>
      <c r="F21" s="3">
        <f>GEN!Z21</f>
        <v>16</v>
      </c>
      <c r="G21" s="3">
        <f>WATER!C24+WATER!H24</f>
        <v>0</v>
      </c>
      <c r="H21" s="3">
        <f>WATER!L24</f>
        <v>1</v>
      </c>
      <c r="I21" s="15">
        <f>WATER!BC24+WATER!BD24+WATER!BE25-Sheet1!G21</f>
        <v>-44.600000000000023</v>
      </c>
      <c r="J21" s="9">
        <f>'B5'!A23</f>
        <v>44335</v>
      </c>
    </row>
    <row r="22" spans="1:10">
      <c r="A22" s="3">
        <f>ELEC!T23+ELEC!X23+ELEC!AB23</f>
        <v>9</v>
      </c>
      <c r="B22" s="3">
        <f>ELEC!AF23</f>
        <v>1961</v>
      </c>
      <c r="C22" s="3">
        <f>ELEC!N23</f>
        <v>10235</v>
      </c>
      <c r="D22" s="3">
        <f t="shared" si="0"/>
        <v>2282.999999998865</v>
      </c>
      <c r="E22" s="3">
        <f>ELEC!Q23</f>
        <v>7952.000000001135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22.099999999999959</v>
      </c>
      <c r="J22" s="9">
        <f>'B5'!A24</f>
        <v>44336</v>
      </c>
    </row>
    <row r="23" spans="1:10">
      <c r="A23" s="3">
        <f>ELEC!T24+ELEC!X24+ELEC!AB24</f>
        <v>14</v>
      </c>
      <c r="B23" s="3">
        <f>ELEC!AF24</f>
        <v>2509</v>
      </c>
      <c r="C23" s="3">
        <f>ELEC!N24</f>
        <v>12191</v>
      </c>
      <c r="D23" s="3">
        <f t="shared" si="0"/>
        <v>1644.0000000013388</v>
      </c>
      <c r="E23" s="3">
        <f>ELEC!Q24</f>
        <v>10546.999999998661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-19.599999999999966</v>
      </c>
      <c r="J23" s="9">
        <f>'B5'!A25</f>
        <v>44337</v>
      </c>
    </row>
    <row r="24" spans="1:10">
      <c r="A24" s="3">
        <f>ELEC!T25+ELEC!X25+ELEC!AB25</f>
        <v>7</v>
      </c>
      <c r="B24" s="3">
        <f>ELEC!AF25</f>
        <v>1414</v>
      </c>
      <c r="C24" s="3">
        <f>ELEC!N25</f>
        <v>8568</v>
      </c>
      <c r="D24" s="3">
        <f t="shared" si="0"/>
        <v>3033.0000000001455</v>
      </c>
      <c r="E24" s="3">
        <f>ELEC!Q25</f>
        <v>5534.9999999998545</v>
      </c>
      <c r="F24" s="3">
        <f>GEN!Z24</f>
        <v>16</v>
      </c>
      <c r="G24" s="3">
        <f>WATER!C27+WATER!H27</f>
        <v>0</v>
      </c>
      <c r="H24" s="3">
        <f>WATER!L27</f>
        <v>1</v>
      </c>
      <c r="I24" s="15">
        <f>WATER!BC27+WATER!BD27+WATER!BE28-Sheet1!G24</f>
        <v>-19.599999999999966</v>
      </c>
      <c r="J24" s="9">
        <f>'B5'!A26</f>
        <v>44338</v>
      </c>
    </row>
    <row r="25" spans="1:10">
      <c r="A25" s="3">
        <f>ELEC!T26+ELEC!X26+ELEC!AB26</f>
        <v>16</v>
      </c>
      <c r="B25" s="3">
        <f>ELEC!AF26</f>
        <v>3143</v>
      </c>
      <c r="C25" s="3">
        <f>ELEC!N26</f>
        <v>13728</v>
      </c>
      <c r="D25" s="3">
        <f t="shared" si="0"/>
        <v>1273.9999999984575</v>
      </c>
      <c r="E25" s="3">
        <f>ELEC!Q26</f>
        <v>12454.000000001543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26.800000000000011</v>
      </c>
      <c r="J25" s="9">
        <f>'B5'!A27</f>
        <v>44339</v>
      </c>
    </row>
    <row r="26" spans="1:10">
      <c r="A26" s="3">
        <f>ELEC!T27+ELEC!X27+ELEC!AB27</f>
        <v>7</v>
      </c>
      <c r="B26" s="3">
        <f>ELEC!AF27</f>
        <v>1575</v>
      </c>
      <c r="C26" s="3">
        <f>ELEC!N27</f>
        <v>9803</v>
      </c>
      <c r="D26" s="3">
        <f t="shared" si="0"/>
        <v>3628.0000000007276</v>
      </c>
      <c r="E26" s="3">
        <f>ELEC!Q27</f>
        <v>6174.9999999992724</v>
      </c>
      <c r="F26" s="3">
        <f>GEN!Z26</f>
        <v>17</v>
      </c>
      <c r="G26" s="3">
        <f>WATER!C29+WATER!H29</f>
        <v>0</v>
      </c>
      <c r="H26" s="3">
        <f>WATER!L29</f>
        <v>0</v>
      </c>
      <c r="I26" s="15">
        <f>WATER!BC29+WATER!BD29+WATER!BE30-Sheet1!G26</f>
        <v>-10.700000000000031</v>
      </c>
      <c r="J26" s="9">
        <f>'B5'!A28</f>
        <v>44340</v>
      </c>
    </row>
    <row r="27" spans="1:10">
      <c r="A27" s="3">
        <f>ELEC!T28+ELEC!X28+ELEC!AB28</f>
        <v>16</v>
      </c>
      <c r="B27" s="3">
        <f>ELEC!AF28</f>
        <v>2970</v>
      </c>
      <c r="C27" s="3">
        <f>ELEC!N28</f>
        <v>14177</v>
      </c>
      <c r="D27" s="3">
        <f t="shared" si="0"/>
        <v>1091.0000000006694</v>
      </c>
      <c r="E27" s="3">
        <f>ELEC!Q28</f>
        <v>13085.999999999331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-52.700000000000031</v>
      </c>
      <c r="J27" s="9">
        <f>'B5'!A29</f>
        <v>44341</v>
      </c>
    </row>
    <row r="28" spans="1:10">
      <c r="A28" s="3">
        <f>ELEC!T29+ELEC!X29+ELEC!AB29</f>
        <v>11</v>
      </c>
      <c r="B28" s="3">
        <f>ELEC!AF29</f>
        <v>2860</v>
      </c>
      <c r="C28" s="3">
        <f>ELEC!N29</f>
        <v>11827</v>
      </c>
      <c r="D28" s="3">
        <f t="shared" si="0"/>
        <v>2390.9999999984866</v>
      </c>
      <c r="E28" s="3">
        <f>ELEC!Q29</f>
        <v>9436.0000000015134</v>
      </c>
      <c r="F28" s="3">
        <f>GEN!Z28</f>
        <v>18</v>
      </c>
      <c r="G28" s="3">
        <f>WATER!C31+WATER!H31</f>
        <v>0</v>
      </c>
      <c r="H28" s="3">
        <f>WATER!L31</f>
        <v>3</v>
      </c>
      <c r="I28" s="15">
        <f>WATER!BC31+WATER!BD31+WATER!BE32-Sheet1!G28</f>
        <v>62.500000000000028</v>
      </c>
      <c r="J28" s="9">
        <f>'B5'!A30</f>
        <v>44342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13</v>
      </c>
      <c r="G29" s="3">
        <f>WATER!C32+WATER!H32</f>
        <v>435</v>
      </c>
      <c r="H29" s="3">
        <f>WATER!L32</f>
        <v>0</v>
      </c>
      <c r="I29" s="15">
        <f>WATER!BC32+WATER!BD32+WATER!BE33-Sheet1!G29</f>
        <v>-401.29999999999995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31"/>
      <c r="B1" s="729" t="s">
        <v>119</v>
      </c>
      <c r="C1" s="729" t="s">
        <v>118</v>
      </c>
      <c r="D1" s="733" t="s">
        <v>113</v>
      </c>
      <c r="E1" s="733" t="s">
        <v>114</v>
      </c>
      <c r="F1" s="734" t="s">
        <v>120</v>
      </c>
      <c r="G1" s="735" t="s">
        <v>75</v>
      </c>
      <c r="H1" s="726" t="s">
        <v>115</v>
      </c>
      <c r="I1" s="727" t="s">
        <v>116</v>
      </c>
      <c r="J1" s="726" t="s">
        <v>117</v>
      </c>
      <c r="K1" s="725" t="s">
        <v>121</v>
      </c>
      <c r="L1" s="725" t="s">
        <v>122</v>
      </c>
      <c r="M1" s="725" t="s">
        <v>123</v>
      </c>
      <c r="N1" s="725" t="s">
        <v>124</v>
      </c>
    </row>
    <row r="2" spans="1:14">
      <c r="A2" s="732"/>
      <c r="B2" s="730"/>
      <c r="C2" s="730"/>
      <c r="D2" s="733"/>
      <c r="E2" s="733"/>
      <c r="F2" s="734"/>
      <c r="G2" s="735"/>
      <c r="H2" s="726"/>
      <c r="I2" s="728"/>
      <c r="J2" s="726"/>
      <c r="K2" s="725"/>
      <c r="L2" s="725"/>
      <c r="M2" s="725"/>
      <c r="N2" s="72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-31.900000000000034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-1.0999999999999943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2417.3502109704195</v>
      </c>
      <c r="E21" s="242">
        <f t="shared" si="0"/>
        <v>2510.3502109704195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9391.9999999998254</v>
      </c>
      <c r="J21" s="79">
        <f>ELEC!R19</f>
        <v>697.00000000017462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136</v>
      </c>
      <c r="C22" s="76">
        <f>'B5'!AH22</f>
        <v>0</v>
      </c>
      <c r="D22" s="76">
        <f>GEN!AI20</f>
        <v>2261.6329113924726</v>
      </c>
      <c r="E22" s="242">
        <f t="shared" si="0"/>
        <v>2397.6329113924726</v>
      </c>
      <c r="F22" s="75">
        <f>WATER!L22</f>
        <v>0</v>
      </c>
      <c r="G22" s="78">
        <f>WATER!BG22</f>
        <v>-23.199999999999989</v>
      </c>
      <c r="H22" s="79">
        <f>ELEC!AF20</f>
        <v>2111</v>
      </c>
      <c r="I22" s="79">
        <f>ELEC!Q20</f>
        <v>8787.0000000002619</v>
      </c>
      <c r="J22" s="79">
        <f>ELEC!R20</f>
        <v>1509.9999999997381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95</v>
      </c>
      <c r="C23" s="76">
        <f>'B5'!AH23</f>
        <v>0</v>
      </c>
      <c r="D23" s="76">
        <f>GEN!AI21</f>
        <v>3151.9240506327019</v>
      </c>
      <c r="E23" s="242">
        <f t="shared" si="0"/>
        <v>3246.9240506327019</v>
      </c>
      <c r="F23" s="75">
        <f>WATER!L23</f>
        <v>2</v>
      </c>
      <c r="G23" s="78">
        <f>WATER!BG23</f>
        <v>-32.799999999999997</v>
      </c>
      <c r="H23" s="79">
        <f>ELEC!AF21</f>
        <v>2132</v>
      </c>
      <c r="I23" s="79">
        <f>ELEC!Q21</f>
        <v>12245.999999999185</v>
      </c>
      <c r="J23" s="79">
        <f>ELEC!R21</f>
        <v>3093.0000000008149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63</v>
      </c>
      <c r="C24" s="76">
        <f>'B5'!AH24</f>
        <v>0</v>
      </c>
      <c r="D24" s="76">
        <f>GEN!AI22</f>
        <v>1888.426160337433</v>
      </c>
      <c r="E24" s="242">
        <f t="shared" si="0"/>
        <v>1951.426160337433</v>
      </c>
      <c r="F24" s="75">
        <f>WATER!L24</f>
        <v>1</v>
      </c>
      <c r="G24" s="78">
        <f>WATER!BG24</f>
        <v>-85.499999999999972</v>
      </c>
      <c r="H24" s="79">
        <f>ELEC!AF22</f>
        <v>3025</v>
      </c>
      <c r="I24" s="79">
        <f>ELEC!Q22</f>
        <v>7336.9999999995343</v>
      </c>
      <c r="J24" s="79">
        <f>ELEC!R22</f>
        <v>1560.0000000004657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186</v>
      </c>
      <c r="C25" s="76">
        <f>'B5'!AH25</f>
        <v>23</v>
      </c>
      <c r="D25" s="76">
        <f>GEN!AI23</f>
        <v>2046.7172995783515</v>
      </c>
      <c r="E25" s="242">
        <f t="shared" si="0"/>
        <v>2255.7172995783512</v>
      </c>
      <c r="F25" s="75">
        <f>WATER!L25</f>
        <v>0</v>
      </c>
      <c r="G25" s="78">
        <f>WATER!BG25</f>
        <v>-18.500000000000057</v>
      </c>
      <c r="H25" s="79">
        <f>ELEC!AF23</f>
        <v>1961</v>
      </c>
      <c r="I25" s="79">
        <f>ELEC!Q23</f>
        <v>7952.000000001135</v>
      </c>
      <c r="J25" s="79">
        <f>ELEC!R23</f>
        <v>2282.999999998865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129</v>
      </c>
      <c r="C26" s="76">
        <f>'B5'!AH26</f>
        <v>0</v>
      </c>
      <c r="D26" s="76">
        <f>GEN!AI24</f>
        <v>2714.628691982778</v>
      </c>
      <c r="E26" s="242">
        <f t="shared" si="0"/>
        <v>2843.628691982778</v>
      </c>
      <c r="F26" s="75">
        <f>WATER!L26</f>
        <v>0</v>
      </c>
      <c r="G26" s="78">
        <f>WATER!BG26</f>
        <v>40.600000000000016</v>
      </c>
      <c r="H26" s="79">
        <f>ELEC!AF24</f>
        <v>2509</v>
      </c>
      <c r="I26" s="79">
        <f>ELEC!Q24</f>
        <v>10546.999999998661</v>
      </c>
      <c r="J26" s="79">
        <f>ELEC!R24</f>
        <v>1644.0000000013388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69</v>
      </c>
      <c r="C27" s="76">
        <f>'B5'!AH27</f>
        <v>0</v>
      </c>
      <c r="D27" s="76">
        <f>GEN!AI25</f>
        <v>1424.6202531645197</v>
      </c>
      <c r="E27" s="242">
        <f t="shared" si="0"/>
        <v>1493.6202531645197</v>
      </c>
      <c r="F27" s="75">
        <f>WATER!L27</f>
        <v>1</v>
      </c>
      <c r="G27" s="78">
        <f>WATER!BG27</f>
        <v>-9.7999999999999829</v>
      </c>
      <c r="H27" s="79">
        <f>ELEC!AF25</f>
        <v>1414</v>
      </c>
      <c r="I27" s="79">
        <f>ELEC!Q25</f>
        <v>5534.9999999998545</v>
      </c>
      <c r="J27" s="79">
        <f>ELEC!R25</f>
        <v>3033.0000000001455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88</v>
      </c>
      <c r="C28" s="76">
        <f>'B5'!AH28</f>
        <v>123.20000000001164</v>
      </c>
      <c r="D28" s="76">
        <f>GEN!AI26</f>
        <v>3205.4599156122117</v>
      </c>
      <c r="E28" s="242">
        <f t="shared" si="0"/>
        <v>3416.6599156122234</v>
      </c>
      <c r="F28" s="75">
        <f>WATER!L28</f>
        <v>0</v>
      </c>
      <c r="G28" s="78">
        <f>WATER!BG28</f>
        <v>-9.7999999999999829</v>
      </c>
      <c r="H28" s="79">
        <f>ELEC!AF26</f>
        <v>3143</v>
      </c>
      <c r="I28" s="79">
        <f>ELEC!Q26</f>
        <v>12454.000000001543</v>
      </c>
      <c r="J28" s="79">
        <f>ELEC!R26</f>
        <v>1273.9999999984575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90</v>
      </c>
      <c r="C29" s="76">
        <f>'B5'!AH29</f>
        <v>0</v>
      </c>
      <c r="D29" s="76">
        <f>GEN!AI27</f>
        <v>1589.3459915609942</v>
      </c>
      <c r="E29" s="77">
        <f t="shared" si="0"/>
        <v>1679.3459915609942</v>
      </c>
      <c r="F29" s="75">
        <f>WATER!L29</f>
        <v>0</v>
      </c>
      <c r="G29" s="78">
        <f>WATER!BG29</f>
        <v>36.599999999999994</v>
      </c>
      <c r="H29" s="79">
        <f>ELEC!AF27</f>
        <v>1575</v>
      </c>
      <c r="I29" s="79">
        <f>ELEC!Q27</f>
        <v>6174.9999999992724</v>
      </c>
      <c r="J29" s="79">
        <f>ELEC!R27</f>
        <v>3628.0000000007276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114</v>
      </c>
      <c r="C30" s="76">
        <f>'B5'!AH30</f>
        <v>0</v>
      </c>
      <c r="D30" s="76">
        <f>GEN!AI28</f>
        <v>3368.1265822783089</v>
      </c>
      <c r="E30" s="77">
        <f t="shared" si="0"/>
        <v>3482.1265822783089</v>
      </c>
      <c r="F30" s="75">
        <f>WATER!L30</f>
        <v>0</v>
      </c>
      <c r="G30" s="78">
        <f>WATER!BG30</f>
        <v>-47.300000000000026</v>
      </c>
      <c r="H30" s="79">
        <f>ELEC!AF28</f>
        <v>2970</v>
      </c>
      <c r="I30" s="79">
        <f>ELEC!Q28</f>
        <v>13085.999999999331</v>
      </c>
      <c r="J30" s="79">
        <f>ELEC!R28</f>
        <v>1091.0000000006694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106</v>
      </c>
      <c r="C31" s="76">
        <f>'B5'!AH31</f>
        <v>0</v>
      </c>
      <c r="D31" s="76">
        <f>GEN!AI29</f>
        <v>2428.6751054856218</v>
      </c>
      <c r="E31" s="77">
        <f t="shared" si="0"/>
        <v>2534.6751054856218</v>
      </c>
      <c r="F31" s="75">
        <f>WATER!L31</f>
        <v>3</v>
      </c>
      <c r="G31" s="78">
        <f>WATER!BG31</f>
        <v>-37.799999999999997</v>
      </c>
      <c r="H31" s="79">
        <f>ELEC!AF29</f>
        <v>2860</v>
      </c>
      <c r="I31" s="79">
        <f>ELEC!Q29</f>
        <v>9436.0000000015134</v>
      </c>
      <c r="J31" s="79">
        <f>ELEC!R29</f>
        <v>2390.9999999984866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83.200000000000045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6" t="s">
        <v>151</v>
      </c>
      <c r="U3" s="73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F32" sqref="F3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37" t="s">
        <v>51</v>
      </c>
      <c r="B1" s="749" t="s">
        <v>318</v>
      </c>
      <c r="C1" s="750"/>
      <c r="D1" s="752"/>
      <c r="E1" s="749" t="s">
        <v>319</v>
      </c>
      <c r="F1" s="750"/>
      <c r="G1" s="751"/>
      <c r="H1" s="746" t="s">
        <v>324</v>
      </c>
      <c r="I1" s="743" t="s">
        <v>325</v>
      </c>
      <c r="J1" s="740" t="s">
        <v>43</v>
      </c>
    </row>
    <row r="2" spans="1:18" ht="38.25" thickBot="1">
      <c r="A2" s="738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7"/>
      <c r="I2" s="744"/>
      <c r="J2" s="741"/>
    </row>
    <row r="3" spans="1:18" ht="24" customHeight="1" thickBot="1">
      <c r="A3" s="739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8"/>
      <c r="I3" s="745"/>
      <c r="J3" s="742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29">
        <v>8.6999999999999993</v>
      </c>
      <c r="D9" s="170"/>
      <c r="E9" s="629">
        <v>1</v>
      </c>
      <c r="F9" s="629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41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47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4">
        <v>1.5</v>
      </c>
      <c r="D17" s="170"/>
      <c r="E17" s="170">
        <v>0.7</v>
      </c>
      <c r="F17" s="657">
        <v>9.5</v>
      </c>
      <c r="G17" s="656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5">
        <v>1.5</v>
      </c>
      <c r="D18" s="170"/>
      <c r="E18" s="170">
        <v>0</v>
      </c>
      <c r="F18" s="657">
        <v>9.5</v>
      </c>
      <c r="G18" s="659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6">
        <v>9.5</v>
      </c>
      <c r="D19" s="170"/>
      <c r="E19" s="170">
        <v>0</v>
      </c>
      <c r="F19" s="657">
        <v>9.5</v>
      </c>
      <c r="G19" s="656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7">
        <v>9.5</v>
      </c>
      <c r="D20" s="170"/>
      <c r="E20" s="170">
        <v>0</v>
      </c>
      <c r="F20" s="657">
        <v>9.5</v>
      </c>
      <c r="G20" s="656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52">
        <v>9</v>
      </c>
      <c r="D21" s="170"/>
      <c r="E21" s="170">
        <v>0</v>
      </c>
      <c r="F21" s="657">
        <v>9</v>
      </c>
      <c r="G21" s="659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8">
        <v>9</v>
      </c>
      <c r="D22" s="599"/>
      <c r="E22" s="598">
        <v>0</v>
      </c>
      <c r="F22" s="657">
        <v>9</v>
      </c>
      <c r="G22" s="656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>
        <v>0.5</v>
      </c>
      <c r="C23" s="654">
        <v>9.5</v>
      </c>
      <c r="D23" s="655"/>
      <c r="E23" s="654">
        <v>0</v>
      </c>
      <c r="F23" s="657">
        <v>10</v>
      </c>
      <c r="G23" s="656"/>
      <c r="H23" s="576">
        <v>6768</v>
      </c>
      <c r="I23" s="506">
        <f t="shared" si="3"/>
        <v>2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 t="s">
        <v>422</v>
      </c>
      <c r="C24" s="657">
        <v>9.5</v>
      </c>
      <c r="D24" s="658"/>
      <c r="E24" s="657">
        <v>0</v>
      </c>
      <c r="F24" s="657">
        <v>10</v>
      </c>
      <c r="G24" s="659"/>
      <c r="H24" s="576">
        <v>6769</v>
      </c>
      <c r="I24" s="506">
        <f t="shared" si="3"/>
        <v>1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>
        <v>1.5</v>
      </c>
      <c r="C25" s="582">
        <v>8</v>
      </c>
      <c r="D25" s="170"/>
      <c r="E25" s="170">
        <v>1</v>
      </c>
      <c r="F25" s="170">
        <v>7.8</v>
      </c>
      <c r="G25" s="170"/>
      <c r="H25" s="576">
        <v>6769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>
        <v>1.5</v>
      </c>
      <c r="C26" s="601">
        <v>7.8</v>
      </c>
      <c r="D26" s="602"/>
      <c r="E26" s="601">
        <v>0.9</v>
      </c>
      <c r="F26" s="601">
        <v>8</v>
      </c>
      <c r="G26" s="170"/>
      <c r="H26" s="576">
        <v>6769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76">
        <v>6770</v>
      </c>
      <c r="I27" s="506">
        <f t="shared" si="3"/>
        <v>1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>
        <v>1.5</v>
      </c>
      <c r="C28" s="586">
        <v>7.8</v>
      </c>
      <c r="D28" s="658"/>
      <c r="E28" s="657">
        <v>1</v>
      </c>
      <c r="F28" s="657">
        <v>8</v>
      </c>
      <c r="G28" s="659"/>
      <c r="H28" s="576">
        <f t="shared" si="2"/>
        <v>6770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>
        <v>1.5</v>
      </c>
      <c r="C29" s="603">
        <v>7.8</v>
      </c>
      <c r="D29" s="604"/>
      <c r="E29" s="657">
        <v>1</v>
      </c>
      <c r="F29" s="657">
        <v>8</v>
      </c>
      <c r="G29" s="656"/>
      <c r="H29" s="576">
        <f t="shared" si="2"/>
        <v>6770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>
        <v>1.5</v>
      </c>
      <c r="C30" s="605">
        <v>7.8</v>
      </c>
      <c r="D30" s="606"/>
      <c r="E30" s="605">
        <v>1</v>
      </c>
      <c r="F30" s="605">
        <v>8</v>
      </c>
      <c r="G30" s="170"/>
      <c r="H30" s="576">
        <f t="shared" si="2"/>
        <v>6770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>
        <v>1.5</v>
      </c>
      <c r="C31" s="582">
        <v>7.8</v>
      </c>
      <c r="D31" s="170"/>
      <c r="E31" s="170">
        <v>1</v>
      </c>
      <c r="F31" s="170">
        <v>8</v>
      </c>
      <c r="G31" s="170"/>
      <c r="H31" s="576">
        <v>6773</v>
      </c>
      <c r="I31" s="506">
        <f t="shared" si="3"/>
        <v>3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>
        <v>1.5</v>
      </c>
      <c r="C32" s="170">
        <v>7.8</v>
      </c>
      <c r="D32" s="170"/>
      <c r="E32" s="170">
        <v>1</v>
      </c>
      <c r="F32" s="170">
        <v>8</v>
      </c>
      <c r="G32" s="506"/>
      <c r="H32" s="576">
        <f t="shared" si="2"/>
        <v>6773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/>
      <c r="C33" s="170"/>
      <c r="D33" s="170"/>
      <c r="E33" s="170"/>
      <c r="F33" s="170"/>
      <c r="G33" s="506"/>
      <c r="H33" s="576">
        <f t="shared" si="2"/>
        <v>6773</v>
      </c>
      <c r="I33" s="506">
        <f t="shared" si="3"/>
        <v>0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/>
      <c r="C34" s="170"/>
      <c r="D34" s="170"/>
      <c r="E34" s="170"/>
      <c r="F34" s="170"/>
      <c r="G34" s="506"/>
      <c r="H34" s="576">
        <f t="shared" si="2"/>
        <v>6773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/>
      <c r="C35" s="170"/>
      <c r="D35" s="170"/>
      <c r="E35" s="170"/>
      <c r="F35" s="170"/>
      <c r="G35" s="506"/>
      <c r="H35" s="576">
        <f t="shared" ref="H35:H36" si="8">H34</f>
        <v>6773</v>
      </c>
      <c r="I35" s="506">
        <f t="shared" ref="I35:I36" si="9">H35-H34</f>
        <v>0</v>
      </c>
      <c r="J35" s="485">
        <v>0.375000000000001</v>
      </c>
      <c r="L35" s="99">
        <f t="shared" ref="L35:L36" si="10">A35</f>
        <v>44346</v>
      </c>
      <c r="M35" s="3">
        <f t="shared" si="4"/>
        <v>6555</v>
      </c>
      <c r="N35" s="506">
        <v>647</v>
      </c>
      <c r="O35" s="506">
        <f t="shared" ref="O35:O36" si="11">M35+N35</f>
        <v>7202</v>
      </c>
    </row>
    <row r="36" spans="1:15">
      <c r="A36" s="240">
        <f>ELEC!C33</f>
        <v>44347</v>
      </c>
      <c r="B36" s="170"/>
      <c r="C36" s="170"/>
      <c r="D36" s="170"/>
      <c r="E36" s="170"/>
      <c r="F36" s="170"/>
      <c r="G36" s="506"/>
      <c r="H36" s="576">
        <f t="shared" si="8"/>
        <v>6773</v>
      </c>
      <c r="I36" s="506">
        <f t="shared" si="9"/>
        <v>0</v>
      </c>
      <c r="J36" s="485">
        <v>0.41666666666666702</v>
      </c>
      <c r="L36" s="99">
        <f t="shared" si="10"/>
        <v>44347</v>
      </c>
      <c r="M36" s="3">
        <f t="shared" si="4"/>
        <v>6555</v>
      </c>
      <c r="N36" s="506">
        <v>648</v>
      </c>
      <c r="O36" s="506">
        <f t="shared" si="11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64" t="s">
        <v>161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</row>
    <row r="2" spans="1:28" ht="19.5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765"/>
      <c r="S2" s="765"/>
      <c r="T2" s="765"/>
      <c r="U2" s="765"/>
      <c r="V2" s="765"/>
      <c r="W2" s="765"/>
      <c r="X2" s="765"/>
    </row>
    <row r="3" spans="1:28" ht="19.5">
      <c r="A3" s="765" t="s">
        <v>162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5"/>
      <c r="O3" s="765"/>
      <c r="P3" s="765"/>
      <c r="Q3" s="765"/>
      <c r="R3" s="765"/>
      <c r="S3" s="765"/>
      <c r="T3" s="765"/>
      <c r="U3" s="765"/>
      <c r="V3" s="765"/>
      <c r="W3" s="765"/>
      <c r="X3" s="76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5" t="s">
        <v>409</v>
      </c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</row>
    <row r="6" spans="1:28" ht="15.75" thickBot="1">
      <c r="A6" s="766"/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66"/>
      <c r="M6" s="766"/>
      <c r="N6" s="766"/>
      <c r="O6" s="766"/>
      <c r="P6" s="766"/>
      <c r="Q6" s="766"/>
      <c r="R6" s="766"/>
      <c r="S6" s="766"/>
      <c r="T6" s="766"/>
      <c r="U6" s="766"/>
      <c r="V6" s="766"/>
      <c r="W6" s="766"/>
      <c r="X6" s="766"/>
    </row>
    <row r="7" spans="1:28" ht="15.75" thickBot="1">
      <c r="A7" s="754" t="s">
        <v>163</v>
      </c>
      <c r="B7" s="755"/>
      <c r="C7" s="756" t="s">
        <v>164</v>
      </c>
      <c r="D7" s="757"/>
      <c r="E7" s="757"/>
      <c r="F7" s="757"/>
      <c r="G7" s="757"/>
      <c r="H7" s="757"/>
      <c r="I7" s="757"/>
      <c r="J7" s="757"/>
      <c r="K7" s="75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'[4]General information '!B6</f>
        <v>17</v>
      </c>
      <c r="O10" s="272">
        <f>'[4]General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'[4]General information '!B7</f>
        <v>15</v>
      </c>
      <c r="O11" s="272">
        <f>'[4]General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'[4]General information '!B8</f>
        <v>19</v>
      </c>
      <c r="O12" s="272">
        <f>'[4]General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'[4]General information '!B9</f>
        <v>18</v>
      </c>
      <c r="O13" s="272">
        <f>'[4]General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'[4]General information '!B10</f>
        <v>19</v>
      </c>
      <c r="O14" s="272">
        <f>'[4]General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-73.2</v>
      </c>
      <c r="AB14" s="272">
        <f>S43</f>
        <v>130.90000000000003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'[4]General information '!B11</f>
        <v>30</v>
      </c>
      <c r="O15" s="272">
        <f>'[4]General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'[4]General information '!B12</f>
        <v>24</v>
      </c>
      <c r="O16" s="272">
        <f>'[4]General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'[4]General information '!B13</f>
        <v>20</v>
      </c>
      <c r="O17" s="272">
        <f>'[4]General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'[4]General information '!B14</f>
        <v>20</v>
      </c>
      <c r="O18" s="272">
        <f>'[4]General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'[4]General information '!B15</f>
        <v>16</v>
      </c>
      <c r="O19" s="272">
        <f>'[4]General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'[4]General information '!B16</f>
        <v>17</v>
      </c>
      <c r="O20" s="272">
        <f>'[4]General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'[4]General information '!B17</f>
        <v>16</v>
      </c>
      <c r="O21" s="272">
        <f>'[4]General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'[4]General information '!B18</f>
        <v>18</v>
      </c>
      <c r="O22" s="272">
        <f>'[4]General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'[4]General information '!B19</f>
        <v>20</v>
      </c>
      <c r="O23" s="272">
        <f>'[4]General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-328.89999999999992</v>
      </c>
      <c r="AB23" s="134">
        <f>SUM(AB10:AB22)</f>
        <v>207.00000000000006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'[4]General information '!B20</f>
        <v>24</v>
      </c>
      <c r="O24" s="272">
        <f>'[4]General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'[4]General information '!B21</f>
        <v>26</v>
      </c>
      <c r="O25" s="272">
        <f>'[4]General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'[4]General information '!B22</f>
        <v>27</v>
      </c>
      <c r="O26" s="272">
        <f>'[4]General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'[4]General information '!B23</f>
        <v>32</v>
      </c>
      <c r="O27" s="272">
        <f>'[4]General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32</v>
      </c>
      <c r="S27" s="272">
        <f>'General information '!C23</f>
        <v>14</v>
      </c>
      <c r="T27" s="272">
        <f t="shared" si="1"/>
        <v>4.6999999999999993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'[4]General information '!B24</f>
        <v>33</v>
      </c>
      <c r="O28" s="272">
        <f>'[4]General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26</v>
      </c>
      <c r="S28" s="272">
        <f>'General information '!C24</f>
        <v>20</v>
      </c>
      <c r="T28" s="272">
        <f t="shared" si="1"/>
        <v>4.6999999999999993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'[4]General information '!B25</f>
        <v>22</v>
      </c>
      <c r="O29" s="272">
        <f>'[4]General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26</v>
      </c>
      <c r="S29" s="272">
        <f>'General information '!C25</f>
        <v>21</v>
      </c>
      <c r="T29" s="272">
        <f t="shared" si="1"/>
        <v>5.1999999999999993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'[4]General information '!B26</f>
        <v>21</v>
      </c>
      <c r="O30" s="272">
        <f>'[4]General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25</v>
      </c>
      <c r="S30" s="272">
        <f>'General information '!C26</f>
        <v>24</v>
      </c>
      <c r="T30" s="272">
        <f t="shared" si="1"/>
        <v>6.1999999999999993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'[4]General information '!B27</f>
        <v>21</v>
      </c>
      <c r="O31" s="272">
        <f>'[4]General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26</v>
      </c>
      <c r="S31" s="272">
        <f>'General information '!C27</f>
        <v>23</v>
      </c>
      <c r="T31" s="272">
        <f t="shared" si="1"/>
        <v>6.1999999999999993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'[4]General information '!B28</f>
        <v>20</v>
      </c>
      <c r="O32" s="272">
        <f>'[4]General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25</v>
      </c>
      <c r="S32" s="272">
        <f>'General information '!C28</f>
        <v>22</v>
      </c>
      <c r="T32" s="272">
        <f t="shared" si="1"/>
        <v>5.1999999999999993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'[4]General information '!B29</f>
        <v>24</v>
      </c>
      <c r="O33" s="272">
        <f>'[4]General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26</v>
      </c>
      <c r="S33" s="272">
        <f>'General information '!C29</f>
        <v>23</v>
      </c>
      <c r="T33" s="272">
        <f t="shared" si="1"/>
        <v>6.1999999999999993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'[4]General information '!B30</f>
        <v>23</v>
      </c>
      <c r="O34" s="272">
        <f>'[4]General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27</v>
      </c>
      <c r="S34" s="272">
        <f>'General information '!C30</f>
        <v>22</v>
      </c>
      <c r="T34" s="272">
        <f t="shared" si="1"/>
        <v>6.1999999999999993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'[4]General information '!B31</f>
        <v>22</v>
      </c>
      <c r="O35" s="272">
        <f>'[4]General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26</v>
      </c>
      <c r="S35" s="272">
        <f>'General information '!C31</f>
        <v>23</v>
      </c>
      <c r="T35" s="272">
        <f t="shared" si="1"/>
        <v>6.1999999999999993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'[4]General information '!B32</f>
        <v>22</v>
      </c>
      <c r="O36" s="272">
        <f>'[4]General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25</v>
      </c>
      <c r="S36" s="272">
        <f>'General information '!C32</f>
        <v>22</v>
      </c>
      <c r="T36" s="272">
        <f t="shared" si="1"/>
        <v>5.1999999999999993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'[4]General information '!B33</f>
        <v>26</v>
      </c>
      <c r="O37" s="272">
        <f>'[4]General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0</v>
      </c>
      <c r="S37" s="272">
        <f>'General information '!C33</f>
        <v>0</v>
      </c>
      <c r="T37" s="272">
        <f t="shared" si="1"/>
        <v>-18.3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'[4]General information '!B34</f>
        <v>29</v>
      </c>
      <c r="O38" s="272">
        <f>'[4]General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0</v>
      </c>
      <c r="S38" s="272">
        <f>'General information '!C34</f>
        <v>0</v>
      </c>
      <c r="T38" s="272">
        <f t="shared" si="1"/>
        <v>-18.3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'[4]General information '!B35</f>
        <v>25</v>
      </c>
      <c r="O39" s="272">
        <f>'[4]General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0</v>
      </c>
      <c r="S39" s="272">
        <f>'General information '!C35</f>
        <v>0</v>
      </c>
      <c r="T39" s="272">
        <f t="shared" si="1"/>
        <v>-18.3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0</v>
      </c>
      <c r="S40" s="272">
        <f>'General information '!C36</f>
        <v>0</v>
      </c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-73.2</v>
      </c>
      <c r="S43" s="119">
        <f>SUMIF(T10:T40,"&gt;0")</f>
        <v>130.90000000000003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9" t="s">
        <v>174</v>
      </c>
      <c r="O84" s="759" t="s">
        <v>175</v>
      </c>
      <c r="P84" s="134"/>
      <c r="T84" s="134"/>
      <c r="X84" s="134"/>
    </row>
    <row r="85" spans="1:24" ht="20.25" thickBot="1">
      <c r="D85" s="134"/>
      <c r="I85" s="761" t="s">
        <v>182</v>
      </c>
      <c r="J85" s="762"/>
      <c r="K85" s="762"/>
      <c r="L85" s="762"/>
      <c r="N85" s="760"/>
      <c r="O85" s="760"/>
      <c r="P85" s="134"/>
      <c r="R85" s="17"/>
      <c r="S85" s="17"/>
      <c r="T85" s="140"/>
      <c r="U85" s="141"/>
      <c r="X85" s="134"/>
    </row>
    <row r="86" spans="1:24" ht="18.75" thickBot="1">
      <c r="D86" s="134"/>
      <c r="I86" s="763" t="s">
        <v>183</v>
      </c>
      <c r="J86" s="763"/>
      <c r="K86" s="763"/>
      <c r="L86" s="763"/>
      <c r="N86" s="142">
        <f>B43+F43+J43+N43+R43+V43+B81+F81+J81+N81+R81+V81</f>
        <v>-4216.4000000000005</v>
      </c>
      <c r="O86" s="142">
        <f>C43+G43+K43+O43+S43+W43+C81+G81+K81+O81+S81+W81</f>
        <v>207.00000000000006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3"/>
      <c r="C88" s="753"/>
      <c r="D88" s="753"/>
      <c r="E88" s="753"/>
      <c r="F88" s="753"/>
      <c r="G88" s="753"/>
      <c r="H88" s="753"/>
      <c r="I88" s="753"/>
      <c r="J88" s="753"/>
      <c r="K88" s="753"/>
      <c r="L88" s="753"/>
      <c r="M88" s="753"/>
      <c r="N88" s="753"/>
      <c r="O88" s="753"/>
      <c r="P88" s="753"/>
      <c r="Q88" s="753"/>
      <c r="R88" s="753"/>
      <c r="S88" s="753"/>
      <c r="T88" s="753"/>
      <c r="U88" s="753"/>
      <c r="V88" s="753"/>
      <c r="W88" s="75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2" sqref="E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7" t="s">
        <v>216</v>
      </c>
      <c r="B2" s="767"/>
      <c r="C2" s="767"/>
      <c r="D2" s="767"/>
      <c r="E2" s="767"/>
      <c r="F2" s="767"/>
      <c r="G2" s="767"/>
      <c r="H2" s="767"/>
      <c r="I2" s="767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27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1660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7141.9354838709678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38273.800000000003</v>
      </c>
      <c r="C8" s="490">
        <f>SUM(tanks!AU37)</f>
        <v>0.98199999999999987</v>
      </c>
      <c r="D8" s="191">
        <f>SUM(B8*C8)*D4</f>
        <v>56659193.936999999</v>
      </c>
      <c r="E8" s="192">
        <f>SUM(D8/D4/F4)</f>
        <v>1392.0322814814815</v>
      </c>
      <c r="F8" s="192">
        <f>SUM(E8*F4)</f>
        <v>37584.871599999999</v>
      </c>
      <c r="G8" s="507">
        <f>E8*$F$4</f>
        <v>37584.871599999999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44321</v>
      </c>
      <c r="C10" s="181"/>
      <c r="D10" s="183">
        <f>'EDl log'!AB33</f>
        <v>12628925</v>
      </c>
      <c r="E10" s="182">
        <f>SUM(D10/D4/F4)</f>
        <v>310.27393894723912</v>
      </c>
      <c r="F10" s="182">
        <f>SUM(E10*F4)</f>
        <v>8377.3963515754567</v>
      </c>
      <c r="G10" s="507">
        <f>E10*$G$4</f>
        <v>9618.4921073644127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1966.8223494609788</v>
      </c>
      <c r="F12" s="180">
        <f>SUM(F6:F10)</f>
        <v>53104.203435446427</v>
      </c>
      <c r="G12" s="179">
        <f>SUM(G6:G10)</f>
        <v>55403.363707364413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130.90000000000003</v>
      </c>
      <c r="C14" s="433">
        <f>'[14]Utility Cost '!B14</f>
        <v>25.29999999999999</v>
      </c>
      <c r="D14" s="170"/>
      <c r="E14" s="170">
        <f t="shared" ref="E14:E18" si="0">B14-C14</f>
        <v>105.60000000000005</v>
      </c>
      <c r="F14" s="506">
        <v>0</v>
      </c>
      <c r="G14" s="422"/>
      <c r="H14" s="423">
        <f>SUM(G12-H12)</f>
        <v>10064.363707364413</v>
      </c>
      <c r="I14" s="423">
        <f>SUM(G12-I12)</f>
        <v>10064.363707364413</v>
      </c>
    </row>
    <row r="15" spans="1:11">
      <c r="A15" s="448" t="s">
        <v>303</v>
      </c>
      <c r="B15" s="97">
        <f>'Degree Days 2020'!AA14</f>
        <v>-73.2</v>
      </c>
      <c r="C15" s="433">
        <f>'[14]Utility Cost '!B15</f>
        <v>-54.600000000000009</v>
      </c>
      <c r="D15" s="170"/>
      <c r="E15" s="170">
        <f t="shared" si="0"/>
        <v>-18.599999999999994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23.148148148148149</v>
      </c>
      <c r="C16" s="432">
        <f>'[14]Utility Cost '!B16</f>
        <v>22.516129032258064</v>
      </c>
      <c r="D16" s="432"/>
      <c r="E16" s="433">
        <f t="shared" si="0"/>
        <v>0.63201911589008475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274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154.51000000000022</v>
      </c>
      <c r="F18" s="525">
        <f>B18-D18</f>
        <v>101.26114669513413</v>
      </c>
    </row>
    <row r="19" spans="1:10">
      <c r="A19" s="519" t="s">
        <v>411</v>
      </c>
      <c r="B19" s="517">
        <f>SUM(B18/$F$4)</f>
        <v>10.148148148148149</v>
      </c>
      <c r="C19" s="650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2021-05-28T05:16:48Z</dcterms:modified>
</cp:coreProperties>
</file>