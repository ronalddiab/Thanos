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<sst xmlns="http://schemas.openxmlformats.org/spreadsheetml/2006/main" count="296" uniqueCount="138">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</sst>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9" workbookViewId="0">
      <selection activeCell="P25" sqref="P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 t="e">
        <f>Submetering!E15+Submetering!F15+Submetering!G15+Submetering!H15-Submetering!AV15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0.11999999999997613</v>
      </c>
      <c r="W14" s="36">
        <f>'FS Desroches Daily'!AN16</f>
        <v>6.9999999999993179E-2</v>
      </c>
      <c r="X14" s="36">
        <f>'FS Desroches Daily'!AP16</f>
        <v>9.9999999999994316E-2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 t="str">
        <f>IF(LPG!F21-LPG!F20&lt;0,"0",(LPG!F21-LPG!F20)*1.8315)</f>
        <v>0</v>
      </c>
      <c r="AY14" s="32" t="str">
        <f>IF(LPG!H21-LPG!H20&lt;0,"0",(LPG!H21-LPG!H20)*1.8315)</f>
        <v>0</v>
      </c>
      <c r="AZ14" s="32" t="str">
        <f>IF(LPG!J21-LPG!J20&lt;0,"0",(LPG!J21-LPG!J20)*1.8315)</f>
        <v>0</v>
      </c>
      <c r="BA14" s="32" t="str">
        <f>IF(LPG!M21-LPG!M20&lt;0,"0",(LPG!M21-LPG!M20)*1.8315)</f>
        <v>0</v>
      </c>
      <c r="BB14" s="32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 t="str">
        <f>'FS Desroches Daily'!D17</f>
        <v>0</v>
      </c>
      <c r="F15" s="33" t="str">
        <f>'FS Desroches Daily'!F17</f>
        <v>0</v>
      </c>
      <c r="G15" s="32" t="str">
        <f>'FS Desroches Daily'!H17</f>
        <v>0</v>
      </c>
      <c r="H15" s="33" t="str">
        <f>'FS Desroches Daily'!J17</f>
        <v>0</v>
      </c>
      <c r="I15" s="32" t="str">
        <f>'FS Desroches Daily'!L17</f>
        <v>0</v>
      </c>
      <c r="J15" s="33" t="str">
        <f>'FS Desroches Daily'!N17</f>
        <v/>
      </c>
      <c r="K15" s="13" t="str">
        <f>'FS Desroches Daily'!P17</f>
        <v/>
      </c>
      <c r="L15" s="32" t="str">
        <f>'FS Desroches Daily'!R17</f>
        <v/>
      </c>
      <c r="M15" s="32" t="str">
        <f>'FS Desroches Daily'!T17</f>
        <v/>
      </c>
      <c r="N15" s="32" t="str">
        <f>'FS Desroches Daily'!V17</f>
        <v/>
      </c>
      <c r="O15" s="32" t="str">
        <f>'FS Desroches Daily'!X17</f>
        <v/>
      </c>
      <c r="P15" s="32" t="str">
        <f>'FS Desroches Daily'!Z17</f>
        <v/>
      </c>
      <c r="Q15" s="32" t="str">
        <f>'FS Desroches Daily'!AB17</f>
        <v/>
      </c>
      <c r="R15" s="32" t="str">
        <f>'FS Desroches Daily'!AD17</f>
        <v/>
      </c>
      <c r="S15" s="32" t="str">
        <f>'FS Desroches Daily'!AF17</f>
        <v/>
      </c>
      <c r="T15" s="32" t="str">
        <f>'FS Desroches Daily'!AH17</f>
        <v/>
      </c>
      <c r="U15" s="36" t="str">
        <f>'FS Desroches Daily'!AJ17</f>
        <v/>
      </c>
      <c r="V15" s="36" t="str">
        <f>'FS Desroches Daily'!AL17</f>
        <v/>
      </c>
      <c r="W15" s="36" t="str">
        <f>'FS Desroches Daily'!AN17</f>
        <v/>
      </c>
      <c r="X15" s="36" t="str">
        <f>'FS Desroches Daily'!AP17</f>
        <v/>
      </c>
      <c r="Y15" s="36" t="str">
        <f>'FS Desroches Daily'!AR17</f>
        <v/>
      </c>
      <c r="Z15" s="36" t="str">
        <f>'FS Desroches Daily'!AT17</f>
        <v/>
      </c>
      <c r="AA15" s="36" t="str">
        <f>'FS Desroches Daily'!AT17</f>
        <v/>
      </c>
      <c r="AB15" s="36" t="str">
        <f>'FS Desroches Daily'!AV17</f>
        <v/>
      </c>
      <c r="AC15" s="36" t="str">
        <f>'FS Desroches Daily'!AZ17</f>
        <v/>
      </c>
      <c r="AD15" s="36" t="str">
        <f>'FS Desroches Daily'!BB17</f>
        <v/>
      </c>
      <c r="AE15" s="36" t="str">
        <f>'FS Desroches Daily'!BD17</f>
        <v/>
      </c>
      <c r="AF15" s="32" t="str">
        <f>'FS Desroches Daily'!BF17</f>
        <v/>
      </c>
      <c r="AG15" s="33" t="str">
        <f>'FS Desroches Daily'!BH17</f>
        <v/>
      </c>
      <c r="AH15" s="33" t="str">
        <f>'FS Desroches Daily'!BJ17</f>
        <v/>
      </c>
      <c r="AI15" s="33" t="str">
        <f>'FS Desroches Daily'!BL17</f>
        <v/>
      </c>
      <c r="AJ15" s="33" t="str">
        <f>'FS Desroches Daily'!BN17</f>
        <v/>
      </c>
      <c r="AK15" s="33" t="str">
        <f>'FS Desroches Daily'!BP17</f>
        <v/>
      </c>
      <c r="AL15" s="33" t="str">
        <f>'FS Desroches Daily'!BR17</f>
        <v/>
      </c>
      <c r="AM15" s="33" t="str">
        <f>'FS Desroches Daily'!BT17</f>
        <v/>
      </c>
      <c r="AN15" s="33" t="str">
        <f>'FS Desroches Daily'!BV17</f>
        <v/>
      </c>
      <c r="AO15" s="33" t="str">
        <f>'FS Desroches Daily'!BX17</f>
        <v/>
      </c>
      <c r="AP15" s="33" t="str">
        <f>'FS Desroches Daily'!BZ17</f>
        <v/>
      </c>
      <c r="AQ15" s="32" t="str">
        <f>'FS Desroches Daily'!CB17</f>
        <v/>
      </c>
      <c r="AR15" s="32" t="str">
        <f>'FS Desroches Daily'!CD17</f>
        <v/>
      </c>
      <c r="AS15" s="32" t="str">
        <f>'FS Desroches Daily'!CF17</f>
        <v/>
      </c>
      <c r="AT15" s="32" t="str">
        <f>'FS Desroches Daily'!CH17</f>
        <v/>
      </c>
      <c r="AU15" s="32" t="str">
        <f>'FS Desroches Daily'!CJ17</f>
        <v/>
      </c>
      <c r="AV15" s="32" t="str">
        <f>'FS Desroches Daily'!CL17</f>
        <v/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20600.000000000175</v>
      </c>
      <c r="F33" s="17">
        <f t="shared" ref="F33:BC33" si="1">SUM(F2:F32)</f>
        <v>12800.000000000367</v>
      </c>
      <c r="G33" s="17">
        <f t="shared" si="1"/>
        <v>23600.000000000073</v>
      </c>
      <c r="H33" s="17">
        <f t="shared" si="1"/>
        <v>16299.999999999978</v>
      </c>
      <c r="I33" s="17">
        <f t="shared" si="1"/>
        <v>30499.999999999967</v>
      </c>
      <c r="J33" s="17">
        <f t="shared" si="1"/>
        <v>14199.999999999991</v>
      </c>
      <c r="K33" s="17">
        <f t="shared" si="1"/>
        <v>24</v>
      </c>
      <c r="L33" s="17">
        <f t="shared" si="1"/>
        <v>75</v>
      </c>
      <c r="M33" s="17">
        <f t="shared" si="1"/>
        <v>2656.9000000000233</v>
      </c>
      <c r="N33" s="17">
        <f t="shared" si="1"/>
        <v>1640.0999999999767</v>
      </c>
      <c r="O33" s="17">
        <f t="shared" si="1"/>
        <v>2770.0000000000387</v>
      </c>
      <c r="P33" s="17">
        <f t="shared" si="1"/>
        <v>8500.0000000001746</v>
      </c>
      <c r="Q33" s="17">
        <f t="shared" si="1"/>
        <v>1379.9999999999955</v>
      </c>
      <c r="R33" s="17">
        <f t="shared" si="1"/>
        <v>4079.9999999999841</v>
      </c>
      <c r="S33" s="17">
        <f t="shared" si="1"/>
        <v>7459.99999999998</v>
      </c>
      <c r="T33" s="17">
        <f t="shared" si="1"/>
        <v>17.299999999999955</v>
      </c>
      <c r="U33" s="36">
        <f t="shared" si="1"/>
        <v>3760.0000000000477</v>
      </c>
      <c r="V33" s="36">
        <f t="shared" si="1"/>
        <v>2.1999999999999886</v>
      </c>
      <c r="W33" s="36">
        <f t="shared" si="1"/>
        <v>1.5699999999999932</v>
      </c>
      <c r="X33" s="36">
        <f t="shared" si="1"/>
        <v>1.5699999999999932</v>
      </c>
      <c r="Y33" s="36">
        <f t="shared" si="1"/>
        <v>1449.9999999999886</v>
      </c>
      <c r="Z33" s="36">
        <f t="shared" si="1"/>
        <v>1370.0000000000045</v>
      </c>
      <c r="AA33" s="36">
        <f t="shared" si="1"/>
        <v>1370.0000000000045</v>
      </c>
      <c r="AB33" s="36">
        <f t="shared" si="1"/>
        <v>1269.9999999999818</v>
      </c>
      <c r="AC33" s="36">
        <f t="shared" si="1"/>
        <v>1269.9999999999818</v>
      </c>
      <c r="AD33" s="36">
        <f t="shared" si="1"/>
        <v>1139.9999999999864</v>
      </c>
      <c r="AE33" s="36">
        <f t="shared" si="1"/>
        <v>139.99999999998636</v>
      </c>
      <c r="AF33" s="17">
        <f t="shared" si="1"/>
        <v>464</v>
      </c>
      <c r="AG33" s="33">
        <f t="shared" si="1"/>
        <v>450.00000000001705</v>
      </c>
      <c r="AH33" s="33">
        <f t="shared" si="1"/>
        <v>470.00000000002728</v>
      </c>
      <c r="AI33" s="33">
        <f t="shared" si="1"/>
        <v>449.99999999998863</v>
      </c>
      <c r="AJ33" s="33">
        <f t="shared" si="1"/>
        <v>549.99999999998295</v>
      </c>
      <c r="AK33" s="33">
        <f t="shared" si="1"/>
        <v>609.9999999999568</v>
      </c>
      <c r="AL33" s="33">
        <f t="shared" si="1"/>
        <v>319</v>
      </c>
      <c r="AM33" s="33">
        <f t="shared" si="1"/>
        <v>329.99999999998408</v>
      </c>
      <c r="AN33" s="33">
        <f t="shared" si="1"/>
        <v>325</v>
      </c>
      <c r="AO33" s="33">
        <f t="shared" si="1"/>
        <v>449.99999999998863</v>
      </c>
      <c r="AP33" s="33">
        <f t="shared" si="1"/>
        <v>488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831.40000000000146</v>
      </c>
      <c r="AU33" s="17">
        <f t="shared" si="1"/>
        <v>2932</v>
      </c>
      <c r="AV33" s="17">
        <f t="shared" si="1"/>
        <v>5459.9999999999227</v>
      </c>
      <c r="AW33" s="17">
        <f t="shared" si="1"/>
        <v>399.90000000000003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100.73249999999999</v>
      </c>
      <c r="BC33" s="17">
        <f t="shared" si="1"/>
        <v>0</v>
      </c>
    </row>
    <row r="35" spans="5:55" x14ac:dyDescent="0.25">
      <c r="E35" s="39">
        <f>E33/E37</f>
        <v>0.26195986673109728</v>
      </c>
      <c r="G35" s="30">
        <f>G33-M36</f>
        <v>19303.000000000073</v>
      </c>
      <c r="AE35" s="36">
        <f>SUM(U33:AE33)</f>
        <v>11775.339999999982</v>
      </c>
      <c r="AG35" s="33">
        <f>SUM(AG33:AP33)</f>
        <v>4441.9999999999454</v>
      </c>
    </row>
    <row r="36" spans="5:55" x14ac:dyDescent="0.25">
      <c r="G36" s="30">
        <f>G35-633*14</f>
        <v>10441.000000000073</v>
      </c>
      <c r="M36" s="30">
        <f>M33+N33</f>
        <v>4297</v>
      </c>
    </row>
    <row r="37" spans="5:55" x14ac:dyDescent="0.25">
      <c r="E37" s="17">
        <f>E33+F33+G33+H33+J33-633*14</f>
        <v>78638.000000000568</v>
      </c>
      <c r="G37" s="38">
        <f>M36/E37</f>
        <v>5.4642793560364826E-2</v>
      </c>
      <c r="M37" s="36">
        <f>AE35</f>
        <v>11775.339999999982</v>
      </c>
    </row>
    <row r="38" spans="5:55" x14ac:dyDescent="0.25">
      <c r="L38" s="28">
        <f>M38/E37</f>
        <v>5.6486685826189799E-2</v>
      </c>
      <c r="M38" s="30">
        <f>AG35</f>
        <v>4441.9999999999454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opLeftCell="BN1" zoomScale="60" zoomScaleNormal="60" workbookViewId="0">
      <pane ySplit="1" topLeftCell="A2" activePane="bottomLeft" state="frozen"/>
      <selection pane="bottomLeft" activeCell="BE18" sqref="BE18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42"/>
        <v>1700.0000000000348</v>
      </c>
      <c r="E10" s="60">
        <v>2.6896</v>
      </c>
      <c r="F10" s="66">
        <f t="shared" si="43"/>
        <v>999.99999999988984</v>
      </c>
      <c r="G10" s="60">
        <v>2.5105</v>
      </c>
      <c r="H10" s="66">
        <f t="shared" si="44"/>
        <v>1900.0000000000127</v>
      </c>
      <c r="I10" s="60">
        <v>1.2025999999999999</v>
      </c>
      <c r="J10" s="66">
        <f t="shared" si="85"/>
        <v>1299.9999999998568</v>
      </c>
      <c r="K10" s="60">
        <v>1.8472999999999999</v>
      </c>
      <c r="L10" s="66">
        <f t="shared" si="45"/>
        <v>2299.9999999999686</v>
      </c>
      <c r="M10" s="60">
        <v>1.1771</v>
      </c>
      <c r="N10" s="66">
        <f t="shared" si="46"/>
        <v>1000.0000000001119</v>
      </c>
      <c r="O10" s="60">
        <v>12561</v>
      </c>
      <c r="P10" s="67">
        <f t="shared" si="47"/>
        <v>20</v>
      </c>
      <c r="Q10" s="60">
        <v>5311</v>
      </c>
      <c r="R10" s="67">
        <f t="shared" si="48"/>
        <v>6</v>
      </c>
      <c r="S10" s="60">
        <v>827079.6</v>
      </c>
      <c r="T10" s="66">
        <f t="shared" si="49"/>
        <v>273.29999999993015</v>
      </c>
      <c r="U10" s="60">
        <v>335690.4</v>
      </c>
      <c r="V10" s="67">
        <f t="shared" si="50"/>
        <v>185.5</v>
      </c>
      <c r="W10" s="60">
        <v>328.11</v>
      </c>
      <c r="X10" s="67">
        <f t="shared" si="65"/>
        <v>220.00000000002728</v>
      </c>
      <c r="Y10" s="60">
        <v>2.3769999999999998</v>
      </c>
      <c r="Z10" s="67">
        <f t="shared" si="66"/>
        <v>699.99999999970089</v>
      </c>
      <c r="AA10" s="60">
        <v>324.67</v>
      </c>
      <c r="AB10" s="67">
        <f t="shared" si="67"/>
        <v>110.00000000001364</v>
      </c>
      <c r="AC10" s="60">
        <v>301.29000000000002</v>
      </c>
      <c r="AD10" s="67">
        <f t="shared" si="68"/>
        <v>330.00000000004093</v>
      </c>
      <c r="AE10" s="60">
        <v>470.82</v>
      </c>
      <c r="AF10" s="67">
        <f t="shared" si="69"/>
        <v>519.99999999998181</v>
      </c>
      <c r="AG10" s="60">
        <v>1202.7</v>
      </c>
      <c r="AH10" s="67">
        <f t="shared" si="51"/>
        <v>1.2000000000000455</v>
      </c>
      <c r="AI10" s="60">
        <v>411.35</v>
      </c>
      <c r="AJ10" s="67">
        <f t="shared" si="70"/>
        <v>280.00000000002956</v>
      </c>
      <c r="AK10" s="60">
        <v>146.97999999999999</v>
      </c>
      <c r="AL10" s="67">
        <f t="shared" si="52"/>
        <v>0.1799999999999784</v>
      </c>
      <c r="AM10" s="60">
        <v>147.49</v>
      </c>
      <c r="AN10" s="67">
        <f t="shared" si="53"/>
        <v>0.14000000000001478</v>
      </c>
      <c r="AO10" s="60">
        <v>143.85</v>
      </c>
      <c r="AP10" s="67">
        <f t="shared" si="54"/>
        <v>3.0000000000001137E-2</v>
      </c>
      <c r="AQ10" s="60">
        <v>215.21</v>
      </c>
      <c r="AR10" s="67">
        <f t="shared" si="71"/>
        <v>120.00000000000455</v>
      </c>
      <c r="AS10" s="60">
        <v>341.78</v>
      </c>
      <c r="AT10" s="67">
        <f t="shared" si="72"/>
        <v>109.9999999999568</v>
      </c>
      <c r="AU10" s="60">
        <v>263.72000000000003</v>
      </c>
      <c r="AV10" s="67">
        <f t="shared" si="73"/>
        <v>110.00000000001364</v>
      </c>
      <c r="AW10" s="60">
        <v>291.20999999999998</v>
      </c>
      <c r="AX10" s="67">
        <f t="shared" si="74"/>
        <v>99.999999999965894</v>
      </c>
      <c r="AY10" s="60">
        <v>342.24</v>
      </c>
      <c r="AZ10" s="67">
        <f t="shared" si="75"/>
        <v>100.00000000002274</v>
      </c>
      <c r="BA10" s="60">
        <v>362.37</v>
      </c>
      <c r="BB10" s="67">
        <f t="shared" si="76"/>
        <v>79.999999999984084</v>
      </c>
      <c r="BC10" s="60">
        <v>203.26</v>
      </c>
      <c r="BD10" s="67">
        <f t="shared" si="77"/>
        <v>19.99999999998181</v>
      </c>
      <c r="BE10" s="61">
        <v>28141</v>
      </c>
      <c r="BF10" s="67">
        <f t="shared" si="55"/>
        <v>40</v>
      </c>
      <c r="BG10" s="62">
        <v>223.66</v>
      </c>
      <c r="BH10" s="67">
        <f t="shared" si="78"/>
        <v>30.000000000001137</v>
      </c>
      <c r="BI10" s="62">
        <v>281.3</v>
      </c>
      <c r="BJ10" s="67">
        <f t="shared" si="79"/>
        <v>30.000000000029559</v>
      </c>
      <c r="BK10" s="62">
        <v>229.26</v>
      </c>
      <c r="BL10" s="67">
        <f t="shared" si="80"/>
        <v>30.000000000001137</v>
      </c>
      <c r="BM10" s="62">
        <v>212.25</v>
      </c>
      <c r="BN10" s="67">
        <f t="shared" si="81"/>
        <v>30.000000000001137</v>
      </c>
      <c r="BO10" s="62">
        <v>276.57</v>
      </c>
      <c r="BP10" s="67">
        <f t="shared" si="82"/>
        <v>50.000000000011369</v>
      </c>
      <c r="BQ10" s="62">
        <v>38166</v>
      </c>
      <c r="BR10" s="67">
        <f t="shared" si="56"/>
        <v>23</v>
      </c>
      <c r="BS10" s="62">
        <v>192.53</v>
      </c>
      <c r="BT10" s="67">
        <f t="shared" si="83"/>
        <v>30.000000000001137</v>
      </c>
      <c r="BU10" s="62">
        <v>29160</v>
      </c>
      <c r="BV10" s="67">
        <f t="shared" si="57"/>
        <v>25</v>
      </c>
      <c r="BW10" s="62">
        <v>222.58</v>
      </c>
      <c r="BX10" s="67">
        <f t="shared" si="84"/>
        <v>30.000000000001137</v>
      </c>
      <c r="BY10" s="62">
        <v>47709</v>
      </c>
      <c r="BZ10" s="67">
        <f t="shared" si="58"/>
        <v>35</v>
      </c>
      <c r="CA10" s="62">
        <v>27500.7</v>
      </c>
      <c r="CB10" s="67">
        <f t="shared" si="59"/>
        <v>0</v>
      </c>
      <c r="CC10" s="62">
        <v>11250.4</v>
      </c>
      <c r="CD10" s="67">
        <f t="shared" si="60"/>
        <v>0</v>
      </c>
      <c r="CE10" s="62">
        <v>5487.5</v>
      </c>
      <c r="CF10" s="67">
        <f t="shared" si="61"/>
        <v>0</v>
      </c>
      <c r="CG10" s="62">
        <v>43837.1</v>
      </c>
      <c r="CH10" s="67">
        <f t="shared" si="62"/>
        <v>54.900000000001455</v>
      </c>
      <c r="CI10" s="62">
        <v>851315</v>
      </c>
      <c r="CJ10" s="67">
        <f t="shared" si="63"/>
        <v>229</v>
      </c>
      <c r="CK10" s="62">
        <v>557.83000000000004</v>
      </c>
      <c r="CL10" s="66">
        <f t="shared" si="64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42"/>
        <v>1700.0000000000348</v>
      </c>
      <c r="E11" s="60">
        <v>2.6905999999999999</v>
      </c>
      <c r="F11" s="66">
        <f t="shared" si="43"/>
        <v>999.99999999988984</v>
      </c>
      <c r="G11" s="60">
        <v>2.5125000000000002</v>
      </c>
      <c r="H11" s="66">
        <f t="shared" si="44"/>
        <v>2000.0000000002237</v>
      </c>
      <c r="I11" s="60">
        <v>1.2039</v>
      </c>
      <c r="J11" s="66">
        <f t="shared" si="85"/>
        <v>1300.0000000000789</v>
      </c>
      <c r="K11" s="60">
        <v>1.8499000000000001</v>
      </c>
      <c r="L11" s="66">
        <f t="shared" si="45"/>
        <v>2600.0000000001578</v>
      </c>
      <c r="M11" s="60">
        <v>1.1782999999999999</v>
      </c>
      <c r="N11" s="66">
        <f t="shared" si="46"/>
        <v>1199.9999999998679</v>
      </c>
      <c r="O11" s="60">
        <v>12561</v>
      </c>
      <c r="P11" s="67">
        <f t="shared" si="47"/>
        <v>0</v>
      </c>
      <c r="Q11" s="60">
        <v>5316</v>
      </c>
      <c r="R11" s="67">
        <f t="shared" si="48"/>
        <v>5</v>
      </c>
      <c r="S11" s="60">
        <v>827385</v>
      </c>
      <c r="T11" s="66">
        <f t="shared" si="49"/>
        <v>305.40000000002328</v>
      </c>
      <c r="U11" s="60">
        <v>335881</v>
      </c>
      <c r="V11" s="67">
        <f t="shared" si="50"/>
        <v>190.59999999997672</v>
      </c>
      <c r="W11" s="60">
        <v>328.33</v>
      </c>
      <c r="X11" s="67">
        <f t="shared" si="65"/>
        <v>219.99999999997044</v>
      </c>
      <c r="Y11" s="60">
        <v>2.3776999999999999</v>
      </c>
      <c r="Z11" s="67">
        <f t="shared" si="66"/>
        <v>700.00000000014495</v>
      </c>
      <c r="AA11" s="60">
        <v>324.77999999999997</v>
      </c>
      <c r="AB11" s="67">
        <f t="shared" si="67"/>
        <v>109.9999999999568</v>
      </c>
      <c r="AC11" s="60">
        <v>301.60000000000002</v>
      </c>
      <c r="AD11" s="67">
        <f t="shared" si="68"/>
        <v>310.00000000000227</v>
      </c>
      <c r="AE11" s="60">
        <v>471.46</v>
      </c>
      <c r="AF11" s="67">
        <f t="shared" si="69"/>
        <v>639.99999999998636</v>
      </c>
      <c r="AG11" s="60">
        <v>1207.0999999999999</v>
      </c>
      <c r="AH11" s="67">
        <f t="shared" si="51"/>
        <v>4.3999999999998636</v>
      </c>
      <c r="AI11" s="60">
        <v>411.64</v>
      </c>
      <c r="AJ11" s="67">
        <f t="shared" si="70"/>
        <v>289.99999999996362</v>
      </c>
      <c r="AK11" s="60">
        <v>147.13999999999999</v>
      </c>
      <c r="AL11" s="67">
        <f t="shared" si="52"/>
        <v>0.15999999999999659</v>
      </c>
      <c r="AM11" s="60">
        <v>147.62</v>
      </c>
      <c r="AN11" s="67">
        <f t="shared" si="53"/>
        <v>0.12999999999999545</v>
      </c>
      <c r="AO11" s="60">
        <v>144.08000000000001</v>
      </c>
      <c r="AP11" s="67">
        <f t="shared" si="54"/>
        <v>0.23000000000001819</v>
      </c>
      <c r="AQ11" s="60">
        <v>215.33</v>
      </c>
      <c r="AR11" s="67">
        <f t="shared" si="71"/>
        <v>120.00000000000455</v>
      </c>
      <c r="AS11" s="60">
        <v>341.88</v>
      </c>
      <c r="AT11" s="67">
        <f t="shared" si="72"/>
        <v>100.00000000002274</v>
      </c>
      <c r="AU11" s="60">
        <v>263.82</v>
      </c>
      <c r="AV11" s="67">
        <f t="shared" si="73"/>
        <v>99.999999999965894</v>
      </c>
      <c r="AW11" s="60">
        <v>291.31</v>
      </c>
      <c r="AX11" s="67">
        <f t="shared" si="74"/>
        <v>100.00000000002274</v>
      </c>
      <c r="AY11" s="60">
        <v>342.35</v>
      </c>
      <c r="AZ11" s="67">
        <f t="shared" si="75"/>
        <v>110.00000000001364</v>
      </c>
      <c r="BA11" s="60">
        <v>362.49</v>
      </c>
      <c r="BB11" s="67">
        <f t="shared" si="76"/>
        <v>120.00000000000455</v>
      </c>
      <c r="BC11" s="60">
        <v>203.27</v>
      </c>
      <c r="BD11" s="67">
        <f t="shared" si="77"/>
        <v>10.000000000019327</v>
      </c>
      <c r="BE11" s="61">
        <v>28179</v>
      </c>
      <c r="BF11" s="67">
        <f t="shared" si="55"/>
        <v>38</v>
      </c>
      <c r="BG11" s="62">
        <v>223.7</v>
      </c>
      <c r="BH11" s="67">
        <f t="shared" si="78"/>
        <v>39.999999999992042</v>
      </c>
      <c r="BI11" s="62">
        <v>281.33999999999997</v>
      </c>
      <c r="BJ11" s="67">
        <f t="shared" si="79"/>
        <v>39.99999999996362</v>
      </c>
      <c r="BK11" s="62">
        <v>229.29</v>
      </c>
      <c r="BL11" s="67">
        <f t="shared" si="80"/>
        <v>30.000000000001137</v>
      </c>
      <c r="BM11" s="62">
        <v>212.29</v>
      </c>
      <c r="BN11" s="67">
        <f t="shared" si="81"/>
        <v>39.999999999992042</v>
      </c>
      <c r="BO11" s="62">
        <v>276.62</v>
      </c>
      <c r="BP11" s="67">
        <f t="shared" si="82"/>
        <v>50.000000000011369</v>
      </c>
      <c r="BQ11" s="62">
        <v>38190</v>
      </c>
      <c r="BR11" s="67">
        <f t="shared" si="56"/>
        <v>24</v>
      </c>
      <c r="BS11" s="62">
        <v>192.55</v>
      </c>
      <c r="BT11" s="67">
        <f t="shared" si="83"/>
        <v>20.000000000010232</v>
      </c>
      <c r="BU11" s="62">
        <v>29186</v>
      </c>
      <c r="BV11" s="67">
        <f t="shared" si="57"/>
        <v>26</v>
      </c>
      <c r="BW11" s="62">
        <v>222.62</v>
      </c>
      <c r="BX11" s="67">
        <f t="shared" si="84"/>
        <v>39.999999999992042</v>
      </c>
      <c r="BY11" s="62">
        <v>47749</v>
      </c>
      <c r="BZ11" s="67">
        <f t="shared" si="58"/>
        <v>40</v>
      </c>
      <c r="CA11" s="62">
        <v>27500.7</v>
      </c>
      <c r="CB11" s="67">
        <f t="shared" si="59"/>
        <v>0</v>
      </c>
      <c r="CC11" s="62">
        <v>11250.4</v>
      </c>
      <c r="CD11" s="67">
        <f t="shared" si="60"/>
        <v>0</v>
      </c>
      <c r="CE11" s="62">
        <v>5487.5</v>
      </c>
      <c r="CF11" s="67">
        <f t="shared" si="61"/>
        <v>0</v>
      </c>
      <c r="CG11" s="62">
        <v>43895.9</v>
      </c>
      <c r="CH11" s="67">
        <f t="shared" si="62"/>
        <v>58.80000000000291</v>
      </c>
      <c r="CI11" s="62">
        <v>851532</v>
      </c>
      <c r="CJ11" s="67">
        <f t="shared" si="63"/>
        <v>217</v>
      </c>
      <c r="CK11" s="62">
        <v>558.29999999999995</v>
      </c>
      <c r="CL11" s="66">
        <f t="shared" si="64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42"/>
        <v>1700.0000000000348</v>
      </c>
      <c r="E12" s="60">
        <v>2.6916000000000002</v>
      </c>
      <c r="F12" s="66">
        <f t="shared" si="43"/>
        <v>1000.000000000334</v>
      </c>
      <c r="G12" s="60">
        <v>2.5143</v>
      </c>
      <c r="H12" s="66">
        <f t="shared" si="44"/>
        <v>1799.9999999998017</v>
      </c>
      <c r="I12" s="60">
        <v>1.2053</v>
      </c>
      <c r="J12" s="66">
        <f t="shared" si="85"/>
        <v>1400.0000000000678</v>
      </c>
      <c r="K12" s="60">
        <v>1.8524</v>
      </c>
      <c r="L12" s="66">
        <f t="shared" si="45"/>
        <v>2499.9999999999468</v>
      </c>
      <c r="M12" s="60">
        <v>1.1796</v>
      </c>
      <c r="N12" s="66">
        <f t="shared" si="46"/>
        <v>1300.0000000000789</v>
      </c>
      <c r="O12" s="60">
        <v>12561</v>
      </c>
      <c r="P12" s="67">
        <f t="shared" si="47"/>
        <v>0</v>
      </c>
      <c r="Q12" s="60">
        <v>5320</v>
      </c>
      <c r="R12" s="67">
        <f t="shared" si="48"/>
        <v>4</v>
      </c>
      <c r="S12" s="60">
        <v>827530.5</v>
      </c>
      <c r="T12" s="67">
        <f t="shared" ref="T12:T34" si="86">IF((S12-S11&lt;0), "",S12-S11)</f>
        <v>145.5</v>
      </c>
      <c r="U12" s="60">
        <v>335982.6</v>
      </c>
      <c r="V12" s="67">
        <f t="shared" si="50"/>
        <v>101.59999999997672</v>
      </c>
      <c r="W12" s="60">
        <v>328.55</v>
      </c>
      <c r="X12" s="67">
        <f t="shared" si="65"/>
        <v>220.00000000002728</v>
      </c>
      <c r="Y12" s="60">
        <v>2.3782999999999999</v>
      </c>
      <c r="Z12" s="67">
        <f t="shared" si="66"/>
        <v>599.99999999993395</v>
      </c>
      <c r="AA12" s="60">
        <v>324.89999999999998</v>
      </c>
      <c r="AB12" s="67">
        <f t="shared" si="67"/>
        <v>120.00000000000455</v>
      </c>
      <c r="AC12" s="60">
        <v>301.93</v>
      </c>
      <c r="AD12" s="67">
        <f t="shared" si="68"/>
        <v>329.99999999998408</v>
      </c>
      <c r="AE12" s="60">
        <v>472.16</v>
      </c>
      <c r="AF12" s="67">
        <f t="shared" si="69"/>
        <v>700.00000000004547</v>
      </c>
      <c r="AG12" s="60">
        <v>1208.3</v>
      </c>
      <c r="AH12" s="67">
        <f t="shared" si="51"/>
        <v>1.2000000000000455</v>
      </c>
      <c r="AI12" s="60">
        <v>411.95</v>
      </c>
      <c r="AJ12" s="67">
        <f t="shared" si="70"/>
        <v>310.00000000000227</v>
      </c>
      <c r="AK12" s="60">
        <v>147.34</v>
      </c>
      <c r="AL12" s="67">
        <f t="shared" si="52"/>
        <v>0.20000000000001705</v>
      </c>
      <c r="AM12" s="60">
        <v>147.74</v>
      </c>
      <c r="AN12" s="67">
        <f t="shared" si="53"/>
        <v>0.12000000000000455</v>
      </c>
      <c r="AO12" s="60">
        <v>144.22</v>
      </c>
      <c r="AP12" s="67">
        <f t="shared" si="54"/>
        <v>0.13999999999998636</v>
      </c>
      <c r="AQ12" s="60">
        <v>215.46</v>
      </c>
      <c r="AR12" s="67">
        <f t="shared" si="71"/>
        <v>129.99999999999545</v>
      </c>
      <c r="AS12" s="60">
        <v>341.99</v>
      </c>
      <c r="AT12" s="67">
        <f t="shared" si="72"/>
        <v>110.00000000001364</v>
      </c>
      <c r="AU12" s="60">
        <v>263.93</v>
      </c>
      <c r="AV12" s="67">
        <f t="shared" si="73"/>
        <v>110.00000000001364</v>
      </c>
      <c r="AW12" s="60">
        <v>291.39999999999998</v>
      </c>
      <c r="AX12" s="67">
        <f t="shared" si="74"/>
        <v>89.999999999974989</v>
      </c>
      <c r="AY12" s="60">
        <v>342.46</v>
      </c>
      <c r="AZ12" s="67">
        <f t="shared" si="75"/>
        <v>109.9999999999568</v>
      </c>
      <c r="BA12" s="60">
        <v>362.61</v>
      </c>
      <c r="BB12" s="67">
        <f t="shared" si="76"/>
        <v>120.00000000000455</v>
      </c>
      <c r="BC12" s="60">
        <v>203.28</v>
      </c>
      <c r="BD12" s="67">
        <f t="shared" si="77"/>
        <v>9.9999999999909051</v>
      </c>
      <c r="BE12" s="61">
        <v>28209</v>
      </c>
      <c r="BF12" s="67">
        <f t="shared" si="55"/>
        <v>30</v>
      </c>
      <c r="BG12" s="62">
        <v>223.73</v>
      </c>
      <c r="BH12" s="67">
        <f t="shared" si="78"/>
        <v>30.000000000001137</v>
      </c>
      <c r="BI12" s="62">
        <v>281.38</v>
      </c>
      <c r="BJ12" s="67">
        <f t="shared" si="79"/>
        <v>40.000000000020464</v>
      </c>
      <c r="BK12" s="62">
        <v>229.33</v>
      </c>
      <c r="BL12" s="67">
        <f t="shared" si="80"/>
        <v>40.000000000020464</v>
      </c>
      <c r="BM12" s="62">
        <v>212.34</v>
      </c>
      <c r="BN12" s="67">
        <f t="shared" si="81"/>
        <v>50.000000000011369</v>
      </c>
      <c r="BO12" s="62">
        <v>276.67</v>
      </c>
      <c r="BP12" s="67">
        <f t="shared" si="82"/>
        <v>50.000000000011369</v>
      </c>
      <c r="BQ12" s="62">
        <v>38216</v>
      </c>
      <c r="BR12" s="67">
        <f t="shared" si="56"/>
        <v>26</v>
      </c>
      <c r="BS12" s="62">
        <v>192.58</v>
      </c>
      <c r="BT12" s="67">
        <f t="shared" si="83"/>
        <v>30.000000000001137</v>
      </c>
      <c r="BU12" s="62">
        <v>29215</v>
      </c>
      <c r="BV12" s="67">
        <f t="shared" si="57"/>
        <v>29</v>
      </c>
      <c r="BW12" s="62">
        <v>222.66</v>
      </c>
      <c r="BX12" s="67">
        <f t="shared" si="84"/>
        <v>39.999999999992042</v>
      </c>
      <c r="BY12" s="62">
        <v>47789</v>
      </c>
      <c r="BZ12" s="67">
        <f t="shared" si="58"/>
        <v>40</v>
      </c>
      <c r="CA12" s="62">
        <v>27500.7</v>
      </c>
      <c r="CB12" s="67">
        <f t="shared" si="59"/>
        <v>0</v>
      </c>
      <c r="CC12" s="62">
        <v>11250.4</v>
      </c>
      <c r="CD12" s="67">
        <f t="shared" si="60"/>
        <v>0</v>
      </c>
      <c r="CE12" s="62">
        <v>5487.5</v>
      </c>
      <c r="CF12" s="67">
        <f t="shared" si="61"/>
        <v>0</v>
      </c>
      <c r="CG12" s="62">
        <v>43958.8</v>
      </c>
      <c r="CH12" s="67">
        <f t="shared" si="62"/>
        <v>62.900000000001455</v>
      </c>
      <c r="CI12" s="62">
        <v>851756</v>
      </c>
      <c r="CJ12" s="67">
        <f t="shared" si="63"/>
        <v>224</v>
      </c>
      <c r="CK12" s="62">
        <v>558.70000000000005</v>
      </c>
      <c r="CL12" s="66">
        <f t="shared" si="64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42"/>
        <v>1700.0000000000348</v>
      </c>
      <c r="E13" s="60">
        <v>2.6928000000000001</v>
      </c>
      <c r="F13" s="66">
        <f t="shared" si="43"/>
        <v>1199.9999999998679</v>
      </c>
      <c r="G13" s="60">
        <v>2.5158999999999998</v>
      </c>
      <c r="H13" s="66">
        <f t="shared" si="44"/>
        <v>1599.9999999998238</v>
      </c>
      <c r="I13" s="60">
        <v>1.2065999999999999</v>
      </c>
      <c r="J13" s="66">
        <f t="shared" si="85"/>
        <v>1299.9999999998568</v>
      </c>
      <c r="K13" s="60">
        <v>1.8549</v>
      </c>
      <c r="L13" s="66">
        <f t="shared" si="45"/>
        <v>2499.9999999999468</v>
      </c>
      <c r="M13" s="60">
        <v>1.1808000000000001</v>
      </c>
      <c r="N13" s="66">
        <f t="shared" si="46"/>
        <v>1200.0000000000898</v>
      </c>
      <c r="O13" s="60">
        <v>12563</v>
      </c>
      <c r="P13" s="67">
        <f t="shared" si="47"/>
        <v>2</v>
      </c>
      <c r="Q13" s="60">
        <v>5329</v>
      </c>
      <c r="R13" s="67">
        <f t="shared" si="48"/>
        <v>9</v>
      </c>
      <c r="S13" s="60">
        <v>827556</v>
      </c>
      <c r="T13" s="67">
        <f t="shared" si="86"/>
        <v>25.5</v>
      </c>
      <c r="U13" s="60">
        <v>336003.7</v>
      </c>
      <c r="V13" s="67">
        <f t="shared" si="50"/>
        <v>21.100000000034925</v>
      </c>
      <c r="W13" s="60">
        <v>328.78</v>
      </c>
      <c r="X13" s="67">
        <f t="shared" si="65"/>
        <v>229.99999999996135</v>
      </c>
      <c r="Y13" s="60">
        <v>2.3792</v>
      </c>
      <c r="Z13" s="67">
        <f t="shared" si="66"/>
        <v>900.0000000001229</v>
      </c>
      <c r="AA13" s="60">
        <v>325.01</v>
      </c>
      <c r="AB13" s="67">
        <f t="shared" si="67"/>
        <v>110.00000000001364</v>
      </c>
      <c r="AC13" s="60">
        <v>302.27999999999997</v>
      </c>
      <c r="AD13" s="67">
        <f t="shared" si="68"/>
        <v>349.99999999996589</v>
      </c>
      <c r="AE13" s="60">
        <v>472.82</v>
      </c>
      <c r="AF13" s="67">
        <f t="shared" si="69"/>
        <v>659.99999999996817</v>
      </c>
      <c r="AG13" s="60">
        <v>1209.5999999999999</v>
      </c>
      <c r="AH13" s="67">
        <f t="shared" si="51"/>
        <v>1.2999999999999545</v>
      </c>
      <c r="AI13" s="60">
        <v>412.23</v>
      </c>
      <c r="AJ13" s="67">
        <f t="shared" si="70"/>
        <v>280.00000000002956</v>
      </c>
      <c r="AK13" s="60">
        <v>147.52000000000001</v>
      </c>
      <c r="AL13" s="67">
        <f t="shared" si="52"/>
        <v>0.18000000000000682</v>
      </c>
      <c r="AM13" s="60">
        <v>147.86000000000001</v>
      </c>
      <c r="AN13" s="67">
        <f t="shared" si="53"/>
        <v>0.12000000000000455</v>
      </c>
      <c r="AO13" s="60">
        <v>144.32</v>
      </c>
      <c r="AP13" s="67">
        <f t="shared" si="54"/>
        <v>9.9999999999994316E-2</v>
      </c>
      <c r="AQ13" s="60">
        <v>215.58</v>
      </c>
      <c r="AR13" s="67">
        <f t="shared" si="71"/>
        <v>120.00000000000455</v>
      </c>
      <c r="AS13" s="60">
        <v>342.1</v>
      </c>
      <c r="AT13" s="67">
        <f t="shared" si="72"/>
        <v>110.00000000001364</v>
      </c>
      <c r="AU13" s="60">
        <v>264.04000000000002</v>
      </c>
      <c r="AV13" s="67">
        <f t="shared" si="73"/>
        <v>110.00000000001364</v>
      </c>
      <c r="AW13" s="60">
        <v>291.5</v>
      </c>
      <c r="AX13" s="67">
        <f t="shared" si="74"/>
        <v>100.00000000002274</v>
      </c>
      <c r="AY13" s="60">
        <v>342.57</v>
      </c>
      <c r="AZ13" s="67">
        <f t="shared" si="75"/>
        <v>110.00000000001364</v>
      </c>
      <c r="BA13" s="60">
        <v>362.71</v>
      </c>
      <c r="BB13" s="67">
        <f t="shared" si="76"/>
        <v>99.999999999965894</v>
      </c>
      <c r="BC13" s="60">
        <v>203.28</v>
      </c>
      <c r="BD13" s="67">
        <f t="shared" si="77"/>
        <v>0</v>
      </c>
      <c r="BE13" s="61">
        <v>28260</v>
      </c>
      <c r="BF13" s="67">
        <f t="shared" si="55"/>
        <v>51</v>
      </c>
      <c r="BG13" s="62">
        <v>223.77</v>
      </c>
      <c r="BH13" s="67">
        <f t="shared" si="78"/>
        <v>40.000000000020464</v>
      </c>
      <c r="BI13" s="62">
        <v>281.42</v>
      </c>
      <c r="BJ13" s="67">
        <f t="shared" si="79"/>
        <v>40.000000000020464</v>
      </c>
      <c r="BK13" s="62">
        <v>229.37</v>
      </c>
      <c r="BL13" s="67">
        <f t="shared" si="80"/>
        <v>39.999999999992042</v>
      </c>
      <c r="BM13" s="62">
        <v>212.39</v>
      </c>
      <c r="BN13" s="67">
        <f t="shared" si="81"/>
        <v>49.999999999982947</v>
      </c>
      <c r="BO13" s="62">
        <v>276.72000000000003</v>
      </c>
      <c r="BP13" s="67">
        <f t="shared" si="82"/>
        <v>50.000000000011369</v>
      </c>
      <c r="BQ13" s="62">
        <v>38244</v>
      </c>
      <c r="BR13" s="67">
        <f t="shared" si="56"/>
        <v>28</v>
      </c>
      <c r="BS13" s="62">
        <v>192.6</v>
      </c>
      <c r="BT13" s="67">
        <f t="shared" si="83"/>
        <v>19.99999999998181</v>
      </c>
      <c r="BU13" s="62">
        <v>29246</v>
      </c>
      <c r="BV13" s="67">
        <f t="shared" si="57"/>
        <v>31</v>
      </c>
      <c r="BW13" s="62">
        <v>222.7</v>
      </c>
      <c r="BX13" s="67">
        <f t="shared" si="84"/>
        <v>39.999999999992042</v>
      </c>
      <c r="BY13" s="62">
        <v>47831</v>
      </c>
      <c r="BZ13" s="67">
        <f t="shared" si="58"/>
        <v>42</v>
      </c>
      <c r="CA13" s="62">
        <v>27500.7</v>
      </c>
      <c r="CB13" s="67">
        <f t="shared" si="59"/>
        <v>0</v>
      </c>
      <c r="CC13" s="62">
        <v>11250.4</v>
      </c>
      <c r="CD13" s="67">
        <f t="shared" si="60"/>
        <v>0</v>
      </c>
      <c r="CE13" s="62">
        <v>5487.5</v>
      </c>
      <c r="CF13" s="67">
        <f t="shared" si="61"/>
        <v>0</v>
      </c>
      <c r="CG13" s="62">
        <v>44029.5</v>
      </c>
      <c r="CH13" s="67">
        <f t="shared" si="62"/>
        <v>70.69999999999709</v>
      </c>
      <c r="CI13" s="62">
        <v>851976</v>
      </c>
      <c r="CJ13" s="67">
        <f t="shared" si="63"/>
        <v>220</v>
      </c>
      <c r="CK13" s="62">
        <v>559.12</v>
      </c>
      <c r="CL13" s="66">
        <f t="shared" si="64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42"/>
        <v>1799.9999999998017</v>
      </c>
      <c r="E14" s="60">
        <v>2.694</v>
      </c>
      <c r="F14" s="66">
        <f t="shared" si="43"/>
        <v>1199.9999999998679</v>
      </c>
      <c r="G14" s="60">
        <v>2.5179</v>
      </c>
      <c r="H14" s="66">
        <f t="shared" si="44"/>
        <v>2000.0000000002237</v>
      </c>
      <c r="I14" s="60">
        <v>1.2079</v>
      </c>
      <c r="J14" s="66">
        <f t="shared" si="85"/>
        <v>1300.0000000000789</v>
      </c>
      <c r="K14" s="60">
        <v>1.8573999999999999</v>
      </c>
      <c r="L14" s="66">
        <f t="shared" si="45"/>
        <v>2499.9999999999468</v>
      </c>
      <c r="M14" s="60">
        <v>1.1819999999999999</v>
      </c>
      <c r="N14" s="66">
        <f t="shared" si="46"/>
        <v>1199.9999999998679</v>
      </c>
      <c r="O14" s="60">
        <v>12564</v>
      </c>
      <c r="P14" s="67">
        <f t="shared" si="47"/>
        <v>1</v>
      </c>
      <c r="Q14" s="60">
        <v>5336</v>
      </c>
      <c r="R14" s="67">
        <f t="shared" si="48"/>
        <v>7</v>
      </c>
      <c r="S14" s="60">
        <v>827824.6</v>
      </c>
      <c r="T14" s="67">
        <f t="shared" si="86"/>
        <v>268.59999999997672</v>
      </c>
      <c r="U14" s="60">
        <v>336157.6</v>
      </c>
      <c r="V14" s="67">
        <f t="shared" si="50"/>
        <v>153.89999999996508</v>
      </c>
      <c r="W14" s="60">
        <v>329.04</v>
      </c>
      <c r="X14" s="67">
        <f>IF((W14-W13&lt;0), "",(W14-W13)*1000)</f>
        <v>260.00000000004775</v>
      </c>
      <c r="Y14" s="60">
        <v>2.38</v>
      </c>
      <c r="Z14" s="67">
        <f t="shared" si="66"/>
        <v>799.99999999991189</v>
      </c>
      <c r="AA14" s="60">
        <v>325.14</v>
      </c>
      <c r="AB14" s="67">
        <f t="shared" si="67"/>
        <v>129.99999999999545</v>
      </c>
      <c r="AC14" s="60">
        <v>302.57</v>
      </c>
      <c r="AD14" s="67">
        <f t="shared" si="68"/>
        <v>290.00000000002046</v>
      </c>
      <c r="AE14" s="60">
        <v>473.5</v>
      </c>
      <c r="AF14" s="67">
        <f t="shared" si="69"/>
        <v>680.00000000000682</v>
      </c>
      <c r="AG14" s="60">
        <v>1211</v>
      </c>
      <c r="AH14" s="67">
        <f t="shared" si="51"/>
        <v>1.4000000000000909</v>
      </c>
      <c r="AI14" s="60">
        <v>412.52</v>
      </c>
      <c r="AJ14" s="67">
        <f t="shared" si="70"/>
        <v>289.99999999996362</v>
      </c>
      <c r="AK14" s="60">
        <v>147.72</v>
      </c>
      <c r="AL14" s="67">
        <f t="shared" si="52"/>
        <v>0.19999999999998863</v>
      </c>
      <c r="AM14" s="60">
        <v>147.99</v>
      </c>
      <c r="AN14" s="67">
        <f t="shared" si="53"/>
        <v>0.12999999999999545</v>
      </c>
      <c r="AO14" s="60">
        <v>144.41999999999999</v>
      </c>
      <c r="AP14" s="67">
        <f t="shared" si="54"/>
        <v>9.9999999999994316E-2</v>
      </c>
      <c r="AQ14" s="60">
        <v>215.74</v>
      </c>
      <c r="AR14" s="67">
        <f t="shared" si="71"/>
        <v>159.99999999999659</v>
      </c>
      <c r="AS14" s="60">
        <v>342.22</v>
      </c>
      <c r="AT14" s="67">
        <f t="shared" si="72"/>
        <v>120.00000000000455</v>
      </c>
      <c r="AU14" s="60">
        <v>264.14999999999998</v>
      </c>
      <c r="AV14" s="67">
        <f t="shared" si="73"/>
        <v>109.9999999999568</v>
      </c>
      <c r="AW14" s="60">
        <v>291.60000000000002</v>
      </c>
      <c r="AX14" s="67">
        <f t="shared" si="74"/>
        <v>100.00000000002274</v>
      </c>
      <c r="AY14" s="60">
        <v>342.69</v>
      </c>
      <c r="AZ14" s="67">
        <f t="shared" si="75"/>
        <v>120.00000000000455</v>
      </c>
      <c r="BA14" s="60">
        <v>362.83</v>
      </c>
      <c r="BB14" s="67">
        <f t="shared" si="76"/>
        <v>120.00000000000455</v>
      </c>
      <c r="BC14" s="60">
        <v>203.3</v>
      </c>
      <c r="BD14" s="67">
        <f t="shared" si="77"/>
        <v>20.000000000010232</v>
      </c>
      <c r="BE14" s="61">
        <v>28301</v>
      </c>
      <c r="BF14" s="67">
        <f t="shared" si="55"/>
        <v>41</v>
      </c>
      <c r="BG14" s="62">
        <v>223.81</v>
      </c>
      <c r="BH14" s="67">
        <f t="shared" si="78"/>
        <v>39.999999999992042</v>
      </c>
      <c r="BI14" s="62">
        <v>281.45</v>
      </c>
      <c r="BJ14" s="67">
        <f t="shared" si="79"/>
        <v>29.999999999972715</v>
      </c>
      <c r="BK14" s="62">
        <v>229.42</v>
      </c>
      <c r="BL14" s="67">
        <f t="shared" si="80"/>
        <v>49.999999999982947</v>
      </c>
      <c r="BM14" s="62">
        <v>212.44</v>
      </c>
      <c r="BN14" s="67">
        <f t="shared" si="81"/>
        <v>50.000000000011369</v>
      </c>
      <c r="BO14" s="62">
        <v>276.77</v>
      </c>
      <c r="BP14" s="67">
        <f t="shared" si="82"/>
        <v>49.999999999954525</v>
      </c>
      <c r="BQ14" s="62">
        <v>38269</v>
      </c>
      <c r="BR14" s="67">
        <f t="shared" si="56"/>
        <v>25</v>
      </c>
      <c r="BS14" s="62">
        <v>192.63</v>
      </c>
      <c r="BT14" s="67">
        <f t="shared" si="83"/>
        <v>30.000000000001137</v>
      </c>
      <c r="BU14" s="62">
        <v>29278</v>
      </c>
      <c r="BV14" s="67">
        <f t="shared" si="57"/>
        <v>32</v>
      </c>
      <c r="BW14" s="62">
        <v>222.74</v>
      </c>
      <c r="BX14" s="67">
        <f t="shared" si="84"/>
        <v>40.000000000020464</v>
      </c>
      <c r="BY14" s="62">
        <v>47873</v>
      </c>
      <c r="BZ14" s="67">
        <f t="shared" si="58"/>
        <v>42</v>
      </c>
      <c r="CA14" s="62">
        <v>27500.7</v>
      </c>
      <c r="CB14" s="67">
        <f t="shared" si="59"/>
        <v>0</v>
      </c>
      <c r="CC14" s="62">
        <v>11250.4</v>
      </c>
      <c r="CD14" s="67">
        <f t="shared" si="60"/>
        <v>0</v>
      </c>
      <c r="CE14" s="62">
        <v>5487.5</v>
      </c>
      <c r="CF14" s="67">
        <f t="shared" si="61"/>
        <v>0</v>
      </c>
      <c r="CG14" s="62">
        <v>44103.8</v>
      </c>
      <c r="CH14" s="67">
        <f t="shared" si="62"/>
        <v>74.30000000000291</v>
      </c>
      <c r="CI14" s="62">
        <v>852204</v>
      </c>
      <c r="CJ14" s="67">
        <f t="shared" si="63"/>
        <v>228</v>
      </c>
      <c r="CK14" s="62">
        <v>559.57000000000005</v>
      </c>
      <c r="CL14" s="66">
        <f t="shared" si="64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42"/>
        <v>1200.0000000000898</v>
      </c>
      <c r="E15" s="60">
        <v>2.6947999999999999</v>
      </c>
      <c r="F15" s="66">
        <f t="shared" si="43"/>
        <v>799.99999999991189</v>
      </c>
      <c r="G15" s="60">
        <v>2.5196999999999998</v>
      </c>
      <c r="H15" s="66">
        <f t="shared" si="44"/>
        <v>1799.9999999998017</v>
      </c>
      <c r="I15" s="60">
        <v>1.2091000000000001</v>
      </c>
      <c r="J15" s="66">
        <f t="shared" si="85"/>
        <v>1200.0000000000898</v>
      </c>
      <c r="K15" s="60">
        <v>1.8595999999999999</v>
      </c>
      <c r="L15" s="66">
        <f t="shared" si="45"/>
        <v>2199.9999999999795</v>
      </c>
      <c r="M15" s="60">
        <v>1.1829000000000001</v>
      </c>
      <c r="N15" s="66">
        <f t="shared" si="46"/>
        <v>900.0000000001229</v>
      </c>
      <c r="O15" s="60">
        <v>12564</v>
      </c>
      <c r="P15" s="67">
        <f t="shared" si="47"/>
        <v>0</v>
      </c>
      <c r="Q15" s="60">
        <v>5340</v>
      </c>
      <c r="R15" s="67">
        <f t="shared" si="48"/>
        <v>4</v>
      </c>
      <c r="S15" s="60">
        <v>828053.5</v>
      </c>
      <c r="T15" s="67">
        <f t="shared" si="86"/>
        <v>228.90000000002328</v>
      </c>
      <c r="U15" s="60">
        <v>336289</v>
      </c>
      <c r="V15" s="67">
        <f t="shared" si="50"/>
        <v>131.40000000002328</v>
      </c>
      <c r="W15" s="60">
        <v>329.22</v>
      </c>
      <c r="X15" s="67">
        <f t="shared" si="65"/>
        <v>180.00000000000682</v>
      </c>
      <c r="Y15" s="60">
        <v>2.3805000000000001</v>
      </c>
      <c r="Z15" s="67">
        <f t="shared" si="66"/>
        <v>500.00000000016701</v>
      </c>
      <c r="AA15" s="60">
        <v>325.23</v>
      </c>
      <c r="AB15" s="67">
        <f t="shared" si="67"/>
        <v>90.000000000031832</v>
      </c>
      <c r="AC15" s="60">
        <v>302.8</v>
      </c>
      <c r="AD15" s="67">
        <f t="shared" si="68"/>
        <v>230.00000000001819</v>
      </c>
      <c r="AE15" s="60">
        <v>473.93</v>
      </c>
      <c r="AF15" s="67">
        <f t="shared" si="69"/>
        <v>430.00000000000682</v>
      </c>
      <c r="AG15" s="60">
        <v>1212</v>
      </c>
      <c r="AH15" s="67">
        <f t="shared" si="51"/>
        <v>1</v>
      </c>
      <c r="AI15" s="60">
        <v>412.78</v>
      </c>
      <c r="AJ15" s="67">
        <f t="shared" si="70"/>
        <v>259.99999999999091</v>
      </c>
      <c r="AK15" s="60">
        <v>147.83000000000001</v>
      </c>
      <c r="AL15" s="67">
        <f t="shared" si="52"/>
        <v>0.11000000000001364</v>
      </c>
      <c r="AM15" s="60">
        <v>148.07</v>
      </c>
      <c r="AN15" s="67">
        <f t="shared" si="53"/>
        <v>7.9999999999984084E-2</v>
      </c>
      <c r="AO15" s="60">
        <v>144.53</v>
      </c>
      <c r="AP15" s="67">
        <f t="shared" si="54"/>
        <v>0.11000000000001364</v>
      </c>
      <c r="AQ15" s="60">
        <v>215.85</v>
      </c>
      <c r="AR15" s="67">
        <f t="shared" si="71"/>
        <v>109.99999999998522</v>
      </c>
      <c r="AS15" s="60">
        <v>342.31</v>
      </c>
      <c r="AT15" s="67">
        <f t="shared" si="72"/>
        <v>89.999999999974989</v>
      </c>
      <c r="AU15" s="60">
        <v>264.22000000000003</v>
      </c>
      <c r="AV15" s="67">
        <f t="shared" si="73"/>
        <v>70.000000000050022</v>
      </c>
      <c r="AW15" s="60">
        <v>291.67</v>
      </c>
      <c r="AX15" s="67">
        <f t="shared" si="74"/>
        <v>69.999999999993179</v>
      </c>
      <c r="AY15" s="60">
        <v>342.75</v>
      </c>
      <c r="AZ15" s="67">
        <f t="shared" si="75"/>
        <v>60.000000000002274</v>
      </c>
      <c r="BA15" s="60">
        <v>362.89</v>
      </c>
      <c r="BB15" s="67">
        <f t="shared" si="76"/>
        <v>60.000000000002274</v>
      </c>
      <c r="BC15" s="60">
        <v>203.31</v>
      </c>
      <c r="BD15" s="67">
        <f t="shared" si="77"/>
        <v>9.9999999999909051</v>
      </c>
      <c r="BE15" s="61">
        <v>28336</v>
      </c>
      <c r="BF15" s="67">
        <f t="shared" si="55"/>
        <v>35</v>
      </c>
      <c r="BG15" s="62">
        <v>223.84</v>
      </c>
      <c r="BH15" s="67">
        <f t="shared" si="78"/>
        <v>30.000000000001137</v>
      </c>
      <c r="BI15" s="62">
        <v>281.48</v>
      </c>
      <c r="BJ15" s="67">
        <f t="shared" si="79"/>
        <v>30.000000000029559</v>
      </c>
      <c r="BK15" s="62">
        <v>229.45</v>
      </c>
      <c r="BL15" s="67">
        <f t="shared" si="80"/>
        <v>30.000000000001137</v>
      </c>
      <c r="BM15" s="62">
        <v>212.47</v>
      </c>
      <c r="BN15" s="67">
        <f t="shared" si="81"/>
        <v>30.000000000001137</v>
      </c>
      <c r="BO15" s="62">
        <v>276.81</v>
      </c>
      <c r="BP15" s="67">
        <f t="shared" si="82"/>
        <v>40.000000000020464</v>
      </c>
      <c r="BQ15" s="62">
        <v>38289</v>
      </c>
      <c r="BR15" s="67">
        <f t="shared" si="56"/>
        <v>20</v>
      </c>
      <c r="BS15" s="62">
        <v>192.66</v>
      </c>
      <c r="BT15" s="67">
        <f t="shared" si="83"/>
        <v>30.000000000001137</v>
      </c>
      <c r="BU15" s="62">
        <v>29294</v>
      </c>
      <c r="BV15" s="67">
        <f t="shared" si="57"/>
        <v>16</v>
      </c>
      <c r="BW15" s="62">
        <v>222.77</v>
      </c>
      <c r="BX15" s="67">
        <f t="shared" si="84"/>
        <v>30.000000000001137</v>
      </c>
      <c r="BY15" s="62">
        <v>47905</v>
      </c>
      <c r="BZ15" s="67">
        <f t="shared" si="58"/>
        <v>32</v>
      </c>
      <c r="CA15" s="62">
        <v>27500.7</v>
      </c>
      <c r="CB15" s="67">
        <f t="shared" si="59"/>
        <v>0</v>
      </c>
      <c r="CC15" s="62">
        <v>11250.4</v>
      </c>
      <c r="CD15" s="67">
        <f t="shared" si="60"/>
        <v>0</v>
      </c>
      <c r="CE15" s="62">
        <v>5487.5</v>
      </c>
      <c r="CF15" s="67">
        <f t="shared" si="61"/>
        <v>0</v>
      </c>
      <c r="CG15" s="62">
        <v>44163</v>
      </c>
      <c r="CH15" s="67">
        <f t="shared" si="62"/>
        <v>59.19999999999709</v>
      </c>
      <c r="CI15" s="62">
        <v>852419</v>
      </c>
      <c r="CJ15" s="67">
        <f t="shared" si="63"/>
        <v>215</v>
      </c>
      <c r="CK15" s="62">
        <v>560.01</v>
      </c>
      <c r="CL15" s="66">
        <f t="shared" si="64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42"/>
        <v>1200.0000000000898</v>
      </c>
      <c r="E16" s="60">
        <v>2.6956000000000002</v>
      </c>
      <c r="F16" s="66">
        <f t="shared" si="43"/>
        <v>800.00000000035595</v>
      </c>
      <c r="G16" s="60">
        <v>2.5215000000000001</v>
      </c>
      <c r="H16" s="66">
        <f t="shared" si="44"/>
        <v>1800.0000000002458</v>
      </c>
      <c r="I16" s="60">
        <v>1.2101</v>
      </c>
      <c r="J16" s="66">
        <f t="shared" si="85"/>
        <v>999.99999999988984</v>
      </c>
      <c r="K16" s="60">
        <v>1.8617999999999999</v>
      </c>
      <c r="L16" s="66">
        <f t="shared" si="45"/>
        <v>2199.9999999999795</v>
      </c>
      <c r="M16" s="60">
        <v>1.1837</v>
      </c>
      <c r="N16" s="66">
        <f t="shared" si="46"/>
        <v>799.99999999991189</v>
      </c>
      <c r="O16" s="60">
        <v>12565</v>
      </c>
      <c r="P16" s="67">
        <f t="shared" si="47"/>
        <v>1</v>
      </c>
      <c r="Q16" s="60">
        <v>5344</v>
      </c>
      <c r="R16" s="67">
        <f t="shared" si="48"/>
        <v>4</v>
      </c>
      <c r="S16" s="60">
        <v>828270.9</v>
      </c>
      <c r="T16" s="67">
        <f t="shared" si="86"/>
        <v>217.40000000002328</v>
      </c>
      <c r="U16" s="60">
        <v>336371.1</v>
      </c>
      <c r="V16" s="67">
        <f t="shared" si="50"/>
        <v>82.099999999976717</v>
      </c>
      <c r="W16" s="60">
        <v>329.38</v>
      </c>
      <c r="X16" s="67">
        <f t="shared" si="65"/>
        <v>159.99999999996817</v>
      </c>
      <c r="Y16" s="60">
        <v>2.3811</v>
      </c>
      <c r="Z16" s="67">
        <f t="shared" si="66"/>
        <v>599.99999999993395</v>
      </c>
      <c r="AA16" s="60">
        <v>325.33</v>
      </c>
      <c r="AB16" s="67">
        <f t="shared" si="67"/>
        <v>99.999999999965894</v>
      </c>
      <c r="AC16" s="60">
        <v>303.08</v>
      </c>
      <c r="AD16" s="67">
        <f t="shared" si="68"/>
        <v>279.99999999997272</v>
      </c>
      <c r="AE16" s="60">
        <v>474.38</v>
      </c>
      <c r="AF16" s="67">
        <f t="shared" si="69"/>
        <v>449.99999999998863</v>
      </c>
      <c r="AG16" s="60">
        <v>1213</v>
      </c>
      <c r="AH16" s="67">
        <f t="shared" si="51"/>
        <v>1</v>
      </c>
      <c r="AI16" s="60">
        <v>413.04</v>
      </c>
      <c r="AJ16" s="67">
        <f t="shared" si="70"/>
        <v>260.00000000004775</v>
      </c>
      <c r="AK16" s="60">
        <v>147.94999999999999</v>
      </c>
      <c r="AL16" s="67">
        <f t="shared" si="52"/>
        <v>0.11999999999997613</v>
      </c>
      <c r="AM16" s="60">
        <v>148.13999999999999</v>
      </c>
      <c r="AN16" s="67">
        <f t="shared" si="53"/>
        <v>6.9999999999993179E-2</v>
      </c>
      <c r="AO16" s="60">
        <v>144.63</v>
      </c>
      <c r="AP16" s="67">
        <f t="shared" si="54"/>
        <v>9.9999999999994316E-2</v>
      </c>
      <c r="AQ16" s="60">
        <v>215.95</v>
      </c>
      <c r="AR16" s="67">
        <f t="shared" si="71"/>
        <v>99.999999999994316</v>
      </c>
      <c r="AS16" s="60">
        <v>342.38</v>
      </c>
      <c r="AT16" s="67">
        <f t="shared" si="72"/>
        <v>69.999999999993179</v>
      </c>
      <c r="AU16" s="60">
        <v>264.27</v>
      </c>
      <c r="AV16" s="67">
        <f t="shared" si="73"/>
        <v>49.999999999954525</v>
      </c>
      <c r="AW16" s="60">
        <v>291.72000000000003</v>
      </c>
      <c r="AX16" s="67">
        <f t="shared" si="74"/>
        <v>50.000000000011369</v>
      </c>
      <c r="AY16" s="60">
        <v>342.81</v>
      </c>
      <c r="AZ16" s="67">
        <f t="shared" si="75"/>
        <v>60.000000000002274</v>
      </c>
      <c r="BA16" s="60">
        <v>362.93</v>
      </c>
      <c r="BB16" s="67">
        <f t="shared" si="76"/>
        <v>40.000000000020464</v>
      </c>
      <c r="BC16" s="60">
        <v>203.32</v>
      </c>
      <c r="BD16" s="67">
        <f t="shared" si="77"/>
        <v>9.9999999999909051</v>
      </c>
      <c r="BE16" s="61">
        <v>28363</v>
      </c>
      <c r="BF16" s="67">
        <f t="shared" si="55"/>
        <v>27</v>
      </c>
      <c r="BG16" s="62">
        <v>223.87</v>
      </c>
      <c r="BH16" s="67">
        <f t="shared" si="78"/>
        <v>30.000000000001137</v>
      </c>
      <c r="BI16" s="62">
        <v>281.5</v>
      </c>
      <c r="BJ16" s="67">
        <f t="shared" si="79"/>
        <v>19.99999999998181</v>
      </c>
      <c r="BK16" s="62">
        <v>229.47</v>
      </c>
      <c r="BL16" s="67">
        <f t="shared" si="80"/>
        <v>20.000000000010232</v>
      </c>
      <c r="BM16" s="62">
        <v>212.51</v>
      </c>
      <c r="BN16" s="67">
        <f t="shared" si="81"/>
        <v>39.999999999992042</v>
      </c>
      <c r="BO16" s="62">
        <v>276.83999999999997</v>
      </c>
      <c r="BP16" s="67">
        <f t="shared" si="82"/>
        <v>29.999999999972715</v>
      </c>
      <c r="BQ16" s="62">
        <v>38307</v>
      </c>
      <c r="BR16" s="67">
        <f t="shared" si="56"/>
        <v>18</v>
      </c>
      <c r="BS16" s="62">
        <v>192.67</v>
      </c>
      <c r="BT16" s="67">
        <f t="shared" si="83"/>
        <v>9.9999999999909051</v>
      </c>
      <c r="BU16" s="62">
        <v>29310</v>
      </c>
      <c r="BV16" s="67">
        <f t="shared" si="57"/>
        <v>16</v>
      </c>
      <c r="BW16" s="62">
        <v>222.79</v>
      </c>
      <c r="BX16" s="67">
        <f t="shared" si="84"/>
        <v>19.99999999998181</v>
      </c>
      <c r="BY16" s="62">
        <v>47936</v>
      </c>
      <c r="BZ16" s="67">
        <f t="shared" si="58"/>
        <v>31</v>
      </c>
      <c r="CA16" s="62">
        <v>27500.7</v>
      </c>
      <c r="CB16" s="67">
        <f t="shared" si="59"/>
        <v>0</v>
      </c>
      <c r="CC16" s="62">
        <v>11250.4</v>
      </c>
      <c r="CD16" s="67">
        <f t="shared" si="60"/>
        <v>0</v>
      </c>
      <c r="CE16" s="62">
        <v>5487.5</v>
      </c>
      <c r="CF16" s="67">
        <f t="shared" si="61"/>
        <v>0</v>
      </c>
      <c r="CG16" s="62">
        <v>44229</v>
      </c>
      <c r="CH16" s="67">
        <f t="shared" si="62"/>
        <v>66</v>
      </c>
      <c r="CI16" s="62">
        <v>852625</v>
      </c>
      <c r="CJ16" s="67">
        <f t="shared" si="63"/>
        <v>206</v>
      </c>
      <c r="CK16" s="62">
        <v>560.41999999999996</v>
      </c>
      <c r="CL16" s="66">
        <f t="shared" si="64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/>
      <c r="D17" s="66" t="str">
        <f t="shared" si="42"/>
        <v>0</v>
      </c>
      <c r="E17" s="60"/>
      <c r="F17" s="66" t="str">
        <f t="shared" si="43"/>
        <v>0</v>
      </c>
      <c r="G17" s="60"/>
      <c r="H17" s="66" t="str">
        <f t="shared" si="44"/>
        <v>0</v>
      </c>
      <c r="I17" s="60"/>
      <c r="J17" s="66" t="str">
        <f t="shared" si="85"/>
        <v>0</v>
      </c>
      <c r="K17" s="60"/>
      <c r="L17" s="66" t="str">
        <f t="shared" si="45"/>
        <v>0</v>
      </c>
      <c r="M17" s="60"/>
      <c r="N17" s="66" t="str">
        <f t="shared" si="46"/>
        <v/>
      </c>
      <c r="O17" s="60"/>
      <c r="P17" s="67" t="str">
        <f t="shared" si="47"/>
        <v/>
      </c>
      <c r="Q17" s="60"/>
      <c r="R17" s="67" t="str">
        <f t="shared" si="48"/>
        <v/>
      </c>
      <c r="S17" s="60"/>
      <c r="T17" s="67" t="str">
        <f t="shared" si="86"/>
        <v/>
      </c>
      <c r="U17" s="60"/>
      <c r="V17" s="67" t="str">
        <f t="shared" si="50"/>
        <v/>
      </c>
      <c r="W17" s="60"/>
      <c r="X17" s="67" t="str">
        <f t="shared" si="65"/>
        <v/>
      </c>
      <c r="Y17" s="60"/>
      <c r="Z17" s="67" t="str">
        <f t="shared" si="66"/>
        <v/>
      </c>
      <c r="AA17" s="60"/>
      <c r="AB17" s="67" t="str">
        <f t="shared" si="67"/>
        <v/>
      </c>
      <c r="AC17" s="60"/>
      <c r="AD17" s="67" t="str">
        <f t="shared" si="68"/>
        <v/>
      </c>
      <c r="AE17" s="60"/>
      <c r="AF17" s="67" t="str">
        <f t="shared" si="69"/>
        <v/>
      </c>
      <c r="AG17" s="60"/>
      <c r="AH17" s="67" t="str">
        <f t="shared" si="51"/>
        <v/>
      </c>
      <c r="AI17" s="60"/>
      <c r="AJ17" s="67" t="str">
        <f t="shared" si="70"/>
        <v/>
      </c>
      <c r="AK17" s="60"/>
      <c r="AL17" s="67" t="str">
        <f t="shared" si="52"/>
        <v/>
      </c>
      <c r="AM17" s="60"/>
      <c r="AN17" s="67" t="str">
        <f t="shared" si="53"/>
        <v/>
      </c>
      <c r="AO17" s="60"/>
      <c r="AP17" s="67" t="str">
        <f t="shared" si="54"/>
        <v/>
      </c>
      <c r="AQ17" s="60"/>
      <c r="AR17" s="67" t="str">
        <f t="shared" si="71"/>
        <v/>
      </c>
      <c r="AS17" s="60"/>
      <c r="AT17" s="67" t="str">
        <f t="shared" si="72"/>
        <v/>
      </c>
      <c r="AU17" s="60"/>
      <c r="AV17" s="67" t="str">
        <f t="shared" si="73"/>
        <v/>
      </c>
      <c r="AW17" s="60"/>
      <c r="AX17" s="67" t="str">
        <f t="shared" si="74"/>
        <v/>
      </c>
      <c r="AY17" s="60"/>
      <c r="AZ17" s="67" t="str">
        <f t="shared" si="75"/>
        <v/>
      </c>
      <c r="BA17" s="60"/>
      <c r="BB17" s="67" t="str">
        <f t="shared" si="76"/>
        <v/>
      </c>
      <c r="BC17" s="60"/>
      <c r="BD17" s="67" t="str">
        <f t="shared" si="77"/>
        <v/>
      </c>
      <c r="BE17" s="61"/>
      <c r="BF17" s="67" t="str">
        <f t="shared" si="55"/>
        <v/>
      </c>
      <c r="BG17" s="62"/>
      <c r="BH17" s="67" t="str">
        <f t="shared" si="78"/>
        <v/>
      </c>
      <c r="BI17" s="62"/>
      <c r="BJ17" s="67" t="str">
        <f t="shared" si="79"/>
        <v/>
      </c>
      <c r="BK17" s="62"/>
      <c r="BL17" s="67" t="str">
        <f t="shared" si="80"/>
        <v/>
      </c>
      <c r="BM17" s="62"/>
      <c r="BN17" s="67" t="str">
        <f t="shared" si="81"/>
        <v/>
      </c>
      <c r="BO17" s="62"/>
      <c r="BP17" s="67" t="str">
        <f t="shared" si="82"/>
        <v/>
      </c>
      <c r="BQ17" s="62"/>
      <c r="BR17" s="67" t="str">
        <f t="shared" si="56"/>
        <v/>
      </c>
      <c r="BS17" s="62"/>
      <c r="BT17" s="67" t="str">
        <f t="shared" si="83"/>
        <v/>
      </c>
      <c r="BU17" s="62"/>
      <c r="BV17" s="67" t="str">
        <f t="shared" si="57"/>
        <v/>
      </c>
      <c r="BW17" s="62"/>
      <c r="BX17" s="67" t="str">
        <f t="shared" si="84"/>
        <v/>
      </c>
      <c r="BY17" s="62"/>
      <c r="BZ17" s="67" t="str">
        <f t="shared" si="58"/>
        <v/>
      </c>
      <c r="CA17" s="62"/>
      <c r="CB17" s="67" t="str">
        <f t="shared" si="59"/>
        <v/>
      </c>
      <c r="CC17" s="62"/>
      <c r="CD17" s="67" t="str">
        <f t="shared" si="60"/>
        <v/>
      </c>
      <c r="CE17" s="62"/>
      <c r="CF17" s="67" t="str">
        <f t="shared" si="61"/>
        <v/>
      </c>
      <c r="CG17" s="62"/>
      <c r="CH17" s="67" t="str">
        <f t="shared" si="62"/>
        <v/>
      </c>
      <c r="CI17" s="62"/>
      <c r="CJ17" s="67" t="str">
        <f t="shared" si="63"/>
        <v/>
      </c>
      <c r="CK17" s="62"/>
      <c r="CL17" s="66" t="str">
        <f t="shared" si="64"/>
        <v/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/>
      <c r="D18" s="66">
        <f t="shared" si="42"/>
        <v>0</v>
      </c>
      <c r="E18" s="60"/>
      <c r="F18" s="66">
        <f t="shared" si="43"/>
        <v>0</v>
      </c>
      <c r="G18" s="60"/>
      <c r="H18" s="66">
        <f t="shared" si="44"/>
        <v>0</v>
      </c>
      <c r="I18" s="60"/>
      <c r="J18" s="66">
        <f t="shared" si="85"/>
        <v>0</v>
      </c>
      <c r="K18" s="60"/>
      <c r="L18" s="66">
        <f t="shared" si="45"/>
        <v>0</v>
      </c>
      <c r="M18" s="60"/>
      <c r="N18" s="66">
        <f t="shared" si="46"/>
        <v>0</v>
      </c>
      <c r="O18" s="60"/>
      <c r="P18" s="67">
        <f t="shared" si="47"/>
        <v>0</v>
      </c>
      <c r="Q18" s="60"/>
      <c r="R18" s="67">
        <f t="shared" si="48"/>
        <v>0</v>
      </c>
      <c r="S18" s="60"/>
      <c r="T18" s="67">
        <f t="shared" si="86"/>
        <v>0</v>
      </c>
      <c r="U18" s="60"/>
      <c r="V18" s="67">
        <f t="shared" si="50"/>
        <v>0</v>
      </c>
      <c r="W18" s="60"/>
      <c r="X18" s="67">
        <f t="shared" si="65"/>
        <v>0</v>
      </c>
      <c r="Y18" s="60"/>
      <c r="Z18" s="67">
        <f t="shared" si="66"/>
        <v>0</v>
      </c>
      <c r="AA18" s="60"/>
      <c r="AB18" s="67">
        <f t="shared" si="67"/>
        <v>0</v>
      </c>
      <c r="AC18" s="60"/>
      <c r="AD18" s="67">
        <f t="shared" si="68"/>
        <v>0</v>
      </c>
      <c r="AE18" s="60"/>
      <c r="AF18" s="67">
        <f t="shared" si="69"/>
        <v>0</v>
      </c>
      <c r="AG18" s="60"/>
      <c r="AH18" s="67">
        <f t="shared" si="51"/>
        <v>0</v>
      </c>
      <c r="AI18" s="60"/>
      <c r="AJ18" s="67">
        <f t="shared" si="70"/>
        <v>0</v>
      </c>
      <c r="AK18" s="60"/>
      <c r="AL18" s="67">
        <f t="shared" si="52"/>
        <v>0</v>
      </c>
      <c r="AM18" s="60"/>
      <c r="AN18" s="67">
        <f t="shared" si="53"/>
        <v>0</v>
      </c>
      <c r="AO18" s="60"/>
      <c r="AP18" s="67">
        <f t="shared" si="54"/>
        <v>0</v>
      </c>
      <c r="AQ18" s="60"/>
      <c r="AR18" s="67">
        <f t="shared" si="71"/>
        <v>0</v>
      </c>
      <c r="AS18" s="60"/>
      <c r="AT18" s="67">
        <f t="shared" si="72"/>
        <v>0</v>
      </c>
      <c r="AU18" s="60"/>
      <c r="AV18" s="67">
        <f t="shared" si="73"/>
        <v>0</v>
      </c>
      <c r="AW18" s="60"/>
      <c r="AX18" s="67">
        <f t="shared" si="74"/>
        <v>0</v>
      </c>
      <c r="AY18" s="60"/>
      <c r="AZ18" s="67">
        <f t="shared" si="75"/>
        <v>0</v>
      </c>
      <c r="BA18" s="60"/>
      <c r="BB18" s="67">
        <f t="shared" si="76"/>
        <v>0</v>
      </c>
      <c r="BC18" s="60"/>
      <c r="BD18" s="67">
        <f t="shared" si="77"/>
        <v>0</v>
      </c>
      <c r="BE18" s="61"/>
      <c r="BF18" s="67">
        <f t="shared" si="55"/>
        <v>0</v>
      </c>
      <c r="BG18" s="62"/>
      <c r="BH18" s="67">
        <f t="shared" si="78"/>
        <v>0</v>
      </c>
      <c r="BI18" s="62"/>
      <c r="BJ18" s="67">
        <f t="shared" si="79"/>
        <v>0</v>
      </c>
      <c r="BK18" s="62"/>
      <c r="BL18" s="67">
        <f t="shared" si="80"/>
        <v>0</v>
      </c>
      <c r="BM18" s="62"/>
      <c r="BN18" s="67">
        <f t="shared" si="81"/>
        <v>0</v>
      </c>
      <c r="BO18" s="62"/>
      <c r="BP18" s="67">
        <f t="shared" si="82"/>
        <v>0</v>
      </c>
      <c r="BQ18" s="62"/>
      <c r="BR18" s="67">
        <f t="shared" si="56"/>
        <v>0</v>
      </c>
      <c r="BS18" s="62"/>
      <c r="BT18" s="67">
        <f t="shared" si="83"/>
        <v>0</v>
      </c>
      <c r="BU18" s="62"/>
      <c r="BV18" s="67">
        <f t="shared" si="57"/>
        <v>0</v>
      </c>
      <c r="BW18" s="62"/>
      <c r="BX18" s="67">
        <f t="shared" si="84"/>
        <v>0</v>
      </c>
      <c r="BY18" s="62"/>
      <c r="BZ18" s="67">
        <f t="shared" si="58"/>
        <v>0</v>
      </c>
      <c r="CA18" s="62"/>
      <c r="CB18" s="67">
        <f t="shared" si="59"/>
        <v>0</v>
      </c>
      <c r="CC18" s="62"/>
      <c r="CD18" s="67">
        <f t="shared" si="60"/>
        <v>0</v>
      </c>
      <c r="CE18" s="62"/>
      <c r="CF18" s="67">
        <f t="shared" si="61"/>
        <v>0</v>
      </c>
      <c r="CG18" s="62"/>
      <c r="CH18" s="67">
        <f t="shared" si="62"/>
        <v>0</v>
      </c>
      <c r="CI18" s="62"/>
      <c r="CJ18" s="67">
        <f t="shared" si="63"/>
        <v>0</v>
      </c>
      <c r="CK18" s="62"/>
      <c r="CL18" s="66">
        <f t="shared" si="64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/>
      <c r="D19" s="66">
        <f t="shared" si="42"/>
        <v>0</v>
      </c>
      <c r="E19" s="60"/>
      <c r="F19" s="66">
        <f t="shared" si="43"/>
        <v>0</v>
      </c>
      <c r="G19" s="60"/>
      <c r="H19" s="66">
        <f t="shared" si="44"/>
        <v>0</v>
      </c>
      <c r="I19" s="60"/>
      <c r="J19" s="66">
        <f t="shared" si="85"/>
        <v>0</v>
      </c>
      <c r="K19" s="60"/>
      <c r="L19" s="66">
        <f t="shared" si="45"/>
        <v>0</v>
      </c>
      <c r="M19" s="60"/>
      <c r="N19" s="66">
        <f t="shared" si="46"/>
        <v>0</v>
      </c>
      <c r="O19" s="60"/>
      <c r="P19" s="67">
        <f t="shared" si="47"/>
        <v>0</v>
      </c>
      <c r="Q19" s="60"/>
      <c r="R19" s="67">
        <f t="shared" si="48"/>
        <v>0</v>
      </c>
      <c r="S19" s="60"/>
      <c r="T19" s="67">
        <f t="shared" si="86"/>
        <v>0</v>
      </c>
      <c r="U19" s="60"/>
      <c r="V19" s="67">
        <f t="shared" si="50"/>
        <v>0</v>
      </c>
      <c r="W19" s="60"/>
      <c r="X19" s="67">
        <f t="shared" si="65"/>
        <v>0</v>
      </c>
      <c r="Y19" s="60"/>
      <c r="Z19" s="67">
        <f t="shared" si="66"/>
        <v>0</v>
      </c>
      <c r="AA19" s="60"/>
      <c r="AB19" s="67">
        <f t="shared" si="67"/>
        <v>0</v>
      </c>
      <c r="AC19" s="60"/>
      <c r="AD19" s="67">
        <f t="shared" si="68"/>
        <v>0</v>
      </c>
      <c r="AE19" s="60"/>
      <c r="AF19" s="67">
        <f t="shared" si="69"/>
        <v>0</v>
      </c>
      <c r="AG19" s="60"/>
      <c r="AH19" s="67">
        <f t="shared" si="51"/>
        <v>0</v>
      </c>
      <c r="AI19" s="60"/>
      <c r="AJ19" s="67">
        <f t="shared" si="70"/>
        <v>0</v>
      </c>
      <c r="AK19" s="60"/>
      <c r="AL19" s="67">
        <f t="shared" si="52"/>
        <v>0</v>
      </c>
      <c r="AM19" s="60"/>
      <c r="AN19" s="67">
        <f t="shared" si="53"/>
        <v>0</v>
      </c>
      <c r="AO19" s="60"/>
      <c r="AP19" s="67">
        <f t="shared" si="54"/>
        <v>0</v>
      </c>
      <c r="AQ19" s="60"/>
      <c r="AR19" s="67">
        <f t="shared" si="71"/>
        <v>0</v>
      </c>
      <c r="AS19" s="60"/>
      <c r="AT19" s="67">
        <f t="shared" si="72"/>
        <v>0</v>
      </c>
      <c r="AU19" s="60"/>
      <c r="AV19" s="67">
        <f t="shared" si="73"/>
        <v>0</v>
      </c>
      <c r="AW19" s="60"/>
      <c r="AX19" s="67">
        <f t="shared" si="74"/>
        <v>0</v>
      </c>
      <c r="AY19" s="60"/>
      <c r="AZ19" s="67">
        <f t="shared" si="75"/>
        <v>0</v>
      </c>
      <c r="BA19" s="60"/>
      <c r="BB19" s="67">
        <f t="shared" si="76"/>
        <v>0</v>
      </c>
      <c r="BC19" s="60"/>
      <c r="BD19" s="67">
        <f t="shared" si="77"/>
        <v>0</v>
      </c>
      <c r="BE19" s="61"/>
      <c r="BF19" s="67">
        <f t="shared" si="55"/>
        <v>0</v>
      </c>
      <c r="BG19" s="62"/>
      <c r="BH19" s="67">
        <f t="shared" si="78"/>
        <v>0</v>
      </c>
      <c r="BI19" s="62"/>
      <c r="BJ19" s="67">
        <f t="shared" si="79"/>
        <v>0</v>
      </c>
      <c r="BK19" s="62"/>
      <c r="BL19" s="67">
        <f t="shared" si="80"/>
        <v>0</v>
      </c>
      <c r="BM19" s="62"/>
      <c r="BN19" s="67">
        <f t="shared" si="81"/>
        <v>0</v>
      </c>
      <c r="BO19" s="62"/>
      <c r="BP19" s="67">
        <f t="shared" si="82"/>
        <v>0</v>
      </c>
      <c r="BQ19" s="62"/>
      <c r="BR19" s="67">
        <f t="shared" si="56"/>
        <v>0</v>
      </c>
      <c r="BS19" s="62"/>
      <c r="BT19" s="67">
        <f t="shared" si="83"/>
        <v>0</v>
      </c>
      <c r="BU19" s="62"/>
      <c r="BV19" s="67">
        <f t="shared" si="57"/>
        <v>0</v>
      </c>
      <c r="BW19" s="62"/>
      <c r="BX19" s="67">
        <f t="shared" si="84"/>
        <v>0</v>
      </c>
      <c r="BY19" s="62"/>
      <c r="BZ19" s="67">
        <f t="shared" si="58"/>
        <v>0</v>
      </c>
      <c r="CA19" s="62"/>
      <c r="CB19" s="67">
        <f t="shared" si="59"/>
        <v>0</v>
      </c>
      <c r="CC19" s="62"/>
      <c r="CD19" s="67">
        <f t="shared" si="60"/>
        <v>0</v>
      </c>
      <c r="CE19" s="62"/>
      <c r="CF19" s="67">
        <f t="shared" si="61"/>
        <v>0</v>
      </c>
      <c r="CG19" s="62"/>
      <c r="CH19" s="67">
        <f t="shared" si="62"/>
        <v>0</v>
      </c>
      <c r="CI19" s="62"/>
      <c r="CJ19" s="67">
        <f t="shared" si="63"/>
        <v>0</v>
      </c>
      <c r="CK19" s="62"/>
      <c r="CL19" s="66">
        <f t="shared" si="64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/>
      <c r="D20" s="66">
        <f t="shared" si="42"/>
        <v>0</v>
      </c>
      <c r="E20" s="60"/>
      <c r="F20" s="66">
        <f t="shared" si="43"/>
        <v>0</v>
      </c>
      <c r="G20" s="60"/>
      <c r="H20" s="66">
        <f t="shared" si="44"/>
        <v>0</v>
      </c>
      <c r="I20" s="60"/>
      <c r="J20" s="66">
        <f t="shared" si="85"/>
        <v>0</v>
      </c>
      <c r="K20" s="60"/>
      <c r="L20" s="66">
        <f t="shared" si="45"/>
        <v>0</v>
      </c>
      <c r="M20" s="60"/>
      <c r="N20" s="66">
        <f t="shared" si="46"/>
        <v>0</v>
      </c>
      <c r="O20" s="60"/>
      <c r="P20" s="67">
        <f t="shared" si="47"/>
        <v>0</v>
      </c>
      <c r="Q20" s="60"/>
      <c r="R20" s="67">
        <f t="shared" si="48"/>
        <v>0</v>
      </c>
      <c r="S20" s="60"/>
      <c r="T20" s="67">
        <f t="shared" si="86"/>
        <v>0</v>
      </c>
      <c r="U20" s="60"/>
      <c r="V20" s="67">
        <f t="shared" si="50"/>
        <v>0</v>
      </c>
      <c r="W20" s="60"/>
      <c r="X20" s="67">
        <f t="shared" si="65"/>
        <v>0</v>
      </c>
      <c r="Y20" s="60"/>
      <c r="Z20" s="67">
        <f t="shared" si="66"/>
        <v>0</v>
      </c>
      <c r="AA20" s="60"/>
      <c r="AB20" s="67">
        <f t="shared" si="67"/>
        <v>0</v>
      </c>
      <c r="AC20" s="60"/>
      <c r="AD20" s="67">
        <f t="shared" si="68"/>
        <v>0</v>
      </c>
      <c r="AE20" s="60"/>
      <c r="AF20" s="67">
        <f t="shared" si="69"/>
        <v>0</v>
      </c>
      <c r="AG20" s="60"/>
      <c r="AH20" s="67">
        <f t="shared" si="51"/>
        <v>0</v>
      </c>
      <c r="AI20" s="60"/>
      <c r="AJ20" s="67">
        <f t="shared" si="70"/>
        <v>0</v>
      </c>
      <c r="AK20" s="60"/>
      <c r="AL20" s="67">
        <f t="shared" si="52"/>
        <v>0</v>
      </c>
      <c r="AM20" s="60"/>
      <c r="AN20" s="67">
        <f t="shared" si="53"/>
        <v>0</v>
      </c>
      <c r="AO20" s="60"/>
      <c r="AP20" s="67">
        <f t="shared" si="54"/>
        <v>0</v>
      </c>
      <c r="AQ20" s="60"/>
      <c r="AR20" s="67">
        <f t="shared" si="71"/>
        <v>0</v>
      </c>
      <c r="AS20" s="60"/>
      <c r="AT20" s="67">
        <f t="shared" si="72"/>
        <v>0</v>
      </c>
      <c r="AU20" s="60"/>
      <c r="AV20" s="67">
        <f t="shared" si="73"/>
        <v>0</v>
      </c>
      <c r="AW20" s="60"/>
      <c r="AX20" s="67">
        <f t="shared" si="74"/>
        <v>0</v>
      </c>
      <c r="AY20" s="60"/>
      <c r="AZ20" s="67">
        <f t="shared" si="75"/>
        <v>0</v>
      </c>
      <c r="BA20" s="60"/>
      <c r="BB20" s="67">
        <f t="shared" si="76"/>
        <v>0</v>
      </c>
      <c r="BC20" s="60"/>
      <c r="BD20" s="67">
        <f t="shared" si="77"/>
        <v>0</v>
      </c>
      <c r="BE20" s="61"/>
      <c r="BF20" s="67">
        <f t="shared" si="55"/>
        <v>0</v>
      </c>
      <c r="BG20" s="62"/>
      <c r="BH20" s="67">
        <f t="shared" si="78"/>
        <v>0</v>
      </c>
      <c r="BI20" s="62"/>
      <c r="BJ20" s="67">
        <f t="shared" si="79"/>
        <v>0</v>
      </c>
      <c r="BK20" s="62"/>
      <c r="BL20" s="67">
        <f t="shared" si="80"/>
        <v>0</v>
      </c>
      <c r="BM20" s="62"/>
      <c r="BN20" s="67">
        <f t="shared" si="81"/>
        <v>0</v>
      </c>
      <c r="BO20" s="62"/>
      <c r="BP20" s="67">
        <f t="shared" si="82"/>
        <v>0</v>
      </c>
      <c r="BQ20" s="62"/>
      <c r="BR20" s="67">
        <f t="shared" si="56"/>
        <v>0</v>
      </c>
      <c r="BS20" s="62"/>
      <c r="BT20" s="67">
        <f t="shared" si="83"/>
        <v>0</v>
      </c>
      <c r="BU20" s="62"/>
      <c r="BV20" s="67">
        <f t="shared" si="57"/>
        <v>0</v>
      </c>
      <c r="BW20" s="62"/>
      <c r="BX20" s="67">
        <f t="shared" si="84"/>
        <v>0</v>
      </c>
      <c r="BY20" s="62"/>
      <c r="BZ20" s="67">
        <f t="shared" si="58"/>
        <v>0</v>
      </c>
      <c r="CA20" s="62"/>
      <c r="CB20" s="67">
        <f t="shared" si="59"/>
        <v>0</v>
      </c>
      <c r="CC20" s="62"/>
      <c r="CD20" s="67">
        <f t="shared" si="60"/>
        <v>0</v>
      </c>
      <c r="CE20" s="62"/>
      <c r="CF20" s="67">
        <f t="shared" si="61"/>
        <v>0</v>
      </c>
      <c r="CG20" s="62"/>
      <c r="CH20" s="67">
        <f t="shared" si="62"/>
        <v>0</v>
      </c>
      <c r="CI20" s="62"/>
      <c r="CJ20" s="67">
        <f t="shared" si="63"/>
        <v>0</v>
      </c>
      <c r="CK20" s="62"/>
      <c r="CL20" s="66">
        <f t="shared" si="64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/>
      <c r="D21" s="66">
        <f t="shared" si="42"/>
        <v>0</v>
      </c>
      <c r="E21" s="60"/>
      <c r="F21" s="66">
        <f t="shared" si="43"/>
        <v>0</v>
      </c>
      <c r="G21" s="60"/>
      <c r="H21" s="66">
        <f t="shared" si="44"/>
        <v>0</v>
      </c>
      <c r="I21" s="60"/>
      <c r="J21" s="66">
        <f t="shared" si="85"/>
        <v>0</v>
      </c>
      <c r="K21" s="60"/>
      <c r="L21" s="66">
        <f t="shared" si="45"/>
        <v>0</v>
      </c>
      <c r="M21" s="60"/>
      <c r="N21" s="66">
        <f t="shared" si="46"/>
        <v>0</v>
      </c>
      <c r="O21" s="60"/>
      <c r="P21" s="67">
        <f t="shared" si="47"/>
        <v>0</v>
      </c>
      <c r="Q21" s="60"/>
      <c r="R21" s="67">
        <f t="shared" si="48"/>
        <v>0</v>
      </c>
      <c r="S21" s="60"/>
      <c r="T21" s="67">
        <f t="shared" si="86"/>
        <v>0</v>
      </c>
      <c r="U21" s="60"/>
      <c r="V21" s="67">
        <f t="shared" si="50"/>
        <v>0</v>
      </c>
      <c r="W21" s="60"/>
      <c r="X21" s="67">
        <f t="shared" si="65"/>
        <v>0</v>
      </c>
      <c r="Y21" s="60"/>
      <c r="Z21" s="67">
        <f t="shared" si="66"/>
        <v>0</v>
      </c>
      <c r="AA21" s="60"/>
      <c r="AB21" s="67">
        <f t="shared" si="67"/>
        <v>0</v>
      </c>
      <c r="AC21" s="60"/>
      <c r="AD21" s="67">
        <f t="shared" si="68"/>
        <v>0</v>
      </c>
      <c r="AE21" s="60"/>
      <c r="AF21" s="67">
        <f t="shared" si="69"/>
        <v>0</v>
      </c>
      <c r="AG21" s="60"/>
      <c r="AH21" s="67">
        <f t="shared" si="51"/>
        <v>0</v>
      </c>
      <c r="AI21" s="60"/>
      <c r="AJ21" s="67">
        <f t="shared" si="70"/>
        <v>0</v>
      </c>
      <c r="AK21" s="60"/>
      <c r="AL21" s="67">
        <f t="shared" si="52"/>
        <v>0</v>
      </c>
      <c r="AM21" s="60"/>
      <c r="AN21" s="67">
        <f t="shared" si="53"/>
        <v>0</v>
      </c>
      <c r="AO21" s="60"/>
      <c r="AP21" s="67">
        <f t="shared" si="54"/>
        <v>0</v>
      </c>
      <c r="AQ21" s="60"/>
      <c r="AR21" s="67">
        <f t="shared" si="71"/>
        <v>0</v>
      </c>
      <c r="AS21" s="60"/>
      <c r="AT21" s="67">
        <f t="shared" si="72"/>
        <v>0</v>
      </c>
      <c r="AU21" s="60"/>
      <c r="AV21" s="67">
        <f t="shared" si="73"/>
        <v>0</v>
      </c>
      <c r="AW21" s="60"/>
      <c r="AX21" s="67">
        <f t="shared" si="74"/>
        <v>0</v>
      </c>
      <c r="AY21" s="60"/>
      <c r="AZ21" s="67">
        <f t="shared" si="75"/>
        <v>0</v>
      </c>
      <c r="BA21" s="60"/>
      <c r="BB21" s="67">
        <f t="shared" si="76"/>
        <v>0</v>
      </c>
      <c r="BC21" s="60"/>
      <c r="BD21" s="67">
        <f t="shared" si="77"/>
        <v>0</v>
      </c>
      <c r="BE21" s="61"/>
      <c r="BF21" s="67">
        <f t="shared" si="55"/>
        <v>0</v>
      </c>
      <c r="BG21" s="62"/>
      <c r="BH21" s="67">
        <f t="shared" si="78"/>
        <v>0</v>
      </c>
      <c r="BI21" s="62"/>
      <c r="BJ21" s="67">
        <f t="shared" si="79"/>
        <v>0</v>
      </c>
      <c r="BK21" s="62"/>
      <c r="BL21" s="67">
        <f t="shared" si="80"/>
        <v>0</v>
      </c>
      <c r="BM21" s="62"/>
      <c r="BN21" s="67">
        <f t="shared" si="81"/>
        <v>0</v>
      </c>
      <c r="BO21" s="62"/>
      <c r="BP21" s="67">
        <f t="shared" si="82"/>
        <v>0</v>
      </c>
      <c r="BQ21" s="62"/>
      <c r="BR21" s="67">
        <f t="shared" si="56"/>
        <v>0</v>
      </c>
      <c r="BS21" s="62"/>
      <c r="BT21" s="67">
        <f t="shared" si="83"/>
        <v>0</v>
      </c>
      <c r="BU21" s="62"/>
      <c r="BV21" s="67">
        <f t="shared" si="57"/>
        <v>0</v>
      </c>
      <c r="BW21" s="62"/>
      <c r="BX21" s="67">
        <f t="shared" si="84"/>
        <v>0</v>
      </c>
      <c r="BY21" s="62"/>
      <c r="BZ21" s="67">
        <f t="shared" si="58"/>
        <v>0</v>
      </c>
      <c r="CA21" s="62"/>
      <c r="CB21" s="67">
        <f t="shared" si="59"/>
        <v>0</v>
      </c>
      <c r="CC21" s="62"/>
      <c r="CD21" s="67">
        <f t="shared" si="60"/>
        <v>0</v>
      </c>
      <c r="CE21" s="62"/>
      <c r="CF21" s="67">
        <f t="shared" si="61"/>
        <v>0</v>
      </c>
      <c r="CG21" s="62"/>
      <c r="CH21" s="67">
        <f t="shared" si="62"/>
        <v>0</v>
      </c>
      <c r="CI21" s="62"/>
      <c r="CJ21" s="67">
        <f t="shared" si="63"/>
        <v>0</v>
      </c>
      <c r="CK21" s="62"/>
      <c r="CL21" s="66">
        <f t="shared" si="64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/>
      <c r="D22" s="66">
        <f t="shared" si="42"/>
        <v>0</v>
      </c>
      <c r="E22" s="60"/>
      <c r="F22" s="66">
        <f t="shared" si="43"/>
        <v>0</v>
      </c>
      <c r="G22" s="60"/>
      <c r="H22" s="66">
        <f t="shared" si="44"/>
        <v>0</v>
      </c>
      <c r="I22" s="60"/>
      <c r="J22" s="66">
        <f t="shared" si="85"/>
        <v>0</v>
      </c>
      <c r="K22" s="60"/>
      <c r="L22" s="66">
        <f t="shared" si="45"/>
        <v>0</v>
      </c>
      <c r="M22" s="60"/>
      <c r="N22" s="66">
        <f t="shared" si="46"/>
        <v>0</v>
      </c>
      <c r="O22" s="60"/>
      <c r="P22" s="67">
        <f t="shared" si="47"/>
        <v>0</v>
      </c>
      <c r="Q22" s="60"/>
      <c r="R22" s="67">
        <f t="shared" si="48"/>
        <v>0</v>
      </c>
      <c r="S22" s="60"/>
      <c r="T22" s="67">
        <f t="shared" si="86"/>
        <v>0</v>
      </c>
      <c r="U22" s="60"/>
      <c r="V22" s="67">
        <f t="shared" si="50"/>
        <v>0</v>
      </c>
      <c r="W22" s="60"/>
      <c r="X22" s="67">
        <f t="shared" si="65"/>
        <v>0</v>
      </c>
      <c r="Y22" s="60"/>
      <c r="Z22" s="67">
        <f t="shared" si="66"/>
        <v>0</v>
      </c>
      <c r="AA22" s="60"/>
      <c r="AB22" s="67">
        <f t="shared" si="67"/>
        <v>0</v>
      </c>
      <c r="AC22" s="60"/>
      <c r="AD22" s="67">
        <f t="shared" si="68"/>
        <v>0</v>
      </c>
      <c r="AE22" s="60"/>
      <c r="AF22" s="67">
        <f t="shared" si="69"/>
        <v>0</v>
      </c>
      <c r="AG22" s="60"/>
      <c r="AH22" s="67">
        <f t="shared" si="51"/>
        <v>0</v>
      </c>
      <c r="AI22" s="60"/>
      <c r="AJ22" s="67">
        <f t="shared" si="70"/>
        <v>0</v>
      </c>
      <c r="AK22" s="60"/>
      <c r="AL22" s="67">
        <f t="shared" si="52"/>
        <v>0</v>
      </c>
      <c r="AM22" s="60"/>
      <c r="AN22" s="67">
        <f t="shared" si="53"/>
        <v>0</v>
      </c>
      <c r="AO22" s="60"/>
      <c r="AP22" s="67">
        <f t="shared" si="54"/>
        <v>0</v>
      </c>
      <c r="AQ22" s="60"/>
      <c r="AR22" s="67">
        <f t="shared" si="71"/>
        <v>0</v>
      </c>
      <c r="AS22" s="60"/>
      <c r="AT22" s="67">
        <f t="shared" si="72"/>
        <v>0</v>
      </c>
      <c r="AU22" s="60"/>
      <c r="AV22" s="67">
        <f t="shared" si="73"/>
        <v>0</v>
      </c>
      <c r="AW22" s="60"/>
      <c r="AX22" s="67">
        <f t="shared" si="74"/>
        <v>0</v>
      </c>
      <c r="AY22" s="60"/>
      <c r="AZ22" s="67">
        <f t="shared" si="75"/>
        <v>0</v>
      </c>
      <c r="BA22" s="60"/>
      <c r="BB22" s="67">
        <f t="shared" si="76"/>
        <v>0</v>
      </c>
      <c r="BC22" s="60"/>
      <c r="BD22" s="67">
        <f t="shared" si="77"/>
        <v>0</v>
      </c>
      <c r="BE22" s="61"/>
      <c r="BF22" s="67">
        <f t="shared" si="55"/>
        <v>0</v>
      </c>
      <c r="BG22" s="62"/>
      <c r="BH22" s="67">
        <f t="shared" si="78"/>
        <v>0</v>
      </c>
      <c r="BI22" s="62"/>
      <c r="BJ22" s="67">
        <f t="shared" si="79"/>
        <v>0</v>
      </c>
      <c r="BK22" s="62"/>
      <c r="BL22" s="67">
        <f t="shared" si="80"/>
        <v>0</v>
      </c>
      <c r="BM22" s="62"/>
      <c r="BN22" s="67">
        <f t="shared" si="81"/>
        <v>0</v>
      </c>
      <c r="BO22" s="62"/>
      <c r="BP22" s="67">
        <f t="shared" si="82"/>
        <v>0</v>
      </c>
      <c r="BQ22" s="62"/>
      <c r="BR22" s="67">
        <f t="shared" si="56"/>
        <v>0</v>
      </c>
      <c r="BS22" s="62"/>
      <c r="BT22" s="67">
        <f t="shared" si="83"/>
        <v>0</v>
      </c>
      <c r="BU22" s="62"/>
      <c r="BV22" s="67">
        <f t="shared" si="57"/>
        <v>0</v>
      </c>
      <c r="BW22" s="62"/>
      <c r="BX22" s="67">
        <f t="shared" si="84"/>
        <v>0</v>
      </c>
      <c r="BY22" s="62"/>
      <c r="BZ22" s="67">
        <f t="shared" si="58"/>
        <v>0</v>
      </c>
      <c r="CA22" s="62"/>
      <c r="CB22" s="67">
        <f t="shared" si="59"/>
        <v>0</v>
      </c>
      <c r="CC22" s="62"/>
      <c r="CD22" s="67">
        <f>IF((CC23-CC21&lt;0), "",CC23-CC21)</f>
        <v>0</v>
      </c>
      <c r="CE22" s="62"/>
      <c r="CF22" s="67">
        <f t="shared" si="61"/>
        <v>0</v>
      </c>
      <c r="CG22" s="62"/>
      <c r="CH22" s="67">
        <f t="shared" si="62"/>
        <v>0</v>
      </c>
      <c r="CI22" s="62"/>
      <c r="CJ22" s="67">
        <f t="shared" si="63"/>
        <v>0</v>
      </c>
      <c r="CK22" s="62"/>
      <c r="CL22" s="66">
        <f t="shared" si="64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/>
      <c r="D23" s="66">
        <f t="shared" si="42"/>
        <v>0</v>
      </c>
      <c r="E23" s="60"/>
      <c r="F23" s="66">
        <f t="shared" si="43"/>
        <v>0</v>
      </c>
      <c r="G23" s="60"/>
      <c r="H23" s="66">
        <f t="shared" si="44"/>
        <v>0</v>
      </c>
      <c r="I23" s="60"/>
      <c r="J23" s="66">
        <f t="shared" si="85"/>
        <v>0</v>
      </c>
      <c r="K23" s="60"/>
      <c r="L23" s="66">
        <f t="shared" si="45"/>
        <v>0</v>
      </c>
      <c r="M23" s="60"/>
      <c r="N23" s="66">
        <f t="shared" si="46"/>
        <v>0</v>
      </c>
      <c r="O23" s="60"/>
      <c r="P23" s="67">
        <f t="shared" si="47"/>
        <v>0</v>
      </c>
      <c r="Q23" s="60"/>
      <c r="R23" s="67">
        <f t="shared" si="48"/>
        <v>0</v>
      </c>
      <c r="S23" s="60"/>
      <c r="T23" s="67">
        <f t="shared" si="86"/>
        <v>0</v>
      </c>
      <c r="U23" s="60"/>
      <c r="V23" s="67">
        <f t="shared" si="50"/>
        <v>0</v>
      </c>
      <c r="W23" s="60"/>
      <c r="X23" s="67">
        <f t="shared" si="65"/>
        <v>0</v>
      </c>
      <c r="Y23" s="60"/>
      <c r="Z23" s="67">
        <f t="shared" si="66"/>
        <v>0</v>
      </c>
      <c r="AA23" s="60"/>
      <c r="AB23" s="67">
        <f t="shared" si="67"/>
        <v>0</v>
      </c>
      <c r="AC23" s="60"/>
      <c r="AD23" s="67">
        <f t="shared" si="68"/>
        <v>0</v>
      </c>
      <c r="AE23" s="60"/>
      <c r="AF23" s="67">
        <f t="shared" si="69"/>
        <v>0</v>
      </c>
      <c r="AG23" s="60"/>
      <c r="AH23" s="67">
        <f t="shared" si="51"/>
        <v>0</v>
      </c>
      <c r="AI23" s="60"/>
      <c r="AJ23" s="67">
        <f t="shared" si="70"/>
        <v>0</v>
      </c>
      <c r="AK23" s="60"/>
      <c r="AL23" s="67"/>
      <c r="AM23" s="60"/>
      <c r="AN23" s="67">
        <f t="shared" si="53"/>
        <v>0</v>
      </c>
      <c r="AO23" s="60"/>
      <c r="AP23" s="67">
        <f t="shared" si="54"/>
        <v>0</v>
      </c>
      <c r="AQ23" s="60"/>
      <c r="AR23" s="67">
        <f t="shared" si="71"/>
        <v>0</v>
      </c>
      <c r="AS23" s="60"/>
      <c r="AT23" s="67">
        <f t="shared" si="72"/>
        <v>0</v>
      </c>
      <c r="AU23" s="60"/>
      <c r="AV23" s="67">
        <f t="shared" si="73"/>
        <v>0</v>
      </c>
      <c r="AW23" s="60"/>
      <c r="AX23" s="67">
        <f t="shared" si="74"/>
        <v>0</v>
      </c>
      <c r="AY23" s="60"/>
      <c r="AZ23" s="67">
        <f t="shared" si="75"/>
        <v>0</v>
      </c>
      <c r="BA23" s="60"/>
      <c r="BB23" s="67">
        <f t="shared" si="76"/>
        <v>0</v>
      </c>
      <c r="BC23" s="60"/>
      <c r="BD23" s="67">
        <f t="shared" si="77"/>
        <v>0</v>
      </c>
      <c r="BE23" s="61"/>
      <c r="BF23" s="67">
        <f t="shared" si="55"/>
        <v>0</v>
      </c>
      <c r="BG23" s="62"/>
      <c r="BH23" s="67">
        <f t="shared" si="78"/>
        <v>0</v>
      </c>
      <c r="BI23" s="62"/>
      <c r="BJ23" s="67">
        <f t="shared" si="79"/>
        <v>0</v>
      </c>
      <c r="BK23" s="62"/>
      <c r="BL23" s="67">
        <f t="shared" si="80"/>
        <v>0</v>
      </c>
      <c r="BM23" s="62"/>
      <c r="BN23" s="67">
        <f t="shared" si="81"/>
        <v>0</v>
      </c>
      <c r="BO23" s="62"/>
      <c r="BP23" s="67">
        <f t="shared" si="82"/>
        <v>0</v>
      </c>
      <c r="BQ23" s="62"/>
      <c r="BR23" s="67">
        <f t="shared" si="56"/>
        <v>0</v>
      </c>
      <c r="BS23" s="62"/>
      <c r="BT23" s="67">
        <f t="shared" si="83"/>
        <v>0</v>
      </c>
      <c r="BU23" s="62"/>
      <c r="BV23" s="67">
        <f t="shared" si="57"/>
        <v>0</v>
      </c>
      <c r="BW23" s="62"/>
      <c r="BX23" s="67">
        <f t="shared" si="84"/>
        <v>0</v>
      </c>
      <c r="BY23" s="62"/>
      <c r="BZ23" s="67">
        <f t="shared" si="58"/>
        <v>0</v>
      </c>
      <c r="CA23" s="62"/>
      <c r="CB23" s="67">
        <f t="shared" si="59"/>
        <v>0</v>
      </c>
      <c r="CC23" s="62"/>
      <c r="CD23" s="67">
        <f t="shared" ref="CD23:CD24" si="87">IF((CC24-CC22&lt;0), "",CC24-CC22)</f>
        <v>0</v>
      </c>
      <c r="CE23" s="62"/>
      <c r="CF23" s="67">
        <f t="shared" si="61"/>
        <v>0</v>
      </c>
      <c r="CG23" s="62"/>
      <c r="CH23" s="67">
        <f t="shared" si="62"/>
        <v>0</v>
      </c>
      <c r="CI23" s="62"/>
      <c r="CJ23" s="67">
        <f t="shared" si="63"/>
        <v>0</v>
      </c>
      <c r="CK23" s="62"/>
      <c r="CL23" s="66">
        <f t="shared" si="64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/>
      <c r="D24" s="66">
        <f t="shared" si="42"/>
        <v>0</v>
      </c>
      <c r="E24" s="60"/>
      <c r="F24" s="66">
        <f t="shared" si="43"/>
        <v>0</v>
      </c>
      <c r="G24" s="60"/>
      <c r="H24" s="66">
        <f t="shared" si="44"/>
        <v>0</v>
      </c>
      <c r="I24" s="60"/>
      <c r="J24" s="66">
        <f t="shared" si="85"/>
        <v>0</v>
      </c>
      <c r="K24" s="60"/>
      <c r="L24" s="66">
        <f t="shared" si="45"/>
        <v>0</v>
      </c>
      <c r="M24" s="60"/>
      <c r="N24" s="66">
        <f t="shared" si="46"/>
        <v>0</v>
      </c>
      <c r="O24" s="60"/>
      <c r="P24" s="67">
        <f t="shared" si="47"/>
        <v>0</v>
      </c>
      <c r="Q24" s="60"/>
      <c r="R24" s="67">
        <f t="shared" si="48"/>
        <v>0</v>
      </c>
      <c r="S24" s="60"/>
      <c r="T24" s="67">
        <f t="shared" si="86"/>
        <v>0</v>
      </c>
      <c r="U24" s="60"/>
      <c r="V24" s="67">
        <f t="shared" si="50"/>
        <v>0</v>
      </c>
      <c r="W24" s="60"/>
      <c r="X24" s="67">
        <f t="shared" si="65"/>
        <v>0</v>
      </c>
      <c r="Y24" s="60"/>
      <c r="Z24" s="67">
        <f t="shared" si="66"/>
        <v>0</v>
      </c>
      <c r="AA24" s="60"/>
      <c r="AB24" s="67">
        <f t="shared" si="67"/>
        <v>0</v>
      </c>
      <c r="AC24" s="60"/>
      <c r="AD24" s="67">
        <f t="shared" si="68"/>
        <v>0</v>
      </c>
      <c r="AE24" s="60"/>
      <c r="AF24" s="67">
        <f t="shared" si="69"/>
        <v>0</v>
      </c>
      <c r="AG24" s="60"/>
      <c r="AH24" s="67">
        <f t="shared" si="51"/>
        <v>0</v>
      </c>
      <c r="AI24" s="60"/>
      <c r="AJ24" s="67">
        <f t="shared" si="70"/>
        <v>0</v>
      </c>
      <c r="AK24" s="60"/>
      <c r="AL24" s="67">
        <f t="shared" si="52"/>
        <v>0</v>
      </c>
      <c r="AM24" s="60"/>
      <c r="AN24" s="67">
        <f t="shared" si="53"/>
        <v>0</v>
      </c>
      <c r="AO24" s="60"/>
      <c r="AP24" s="67">
        <f t="shared" si="54"/>
        <v>0</v>
      </c>
      <c r="AQ24" s="60"/>
      <c r="AR24" s="67">
        <f t="shared" si="71"/>
        <v>0</v>
      </c>
      <c r="AS24" s="60"/>
      <c r="AT24" s="67">
        <f t="shared" si="72"/>
        <v>0</v>
      </c>
      <c r="AU24" s="60"/>
      <c r="AV24" s="67">
        <f t="shared" si="73"/>
        <v>0</v>
      </c>
      <c r="AW24" s="60"/>
      <c r="AX24" s="67">
        <f t="shared" si="74"/>
        <v>0</v>
      </c>
      <c r="AY24" s="60"/>
      <c r="AZ24" s="67">
        <f t="shared" si="75"/>
        <v>0</v>
      </c>
      <c r="BA24" s="60"/>
      <c r="BB24" s="67">
        <f t="shared" si="76"/>
        <v>0</v>
      </c>
      <c r="BC24" s="60"/>
      <c r="BD24" s="67">
        <f t="shared" si="77"/>
        <v>0</v>
      </c>
      <c r="BE24" s="61"/>
      <c r="BF24" s="67">
        <f t="shared" si="55"/>
        <v>0</v>
      </c>
      <c r="BG24" s="62"/>
      <c r="BH24" s="67">
        <f t="shared" si="78"/>
        <v>0</v>
      </c>
      <c r="BI24" s="62"/>
      <c r="BJ24" s="67">
        <f t="shared" si="79"/>
        <v>0</v>
      </c>
      <c r="BK24" s="62"/>
      <c r="BL24" s="67">
        <f t="shared" si="80"/>
        <v>0</v>
      </c>
      <c r="BM24" s="62"/>
      <c r="BN24" s="67">
        <f t="shared" si="81"/>
        <v>0</v>
      </c>
      <c r="BO24" s="62"/>
      <c r="BP24" s="67">
        <f t="shared" si="82"/>
        <v>0</v>
      </c>
      <c r="BQ24" s="62"/>
      <c r="BR24" s="67">
        <f t="shared" si="56"/>
        <v>0</v>
      </c>
      <c r="BS24" s="62"/>
      <c r="BT24" s="67">
        <f t="shared" si="83"/>
        <v>0</v>
      </c>
      <c r="BU24" s="62"/>
      <c r="BV24" s="67">
        <f t="shared" si="57"/>
        <v>0</v>
      </c>
      <c r="BW24" s="62"/>
      <c r="BX24" s="67">
        <f t="shared" si="84"/>
        <v>0</v>
      </c>
      <c r="BY24" s="62"/>
      <c r="BZ24" s="67">
        <f t="shared" si="58"/>
        <v>0</v>
      </c>
      <c r="CA24" s="62"/>
      <c r="CB24" s="67">
        <f t="shared" si="59"/>
        <v>0</v>
      </c>
      <c r="CC24" s="62"/>
      <c r="CD24" s="67">
        <f t="shared" si="87"/>
        <v>0</v>
      </c>
      <c r="CE24" s="62"/>
      <c r="CF24" s="67">
        <f t="shared" si="61"/>
        <v>0</v>
      </c>
      <c r="CG24" s="62"/>
      <c r="CH24" s="67">
        <f t="shared" si="62"/>
        <v>0</v>
      </c>
      <c r="CI24" s="62"/>
      <c r="CJ24" s="67">
        <f t="shared" si="63"/>
        <v>0</v>
      </c>
      <c r="CK24" s="62"/>
      <c r="CL24" s="66">
        <f t="shared" si="64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/>
      <c r="D25" s="66">
        <f t="shared" si="42"/>
        <v>0</v>
      </c>
      <c r="E25" s="60"/>
      <c r="F25" s="66">
        <f t="shared" si="43"/>
        <v>0</v>
      </c>
      <c r="G25" s="60"/>
      <c r="H25" s="66">
        <f t="shared" si="44"/>
        <v>0</v>
      </c>
      <c r="I25" s="60"/>
      <c r="J25" s="66">
        <f t="shared" si="85"/>
        <v>0</v>
      </c>
      <c r="K25" s="60"/>
      <c r="L25" s="66">
        <f t="shared" si="45"/>
        <v>0</v>
      </c>
      <c r="M25" s="60"/>
      <c r="N25" s="66">
        <f t="shared" si="46"/>
        <v>0</v>
      </c>
      <c r="O25" s="60"/>
      <c r="P25" s="67">
        <f t="shared" si="47"/>
        <v>0</v>
      </c>
      <c r="Q25" s="60"/>
      <c r="R25" s="67">
        <f t="shared" si="48"/>
        <v>0</v>
      </c>
      <c r="S25" s="60"/>
      <c r="T25" s="67">
        <f t="shared" si="86"/>
        <v>0</v>
      </c>
      <c r="U25" s="60"/>
      <c r="V25" s="67">
        <f t="shared" si="50"/>
        <v>0</v>
      </c>
      <c r="W25" s="60"/>
      <c r="X25" s="67">
        <f t="shared" si="65"/>
        <v>0</v>
      </c>
      <c r="Y25" s="60"/>
      <c r="Z25" s="67">
        <f t="shared" si="66"/>
        <v>0</v>
      </c>
      <c r="AA25" s="60"/>
      <c r="AB25" s="67">
        <f t="shared" si="67"/>
        <v>0</v>
      </c>
      <c r="AC25" s="60"/>
      <c r="AD25" s="67">
        <f t="shared" si="68"/>
        <v>0</v>
      </c>
      <c r="AE25" s="60"/>
      <c r="AF25" s="67">
        <f t="shared" si="69"/>
        <v>0</v>
      </c>
      <c r="AG25" s="60"/>
      <c r="AH25" s="67">
        <f t="shared" si="51"/>
        <v>0</v>
      </c>
      <c r="AI25" s="60"/>
      <c r="AJ25" s="67">
        <f t="shared" si="70"/>
        <v>0</v>
      </c>
      <c r="AK25" s="60"/>
      <c r="AL25" s="67">
        <f t="shared" si="52"/>
        <v>0</v>
      </c>
      <c r="AM25" s="60"/>
      <c r="AN25" s="67">
        <f t="shared" si="53"/>
        <v>0</v>
      </c>
      <c r="AO25" s="60"/>
      <c r="AP25" s="67">
        <f t="shared" si="54"/>
        <v>0</v>
      </c>
      <c r="AQ25" s="60"/>
      <c r="AR25" s="67">
        <f t="shared" si="71"/>
        <v>0</v>
      </c>
      <c r="AS25" s="60"/>
      <c r="AT25" s="67">
        <f t="shared" si="72"/>
        <v>0</v>
      </c>
      <c r="AU25" s="60"/>
      <c r="AV25" s="67">
        <f t="shared" si="73"/>
        <v>0</v>
      </c>
      <c r="AW25" s="60"/>
      <c r="AX25" s="67">
        <f t="shared" si="74"/>
        <v>0</v>
      </c>
      <c r="AY25" s="60"/>
      <c r="AZ25" s="67">
        <f t="shared" si="75"/>
        <v>0</v>
      </c>
      <c r="BA25" s="60"/>
      <c r="BB25" s="67">
        <f t="shared" si="76"/>
        <v>0</v>
      </c>
      <c r="BC25" s="60"/>
      <c r="BD25" s="67">
        <f t="shared" si="77"/>
        <v>0</v>
      </c>
      <c r="BE25" s="61"/>
      <c r="BF25" s="67">
        <f t="shared" si="55"/>
        <v>0</v>
      </c>
      <c r="BG25" s="62"/>
      <c r="BH25" s="67">
        <f t="shared" si="78"/>
        <v>0</v>
      </c>
      <c r="BI25" s="62"/>
      <c r="BJ25" s="67">
        <f t="shared" si="79"/>
        <v>0</v>
      </c>
      <c r="BK25" s="62"/>
      <c r="BL25" s="67">
        <f t="shared" si="80"/>
        <v>0</v>
      </c>
      <c r="BM25" s="62"/>
      <c r="BN25" s="67">
        <f t="shared" si="81"/>
        <v>0</v>
      </c>
      <c r="BO25" s="62"/>
      <c r="BP25" s="67">
        <f t="shared" si="82"/>
        <v>0</v>
      </c>
      <c r="BQ25" s="62"/>
      <c r="BR25" s="67">
        <f t="shared" si="56"/>
        <v>0</v>
      </c>
      <c r="BS25" s="62"/>
      <c r="BT25" s="67">
        <f t="shared" si="83"/>
        <v>0</v>
      </c>
      <c r="BU25" s="62"/>
      <c r="BV25" s="67">
        <f t="shared" si="57"/>
        <v>0</v>
      </c>
      <c r="BW25" s="62"/>
      <c r="BX25" s="67">
        <f t="shared" si="84"/>
        <v>0</v>
      </c>
      <c r="BY25" s="62"/>
      <c r="BZ25" s="67">
        <f t="shared" si="58"/>
        <v>0</v>
      </c>
      <c r="CA25" s="62"/>
      <c r="CB25" s="67">
        <f t="shared" si="59"/>
        <v>0</v>
      </c>
      <c r="CC25" s="62"/>
      <c r="CD25" s="67">
        <f t="shared" si="60"/>
        <v>0</v>
      </c>
      <c r="CE25" s="62"/>
      <c r="CF25" s="67">
        <f t="shared" si="61"/>
        <v>0</v>
      </c>
      <c r="CG25" s="62"/>
      <c r="CH25" s="67">
        <f t="shared" si="62"/>
        <v>0</v>
      </c>
      <c r="CI25" s="62"/>
      <c r="CJ25" s="67">
        <f t="shared" si="63"/>
        <v>0</v>
      </c>
      <c r="CK25" s="62"/>
      <c r="CL25" s="66">
        <f t="shared" si="64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/>
      <c r="D26" s="66">
        <f t="shared" si="42"/>
        <v>0</v>
      </c>
      <c r="E26" s="60"/>
      <c r="F26" s="66">
        <f t="shared" si="43"/>
        <v>0</v>
      </c>
      <c r="G26" s="60"/>
      <c r="H26" s="66">
        <f t="shared" si="44"/>
        <v>0</v>
      </c>
      <c r="I26" s="60"/>
      <c r="J26" s="66">
        <f t="shared" si="85"/>
        <v>0</v>
      </c>
      <c r="K26" s="60"/>
      <c r="L26" s="66">
        <f t="shared" si="45"/>
        <v>0</v>
      </c>
      <c r="M26" s="60"/>
      <c r="N26" s="66">
        <f t="shared" si="46"/>
        <v>0</v>
      </c>
      <c r="O26" s="60"/>
      <c r="P26" s="67">
        <f t="shared" si="47"/>
        <v>0</v>
      </c>
      <c r="Q26" s="60"/>
      <c r="R26" s="67">
        <f t="shared" si="48"/>
        <v>0</v>
      </c>
      <c r="S26" s="60"/>
      <c r="T26" s="67">
        <f t="shared" si="86"/>
        <v>0</v>
      </c>
      <c r="U26" s="60"/>
      <c r="V26" s="67">
        <f t="shared" si="50"/>
        <v>0</v>
      </c>
      <c r="W26" s="60"/>
      <c r="X26" s="67">
        <f t="shared" si="65"/>
        <v>0</v>
      </c>
      <c r="Y26" s="60"/>
      <c r="Z26" s="67">
        <f t="shared" si="66"/>
        <v>0</v>
      </c>
      <c r="AA26" s="60"/>
      <c r="AB26" s="67">
        <f t="shared" si="67"/>
        <v>0</v>
      </c>
      <c r="AC26" s="60"/>
      <c r="AD26" s="67">
        <f t="shared" si="68"/>
        <v>0</v>
      </c>
      <c r="AE26" s="60"/>
      <c r="AF26" s="67">
        <f t="shared" si="69"/>
        <v>0</v>
      </c>
      <c r="AG26" s="60"/>
      <c r="AH26" s="67">
        <f t="shared" si="51"/>
        <v>0</v>
      </c>
      <c r="AI26" s="60"/>
      <c r="AJ26" s="67">
        <f t="shared" si="70"/>
        <v>0</v>
      </c>
      <c r="AK26" s="60"/>
      <c r="AL26" s="67">
        <f t="shared" si="52"/>
        <v>0</v>
      </c>
      <c r="AM26" s="60"/>
      <c r="AN26" s="67">
        <f t="shared" si="53"/>
        <v>0</v>
      </c>
      <c r="AO26" s="60"/>
      <c r="AP26" s="67">
        <f t="shared" si="54"/>
        <v>0</v>
      </c>
      <c r="AQ26" s="60"/>
      <c r="AR26" s="67">
        <f t="shared" si="71"/>
        <v>0</v>
      </c>
      <c r="AS26" s="60"/>
      <c r="AT26" s="67">
        <f t="shared" si="72"/>
        <v>0</v>
      </c>
      <c r="AU26" s="60"/>
      <c r="AV26" s="67">
        <f t="shared" si="73"/>
        <v>0</v>
      </c>
      <c r="AW26" s="60"/>
      <c r="AX26" s="67">
        <f t="shared" si="74"/>
        <v>0</v>
      </c>
      <c r="AY26" s="60"/>
      <c r="AZ26" s="67">
        <f t="shared" si="75"/>
        <v>0</v>
      </c>
      <c r="BA26" s="60"/>
      <c r="BB26" s="67">
        <f t="shared" si="76"/>
        <v>0</v>
      </c>
      <c r="BC26" s="60"/>
      <c r="BD26" s="67">
        <f t="shared" si="77"/>
        <v>0</v>
      </c>
      <c r="BE26" s="61"/>
      <c r="BF26" s="67">
        <f t="shared" si="55"/>
        <v>0</v>
      </c>
      <c r="BG26" s="62"/>
      <c r="BH26" s="67">
        <f t="shared" si="78"/>
        <v>0</v>
      </c>
      <c r="BI26" s="62"/>
      <c r="BJ26" s="67">
        <f t="shared" si="79"/>
        <v>0</v>
      </c>
      <c r="BK26" s="62"/>
      <c r="BL26" s="67">
        <f t="shared" si="80"/>
        <v>0</v>
      </c>
      <c r="BM26" s="62"/>
      <c r="BN26" s="67">
        <f t="shared" si="81"/>
        <v>0</v>
      </c>
      <c r="BO26" s="62"/>
      <c r="BP26" s="67">
        <f t="shared" si="82"/>
        <v>0</v>
      </c>
      <c r="BQ26" s="62"/>
      <c r="BR26" s="67">
        <f t="shared" si="56"/>
        <v>0</v>
      </c>
      <c r="BS26" s="62"/>
      <c r="BT26" s="67">
        <f t="shared" si="83"/>
        <v>0</v>
      </c>
      <c r="BU26" s="62"/>
      <c r="BV26" s="67">
        <f t="shared" si="57"/>
        <v>0</v>
      </c>
      <c r="BW26" s="62"/>
      <c r="BX26" s="67">
        <f t="shared" si="84"/>
        <v>0</v>
      </c>
      <c r="BY26" s="62"/>
      <c r="BZ26" s="67">
        <f t="shared" si="58"/>
        <v>0</v>
      </c>
      <c r="CA26" s="62"/>
      <c r="CB26" s="67">
        <f t="shared" si="59"/>
        <v>0</v>
      </c>
      <c r="CC26" s="62"/>
      <c r="CD26" s="67">
        <f t="shared" si="60"/>
        <v>0</v>
      </c>
      <c r="CE26" s="62"/>
      <c r="CF26" s="67">
        <f t="shared" si="61"/>
        <v>0</v>
      </c>
      <c r="CG26" s="62"/>
      <c r="CH26" s="67">
        <f t="shared" si="62"/>
        <v>0</v>
      </c>
      <c r="CI26" s="62"/>
      <c r="CJ26" s="67">
        <f t="shared" si="63"/>
        <v>0</v>
      </c>
      <c r="CK26" s="62"/>
      <c r="CL26" s="66">
        <f t="shared" si="64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>
        <f t="shared" si="86"/>
        <v>0</v>
      </c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24</v>
      </c>
      <c r="R35" s="71"/>
      <c r="AX35" s="67">
        <f t="shared" si="74"/>
        <v>0</v>
      </c>
      <c r="BF35" s="71">
        <f>SUM(BF4:BF33)</f>
        <v>464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7" zoomScaleNormal="100" workbookViewId="0">
      <selection activeCell="Q20" sqref="Q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1" t="s">
        <v>0</v>
      </c>
      <c r="B4" s="94" t="s">
        <v>53</v>
      </c>
      <c r="C4" s="94" t="s">
        <v>54</v>
      </c>
      <c r="D4" s="97" t="s">
        <v>55</v>
      </c>
      <c r="E4" s="80" t="s">
        <v>56</v>
      </c>
      <c r="F4" s="100"/>
      <c r="G4" s="100"/>
      <c r="H4" s="100"/>
      <c r="I4" s="100"/>
      <c r="J4" s="81"/>
      <c r="K4" s="88" t="s">
        <v>57</v>
      </c>
      <c r="L4" s="89"/>
      <c r="M4" s="90"/>
      <c r="N4" s="79" t="s">
        <v>36</v>
      </c>
      <c r="O4" s="79"/>
      <c r="P4" s="79"/>
      <c r="Q4" s="79"/>
    </row>
    <row r="5" spans="1:17" ht="33.75" customHeight="1" x14ac:dyDescent="0.25">
      <c r="A5" s="92"/>
      <c r="B5" s="95"/>
      <c r="C5" s="95"/>
      <c r="D5" s="98"/>
      <c r="E5" s="80" t="s">
        <v>58</v>
      </c>
      <c r="F5" s="81"/>
      <c r="G5" s="80" t="s">
        <v>59</v>
      </c>
      <c r="H5" s="81"/>
      <c r="I5" s="80" t="s">
        <v>60</v>
      </c>
      <c r="J5" s="81"/>
      <c r="K5" s="82" t="s">
        <v>61</v>
      </c>
      <c r="L5" s="83"/>
      <c r="M5" s="84"/>
      <c r="N5" s="85" t="s">
        <v>62</v>
      </c>
      <c r="O5" s="86"/>
      <c r="P5" s="86"/>
      <c r="Q5" s="87"/>
    </row>
    <row r="6" spans="1:17" x14ac:dyDescent="0.25">
      <c r="A6" s="93"/>
      <c r="B6" s="96"/>
      <c r="C6" s="96"/>
      <c r="D6" s="9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2020-05-14T09:56:22Z</dcterms:modified>
</cp:coreProperties>
</file>