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N16" i="7" l="1"/>
  <c r="N17" i="7"/>
  <c r="N18" i="7"/>
  <c r="N19" i="7"/>
  <c r="N20" i="7"/>
  <c r="N21" i="7"/>
  <c r="AR14" i="7" l="1"/>
  <c r="AR15" i="7"/>
  <c r="AR16" i="7"/>
  <c r="AR17" i="7"/>
  <c r="CS15" i="7" l="1"/>
  <c r="X15" i="7"/>
  <c r="T12" i="10" l="1"/>
  <c r="T13" i="10"/>
  <c r="T14" i="10"/>
  <c r="CS8" i="7" l="1"/>
  <c r="CS9" i="7"/>
  <c r="P6" i="7" l="1"/>
  <c r="P7" i="7"/>
  <c r="T7" i="10" l="1"/>
  <c r="AP31" i="7" l="1"/>
  <c r="AP30" i="7"/>
  <c r="AP32" i="7"/>
  <c r="AP33" i="7"/>
  <c r="AP34" i="7"/>
  <c r="CQ27" i="7" l="1"/>
  <c r="L25" i="7" l="1"/>
  <c r="L26" i="7"/>
  <c r="BN19" i="7" l="1"/>
  <c r="BN20" i="7"/>
  <c r="BN21" i="7"/>
  <c r="BN22" i="7"/>
  <c r="BB10" i="7" l="1"/>
  <c r="BB11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L8" i="7" l="1"/>
  <c r="AJ7" i="7" l="1"/>
  <c r="AJ5" i="7" l="1"/>
  <c r="AJ6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N4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R4" i="7"/>
  <c r="AR5" i="7"/>
  <c r="AR6" i="7"/>
  <c r="AR7" i="7"/>
  <c r="AR8" i="7"/>
  <c r="AR9" i="7"/>
  <c r="AR10" i="7"/>
  <c r="AR11" i="7"/>
  <c r="AR12" i="7"/>
  <c r="AR13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8" i="7"/>
  <c r="CQ29" i="7"/>
  <c r="CQ30" i="7"/>
  <c r="CQ31" i="7"/>
  <c r="CQ32" i="7"/>
  <c r="CQ33" i="7"/>
  <c r="CS4" i="7"/>
  <c r="CS5" i="7"/>
  <c r="CS6" i="7"/>
  <c r="CS7" i="7"/>
  <c r="CS10" i="7"/>
  <c r="CS11" i="7"/>
  <c r="CS12" i="7"/>
  <c r="CS13" i="7"/>
  <c r="CS14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<sst xmlns="http://schemas.openxmlformats.org/spreadsheetml/2006/main" count="315" uniqueCount="148">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</sst>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26" sqref="E2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2023</v>
      </c>
      <c r="E2" s="12">
        <f>Submetering!E2+Submetering!F2+Submetering!G2+Submetering!H2+Submetering!J2-Submetering!AV2</f>
        <v>12099.999999999667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109.89999999999782</v>
      </c>
      <c r="J2" s="11">
        <v>10.487297712684205</v>
      </c>
      <c r="K2" s="13">
        <f>'FS Desroches Daily'!CN4</f>
        <v>30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3</v>
      </c>
      <c r="D3" s="1">
        <v>2023</v>
      </c>
      <c r="E3" s="12">
        <f>Submetering!E3+Submetering!F3+Submetering!G3+Submetering!H3+Submetering!J3-Submetering!AV3</f>
        <v>11700.000000000222</v>
      </c>
      <c r="F3" s="11">
        <f>F2</f>
        <v>0.58765030286592534</v>
      </c>
      <c r="G3" s="12">
        <f>(Submetering!AX3+Submetering!AY3+Submetering!AZ3+Submetering!BA3+Submetering!BB3)</f>
        <v>9.1574999999999989</v>
      </c>
      <c r="H3" s="11">
        <f>H2</f>
        <v>0.99</v>
      </c>
      <c r="I3" s="12">
        <f>'FS Desroches Daily'!CM5</f>
        <v>98.100000000002183</v>
      </c>
      <c r="J3" s="11">
        <f>J2</f>
        <v>10.487297712684205</v>
      </c>
      <c r="K3" s="13">
        <f>'FS Desroches Daily'!CN5</f>
        <v>34</v>
      </c>
    </row>
    <row r="4" spans="1:13" s="16" customFormat="1" x14ac:dyDescent="0.25">
      <c r="A4" s="1" t="s">
        <v>11</v>
      </c>
      <c r="B4" s="10">
        <v>3</v>
      </c>
      <c r="C4" s="11">
        <v>3</v>
      </c>
      <c r="D4" s="1">
        <v>2023</v>
      </c>
      <c r="E4" s="12">
        <f>Submetering!E4+Submetering!F4+Submetering!G4+Submetering!H4+Submetering!J4-Submetering!AV4</f>
        <v>11999.999999999825</v>
      </c>
      <c r="F4" s="11">
        <f t="shared" ref="F4:F32" si="0">F3</f>
        <v>0.58765030286592534</v>
      </c>
      <c r="G4" s="12">
        <f>(Submetering!AX4+Submetering!AY4+Submetering!AZ4+Submetering!BA4+Submetering!BB4)</f>
        <v>16.483499999999999</v>
      </c>
      <c r="H4" s="11">
        <f t="shared" ref="H4:H32" si="1">H3</f>
        <v>0.99</v>
      </c>
      <c r="I4" s="12">
        <f>'FS Desroches Daily'!CM6</f>
        <v>88.799999999999272</v>
      </c>
      <c r="J4" s="11">
        <f t="shared" ref="J4:J32" si="2">J3</f>
        <v>10.487297712684205</v>
      </c>
      <c r="K4" s="13">
        <f>'FS Desroches Daily'!CN6</f>
        <v>36</v>
      </c>
    </row>
    <row r="5" spans="1:13" s="16" customFormat="1" x14ac:dyDescent="0.25">
      <c r="A5" s="1" t="s">
        <v>11</v>
      </c>
      <c r="B5" s="10">
        <v>4</v>
      </c>
      <c r="C5" s="11">
        <v>3</v>
      </c>
      <c r="D5" s="1">
        <v>2023</v>
      </c>
      <c r="E5" s="12">
        <f>Submetering!E5+Submetering!F5+Submetering!G5+Submetering!H5+Submetering!J5-Submetering!AV5</f>
        <v>13800.000000000289</v>
      </c>
      <c r="F5" s="11">
        <f t="shared" si="0"/>
        <v>0.58765030286592534</v>
      </c>
      <c r="G5" s="12">
        <f>(Submetering!AX5+Submetering!AY5+Submetering!AZ5+Submetering!BA5+Submetering!BB5)</f>
        <v>7.3259999999999996</v>
      </c>
      <c r="H5" s="11">
        <f t="shared" si="1"/>
        <v>0.99</v>
      </c>
      <c r="I5" s="12">
        <f>'FS Desroches Daily'!CM7</f>
        <v>92.799999999999272</v>
      </c>
      <c r="J5" s="11">
        <f t="shared" si="2"/>
        <v>10.487297712684205</v>
      </c>
      <c r="K5" s="13">
        <f>'FS Desroches Daily'!CN7</f>
        <v>42</v>
      </c>
    </row>
    <row r="6" spans="1:13" s="16" customFormat="1" x14ac:dyDescent="0.25">
      <c r="A6" s="1" t="s">
        <v>11</v>
      </c>
      <c r="B6" s="10">
        <v>5</v>
      </c>
      <c r="C6" s="11">
        <v>3</v>
      </c>
      <c r="D6" s="1">
        <v>2023</v>
      </c>
      <c r="E6" s="12">
        <f>Submetering!E6+Submetering!F6+Submetering!G6+Submetering!H6+Submetering!J6-Submetering!AV6</f>
        <v>12799.999999999367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98.599999999998545</v>
      </c>
      <c r="J6" s="11">
        <f t="shared" si="2"/>
        <v>10.487297712684205</v>
      </c>
      <c r="K6" s="13">
        <f>'FS Desroches Daily'!CN8</f>
        <v>34</v>
      </c>
    </row>
    <row r="7" spans="1:13" s="16" customFormat="1" x14ac:dyDescent="0.25">
      <c r="A7" s="1" t="s">
        <v>11</v>
      </c>
      <c r="B7" s="10">
        <v>6</v>
      </c>
      <c r="C7" s="11">
        <v>3</v>
      </c>
      <c r="D7" s="1">
        <v>2023</v>
      </c>
      <c r="E7" s="12">
        <f>Submetering!E7+Submetering!F7+Submetering!G7+Submetering!H7+Submetering!J7-Submetering!AV7</f>
        <v>12600.000000001308</v>
      </c>
      <c r="F7" s="11">
        <f t="shared" si="0"/>
        <v>0.58765030286592534</v>
      </c>
      <c r="G7" s="12">
        <f>(Submetering!AX7+Submetering!AY7+Submetering!AZ7+Submetering!BA7+Submetering!BB7)</f>
        <v>10.988999999999999</v>
      </c>
      <c r="H7" s="11">
        <f t="shared" si="1"/>
        <v>0.99</v>
      </c>
      <c r="I7" s="12">
        <f>'FS Desroches Daily'!CM9</f>
        <v>103.30000000000291</v>
      </c>
      <c r="J7" s="11">
        <f t="shared" si="2"/>
        <v>10.487297712684205</v>
      </c>
      <c r="K7" s="13">
        <f>'FS Desroches Daily'!CN9</f>
        <v>34</v>
      </c>
    </row>
    <row r="8" spans="1:13" s="16" customFormat="1" x14ac:dyDescent="0.25">
      <c r="A8" s="1" t="s">
        <v>11</v>
      </c>
      <c r="B8" s="10">
        <v>7</v>
      </c>
      <c r="C8" s="11">
        <v>3</v>
      </c>
      <c r="D8" s="1">
        <v>2023</v>
      </c>
      <c r="E8" s="12">
        <f>Submetering!E8+Submetering!F8+Submetering!G8+Submetering!H8+Submetering!J8-Submetering!AV8</f>
        <v>12799.999999999367</v>
      </c>
      <c r="F8" s="11">
        <f t="shared" si="0"/>
        <v>0.58765030286592534</v>
      </c>
      <c r="G8" s="12">
        <f>(Submetering!AX8+Submetering!AY8+Submetering!AZ8+Submetering!BA8+Submetering!BB8)</f>
        <v>16.483499999999999</v>
      </c>
      <c r="H8" s="11">
        <f t="shared" si="1"/>
        <v>0.99</v>
      </c>
      <c r="I8" s="12">
        <f>'FS Desroches Daily'!CM10</f>
        <v>95.69999999999709</v>
      </c>
      <c r="J8" s="11">
        <f t="shared" si="2"/>
        <v>10.487297712684205</v>
      </c>
      <c r="K8" s="13">
        <f>'FS Desroches Daily'!CN10</f>
        <v>34</v>
      </c>
    </row>
    <row r="9" spans="1:13" s="16" customFormat="1" x14ac:dyDescent="0.25">
      <c r="A9" s="1" t="s">
        <v>11</v>
      </c>
      <c r="B9" s="10">
        <v>8</v>
      </c>
      <c r="C9" s="11">
        <v>3</v>
      </c>
      <c r="D9" s="1">
        <v>2023</v>
      </c>
      <c r="E9" s="12">
        <f>Submetering!E9+Submetering!F9+Submetering!G9+Submetering!H9+Submetering!J9-Submetering!AV9</f>
        <v>12499.999999999623</v>
      </c>
      <c r="F9" s="11">
        <f t="shared" si="0"/>
        <v>0.58765030286592534</v>
      </c>
      <c r="G9" s="12">
        <f>(Submetering!AX9+Submetering!AY9+Submetering!AZ9+Submetering!BA9+Submetering!BB9)</f>
        <v>12.820499999999999</v>
      </c>
      <c r="H9" s="11">
        <f t="shared" si="1"/>
        <v>0.99</v>
      </c>
      <c r="I9" s="12">
        <f>'FS Desroches Daily'!CM11</f>
        <v>107.80000000000291</v>
      </c>
      <c r="J9" s="11">
        <f t="shared" si="2"/>
        <v>10.487297712684205</v>
      </c>
      <c r="K9" s="13">
        <f>'FS Desroches Daily'!CN11</f>
        <v>31</v>
      </c>
    </row>
    <row r="10" spans="1:13" s="16" customFormat="1" x14ac:dyDescent="0.25">
      <c r="A10" s="1" t="s">
        <v>11</v>
      </c>
      <c r="B10" s="10">
        <v>9</v>
      </c>
      <c r="C10" s="11">
        <v>3</v>
      </c>
      <c r="D10" s="1">
        <v>2023</v>
      </c>
      <c r="E10" s="12">
        <f>Submetering!E10+Submetering!F10+Submetering!G10+Submetering!H10+Submetering!J10-Submetering!AV10</f>
        <v>13400.000000000491</v>
      </c>
      <c r="F10" s="11">
        <f t="shared" si="0"/>
        <v>0.58765030286592534</v>
      </c>
      <c r="G10" s="12">
        <f>(Submetering!AX10+Submetering!AY10+Submetering!AZ10+Submetering!BA10+Submetering!BB10)</f>
        <v>16.483499999999999</v>
      </c>
      <c r="H10" s="11">
        <f t="shared" si="1"/>
        <v>0.99</v>
      </c>
      <c r="I10" s="12">
        <f>'FS Desroches Daily'!CM12</f>
        <v>118.59999999999854</v>
      </c>
      <c r="J10" s="11">
        <f t="shared" si="2"/>
        <v>10.487297712684205</v>
      </c>
      <c r="K10" s="13">
        <f>'FS Desroches Daily'!CN12</f>
        <v>48</v>
      </c>
    </row>
    <row r="11" spans="1:13" s="16" customFormat="1" x14ac:dyDescent="0.25">
      <c r="A11" s="1" t="s">
        <v>11</v>
      </c>
      <c r="B11" s="10">
        <v>10</v>
      </c>
      <c r="C11" s="11">
        <v>3</v>
      </c>
      <c r="D11" s="1">
        <v>2023</v>
      </c>
      <c r="E11" s="12">
        <f>Submetering!E11+Submetering!F11+Submetering!G11+Submetering!H11+Submetering!J11-Submetering!AV11</f>
        <v>13099.999999999558</v>
      </c>
      <c r="F11" s="11">
        <f t="shared" si="0"/>
        <v>0.58765030286592534</v>
      </c>
      <c r="G11" s="12">
        <f>(Submetering!AX11+Submetering!AY11+Submetering!AZ11+Submetering!BA11+Submetering!BB11)</f>
        <v>12.820499999999999</v>
      </c>
      <c r="H11" s="11">
        <f t="shared" si="1"/>
        <v>0.99</v>
      </c>
      <c r="I11" s="12">
        <f>'FS Desroches Daily'!CM13</f>
        <v>117.29999999999927</v>
      </c>
      <c r="J11" s="11">
        <f t="shared" si="2"/>
        <v>10.487297712684205</v>
      </c>
      <c r="K11" s="13">
        <f>'FS Desroches Daily'!CN13</f>
        <v>44</v>
      </c>
    </row>
    <row r="12" spans="1:13" s="16" customFormat="1" x14ac:dyDescent="0.25">
      <c r="A12" s="1" t="s">
        <v>11</v>
      </c>
      <c r="B12" s="10">
        <v>11</v>
      </c>
      <c r="C12" s="11">
        <v>3</v>
      </c>
      <c r="D12" s="1">
        <v>2023</v>
      </c>
      <c r="E12" s="12">
        <f>Submetering!E12+Submetering!F12+Submetering!G12+Submetering!H12+Submetering!J12-Submetering!AV12</f>
        <v>13600.000000000915</v>
      </c>
      <c r="F12" s="11">
        <f t="shared" si="0"/>
        <v>0.58765030286592534</v>
      </c>
      <c r="G12" s="12">
        <f>(Submetering!AX12+Submetering!AY12+Submetering!AZ12+Submetering!BA12+Submetering!BB12)</f>
        <v>16.483499999999999</v>
      </c>
      <c r="H12" s="11">
        <f t="shared" si="1"/>
        <v>0.99</v>
      </c>
      <c r="I12" s="12">
        <f>'FS Desroches Daily'!CM14</f>
        <v>126</v>
      </c>
      <c r="J12" s="11">
        <f t="shared" si="2"/>
        <v>10.487297712684205</v>
      </c>
      <c r="K12" s="13">
        <f>'FS Desroches Daily'!CN14</f>
        <v>42</v>
      </c>
    </row>
    <row r="13" spans="1:13" s="16" customFormat="1" x14ac:dyDescent="0.25">
      <c r="A13" s="1" t="s">
        <v>11</v>
      </c>
      <c r="B13" s="10">
        <v>12</v>
      </c>
      <c r="C13" s="11">
        <v>3</v>
      </c>
      <c r="D13" s="1">
        <v>2023</v>
      </c>
      <c r="E13" s="12">
        <f>Submetering!E13+Submetering!F13+Submetering!G13+Submetering!H13+Submetering!J13-Submetering!AV13</f>
        <v>12999.999999999347</v>
      </c>
      <c r="F13" s="11">
        <f t="shared" si="0"/>
        <v>0.58765030286592534</v>
      </c>
      <c r="G13" s="12">
        <f>(Submetering!AX13+Submetering!AY13+Submetering!AZ13+Submetering!BA13+Submetering!BB13)</f>
        <v>9.1574999999999989</v>
      </c>
      <c r="H13" s="11">
        <f t="shared" si="1"/>
        <v>0.99</v>
      </c>
      <c r="I13" s="12">
        <f>'FS Desroches Daily'!CM15</f>
        <v>105.10000000000218</v>
      </c>
      <c r="J13" s="11">
        <f t="shared" si="2"/>
        <v>10.487297712684205</v>
      </c>
      <c r="K13" s="13">
        <f>'FS Desroches Daily'!CN15</f>
        <v>37</v>
      </c>
    </row>
    <row r="14" spans="1:13" s="16" customFormat="1" x14ac:dyDescent="0.25">
      <c r="A14" s="1" t="s">
        <v>11</v>
      </c>
      <c r="B14" s="10">
        <v>13</v>
      </c>
      <c r="C14" s="11">
        <v>3</v>
      </c>
      <c r="D14" s="1">
        <v>2023</v>
      </c>
      <c r="E14" s="12">
        <f>Submetering!E14+Submetering!F14+Submetering!G14+Submetering!H14+Submetering!J14-Submetering!AV14</f>
        <v>13900.000000000802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117.69999999999709</v>
      </c>
      <c r="J14" s="11">
        <f t="shared" si="2"/>
        <v>10.487297712684205</v>
      </c>
      <c r="K14" s="13">
        <f>'FS Desroches Daily'!CN16</f>
        <v>37</v>
      </c>
    </row>
    <row r="15" spans="1:13" s="16" customFormat="1" x14ac:dyDescent="0.25">
      <c r="A15" s="1" t="s">
        <v>11</v>
      </c>
      <c r="B15" s="10">
        <v>14</v>
      </c>
      <c r="C15" s="11">
        <v>3</v>
      </c>
      <c r="D15" s="1">
        <v>2023</v>
      </c>
      <c r="E15" s="12">
        <f>Submetering!E15+Submetering!F15+Submetering!G15+Submetering!H15+Submetering!J15-Submetering!AV15</f>
        <v>13499.999999998625</v>
      </c>
      <c r="F15" s="11">
        <f t="shared" si="0"/>
        <v>0.58765030286592534</v>
      </c>
      <c r="G15" s="12">
        <f>(Submetering!AX15+Submetering!AY15+Submetering!AZ15+Submetering!BA15+Submetering!BB15)</f>
        <v>9.1574999999999989</v>
      </c>
      <c r="H15" s="11">
        <f t="shared" si="1"/>
        <v>0.99</v>
      </c>
      <c r="I15" s="12">
        <f>'FS Desroches Daily'!CM17</f>
        <v>114.30000000000291</v>
      </c>
      <c r="J15" s="11">
        <f t="shared" si="2"/>
        <v>10.487297712684205</v>
      </c>
      <c r="K15" s="13">
        <f>'FS Desroches Daily'!CN17</f>
        <v>34</v>
      </c>
    </row>
    <row r="16" spans="1:13" s="16" customFormat="1" x14ac:dyDescent="0.25">
      <c r="A16" s="1" t="s">
        <v>11</v>
      </c>
      <c r="B16" s="10">
        <v>15</v>
      </c>
      <c r="C16" s="11">
        <v>3</v>
      </c>
      <c r="D16" s="1">
        <v>2023</v>
      </c>
      <c r="E16" s="12">
        <f>Submetering!E16+Submetering!F16+Submetering!G16+Submetering!H16+Submetering!J16-Submetering!AV16</f>
        <v>13000.000000001568</v>
      </c>
      <c r="F16" s="11">
        <f t="shared" si="0"/>
        <v>0.58765030286592534</v>
      </c>
      <c r="G16" s="12">
        <f>(Submetering!AX16+Submetering!AY16+Submetering!AZ16+Submetering!BA16+Submetering!BB16)</f>
        <v>10.988999999999999</v>
      </c>
      <c r="H16" s="11">
        <f t="shared" si="1"/>
        <v>0.99</v>
      </c>
      <c r="I16" s="12">
        <f>'FS Desroches Daily'!CM18</f>
        <v>116.69999999999709</v>
      </c>
      <c r="J16" s="11">
        <f t="shared" si="2"/>
        <v>10.487297712684205</v>
      </c>
      <c r="K16" s="13">
        <f>'FS Desroches Daily'!CN18</f>
        <v>34</v>
      </c>
    </row>
    <row r="17" spans="1:11" s="16" customFormat="1" x14ac:dyDescent="0.25">
      <c r="A17" s="1" t="s">
        <v>11</v>
      </c>
      <c r="B17" s="10">
        <v>16</v>
      </c>
      <c r="C17" s="11">
        <v>3</v>
      </c>
      <c r="D17" s="1">
        <v>2023</v>
      </c>
      <c r="E17" s="12">
        <f>Submetering!E17+Submetering!F17+Submetering!G17+Submetering!H17+Submetering!J17-Submetering!AV17</f>
        <v>12999.999999999865</v>
      </c>
      <c r="F17" s="11">
        <f t="shared" si="0"/>
        <v>0.58765030286592534</v>
      </c>
      <c r="G17" s="12">
        <f>(Submetering!AX17+Submetering!AY17+Submetering!AZ17+Submetering!BA17+Submetering!BB17)</f>
        <v>9.1574999999999989</v>
      </c>
      <c r="H17" s="11">
        <f t="shared" si="1"/>
        <v>0.99</v>
      </c>
      <c r="I17" s="12">
        <f>'FS Desroches Daily'!CM19</f>
        <v>99.200000000000728</v>
      </c>
      <c r="J17" s="11">
        <f t="shared" si="2"/>
        <v>10.487297712684205</v>
      </c>
      <c r="K17" s="13">
        <f>'FS Desroches Daily'!CN19</f>
        <v>27</v>
      </c>
    </row>
    <row r="18" spans="1:11" s="16" customFormat="1" x14ac:dyDescent="0.25">
      <c r="A18" s="1" t="s">
        <v>11</v>
      </c>
      <c r="B18" s="10">
        <v>17</v>
      </c>
      <c r="C18" s="11">
        <v>3</v>
      </c>
      <c r="D18" s="1">
        <v>2023</v>
      </c>
      <c r="E18" s="12">
        <f>Submetering!E18+Submetering!F18+Submetering!G18+Submetering!H18+Submetering!J18-Submetering!AV18</f>
        <v>13599.999999999138</v>
      </c>
      <c r="F18" s="11">
        <f t="shared" si="0"/>
        <v>0.58765030286592534</v>
      </c>
      <c r="G18" s="12">
        <f>(Submetering!AX18+Submetering!AY18+Submetering!AZ18+Submetering!BA18+Submetering!BB18)</f>
        <v>9.1574999999999989</v>
      </c>
      <c r="H18" s="11">
        <f t="shared" si="1"/>
        <v>0.99</v>
      </c>
      <c r="I18" s="12">
        <f>'FS Desroches Daily'!CM20</f>
        <v>101.90000000000146</v>
      </c>
      <c r="J18" s="11">
        <f t="shared" si="2"/>
        <v>10.487297712684205</v>
      </c>
      <c r="K18" s="13">
        <f>'FS Desroches Daily'!CN20</f>
        <v>28</v>
      </c>
    </row>
    <row r="19" spans="1:11" s="16" customFormat="1" x14ac:dyDescent="0.25">
      <c r="A19" s="1" t="s">
        <v>11</v>
      </c>
      <c r="B19" s="10">
        <v>18</v>
      </c>
      <c r="C19" s="11">
        <v>3</v>
      </c>
      <c r="D19" s="1">
        <v>2023</v>
      </c>
      <c r="E19" s="12">
        <f>Submetering!E19+Submetering!F19+Submetering!G19+Submetering!H19+Submetering!J19-Submetering!AV19</f>
        <v>13399.999999999376</v>
      </c>
      <c r="F19" s="11">
        <f t="shared" si="0"/>
        <v>0.58765030286592534</v>
      </c>
      <c r="G19" s="12">
        <f>(Submetering!AX19+Submetering!AY19+Submetering!AZ19+Submetering!BA19+Submetering!BB19)</f>
        <v>9.1574999999999989</v>
      </c>
      <c r="H19" s="11">
        <f t="shared" si="1"/>
        <v>0.99</v>
      </c>
      <c r="I19" s="12">
        <f>'FS Desroches Daily'!CM21</f>
        <v>125</v>
      </c>
      <c r="J19" s="11">
        <f t="shared" si="2"/>
        <v>10.487297712684205</v>
      </c>
      <c r="K19" s="13">
        <f>'FS Desroches Daily'!CN21</f>
        <v>31</v>
      </c>
    </row>
    <row r="20" spans="1:11" s="16" customFormat="1" x14ac:dyDescent="0.25">
      <c r="A20" s="1" t="s">
        <v>11</v>
      </c>
      <c r="B20" s="10">
        <v>19</v>
      </c>
      <c r="C20" s="11">
        <v>3</v>
      </c>
      <c r="D20" s="1">
        <v>2023</v>
      </c>
      <c r="E20" s="12">
        <f>Submetering!E20+Submetering!F20+Submetering!G20+Submetering!H20+Submetering!J20-Submetering!AV20</f>
        <v>11900.000000000577</v>
      </c>
      <c r="F20" s="11">
        <f t="shared" si="0"/>
        <v>0.58765030286592534</v>
      </c>
      <c r="G20" s="12">
        <f>(Submetering!AX20+Submetering!AY20+Submetering!AZ20+Submetering!BA20+Submetering!BB20)</f>
        <v>9.1574999999999989</v>
      </c>
      <c r="H20" s="11">
        <f t="shared" si="1"/>
        <v>0.99</v>
      </c>
      <c r="I20" s="12">
        <f>'FS Desroches Daily'!CM22</f>
        <v>105.79999999999927</v>
      </c>
      <c r="J20" s="11">
        <f t="shared" si="2"/>
        <v>10.487297712684205</v>
      </c>
      <c r="K20" s="13">
        <f>'FS Desroches Daily'!CN22</f>
        <v>43</v>
      </c>
    </row>
    <row r="21" spans="1:11" s="16" customFormat="1" x14ac:dyDescent="0.25">
      <c r="A21" s="1" t="s">
        <v>11</v>
      </c>
      <c r="B21" s="10">
        <v>20</v>
      </c>
      <c r="C21" s="11">
        <v>3</v>
      </c>
      <c r="D21" s="1">
        <v>2023</v>
      </c>
      <c r="E21" s="12">
        <f>Submetering!E21+Submetering!F21+Submetering!G21+Submetering!H21+Submetering!J21-Submetering!AV21</f>
        <v>12299.999999999947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97</v>
      </c>
      <c r="J21" s="11">
        <f t="shared" si="2"/>
        <v>10.487297712684205</v>
      </c>
      <c r="K21" s="13">
        <f>'FS Desroches Daily'!CN23</f>
        <v>43</v>
      </c>
    </row>
    <row r="22" spans="1:11" s="16" customFormat="1" x14ac:dyDescent="0.25">
      <c r="A22" s="1" t="s">
        <v>11</v>
      </c>
      <c r="B22" s="10">
        <v>21</v>
      </c>
      <c r="C22" s="11">
        <v>3</v>
      </c>
      <c r="D22" s="1">
        <v>2023</v>
      </c>
      <c r="E22" s="12" t="e">
        <f>Submetering!E22+Submetering!F22+Submetering!G22+Submetering!H22+Submetering!J22-Submetering!AV22</f>
        <v>#VALUE!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 t="e">
        <f>'FS Desroches Daily'!CM24</f>
        <v>#VALUE!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3</v>
      </c>
      <c r="D23" s="1">
        <v>2023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3</v>
      </c>
      <c r="D24" s="1">
        <v>2023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3</v>
      </c>
      <c r="D25" s="1">
        <v>2023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3</v>
      </c>
      <c r="D26" s="1">
        <v>2023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3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3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3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3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3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3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Z2" sqref="AZ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3</v>
      </c>
      <c r="D2" s="27">
        <v>2023</v>
      </c>
      <c r="E2" s="31">
        <f>'FS Desroches Daily'!D4</f>
        <v>2299.9999999999686</v>
      </c>
      <c r="F2" s="32">
        <f>'FS Desroches Daily'!F4</f>
        <v>3300.0000000003029</v>
      </c>
      <c r="G2" s="31">
        <f>'FS Desroches Daily'!H4</f>
        <v>3999.9999999995593</v>
      </c>
      <c r="H2" s="32">
        <f>'FS Desroches Daily'!J4</f>
        <v>1700.0000000000348</v>
      </c>
      <c r="I2" s="31">
        <f>'FS Desroches Daily'!L4</f>
        <v>2499.9999999999468</v>
      </c>
      <c r="J2" s="32">
        <f>'FS Desroches Daily'!N4</f>
        <v>1799.9999999998017</v>
      </c>
      <c r="K2" s="13">
        <f>'FS Desroches Daily'!P4</f>
        <v>31</v>
      </c>
      <c r="L2" s="31">
        <f>'FS Desroches Daily'!R4</f>
        <v>4</v>
      </c>
      <c r="M2" s="31">
        <f>'FS Desroches Daily'!T4</f>
        <v>1400.0000000000909</v>
      </c>
      <c r="N2" s="31">
        <f>'FS Desroches Daily'!V4</f>
        <v>650.40000000002328</v>
      </c>
      <c r="O2" s="31">
        <f>'FS Desroches Daily'!X4</f>
        <v>420.00000000007276</v>
      </c>
      <c r="P2" s="31">
        <f>'FS Desroches Daily'!Z4</f>
        <v>2999.9999999992256</v>
      </c>
      <c r="Q2" s="31">
        <f>'FS Desroches Daily'!AB4</f>
        <v>399.99999999997726</v>
      </c>
      <c r="R2" s="31">
        <f>'FS Desroches Daily'!AD4</f>
        <v>539.99999999996362</v>
      </c>
      <c r="S2" s="31">
        <f>'FS Desroches Daily'!AF4</f>
        <v>789.99999999996362</v>
      </c>
      <c r="T2" s="31">
        <f>'FS Desroches Daily'!AH4</f>
        <v>46</v>
      </c>
      <c r="U2" s="35">
        <f>'FS Desroches Daily'!AJ4</f>
        <v>700.00000000014495</v>
      </c>
      <c r="V2" s="35">
        <f>'FS Desroches Daily'!AL4</f>
        <v>250</v>
      </c>
      <c r="W2" s="35">
        <f>'FS Desroches Daily'!AN4</f>
        <v>199.99999999998863</v>
      </c>
      <c r="X2" s="35">
        <f>'FS Desroches Daily'!AP4</f>
        <v>160.00000000002501</v>
      </c>
      <c r="Y2" s="35">
        <f>'FS Desroches Daily'!AR4</f>
        <v>149.99999999997726</v>
      </c>
      <c r="Z2" s="35">
        <f>'FS Desroches Daily'!AT4</f>
        <v>109.9999999999568</v>
      </c>
      <c r="AA2" s="35">
        <f>'FS Desroches Daily'!AT4</f>
        <v>109.9999999999568</v>
      </c>
      <c r="AB2" s="35">
        <f>'FS Desroches Daily'!AV4</f>
        <v>100.00000000002274</v>
      </c>
      <c r="AC2" s="35">
        <f>'FS Desroches Daily'!AZ4</f>
        <v>159.99999999996817</v>
      </c>
      <c r="AD2" s="35">
        <f>'FS Desroches Daily'!BB4</f>
        <v>129.99999999999545</v>
      </c>
      <c r="AE2" s="35">
        <f>'FS Desroches Daily'!BD4</f>
        <v>149.99999999997726</v>
      </c>
      <c r="AF2" s="31">
        <f>'FS Desroches Daily'!BF4</f>
        <v>47</v>
      </c>
      <c r="AG2" s="32">
        <f>'FS Desroches Daily'!BH4</f>
        <v>40.000000000020464</v>
      </c>
      <c r="AH2" s="32">
        <f>'FS Desroches Daily'!BJ4</f>
        <v>39.99999999996362</v>
      </c>
      <c r="AI2" s="32">
        <f>'FS Desroches Daily'!BL4</f>
        <v>50.000000000011369</v>
      </c>
      <c r="AJ2" s="32">
        <f>'FS Desroches Daily'!BN4</f>
        <v>50.000000000011369</v>
      </c>
      <c r="AK2" s="32">
        <f>'FS Desroches Daily'!BP4</f>
        <v>50.000000000011369</v>
      </c>
      <c r="AL2" s="32">
        <f>'FS Desroches Daily'!BR4</f>
        <v>38</v>
      </c>
      <c r="AM2" s="32">
        <f>'FS Desroches Daily'!BT4</f>
        <v>60.000000000002274</v>
      </c>
      <c r="AN2" s="32">
        <f>'FS Desroches Daily'!BV4</f>
        <v>35</v>
      </c>
      <c r="AO2" s="32">
        <f>'FS Desroches Daily'!BX4</f>
        <v>50.000000000011369</v>
      </c>
      <c r="AP2" s="32">
        <f>'FS Desroches Daily'!BZ4</f>
        <v>49</v>
      </c>
      <c r="AQ2" s="31">
        <f>'FS Desroches Daily'!CB4</f>
        <v>68.599999999998545</v>
      </c>
      <c r="AR2" s="31">
        <f>'FS Desroches Daily'!CD4</f>
        <v>16.299999999999272</v>
      </c>
      <c r="AS2" s="31">
        <f>'FS Desroches Daily'!CF4</f>
        <v>1.8999999999996362</v>
      </c>
      <c r="AT2" s="31">
        <f>'FS Desroches Daily'!CH4</f>
        <v>38</v>
      </c>
      <c r="AU2" s="31">
        <f>'FS Desroches Daily'!CJ4</f>
        <v>210</v>
      </c>
      <c r="AV2" s="31">
        <f>'FS Desroches Daily'!CL4</f>
        <v>1000</v>
      </c>
      <c r="AW2" s="31">
        <f>'FS Desroches Daily'!CM4</f>
        <v>109.89999999999782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30</v>
      </c>
      <c r="BD2" s="9"/>
    </row>
    <row r="3" spans="1:56" s="16" customFormat="1" x14ac:dyDescent="0.25">
      <c r="A3" s="27" t="s">
        <v>11</v>
      </c>
      <c r="B3" s="15">
        <v>2</v>
      </c>
      <c r="C3" s="18">
        <v>3</v>
      </c>
      <c r="D3" s="27">
        <v>2023</v>
      </c>
      <c r="E3" s="31">
        <f>'FS Desroches Daily'!D5</f>
        <v>2000.0000000002237</v>
      </c>
      <c r="F3" s="32">
        <f>'FS Desroches Daily'!F5</f>
        <v>3400.0000000000696</v>
      </c>
      <c r="G3" s="31">
        <f>'FS Desroches Daily'!H5</f>
        <v>3899.9999999997926</v>
      </c>
      <c r="H3" s="32">
        <f>'FS Desroches Daily'!J5</f>
        <v>1700.0000000000348</v>
      </c>
      <c r="I3" s="31">
        <f>'FS Desroches Daily'!L5</f>
        <v>2400.0000000001796</v>
      </c>
      <c r="J3" s="32">
        <f>'FS Desroches Daily'!N5</f>
        <v>1500.0000000000568</v>
      </c>
      <c r="K3" s="13">
        <f>'FS Desroches Daily'!P5</f>
        <v>26</v>
      </c>
      <c r="L3" s="31">
        <f>'FS Desroches Daily'!R5</f>
        <v>5</v>
      </c>
      <c r="M3" s="31">
        <f>'FS Desroches Daily'!T5</f>
        <v>2099.9999999999091</v>
      </c>
      <c r="N3" s="31">
        <f>'FS Desroches Daily'!V5</f>
        <v>599.19999999995343</v>
      </c>
      <c r="O3" s="31">
        <f>'FS Desroches Daily'!X6</f>
        <v>379.99999999999545</v>
      </c>
      <c r="P3" s="31">
        <f>'FS Desroches Daily'!Z5</f>
        <v>3000.0000000001137</v>
      </c>
      <c r="Q3" s="31">
        <f>'FS Desroches Daily'!AB5</f>
        <v>230.00000000001819</v>
      </c>
      <c r="R3" s="31">
        <f>'FS Desroches Daily'!AD5</f>
        <v>440.00000000005457</v>
      </c>
      <c r="S3" s="31">
        <f>'FS Desroches Daily'!AF5</f>
        <v>649.99999999997726</v>
      </c>
      <c r="T3" s="31">
        <f>'FS Desroches Daily'!AH5</f>
        <v>44</v>
      </c>
      <c r="U3" s="35">
        <f>'FS Desroches Daily'!AJ5</f>
        <v>499.99999999994492</v>
      </c>
      <c r="V3" s="35">
        <f>'FS Desroches Daily'!AL5</f>
        <v>189.99999999999773</v>
      </c>
      <c r="W3" s="35">
        <f>'FS Desroches Daily'!AN5</f>
        <v>129.99999999999545</v>
      </c>
      <c r="X3" s="35">
        <f>'FS Desroches Daily'!AP5</f>
        <v>139.99999999998636</v>
      </c>
      <c r="Y3" s="35">
        <f>'FS Desroches Daily'!AR5</f>
        <v>110.00000000001364</v>
      </c>
      <c r="Z3" s="35">
        <f>'FS Desroches Daily'!AT5</f>
        <v>50.000000000011369</v>
      </c>
      <c r="AA3" s="35">
        <f>'FS Desroches Daily'!AT5</f>
        <v>50.000000000011369</v>
      </c>
      <c r="AB3" s="35">
        <f>'FS Desroches Daily'!AV5</f>
        <v>60.000000000002274</v>
      </c>
      <c r="AC3" s="35">
        <f>'FS Desroches Daily'!AZ5</f>
        <v>140.0000000000432</v>
      </c>
      <c r="AD3" s="35">
        <f>'FS Desroches Daily'!BB5</f>
        <v>69.999999999993179</v>
      </c>
      <c r="AE3" s="35">
        <f>'FS Desroches Daily'!BD5</f>
        <v>29.999999999972715</v>
      </c>
      <c r="AF3" s="31">
        <f>'FS Desroches Daily'!BF5</f>
        <v>39</v>
      </c>
      <c r="AG3" s="32">
        <f>'FS Desroches Daily'!BH5</f>
        <v>39.99999999996362</v>
      </c>
      <c r="AH3" s="32">
        <f>'FS Desroches Daily'!BJ5</f>
        <v>30.000000000029559</v>
      </c>
      <c r="AI3" s="32">
        <f>'FS Desroches Daily'!BL5</f>
        <v>50.000000000011369</v>
      </c>
      <c r="AJ3" s="32">
        <f>'FS Desroches Daily'!BN5</f>
        <v>49.999999999982947</v>
      </c>
      <c r="AK3" s="32">
        <f>'FS Desroches Daily'!BP5</f>
        <v>50.000000000011369</v>
      </c>
      <c r="AL3" s="32">
        <f>'FS Desroches Daily'!BR5</f>
        <v>35</v>
      </c>
      <c r="AM3" s="32">
        <f>'FS Desroches Daily'!BT5</f>
        <v>49.999999999982947</v>
      </c>
      <c r="AN3" s="32">
        <f>'FS Desroches Daily'!BV5</f>
        <v>38</v>
      </c>
      <c r="AO3" s="32">
        <f>'FS Desroches Daily'!BX5</f>
        <v>49.999999999982947</v>
      </c>
      <c r="AP3" s="32">
        <f>'FS Desroches Daily'!BZ5</f>
        <v>55</v>
      </c>
      <c r="AQ3" s="31">
        <f>'FS Desroches Daily'!CB5</f>
        <v>61.69999999999709</v>
      </c>
      <c r="AR3" s="31">
        <f>'FS Desroches Daily'!CD5</f>
        <v>18.900000000001455</v>
      </c>
      <c r="AS3" s="31">
        <f>'FS Desroches Daily'!CF5</f>
        <v>3.6000000000003638</v>
      </c>
      <c r="AT3" s="31">
        <f>'FS Desroches Daily'!CH5</f>
        <v>58.399999999994179</v>
      </c>
      <c r="AU3" s="31">
        <f>'FS Desroches Daily'!CJ5</f>
        <v>356</v>
      </c>
      <c r="AV3" s="31">
        <f>'FS Desroches Daily'!CL5</f>
        <v>799.99999999995453</v>
      </c>
      <c r="AW3" s="31">
        <f>'FS Desroches Daily'!CM5</f>
        <v>98.100000000002183</v>
      </c>
      <c r="AX3" s="31">
        <f>IF(LPG!F10-LPG!F9&lt;0,"0",(LPG!F10-LPG!F9)*1.8315)</f>
        <v>0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34</v>
      </c>
      <c r="BD3" s="9"/>
    </row>
    <row r="4" spans="1:56" s="16" customFormat="1" x14ac:dyDescent="0.25">
      <c r="A4" s="27" t="s">
        <v>11</v>
      </c>
      <c r="B4" s="15">
        <v>3</v>
      </c>
      <c r="C4" s="18">
        <v>3</v>
      </c>
      <c r="D4" s="27">
        <v>2023</v>
      </c>
      <c r="E4" s="31">
        <f>'FS Desroches Daily'!D6</f>
        <v>1999.9999999997797</v>
      </c>
      <c r="F4" s="32">
        <f>'FS Desroches Daily'!F6</f>
        <v>3699.9999999993706</v>
      </c>
      <c r="G4" s="31">
        <f>'FS Desroches Daily'!H6</f>
        <v>3600.0000000004916</v>
      </c>
      <c r="H4" s="32">
        <f>'FS Desroches Daily'!J6</f>
        <v>1799.9999999998017</v>
      </c>
      <c r="I4" s="31">
        <f>'FS Desroches Daily'!L6</f>
        <v>2499.9999999999468</v>
      </c>
      <c r="J4" s="32">
        <f>'FS Desroches Daily'!N6</f>
        <v>1800.0000000002458</v>
      </c>
      <c r="K4" s="13">
        <f>'FS Desroches Daily'!P6</f>
        <v>116</v>
      </c>
      <c r="L4" s="31">
        <f>'FS Desroches Daily'!R6</f>
        <v>13</v>
      </c>
      <c r="M4" s="31">
        <f>'FS Desroches Daily'!T6</f>
        <v>400.00000000009095</v>
      </c>
      <c r="N4" s="31">
        <f>'FS Desroches Daily'!V6</f>
        <v>398</v>
      </c>
      <c r="O4" s="31">
        <f>'FS Desroches Daily'!X7</f>
        <v>490.00000000000909</v>
      </c>
      <c r="P4" s="31">
        <f>'FS Desroches Daily'!Z6</f>
        <v>3000.0000000001137</v>
      </c>
      <c r="Q4" s="31">
        <f>'FS Desroches Daily'!AB6</f>
        <v>429.99999999994998</v>
      </c>
      <c r="R4" s="31">
        <f>'FS Desroches Daily'!AD6</f>
        <v>500</v>
      </c>
      <c r="S4" s="31">
        <f>'FS Desroches Daily'!AF6</f>
        <v>759.99999999999091</v>
      </c>
      <c r="T4" s="31">
        <f>'FS Desroches Daily'!AH6</f>
        <v>43</v>
      </c>
      <c r="U4" s="35">
        <f>'FS Desroches Daily'!AJ6</f>
        <v>99.999999999988987</v>
      </c>
      <c r="V4" s="35">
        <f>'FS Desroches Daily'!AL6</f>
        <v>319.99999999999318</v>
      </c>
      <c r="W4" s="35">
        <f>'FS Desroches Daily'!AN6</f>
        <v>120.00000000000455</v>
      </c>
      <c r="X4" s="35">
        <f>'FS Desroches Daily'!AP6</f>
        <v>170.00000000001592</v>
      </c>
      <c r="Y4" s="35">
        <f>'FS Desroches Daily'!AR6</f>
        <v>69.999999999993179</v>
      </c>
      <c r="Z4" s="35">
        <f>'FS Desroches Daily'!AT6</f>
        <v>40.000000000020464</v>
      </c>
      <c r="AA4" s="35">
        <f>'FS Desroches Daily'!AT6</f>
        <v>40.000000000020464</v>
      </c>
      <c r="AB4" s="35">
        <f>'FS Desroches Daily'!AV6</f>
        <v>60.000000000002274</v>
      </c>
      <c r="AC4" s="35">
        <f>'FS Desroches Daily'!AZ6</f>
        <v>129.99999999999545</v>
      </c>
      <c r="AD4" s="35">
        <f>'FS Desroches Daily'!BB6</f>
        <v>60.000000000002274</v>
      </c>
      <c r="AE4" s="35">
        <f>'FS Desroches Daily'!BD6</f>
        <v>20.000000000038654</v>
      </c>
      <c r="AF4" s="31">
        <f>'FS Desroches Daily'!BF6</f>
        <v>33</v>
      </c>
      <c r="AG4" s="32">
        <f>'FS Desroches Daily'!BH6</f>
        <v>60.000000000002274</v>
      </c>
      <c r="AH4" s="32">
        <f>'FS Desroches Daily'!BJ6</f>
        <v>50.000000000011369</v>
      </c>
      <c r="AI4" s="32">
        <f>'FS Desroches Daily'!BL6</f>
        <v>69.999999999993179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46</v>
      </c>
      <c r="AM4" s="32">
        <f>'FS Desroches Daily'!BT6</f>
        <v>80.000000000012506</v>
      </c>
      <c r="AN4" s="32">
        <f>'FS Desroches Daily'!BV6</f>
        <v>43</v>
      </c>
      <c r="AO4" s="32">
        <f>'FS Desroches Daily'!BX6</f>
        <v>70.0000000000216</v>
      </c>
      <c r="AP4" s="32">
        <f>'FS Desroches Daily'!BZ6</f>
        <v>69</v>
      </c>
      <c r="AQ4" s="31">
        <f>'FS Desroches Daily'!CB6</f>
        <v>66.700000000004366</v>
      </c>
      <c r="AR4" s="31">
        <f>'FS Desroches Daily'!CD6</f>
        <v>10</v>
      </c>
      <c r="AS4" s="31">
        <f>'FS Desroches Daily'!CF6</f>
        <v>3.6999999999989086</v>
      </c>
      <c r="AT4" s="31">
        <f>'FS Desroches Daily'!CH6</f>
        <v>53.100000000005821</v>
      </c>
      <c r="AU4" s="31">
        <f>'FS Desroches Daily'!CJ6</f>
        <v>345</v>
      </c>
      <c r="AV4" s="31">
        <f>'FS Desroches Daily'!CL6</f>
        <v>899.99999999986358</v>
      </c>
      <c r="AW4" s="31">
        <f>'FS Desroches Daily'!CM6</f>
        <v>88.799999999999272</v>
      </c>
      <c r="AX4" s="31">
        <f>IF(LPG!F11-LPG!F10&lt;0,"0",(LPG!F11-LPG!F10)*1.8315)</f>
        <v>0</v>
      </c>
      <c r="AY4" s="31">
        <f>IF(LPG!H11-LPG!H10&lt;0,"0",(LPG!H11-LPG!H10)*1.8315)</f>
        <v>9.1574999999999989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7.3259999999999996</v>
      </c>
      <c r="BC4" s="13">
        <f>'FS Desroches Daily'!CN6</f>
        <v>36</v>
      </c>
      <c r="BD4" s="9"/>
    </row>
    <row r="5" spans="1:56" s="16" customFormat="1" x14ac:dyDescent="0.25">
      <c r="A5" s="27" t="s">
        <v>11</v>
      </c>
      <c r="B5" s="15">
        <v>4</v>
      </c>
      <c r="C5" s="18">
        <v>3</v>
      </c>
      <c r="D5" s="27">
        <v>2023</v>
      </c>
      <c r="E5" s="31">
        <f>'FS Desroches Daily'!D7</f>
        <v>3200.0000000000919</v>
      </c>
      <c r="F5" s="32">
        <f>'FS Desroches Daily'!F7</f>
        <v>3700.0000000002588</v>
      </c>
      <c r="G5" s="31">
        <f>'FS Desroches Daily'!H7</f>
        <v>3700.0000000002588</v>
      </c>
      <c r="H5" s="32">
        <f>'FS Desroches Daily'!J7</f>
        <v>1900.0000000000127</v>
      </c>
      <c r="I5" s="31">
        <f>'FS Desroches Daily'!L7</f>
        <v>2800.0000000001355</v>
      </c>
      <c r="J5" s="32">
        <f>'FS Desroches Daily'!N7</f>
        <v>2199.9999999997576</v>
      </c>
      <c r="K5" s="13">
        <f>'FS Desroches Daily'!P7</f>
        <v>64</v>
      </c>
      <c r="L5" s="31">
        <f>'FS Desroches Daily'!R7</f>
        <v>8</v>
      </c>
      <c r="M5" s="31">
        <f>'FS Desroches Daily'!T7</f>
        <v>1500</v>
      </c>
      <c r="N5" s="31">
        <f>'FS Desroches Daily'!V7</f>
        <v>564.09999999997672</v>
      </c>
      <c r="O5" s="31">
        <f>'FS Desroches Daily'!X8</f>
        <v>379.99999999999545</v>
      </c>
      <c r="P5" s="31">
        <f>'FS Desroches Daily'!Z7</f>
        <v>3700.0000000002588</v>
      </c>
      <c r="Q5" s="31">
        <f>'FS Desroches Daily'!AB7</f>
        <v>460.00000000003638</v>
      </c>
      <c r="R5" s="31">
        <f>'FS Desroches Daily'!AD7</f>
        <v>699.99999999993179</v>
      </c>
      <c r="S5" s="31">
        <f>'FS Desroches Daily'!AF7</f>
        <v>1060.0000000000591</v>
      </c>
      <c r="T5" s="31">
        <f>'FS Desroches Daily'!AH7</f>
        <v>53</v>
      </c>
      <c r="U5" s="35">
        <f>'FS Desroches Daily'!AJ7</f>
        <v>1500.0000000000568</v>
      </c>
      <c r="V5" s="35">
        <f>'FS Desroches Daily'!AL7</f>
        <v>449.99999999998863</v>
      </c>
      <c r="W5" s="35">
        <f>'FS Desroches Daily'!AN7</f>
        <v>189.99999999999773</v>
      </c>
      <c r="X5" s="35">
        <f>'FS Desroches Daily'!AP7</f>
        <v>209.99999999997954</v>
      </c>
      <c r="Y5" s="35">
        <f>'FS Desroches Daily'!AR7</f>
        <v>290.00000000002046</v>
      </c>
      <c r="Z5" s="35">
        <f>'FS Desroches Daily'!AT7</f>
        <v>100.00000000002274</v>
      </c>
      <c r="AA5" s="35">
        <f>'FS Desroches Daily'!AT7</f>
        <v>100.00000000002274</v>
      </c>
      <c r="AB5" s="35">
        <f>'FS Desroches Daily'!AV7</f>
        <v>250</v>
      </c>
      <c r="AC5" s="35">
        <f>'FS Desroches Daily'!AZ7</f>
        <v>199.99999999998863</v>
      </c>
      <c r="AD5" s="35">
        <f>'FS Desroches Daily'!BB7</f>
        <v>189.99999999999773</v>
      </c>
      <c r="AE5" s="35">
        <f>'FS Desroches Daily'!BD7</f>
        <v>120.00000000000455</v>
      </c>
      <c r="AF5" s="31">
        <f>'FS Desroches Daily'!BF7</f>
        <v>44</v>
      </c>
      <c r="AG5" s="32">
        <f>'FS Desroches Daily'!BH7</f>
        <v>60.000000000002274</v>
      </c>
      <c r="AH5" s="32">
        <f>'FS Desroches Daily'!BJ7</f>
        <v>39.99999999996362</v>
      </c>
      <c r="AI5" s="32">
        <f>'FS Desroches Daily'!BL7</f>
        <v>69.999999999993179</v>
      </c>
      <c r="AJ5" s="32">
        <f>'FS Desroches Daily'!BN7</f>
        <v>60.000000000002274</v>
      </c>
      <c r="AK5" s="32">
        <f>'FS Desroches Daily'!BP7</f>
        <v>50.000000000011369</v>
      </c>
      <c r="AL5" s="32">
        <f>'FS Desroches Daily'!BR7</f>
        <v>50</v>
      </c>
      <c r="AM5" s="32">
        <f>'FS Desroches Daily'!BT7</f>
        <v>60.000000000002274</v>
      </c>
      <c r="AN5" s="32">
        <f>'FS Desroches Daily'!BV7</f>
        <v>50</v>
      </c>
      <c r="AO5" s="32">
        <f>'FS Desroches Daily'!BX7</f>
        <v>59.999999999973852</v>
      </c>
      <c r="AP5" s="32">
        <f>'FS Desroches Daily'!BZ7</f>
        <v>62</v>
      </c>
      <c r="AQ5" s="31">
        <f>'FS Desroches Daily'!CB7</f>
        <v>68.599999999998545</v>
      </c>
      <c r="AR5" s="31">
        <f>'FS Desroches Daily'!CD7</f>
        <v>19.899999999997817</v>
      </c>
      <c r="AS5" s="31">
        <f>'FS Desroches Daily'!CF7</f>
        <v>2.6000000000003638</v>
      </c>
      <c r="AT5" s="31">
        <f>'FS Desroches Daily'!CH7</f>
        <v>58</v>
      </c>
      <c r="AU5" s="31">
        <f>'FS Desroches Daily'!CJ7</f>
        <v>371</v>
      </c>
      <c r="AV5" s="31">
        <f>'FS Desroches Daily'!CL7</f>
        <v>900.00000000009095</v>
      </c>
      <c r="AW5" s="31">
        <f>'FS Desroches Daily'!CM7</f>
        <v>92.799999999999272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42</v>
      </c>
      <c r="BD5" s="9"/>
    </row>
    <row r="6" spans="1:56" s="16" customFormat="1" x14ac:dyDescent="0.25">
      <c r="A6" s="27" t="s">
        <v>11</v>
      </c>
      <c r="B6" s="15">
        <v>5</v>
      </c>
      <c r="C6" s="18">
        <v>3</v>
      </c>
      <c r="D6" s="27">
        <v>2023</v>
      </c>
      <c r="E6" s="31">
        <f>'FS Desroches Daily'!D8</f>
        <v>2599.9999999997135</v>
      </c>
      <c r="F6" s="32">
        <f>'FS Desroches Daily'!F8</f>
        <v>3700.0000000002588</v>
      </c>
      <c r="G6" s="31">
        <f>'FS Desroches Daily'!H8</f>
        <v>4099.9999999993261</v>
      </c>
      <c r="H6" s="32">
        <f>'FS Desroches Daily'!J8</f>
        <v>1700.0000000000348</v>
      </c>
      <c r="I6" s="31">
        <f>'FS Desroches Daily'!L8</f>
        <v>2699.9999999999245</v>
      </c>
      <c r="J6" s="32">
        <f>'FS Desroches Daily'!N8</f>
        <v>1700.0000000000348</v>
      </c>
      <c r="K6" s="13">
        <f>'FS Desroches Daily'!P8</f>
        <v>52</v>
      </c>
      <c r="L6" s="31">
        <f>'FS Desroches Daily'!R8</f>
        <v>7</v>
      </c>
      <c r="M6" s="31">
        <f>'FS Desroches Daily'!T8</f>
        <v>1399.9999999998636</v>
      </c>
      <c r="N6" s="31">
        <f>'FS Desroches Daily'!V8</f>
        <v>534.59999999997672</v>
      </c>
      <c r="O6" s="31">
        <f>'FS Desroches Daily'!X8</f>
        <v>379.99999999999545</v>
      </c>
      <c r="P6" s="31">
        <f>'FS Desroches Daily'!Z8</f>
        <v>3000.0000000001137</v>
      </c>
      <c r="Q6" s="31">
        <f>'FS Desroches Daily'!AB8</f>
        <v>439.99999999994088</v>
      </c>
      <c r="R6" s="31">
        <f>'FS Desroches Daily'!AD8</f>
        <v>420.00000000007276</v>
      </c>
      <c r="S6" s="31">
        <f>'FS Desroches Daily'!AF8</f>
        <v>799.99999999995453</v>
      </c>
      <c r="T6" s="31">
        <f>'FS Desroches Daily'!AH8</f>
        <v>36</v>
      </c>
      <c r="U6" s="35">
        <f>'FS Desroches Daily'!AJ8</f>
        <v>599.99999999993395</v>
      </c>
      <c r="V6" s="35">
        <f>'FS Desroches Daily'!AL8</f>
        <v>259.99999999999091</v>
      </c>
      <c r="W6" s="35">
        <f>'FS Desroches Daily'!AN8</f>
        <v>90.000000000031832</v>
      </c>
      <c r="X6" s="35">
        <f>'FS Desroches Daily'!AP8</f>
        <v>149.99999999997726</v>
      </c>
      <c r="Y6" s="35">
        <f>'FS Desroches Daily'!AR8</f>
        <v>189.99999999999773</v>
      </c>
      <c r="Z6" s="35">
        <f>'FS Desroches Daily'!AT8</f>
        <v>59.99999999994543</v>
      </c>
      <c r="AA6" s="35">
        <f>'FS Desroches Daily'!AT8</f>
        <v>59.99999999994543</v>
      </c>
      <c r="AB6" s="35">
        <f>'FS Desroches Daily'!AV8</f>
        <v>160.00000000002501</v>
      </c>
      <c r="AC6" s="35">
        <f>'FS Desroches Daily'!AZ8</f>
        <v>129.99999999999545</v>
      </c>
      <c r="AD6" s="35">
        <f>'FS Desroches Daily'!BB8</f>
        <v>79.999999999984084</v>
      </c>
      <c r="AE6" s="35">
        <f>'FS Desroches Daily'!BD8</f>
        <v>99.999999999965894</v>
      </c>
      <c r="AF6" s="31">
        <f>'FS Desroches Daily'!BF8</f>
        <v>44</v>
      </c>
      <c r="AG6" s="32">
        <f>'FS Desroches Daily'!BH8</f>
        <v>50.000000000011369</v>
      </c>
      <c r="AH6" s="32">
        <f>'FS Desroches Daily'!BJ8</f>
        <v>50.000000000011369</v>
      </c>
      <c r="AI6" s="32">
        <f>'FS Desroches Daily'!BL8</f>
        <v>69.999999999993179</v>
      </c>
      <c r="AJ6" s="32">
        <f>'FS Desroches Daily'!BN8</f>
        <v>49.999999999982947</v>
      </c>
      <c r="AK6" s="32">
        <f>'FS Desroches Daily'!BP8</f>
        <v>50.000000000011369</v>
      </c>
      <c r="AL6" s="32">
        <f>'FS Desroches Daily'!BR8</f>
        <v>45</v>
      </c>
      <c r="AM6" s="32">
        <f>'FS Desroches Daily'!BT8</f>
        <v>60.000000000002274</v>
      </c>
      <c r="AN6" s="32">
        <f>'FS Desroches Daily'!BV8</f>
        <v>44</v>
      </c>
      <c r="AO6" s="32">
        <f>'FS Desroches Daily'!BX8</f>
        <v>60.000000000002274</v>
      </c>
      <c r="AP6" s="32">
        <f>'FS Desroches Daily'!BZ8</f>
        <v>55</v>
      </c>
      <c r="AQ6" s="31">
        <f>'FS Desroches Daily'!CB8</f>
        <v>77.69999999999709</v>
      </c>
      <c r="AR6" s="31">
        <f>'FS Desroches Daily'!CD8</f>
        <v>9.1000000000021828</v>
      </c>
      <c r="AS6" s="31">
        <f>'FS Desroches Daily'!CF8</f>
        <v>3.3000000000010914</v>
      </c>
      <c r="AT6" s="31">
        <f>'FS Desroches Daily'!CH8</f>
        <v>42.80000000000291</v>
      </c>
      <c r="AU6" s="31">
        <f>'FS Desroches Daily'!CJ8</f>
        <v>309</v>
      </c>
      <c r="AV6" s="31">
        <f>'FS Desroches Daily'!CL8</f>
        <v>1000</v>
      </c>
      <c r="AW6" s="31">
        <f>'FS Desroches Daily'!CM8</f>
        <v>98.599999999998545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34</v>
      </c>
      <c r="BD6" s="9"/>
    </row>
    <row r="7" spans="1:56" s="16" customFormat="1" x14ac:dyDescent="0.25">
      <c r="A7" s="27" t="s">
        <v>11</v>
      </c>
      <c r="B7" s="15">
        <v>6</v>
      </c>
      <c r="C7" s="18">
        <v>3</v>
      </c>
      <c r="D7" s="27">
        <v>2023</v>
      </c>
      <c r="E7" s="31">
        <f>'FS Desroches Daily'!D9</f>
        <v>2700.0000000003688</v>
      </c>
      <c r="F7" s="32">
        <f>'FS Desroches Daily'!F9</f>
        <v>3300.0000000003029</v>
      </c>
      <c r="G7" s="31">
        <f>'FS Desroches Daily'!H9</f>
        <v>4000.0000000004475</v>
      </c>
      <c r="H7" s="32">
        <f>'FS Desroches Daily'!J9</f>
        <v>1800.0000000002458</v>
      </c>
      <c r="I7" s="31">
        <f>'FS Desroches Daily'!L9</f>
        <v>2699.9999999999245</v>
      </c>
      <c r="J7" s="32">
        <f>'FS Desroches Daily'!N9</f>
        <v>1700.0000000000348</v>
      </c>
      <c r="K7" s="13">
        <f>'FS Desroches Daily'!P9</f>
        <v>40</v>
      </c>
      <c r="L7" s="31">
        <f>'FS Desroches Daily'!R9</f>
        <v>7</v>
      </c>
      <c r="M7" s="31">
        <f>'FS Desroches Daily'!T9</f>
        <v>1500</v>
      </c>
      <c r="N7" s="31">
        <f>'FS Desroches Daily'!V9</f>
        <v>628.60000000009313</v>
      </c>
      <c r="O7" s="31">
        <f>'FS Desroches Daily'!X9</f>
        <v>420.00000000007276</v>
      </c>
      <c r="P7" s="31">
        <f>'FS Desroches Daily'!Z9</f>
        <v>2799.9999999996917</v>
      </c>
      <c r="Q7" s="31">
        <f>'FS Desroches Daily'!AB9</f>
        <v>220.00000000002728</v>
      </c>
      <c r="R7" s="31">
        <f>'FS Desroches Daily'!AD9</f>
        <v>329.99999999992724</v>
      </c>
      <c r="S7" s="31">
        <f>'FS Desroches Daily'!AF9</f>
        <v>830.00000000004093</v>
      </c>
      <c r="T7" s="31">
        <f>'FS Desroches Daily'!AH9</f>
        <v>45</v>
      </c>
      <c r="U7" s="35">
        <f>'FS Desroches Daily'!AJ9</f>
        <v>899.99999999990087</v>
      </c>
      <c r="V7" s="35">
        <f>'FS Desroches Daily'!AL9</f>
        <v>280.00000000002956</v>
      </c>
      <c r="W7" s="35">
        <f>'FS Desroches Daily'!AN9</f>
        <v>109.9999999999568</v>
      </c>
      <c r="X7" s="35">
        <f>'FS Desroches Daily'!AP9</f>
        <v>170.00000000001592</v>
      </c>
      <c r="Y7" s="35">
        <f>'FS Desroches Daily'!AR9</f>
        <v>250</v>
      </c>
      <c r="Z7" s="35">
        <f>'FS Desroches Daily'!AT9</f>
        <v>110.00000000001364</v>
      </c>
      <c r="AA7" s="35">
        <f>'FS Desroches Daily'!AT9</f>
        <v>110.00000000001364</v>
      </c>
      <c r="AB7" s="35">
        <f>'FS Desroches Daily'!AV9</f>
        <v>199.99999999998863</v>
      </c>
      <c r="AC7" s="35">
        <f>'FS Desroches Daily'!AZ9</f>
        <v>149.99999999997726</v>
      </c>
      <c r="AD7" s="35">
        <f>'FS Desroches Daily'!BB9</f>
        <v>100.00000000002274</v>
      </c>
      <c r="AE7" s="35">
        <f>'FS Desroches Daily'!BD9</f>
        <v>110.00000000001364</v>
      </c>
      <c r="AF7" s="31">
        <f>'FS Desroches Daily'!BF9</f>
        <v>45</v>
      </c>
      <c r="AG7" s="32">
        <f>'FS Desroches Daily'!BH9</f>
        <v>50.000000000011369</v>
      </c>
      <c r="AH7" s="32">
        <f>'FS Desroches Daily'!BJ9</f>
        <v>40.000000000020464</v>
      </c>
      <c r="AI7" s="32">
        <f>'FS Desroches Daily'!BL9</f>
        <v>60.000000000002274</v>
      </c>
      <c r="AJ7" s="32">
        <f>'FS Desroches Daily'!BN9</f>
        <v>60.000000000002274</v>
      </c>
      <c r="AK7" s="32">
        <f>'FS Desroches Daily'!BP9</f>
        <v>49.999999999954525</v>
      </c>
      <c r="AL7" s="32">
        <f>'FS Desroches Daily'!BR9</f>
        <v>42</v>
      </c>
      <c r="AM7" s="32">
        <f>'FS Desroches Daily'!BT9</f>
        <v>60.000000000002274</v>
      </c>
      <c r="AN7" s="32">
        <f>'FS Desroches Daily'!BV9</f>
        <v>45</v>
      </c>
      <c r="AO7" s="32">
        <f>'FS Desroches Daily'!BX9</f>
        <v>50.000000000011369</v>
      </c>
      <c r="AP7" s="32">
        <f>'FS Desroches Daily'!BZ9</f>
        <v>58</v>
      </c>
      <c r="AQ7" s="31">
        <f>'FS Desroches Daily'!CB9</f>
        <v>67.099999999998545</v>
      </c>
      <c r="AR7" s="31">
        <f>'FS Desroches Daily'!CD9</f>
        <v>11</v>
      </c>
      <c r="AS7" s="31">
        <f>'FS Desroches Daily'!CF9</f>
        <v>1.6999999999989086</v>
      </c>
      <c r="AT7" s="31">
        <f>'FS Desroches Daily'!CH9</f>
        <v>29.399999999994179</v>
      </c>
      <c r="AU7" s="31">
        <f>'FS Desroches Daily'!CJ9</f>
        <v>338</v>
      </c>
      <c r="AV7" s="31">
        <f>'FS Desroches Daily'!CL9</f>
        <v>900.00000000009095</v>
      </c>
      <c r="AW7" s="31">
        <f>'FS Desroches Daily'!CM9</f>
        <v>103.30000000000291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34</v>
      </c>
      <c r="BD7" s="9"/>
    </row>
    <row r="8" spans="1:56" s="16" customFormat="1" x14ac:dyDescent="0.25">
      <c r="A8" s="27" t="s">
        <v>11</v>
      </c>
      <c r="B8" s="15">
        <v>7</v>
      </c>
      <c r="C8" s="18">
        <v>3</v>
      </c>
      <c r="D8" s="27">
        <v>2023</v>
      </c>
      <c r="E8" s="31">
        <f>'FS Desroches Daily'!D10</f>
        <v>2699.9999999999245</v>
      </c>
      <c r="F8" s="32">
        <f>'FS Desroches Daily'!F10</f>
        <v>3699.9999999993706</v>
      </c>
      <c r="G8" s="31">
        <f>'FS Desroches Daily'!H10</f>
        <v>3800.0000000000255</v>
      </c>
      <c r="H8" s="32">
        <f>'FS Desroches Daily'!J10</f>
        <v>1799.9999999998017</v>
      </c>
      <c r="I8" s="31">
        <f>'FS Desroches Daily'!L10</f>
        <v>2800.0000000001355</v>
      </c>
      <c r="J8" s="32">
        <f>'FS Desroches Daily'!N10</f>
        <v>1800.0000000002458</v>
      </c>
      <c r="K8" s="13">
        <f>'FS Desroches Daily'!P10</f>
        <v>36</v>
      </c>
      <c r="L8" s="31">
        <f>'FS Desroches Daily'!R10</f>
        <v>7</v>
      </c>
      <c r="M8" s="31">
        <f>'FS Desroches Daily'!T10</f>
        <v>1500</v>
      </c>
      <c r="N8" s="31">
        <f>'FS Desroches Daily'!V10</f>
        <v>578.5</v>
      </c>
      <c r="O8" s="31">
        <f>'FS Desroches Daily'!X10</f>
        <v>439.99999999994088</v>
      </c>
      <c r="P8" s="31">
        <f>'FS Desroches Daily'!Z10</f>
        <v>3300.0000000003029</v>
      </c>
      <c r="Q8" s="31">
        <f>'FS Desroches Daily'!AB10</f>
        <v>250</v>
      </c>
      <c r="R8" s="31">
        <f>'FS Desroches Daily'!AD10</f>
        <v>379.99999999999545</v>
      </c>
      <c r="S8" s="31">
        <f>'FS Desroches Daily'!AF10</f>
        <v>1039.9999999999636</v>
      </c>
      <c r="T8" s="31">
        <f>'FS Desroches Daily'!AH10</f>
        <v>44</v>
      </c>
      <c r="U8" s="35">
        <f>'FS Desroches Daily'!AJ10</f>
        <v>800.00000000013392</v>
      </c>
      <c r="V8" s="35">
        <f>'FS Desroches Daily'!AL10</f>
        <v>279.99999999997272</v>
      </c>
      <c r="W8" s="35">
        <f>'FS Desroches Daily'!AN10</f>
        <v>110.00000000001364</v>
      </c>
      <c r="X8" s="35">
        <f>'FS Desroches Daily'!AP10</f>
        <v>160.00000000002501</v>
      </c>
      <c r="Y8" s="35">
        <f>'FS Desroches Daily'!AR10</f>
        <v>240.00000000000909</v>
      </c>
      <c r="Z8" s="35">
        <f>'FS Desroches Daily'!AT10</f>
        <v>110.00000000001364</v>
      </c>
      <c r="AA8" s="35">
        <f>'FS Desroches Daily'!AT10</f>
        <v>110.00000000001364</v>
      </c>
      <c r="AB8" s="35">
        <f>'FS Desroches Daily'!AV10</f>
        <v>189.99999999999773</v>
      </c>
      <c r="AC8" s="35">
        <f>'FS Desroches Daily'!AZ10</f>
        <v>150.00000000003411</v>
      </c>
      <c r="AD8" s="35">
        <f>'FS Desroches Daily'!BB10</f>
        <v>120.00000000000455</v>
      </c>
      <c r="AE8" s="35">
        <f>'FS Desroches Daily'!BD10</f>
        <v>110.00000000001364</v>
      </c>
      <c r="AF8" s="31">
        <f>'FS Desroches Daily'!BF10</f>
        <v>48</v>
      </c>
      <c r="AG8" s="32">
        <f>'FS Desroches Daily'!BH10</f>
        <v>39.99999999996362</v>
      </c>
      <c r="AH8" s="32">
        <f>'FS Desroches Daily'!BJ10</f>
        <v>39.99999999996362</v>
      </c>
      <c r="AI8" s="32">
        <f>'FS Desroches Daily'!BL10</f>
        <v>60.000000000002274</v>
      </c>
      <c r="AJ8" s="32">
        <f>'FS Desroches Daily'!BN10</f>
        <v>50.000000000011369</v>
      </c>
      <c r="AK8" s="32">
        <f>'FS Desroches Daily'!BP10</f>
        <v>60.000000000002274</v>
      </c>
      <c r="AL8" s="32">
        <f>'FS Desroches Daily'!BR10</f>
        <v>50</v>
      </c>
      <c r="AM8" s="32">
        <f>'FS Desroches Daily'!BT10</f>
        <v>69.999999999993179</v>
      </c>
      <c r="AN8" s="32">
        <f>'FS Desroches Daily'!BV10</f>
        <v>43</v>
      </c>
      <c r="AO8" s="32">
        <f>'FS Desroches Daily'!BX10</f>
        <v>60.000000000002274</v>
      </c>
      <c r="AP8" s="32">
        <f>'FS Desroches Daily'!BZ10</f>
        <v>62</v>
      </c>
      <c r="AQ8" s="31">
        <f>'FS Desroches Daily'!CB10</f>
        <v>66.200000000004366</v>
      </c>
      <c r="AR8" s="31">
        <f>'FS Desroches Daily'!CD10</f>
        <v>20.299999999999272</v>
      </c>
      <c r="AS8" s="31">
        <f>'FS Desroches Daily'!CF10</f>
        <v>5.3999999999996362</v>
      </c>
      <c r="AT8" s="31">
        <f>'FS Desroches Daily'!CH10</f>
        <v>62.400000000008731</v>
      </c>
      <c r="AU8" s="31">
        <f>'FS Desroches Daily'!CJ10</f>
        <v>332</v>
      </c>
      <c r="AV8" s="31">
        <f>'FS Desroches Daily'!CL10</f>
        <v>1000</v>
      </c>
      <c r="AW8" s="31">
        <f>'FS Desroches Daily'!CM10</f>
        <v>95.69999999999709</v>
      </c>
      <c r="AX8" s="31">
        <f>IF(LPG!F16-LPG!F14&lt;0,"0",(LPG!F16-LPG!F14)*1.8315)</f>
        <v>0</v>
      </c>
      <c r="AY8" s="31">
        <f>IF(LPG!H16-LPG!H14&lt;0,"0",(LPG!H16-LPG!H14)*1.8315)</f>
        <v>10.988999999999999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34</v>
      </c>
      <c r="BD8" s="9"/>
    </row>
    <row r="9" spans="1:56" s="16" customFormat="1" x14ac:dyDescent="0.25">
      <c r="A9" s="27" t="s">
        <v>11</v>
      </c>
      <c r="B9" s="15">
        <v>8</v>
      </c>
      <c r="C9" s="18">
        <v>3</v>
      </c>
      <c r="D9" s="27">
        <v>2023</v>
      </c>
      <c r="E9" s="31">
        <f>'FS Desroches Daily'!D11</f>
        <v>2699.9999999999245</v>
      </c>
      <c r="F9" s="32">
        <f>'FS Desroches Daily'!F11</f>
        <v>3499.9999999998367</v>
      </c>
      <c r="G9" s="31">
        <f>'FS Desroches Daily'!H11</f>
        <v>3800.0000000000255</v>
      </c>
      <c r="H9" s="32">
        <f>'FS Desroches Daily'!J11</f>
        <v>1700.0000000000348</v>
      </c>
      <c r="I9" s="31">
        <f>'FS Desroches Daily'!L11</f>
        <v>2699.9999999999245</v>
      </c>
      <c r="J9" s="32">
        <f>'FS Desroches Daily'!N11</f>
        <v>1799.9999999998017</v>
      </c>
      <c r="K9" s="13">
        <f>'FS Desroches Daily'!P11</f>
        <v>30</v>
      </c>
      <c r="L9" s="31">
        <f>'FS Desroches Daily'!R11</f>
        <v>7</v>
      </c>
      <c r="M9" s="31">
        <f>'FS Desroches Daily'!T11</f>
        <v>1300.0000000001819</v>
      </c>
      <c r="N9" s="31">
        <f>'FS Desroches Daily'!V11</f>
        <v>503.79999999993015</v>
      </c>
      <c r="O9" s="31">
        <f>'FS Desroches Daily'!X11</f>
        <v>450.00000000004547</v>
      </c>
      <c r="P9" s="31">
        <f>'FS Desroches Daily'!Z11</f>
        <v>3099.9999999998809</v>
      </c>
      <c r="Q9" s="31">
        <f>'FS Desroches Daily'!AB11</f>
        <v>420.00000000007276</v>
      </c>
      <c r="R9" s="31">
        <f>'FS Desroches Daily'!AD11</f>
        <v>380.00000000010914</v>
      </c>
      <c r="S9" s="31">
        <f>'FS Desroches Daily'!AF11</f>
        <v>1000</v>
      </c>
      <c r="T9" s="31">
        <f>'FS Desroches Daily'!AH11</f>
        <v>44</v>
      </c>
      <c r="U9" s="35">
        <f>'FS Desroches Daily'!AJ11</f>
        <v>899.99999999990087</v>
      </c>
      <c r="V9" s="35">
        <f>'FS Desroches Daily'!AL11</f>
        <v>199.99999999998863</v>
      </c>
      <c r="W9" s="35">
        <f>'FS Desroches Daily'!AN11</f>
        <v>160.00000000002501</v>
      </c>
      <c r="X9" s="35">
        <f>'FS Desroches Daily'!AP11</f>
        <v>169.99999999995907</v>
      </c>
      <c r="Y9" s="35">
        <f>'FS Desroches Daily'!AR11</f>
        <v>310.00000000000227</v>
      </c>
      <c r="Z9" s="35">
        <f>'FS Desroches Daily'!AT11</f>
        <v>79.999999999984084</v>
      </c>
      <c r="AA9" s="35">
        <f>'FS Desroches Daily'!AT11</f>
        <v>79.999999999984084</v>
      </c>
      <c r="AB9" s="35">
        <f>'FS Desroches Daily'!AV11</f>
        <v>60.000000000002274</v>
      </c>
      <c r="AC9" s="35">
        <f>'FS Desroches Daily'!AZ11</f>
        <v>149.99999999997726</v>
      </c>
      <c r="AD9" s="35">
        <f>'FS Desroches Daily'!BB11</f>
        <v>89.999999999974989</v>
      </c>
      <c r="AE9" s="35">
        <f>'FS Desroches Daily'!BD11</f>
        <v>99.999999999965894</v>
      </c>
      <c r="AF9" s="31">
        <f>'FS Desroches Daily'!BF11</f>
        <v>44</v>
      </c>
      <c r="AG9" s="32">
        <f>'FS Desroches Daily'!BH11</f>
        <v>50.000000000011369</v>
      </c>
      <c r="AH9" s="32">
        <f>'FS Desroches Daily'!BJ11</f>
        <v>40.000000000020464</v>
      </c>
      <c r="AI9" s="32">
        <f>'FS Desroches Daily'!BL11</f>
        <v>69.999999999993179</v>
      </c>
      <c r="AJ9" s="32">
        <f>'FS Desroches Daily'!BN11</f>
        <v>50.000000000011369</v>
      </c>
      <c r="AK9" s="32">
        <f>'FS Desroches Daily'!BP11</f>
        <v>50.000000000011369</v>
      </c>
      <c r="AL9" s="32">
        <f>'FS Desroches Daily'!BR11</f>
        <v>48</v>
      </c>
      <c r="AM9" s="32">
        <f>'FS Desroches Daily'!BT11</f>
        <v>49.999999999982947</v>
      </c>
      <c r="AN9" s="32">
        <f>'FS Desroches Daily'!BV11</f>
        <v>45</v>
      </c>
      <c r="AO9" s="32">
        <f>'FS Desroches Daily'!BX11</f>
        <v>60.000000000002274</v>
      </c>
      <c r="AP9" s="32">
        <f>'FS Desroches Daily'!BZ11</f>
        <v>61</v>
      </c>
      <c r="AQ9" s="31">
        <f>'FS Desroches Daily'!CB11</f>
        <v>71.099999999998545</v>
      </c>
      <c r="AR9" s="31">
        <f>'FS Desroches Daily'!CD11</f>
        <v>11.5</v>
      </c>
      <c r="AS9" s="31">
        <f>'FS Desroches Daily'!CF11</f>
        <v>0.7000000000007276</v>
      </c>
      <c r="AT9" s="31">
        <f>'FS Desroches Daily'!CH11</f>
        <v>53.5</v>
      </c>
      <c r="AU9" s="31">
        <f>'FS Desroches Daily'!CJ11</f>
        <v>339</v>
      </c>
      <c r="AV9" s="31">
        <f>'FS Desroches Daily'!CL11</f>
        <v>1000</v>
      </c>
      <c r="AW9" s="31">
        <f>'FS Desroches Daily'!CM11</f>
        <v>107.80000000000291</v>
      </c>
      <c r="AX9" s="31">
        <f>IF(LPG!F17-LPG!F15&lt;0,"0",(LPG!F17-LPG!F15)*1.8315)</f>
        <v>0</v>
      </c>
      <c r="AY9" s="31">
        <f>IF(LPG!H17-LPG!H15&lt;0,"0",(LPG!H17-LPG!H15)*1.8315)</f>
        <v>9.1574999999999989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3.6629999999999998</v>
      </c>
      <c r="BC9" s="13">
        <f>'FS Desroches Daily'!CN11</f>
        <v>31</v>
      </c>
      <c r="BD9" s="9"/>
    </row>
    <row r="10" spans="1:56" s="16" customFormat="1" x14ac:dyDescent="0.25">
      <c r="A10" s="27" t="s">
        <v>11</v>
      </c>
      <c r="B10" s="15">
        <v>9</v>
      </c>
      <c r="C10" s="18">
        <v>3</v>
      </c>
      <c r="D10" s="27">
        <v>2023</v>
      </c>
      <c r="E10" s="31">
        <f>'FS Desroches Daily'!D12</f>
        <v>3000.0000000001137</v>
      </c>
      <c r="F10" s="32">
        <f>'FS Desroches Daily'!F12</f>
        <v>3800.0000000000255</v>
      </c>
      <c r="G10" s="31">
        <f>'FS Desroches Daily'!H12</f>
        <v>3899.9999999997926</v>
      </c>
      <c r="H10" s="32">
        <f>'FS Desroches Daily'!J12</f>
        <v>1800.0000000002458</v>
      </c>
      <c r="I10" s="31">
        <f>'FS Desroches Daily'!L12</f>
        <v>2600.0000000001578</v>
      </c>
      <c r="J10" s="32">
        <f>'FS Desroches Daily'!N12</f>
        <v>2000.0000000002237</v>
      </c>
      <c r="K10" s="13">
        <f>'FS Desroches Daily'!P12</f>
        <v>1</v>
      </c>
      <c r="L10" s="31">
        <f>'FS Desroches Daily'!R12</f>
        <v>6</v>
      </c>
      <c r="M10" s="31">
        <f>'FS Desroches Daily'!T12</f>
        <v>1399.9999999998636</v>
      </c>
      <c r="N10" s="31">
        <f>'FS Desroches Daily'!V12</f>
        <v>513.30000000004657</v>
      </c>
      <c r="O10" s="31">
        <f>'FS Desroches Daily'!X12</f>
        <v>419.99999999995907</v>
      </c>
      <c r="P10" s="31">
        <f>'FS Desroches Daily'!Z12</f>
        <v>3300.0000000003029</v>
      </c>
      <c r="Q10" s="31">
        <f>'FS Desroches Daily'!AB12</f>
        <v>269.99999999998181</v>
      </c>
      <c r="R10" s="31">
        <f>'FS Desroches Daily'!AD12</f>
        <v>399.99999999997726</v>
      </c>
      <c r="S10" s="31">
        <f>'FS Desroches Daily'!AF12</f>
        <v>1159.9999999999682</v>
      </c>
      <c r="T10" s="31">
        <f>'FS Desroches Daily'!AH12</f>
        <v>43</v>
      </c>
      <c r="U10" s="35">
        <f>'FS Desroches Daily'!AJ12</f>
        <v>900.0000000001229</v>
      </c>
      <c r="V10" s="35">
        <f>'FS Desroches Daily'!AL12</f>
        <v>350.00000000002274</v>
      </c>
      <c r="W10" s="35">
        <f>'FS Desroches Daily'!AN12</f>
        <v>319.99999999999318</v>
      </c>
      <c r="X10" s="35">
        <f>'FS Desroches Daily'!AP12</f>
        <v>180.00000000000682</v>
      </c>
      <c r="Y10" s="35">
        <f>'FS Desroches Daily'!AR12</f>
        <v>289.99999999996362</v>
      </c>
      <c r="Z10" s="35">
        <f>'FS Desroches Daily'!AT12</f>
        <v>90.000000000031832</v>
      </c>
      <c r="AA10" s="35">
        <f>'FS Desroches Daily'!AT12</f>
        <v>90.000000000031832</v>
      </c>
      <c r="AB10" s="35">
        <f>'FS Desroches Daily'!AV12</f>
        <v>99.999999999965894</v>
      </c>
      <c r="AC10" s="35">
        <f>'FS Desroches Daily'!AZ12</f>
        <v>170.00000000001592</v>
      </c>
      <c r="AD10" s="35">
        <f>'FS Desroches Daily'!BB12</f>
        <v>180.00000000000682</v>
      </c>
      <c r="AE10" s="35">
        <f>'FS Desroches Daily'!BD12</f>
        <v>80.000000000040927</v>
      </c>
      <c r="AF10" s="31">
        <f>'FS Desroches Daily'!BF12</f>
        <v>52</v>
      </c>
      <c r="AG10" s="32">
        <f>'FS Desroches Daily'!BH12</f>
        <v>60.000000000002274</v>
      </c>
      <c r="AH10" s="32">
        <f>'FS Desroches Daily'!BJ12</f>
        <v>40.000000000020464</v>
      </c>
      <c r="AI10" s="32">
        <f>'FS Desroches Daily'!BL12</f>
        <v>60.000000000002274</v>
      </c>
      <c r="AJ10" s="32">
        <f>'FS Desroches Daily'!BN12</f>
        <v>49.999999999982947</v>
      </c>
      <c r="AK10" s="32">
        <f>'FS Desroches Daily'!BP12</f>
        <v>60.000000000002274</v>
      </c>
      <c r="AL10" s="32">
        <f>'FS Desroches Daily'!BR12</f>
        <v>49</v>
      </c>
      <c r="AM10" s="32">
        <f>'FS Desroches Daily'!BT12</f>
        <v>60.000000000002274</v>
      </c>
      <c r="AN10" s="32">
        <f>'FS Desroches Daily'!BV12</f>
        <v>46</v>
      </c>
      <c r="AO10" s="32">
        <f>'FS Desroches Daily'!BX12</f>
        <v>60.000000000002274</v>
      </c>
      <c r="AP10" s="32">
        <f>'FS Desroches Daily'!BZ12</f>
        <v>58</v>
      </c>
      <c r="AQ10" s="31">
        <f>'FS Desroches Daily'!CB12</f>
        <v>68.30000000000291</v>
      </c>
      <c r="AR10" s="31">
        <f>'FS Desroches Daily'!CD12</f>
        <v>21.700000000000728</v>
      </c>
      <c r="AS10" s="31">
        <f>'FS Desroches Daily'!CF12</f>
        <v>0.8999999999996362</v>
      </c>
      <c r="AT10" s="31">
        <f>'FS Desroches Daily'!CH12</f>
        <v>46.099999999991269</v>
      </c>
      <c r="AU10" s="31">
        <f>'FS Desroches Daily'!CJ12</f>
        <v>327</v>
      </c>
      <c r="AV10" s="31">
        <f>'FS Desroches Daily'!CL12</f>
        <v>1099.9999999999091</v>
      </c>
      <c r="AW10" s="31">
        <f>'FS Desroches Daily'!CM12</f>
        <v>118.59999999999854</v>
      </c>
      <c r="AX10" s="31">
        <f>IF(LPG!F18-LPG!F16&lt;0,"0",(LPG!F18-LPG!F16)*1.8315)</f>
        <v>0</v>
      </c>
      <c r="AY10" s="31">
        <f>IF(LPG!H18-LPG!H16&lt;0,"0",(LPG!H18-LPG!H16)*1.8315)</f>
        <v>10.988999999999999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48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3</v>
      </c>
      <c r="D11" s="27">
        <v>2023</v>
      </c>
      <c r="E11" s="31">
        <f>'FS Desroches Daily'!D13</f>
        <v>2599.9999999997135</v>
      </c>
      <c r="F11" s="32">
        <f>'FS Desroches Daily'!F13</f>
        <v>3600.0000000004916</v>
      </c>
      <c r="G11" s="31">
        <f>'FS Desroches Daily'!H13</f>
        <v>3899.9999999997926</v>
      </c>
      <c r="H11" s="32">
        <f>'FS Desroches Daily'!J13</f>
        <v>1799.9999999998017</v>
      </c>
      <c r="I11" s="31">
        <f>'FS Desroches Daily'!L13</f>
        <v>2599.9999999997135</v>
      </c>
      <c r="J11" s="32">
        <f>'FS Desroches Daily'!N13</f>
        <v>2199.9999999997576</v>
      </c>
      <c r="K11" s="13">
        <f>'FS Desroches Daily'!P13</f>
        <v>66</v>
      </c>
      <c r="L11" s="31">
        <f>'FS Desroches Daily'!R13</f>
        <v>7</v>
      </c>
      <c r="M11" s="31">
        <f>'FS Desroches Daily'!T13</f>
        <v>1299.9999999999545</v>
      </c>
      <c r="N11" s="31">
        <f>'FS Desroches Daily'!V13</f>
        <v>505.59999999997672</v>
      </c>
      <c r="O11" s="31">
        <f>'FS Desroches Daily'!X13</f>
        <v>429.99999999994998</v>
      </c>
      <c r="P11" s="31">
        <f>'FS Desroches Daily'!Z13</f>
        <v>3199.9999999996476</v>
      </c>
      <c r="Q11" s="31">
        <f>'FS Desroches Daily'!AB13</f>
        <v>449.99999999993179</v>
      </c>
      <c r="R11" s="31">
        <f>'FS Desroches Daily'!AD13</f>
        <v>459.99999999992269</v>
      </c>
      <c r="S11" s="31">
        <f>'FS Desroches Daily'!AF13</f>
        <v>1150.0000000000909</v>
      </c>
      <c r="T11" s="31">
        <f>'FS Desroches Daily'!AH13</f>
        <v>46</v>
      </c>
      <c r="U11" s="35">
        <f>'FS Desroches Daily'!AJ13</f>
        <v>799.99999999991189</v>
      </c>
      <c r="V11" s="35">
        <f>'FS Desroches Daily'!AL13</f>
        <v>339.99999999997499</v>
      </c>
      <c r="W11" s="35">
        <f>'FS Desroches Daily'!AN13</f>
        <v>329.99999999998408</v>
      </c>
      <c r="X11" s="35">
        <f>'FS Desroches Daily'!AP13</f>
        <v>160.00000000002501</v>
      </c>
      <c r="Y11" s="35">
        <f>'FS Desroches Daily'!AR13</f>
        <v>150.00000000003411</v>
      </c>
      <c r="Z11" s="35">
        <f>'FS Desroches Daily'!AT13</f>
        <v>69.999999999993179</v>
      </c>
      <c r="AA11" s="35">
        <f>'FS Desroches Daily'!AT13</f>
        <v>69.999999999993179</v>
      </c>
      <c r="AB11" s="35">
        <f>'FS Desroches Daily'!AV13</f>
        <v>50.000000000011369</v>
      </c>
      <c r="AC11" s="35">
        <f>'FS Desroches Daily'!AZ13</f>
        <v>79.999999999984084</v>
      </c>
      <c r="AD11" s="35">
        <f>'FS Desroches Daily'!BB13</f>
        <v>60.000000000002274</v>
      </c>
      <c r="AE11" s="35">
        <f>'FS Desroches Daily'!BD13</f>
        <v>120.00000000000455</v>
      </c>
      <c r="AF11" s="31">
        <f>'FS Desroches Daily'!BF13</f>
        <v>37</v>
      </c>
      <c r="AG11" s="32">
        <f>'FS Desroches Daily'!BH13</f>
        <v>50.000000000011369</v>
      </c>
      <c r="AH11" s="32">
        <f>'FS Desroches Daily'!BJ13</f>
        <v>49.999999999954525</v>
      </c>
      <c r="AI11" s="32">
        <f>'FS Desroches Daily'!BL13</f>
        <v>60.000000000002274</v>
      </c>
      <c r="AJ11" s="32">
        <f>'FS Desroches Daily'!BN13</f>
        <v>50.000000000011369</v>
      </c>
      <c r="AK11" s="32">
        <f>'FS Desroches Daily'!BP13</f>
        <v>50.000000000011369</v>
      </c>
      <c r="AL11" s="32">
        <f>'FS Desroches Daily'!BR13</f>
        <v>50</v>
      </c>
      <c r="AM11" s="32">
        <f>'FS Desroches Daily'!BT13</f>
        <v>50.000000000011369</v>
      </c>
      <c r="AN11" s="32">
        <f>'FS Desroches Daily'!BV13</f>
        <v>48</v>
      </c>
      <c r="AO11" s="32">
        <f>'FS Desroches Daily'!BX13</f>
        <v>50.000000000011369</v>
      </c>
      <c r="AP11" s="32">
        <f>'FS Desroches Daily'!BZ13</f>
        <v>60</v>
      </c>
      <c r="AQ11" s="31">
        <f>'FS Desroches Daily'!CB13</f>
        <v>66.899999999994179</v>
      </c>
      <c r="AR11" s="31">
        <f>'FS Desroches Daily'!CD13</f>
        <v>10</v>
      </c>
      <c r="AS11" s="31">
        <f>'FS Desroches Daily'!CF13</f>
        <v>3.6000000000003638</v>
      </c>
      <c r="AT11" s="31">
        <f>'FS Desroches Daily'!CH13</f>
        <v>42.30000000000291</v>
      </c>
      <c r="AU11" s="31">
        <f>'FS Desroches Daily'!CJ13</f>
        <v>345</v>
      </c>
      <c r="AV11" s="31">
        <f>'FS Desroches Daily'!CL13</f>
        <v>1000</v>
      </c>
      <c r="AW11" s="31">
        <f>'FS Desroches Daily'!CM13</f>
        <v>117.29999999999927</v>
      </c>
      <c r="AX11" s="31">
        <f>IF(LPG!F18-LPG!F17&lt;0,"0",(LPG!F18-LPG!F17)*1.8315)</f>
        <v>0</v>
      </c>
      <c r="AY11" s="31">
        <f>IF(LPG!H18-LPG!H17&lt;0,"0",(LPG!H18-LPG!H17)*1.8315)</f>
        <v>7.3259999999999996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44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3</v>
      </c>
      <c r="D12" s="27">
        <v>2023</v>
      </c>
      <c r="E12" s="31">
        <f>'FS Desroches Daily'!D14</f>
        <v>2600.0000000001578</v>
      </c>
      <c r="F12" s="32">
        <f>'FS Desroches Daily'!F14</f>
        <v>3700.0000000002588</v>
      </c>
      <c r="G12" s="31">
        <f>'FS Desroches Daily'!H14</f>
        <v>4400.0000000004038</v>
      </c>
      <c r="H12" s="32">
        <f>'FS Desroches Daily'!J14</f>
        <v>1900.0000000000127</v>
      </c>
      <c r="I12" s="31">
        <f>'FS Desroches Daily'!L14</f>
        <v>2699.9999999999245</v>
      </c>
      <c r="J12" s="32">
        <f>'FS Desroches Daily'!N14</f>
        <v>2099.9999999999909</v>
      </c>
      <c r="K12" s="13">
        <f>'FS Desroches Daily'!P14</f>
        <v>42</v>
      </c>
      <c r="L12" s="31">
        <f>'FS Desroches Daily'!R14</f>
        <v>5</v>
      </c>
      <c r="M12" s="31">
        <f>'FS Desroches Daily'!T14</f>
        <v>1800.0000000001819</v>
      </c>
      <c r="N12" s="31">
        <f>'FS Desroches Daily'!V14</f>
        <v>660.80000000004657</v>
      </c>
      <c r="O12" s="31">
        <f>'FS Desroches Daily'!X14</f>
        <v>480.00000000001819</v>
      </c>
      <c r="P12" s="31">
        <f>'FS Desroches Daily'!Z14</f>
        <v>3400.0000000000696</v>
      </c>
      <c r="Q12" s="31">
        <f>'FS Desroches Daily'!AB14</f>
        <v>450.00000000004547</v>
      </c>
      <c r="R12" s="31">
        <f>'FS Desroches Daily'!AD14</f>
        <v>480.00000000001819</v>
      </c>
      <c r="S12" s="31">
        <f>'FS Desroches Daily'!AF14</f>
        <v>1099.9999999999091</v>
      </c>
      <c r="T12" s="31">
        <f>'FS Desroches Daily'!AH14</f>
        <v>50</v>
      </c>
      <c r="U12" s="35">
        <f>'FS Desroches Daily'!AJ14</f>
        <v>800.00000000013392</v>
      </c>
      <c r="V12" s="35">
        <f>'FS Desroches Daily'!AL14</f>
        <v>340.00000000003183</v>
      </c>
      <c r="W12" s="35">
        <f>'FS Desroches Daily'!AN14</f>
        <v>310.00000000000227</v>
      </c>
      <c r="X12" s="35">
        <f>'FS Desroches Daily'!AP14</f>
        <v>159.99999999996817</v>
      </c>
      <c r="Y12" s="35">
        <f>'FS Desroches Daily'!AR14</f>
        <v>99.999999999965894</v>
      </c>
      <c r="Z12" s="35">
        <f>'FS Desroches Daily'!AT14</f>
        <v>139.99999999998636</v>
      </c>
      <c r="AA12" s="35">
        <f>'FS Desroches Daily'!AT14</f>
        <v>139.99999999998636</v>
      </c>
      <c r="AB12" s="35">
        <f>'FS Desroches Daily'!AV14</f>
        <v>110.00000000001364</v>
      </c>
      <c r="AC12" s="35">
        <f>'FS Desroches Daily'!AZ14</f>
        <v>139.99999999998636</v>
      </c>
      <c r="AD12" s="35">
        <f>'FS Desroches Daily'!BB14</f>
        <v>60.000000000002274</v>
      </c>
      <c r="AE12" s="35">
        <f>'FS Desroches Daily'!BD14</f>
        <v>109.9999999999568</v>
      </c>
      <c r="AF12" s="31">
        <f>'FS Desroches Daily'!BF14</f>
        <v>48</v>
      </c>
      <c r="AG12" s="32">
        <f>'FS Desroches Daily'!BH14</f>
        <v>50.000000000011369</v>
      </c>
      <c r="AH12" s="32">
        <f>'FS Desroches Daily'!BJ14</f>
        <v>40.000000000020464</v>
      </c>
      <c r="AI12" s="32">
        <f>'FS Desroches Daily'!BL14</f>
        <v>60.000000000002274</v>
      </c>
      <c r="AJ12" s="32">
        <f>'FS Desroches Daily'!BN14</f>
        <v>39.999999999992042</v>
      </c>
      <c r="AK12" s="32">
        <f>'FS Desroches Daily'!BP14</f>
        <v>60.000000000002274</v>
      </c>
      <c r="AL12" s="32">
        <f>'FS Desroches Daily'!BR14</f>
        <v>46</v>
      </c>
      <c r="AM12" s="32">
        <f>'FS Desroches Daily'!BT14</f>
        <v>69.999999999993179</v>
      </c>
      <c r="AN12" s="32">
        <f>'FS Desroches Daily'!BV14</f>
        <v>44</v>
      </c>
      <c r="AO12" s="32">
        <f>'FS Desroches Daily'!BX14</f>
        <v>49.999999999954525</v>
      </c>
      <c r="AP12" s="32">
        <f>'FS Desroches Daily'!BZ14</f>
        <v>56</v>
      </c>
      <c r="AQ12" s="31">
        <f>'FS Desroches Daily'!CB14</f>
        <v>69.69999999999709</v>
      </c>
      <c r="AR12" s="31">
        <f>'FS Desroches Daily'!CD14</f>
        <v>15.599999999998545</v>
      </c>
      <c r="AS12" s="31">
        <f>'FS Desroches Daily'!CF14</f>
        <v>5.2999999999992724</v>
      </c>
      <c r="AT12" s="31">
        <f>'FS Desroches Daily'!CH14</f>
        <v>41.399999999994179</v>
      </c>
      <c r="AU12" s="31">
        <f>'FS Desroches Daily'!CJ14</f>
        <v>332</v>
      </c>
      <c r="AV12" s="31">
        <f>'FS Desroches Daily'!CL14</f>
        <v>1099.9999999999091</v>
      </c>
      <c r="AW12" s="31">
        <f>'FS Desroches Daily'!CM14</f>
        <v>126</v>
      </c>
      <c r="AX12" s="31">
        <f>IF(LPG!F19-LPG!F18&lt;0,"0",(LPG!F19-LPG!F18)*1.8315)</f>
        <v>0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42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3</v>
      </c>
      <c r="D13" s="27">
        <v>2023</v>
      </c>
      <c r="E13" s="31">
        <f>'FS Desroches Daily'!D15</f>
        <v>2600.0000000001578</v>
      </c>
      <c r="F13" s="32">
        <f>'FS Desroches Daily'!F15</f>
        <v>3699.9999999993706</v>
      </c>
      <c r="G13" s="31">
        <f>'FS Desroches Daily'!H15</f>
        <v>3800.0000000000255</v>
      </c>
      <c r="H13" s="32">
        <f>'FS Desroches Daily'!J15</f>
        <v>1999.9999999997797</v>
      </c>
      <c r="I13" s="31">
        <f>'FS Desroches Daily'!L15</f>
        <v>2499.9999999999468</v>
      </c>
      <c r="J13" s="32">
        <f>'FS Desroches Daily'!N15</f>
        <v>1900.0000000000127</v>
      </c>
      <c r="K13" s="13">
        <f>'FS Desroches Daily'!P15</f>
        <v>79</v>
      </c>
      <c r="L13" s="31">
        <f>'FS Desroches Daily'!R15</f>
        <v>6</v>
      </c>
      <c r="M13" s="31">
        <f>'FS Desroches Daily'!T15</f>
        <v>1399.9999999998636</v>
      </c>
      <c r="N13" s="31">
        <f>'FS Desroches Daily'!V15</f>
        <v>479.59999999997672</v>
      </c>
      <c r="O13" s="31">
        <f>'FS Desroches Daily'!X15</f>
        <v>379.99999999999545</v>
      </c>
      <c r="P13" s="31">
        <f>'FS Desroches Daily'!Z15</f>
        <v>3199.9999999996476</v>
      </c>
      <c r="Q13" s="31">
        <f>'FS Desroches Daily'!AB15</f>
        <v>320.00000000005002</v>
      </c>
      <c r="R13" s="31">
        <f>'FS Desroches Daily'!AD15</f>
        <v>440.00000000005457</v>
      </c>
      <c r="S13" s="31">
        <f>'FS Desroches Daily'!AF15</f>
        <v>1070.00000000005</v>
      </c>
      <c r="T13" s="31">
        <f>'FS Desroches Daily'!AH15</f>
        <v>47</v>
      </c>
      <c r="U13" s="35">
        <f>'FS Desroches Daily'!AJ15</f>
        <v>699.99999999992292</v>
      </c>
      <c r="V13" s="35">
        <f>'FS Desroches Daily'!AL15</f>
        <v>289.99999999996362</v>
      </c>
      <c r="W13" s="35">
        <f>'FS Desroches Daily'!AN15</f>
        <v>310.00000000000227</v>
      </c>
      <c r="X13" s="35">
        <f>'FS Desroches Daily'!AP15</f>
        <v>120.00000000000455</v>
      </c>
      <c r="Y13" s="35">
        <f>'FS Desroches Daily'!AR15</f>
        <v>80.000000000040927</v>
      </c>
      <c r="Z13" s="35">
        <f>'FS Desroches Daily'!AT15</f>
        <v>100.00000000002274</v>
      </c>
      <c r="AA13" s="35">
        <f>'FS Desroches Daily'!AT15</f>
        <v>100.00000000002274</v>
      </c>
      <c r="AB13" s="35">
        <f>'FS Desroches Daily'!AV15</f>
        <v>89.999999999974989</v>
      </c>
      <c r="AC13" s="35">
        <f>'FS Desroches Daily'!AZ15</f>
        <v>180.00000000000682</v>
      </c>
      <c r="AD13" s="35">
        <f>'FS Desroches Daily'!BB15</f>
        <v>50.000000000011369</v>
      </c>
      <c r="AE13" s="35">
        <f>'FS Desroches Daily'!BD15</f>
        <v>100.00000000002274</v>
      </c>
      <c r="AF13" s="31">
        <f>'FS Desroches Daily'!BF15</f>
        <v>32</v>
      </c>
      <c r="AG13" s="32">
        <f>'FS Desroches Daily'!BH15</f>
        <v>60.000000000002274</v>
      </c>
      <c r="AH13" s="32">
        <f>'FS Desroches Daily'!BJ15</f>
        <v>50.000000000011369</v>
      </c>
      <c r="AI13" s="32">
        <f>'FS Desroches Daily'!BL15</f>
        <v>69.999999999993179</v>
      </c>
      <c r="AJ13" s="32">
        <f>'FS Desroches Daily'!BN15</f>
        <v>69.999999999993179</v>
      </c>
      <c r="AK13" s="32">
        <f>'FS Desroches Daily'!BP15</f>
        <v>69.999999999993179</v>
      </c>
      <c r="AL13" s="32">
        <f>'FS Desroches Daily'!BR15</f>
        <v>56</v>
      </c>
      <c r="AM13" s="32">
        <f>'FS Desroches Daily'!BT15</f>
        <v>60.000000000002274</v>
      </c>
      <c r="AN13" s="32">
        <f>'FS Desroches Daily'!BV15</f>
        <v>52</v>
      </c>
      <c r="AO13" s="32">
        <f>'FS Desroches Daily'!BX15</f>
        <v>60.000000000002274</v>
      </c>
      <c r="AP13" s="32">
        <f>'FS Desroches Daily'!BZ15</f>
        <v>68</v>
      </c>
      <c r="AQ13" s="31">
        <f>'FS Desroches Daily'!CB15</f>
        <v>50.700000000011642</v>
      </c>
      <c r="AR13" s="31">
        <f>'FS Desroches Daily'!CD15</f>
        <v>10.100000000002183</v>
      </c>
      <c r="AS13" s="31">
        <f>'FS Desroches Daily'!CF15</f>
        <v>3.5</v>
      </c>
      <c r="AT13" s="31">
        <f>'FS Desroches Daily'!CH15</f>
        <v>47</v>
      </c>
      <c r="AU13" s="31">
        <f>'FS Desroches Daily'!CJ15</f>
        <v>372</v>
      </c>
      <c r="AV13" s="31">
        <f>'FS Desroches Daily'!CL15</f>
        <v>1000</v>
      </c>
      <c r="AW13" s="31">
        <f>'FS Desroches Daily'!CM15</f>
        <v>105.10000000000218</v>
      </c>
      <c r="AX13" s="31">
        <f>IF(LPG!F20-LPG!F19&lt;0,"0",(LPG!F20-LPG!F19)*1.8315)</f>
        <v>0</v>
      </c>
      <c r="AY13" s="31">
        <f>IF(LPG!H20-LPG!H19&lt;0,"0",(LPG!H20-LPG!H19)*1.8315)</f>
        <v>5.4944999999999995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37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3</v>
      </c>
      <c r="D14" s="27">
        <v>2023</v>
      </c>
      <c r="E14" s="31">
        <f>'FS Desroches Daily'!D16</f>
        <v>3099.9999999998809</v>
      </c>
      <c r="F14" s="32">
        <f>'FS Desroches Daily'!F16</f>
        <v>3600.0000000004916</v>
      </c>
      <c r="G14" s="31">
        <f>'FS Desroches Daily'!H16</f>
        <v>4100.0000000002146</v>
      </c>
      <c r="H14" s="32">
        <f>'FS Desroches Daily'!J16</f>
        <v>1900.0000000000127</v>
      </c>
      <c r="I14" s="31">
        <f>'FS Desroches Daily'!L16</f>
        <v>2400.0000000006239</v>
      </c>
      <c r="J14" s="32">
        <f>'FS Desroches Daily'!N16</f>
        <v>2200.0000000002019</v>
      </c>
      <c r="K14" s="13">
        <f>'FS Desroches Daily'!P16</f>
        <v>63</v>
      </c>
      <c r="L14" s="31">
        <f>'FS Desroches Daily'!R16</f>
        <v>12</v>
      </c>
      <c r="M14" s="31">
        <f>'FS Desroches Daily'!T16</f>
        <v>1400.0000000000909</v>
      </c>
      <c r="N14" s="31">
        <f>'FS Desroches Daily'!V16</f>
        <v>563.5</v>
      </c>
      <c r="O14" s="31">
        <f>'FS Desroches Daily'!X16</f>
        <v>389.99999999998636</v>
      </c>
      <c r="P14" s="31">
        <f>'FS Desroches Daily'!Z16</f>
        <v>3200.0000000005357</v>
      </c>
      <c r="Q14" s="31">
        <f>'FS Desroches Daily'!AB16</f>
        <v>509.99999999999091</v>
      </c>
      <c r="R14" s="31">
        <f>'FS Desroches Daily'!AD16</f>
        <v>480.00000000001819</v>
      </c>
      <c r="S14" s="31">
        <f>'FS Desroches Daily'!AF16</f>
        <v>1019.9999999999818</v>
      </c>
      <c r="T14" s="31">
        <f>'FS Desroches Daily'!AH16</f>
        <v>46</v>
      </c>
      <c r="U14" s="35">
        <f>'FS Desroches Daily'!AJ16</f>
        <v>799.99999999991189</v>
      </c>
      <c r="V14" s="35">
        <f>'FS Desroches Daily'!AL16</f>
        <v>330.00000000004093</v>
      </c>
      <c r="W14" s="35">
        <f>'FS Desroches Daily'!AN16</f>
        <v>350.00000000002274</v>
      </c>
      <c r="X14" s="35">
        <f>'FS Desroches Daily'!AP16</f>
        <v>160.00000000002501</v>
      </c>
      <c r="Y14" s="35">
        <f>'FS Desroches Daily'!AR16</f>
        <v>239.99999999995225</v>
      </c>
      <c r="Z14" s="35">
        <f>'FS Desroches Daily'!AT16</f>
        <v>120.00000000000455</v>
      </c>
      <c r="AA14" s="35">
        <f>'FS Desroches Daily'!AT16</f>
        <v>120.00000000000455</v>
      </c>
      <c r="AB14" s="35">
        <f>'FS Desroches Daily'!AV16</f>
        <v>150.00000000003411</v>
      </c>
      <c r="AC14" s="35">
        <f>'FS Desroches Daily'!AZ16</f>
        <v>210.00000000003638</v>
      </c>
      <c r="AD14" s="35">
        <f>'FS Desroches Daily'!BB16</f>
        <v>139.99999999998636</v>
      </c>
      <c r="AE14" s="35">
        <f>'FS Desroches Daily'!BD16</f>
        <v>100.00000000002274</v>
      </c>
      <c r="AF14" s="31">
        <f>'FS Desroches Daily'!BF16</f>
        <v>43</v>
      </c>
      <c r="AG14" s="32">
        <f>'FS Desroches Daily'!BH16</f>
        <v>60.000000000002274</v>
      </c>
      <c r="AH14" s="32">
        <f>'FS Desroches Daily'!BJ16</f>
        <v>40.000000000020464</v>
      </c>
      <c r="AI14" s="32">
        <f>'FS Desroches Daily'!BL16</f>
        <v>80.000000000040927</v>
      </c>
      <c r="AJ14" s="32">
        <f>'FS Desroches Daily'!BN16</f>
        <v>60.000000000002274</v>
      </c>
      <c r="AK14" s="32">
        <f>'FS Desroches Daily'!BP16</f>
        <v>60.000000000002274</v>
      </c>
      <c r="AL14" s="32">
        <f>'FS Desroches Daily'!BR16</f>
        <v>50</v>
      </c>
      <c r="AM14" s="32">
        <f>'FS Desroches Daily'!BT16</f>
        <v>69.999999999993179</v>
      </c>
      <c r="AN14" s="32">
        <f>'FS Desroches Daily'!BV16</f>
        <v>54</v>
      </c>
      <c r="AO14" s="32">
        <f>'FS Desroches Daily'!BX16</f>
        <v>60.000000000002274</v>
      </c>
      <c r="AP14" s="32">
        <f>'FS Desroches Daily'!BZ16</f>
        <v>63</v>
      </c>
      <c r="AQ14" s="31">
        <f>'FS Desroches Daily'!CB16</f>
        <v>53.399999999994179</v>
      </c>
      <c r="AR14" s="31">
        <f>'FS Desroches Daily'!CD16</f>
        <v>10.099999999998545</v>
      </c>
      <c r="AS14" s="31">
        <f>'FS Desroches Daily'!CF16</f>
        <v>8.6000000000003638</v>
      </c>
      <c r="AT14" s="31">
        <f>'FS Desroches Daily'!CH16</f>
        <v>35.5</v>
      </c>
      <c r="AU14" s="31">
        <f>'FS Desroches Daily'!CJ16</f>
        <v>332</v>
      </c>
      <c r="AV14" s="31">
        <f>'FS Desroches Daily'!CL16</f>
        <v>1000</v>
      </c>
      <c r="AW14" s="31">
        <f>'FS Desroches Daily'!CM16</f>
        <v>117.69999999999709</v>
      </c>
      <c r="AX14" s="31">
        <f>IF(LPG!F21-LPG!F20&lt;0,"0",(LPG!F21-LPG!F20)*1.8315)</f>
        <v>0</v>
      </c>
      <c r="AY14" s="31">
        <f>IF(LPG!H21-LPG!H20&lt;0,"0",(LPG!H21-LPG!H20)*1.8315)</f>
        <v>5.4944999999999995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37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3</v>
      </c>
      <c r="D15" s="27">
        <v>2023</v>
      </c>
      <c r="E15" s="31">
        <f>'FS Desroches Daily'!D17</f>
        <v>2800.0000000001355</v>
      </c>
      <c r="F15" s="32">
        <f>'FS Desroches Daily'!F17</f>
        <v>3699.9999999993706</v>
      </c>
      <c r="G15" s="31">
        <f>'FS Desroches Daily'!H17</f>
        <v>4099.9999999993261</v>
      </c>
      <c r="H15" s="32">
        <f>'FS Desroches Daily'!J17</f>
        <v>1900.0000000000127</v>
      </c>
      <c r="I15" s="31">
        <f>'FS Desroches Daily'!L17</f>
        <v>2499.9999999995025</v>
      </c>
      <c r="J15" s="32">
        <f>'FS Desroches Daily'!N17</f>
        <v>1999.9999999997797</v>
      </c>
      <c r="K15" s="13">
        <f>'FS Desroches Daily'!P17</f>
        <v>63</v>
      </c>
      <c r="L15" s="31">
        <f>'FS Desroches Daily'!R17</f>
        <v>7</v>
      </c>
      <c r="M15" s="31">
        <f>'FS Desroches Daily'!T17</f>
        <v>1599.9999999999091</v>
      </c>
      <c r="N15" s="31">
        <f>'FS Desroches Daily'!V17</f>
        <v>595.69999999995343</v>
      </c>
      <c r="O15" s="31">
        <f>'FS Desroches Daily'!X17</f>
        <v>400.00000000009095</v>
      </c>
      <c r="P15" s="31">
        <f>'FS Desroches Daily'!Z17</f>
        <v>3199.9999999996476</v>
      </c>
      <c r="Q15" s="31">
        <f>'FS Desroches Daily'!AB17</f>
        <v>309.99999999994543</v>
      </c>
      <c r="R15" s="31">
        <f>'FS Desroches Daily'!AD17</f>
        <v>539.99999999996362</v>
      </c>
      <c r="S15" s="31">
        <f>'FS Desroches Daily'!AF17</f>
        <v>1129.9999999999955</v>
      </c>
      <c r="T15" s="31">
        <f>'FS Desroches Daily'!AH17</f>
        <v>46</v>
      </c>
      <c r="U15" s="35">
        <f>'FS Desroches Daily'!AJ17</f>
        <v>700.00000000014495</v>
      </c>
      <c r="V15" s="35">
        <f>'FS Desroches Daily'!AL17</f>
        <v>329.99999999998408</v>
      </c>
      <c r="W15" s="35">
        <f>'FS Desroches Daily'!AN17</f>
        <v>339.99999999997499</v>
      </c>
      <c r="X15" s="35">
        <f>'FS Desroches Daily'!AP17</f>
        <v>100.00000000002274</v>
      </c>
      <c r="Y15" s="35">
        <f>'FS Desroches Daily'!AR17</f>
        <v>180.00000000000682</v>
      </c>
      <c r="Z15" s="35">
        <f>'FS Desroches Daily'!AT17</f>
        <v>120.00000000000455</v>
      </c>
      <c r="AA15" s="35">
        <f>'FS Desroches Daily'!AT17</f>
        <v>120.00000000000455</v>
      </c>
      <c r="AB15" s="35">
        <f>'FS Desroches Daily'!AV17</f>
        <v>99.999999999965894</v>
      </c>
      <c r="AC15" s="35">
        <f>'FS Desroches Daily'!AZ17</f>
        <v>179.99999999994998</v>
      </c>
      <c r="AD15" s="35">
        <f>'FS Desroches Daily'!BB17</f>
        <v>129.99999999999545</v>
      </c>
      <c r="AE15" s="35">
        <f>'FS Desroches Daily'!BD17</f>
        <v>129.99999999999545</v>
      </c>
      <c r="AF15" s="31">
        <f>'FS Desroches Daily'!BF17</f>
        <v>42</v>
      </c>
      <c r="AG15" s="32">
        <f>'FS Desroches Daily'!BH17</f>
        <v>60.000000000002274</v>
      </c>
      <c r="AH15" s="32">
        <f>'FS Desroches Daily'!BJ17</f>
        <v>49.999999999954525</v>
      </c>
      <c r="AI15" s="32">
        <f>'FS Desroches Daily'!BL17</f>
        <v>69.999999999993179</v>
      </c>
      <c r="AJ15" s="32">
        <f>'FS Desroches Daily'!BN17</f>
        <v>60.000000000002274</v>
      </c>
      <c r="AK15" s="32">
        <f>'FS Desroches Daily'!BP17</f>
        <v>60.000000000002274</v>
      </c>
      <c r="AL15" s="32">
        <f>'FS Desroches Daily'!BR17</f>
        <v>57</v>
      </c>
      <c r="AM15" s="32">
        <f>'FS Desroches Daily'!BT17</f>
        <v>60.000000000002274</v>
      </c>
      <c r="AN15" s="32">
        <f>'FS Desroches Daily'!BV17</f>
        <v>49</v>
      </c>
      <c r="AO15" s="32">
        <f>'FS Desroches Daily'!BX17</f>
        <v>70.000000000050022</v>
      </c>
      <c r="AP15" s="32">
        <f>'FS Desroches Daily'!BZ17</f>
        <v>62</v>
      </c>
      <c r="AQ15" s="31">
        <f>'FS Desroches Daily'!CB17</f>
        <v>61.399999999994179</v>
      </c>
      <c r="AR15" s="31">
        <f>'FS Desroches Daily'!CD17</f>
        <v>22.400000000001455</v>
      </c>
      <c r="AS15" s="31">
        <f>'FS Desroches Daily'!CF17</f>
        <v>1.3999999999996362</v>
      </c>
      <c r="AT15" s="31">
        <f>'FS Desroches Daily'!CH17</f>
        <v>27.700000000011642</v>
      </c>
      <c r="AU15" s="31">
        <f>'FS Desroches Daily'!CJ17</f>
        <v>352</v>
      </c>
      <c r="AV15" s="31">
        <f>'FS Desroches Daily'!CL17</f>
        <v>1000</v>
      </c>
      <c r="AW15" s="31">
        <f>'FS Desroches Daily'!CM17</f>
        <v>114.30000000000291</v>
      </c>
      <c r="AX15" s="31">
        <f>IF(LPG!F22-LPG!F21&lt;0,"0",(LPG!F22-LPG!F21)*1.8315)</f>
        <v>0</v>
      </c>
      <c r="AY15" s="31">
        <f>IF(LPG!H22-LPG!H21&lt;0,"0",(LPG!H22-LPG!H21)*1.8315)</f>
        <v>5.4944999999999995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34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3</v>
      </c>
      <c r="D16" s="27">
        <v>2023</v>
      </c>
      <c r="E16" s="31">
        <f>'FS Desroches Daily'!D18</f>
        <v>2899.9999999999027</v>
      </c>
      <c r="F16" s="32">
        <f>'FS Desroches Daily'!F18</f>
        <v>3500.0000000007249</v>
      </c>
      <c r="G16" s="31">
        <f>'FS Desroches Daily'!H18</f>
        <v>3500.0000000007249</v>
      </c>
      <c r="H16" s="32">
        <f>'FS Desroches Daily'!J18</f>
        <v>1900.0000000000127</v>
      </c>
      <c r="I16" s="31">
        <f>'FS Desroches Daily'!L18</f>
        <v>2399.9999999997358</v>
      </c>
      <c r="J16" s="32">
        <f>'FS Desroches Daily'!N18</f>
        <v>2200.0000000002019</v>
      </c>
      <c r="K16" s="13">
        <f>'FS Desroches Daily'!P18</f>
        <v>61</v>
      </c>
      <c r="L16" s="31">
        <f>'FS Desroches Daily'!R18</f>
        <v>8</v>
      </c>
      <c r="M16" s="31">
        <f>'FS Desroches Daily'!T18</f>
        <v>1299.9999999999545</v>
      </c>
      <c r="N16" s="31">
        <f>'FS Desroches Daily'!V18</f>
        <v>444.90000000002328</v>
      </c>
      <c r="O16" s="31">
        <f>'FS Desroches Daily'!X18</f>
        <v>419.99999999995907</v>
      </c>
      <c r="P16" s="31">
        <f>'FS Desroches Daily'!Z18</f>
        <v>3199.9999999996476</v>
      </c>
      <c r="Q16" s="31">
        <f>'FS Desroches Daily'!AB18</f>
        <v>470.00000000002728</v>
      </c>
      <c r="R16" s="31">
        <f>'FS Desroches Daily'!AD18</f>
        <v>470.00000000002728</v>
      </c>
      <c r="S16" s="31">
        <f>'FS Desroches Daily'!AF18</f>
        <v>1070.00000000005</v>
      </c>
      <c r="T16" s="31">
        <f>'FS Desroches Daily'!AH18</f>
        <v>43</v>
      </c>
      <c r="U16" s="35">
        <f>'FS Desroches Daily'!AJ18</f>
        <v>799.99999999991189</v>
      </c>
      <c r="V16" s="35">
        <f>'FS Desroches Daily'!AL18</f>
        <v>350.00000000002274</v>
      </c>
      <c r="W16" s="35">
        <f>'FS Desroches Daily'!AN18</f>
        <v>350.00000000002274</v>
      </c>
      <c r="X16" s="35">
        <f>'FS Desroches Daily'!AP18</f>
        <v>119.9999999999477</v>
      </c>
      <c r="Y16" s="35">
        <f>'FS Desroches Daily'!AR18</f>
        <v>170.00000000001592</v>
      </c>
      <c r="Z16" s="35">
        <f>'FS Desroches Daily'!AT18</f>
        <v>149.99999999997726</v>
      </c>
      <c r="AA16" s="35">
        <f>'FS Desroches Daily'!AT18</f>
        <v>149.99999999997726</v>
      </c>
      <c r="AB16" s="35">
        <f>'FS Desroches Daily'!AV18</f>
        <v>90.000000000031832</v>
      </c>
      <c r="AC16" s="35">
        <f>'FS Desroches Daily'!AZ18</f>
        <v>200.00000000004547</v>
      </c>
      <c r="AD16" s="35">
        <f>'FS Desroches Daily'!BB18</f>
        <v>110.00000000001364</v>
      </c>
      <c r="AE16" s="35">
        <f>'FS Desroches Daily'!BD18</f>
        <v>209.99999999997954</v>
      </c>
      <c r="AF16" s="31">
        <f>'FS Desroches Daily'!BF18</f>
        <v>39</v>
      </c>
      <c r="AG16" s="32">
        <f>'FS Desroches Daily'!BH18</f>
        <v>60.000000000002274</v>
      </c>
      <c r="AH16" s="32">
        <f>'FS Desroches Daily'!BJ18</f>
        <v>40.000000000020464</v>
      </c>
      <c r="AI16" s="32">
        <f>'FS Desroches Daily'!BL18</f>
        <v>79.999999999984084</v>
      </c>
      <c r="AJ16" s="32">
        <f>'FS Desroches Daily'!BN18</f>
        <v>50.000000000011369</v>
      </c>
      <c r="AK16" s="32">
        <f>'FS Desroches Daily'!BP18</f>
        <v>79.999999999984084</v>
      </c>
      <c r="AL16" s="32">
        <f>'FS Desroches Daily'!BR18</f>
        <v>51</v>
      </c>
      <c r="AM16" s="32">
        <f>'FS Desroches Daily'!BT18</f>
        <v>70.0000000000216</v>
      </c>
      <c r="AN16" s="32">
        <f>'FS Desroches Daily'!BV18</f>
        <v>51</v>
      </c>
      <c r="AO16" s="32">
        <f>'FS Desroches Daily'!BX18</f>
        <v>59.99999999994543</v>
      </c>
      <c r="AP16" s="32">
        <f>'FS Desroches Daily'!BZ18</f>
        <v>64</v>
      </c>
      <c r="AQ16" s="31">
        <f>'FS Desroches Daily'!CB18</f>
        <v>61.700000000011642</v>
      </c>
      <c r="AR16" s="31">
        <f>'FS Desroches Daily'!CD18</f>
        <v>10.599999999998545</v>
      </c>
      <c r="AS16" s="31">
        <f>'FS Desroches Daily'!CF18</f>
        <v>5.6000000000003638</v>
      </c>
      <c r="AT16" s="31">
        <f>'FS Desroches Daily'!CH18</f>
        <v>32.299999999988358</v>
      </c>
      <c r="AU16" s="31">
        <f>'FS Desroches Daily'!CJ18</f>
        <v>289</v>
      </c>
      <c r="AV16" s="31">
        <f>'FS Desroches Daily'!CL18</f>
        <v>1000</v>
      </c>
      <c r="AW16" s="31">
        <f>'FS Desroches Daily'!CM18</f>
        <v>116.69999999999709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34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3</v>
      </c>
      <c r="D17" s="27">
        <v>2023</v>
      </c>
      <c r="E17" s="31">
        <f>'FS Desroches Daily'!D19</f>
        <v>3000.0000000001137</v>
      </c>
      <c r="F17" s="32">
        <f>'FS Desroches Daily'!F19</f>
        <v>3400.0000000000696</v>
      </c>
      <c r="G17" s="31">
        <f>'FS Desroches Daily'!H19</f>
        <v>3899.9999999997926</v>
      </c>
      <c r="H17" s="32">
        <f>'FS Desroches Daily'!J19</f>
        <v>1900.0000000000127</v>
      </c>
      <c r="I17" s="31">
        <f>'FS Desroches Daily'!L19</f>
        <v>2500.0000000003906</v>
      </c>
      <c r="J17" s="32">
        <f>'FS Desroches Daily'!N19</f>
        <v>1900.0000000000127</v>
      </c>
      <c r="K17" s="13">
        <f>'FS Desroches Daily'!P19</f>
        <v>54</v>
      </c>
      <c r="L17" s="31">
        <f>'FS Desroches Daily'!R19</f>
        <v>7</v>
      </c>
      <c r="M17" s="31">
        <f>'FS Desroches Daily'!T19</f>
        <v>1400.0000000000909</v>
      </c>
      <c r="N17" s="31">
        <f>'FS Desroches Daily'!V19</f>
        <v>470.30000000004657</v>
      </c>
      <c r="O17" s="31">
        <f>'FS Desroches Daily'!X19</f>
        <v>370.00000000000455</v>
      </c>
      <c r="P17" s="31">
        <f>'FS Desroches Daily'!Z19</f>
        <v>3000.0000000001137</v>
      </c>
      <c r="Q17" s="31">
        <f>'FS Desroches Daily'!AB19</f>
        <v>329.99999999992724</v>
      </c>
      <c r="R17" s="31">
        <f>'FS Desroches Daily'!AD19</f>
        <v>449.99999999993179</v>
      </c>
      <c r="S17" s="31">
        <f>'FS Desroches Daily'!AF19</f>
        <v>1000</v>
      </c>
      <c r="T17" s="31">
        <f>'FS Desroches Daily'!AH19</f>
        <v>48</v>
      </c>
      <c r="U17" s="35">
        <f>'FS Desroches Daily'!AJ19</f>
        <v>999.99999999988984</v>
      </c>
      <c r="V17" s="35">
        <f>'FS Desroches Daily'!AL19</f>
        <v>289.99999999996362</v>
      </c>
      <c r="W17" s="35">
        <f>'FS Desroches Daily'!AN19</f>
        <v>339.99999999997499</v>
      </c>
      <c r="X17" s="35">
        <f>'FS Desroches Daily'!AP19</f>
        <v>110.00000000001364</v>
      </c>
      <c r="Y17" s="35">
        <f>'FS Desroches Daily'!AR19</f>
        <v>129.99999999999545</v>
      </c>
      <c r="Z17" s="35">
        <f>'FS Desroches Daily'!AU20</f>
        <v>390.74</v>
      </c>
      <c r="AA17" s="35">
        <f>'FS Desroches Daily'!AU20</f>
        <v>390.74</v>
      </c>
      <c r="AB17" s="35">
        <f>'FS Desroches Daily'!AV19</f>
        <v>69.999999999993179</v>
      </c>
      <c r="AC17" s="35">
        <f>'FS Desroches Daily'!AZ19</f>
        <v>159.99999999996817</v>
      </c>
      <c r="AD17" s="35">
        <f>'FS Desroches Daily'!BB19</f>
        <v>69.999999999993179</v>
      </c>
      <c r="AE17" s="35">
        <f>'FS Desroches Daily'!BD19</f>
        <v>129.99999999999545</v>
      </c>
      <c r="AF17" s="31">
        <f>'FS Desroches Daily'!BF19</f>
        <v>47</v>
      </c>
      <c r="AG17" s="32">
        <f>'FS Desroches Daily'!BH19</f>
        <v>49.999999999954525</v>
      </c>
      <c r="AH17" s="32">
        <f>'FS Desroches Daily'!BJ19</f>
        <v>50.000000000011369</v>
      </c>
      <c r="AI17" s="32">
        <f>'FS Desroches Daily'!BL19</f>
        <v>60.000000000002274</v>
      </c>
      <c r="AJ17" s="32">
        <f>'FS Desroches Daily'!BN19</f>
        <v>49.999999999982947</v>
      </c>
      <c r="AK17" s="32">
        <f>'FS Desroches Daily'!BP19</f>
        <v>50.000000000011369</v>
      </c>
      <c r="AL17" s="32">
        <f>'FS Desroches Daily'!BR19</f>
        <v>52</v>
      </c>
      <c r="AM17" s="32">
        <f>'FS Desroches Daily'!BT19</f>
        <v>79.999999999984084</v>
      </c>
      <c r="AN17" s="32">
        <f>'FS Desroches Daily'!BV19</f>
        <v>42</v>
      </c>
      <c r="AO17" s="32">
        <f>'FS Desroches Daily'!BX19</f>
        <v>70.000000000050022</v>
      </c>
      <c r="AP17" s="32">
        <f>'FS Desroches Daily'!BZ19</f>
        <v>62</v>
      </c>
      <c r="AQ17" s="31">
        <f>'FS Desroches Daily'!CB19</f>
        <v>49.299999999988358</v>
      </c>
      <c r="AR17" s="31">
        <f>'FS Desroches Daily'!CD19</f>
        <v>21.700000000000728</v>
      </c>
      <c r="AS17" s="31">
        <f>'FS Desroches Daily'!CF19</f>
        <v>4</v>
      </c>
      <c r="AT17" s="31">
        <f>'FS Desroches Daily'!CH19</f>
        <v>32.30000000000291</v>
      </c>
      <c r="AU17" s="31">
        <f>'FS Desroches Daily'!CJ19</f>
        <v>342</v>
      </c>
      <c r="AV17" s="31">
        <f>'FS Desroches Daily'!CL19</f>
        <v>1100.0000000001364</v>
      </c>
      <c r="AW17" s="31">
        <f>'FS Desroches Daily'!CM19</f>
        <v>99.200000000000728</v>
      </c>
      <c r="AX17" s="31">
        <f>IF(LPG!F24-LPG!F23&lt;0,"0",(LPG!F24-LPG!F23)*1.8315)</f>
        <v>0</v>
      </c>
      <c r="AY17" s="31">
        <f>IF(LPG!H24-LPG!H23&lt;0,"0",(LPG!H24-LPG!H23)*1.8315)</f>
        <v>5.4944999999999995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27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3</v>
      </c>
      <c r="D18" s="27">
        <v>2023</v>
      </c>
      <c r="E18" s="31">
        <f>'FS Desroches Daily'!D20</f>
        <v>2999.9999999996694</v>
      </c>
      <c r="F18" s="32">
        <f>'FS Desroches Daily'!F20</f>
        <v>3499.9999999998367</v>
      </c>
      <c r="G18" s="31">
        <f>'FS Desroches Daily'!H20</f>
        <v>3899.9999999997926</v>
      </c>
      <c r="H18" s="32">
        <f>'FS Desroches Daily'!J20</f>
        <v>2099.9999999999909</v>
      </c>
      <c r="I18" s="31">
        <f>'FS Desroches Daily'!L20</f>
        <v>2500.0000000003906</v>
      </c>
      <c r="J18" s="32">
        <f>'FS Desroches Daily'!N20</f>
        <v>2199.9999999997576</v>
      </c>
      <c r="K18" s="13">
        <f>'FS Desroches Daily'!P20</f>
        <v>59</v>
      </c>
      <c r="L18" s="31">
        <f>'FS Desroches Daily'!R20</f>
        <v>9</v>
      </c>
      <c r="M18" s="31">
        <f>'FS Desroches Daily'!T20</f>
        <v>1200.0000000000455</v>
      </c>
      <c r="N18" s="31">
        <f>'FS Desroches Daily'!V20</f>
        <v>564</v>
      </c>
      <c r="O18" s="31">
        <f>'FS Desroches Daily'!X20</f>
        <v>429.99999999994998</v>
      </c>
      <c r="P18" s="31">
        <f>'FS Desroches Daily'!Z20</f>
        <v>3099.9999999998809</v>
      </c>
      <c r="Q18" s="31">
        <f>'FS Desroches Daily'!AB20</f>
        <v>470.00000000002728</v>
      </c>
      <c r="R18" s="31">
        <f>'FS Desroches Daily'!AD20</f>
        <v>509.99999999999091</v>
      </c>
      <c r="S18" s="31">
        <f>'FS Desroches Daily'!AF20</f>
        <v>1100.0000000000227</v>
      </c>
      <c r="T18" s="31">
        <f>'FS Desroches Daily'!AH20</f>
        <v>34</v>
      </c>
      <c r="U18" s="35">
        <f>'FS Desroches Daily'!AJ20</f>
        <v>900.0000000001229</v>
      </c>
      <c r="V18" s="35">
        <f>'FS Desroches Daily'!AL20</f>
        <v>319.99999999999318</v>
      </c>
      <c r="W18" s="35">
        <f>'FS Desroches Daily'!AN20</f>
        <v>329.99999999998408</v>
      </c>
      <c r="X18" s="35">
        <f>'FS Desroches Daily'!AP20</f>
        <v>230.00000000001819</v>
      </c>
      <c r="Y18" s="35">
        <f>'FS Desroches Daily'!AR20</f>
        <v>160.00000000002501</v>
      </c>
      <c r="Z18" s="35">
        <f>'FS Desroches Daily'!AT20</f>
        <v>180.00000000000682</v>
      </c>
      <c r="AA18" s="35">
        <f>'FS Desroches Daily'!AT20</f>
        <v>180.00000000000682</v>
      </c>
      <c r="AB18" s="35">
        <f>'FS Desroches Daily'!AV20</f>
        <v>60.000000000002274</v>
      </c>
      <c r="AC18" s="35">
        <f>'FS Desroches Daily'!AZ20</f>
        <v>180.00000000000682</v>
      </c>
      <c r="AD18" s="35">
        <f>'FS Desroches Daily'!BB20</f>
        <v>69.999999999993179</v>
      </c>
      <c r="AE18" s="35">
        <f>'FS Desroches Daily'!BD20</f>
        <v>100.00000000002274</v>
      </c>
      <c r="AF18" s="31">
        <f>'FS Desroches Daily'!BF20</f>
        <v>43</v>
      </c>
      <c r="AG18" s="32">
        <f>'FS Desroches Daily'!BH20</f>
        <v>60.000000000002274</v>
      </c>
      <c r="AH18" s="32">
        <f>'FS Desroches Daily'!BJ20</f>
        <v>50.000000000011369</v>
      </c>
      <c r="AI18" s="32">
        <f>'FS Desroches Daily'!BL20</f>
        <v>79.999999999984084</v>
      </c>
      <c r="AJ18" s="32">
        <f>'FS Desroches Daily'!BN20</f>
        <v>60.000000000002274</v>
      </c>
      <c r="AK18" s="32">
        <f>'FS Desroches Daily'!BP20</f>
        <v>69.999999999993179</v>
      </c>
      <c r="AL18" s="32">
        <f>'FS Desroches Daily'!BR20</f>
        <v>52</v>
      </c>
      <c r="AM18" s="32">
        <f>'FS Desroches Daily'!BT20</f>
        <v>80.000000000012506</v>
      </c>
      <c r="AN18" s="32">
        <f>'FS Desroches Daily'!BV20</f>
        <v>54</v>
      </c>
      <c r="AO18" s="32">
        <f>'FS Desroches Daily'!BX20</f>
        <v>69.999999999993179</v>
      </c>
      <c r="AP18" s="32">
        <f>'FS Desroches Daily'!BZ20</f>
        <v>69</v>
      </c>
      <c r="AQ18" s="31">
        <f>'FS Desroches Daily'!CB20</f>
        <v>66.100000000005821</v>
      </c>
      <c r="AR18" s="31">
        <f>'FS Desroches Daily'!CD20</f>
        <v>12.700000000000728</v>
      </c>
      <c r="AS18" s="31">
        <f>'FS Desroches Daily'!CF20</f>
        <v>4.5</v>
      </c>
      <c r="AT18" s="31">
        <f>'FS Desroches Daily'!CH20</f>
        <v>27</v>
      </c>
      <c r="AU18" s="31">
        <f>'FS Desroches Daily'!CJ20</f>
        <v>334</v>
      </c>
      <c r="AV18" s="31">
        <f>'FS Desroches Daily'!CL20</f>
        <v>1099.9999999999091</v>
      </c>
      <c r="AW18" s="31">
        <f>'FS Desroches Daily'!CM20</f>
        <v>101.90000000000146</v>
      </c>
      <c r="AX18" s="31">
        <f>IF(LPG!F25-LPG!F24&lt;0,"0",(LPG!F25-LPG!F24)*1.8315)</f>
        <v>0</v>
      </c>
      <c r="AY18" s="31">
        <f>IF(LPG!H25-LPG!H24&lt;0,"0",(LPG!H25-LPG!H24)*1.8315)</f>
        <v>5.4944999999999995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28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3</v>
      </c>
      <c r="D19" s="27">
        <v>2023</v>
      </c>
      <c r="E19" s="31">
        <f>'FS Desroches Daily'!D21</f>
        <v>2900.0000000003465</v>
      </c>
      <c r="F19" s="32">
        <f>'FS Desroches Daily'!F21</f>
        <v>3699.9999999993706</v>
      </c>
      <c r="G19" s="31">
        <f>'FS Desroches Daily'!H21</f>
        <v>3899.9999999997926</v>
      </c>
      <c r="H19" s="32">
        <f>'FS Desroches Daily'!J21</f>
        <v>1900.0000000000127</v>
      </c>
      <c r="I19" s="31">
        <f>'FS Desroches Daily'!L21</f>
        <v>2499.9999999995025</v>
      </c>
      <c r="J19" s="32">
        <f>'FS Desroches Daily'!N21</f>
        <v>2099.9999999999909</v>
      </c>
      <c r="K19" s="13">
        <f>'FS Desroches Daily'!P21</f>
        <v>38</v>
      </c>
      <c r="L19" s="31">
        <f>'FS Desroches Daily'!R21</f>
        <v>5</v>
      </c>
      <c r="M19" s="31">
        <f>'FS Desroches Daily'!T21</f>
        <v>1500</v>
      </c>
      <c r="N19" s="31">
        <f>'FS Desroches Daily'!V21</f>
        <v>617.29999999993015</v>
      </c>
      <c r="O19" s="31">
        <f>'FS Desroches Daily'!X21</f>
        <v>540.00000000007731</v>
      </c>
      <c r="P19" s="31">
        <f>'FS Desroches Daily'!Z21</f>
        <v>3600.0000000004916</v>
      </c>
      <c r="Q19" s="31">
        <f>'FS Desroches Daily'!AB21</f>
        <v>480.00000000001819</v>
      </c>
      <c r="R19" s="31">
        <f>'FS Desroches Daily'!AD21</f>
        <v>500</v>
      </c>
      <c r="S19" s="31">
        <f>'FS Desroches Daily'!AF21</f>
        <v>1099.9999999999091</v>
      </c>
      <c r="T19" s="31">
        <f>'FS Desroches Daily'!AH21</f>
        <v>91</v>
      </c>
      <c r="U19" s="35">
        <f>'FS Desroches Daily'!AJ21</f>
        <v>999.99999999988984</v>
      </c>
      <c r="V19" s="35">
        <f>'FS Desroches Daily'!AL21</f>
        <v>250</v>
      </c>
      <c r="W19" s="35">
        <f>'FS Desroches Daily'!AN21</f>
        <v>360.00000000001364</v>
      </c>
      <c r="X19" s="35">
        <f>'FS Desroches Daily'!AP21</f>
        <v>300.00000000001137</v>
      </c>
      <c r="Y19" s="35">
        <f>'FS Desroches Daily'!AR21</f>
        <v>169.99999999995907</v>
      </c>
      <c r="Z19" s="35">
        <f>'FS Desroches Daily'!AT21</f>
        <v>139.99999999998636</v>
      </c>
      <c r="AA19" s="35">
        <f>'FS Desroches Daily'!AT21</f>
        <v>139.99999999998636</v>
      </c>
      <c r="AB19" s="35">
        <f>'FS Desroches Daily'!AV21</f>
        <v>89.999999999974989</v>
      </c>
      <c r="AC19" s="35">
        <f>'FS Desroches Daily'!AZ21</f>
        <v>160.00000000002501</v>
      </c>
      <c r="AD19" s="35">
        <f>'FS Desroches Daily'!BB21</f>
        <v>100.00000000002274</v>
      </c>
      <c r="AE19" s="35">
        <f>'FS Desroches Daily'!BD21</f>
        <v>120.00000000000455</v>
      </c>
      <c r="AF19" s="31">
        <f>'FS Desroches Daily'!BF21</f>
        <v>47</v>
      </c>
      <c r="AG19" s="32">
        <f>'FS Desroches Daily'!BH21</f>
        <v>60.000000000002274</v>
      </c>
      <c r="AH19" s="32">
        <f>'FS Desroches Daily'!BJ21</f>
        <v>39.99999999996362</v>
      </c>
      <c r="AI19" s="32">
        <f>'FS Desroches Daily'!BL21</f>
        <v>60.000000000002274</v>
      </c>
      <c r="AJ19" s="32">
        <f>'FS Desroches Daily'!BN21</f>
        <v>50.000000000011369</v>
      </c>
      <c r="AK19" s="32">
        <f>'FS Desroches Daily'!BP21</f>
        <v>60.000000000002274</v>
      </c>
      <c r="AL19" s="32">
        <f>'FS Desroches Daily'!BR21</f>
        <v>51</v>
      </c>
      <c r="AM19" s="32">
        <f>'FS Desroches Daily'!BT21</f>
        <v>60.000000000002274</v>
      </c>
      <c r="AN19" s="32">
        <f>'FS Desroches Daily'!BV21</f>
        <v>39</v>
      </c>
      <c r="AO19" s="32">
        <f>'FS Desroches Daily'!BX21</f>
        <v>60.000000000002274</v>
      </c>
      <c r="AP19" s="32">
        <f>'FS Desroches Daily'!BZ21</f>
        <v>62</v>
      </c>
      <c r="AQ19" s="31">
        <f>'FS Desroches Daily'!CB21</f>
        <v>90.80000000000291</v>
      </c>
      <c r="AR19" s="31">
        <f>'FS Desroches Daily'!CD21</f>
        <v>13.599999999998545</v>
      </c>
      <c r="AS19" s="31">
        <f>'FS Desroches Daily'!CF21</f>
        <v>4.8000000000010914</v>
      </c>
      <c r="AT19" s="31">
        <f>'FS Desroches Daily'!CH21</f>
        <v>36.400000000008731</v>
      </c>
      <c r="AU19" s="31">
        <f>'FS Desroches Daily'!CJ21</f>
        <v>325</v>
      </c>
      <c r="AV19" s="31">
        <f>'FS Desroches Daily'!CL21</f>
        <v>1100.0000000001364</v>
      </c>
      <c r="AW19" s="31">
        <f>'FS Desroches Daily'!CM21</f>
        <v>125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3.6629999999999998</v>
      </c>
      <c r="BC19" s="13">
        <f>'FS Desroches Daily'!CN21</f>
        <v>31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3</v>
      </c>
      <c r="D20" s="27">
        <v>2023</v>
      </c>
      <c r="E20" s="31">
        <f>'FS Desroches Daily'!D22</f>
        <v>2499.9999999999468</v>
      </c>
      <c r="F20" s="32">
        <f>'FS Desroches Daily'!F22</f>
        <v>3300.0000000003029</v>
      </c>
      <c r="G20" s="31">
        <f>'FS Desroches Daily'!H22</f>
        <v>3800.0000000000255</v>
      </c>
      <c r="H20" s="32">
        <f>'FS Desroches Daily'!J22</f>
        <v>1700.0000000000348</v>
      </c>
      <c r="I20" s="31">
        <f>'FS Desroches Daily'!L22</f>
        <v>2200.0000000002019</v>
      </c>
      <c r="J20" s="32">
        <f>'FS Desroches Daily'!N22</f>
        <v>1600.0000000002678</v>
      </c>
      <c r="K20" s="13">
        <f>'FS Desroches Daily'!P22</f>
        <v>46</v>
      </c>
      <c r="L20" s="31">
        <f>'FS Desroches Daily'!R22</f>
        <v>4</v>
      </c>
      <c r="M20" s="31">
        <f>'FS Desroches Daily'!T22</f>
        <v>1299.9999999999545</v>
      </c>
      <c r="N20" s="31">
        <f>'FS Desroches Daily'!V22</f>
        <v>474.59999999997672</v>
      </c>
      <c r="O20" s="31">
        <f>'FS Desroches Daily'!X22</f>
        <v>329.99999999992724</v>
      </c>
      <c r="P20" s="31">
        <f>'FS Desroches Daily'!Z22</f>
        <v>2699.9999999999245</v>
      </c>
      <c r="Q20" s="31">
        <f>'FS Desroches Daily'!AB22</f>
        <v>259.99999999999091</v>
      </c>
      <c r="R20" s="31">
        <f>'FS Desroches Daily'!AD22</f>
        <v>310.00000000005912</v>
      </c>
      <c r="S20" s="31">
        <f>'FS Desroches Daily'!AF22</f>
        <v>800.00000000006821</v>
      </c>
      <c r="T20" s="31">
        <f>'FS Desroches Daily'!AH22</f>
        <v>38</v>
      </c>
      <c r="U20" s="35">
        <f>'FS Desroches Daily'!AJ22</f>
        <v>800.00000000013392</v>
      </c>
      <c r="V20" s="35">
        <f>'FS Desroches Daily'!AL22</f>
        <v>140.0000000000432</v>
      </c>
      <c r="W20" s="35">
        <f>'FS Desroches Daily'!AN22</f>
        <v>150.00000000003411</v>
      </c>
      <c r="X20" s="35">
        <f>'FS Desroches Daily'!AP22</f>
        <v>209.99999999997954</v>
      </c>
      <c r="Y20" s="35">
        <f>'FS Desroches Daily'!AR22</f>
        <v>160.00000000002501</v>
      </c>
      <c r="Z20" s="35">
        <f>'FS Desroches Daily'!AT22</f>
        <v>79.999999999984084</v>
      </c>
      <c r="AA20" s="35">
        <f>'FS Desroches Daily'!AT22</f>
        <v>79.999999999984084</v>
      </c>
      <c r="AB20" s="35">
        <f>'FS Desroches Daily'!AV22</f>
        <v>69.999999999993179</v>
      </c>
      <c r="AC20" s="35">
        <f>'FS Desroches Daily'!AZ22</f>
        <v>79.999999999984084</v>
      </c>
      <c r="AD20" s="35">
        <f>'FS Desroches Daily'!BB22</f>
        <v>69.999999999993179</v>
      </c>
      <c r="AE20" s="35">
        <f>'FS Desroches Daily'!BD22</f>
        <v>79.999999999984084</v>
      </c>
      <c r="AF20" s="31">
        <f>'FS Desroches Daily'!BF22</f>
        <v>37</v>
      </c>
      <c r="AG20" s="32">
        <f>'FS Desroches Daily'!BH22</f>
        <v>40.000000000020464</v>
      </c>
      <c r="AH20" s="32">
        <f>'FS Desroches Daily'!BJ22</f>
        <v>40.000000000020464</v>
      </c>
      <c r="AI20" s="32">
        <f>'FS Desroches Daily'!BL22</f>
        <v>60.000000000002274</v>
      </c>
      <c r="AJ20" s="32">
        <f>'FS Desroches Daily'!BN22</f>
        <v>39.999999999992042</v>
      </c>
      <c r="AK20" s="32">
        <f>'FS Desroches Daily'!BP22</f>
        <v>50.000000000011369</v>
      </c>
      <c r="AL20" s="32">
        <f>'FS Desroches Daily'!BR22</f>
        <v>38</v>
      </c>
      <c r="AM20" s="32">
        <f>'FS Desroches Daily'!BT22</f>
        <v>49.999999999982947</v>
      </c>
      <c r="AN20" s="32">
        <f>'FS Desroches Daily'!BV22</f>
        <v>35</v>
      </c>
      <c r="AO20" s="32">
        <f>'FS Desroches Daily'!BX22</f>
        <v>39.99999999996362</v>
      </c>
      <c r="AP20" s="32">
        <f>'FS Desroches Daily'!BZ22</f>
        <v>50</v>
      </c>
      <c r="AQ20" s="31">
        <f>'FS Desroches Daily'!CB22</f>
        <v>71.69999999999709</v>
      </c>
      <c r="AR20" s="31">
        <f>'FS Desroches Daily'!CD22</f>
        <v>8.2999999999992724</v>
      </c>
      <c r="AS20" s="31">
        <f>'FS Desroches Daily'!CF22</f>
        <v>2.2999999999992724</v>
      </c>
      <c r="AT20" s="31">
        <f>'FS Desroches Daily'!CH22</f>
        <v>38.299999999988358</v>
      </c>
      <c r="AU20" s="31">
        <f>'FS Desroches Daily'!CJ22</f>
        <v>310</v>
      </c>
      <c r="AV20" s="31">
        <f>'FS Desroches Daily'!CL22</f>
        <v>1000</v>
      </c>
      <c r="AW20" s="31">
        <f>'FS Desroches Daily'!CM22</f>
        <v>105.79999999999927</v>
      </c>
      <c r="AX20" s="31">
        <f>IF(LPG!F27-LPG!F26&lt;0,"0",(LPG!F27-LPG!F26)*1.8315)</f>
        <v>0</v>
      </c>
      <c r="AY20" s="31">
        <f>IF(LPG!H27-LPG!H26&lt;0,"0",(LPG!H27-LPG!H26)*1.8315)</f>
        <v>3.6629999999999998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43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3</v>
      </c>
      <c r="D21" s="27">
        <v>2023</v>
      </c>
      <c r="E21" s="31">
        <f>'FS Desroches Daily'!D23</f>
        <v>2599.9999999997135</v>
      </c>
      <c r="F21" s="32">
        <f>'FS Desroches Daily'!F23</f>
        <v>3400.0000000000696</v>
      </c>
      <c r="G21" s="31">
        <f>'FS Desroches Daily'!H23</f>
        <v>3700.0000000002588</v>
      </c>
      <c r="H21" s="32">
        <f>'FS Desroches Daily'!J23</f>
        <v>1900.0000000000127</v>
      </c>
      <c r="I21" s="31">
        <f>'FS Desroches Daily'!L23</f>
        <v>2399.9999999997358</v>
      </c>
      <c r="J21" s="32">
        <f>'FS Desroches Daily'!N23</f>
        <v>1799.9999999998017</v>
      </c>
      <c r="K21" s="13">
        <f>'FS Desroches Daily'!P23</f>
        <v>69</v>
      </c>
      <c r="L21" s="31">
        <f>'FS Desroches Daily'!R23</f>
        <v>9</v>
      </c>
      <c r="M21" s="31">
        <f>'FS Desroches Daily'!T23</f>
        <v>1099.9999999999091</v>
      </c>
      <c r="N21" s="31">
        <f>'FS Desroches Daily'!V23</f>
        <v>407.30000000004657</v>
      </c>
      <c r="O21" s="31">
        <f>'FS Desroches Daily'!X23</f>
        <v>340.00000000003183</v>
      </c>
      <c r="P21" s="31">
        <f>'FS Desroches Daily'!Z23</f>
        <v>2900.0000000003465</v>
      </c>
      <c r="Q21" s="31">
        <f>'FS Desroches Daily'!AB23</f>
        <v>450.00000000004547</v>
      </c>
      <c r="R21" s="31">
        <f>'FS Desroches Daily'!AD23</f>
        <v>360.00000000001364</v>
      </c>
      <c r="S21" s="31">
        <f>'FS Desroches Daily'!AF23</f>
        <v>899.99999999997726</v>
      </c>
      <c r="T21" s="31">
        <f>'FS Desroches Daily'!AH23</f>
        <v>38</v>
      </c>
      <c r="U21" s="35">
        <f>'FS Desroches Daily'!AJ23</f>
        <v>799.99999999991189</v>
      </c>
      <c r="V21" s="35">
        <f>'FS Desroches Daily'!AL23</f>
        <v>199.99999999998863</v>
      </c>
      <c r="W21" s="35">
        <f>'FS Desroches Daily'!AN23</f>
        <v>139.99999999998636</v>
      </c>
      <c r="X21" s="35">
        <f>'FS Desroches Daily'!AP23</f>
        <v>280.00000000002956</v>
      </c>
      <c r="Y21" s="35">
        <f>'FS Desroches Daily'!AR23</f>
        <v>170.00000000001592</v>
      </c>
      <c r="Z21" s="35">
        <f>'FS Desroches Daily'!AT23</f>
        <v>110.00000000001364</v>
      </c>
      <c r="AA21" s="35">
        <f>'FS Desroches Daily'!AT23</f>
        <v>110.00000000001364</v>
      </c>
      <c r="AB21" s="35">
        <f>'FS Desroches Daily'!AV23</f>
        <v>60.000000000002274</v>
      </c>
      <c r="AC21" s="35">
        <f>'FS Desroches Daily'!AZ23</f>
        <v>129.99999999999545</v>
      </c>
      <c r="AD21" s="35">
        <f>'FS Desroches Daily'!BB23</f>
        <v>99.999999999965894</v>
      </c>
      <c r="AE21" s="35">
        <f>'FS Desroches Daily'!BD23</f>
        <v>89.999999999974989</v>
      </c>
      <c r="AF21" s="31">
        <f>'FS Desroches Daily'!BF23</f>
        <v>38</v>
      </c>
      <c r="AG21" s="32">
        <f>'FS Desroches Daily'!BH23</f>
        <v>50.000000000011369</v>
      </c>
      <c r="AH21" s="32">
        <f>'FS Desroches Daily'!BJ23</f>
        <v>39.99999999996362</v>
      </c>
      <c r="AI21" s="32">
        <f>'FS Desroches Daily'!BL23</f>
        <v>60.000000000002274</v>
      </c>
      <c r="AJ21" s="32">
        <f>'FS Desroches Daily'!BN23</f>
        <v>50.000000000011369</v>
      </c>
      <c r="AK21" s="32">
        <f>'FS Desroches Daily'!BP23</f>
        <v>60.000000000002274</v>
      </c>
      <c r="AL21" s="32">
        <f>'FS Desroches Daily'!BR23</f>
        <v>48</v>
      </c>
      <c r="AM21" s="32">
        <f>'FS Desroches Daily'!BT23</f>
        <v>60.000000000002274</v>
      </c>
      <c r="AN21" s="32">
        <f>'FS Desroches Daily'!BV23</f>
        <v>39</v>
      </c>
      <c r="AO21" s="32">
        <f>'FS Desroches Daily'!BX23</f>
        <v>60.000000000002274</v>
      </c>
      <c r="AP21" s="32">
        <f>'FS Desroches Daily'!BZ23</f>
        <v>56</v>
      </c>
      <c r="AQ21" s="31">
        <f>'FS Desroches Daily'!CB23</f>
        <v>61.100000000005821</v>
      </c>
      <c r="AR21" s="31">
        <f>'FS Desroches Daily'!CD23</f>
        <v>19.700000000000728</v>
      </c>
      <c r="AS21" s="31">
        <f>'FS Desroches Daily'!CF23</f>
        <v>3.5</v>
      </c>
      <c r="AT21" s="31">
        <f>'FS Desroches Daily'!CH23</f>
        <v>33.600000000005821</v>
      </c>
      <c r="AU21" s="31">
        <f>'FS Desroches Daily'!CJ23</f>
        <v>324</v>
      </c>
      <c r="AV21" s="31">
        <f>'FS Desroches Daily'!CL23</f>
        <v>1099.9999999999091</v>
      </c>
      <c r="AW21" s="31">
        <f>'FS Desroches Daily'!CM23</f>
        <v>97</v>
      </c>
      <c r="AX21" s="31" t="str">
        <f>IF(LPG!F28-LPG!F27&lt;0,"0",(LPG!F28-LPG!F27)*1.8315)</f>
        <v>0</v>
      </c>
      <c r="AY21" s="31" t="str">
        <f>IF(LPG!H28-LPG!H27&lt;0,"0",(LPG!H28-LPG!H27)*1.8315)</f>
        <v>0</v>
      </c>
      <c r="AZ21" s="31" t="str">
        <f>IF(LPG!J28-LPG!J27&lt;0,"0",(LPG!J28-LPG!J27)*1.8315)</f>
        <v>0</v>
      </c>
      <c r="BA21" s="31" t="str">
        <f>IF(LPG!M28-LPG!M27&lt;0,"0",(LPG!M28-LPG!M27)*1.8315)</f>
        <v>0</v>
      </c>
      <c r="BB21" s="31" t="str">
        <f>IF(LPG!Q28-LPG!Q27&lt;0,"0",(LPG!Q28-LPG!Q27)*1.8315)</f>
        <v>0</v>
      </c>
      <c r="BC21" s="13">
        <f>'FS Desroches Daily'!CN23</f>
        <v>43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3</v>
      </c>
      <c r="D22" s="27">
        <v>2023</v>
      </c>
      <c r="E22" s="31" t="str">
        <f>'FS Desroches Daily'!D24</f>
        <v>0</v>
      </c>
      <c r="F22" s="32" t="str">
        <f>'FS Desroches Daily'!F24</f>
        <v>0</v>
      </c>
      <c r="G22" s="31" t="str">
        <f>'FS Desroches Daily'!H24</f>
        <v>0</v>
      </c>
      <c r="H22" s="32" t="str">
        <f>'FS Desroches Daily'!J24</f>
        <v>0</v>
      </c>
      <c r="I22" s="31" t="str">
        <f>'FS Desroches Daily'!L24</f>
        <v>0</v>
      </c>
      <c r="J22" s="32" t="str">
        <f>'FS Desroches Daily'!N24</f>
        <v/>
      </c>
      <c r="K22" s="13" t="str">
        <f>'FS Desroches Daily'!P24</f>
        <v/>
      </c>
      <c r="L22" s="31" t="str">
        <f>'FS Desroches Daily'!R24</f>
        <v/>
      </c>
      <c r="M22" s="31" t="e">
        <f>'FS Desroches Daily'!T24</f>
        <v>#VALUE!</v>
      </c>
      <c r="N22" s="31" t="str">
        <f>'FS Desroches Daily'!V24</f>
        <v/>
      </c>
      <c r="O22" s="31" t="str">
        <f>'FS Desroches Daily'!X24</f>
        <v/>
      </c>
      <c r="P22" s="31" t="str">
        <f>'FS Desroches Daily'!Z24</f>
        <v/>
      </c>
      <c r="Q22" s="31" t="str">
        <f>'FS Desroches Daily'!AB24</f>
        <v/>
      </c>
      <c r="R22" s="31" t="str">
        <f>'FS Desroches Daily'!AD24</f>
        <v/>
      </c>
      <c r="S22" s="31" t="str">
        <f>'FS Desroches Daily'!AF24</f>
        <v/>
      </c>
      <c r="T22" s="31" t="str">
        <f>'FS Desroches Daily'!AH24</f>
        <v/>
      </c>
      <c r="U22" s="35" t="str">
        <f>'FS Desroches Daily'!AJ24</f>
        <v/>
      </c>
      <c r="V22" s="35" t="str">
        <f>'FS Desroches Daily'!AL24</f>
        <v/>
      </c>
      <c r="W22" s="35" t="str">
        <f>'FS Desroches Daily'!AN24</f>
        <v/>
      </c>
      <c r="X22" s="35" t="str">
        <f>'FS Desroches Daily'!AP24</f>
        <v/>
      </c>
      <c r="Y22" s="35" t="str">
        <f>'FS Desroches Daily'!AR24</f>
        <v/>
      </c>
      <c r="Z22" s="35" t="str">
        <f>'FS Desroches Daily'!AT24</f>
        <v/>
      </c>
      <c r="AA22" s="35" t="str">
        <f>'FS Desroches Daily'!AT24</f>
        <v/>
      </c>
      <c r="AB22" s="35" t="str">
        <f>'FS Desroches Daily'!AV24</f>
        <v/>
      </c>
      <c r="AC22" s="35" t="str">
        <f>'FS Desroches Daily'!AZ24</f>
        <v/>
      </c>
      <c r="AD22" s="35" t="str">
        <f>'FS Desroches Daily'!BB24</f>
        <v/>
      </c>
      <c r="AE22" s="35" t="str">
        <f>'FS Desroches Daily'!BD24</f>
        <v/>
      </c>
      <c r="AF22" s="31" t="str">
        <f>'FS Desroches Daily'!BF24</f>
        <v/>
      </c>
      <c r="AG22" s="32" t="str">
        <f>'FS Desroches Daily'!BH24</f>
        <v/>
      </c>
      <c r="AH22" s="32" t="str">
        <f>'FS Desroches Daily'!BJ24</f>
        <v/>
      </c>
      <c r="AI22" s="32" t="str">
        <f>'FS Desroches Daily'!BL24</f>
        <v/>
      </c>
      <c r="AJ22" s="32" t="str">
        <f>'FS Desroches Daily'!BN24</f>
        <v/>
      </c>
      <c r="AK22" s="32" t="str">
        <f>'FS Desroches Daily'!BP24</f>
        <v/>
      </c>
      <c r="AL22" s="32" t="str">
        <f>'FS Desroches Daily'!BR24</f>
        <v/>
      </c>
      <c r="AM22" s="32" t="str">
        <f>'FS Desroches Daily'!BT24</f>
        <v/>
      </c>
      <c r="AN22" s="32" t="str">
        <f>'FS Desroches Daily'!BV24</f>
        <v/>
      </c>
      <c r="AO22" s="32" t="str">
        <f>'FS Desroches Daily'!BX24</f>
        <v/>
      </c>
      <c r="AP22" s="32" t="str">
        <f>'FS Desroches Daily'!BZ24</f>
        <v/>
      </c>
      <c r="AQ22" s="31" t="str">
        <f>'FS Desroches Daily'!CB24</f>
        <v/>
      </c>
      <c r="AR22" s="31" t="str">
        <f>'FS Desroches Daily'!CD24</f>
        <v/>
      </c>
      <c r="AS22" s="31" t="str">
        <f>'FS Desroches Daily'!CF24</f>
        <v/>
      </c>
      <c r="AT22" s="31" t="str">
        <f>'FS Desroches Daily'!CH24</f>
        <v/>
      </c>
      <c r="AU22" s="31" t="str">
        <f>'FS Desroches Daily'!CJ24</f>
        <v/>
      </c>
      <c r="AV22" s="31" t="str">
        <f>'FS Desroches Daily'!CL24</f>
        <v/>
      </c>
      <c r="AW22" s="31" t="e">
        <f>'FS Desroches Daily'!CM24</f>
        <v>#VALUE!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3</v>
      </c>
      <c r="D23" s="27">
        <v>2023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3</v>
      </c>
      <c r="D24" s="27">
        <v>2023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3</v>
      </c>
      <c r="D25" s="27">
        <v>2023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3</v>
      </c>
      <c r="D26" s="27">
        <v>2023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3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3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3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3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3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3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53799.999999999862</v>
      </c>
      <c r="F33" s="17">
        <f t="shared" ref="F33:BC33" si="0">SUM(F2:F32)</f>
        <v>71200.000000000189</v>
      </c>
      <c r="G33" s="17">
        <f t="shared" si="0"/>
        <v>77799.999999999898</v>
      </c>
      <c r="H33" s="17">
        <f t="shared" si="0"/>
        <v>36799.999999999949</v>
      </c>
      <c r="I33" s="17">
        <f t="shared" si="0"/>
        <v>50899.999999999949</v>
      </c>
      <c r="J33" s="17">
        <f t="shared" si="0"/>
        <v>38499.999999999985</v>
      </c>
      <c r="K33" s="17">
        <f t="shared" si="0"/>
        <v>1036</v>
      </c>
      <c r="L33" s="17">
        <f t="shared" si="0"/>
        <v>143</v>
      </c>
      <c r="M33" s="17" t="e">
        <f t="shared" si="0"/>
        <v>#VALUE!</v>
      </c>
      <c r="N33" s="17">
        <f t="shared" si="0"/>
        <v>10754.099999999977</v>
      </c>
      <c r="O33" s="17">
        <f t="shared" si="0"/>
        <v>8290.0000000000764</v>
      </c>
      <c r="P33" s="17">
        <f t="shared" si="0"/>
        <v>62899.999999999978</v>
      </c>
      <c r="Q33" s="17">
        <f t="shared" si="0"/>
        <v>7620.0000000000045</v>
      </c>
      <c r="R33" s="17">
        <f t="shared" si="0"/>
        <v>9090.0000000000327</v>
      </c>
      <c r="S33" s="17">
        <f t="shared" si="0"/>
        <v>19529.999999999975</v>
      </c>
      <c r="T33" s="17">
        <f t="shared" si="0"/>
        <v>925</v>
      </c>
      <c r="U33" s="35">
        <f t="shared" si="0"/>
        <v>16000.000000000018</v>
      </c>
      <c r="V33" s="35">
        <f t="shared" si="0"/>
        <v>5759.9999999999927</v>
      </c>
      <c r="W33" s="35">
        <f t="shared" si="0"/>
        <v>4740.00000000001</v>
      </c>
      <c r="X33" s="35">
        <f t="shared" si="0"/>
        <v>3460.0000000000364</v>
      </c>
      <c r="Y33" s="35">
        <f t="shared" si="0"/>
        <v>3610.0000000000136</v>
      </c>
      <c r="Z33" s="35">
        <f t="shared" si="0"/>
        <v>2350.7399999999793</v>
      </c>
      <c r="AA33" s="35">
        <f t="shared" si="0"/>
        <v>2350.7399999999793</v>
      </c>
      <c r="AB33" s="35">
        <f t="shared" si="0"/>
        <v>2120.0000000000045</v>
      </c>
      <c r="AC33" s="35">
        <f t="shared" si="0"/>
        <v>3079.9999999999841</v>
      </c>
      <c r="AD33" s="35">
        <f t="shared" si="0"/>
        <v>1979.9999999999613</v>
      </c>
      <c r="AE33" s="35">
        <f t="shared" si="0"/>
        <v>2109.9999999999568</v>
      </c>
      <c r="AF33" s="17">
        <f t="shared" si="0"/>
        <v>849</v>
      </c>
      <c r="AG33" s="32">
        <f t="shared" si="0"/>
        <v>1050.0000000000114</v>
      </c>
      <c r="AH33" s="32">
        <f t="shared" si="0"/>
        <v>859.9999999999568</v>
      </c>
      <c r="AI33" s="32">
        <f t="shared" si="0"/>
        <v>1300.0000000000114</v>
      </c>
      <c r="AJ33" s="32">
        <f t="shared" si="0"/>
        <v>1050.0000000000114</v>
      </c>
      <c r="AK33" s="32">
        <f t="shared" si="0"/>
        <v>1150.0000000000341</v>
      </c>
      <c r="AL33" s="32">
        <f t="shared" si="0"/>
        <v>954</v>
      </c>
      <c r="AM33" s="32">
        <f t="shared" si="0"/>
        <v>1259.9999999999909</v>
      </c>
      <c r="AN33" s="32">
        <f t="shared" si="0"/>
        <v>896</v>
      </c>
      <c r="AO33" s="32">
        <f t="shared" si="0"/>
        <v>1169.9999999999875</v>
      </c>
      <c r="AP33" s="32">
        <f t="shared" si="0"/>
        <v>1201</v>
      </c>
      <c r="AQ33" s="17">
        <f t="shared" si="0"/>
        <v>1318.8000000000029</v>
      </c>
      <c r="AR33" s="17">
        <f t="shared" si="0"/>
        <v>293.5</v>
      </c>
      <c r="AS33" s="17">
        <f t="shared" si="0"/>
        <v>70.899999999999636</v>
      </c>
      <c r="AT33" s="17">
        <f t="shared" si="0"/>
        <v>835.5</v>
      </c>
      <c r="AU33" s="17">
        <f t="shared" si="0"/>
        <v>6584</v>
      </c>
      <c r="AV33" s="17">
        <f t="shared" si="0"/>
        <v>20099.999999999909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100.73249999999999</v>
      </c>
      <c r="BC33" s="17">
        <f t="shared" si="0"/>
        <v>723</v>
      </c>
    </row>
    <row r="35" spans="5:55" x14ac:dyDescent="0.25">
      <c r="E35" s="38">
        <f>E33/E37</f>
        <v>0.19982320474821491</v>
      </c>
      <c r="G35" s="29" t="e">
        <f>G33-M36</f>
        <v>#VALUE!</v>
      </c>
      <c r="AE35" s="35">
        <f>SUM(U33:AE33)</f>
        <v>47561.479999999938</v>
      </c>
      <c r="AG35" s="32">
        <f>SUM(AG33:AP33)</f>
        <v>10891.000000000004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269237.99999999988</v>
      </c>
      <c r="G37" s="37" t="e">
        <f>M36/E37</f>
        <v>#VALUE!</v>
      </c>
      <c r="M37" s="35">
        <f>AE35</f>
        <v>47561.479999999938</v>
      </c>
    </row>
    <row r="38" spans="5:55" x14ac:dyDescent="0.25">
      <c r="L38" s="27">
        <f>M38/E37</f>
        <v>4.0451199310647119E-2</v>
      </c>
      <c r="M38" s="29">
        <f>AG35</f>
        <v>10891.000000000004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1" zoomScale="82" zoomScaleNormal="82" workbookViewId="0">
      <pane ySplit="1" topLeftCell="A17" activePane="bottomLeft" state="frozen"/>
      <selection pane="bottomLeft" activeCell="BG26" sqref="BG2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45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44985</v>
      </c>
      <c r="B3" s="66"/>
      <c r="C3" s="58">
        <v>3.9293</v>
      </c>
      <c r="D3" s="64"/>
      <c r="E3" s="58">
        <v>5.2210999999999999</v>
      </c>
      <c r="F3" s="64"/>
      <c r="G3" s="58">
        <v>5.2621000000000002</v>
      </c>
      <c r="H3" s="64"/>
      <c r="I3" s="58">
        <v>2.5931999999999999</v>
      </c>
      <c r="J3" s="64"/>
      <c r="K3" s="58">
        <v>3.9685999999999999</v>
      </c>
      <c r="L3" s="64"/>
      <c r="M3" s="58">
        <v>2.4032</v>
      </c>
      <c r="N3" s="64"/>
      <c r="O3" s="58">
        <v>29365</v>
      </c>
      <c r="P3" s="67"/>
      <c r="Q3" s="58">
        <v>3694</v>
      </c>
      <c r="R3" s="67"/>
      <c r="S3" s="58">
        <v>1708.8</v>
      </c>
      <c r="T3" s="67"/>
      <c r="U3" s="58">
        <v>673748.4</v>
      </c>
      <c r="V3" s="67"/>
      <c r="W3" s="58">
        <v>605.03</v>
      </c>
      <c r="X3" s="65"/>
      <c r="Y3" s="58">
        <v>4.6073000000000004</v>
      </c>
      <c r="Z3" s="65"/>
      <c r="AA3" s="58">
        <v>611.6</v>
      </c>
      <c r="AB3" s="65"/>
      <c r="AC3" s="58">
        <v>618.75</v>
      </c>
      <c r="AD3" s="65"/>
      <c r="AE3" s="58">
        <v>985.47</v>
      </c>
      <c r="AF3" s="65"/>
      <c r="AG3" s="58">
        <v>28045</v>
      </c>
      <c r="AH3" s="67"/>
      <c r="AI3" s="58">
        <v>1.0509999999999999</v>
      </c>
      <c r="AJ3" s="65"/>
      <c r="AK3" s="58">
        <v>347.54</v>
      </c>
      <c r="AL3" s="65"/>
      <c r="AM3" s="58">
        <v>318.62</v>
      </c>
      <c r="AN3" s="65"/>
      <c r="AO3" s="58">
        <v>306.7</v>
      </c>
      <c r="AP3" s="65"/>
      <c r="AQ3" s="58">
        <v>360.31</v>
      </c>
      <c r="AR3" s="65"/>
      <c r="AS3" s="58">
        <v>485.67</v>
      </c>
      <c r="AT3" s="65"/>
      <c r="AU3" s="58">
        <v>388.84</v>
      </c>
      <c r="AV3" s="65"/>
      <c r="AW3" s="58">
        <v>416.74</v>
      </c>
      <c r="AX3" s="65"/>
      <c r="AY3" s="58">
        <v>451.86</v>
      </c>
      <c r="AZ3" s="65"/>
      <c r="BA3" s="58">
        <v>469.17</v>
      </c>
      <c r="BB3" s="65"/>
      <c r="BC3" s="58">
        <v>301.66000000000003</v>
      </c>
      <c r="BD3" s="65"/>
      <c r="BE3" s="59">
        <v>62636</v>
      </c>
      <c r="BF3" s="67"/>
      <c r="BG3" s="60">
        <v>259.19</v>
      </c>
      <c r="BH3" s="65"/>
      <c r="BI3" s="60">
        <v>313.17</v>
      </c>
      <c r="BJ3" s="65"/>
      <c r="BK3" s="60">
        <v>266.02</v>
      </c>
      <c r="BL3" s="65"/>
      <c r="BM3" s="60">
        <v>249.16</v>
      </c>
      <c r="BN3" s="65"/>
      <c r="BO3" s="60">
        <v>317.39999999999998</v>
      </c>
      <c r="BP3" s="65"/>
      <c r="BQ3" s="60">
        <v>67470</v>
      </c>
      <c r="BR3" s="65"/>
      <c r="BS3" s="60">
        <v>227.68</v>
      </c>
      <c r="BT3" s="65"/>
      <c r="BU3" s="60">
        <v>64712</v>
      </c>
      <c r="BV3" s="65"/>
      <c r="BW3" s="60">
        <v>255.66</v>
      </c>
      <c r="BX3" s="65"/>
      <c r="BY3" s="60">
        <v>87016</v>
      </c>
      <c r="BZ3" s="67"/>
      <c r="CA3" s="60">
        <v>64878.8</v>
      </c>
      <c r="CB3" s="67"/>
      <c r="CC3" s="60">
        <v>19179.5</v>
      </c>
      <c r="CD3" s="67"/>
      <c r="CE3" s="60">
        <v>9154.1</v>
      </c>
      <c r="CF3" s="67"/>
      <c r="CG3" s="60">
        <v>87965</v>
      </c>
      <c r="CH3" s="67"/>
      <c r="CI3" s="60">
        <v>1133040</v>
      </c>
      <c r="CJ3" s="67"/>
      <c r="CK3" s="60">
        <v>1253.4000000000001</v>
      </c>
      <c r="CL3" s="64"/>
      <c r="CM3" s="65"/>
      <c r="CN3" s="62">
        <v>30</v>
      </c>
      <c r="CO3" s="62">
        <v>56</v>
      </c>
      <c r="CP3" s="68">
        <v>55746</v>
      </c>
      <c r="CQ3" s="67"/>
      <c r="CR3" s="68">
        <v>28732.400000000001</v>
      </c>
      <c r="CS3" s="67"/>
      <c r="CT3" s="75">
        <v>13640</v>
      </c>
      <c r="CU3" s="67"/>
      <c r="CV3" s="68">
        <v>32673</v>
      </c>
      <c r="CW3" s="67"/>
      <c r="CX3" s="58">
        <v>6196.5</v>
      </c>
      <c r="CY3" s="67"/>
    </row>
    <row r="4" spans="1:103" ht="25.5" customHeight="1" thickBot="1" x14ac:dyDescent="0.45">
      <c r="A4" s="63">
        <v>44986</v>
      </c>
      <c r="B4" s="68"/>
      <c r="C4" s="58">
        <v>3.9316</v>
      </c>
      <c r="D4" s="64">
        <f t="shared" ref="D4:D34" si="0">IF((C4-C3&lt;0), "0",(C4-C3)*1000000)</f>
        <v>2299.9999999999686</v>
      </c>
      <c r="E4" s="58">
        <v>5.2244000000000002</v>
      </c>
      <c r="F4" s="64">
        <f t="shared" ref="F4:F34" si="1">IF((E4-E3&lt;0), "0",(E4-E3)*1000000)</f>
        <v>3300.0000000003029</v>
      </c>
      <c r="G4" s="58">
        <v>5.2660999999999998</v>
      </c>
      <c r="H4" s="64">
        <f t="shared" ref="H4:H34" si="2">IF((G4-G3&lt;0), "0",(G4-G3)*1000000)</f>
        <v>3999.9999999995593</v>
      </c>
      <c r="I4" s="58">
        <v>2.5949</v>
      </c>
      <c r="J4" s="64">
        <f t="shared" ref="J4:J34" si="3">IF((I4-I3&lt;0), "0",(I4-I3)*1000000)</f>
        <v>1700.0000000000348</v>
      </c>
      <c r="K4" s="58">
        <v>3.9710999999999999</v>
      </c>
      <c r="L4" s="64">
        <f t="shared" ref="L4:L34" si="4">IF((K4-K3&lt;0), "0",(K4-K3)*1000000)</f>
        <v>2499.9999999999468</v>
      </c>
      <c r="M4" s="58">
        <v>2.4049999999999998</v>
      </c>
      <c r="N4" s="64">
        <f t="shared" ref="N4:N34" si="5">IF((M4-M3&lt;0), "",(M4-M3)*1000000)</f>
        <v>1799.9999999998017</v>
      </c>
      <c r="O4" s="58">
        <v>29396</v>
      </c>
      <c r="P4" s="67">
        <f t="shared" ref="P4:P34" si="6">IF((O4-O3&lt;0), "",O4-O3)</f>
        <v>31</v>
      </c>
      <c r="Q4" s="58">
        <v>3698</v>
      </c>
      <c r="R4" s="67">
        <f t="shared" ref="R4:R34" si="7">IF((Q4-Q3&lt;0), "",Q4-Q3)</f>
        <v>4</v>
      </c>
      <c r="S4" s="58">
        <v>1710.2</v>
      </c>
      <c r="T4" s="67">
        <f>IF((S4-S3&lt;0), "",S4-S3)*1000</f>
        <v>1400.0000000000909</v>
      </c>
      <c r="U4" s="58">
        <v>674398.8</v>
      </c>
      <c r="V4" s="67">
        <f t="shared" ref="V4:V34" si="8">IF((U4-U3&lt;0), "",U4-U3)</f>
        <v>650.40000000002328</v>
      </c>
      <c r="W4" s="58">
        <v>605.45000000000005</v>
      </c>
      <c r="X4" s="65">
        <f t="shared" ref="X4:X34" si="9">IF((W4-W3&lt;0), "",(W4-W3)*1000)</f>
        <v>420.00000000007276</v>
      </c>
      <c r="Y4" s="58">
        <v>4.6102999999999996</v>
      </c>
      <c r="Z4" s="65">
        <f t="shared" ref="Z4:Z34" si="10">IF((Y4-Y3&lt;0), "",(Y4-Y3)*1000000)</f>
        <v>2999.9999999992256</v>
      </c>
      <c r="AA4" s="58">
        <v>612</v>
      </c>
      <c r="AB4" s="65">
        <f t="shared" ref="AB4:AB34" si="11">IF((AA4-AA3&lt;0), "",(AA4-AA3)*1000)</f>
        <v>399.99999999997726</v>
      </c>
      <c r="AC4" s="58">
        <v>619.29</v>
      </c>
      <c r="AD4" s="65">
        <f t="shared" ref="AD4:AD34" si="12">IF((AC4-AC3&lt;0), "",(AC4-AC3)*1000)</f>
        <v>539.99999999996362</v>
      </c>
      <c r="AE4" s="58">
        <v>986.26</v>
      </c>
      <c r="AF4" s="65">
        <f t="shared" ref="AF4:AF34" si="13">IF((AE4-AE3&lt;0), "",(AE4-AE3)*1000)</f>
        <v>789.99999999996362</v>
      </c>
      <c r="AG4" s="58">
        <v>28091</v>
      </c>
      <c r="AH4" s="67">
        <f t="shared" ref="AH4:AH34" si="14">IF((AG4-AG3&lt;0), "",AG4-AG3)</f>
        <v>46</v>
      </c>
      <c r="AI4" s="58">
        <v>1.0517000000000001</v>
      </c>
      <c r="AJ4" s="65">
        <f t="shared" ref="AJ4:AJ34" si="15">IF((AI4-AI3&lt;0), "",(AI4-AI3)*1000000)</f>
        <v>700.00000000014495</v>
      </c>
      <c r="AK4" s="58">
        <v>347.79</v>
      </c>
      <c r="AL4" s="65">
        <f t="shared" ref="AL4:AL34" si="16">IF((AK4-AK3&lt;0), "",(AK4-AK3)*1000)</f>
        <v>250</v>
      </c>
      <c r="AM4" s="58">
        <v>318.82</v>
      </c>
      <c r="AN4" s="65">
        <f t="shared" ref="AN4:AN34" si="17">IF((AM4-AM3&lt;0), "",(AM4-AM3)*1000)</f>
        <v>199.99999999998863</v>
      </c>
      <c r="AO4" s="58">
        <v>306.86</v>
      </c>
      <c r="AP4" s="65">
        <f t="shared" ref="AP4:AP34" si="18">IF((AO4-AO3&lt;0), "",(AO4-AO3)*1000)</f>
        <v>160.00000000002501</v>
      </c>
      <c r="AQ4" s="58">
        <v>360.46</v>
      </c>
      <c r="AR4" s="65">
        <f t="shared" ref="AR4:AR34" si="19">IF((AQ4-AQ3&lt;0), "",(AQ4-AQ3)*1000)</f>
        <v>149.99999999997726</v>
      </c>
      <c r="AS4" s="58">
        <v>485.78</v>
      </c>
      <c r="AT4" s="65">
        <f t="shared" ref="AT4:AT34" si="20">IF((AS4-AS3&lt;0), "",(AS4-AS3)*1000)</f>
        <v>109.9999999999568</v>
      </c>
      <c r="AU4" s="58">
        <v>388.94</v>
      </c>
      <c r="AV4" s="65">
        <f t="shared" ref="AV4:AV34" si="21">IF((AU4-AU3&lt;0), "",(AU4-AU3)*1000)</f>
        <v>100.00000000002274</v>
      </c>
      <c r="AW4" s="58">
        <v>416.94</v>
      </c>
      <c r="AX4" s="65">
        <f t="shared" ref="AX4:AX34" si="22">IF((AW4-AW3&lt;0), "",(AW4-AW3)*1000)</f>
        <v>199.99999999998863</v>
      </c>
      <c r="AY4" s="58">
        <v>452.02</v>
      </c>
      <c r="AZ4" s="65">
        <f t="shared" ref="AZ4:AZ34" si="23">IF((AY4-AY3&lt;0), "",(AY4-AY3)*1000)</f>
        <v>159.99999999996817</v>
      </c>
      <c r="BA4" s="58">
        <v>469.3</v>
      </c>
      <c r="BB4" s="65">
        <f t="shared" ref="BB4:BB34" si="24">IF((BA4-BA3&lt;0), "",(BA4-BA3)*1000)</f>
        <v>129.99999999999545</v>
      </c>
      <c r="BC4" s="58">
        <v>301.81</v>
      </c>
      <c r="BD4" s="65">
        <f t="shared" ref="BD4:BD34" si="25">IF((BC4-BC3&lt;0), "",(BC4-BC3)*1000)</f>
        <v>149.99999999997726</v>
      </c>
      <c r="BE4" s="59">
        <v>62683</v>
      </c>
      <c r="BF4" s="67">
        <f t="shared" ref="BF4:BF34" si="26">IF((BE4-BE3&lt;0), "",BE4-BE3)</f>
        <v>47</v>
      </c>
      <c r="BG4" s="60">
        <v>259.23</v>
      </c>
      <c r="BH4" s="65">
        <f t="shared" ref="BH4:BH34" si="27">IF((BG4-BG3&lt;0), "",(BG4-BG3)*1000)</f>
        <v>40.000000000020464</v>
      </c>
      <c r="BI4" s="60">
        <v>313.20999999999998</v>
      </c>
      <c r="BJ4" s="65">
        <f t="shared" ref="BJ4:BJ34" si="28">IF((BI4-BI3&lt;0), "",(BI4-BI3)*1000)</f>
        <v>39.99999999996362</v>
      </c>
      <c r="BK4" s="60">
        <v>266.07</v>
      </c>
      <c r="BL4" s="65">
        <f t="shared" ref="BL4:BL34" si="29">IF((BK4-BK3&lt;0), "",(BK4-BK3)*1000)</f>
        <v>50.000000000011369</v>
      </c>
      <c r="BM4" s="60">
        <v>249.21</v>
      </c>
      <c r="BN4" s="65">
        <f t="shared" ref="BN4:BN34" si="30">IF((BM4-BM3&lt;0), "",(BM4-BM3)*1000)</f>
        <v>50.000000000011369</v>
      </c>
      <c r="BO4" s="60">
        <v>317.45</v>
      </c>
      <c r="BP4" s="65">
        <f t="shared" ref="BP4:BP34" si="31">IF((BO4-BO3&lt;0), "",(BO4-BO3)*1000)</f>
        <v>50.000000000011369</v>
      </c>
      <c r="BQ4" s="60">
        <v>67508</v>
      </c>
      <c r="BR4" s="65">
        <f t="shared" ref="BR4:BR34" si="32">IF((BQ4-BQ3&lt;0), "",BQ4-BQ3)</f>
        <v>38</v>
      </c>
      <c r="BS4" s="60">
        <v>227.74</v>
      </c>
      <c r="BT4" s="65">
        <f t="shared" ref="BT4:BT34" si="33">IF((BS4-BS3&lt;0), "",(BS4-BS3)*1000)</f>
        <v>60.000000000002274</v>
      </c>
      <c r="BU4" s="60">
        <v>64747</v>
      </c>
      <c r="BV4" s="65">
        <f t="shared" ref="BV4:BV34" si="34">IF((BU4-BU3&lt;0), "",BU4-BU3)</f>
        <v>35</v>
      </c>
      <c r="BW4" s="60">
        <v>255.71</v>
      </c>
      <c r="BX4" s="65">
        <f t="shared" ref="BX4:BX34" si="35">IF((BW4-BW3&lt;0), "",(BW4-BW3)*1000)</f>
        <v>50.000000000011369</v>
      </c>
      <c r="BY4" s="60">
        <v>87065</v>
      </c>
      <c r="BZ4" s="67">
        <f t="shared" ref="BZ4:BZ34" si="36">IF((BY4-BY3&lt;0), "",BY4-BY3)</f>
        <v>49</v>
      </c>
      <c r="CA4" s="60">
        <v>64947.4</v>
      </c>
      <c r="CB4" s="67">
        <f t="shared" ref="CB4:CB34" si="37">IF((CA4-CA3&lt;0), "",CA4-CA3)</f>
        <v>68.599999999998545</v>
      </c>
      <c r="CC4" s="60">
        <v>19195.8</v>
      </c>
      <c r="CD4" s="67">
        <f t="shared" ref="CD4:CD34" si="38">IF((CC4-CC3&lt;0), "",CC4-CC3)</f>
        <v>16.299999999999272</v>
      </c>
      <c r="CE4" s="60">
        <v>9156</v>
      </c>
      <c r="CF4" s="67">
        <f t="shared" ref="CF4:CF34" si="39">IF((CE4-CE3&lt;0), "",CE4-CE3)</f>
        <v>1.8999999999996362</v>
      </c>
      <c r="CG4" s="60">
        <v>88003</v>
      </c>
      <c r="CH4" s="67">
        <f t="shared" ref="CH4:CH34" si="40">IF((CG4-CG3&lt;0), "",CG4-CG3)</f>
        <v>38</v>
      </c>
      <c r="CI4" s="60">
        <v>1133250</v>
      </c>
      <c r="CJ4" s="67">
        <f t="shared" ref="CJ4:CJ34" si="41">IF((CI4-CI3&lt;0), "",CI4-CI3)</f>
        <v>210</v>
      </c>
      <c r="CK4" s="60">
        <v>1254.4000000000001</v>
      </c>
      <c r="CL4" s="64">
        <f t="shared" ref="CL4:CL34" si="42">IF((CK4-CK3&lt;0), "",(CK4-CK3)*1000)</f>
        <v>1000</v>
      </c>
      <c r="CM4" s="65">
        <f t="shared" ref="CM4:CM34" si="43">CQ4+CS4</f>
        <v>109.89999999999782</v>
      </c>
      <c r="CN4" s="62">
        <v>30</v>
      </c>
      <c r="CO4" s="62">
        <v>56</v>
      </c>
      <c r="CP4" s="68">
        <v>55839</v>
      </c>
      <c r="CQ4" s="67">
        <f t="shared" ref="CQ4:CQ34" si="44">IF((CP4-CP3&lt;0), "",CP4-CP3)</f>
        <v>93</v>
      </c>
      <c r="CR4" s="68">
        <v>28749.3</v>
      </c>
      <c r="CS4" s="67">
        <f t="shared" ref="CS4:CS34" si="45">IF((CR4-CR3&lt;0), "",CR4-CR3)</f>
        <v>16.899999999997817</v>
      </c>
      <c r="CT4" s="75">
        <v>13657</v>
      </c>
      <c r="CU4" s="67">
        <f t="shared" ref="CU4:CU34" si="46">IF((CT4-CT3&lt;0), "",CT4-CT3)</f>
        <v>17</v>
      </c>
      <c r="CV4" s="68">
        <v>32693</v>
      </c>
      <c r="CW4" s="67">
        <f t="shared" ref="CW4:CW34" si="47">IF((CV4-CV3&lt;0), "",CV4-CV3)</f>
        <v>20</v>
      </c>
      <c r="CX4" s="58">
        <v>6208.9</v>
      </c>
      <c r="CY4" s="67">
        <f t="shared" ref="CY4:CY34" si="48">IF((CX4-CX3&lt;0), "",CX4-CX3)</f>
        <v>12.399999999999636</v>
      </c>
    </row>
    <row r="5" spans="1:103" ht="25.5" customHeight="1" thickBot="1" x14ac:dyDescent="0.45">
      <c r="A5" s="63">
        <v>44987</v>
      </c>
      <c r="B5" s="44"/>
      <c r="C5" s="58">
        <v>3.9336000000000002</v>
      </c>
      <c r="D5" s="64">
        <f t="shared" si="0"/>
        <v>2000.0000000002237</v>
      </c>
      <c r="E5" s="58">
        <v>5.2278000000000002</v>
      </c>
      <c r="F5" s="64">
        <f t="shared" si="1"/>
        <v>3400.0000000000696</v>
      </c>
      <c r="G5" s="58">
        <v>5.27</v>
      </c>
      <c r="H5" s="64">
        <f t="shared" si="2"/>
        <v>3899.9999999997926</v>
      </c>
      <c r="I5" s="58">
        <v>2.5966</v>
      </c>
      <c r="J5" s="64">
        <f t="shared" si="3"/>
        <v>1700.0000000000348</v>
      </c>
      <c r="K5" s="58">
        <v>3.9735</v>
      </c>
      <c r="L5" s="64">
        <f t="shared" si="4"/>
        <v>2400.0000000001796</v>
      </c>
      <c r="M5" s="58">
        <v>2.4064999999999999</v>
      </c>
      <c r="N5" s="64">
        <f t="shared" si="5"/>
        <v>1500.0000000000568</v>
      </c>
      <c r="O5" s="58">
        <v>29422</v>
      </c>
      <c r="P5" s="67">
        <f t="shared" si="6"/>
        <v>26</v>
      </c>
      <c r="Q5" s="58">
        <v>3703</v>
      </c>
      <c r="R5" s="67">
        <f t="shared" si="7"/>
        <v>5</v>
      </c>
      <c r="S5" s="58">
        <v>1712.3</v>
      </c>
      <c r="T5" s="67">
        <f t="shared" ref="T5:T34" si="49">IF((S5-S4&lt;0), "",S5-S4)*1000</f>
        <v>2099.9999999999091</v>
      </c>
      <c r="U5" s="58">
        <v>674998</v>
      </c>
      <c r="V5" s="67">
        <f t="shared" si="8"/>
        <v>599.19999999995343</v>
      </c>
      <c r="W5" s="58">
        <v>605.77</v>
      </c>
      <c r="X5" s="65">
        <f t="shared" si="9"/>
        <v>319.99999999993634</v>
      </c>
      <c r="Y5" s="58">
        <v>4.6132999999999997</v>
      </c>
      <c r="Z5" s="65">
        <f t="shared" si="10"/>
        <v>3000.0000000001137</v>
      </c>
      <c r="AA5" s="58">
        <v>612.23</v>
      </c>
      <c r="AB5" s="65">
        <f t="shared" si="11"/>
        <v>230.00000000001819</v>
      </c>
      <c r="AC5" s="58">
        <v>619.73</v>
      </c>
      <c r="AD5" s="65">
        <f t="shared" si="12"/>
        <v>440.00000000005457</v>
      </c>
      <c r="AE5" s="58">
        <v>986.91</v>
      </c>
      <c r="AF5" s="65">
        <f t="shared" si="13"/>
        <v>649.99999999997726</v>
      </c>
      <c r="AG5" s="58">
        <v>28135</v>
      </c>
      <c r="AH5" s="67">
        <f t="shared" si="14"/>
        <v>44</v>
      </c>
      <c r="AI5" s="58">
        <v>1.0522</v>
      </c>
      <c r="AJ5" s="65">
        <f t="shared" si="15"/>
        <v>499.99999999994492</v>
      </c>
      <c r="AK5" s="58">
        <v>347.98</v>
      </c>
      <c r="AL5" s="65">
        <f t="shared" si="16"/>
        <v>189.99999999999773</v>
      </c>
      <c r="AM5" s="58">
        <v>318.95</v>
      </c>
      <c r="AN5" s="65">
        <f t="shared" si="17"/>
        <v>129.99999999999545</v>
      </c>
      <c r="AO5" s="58">
        <v>307</v>
      </c>
      <c r="AP5" s="65">
        <f t="shared" si="18"/>
        <v>139.99999999998636</v>
      </c>
      <c r="AQ5" s="58">
        <v>360.57</v>
      </c>
      <c r="AR5" s="65">
        <f t="shared" si="19"/>
        <v>110.00000000001364</v>
      </c>
      <c r="AS5" s="58">
        <v>485.83</v>
      </c>
      <c r="AT5" s="65">
        <f t="shared" si="20"/>
        <v>50.000000000011369</v>
      </c>
      <c r="AU5" s="58">
        <v>389</v>
      </c>
      <c r="AV5" s="65">
        <f t="shared" si="21"/>
        <v>60.000000000002274</v>
      </c>
      <c r="AW5" s="58">
        <v>417.07</v>
      </c>
      <c r="AX5" s="65">
        <f t="shared" si="22"/>
        <v>129.99999999999545</v>
      </c>
      <c r="AY5" s="58">
        <v>452.16</v>
      </c>
      <c r="AZ5" s="65">
        <f t="shared" si="23"/>
        <v>140.0000000000432</v>
      </c>
      <c r="BA5" s="58">
        <v>469.37</v>
      </c>
      <c r="BB5" s="65">
        <f t="shared" si="24"/>
        <v>69.999999999993179</v>
      </c>
      <c r="BC5" s="58">
        <v>301.83999999999997</v>
      </c>
      <c r="BD5" s="65">
        <f t="shared" si="25"/>
        <v>29.999999999972715</v>
      </c>
      <c r="BE5" s="59">
        <v>62722</v>
      </c>
      <c r="BF5" s="67">
        <f t="shared" si="26"/>
        <v>39</v>
      </c>
      <c r="BG5" s="60">
        <v>259.27</v>
      </c>
      <c r="BH5" s="65">
        <f t="shared" si="27"/>
        <v>39.99999999996362</v>
      </c>
      <c r="BI5" s="60">
        <v>313.24</v>
      </c>
      <c r="BJ5" s="65">
        <f t="shared" si="28"/>
        <v>30.000000000029559</v>
      </c>
      <c r="BK5" s="60">
        <v>266.12</v>
      </c>
      <c r="BL5" s="65">
        <f t="shared" si="29"/>
        <v>50.000000000011369</v>
      </c>
      <c r="BM5" s="60">
        <v>249.26</v>
      </c>
      <c r="BN5" s="65">
        <f t="shared" si="30"/>
        <v>49.999999999982947</v>
      </c>
      <c r="BO5" s="60">
        <v>317.5</v>
      </c>
      <c r="BP5" s="65">
        <f t="shared" si="31"/>
        <v>50.000000000011369</v>
      </c>
      <c r="BQ5" s="60">
        <v>67543</v>
      </c>
      <c r="BR5" s="65">
        <f t="shared" si="32"/>
        <v>35</v>
      </c>
      <c r="BS5" s="60">
        <v>227.79</v>
      </c>
      <c r="BT5" s="65">
        <f t="shared" si="33"/>
        <v>49.999999999982947</v>
      </c>
      <c r="BU5" s="60">
        <v>64785</v>
      </c>
      <c r="BV5" s="65">
        <f t="shared" si="34"/>
        <v>38</v>
      </c>
      <c r="BW5" s="60">
        <v>255.76</v>
      </c>
      <c r="BX5" s="65">
        <f t="shared" si="35"/>
        <v>49.999999999982947</v>
      </c>
      <c r="BY5" s="60">
        <v>87120</v>
      </c>
      <c r="BZ5" s="67">
        <f t="shared" si="36"/>
        <v>55</v>
      </c>
      <c r="CA5" s="60">
        <v>65009.1</v>
      </c>
      <c r="CB5" s="67">
        <f t="shared" si="37"/>
        <v>61.69999999999709</v>
      </c>
      <c r="CC5" s="60">
        <v>19214.7</v>
      </c>
      <c r="CD5" s="67">
        <f t="shared" si="38"/>
        <v>18.900000000001455</v>
      </c>
      <c r="CE5" s="60">
        <v>9159.6</v>
      </c>
      <c r="CF5" s="67">
        <f t="shared" si="39"/>
        <v>3.6000000000003638</v>
      </c>
      <c r="CG5" s="60">
        <v>88061.4</v>
      </c>
      <c r="CH5" s="67">
        <f t="shared" si="40"/>
        <v>58.399999999994179</v>
      </c>
      <c r="CI5" s="60">
        <v>1133606</v>
      </c>
      <c r="CJ5" s="67">
        <f t="shared" si="41"/>
        <v>356</v>
      </c>
      <c r="CK5" s="60">
        <v>1255.2</v>
      </c>
      <c r="CL5" s="64">
        <f t="shared" si="42"/>
        <v>799.99999999995453</v>
      </c>
      <c r="CM5" s="65">
        <f t="shared" si="43"/>
        <v>98.100000000002183</v>
      </c>
      <c r="CN5" s="62">
        <v>34</v>
      </c>
      <c r="CO5" s="62">
        <v>64</v>
      </c>
      <c r="CP5" s="68">
        <v>55927</v>
      </c>
      <c r="CQ5" s="67">
        <f t="shared" si="44"/>
        <v>88</v>
      </c>
      <c r="CR5" s="68">
        <v>28759.4</v>
      </c>
      <c r="CS5" s="67">
        <f t="shared" si="45"/>
        <v>10.100000000002183</v>
      </c>
      <c r="CT5" s="75">
        <v>13671</v>
      </c>
      <c r="CU5" s="67">
        <f t="shared" si="46"/>
        <v>14</v>
      </c>
      <c r="CV5" s="68">
        <v>32720</v>
      </c>
      <c r="CW5" s="67">
        <f t="shared" si="47"/>
        <v>27</v>
      </c>
      <c r="CX5" s="58">
        <v>6219.9</v>
      </c>
      <c r="CY5" s="67">
        <f t="shared" si="48"/>
        <v>11</v>
      </c>
    </row>
    <row r="6" spans="1:103" ht="24.75" customHeight="1" thickBot="1" x14ac:dyDescent="0.45">
      <c r="A6" s="63">
        <v>44988</v>
      </c>
      <c r="B6" s="44"/>
      <c r="C6" s="58">
        <v>3.9356</v>
      </c>
      <c r="D6" s="64">
        <f t="shared" si="0"/>
        <v>1999.9999999997797</v>
      </c>
      <c r="E6" s="58">
        <v>5.2314999999999996</v>
      </c>
      <c r="F6" s="64">
        <f t="shared" si="1"/>
        <v>3699.9999999993706</v>
      </c>
      <c r="G6" s="58">
        <v>5.2736000000000001</v>
      </c>
      <c r="H6" s="64">
        <f t="shared" si="2"/>
        <v>3600.0000000004916</v>
      </c>
      <c r="I6" s="58">
        <v>2.5983999999999998</v>
      </c>
      <c r="J6" s="64">
        <f t="shared" si="3"/>
        <v>1799.9999999998017</v>
      </c>
      <c r="K6" s="58">
        <v>3.976</v>
      </c>
      <c r="L6" s="64">
        <f t="shared" si="4"/>
        <v>2499.9999999999468</v>
      </c>
      <c r="M6" s="58">
        <v>2.4083000000000001</v>
      </c>
      <c r="N6" s="64">
        <f t="shared" si="5"/>
        <v>1800.0000000002458</v>
      </c>
      <c r="O6" s="58">
        <v>29538</v>
      </c>
      <c r="P6" s="67">
        <f t="shared" si="6"/>
        <v>116</v>
      </c>
      <c r="Q6" s="58">
        <v>3716</v>
      </c>
      <c r="R6" s="67">
        <f t="shared" si="7"/>
        <v>13</v>
      </c>
      <c r="S6" s="58">
        <v>1712.7</v>
      </c>
      <c r="T6" s="67">
        <f t="shared" si="49"/>
        <v>400.00000000009095</v>
      </c>
      <c r="U6" s="58">
        <v>675396</v>
      </c>
      <c r="V6" s="67">
        <f t="shared" si="8"/>
        <v>398</v>
      </c>
      <c r="W6" s="58">
        <v>606.15</v>
      </c>
      <c r="X6" s="65">
        <f t="shared" si="9"/>
        <v>379.99999999999545</v>
      </c>
      <c r="Y6" s="58">
        <v>4.6162999999999998</v>
      </c>
      <c r="Z6" s="65">
        <f t="shared" si="10"/>
        <v>3000.0000000001137</v>
      </c>
      <c r="AA6" s="58">
        <v>612.66</v>
      </c>
      <c r="AB6" s="65">
        <f t="shared" si="11"/>
        <v>429.99999999994998</v>
      </c>
      <c r="AC6" s="58">
        <v>620.23</v>
      </c>
      <c r="AD6" s="65">
        <f t="shared" si="12"/>
        <v>500</v>
      </c>
      <c r="AE6" s="58">
        <v>987.67</v>
      </c>
      <c r="AF6" s="65">
        <f t="shared" si="13"/>
        <v>759.99999999999091</v>
      </c>
      <c r="AG6" s="58">
        <v>28178</v>
      </c>
      <c r="AH6" s="67">
        <f t="shared" si="14"/>
        <v>43</v>
      </c>
      <c r="AI6" s="58">
        <v>1.0523</v>
      </c>
      <c r="AJ6" s="65">
        <f t="shared" si="15"/>
        <v>99.999999999988987</v>
      </c>
      <c r="AK6" s="58">
        <v>348.3</v>
      </c>
      <c r="AL6" s="65">
        <f t="shared" si="16"/>
        <v>319.99999999999318</v>
      </c>
      <c r="AM6" s="58">
        <v>319.07</v>
      </c>
      <c r="AN6" s="65">
        <f t="shared" si="17"/>
        <v>120.00000000000455</v>
      </c>
      <c r="AO6" s="58">
        <v>307.17</v>
      </c>
      <c r="AP6" s="65">
        <f t="shared" si="18"/>
        <v>170.00000000001592</v>
      </c>
      <c r="AQ6" s="58">
        <v>360.64</v>
      </c>
      <c r="AR6" s="65">
        <f t="shared" si="19"/>
        <v>69.999999999993179</v>
      </c>
      <c r="AS6" s="58">
        <v>485.87</v>
      </c>
      <c r="AT6" s="65">
        <f t="shared" si="20"/>
        <v>40.000000000020464</v>
      </c>
      <c r="AU6" s="58">
        <v>389.06</v>
      </c>
      <c r="AV6" s="65">
        <f t="shared" si="21"/>
        <v>60.000000000002274</v>
      </c>
      <c r="AW6" s="58">
        <v>417.19</v>
      </c>
      <c r="AX6" s="65">
        <f t="shared" si="22"/>
        <v>120.00000000000455</v>
      </c>
      <c r="AY6" s="58">
        <v>452.29</v>
      </c>
      <c r="AZ6" s="65">
        <f t="shared" si="23"/>
        <v>129.99999999999545</v>
      </c>
      <c r="BA6" s="58">
        <v>469.43</v>
      </c>
      <c r="BB6" s="65">
        <f t="shared" si="24"/>
        <v>60.000000000002274</v>
      </c>
      <c r="BC6" s="58">
        <v>301.86</v>
      </c>
      <c r="BD6" s="65">
        <f t="shared" si="25"/>
        <v>20.000000000038654</v>
      </c>
      <c r="BE6" s="59">
        <v>62755</v>
      </c>
      <c r="BF6" s="67">
        <f t="shared" si="26"/>
        <v>33</v>
      </c>
      <c r="BG6" s="60">
        <v>259.33</v>
      </c>
      <c r="BH6" s="65">
        <f t="shared" si="27"/>
        <v>60.000000000002274</v>
      </c>
      <c r="BI6" s="60">
        <v>313.29000000000002</v>
      </c>
      <c r="BJ6" s="65">
        <f t="shared" si="28"/>
        <v>50.000000000011369</v>
      </c>
      <c r="BK6" s="60">
        <v>266.19</v>
      </c>
      <c r="BL6" s="65">
        <f t="shared" si="29"/>
        <v>69.999999999993179</v>
      </c>
      <c r="BM6" s="60">
        <v>249.31</v>
      </c>
      <c r="BN6" s="65">
        <f t="shared" si="30"/>
        <v>50.000000000011369</v>
      </c>
      <c r="BO6" s="60">
        <v>317.56</v>
      </c>
      <c r="BP6" s="65">
        <f t="shared" si="31"/>
        <v>60.000000000002274</v>
      </c>
      <c r="BQ6" s="60">
        <v>67589</v>
      </c>
      <c r="BR6" s="65">
        <f t="shared" si="32"/>
        <v>46</v>
      </c>
      <c r="BS6" s="60">
        <v>227.87</v>
      </c>
      <c r="BT6" s="65">
        <f t="shared" si="33"/>
        <v>80.000000000012506</v>
      </c>
      <c r="BU6" s="60">
        <v>64828</v>
      </c>
      <c r="BV6" s="65">
        <f t="shared" si="34"/>
        <v>43</v>
      </c>
      <c r="BW6" s="60">
        <v>255.83</v>
      </c>
      <c r="BX6" s="65">
        <f t="shared" si="35"/>
        <v>70.0000000000216</v>
      </c>
      <c r="BY6" s="60">
        <v>87189</v>
      </c>
      <c r="BZ6" s="67">
        <f t="shared" si="36"/>
        <v>69</v>
      </c>
      <c r="CA6" s="60">
        <v>65075.8</v>
      </c>
      <c r="CB6" s="67">
        <f t="shared" si="37"/>
        <v>66.700000000004366</v>
      </c>
      <c r="CC6" s="60">
        <v>19224.7</v>
      </c>
      <c r="CD6" s="67">
        <f t="shared" si="38"/>
        <v>10</v>
      </c>
      <c r="CE6" s="60">
        <v>9163.2999999999993</v>
      </c>
      <c r="CF6" s="67">
        <f t="shared" si="39"/>
        <v>3.6999999999989086</v>
      </c>
      <c r="CG6" s="60">
        <v>88114.5</v>
      </c>
      <c r="CH6" s="67">
        <f t="shared" si="40"/>
        <v>53.100000000005821</v>
      </c>
      <c r="CI6" s="60">
        <v>1133951</v>
      </c>
      <c r="CJ6" s="67">
        <f t="shared" si="41"/>
        <v>345</v>
      </c>
      <c r="CK6" s="60">
        <v>1256.0999999999999</v>
      </c>
      <c r="CL6" s="64">
        <f t="shared" si="42"/>
        <v>899.99999999986358</v>
      </c>
      <c r="CM6" s="65">
        <f t="shared" si="43"/>
        <v>88.799999999999272</v>
      </c>
      <c r="CN6" s="62">
        <v>36</v>
      </c>
      <c r="CO6" s="62">
        <v>68</v>
      </c>
      <c r="CP6" s="68">
        <v>56008</v>
      </c>
      <c r="CQ6" s="67">
        <f t="shared" si="44"/>
        <v>81</v>
      </c>
      <c r="CR6" s="68">
        <v>28767.200000000001</v>
      </c>
      <c r="CS6" s="67">
        <f t="shared" si="45"/>
        <v>7.7999999999992724</v>
      </c>
      <c r="CT6" s="75">
        <v>13685</v>
      </c>
      <c r="CU6" s="67">
        <f t="shared" si="46"/>
        <v>14</v>
      </c>
      <c r="CV6" s="68">
        <v>32738</v>
      </c>
      <c r="CW6" s="67">
        <f t="shared" si="47"/>
        <v>18</v>
      </c>
      <c r="CX6" s="58">
        <v>6231.9</v>
      </c>
      <c r="CY6" s="67">
        <f t="shared" si="48"/>
        <v>12</v>
      </c>
    </row>
    <row r="7" spans="1:103" ht="25.5" customHeight="1" thickBot="1" x14ac:dyDescent="0.45">
      <c r="A7" s="63">
        <v>44989</v>
      </c>
      <c r="B7" s="44"/>
      <c r="C7" s="58">
        <v>3.9388000000000001</v>
      </c>
      <c r="D7" s="64">
        <f t="shared" si="0"/>
        <v>3200.0000000000919</v>
      </c>
      <c r="E7" s="58">
        <v>5.2351999999999999</v>
      </c>
      <c r="F7" s="64">
        <f t="shared" si="1"/>
        <v>3700.0000000002588</v>
      </c>
      <c r="G7" s="58">
        <v>5.2773000000000003</v>
      </c>
      <c r="H7" s="64">
        <f t="shared" si="2"/>
        <v>3700.0000000002588</v>
      </c>
      <c r="I7" s="58">
        <v>2.6002999999999998</v>
      </c>
      <c r="J7" s="64">
        <f t="shared" si="3"/>
        <v>1900.0000000000127</v>
      </c>
      <c r="K7" s="58">
        <v>3.9788000000000001</v>
      </c>
      <c r="L7" s="64">
        <f t="shared" si="4"/>
        <v>2800.0000000001355</v>
      </c>
      <c r="M7" s="58">
        <v>2.4104999999999999</v>
      </c>
      <c r="N7" s="64">
        <f t="shared" si="5"/>
        <v>2199.9999999997576</v>
      </c>
      <c r="O7" s="58">
        <v>29602</v>
      </c>
      <c r="P7" s="67">
        <f t="shared" si="6"/>
        <v>64</v>
      </c>
      <c r="Q7" s="58">
        <v>3724</v>
      </c>
      <c r="R7" s="67">
        <f t="shared" si="7"/>
        <v>8</v>
      </c>
      <c r="S7" s="58">
        <v>1714.2</v>
      </c>
      <c r="T7" s="67">
        <f t="shared" si="49"/>
        <v>1500</v>
      </c>
      <c r="U7" s="58">
        <v>675960.1</v>
      </c>
      <c r="V7" s="67">
        <f t="shared" si="8"/>
        <v>564.09999999997672</v>
      </c>
      <c r="W7" s="58">
        <v>606.64</v>
      </c>
      <c r="X7" s="65">
        <f t="shared" si="9"/>
        <v>490.00000000000909</v>
      </c>
      <c r="Y7" s="58">
        <v>4.62</v>
      </c>
      <c r="Z7" s="65">
        <f t="shared" si="10"/>
        <v>3700.0000000002588</v>
      </c>
      <c r="AA7" s="58">
        <v>613.12</v>
      </c>
      <c r="AB7" s="65">
        <f t="shared" si="11"/>
        <v>460.00000000003638</v>
      </c>
      <c r="AC7" s="58">
        <v>620.92999999999995</v>
      </c>
      <c r="AD7" s="65">
        <f t="shared" si="12"/>
        <v>699.99999999993179</v>
      </c>
      <c r="AE7" s="58">
        <v>988.73</v>
      </c>
      <c r="AF7" s="65">
        <f t="shared" si="13"/>
        <v>1060.0000000000591</v>
      </c>
      <c r="AG7" s="58">
        <v>28231</v>
      </c>
      <c r="AH7" s="67">
        <f t="shared" si="14"/>
        <v>53</v>
      </c>
      <c r="AI7" s="58">
        <v>1.0538000000000001</v>
      </c>
      <c r="AJ7" s="65">
        <f t="shared" si="15"/>
        <v>1500.0000000000568</v>
      </c>
      <c r="AK7" s="58">
        <v>348.75</v>
      </c>
      <c r="AL7" s="65">
        <f t="shared" si="16"/>
        <v>449.99999999998863</v>
      </c>
      <c r="AM7" s="58">
        <v>319.26</v>
      </c>
      <c r="AN7" s="65">
        <f t="shared" si="17"/>
        <v>189.99999999999773</v>
      </c>
      <c r="AO7" s="58">
        <v>307.38</v>
      </c>
      <c r="AP7" s="65">
        <f t="shared" si="18"/>
        <v>209.99999999997954</v>
      </c>
      <c r="AQ7" s="58">
        <v>360.93</v>
      </c>
      <c r="AR7" s="65">
        <f t="shared" si="19"/>
        <v>290.00000000002046</v>
      </c>
      <c r="AS7" s="58">
        <v>485.97</v>
      </c>
      <c r="AT7" s="65">
        <f t="shared" si="20"/>
        <v>100.00000000002274</v>
      </c>
      <c r="AU7" s="58">
        <v>389.31</v>
      </c>
      <c r="AV7" s="65">
        <f t="shared" si="21"/>
        <v>250</v>
      </c>
      <c r="AW7" s="58">
        <v>417.47</v>
      </c>
      <c r="AX7" s="65">
        <f t="shared" si="22"/>
        <v>280.00000000002956</v>
      </c>
      <c r="AY7" s="58">
        <v>452.49</v>
      </c>
      <c r="AZ7" s="65">
        <f t="shared" si="23"/>
        <v>199.99999999998863</v>
      </c>
      <c r="BA7" s="58">
        <v>469.62</v>
      </c>
      <c r="BB7" s="65">
        <f t="shared" si="24"/>
        <v>189.99999999999773</v>
      </c>
      <c r="BC7" s="58">
        <v>301.98</v>
      </c>
      <c r="BD7" s="65">
        <f t="shared" si="25"/>
        <v>120.00000000000455</v>
      </c>
      <c r="BE7" s="59">
        <v>62799</v>
      </c>
      <c r="BF7" s="67">
        <f t="shared" si="26"/>
        <v>44</v>
      </c>
      <c r="BG7" s="60">
        <v>259.39</v>
      </c>
      <c r="BH7" s="65">
        <f t="shared" si="27"/>
        <v>60.000000000002274</v>
      </c>
      <c r="BI7" s="60">
        <v>313.33</v>
      </c>
      <c r="BJ7" s="65">
        <f t="shared" si="28"/>
        <v>39.99999999996362</v>
      </c>
      <c r="BK7" s="60">
        <v>266.26</v>
      </c>
      <c r="BL7" s="65">
        <f t="shared" si="29"/>
        <v>69.999999999993179</v>
      </c>
      <c r="BM7" s="60">
        <v>249.37</v>
      </c>
      <c r="BN7" s="65">
        <f t="shared" si="30"/>
        <v>60.000000000002274</v>
      </c>
      <c r="BO7" s="60">
        <v>317.61</v>
      </c>
      <c r="BP7" s="65">
        <f t="shared" si="31"/>
        <v>50.000000000011369</v>
      </c>
      <c r="BQ7" s="60">
        <v>67639</v>
      </c>
      <c r="BR7" s="65">
        <f t="shared" si="32"/>
        <v>50</v>
      </c>
      <c r="BS7" s="60">
        <v>227.93</v>
      </c>
      <c r="BT7" s="65">
        <f t="shared" si="33"/>
        <v>60.000000000002274</v>
      </c>
      <c r="BU7" s="60">
        <v>64878</v>
      </c>
      <c r="BV7" s="65">
        <f t="shared" si="34"/>
        <v>50</v>
      </c>
      <c r="BW7" s="60">
        <v>255.89</v>
      </c>
      <c r="BX7" s="65">
        <f t="shared" si="35"/>
        <v>59.999999999973852</v>
      </c>
      <c r="BY7" s="60">
        <v>87251</v>
      </c>
      <c r="BZ7" s="67">
        <f t="shared" si="36"/>
        <v>62</v>
      </c>
      <c r="CA7" s="60">
        <v>65144.4</v>
      </c>
      <c r="CB7" s="67">
        <f t="shared" si="37"/>
        <v>68.599999999998545</v>
      </c>
      <c r="CC7" s="60">
        <v>19244.599999999999</v>
      </c>
      <c r="CD7" s="67">
        <f t="shared" si="38"/>
        <v>19.899999999997817</v>
      </c>
      <c r="CE7" s="60">
        <v>9165.9</v>
      </c>
      <c r="CF7" s="67">
        <f t="shared" si="39"/>
        <v>2.6000000000003638</v>
      </c>
      <c r="CG7" s="60">
        <v>88172.5</v>
      </c>
      <c r="CH7" s="67">
        <f t="shared" si="40"/>
        <v>58</v>
      </c>
      <c r="CI7" s="60">
        <v>1134322</v>
      </c>
      <c r="CJ7" s="67">
        <f t="shared" si="41"/>
        <v>371</v>
      </c>
      <c r="CK7" s="60">
        <v>1257</v>
      </c>
      <c r="CL7" s="64">
        <f t="shared" si="42"/>
        <v>900.00000000009095</v>
      </c>
      <c r="CM7" s="65">
        <f t="shared" si="43"/>
        <v>92.799999999999272</v>
      </c>
      <c r="CN7" s="62">
        <v>42</v>
      </c>
      <c r="CO7" s="62">
        <v>84</v>
      </c>
      <c r="CP7" s="68">
        <v>56089</v>
      </c>
      <c r="CQ7" s="67">
        <f t="shared" si="44"/>
        <v>81</v>
      </c>
      <c r="CR7" s="68">
        <v>28779</v>
      </c>
      <c r="CS7" s="67">
        <f t="shared" si="45"/>
        <v>11.799999999999272</v>
      </c>
      <c r="CT7" s="75">
        <v>13699</v>
      </c>
      <c r="CU7" s="67">
        <f t="shared" si="46"/>
        <v>14</v>
      </c>
      <c r="CV7" s="68">
        <v>32777</v>
      </c>
      <c r="CW7" s="67">
        <f t="shared" si="47"/>
        <v>39</v>
      </c>
      <c r="CX7" s="58">
        <v>6245.1</v>
      </c>
      <c r="CY7" s="67">
        <f t="shared" si="48"/>
        <v>13.200000000000728</v>
      </c>
    </row>
    <row r="8" spans="1:103" ht="25.5" customHeight="1" thickBot="1" x14ac:dyDescent="0.45">
      <c r="A8" s="63">
        <v>44990</v>
      </c>
      <c r="B8" s="44"/>
      <c r="C8" s="58">
        <v>3.9413999999999998</v>
      </c>
      <c r="D8" s="64">
        <f t="shared" si="0"/>
        <v>2599.9999999997135</v>
      </c>
      <c r="E8" s="58">
        <v>5.2389000000000001</v>
      </c>
      <c r="F8" s="64">
        <f t="shared" si="1"/>
        <v>3700.0000000002588</v>
      </c>
      <c r="G8" s="58">
        <v>5.2813999999999997</v>
      </c>
      <c r="H8" s="64">
        <f t="shared" si="2"/>
        <v>4099.9999999993261</v>
      </c>
      <c r="I8" s="58">
        <v>2.6019999999999999</v>
      </c>
      <c r="J8" s="64">
        <f t="shared" si="3"/>
        <v>1700.0000000000348</v>
      </c>
      <c r="K8" s="58">
        <v>3.9815</v>
      </c>
      <c r="L8" s="64">
        <f t="shared" si="4"/>
        <v>2699.9999999999245</v>
      </c>
      <c r="M8" s="58">
        <v>2.4121999999999999</v>
      </c>
      <c r="N8" s="64">
        <f t="shared" si="5"/>
        <v>1700.0000000000348</v>
      </c>
      <c r="O8" s="58">
        <v>29654</v>
      </c>
      <c r="P8" s="67">
        <f t="shared" si="6"/>
        <v>52</v>
      </c>
      <c r="Q8" s="58">
        <v>3731</v>
      </c>
      <c r="R8" s="67">
        <f t="shared" si="7"/>
        <v>7</v>
      </c>
      <c r="S8" s="58">
        <v>1715.6</v>
      </c>
      <c r="T8" s="67">
        <f t="shared" si="49"/>
        <v>1399.9999999998636</v>
      </c>
      <c r="U8" s="58">
        <v>676494.7</v>
      </c>
      <c r="V8" s="67">
        <f t="shared" si="8"/>
        <v>534.59999999997672</v>
      </c>
      <c r="W8" s="58">
        <v>607.02</v>
      </c>
      <c r="X8" s="65">
        <f t="shared" si="9"/>
        <v>379.99999999999545</v>
      </c>
      <c r="Y8" s="58">
        <v>4.6230000000000002</v>
      </c>
      <c r="Z8" s="65">
        <f t="shared" si="10"/>
        <v>3000.0000000001137</v>
      </c>
      <c r="AA8" s="58">
        <v>613.55999999999995</v>
      </c>
      <c r="AB8" s="65">
        <f t="shared" si="11"/>
        <v>439.99999999994088</v>
      </c>
      <c r="AC8" s="58">
        <v>621.35</v>
      </c>
      <c r="AD8" s="65">
        <f t="shared" si="12"/>
        <v>420.00000000007276</v>
      </c>
      <c r="AE8" s="58">
        <v>989.53</v>
      </c>
      <c r="AF8" s="65">
        <f t="shared" si="13"/>
        <v>799.99999999995453</v>
      </c>
      <c r="AG8" s="58">
        <v>28267</v>
      </c>
      <c r="AH8" s="67">
        <f t="shared" si="14"/>
        <v>36</v>
      </c>
      <c r="AI8" s="58">
        <v>1.0544</v>
      </c>
      <c r="AJ8" s="65">
        <f t="shared" si="15"/>
        <v>599.99999999993395</v>
      </c>
      <c r="AK8" s="58">
        <v>349.01</v>
      </c>
      <c r="AL8" s="65">
        <f t="shared" si="16"/>
        <v>259.99999999999091</v>
      </c>
      <c r="AM8" s="58">
        <v>319.35000000000002</v>
      </c>
      <c r="AN8" s="65">
        <f t="shared" si="17"/>
        <v>90.000000000031832</v>
      </c>
      <c r="AO8" s="58">
        <v>307.52999999999997</v>
      </c>
      <c r="AP8" s="65">
        <f t="shared" si="18"/>
        <v>149.99999999997726</v>
      </c>
      <c r="AQ8" s="58">
        <v>361.12</v>
      </c>
      <c r="AR8" s="65">
        <f t="shared" si="19"/>
        <v>189.99999999999773</v>
      </c>
      <c r="AS8" s="58">
        <v>486.03</v>
      </c>
      <c r="AT8" s="65">
        <f t="shared" si="20"/>
        <v>59.99999999994543</v>
      </c>
      <c r="AU8" s="58">
        <v>389.47</v>
      </c>
      <c r="AV8" s="65">
        <f t="shared" si="21"/>
        <v>160.00000000002501</v>
      </c>
      <c r="AW8" s="58">
        <v>417.63</v>
      </c>
      <c r="AX8" s="65">
        <f t="shared" si="22"/>
        <v>159.99999999996817</v>
      </c>
      <c r="AY8" s="58">
        <v>452.62</v>
      </c>
      <c r="AZ8" s="65">
        <f t="shared" si="23"/>
        <v>129.99999999999545</v>
      </c>
      <c r="BA8" s="58">
        <v>469.7</v>
      </c>
      <c r="BB8" s="65">
        <f t="shared" si="24"/>
        <v>79.999999999984084</v>
      </c>
      <c r="BC8" s="58">
        <v>302.08</v>
      </c>
      <c r="BD8" s="65">
        <f t="shared" si="25"/>
        <v>99.999999999965894</v>
      </c>
      <c r="BE8" s="59">
        <v>62843</v>
      </c>
      <c r="BF8" s="67">
        <f t="shared" si="26"/>
        <v>44</v>
      </c>
      <c r="BG8" s="60">
        <v>259.44</v>
      </c>
      <c r="BH8" s="65">
        <f t="shared" si="27"/>
        <v>50.000000000011369</v>
      </c>
      <c r="BI8" s="60">
        <v>313.38</v>
      </c>
      <c r="BJ8" s="65">
        <f t="shared" si="28"/>
        <v>50.000000000011369</v>
      </c>
      <c r="BK8" s="60">
        <v>266.33</v>
      </c>
      <c r="BL8" s="65">
        <f t="shared" si="29"/>
        <v>69.999999999993179</v>
      </c>
      <c r="BM8" s="60">
        <v>249.42</v>
      </c>
      <c r="BN8" s="65">
        <f t="shared" si="30"/>
        <v>49.999999999982947</v>
      </c>
      <c r="BO8" s="60">
        <v>317.66000000000003</v>
      </c>
      <c r="BP8" s="65">
        <f t="shared" si="31"/>
        <v>50.000000000011369</v>
      </c>
      <c r="BQ8" s="60">
        <v>67684</v>
      </c>
      <c r="BR8" s="65">
        <f t="shared" si="32"/>
        <v>45</v>
      </c>
      <c r="BS8" s="60">
        <v>227.99</v>
      </c>
      <c r="BT8" s="65">
        <f t="shared" si="33"/>
        <v>60.000000000002274</v>
      </c>
      <c r="BU8" s="60">
        <v>64922</v>
      </c>
      <c r="BV8" s="65">
        <f t="shared" si="34"/>
        <v>44</v>
      </c>
      <c r="BW8" s="60">
        <v>255.95</v>
      </c>
      <c r="BX8" s="65">
        <f t="shared" si="35"/>
        <v>60.000000000002274</v>
      </c>
      <c r="BY8" s="60">
        <v>87306</v>
      </c>
      <c r="BZ8" s="67">
        <f t="shared" si="36"/>
        <v>55</v>
      </c>
      <c r="CA8" s="60">
        <v>65222.1</v>
      </c>
      <c r="CB8" s="67">
        <f t="shared" si="37"/>
        <v>77.69999999999709</v>
      </c>
      <c r="CC8" s="60">
        <v>19253.7</v>
      </c>
      <c r="CD8" s="67">
        <f t="shared" si="38"/>
        <v>9.1000000000021828</v>
      </c>
      <c r="CE8" s="60">
        <v>9169.2000000000007</v>
      </c>
      <c r="CF8" s="67">
        <f t="shared" si="39"/>
        <v>3.3000000000010914</v>
      </c>
      <c r="CG8" s="60">
        <v>88215.3</v>
      </c>
      <c r="CH8" s="67">
        <f t="shared" si="40"/>
        <v>42.80000000000291</v>
      </c>
      <c r="CI8" s="60">
        <v>1134631</v>
      </c>
      <c r="CJ8" s="67">
        <f t="shared" si="41"/>
        <v>309</v>
      </c>
      <c r="CK8" s="60">
        <v>1258</v>
      </c>
      <c r="CL8" s="64">
        <f t="shared" si="42"/>
        <v>1000</v>
      </c>
      <c r="CM8" s="65">
        <f t="shared" si="43"/>
        <v>98.599999999998545</v>
      </c>
      <c r="CN8" s="62">
        <v>34</v>
      </c>
      <c r="CO8" s="62">
        <v>71</v>
      </c>
      <c r="CP8" s="68">
        <v>56175</v>
      </c>
      <c r="CQ8" s="67">
        <f t="shared" si="44"/>
        <v>86</v>
      </c>
      <c r="CR8" s="68">
        <v>28791.599999999999</v>
      </c>
      <c r="CS8" s="67">
        <f t="shared" si="45"/>
        <v>12.599999999998545</v>
      </c>
      <c r="CT8" s="75">
        <v>13709</v>
      </c>
      <c r="CU8" s="67">
        <f t="shared" si="46"/>
        <v>10</v>
      </c>
      <c r="CV8" s="68">
        <v>32800</v>
      </c>
      <c r="CW8" s="67">
        <f t="shared" si="47"/>
        <v>23</v>
      </c>
      <c r="CX8" s="58">
        <v>6257.7</v>
      </c>
      <c r="CY8" s="67">
        <f t="shared" si="48"/>
        <v>12.599999999999454</v>
      </c>
    </row>
    <row r="9" spans="1:103" ht="25.5" customHeight="1" thickBot="1" x14ac:dyDescent="0.45">
      <c r="A9" s="63">
        <v>44991</v>
      </c>
      <c r="B9" s="44"/>
      <c r="C9" s="58">
        <v>3.9441000000000002</v>
      </c>
      <c r="D9" s="64">
        <f t="shared" si="0"/>
        <v>2700.0000000003688</v>
      </c>
      <c r="E9" s="58">
        <v>5.2422000000000004</v>
      </c>
      <c r="F9" s="64">
        <f t="shared" si="1"/>
        <v>3300.0000000003029</v>
      </c>
      <c r="G9" s="58">
        <v>5.2854000000000001</v>
      </c>
      <c r="H9" s="64">
        <f t="shared" si="2"/>
        <v>4000.0000000004475</v>
      </c>
      <c r="I9" s="58">
        <v>2.6038000000000001</v>
      </c>
      <c r="J9" s="64">
        <f t="shared" si="3"/>
        <v>1800.0000000002458</v>
      </c>
      <c r="K9" s="58">
        <v>3.9842</v>
      </c>
      <c r="L9" s="64">
        <f t="shared" si="4"/>
        <v>2699.9999999999245</v>
      </c>
      <c r="M9" s="58">
        <v>2.4138999999999999</v>
      </c>
      <c r="N9" s="64">
        <f t="shared" si="5"/>
        <v>1700.0000000000348</v>
      </c>
      <c r="O9" s="58">
        <v>29694</v>
      </c>
      <c r="P9" s="67">
        <f t="shared" si="6"/>
        <v>40</v>
      </c>
      <c r="Q9" s="58">
        <v>3738</v>
      </c>
      <c r="R9" s="67">
        <f t="shared" si="7"/>
        <v>7</v>
      </c>
      <c r="S9" s="58">
        <v>1717.1</v>
      </c>
      <c r="T9" s="67">
        <f t="shared" si="49"/>
        <v>1500</v>
      </c>
      <c r="U9" s="58">
        <v>677123.3</v>
      </c>
      <c r="V9" s="67">
        <f t="shared" si="8"/>
        <v>628.60000000009313</v>
      </c>
      <c r="W9" s="58">
        <v>607.44000000000005</v>
      </c>
      <c r="X9" s="65">
        <f t="shared" si="9"/>
        <v>420.00000000007276</v>
      </c>
      <c r="Y9" s="58">
        <v>4.6257999999999999</v>
      </c>
      <c r="Z9" s="65">
        <f t="shared" si="10"/>
        <v>2799.9999999996917</v>
      </c>
      <c r="AA9" s="58">
        <v>613.78</v>
      </c>
      <c r="AB9" s="65">
        <f t="shared" si="11"/>
        <v>220.00000000002728</v>
      </c>
      <c r="AC9" s="58">
        <v>621.67999999999995</v>
      </c>
      <c r="AD9" s="65">
        <f t="shared" si="12"/>
        <v>329.99999999992724</v>
      </c>
      <c r="AE9" s="58">
        <v>990.36</v>
      </c>
      <c r="AF9" s="65">
        <f t="shared" si="13"/>
        <v>830.00000000004093</v>
      </c>
      <c r="AG9" s="58">
        <v>28312</v>
      </c>
      <c r="AH9" s="67">
        <f t="shared" si="14"/>
        <v>45</v>
      </c>
      <c r="AI9" s="58">
        <v>1.0552999999999999</v>
      </c>
      <c r="AJ9" s="65">
        <f t="shared" si="15"/>
        <v>899.99999999990087</v>
      </c>
      <c r="AK9" s="58">
        <v>349.29</v>
      </c>
      <c r="AL9" s="65">
        <f t="shared" si="16"/>
        <v>280.00000000002956</v>
      </c>
      <c r="AM9" s="58">
        <v>319.45999999999998</v>
      </c>
      <c r="AN9" s="65">
        <f t="shared" si="17"/>
        <v>109.9999999999568</v>
      </c>
      <c r="AO9" s="58">
        <v>307.7</v>
      </c>
      <c r="AP9" s="65">
        <f t="shared" si="18"/>
        <v>170.00000000001592</v>
      </c>
      <c r="AQ9" s="58">
        <v>361.37</v>
      </c>
      <c r="AR9" s="65">
        <f t="shared" si="19"/>
        <v>250</v>
      </c>
      <c r="AS9" s="58">
        <v>486.14</v>
      </c>
      <c r="AT9" s="65">
        <f t="shared" si="20"/>
        <v>110.00000000001364</v>
      </c>
      <c r="AU9" s="58">
        <v>389.67</v>
      </c>
      <c r="AV9" s="65">
        <f t="shared" si="21"/>
        <v>199.99999999998863</v>
      </c>
      <c r="AW9" s="58">
        <v>417.81</v>
      </c>
      <c r="AX9" s="65">
        <f t="shared" si="22"/>
        <v>180.00000000000682</v>
      </c>
      <c r="AY9" s="58">
        <v>452.77</v>
      </c>
      <c r="AZ9" s="65">
        <f t="shared" si="23"/>
        <v>149.99999999997726</v>
      </c>
      <c r="BA9" s="58">
        <v>469.8</v>
      </c>
      <c r="BB9" s="65">
        <f t="shared" si="24"/>
        <v>100.00000000002274</v>
      </c>
      <c r="BC9" s="58">
        <v>302.19</v>
      </c>
      <c r="BD9" s="65">
        <f t="shared" si="25"/>
        <v>110.00000000001364</v>
      </c>
      <c r="BE9" s="59">
        <v>62888</v>
      </c>
      <c r="BF9" s="67">
        <f t="shared" si="26"/>
        <v>45</v>
      </c>
      <c r="BG9" s="60">
        <v>259.49</v>
      </c>
      <c r="BH9" s="65">
        <f t="shared" si="27"/>
        <v>50.000000000011369</v>
      </c>
      <c r="BI9" s="60">
        <v>313.42</v>
      </c>
      <c r="BJ9" s="65">
        <f t="shared" si="28"/>
        <v>40.000000000020464</v>
      </c>
      <c r="BK9" s="60">
        <v>266.39</v>
      </c>
      <c r="BL9" s="65">
        <f t="shared" si="29"/>
        <v>60.000000000002274</v>
      </c>
      <c r="BM9" s="60">
        <v>249.48</v>
      </c>
      <c r="BN9" s="65">
        <f t="shared" si="30"/>
        <v>60.000000000002274</v>
      </c>
      <c r="BO9" s="60">
        <v>317.70999999999998</v>
      </c>
      <c r="BP9" s="65">
        <f t="shared" si="31"/>
        <v>49.999999999954525</v>
      </c>
      <c r="BQ9" s="60">
        <v>67726</v>
      </c>
      <c r="BR9" s="65">
        <f t="shared" si="32"/>
        <v>42</v>
      </c>
      <c r="BS9" s="60">
        <v>228.05</v>
      </c>
      <c r="BT9" s="65">
        <f t="shared" si="33"/>
        <v>60.000000000002274</v>
      </c>
      <c r="BU9" s="60">
        <v>64967</v>
      </c>
      <c r="BV9" s="65">
        <f t="shared" si="34"/>
        <v>45</v>
      </c>
      <c r="BW9" s="60">
        <v>256</v>
      </c>
      <c r="BX9" s="65">
        <f t="shared" si="35"/>
        <v>50.000000000011369</v>
      </c>
      <c r="BY9" s="60">
        <v>87364</v>
      </c>
      <c r="BZ9" s="67">
        <f t="shared" si="36"/>
        <v>58</v>
      </c>
      <c r="CA9" s="60">
        <v>65289.2</v>
      </c>
      <c r="CB9" s="67">
        <f t="shared" si="37"/>
        <v>67.099999999998545</v>
      </c>
      <c r="CC9" s="60">
        <v>19264.7</v>
      </c>
      <c r="CD9" s="67">
        <f t="shared" si="38"/>
        <v>11</v>
      </c>
      <c r="CE9" s="60">
        <v>9170.9</v>
      </c>
      <c r="CF9" s="67">
        <f t="shared" si="39"/>
        <v>1.6999999999989086</v>
      </c>
      <c r="CG9" s="60">
        <v>88244.7</v>
      </c>
      <c r="CH9" s="67">
        <f t="shared" si="40"/>
        <v>29.399999999994179</v>
      </c>
      <c r="CI9" s="60">
        <v>1134969</v>
      </c>
      <c r="CJ9" s="67">
        <f t="shared" si="41"/>
        <v>338</v>
      </c>
      <c r="CK9" s="60">
        <v>1258.9000000000001</v>
      </c>
      <c r="CL9" s="64">
        <f t="shared" si="42"/>
        <v>900.00000000009095</v>
      </c>
      <c r="CM9" s="65">
        <f t="shared" si="43"/>
        <v>103.30000000000291</v>
      </c>
      <c r="CN9" s="62">
        <v>34</v>
      </c>
      <c r="CO9" s="62">
        <v>71</v>
      </c>
      <c r="CP9" s="68">
        <v>56260</v>
      </c>
      <c r="CQ9" s="67">
        <f t="shared" si="44"/>
        <v>85</v>
      </c>
      <c r="CR9" s="68">
        <v>28809.9</v>
      </c>
      <c r="CS9" s="67">
        <f t="shared" si="45"/>
        <v>18.30000000000291</v>
      </c>
      <c r="CT9" s="75">
        <v>13722</v>
      </c>
      <c r="CU9" s="67">
        <f t="shared" si="46"/>
        <v>13</v>
      </c>
      <c r="CV9" s="68">
        <v>32822</v>
      </c>
      <c r="CW9" s="67">
        <f t="shared" si="47"/>
        <v>22</v>
      </c>
      <c r="CX9" s="58">
        <v>6270.5</v>
      </c>
      <c r="CY9" s="67">
        <f t="shared" si="48"/>
        <v>12.800000000000182</v>
      </c>
    </row>
    <row r="10" spans="1:103" ht="25.5" customHeight="1" thickBot="1" x14ac:dyDescent="0.45">
      <c r="A10" s="63">
        <v>44992</v>
      </c>
      <c r="B10" s="44"/>
      <c r="C10" s="58">
        <v>3.9468000000000001</v>
      </c>
      <c r="D10" s="64">
        <f t="shared" si="0"/>
        <v>2699.9999999999245</v>
      </c>
      <c r="E10" s="58">
        <v>5.2458999999999998</v>
      </c>
      <c r="F10" s="64">
        <f t="shared" si="1"/>
        <v>3699.9999999993706</v>
      </c>
      <c r="G10" s="58">
        <v>5.2892000000000001</v>
      </c>
      <c r="H10" s="64">
        <f t="shared" si="2"/>
        <v>3800.0000000000255</v>
      </c>
      <c r="I10" s="58">
        <v>2.6055999999999999</v>
      </c>
      <c r="J10" s="64">
        <f t="shared" si="3"/>
        <v>1799.9999999998017</v>
      </c>
      <c r="K10" s="58">
        <v>3.9870000000000001</v>
      </c>
      <c r="L10" s="64">
        <f t="shared" si="4"/>
        <v>2800.0000000001355</v>
      </c>
      <c r="M10" s="58">
        <v>2.4157000000000002</v>
      </c>
      <c r="N10" s="64">
        <f t="shared" si="5"/>
        <v>1800.0000000002458</v>
      </c>
      <c r="O10" s="58">
        <v>29730</v>
      </c>
      <c r="P10" s="67">
        <f t="shared" si="6"/>
        <v>36</v>
      </c>
      <c r="Q10" s="58">
        <v>3745</v>
      </c>
      <c r="R10" s="67">
        <f t="shared" si="7"/>
        <v>7</v>
      </c>
      <c r="S10" s="58">
        <v>1718.6</v>
      </c>
      <c r="T10" s="67">
        <f t="shared" si="49"/>
        <v>1500</v>
      </c>
      <c r="U10" s="58">
        <v>677701.8</v>
      </c>
      <c r="V10" s="67">
        <f t="shared" si="8"/>
        <v>578.5</v>
      </c>
      <c r="W10" s="58">
        <v>607.88</v>
      </c>
      <c r="X10" s="65">
        <f t="shared" si="9"/>
        <v>439.99999999994088</v>
      </c>
      <c r="Y10" s="58">
        <v>4.6291000000000002</v>
      </c>
      <c r="Z10" s="65">
        <f t="shared" si="10"/>
        <v>3300.0000000003029</v>
      </c>
      <c r="AA10" s="58">
        <v>614.03</v>
      </c>
      <c r="AB10" s="65">
        <f t="shared" si="11"/>
        <v>250</v>
      </c>
      <c r="AC10" s="58">
        <v>622.05999999999995</v>
      </c>
      <c r="AD10" s="65">
        <f t="shared" si="12"/>
        <v>379.99999999999545</v>
      </c>
      <c r="AE10" s="58">
        <v>991.4</v>
      </c>
      <c r="AF10" s="65">
        <f t="shared" si="13"/>
        <v>1039.9999999999636</v>
      </c>
      <c r="AG10" s="58">
        <v>28356</v>
      </c>
      <c r="AH10" s="67">
        <f t="shared" si="14"/>
        <v>44</v>
      </c>
      <c r="AI10" s="58">
        <v>1.0561</v>
      </c>
      <c r="AJ10" s="65">
        <f t="shared" si="15"/>
        <v>800.00000000013392</v>
      </c>
      <c r="AK10" s="58">
        <v>349.57</v>
      </c>
      <c r="AL10" s="65">
        <f t="shared" si="16"/>
        <v>279.99999999997272</v>
      </c>
      <c r="AM10" s="58">
        <v>319.57</v>
      </c>
      <c r="AN10" s="65">
        <f t="shared" si="17"/>
        <v>110.00000000001364</v>
      </c>
      <c r="AO10" s="58">
        <v>307.86</v>
      </c>
      <c r="AP10" s="65">
        <f t="shared" si="18"/>
        <v>160.00000000002501</v>
      </c>
      <c r="AQ10" s="58">
        <v>361.61</v>
      </c>
      <c r="AR10" s="65">
        <f t="shared" si="19"/>
        <v>240.00000000000909</v>
      </c>
      <c r="AS10" s="58">
        <v>486.25</v>
      </c>
      <c r="AT10" s="65">
        <f t="shared" si="20"/>
        <v>110.00000000001364</v>
      </c>
      <c r="AU10" s="58">
        <v>389.86</v>
      </c>
      <c r="AV10" s="65">
        <f t="shared" si="21"/>
        <v>189.99999999999773</v>
      </c>
      <c r="AW10" s="58">
        <v>418</v>
      </c>
      <c r="AX10" s="65">
        <f t="shared" si="22"/>
        <v>189.99999999999773</v>
      </c>
      <c r="AY10" s="58">
        <v>452.92</v>
      </c>
      <c r="AZ10" s="65">
        <f t="shared" si="23"/>
        <v>150.00000000003411</v>
      </c>
      <c r="BA10" s="58">
        <v>469.92</v>
      </c>
      <c r="BB10" s="65">
        <f t="shared" si="24"/>
        <v>120.00000000000455</v>
      </c>
      <c r="BC10" s="58">
        <v>302.3</v>
      </c>
      <c r="BD10" s="65">
        <f t="shared" si="25"/>
        <v>110.00000000001364</v>
      </c>
      <c r="BE10" s="59">
        <v>62936</v>
      </c>
      <c r="BF10" s="67">
        <f t="shared" si="26"/>
        <v>48</v>
      </c>
      <c r="BG10" s="60">
        <v>259.52999999999997</v>
      </c>
      <c r="BH10" s="65">
        <f t="shared" si="27"/>
        <v>39.99999999996362</v>
      </c>
      <c r="BI10" s="60">
        <v>313.45999999999998</v>
      </c>
      <c r="BJ10" s="65">
        <f t="shared" si="28"/>
        <v>39.99999999996362</v>
      </c>
      <c r="BK10" s="60">
        <v>266.45</v>
      </c>
      <c r="BL10" s="65">
        <f t="shared" si="29"/>
        <v>60.000000000002274</v>
      </c>
      <c r="BM10" s="60">
        <v>249.53</v>
      </c>
      <c r="BN10" s="65">
        <f t="shared" si="30"/>
        <v>50.000000000011369</v>
      </c>
      <c r="BO10" s="60">
        <v>317.77</v>
      </c>
      <c r="BP10" s="65">
        <f t="shared" si="31"/>
        <v>60.000000000002274</v>
      </c>
      <c r="BQ10" s="60">
        <v>67776</v>
      </c>
      <c r="BR10" s="65">
        <f t="shared" si="32"/>
        <v>50</v>
      </c>
      <c r="BS10" s="60">
        <v>228.12</v>
      </c>
      <c r="BT10" s="65">
        <f t="shared" si="33"/>
        <v>69.999999999993179</v>
      </c>
      <c r="BU10" s="60">
        <v>65010</v>
      </c>
      <c r="BV10" s="65">
        <f t="shared" si="34"/>
        <v>43</v>
      </c>
      <c r="BW10" s="60">
        <v>256.06</v>
      </c>
      <c r="BX10" s="65">
        <f t="shared" si="35"/>
        <v>60.000000000002274</v>
      </c>
      <c r="BY10" s="60">
        <v>87426</v>
      </c>
      <c r="BZ10" s="67">
        <f t="shared" si="36"/>
        <v>62</v>
      </c>
      <c r="CA10" s="60">
        <v>65355.4</v>
      </c>
      <c r="CB10" s="67">
        <f t="shared" si="37"/>
        <v>66.200000000004366</v>
      </c>
      <c r="CC10" s="60">
        <v>19285</v>
      </c>
      <c r="CD10" s="67">
        <f t="shared" si="38"/>
        <v>20.299999999999272</v>
      </c>
      <c r="CE10" s="60">
        <v>9176.2999999999993</v>
      </c>
      <c r="CF10" s="67">
        <f t="shared" si="39"/>
        <v>5.3999999999996362</v>
      </c>
      <c r="CG10" s="60">
        <v>88307.1</v>
      </c>
      <c r="CH10" s="67">
        <f t="shared" si="40"/>
        <v>62.400000000008731</v>
      </c>
      <c r="CI10" s="60">
        <v>1135301</v>
      </c>
      <c r="CJ10" s="67">
        <f t="shared" si="41"/>
        <v>332</v>
      </c>
      <c r="CK10" s="60">
        <v>1259.9000000000001</v>
      </c>
      <c r="CL10" s="64">
        <f t="shared" si="42"/>
        <v>1000</v>
      </c>
      <c r="CM10" s="65">
        <f t="shared" si="43"/>
        <v>95.69999999999709</v>
      </c>
      <c r="CN10" s="62">
        <v>34</v>
      </c>
      <c r="CO10" s="62">
        <v>71</v>
      </c>
      <c r="CP10" s="68">
        <v>56344</v>
      </c>
      <c r="CQ10" s="67">
        <f t="shared" si="44"/>
        <v>84</v>
      </c>
      <c r="CR10" s="68">
        <v>28821.599999999999</v>
      </c>
      <c r="CS10" s="67">
        <f t="shared" si="45"/>
        <v>11.69999999999709</v>
      </c>
      <c r="CT10" s="75">
        <v>13737</v>
      </c>
      <c r="CU10" s="67">
        <f t="shared" si="46"/>
        <v>15</v>
      </c>
      <c r="CV10" s="68">
        <v>32850</v>
      </c>
      <c r="CW10" s="67">
        <f t="shared" si="47"/>
        <v>28</v>
      </c>
      <c r="CX10" s="58">
        <v>6283.7</v>
      </c>
      <c r="CY10" s="67">
        <f t="shared" si="48"/>
        <v>13.199999999999818</v>
      </c>
    </row>
    <row r="11" spans="1:103" ht="25.5" customHeight="1" thickBot="1" x14ac:dyDescent="0.45">
      <c r="A11" s="63">
        <v>44993</v>
      </c>
      <c r="B11" s="44"/>
      <c r="C11" s="58">
        <v>3.9495</v>
      </c>
      <c r="D11" s="64">
        <f t="shared" si="0"/>
        <v>2699.9999999999245</v>
      </c>
      <c r="E11" s="58">
        <v>5.2493999999999996</v>
      </c>
      <c r="F11" s="64">
        <f t="shared" si="1"/>
        <v>3499.9999999998367</v>
      </c>
      <c r="G11" s="58">
        <v>5.2930000000000001</v>
      </c>
      <c r="H11" s="64">
        <f t="shared" si="2"/>
        <v>3800.0000000000255</v>
      </c>
      <c r="I11" s="58">
        <v>2.6073</v>
      </c>
      <c r="J11" s="64">
        <f t="shared" si="3"/>
        <v>1700.0000000000348</v>
      </c>
      <c r="K11" s="58">
        <v>3.9897</v>
      </c>
      <c r="L11" s="64">
        <f t="shared" si="4"/>
        <v>2699.9999999999245</v>
      </c>
      <c r="M11" s="58">
        <v>2.4175</v>
      </c>
      <c r="N11" s="64">
        <f t="shared" si="5"/>
        <v>1799.9999999998017</v>
      </c>
      <c r="O11" s="58">
        <v>29760</v>
      </c>
      <c r="P11" s="67">
        <f t="shared" si="6"/>
        <v>30</v>
      </c>
      <c r="Q11" s="58">
        <v>3752</v>
      </c>
      <c r="R11" s="67">
        <f t="shared" si="7"/>
        <v>7</v>
      </c>
      <c r="S11" s="58">
        <v>1719.9</v>
      </c>
      <c r="T11" s="67">
        <f t="shared" si="49"/>
        <v>1300.0000000001819</v>
      </c>
      <c r="U11" s="58">
        <v>678205.6</v>
      </c>
      <c r="V11" s="67">
        <f t="shared" si="8"/>
        <v>503.79999999993015</v>
      </c>
      <c r="W11" s="58">
        <v>608.33000000000004</v>
      </c>
      <c r="X11" s="65">
        <f t="shared" si="9"/>
        <v>450.00000000004547</v>
      </c>
      <c r="Y11" s="58">
        <v>4.6322000000000001</v>
      </c>
      <c r="Z11" s="65">
        <f t="shared" si="10"/>
        <v>3099.9999999998809</v>
      </c>
      <c r="AA11" s="58">
        <v>614.45000000000005</v>
      </c>
      <c r="AB11" s="65">
        <f t="shared" si="11"/>
        <v>420.00000000007276</v>
      </c>
      <c r="AC11" s="58">
        <v>622.44000000000005</v>
      </c>
      <c r="AD11" s="65">
        <f t="shared" si="12"/>
        <v>380.00000000010914</v>
      </c>
      <c r="AE11" s="58">
        <v>992.4</v>
      </c>
      <c r="AF11" s="65">
        <f t="shared" si="13"/>
        <v>1000</v>
      </c>
      <c r="AG11" s="58">
        <v>28400</v>
      </c>
      <c r="AH11" s="67">
        <f t="shared" si="14"/>
        <v>44</v>
      </c>
      <c r="AI11" s="58">
        <v>1.0569999999999999</v>
      </c>
      <c r="AJ11" s="65">
        <f t="shared" si="15"/>
        <v>899.99999999990087</v>
      </c>
      <c r="AK11" s="58">
        <v>349.77</v>
      </c>
      <c r="AL11" s="65">
        <f t="shared" si="16"/>
        <v>199.99999999998863</v>
      </c>
      <c r="AM11" s="58">
        <v>319.73</v>
      </c>
      <c r="AN11" s="65">
        <f t="shared" si="17"/>
        <v>160.00000000002501</v>
      </c>
      <c r="AO11" s="58">
        <v>308.02999999999997</v>
      </c>
      <c r="AP11" s="65">
        <f t="shared" si="18"/>
        <v>169.99999999995907</v>
      </c>
      <c r="AQ11" s="58">
        <v>361.92</v>
      </c>
      <c r="AR11" s="65">
        <f t="shared" si="19"/>
        <v>310.00000000000227</v>
      </c>
      <c r="AS11" s="58">
        <v>486.33</v>
      </c>
      <c r="AT11" s="65">
        <f t="shared" si="20"/>
        <v>79.999999999984084</v>
      </c>
      <c r="AU11" s="58">
        <v>389.92</v>
      </c>
      <c r="AV11" s="65">
        <f t="shared" si="21"/>
        <v>60.000000000002274</v>
      </c>
      <c r="AW11" s="58">
        <v>418.18</v>
      </c>
      <c r="AX11" s="65">
        <f t="shared" si="22"/>
        <v>180.00000000000682</v>
      </c>
      <c r="AY11" s="58">
        <v>453.07</v>
      </c>
      <c r="AZ11" s="65">
        <f t="shared" si="23"/>
        <v>149.99999999997726</v>
      </c>
      <c r="BA11" s="58">
        <v>470.01</v>
      </c>
      <c r="BB11" s="65">
        <f t="shared" si="24"/>
        <v>89.999999999974989</v>
      </c>
      <c r="BC11" s="58">
        <v>302.39999999999998</v>
      </c>
      <c r="BD11" s="65">
        <f t="shared" si="25"/>
        <v>99.999999999965894</v>
      </c>
      <c r="BE11" s="59">
        <v>62980</v>
      </c>
      <c r="BF11" s="67">
        <f t="shared" si="26"/>
        <v>44</v>
      </c>
      <c r="BG11" s="60">
        <v>259.58</v>
      </c>
      <c r="BH11" s="65">
        <f t="shared" si="27"/>
        <v>50.000000000011369</v>
      </c>
      <c r="BI11" s="60">
        <v>313.5</v>
      </c>
      <c r="BJ11" s="65">
        <f t="shared" si="28"/>
        <v>40.000000000020464</v>
      </c>
      <c r="BK11" s="60">
        <v>266.52</v>
      </c>
      <c r="BL11" s="65">
        <f t="shared" si="29"/>
        <v>69.999999999993179</v>
      </c>
      <c r="BM11" s="60">
        <v>249.58</v>
      </c>
      <c r="BN11" s="65">
        <f t="shared" si="30"/>
        <v>50.000000000011369</v>
      </c>
      <c r="BO11" s="60">
        <v>317.82</v>
      </c>
      <c r="BP11" s="65">
        <f t="shared" si="31"/>
        <v>50.000000000011369</v>
      </c>
      <c r="BQ11" s="60">
        <v>67824</v>
      </c>
      <c r="BR11" s="65">
        <f t="shared" si="32"/>
        <v>48</v>
      </c>
      <c r="BS11" s="60">
        <v>228.17</v>
      </c>
      <c r="BT11" s="65">
        <f t="shared" si="33"/>
        <v>49.999999999982947</v>
      </c>
      <c r="BU11" s="60">
        <v>65055</v>
      </c>
      <c r="BV11" s="65">
        <f t="shared" si="34"/>
        <v>45</v>
      </c>
      <c r="BW11" s="60">
        <v>256.12</v>
      </c>
      <c r="BX11" s="65">
        <f t="shared" si="35"/>
        <v>60.000000000002274</v>
      </c>
      <c r="BY11" s="60">
        <v>87487</v>
      </c>
      <c r="BZ11" s="67">
        <f t="shared" si="36"/>
        <v>61</v>
      </c>
      <c r="CA11" s="60">
        <v>65426.5</v>
      </c>
      <c r="CB11" s="67">
        <f t="shared" si="37"/>
        <v>71.099999999998545</v>
      </c>
      <c r="CC11" s="60">
        <v>19296.5</v>
      </c>
      <c r="CD11" s="67">
        <f t="shared" si="38"/>
        <v>11.5</v>
      </c>
      <c r="CE11" s="60">
        <v>9177</v>
      </c>
      <c r="CF11" s="67">
        <f t="shared" si="39"/>
        <v>0.7000000000007276</v>
      </c>
      <c r="CG11" s="60">
        <v>88360.6</v>
      </c>
      <c r="CH11" s="67">
        <f t="shared" si="40"/>
        <v>53.5</v>
      </c>
      <c r="CI11" s="60">
        <v>1135640</v>
      </c>
      <c r="CJ11" s="67">
        <f t="shared" si="41"/>
        <v>339</v>
      </c>
      <c r="CK11" s="60">
        <v>1260.9000000000001</v>
      </c>
      <c r="CL11" s="64">
        <f t="shared" si="42"/>
        <v>1000</v>
      </c>
      <c r="CM11" s="65">
        <f t="shared" si="43"/>
        <v>107.80000000000291</v>
      </c>
      <c r="CN11" s="62">
        <v>31</v>
      </c>
      <c r="CO11" s="62">
        <v>66</v>
      </c>
      <c r="CP11" s="68">
        <v>56428</v>
      </c>
      <c r="CQ11" s="67">
        <f t="shared" si="44"/>
        <v>84</v>
      </c>
      <c r="CR11" s="68">
        <v>28845.4</v>
      </c>
      <c r="CS11" s="67">
        <f t="shared" si="45"/>
        <v>23.80000000000291</v>
      </c>
      <c r="CT11" s="75">
        <v>13746</v>
      </c>
      <c r="CU11" s="67">
        <f t="shared" si="46"/>
        <v>9</v>
      </c>
      <c r="CV11" s="68">
        <v>32884</v>
      </c>
      <c r="CW11" s="67">
        <f t="shared" si="47"/>
        <v>34</v>
      </c>
      <c r="CX11" s="58">
        <v>6296.6</v>
      </c>
      <c r="CY11" s="67">
        <f t="shared" si="48"/>
        <v>12.900000000000546</v>
      </c>
    </row>
    <row r="12" spans="1:103" ht="25.5" customHeight="1" thickBot="1" x14ac:dyDescent="0.45">
      <c r="A12" s="63">
        <v>44994</v>
      </c>
      <c r="B12" s="44"/>
      <c r="C12" s="58">
        <v>3.9525000000000001</v>
      </c>
      <c r="D12" s="64">
        <f t="shared" si="0"/>
        <v>3000.0000000001137</v>
      </c>
      <c r="E12" s="58">
        <v>5.2531999999999996</v>
      </c>
      <c r="F12" s="64">
        <f t="shared" si="1"/>
        <v>3800.0000000000255</v>
      </c>
      <c r="G12" s="58">
        <v>5.2968999999999999</v>
      </c>
      <c r="H12" s="64">
        <f t="shared" si="2"/>
        <v>3899.9999999997926</v>
      </c>
      <c r="I12" s="58">
        <v>2.6091000000000002</v>
      </c>
      <c r="J12" s="64">
        <f t="shared" si="3"/>
        <v>1800.0000000002458</v>
      </c>
      <c r="K12" s="58">
        <v>3.9923000000000002</v>
      </c>
      <c r="L12" s="64">
        <f t="shared" si="4"/>
        <v>2600.0000000001578</v>
      </c>
      <c r="M12" s="58">
        <v>2.4195000000000002</v>
      </c>
      <c r="N12" s="64">
        <f t="shared" si="5"/>
        <v>2000.0000000002237</v>
      </c>
      <c r="O12" s="58">
        <v>29761</v>
      </c>
      <c r="P12" s="67">
        <f t="shared" si="6"/>
        <v>1</v>
      </c>
      <c r="Q12" s="58">
        <v>3758</v>
      </c>
      <c r="R12" s="67">
        <f t="shared" si="7"/>
        <v>6</v>
      </c>
      <c r="S12" s="58">
        <v>1721.3</v>
      </c>
      <c r="T12" s="67">
        <f t="shared" si="49"/>
        <v>1399.9999999998636</v>
      </c>
      <c r="U12" s="58">
        <v>678718.9</v>
      </c>
      <c r="V12" s="67">
        <f t="shared" si="8"/>
        <v>513.30000000004657</v>
      </c>
      <c r="W12" s="58">
        <v>608.75</v>
      </c>
      <c r="X12" s="65">
        <f t="shared" si="9"/>
        <v>419.99999999995907</v>
      </c>
      <c r="Y12" s="58">
        <v>4.6355000000000004</v>
      </c>
      <c r="Z12" s="65">
        <f t="shared" si="10"/>
        <v>3300.0000000003029</v>
      </c>
      <c r="AA12" s="58">
        <v>614.72</v>
      </c>
      <c r="AB12" s="65">
        <f t="shared" si="11"/>
        <v>269.99999999998181</v>
      </c>
      <c r="AC12" s="58">
        <v>622.84</v>
      </c>
      <c r="AD12" s="65">
        <f t="shared" si="12"/>
        <v>399.99999999997726</v>
      </c>
      <c r="AE12" s="58">
        <v>993.56</v>
      </c>
      <c r="AF12" s="65">
        <f t="shared" si="13"/>
        <v>1159.9999999999682</v>
      </c>
      <c r="AG12" s="58">
        <v>28443</v>
      </c>
      <c r="AH12" s="67">
        <f t="shared" si="14"/>
        <v>43</v>
      </c>
      <c r="AI12" s="58">
        <v>1.0579000000000001</v>
      </c>
      <c r="AJ12" s="65">
        <f t="shared" si="15"/>
        <v>900.0000000001229</v>
      </c>
      <c r="AK12" s="58">
        <v>350.12</v>
      </c>
      <c r="AL12" s="65">
        <f t="shared" si="16"/>
        <v>350.00000000002274</v>
      </c>
      <c r="AM12" s="58">
        <v>320.05</v>
      </c>
      <c r="AN12" s="65">
        <f t="shared" si="17"/>
        <v>319.99999999999318</v>
      </c>
      <c r="AO12" s="58">
        <v>308.20999999999998</v>
      </c>
      <c r="AP12" s="65">
        <f t="shared" si="18"/>
        <v>180.00000000000682</v>
      </c>
      <c r="AQ12" s="58">
        <v>362.21</v>
      </c>
      <c r="AR12" s="65">
        <f t="shared" si="19"/>
        <v>289.99999999996362</v>
      </c>
      <c r="AS12" s="58">
        <v>486.42</v>
      </c>
      <c r="AT12" s="65">
        <f t="shared" si="20"/>
        <v>90.000000000031832</v>
      </c>
      <c r="AU12" s="58">
        <v>390.02</v>
      </c>
      <c r="AV12" s="65">
        <f t="shared" si="21"/>
        <v>99.999999999965894</v>
      </c>
      <c r="AW12" s="58">
        <v>418.38</v>
      </c>
      <c r="AX12" s="65">
        <f t="shared" si="22"/>
        <v>199.99999999998863</v>
      </c>
      <c r="AY12" s="58">
        <v>453.24</v>
      </c>
      <c r="AZ12" s="65">
        <f t="shared" si="23"/>
        <v>170.00000000001592</v>
      </c>
      <c r="BA12" s="58">
        <v>470.19</v>
      </c>
      <c r="BB12" s="65">
        <f t="shared" si="24"/>
        <v>180.00000000000682</v>
      </c>
      <c r="BC12" s="58">
        <v>302.48</v>
      </c>
      <c r="BD12" s="65">
        <f t="shared" si="25"/>
        <v>80.000000000040927</v>
      </c>
      <c r="BE12" s="59">
        <v>63032</v>
      </c>
      <c r="BF12" s="67">
        <f t="shared" si="26"/>
        <v>52</v>
      </c>
      <c r="BG12" s="60">
        <v>259.64</v>
      </c>
      <c r="BH12" s="65">
        <f t="shared" si="27"/>
        <v>60.000000000002274</v>
      </c>
      <c r="BI12" s="60">
        <v>313.54000000000002</v>
      </c>
      <c r="BJ12" s="65">
        <f t="shared" si="28"/>
        <v>40.000000000020464</v>
      </c>
      <c r="BK12" s="60">
        <v>266.58</v>
      </c>
      <c r="BL12" s="65">
        <f t="shared" si="29"/>
        <v>60.000000000002274</v>
      </c>
      <c r="BM12" s="60">
        <v>249.63</v>
      </c>
      <c r="BN12" s="65">
        <f t="shared" si="30"/>
        <v>49.999999999982947</v>
      </c>
      <c r="BO12" s="60">
        <v>317.88</v>
      </c>
      <c r="BP12" s="65">
        <f t="shared" si="31"/>
        <v>60.000000000002274</v>
      </c>
      <c r="BQ12" s="60">
        <v>67873</v>
      </c>
      <c r="BR12" s="65">
        <f t="shared" si="32"/>
        <v>49</v>
      </c>
      <c r="BS12" s="60">
        <v>228.23</v>
      </c>
      <c r="BT12" s="65">
        <f t="shared" si="33"/>
        <v>60.000000000002274</v>
      </c>
      <c r="BU12" s="60">
        <v>65101</v>
      </c>
      <c r="BV12" s="65">
        <f t="shared" si="34"/>
        <v>46</v>
      </c>
      <c r="BW12" s="60">
        <v>256.18</v>
      </c>
      <c r="BX12" s="65">
        <f t="shared" si="35"/>
        <v>60.000000000002274</v>
      </c>
      <c r="BY12" s="60">
        <v>87545</v>
      </c>
      <c r="BZ12" s="67">
        <f t="shared" si="36"/>
        <v>58</v>
      </c>
      <c r="CA12" s="60">
        <v>65494.8</v>
      </c>
      <c r="CB12" s="67">
        <f t="shared" si="37"/>
        <v>68.30000000000291</v>
      </c>
      <c r="CC12" s="60">
        <v>19318.2</v>
      </c>
      <c r="CD12" s="67">
        <f t="shared" si="38"/>
        <v>21.700000000000728</v>
      </c>
      <c r="CE12" s="60">
        <v>9177.9</v>
      </c>
      <c r="CF12" s="67">
        <f t="shared" si="39"/>
        <v>0.8999999999996362</v>
      </c>
      <c r="CG12" s="60">
        <v>88406.7</v>
      </c>
      <c r="CH12" s="67">
        <f t="shared" si="40"/>
        <v>46.099999999991269</v>
      </c>
      <c r="CI12" s="60">
        <v>1135967</v>
      </c>
      <c r="CJ12" s="67">
        <f t="shared" si="41"/>
        <v>327</v>
      </c>
      <c r="CK12" s="60">
        <v>1262</v>
      </c>
      <c r="CL12" s="64">
        <f t="shared" si="42"/>
        <v>1099.9999999999091</v>
      </c>
      <c r="CM12" s="65">
        <f t="shared" si="43"/>
        <v>118.59999999999854</v>
      </c>
      <c r="CN12" s="62">
        <v>48</v>
      </c>
      <c r="CO12" s="62">
        <v>100</v>
      </c>
      <c r="CP12" s="68">
        <v>56519</v>
      </c>
      <c r="CQ12" s="67">
        <f t="shared" si="44"/>
        <v>91</v>
      </c>
      <c r="CR12" s="68">
        <v>28873</v>
      </c>
      <c r="CS12" s="67">
        <f t="shared" si="45"/>
        <v>27.599999999998545</v>
      </c>
      <c r="CT12" s="75">
        <v>13757</v>
      </c>
      <c r="CU12" s="67">
        <f t="shared" si="46"/>
        <v>11</v>
      </c>
      <c r="CV12" s="68">
        <v>32900</v>
      </c>
      <c r="CW12" s="67">
        <f t="shared" si="47"/>
        <v>16</v>
      </c>
      <c r="CX12" s="58">
        <v>6309.9</v>
      </c>
      <c r="CY12" s="67">
        <f t="shared" si="48"/>
        <v>13.299999999999272</v>
      </c>
    </row>
    <row r="13" spans="1:103" ht="25.5" customHeight="1" thickBot="1" x14ac:dyDescent="0.45">
      <c r="A13" s="63">
        <v>44995</v>
      </c>
      <c r="B13" s="44"/>
      <c r="C13" s="58">
        <v>3.9550999999999998</v>
      </c>
      <c r="D13" s="64">
        <f t="shared" si="0"/>
        <v>2599.9999999997135</v>
      </c>
      <c r="E13" s="58">
        <v>5.2568000000000001</v>
      </c>
      <c r="F13" s="64">
        <f t="shared" si="1"/>
        <v>3600.0000000004916</v>
      </c>
      <c r="G13" s="58">
        <v>5.3007999999999997</v>
      </c>
      <c r="H13" s="64">
        <f t="shared" si="2"/>
        <v>3899.9999999997926</v>
      </c>
      <c r="I13" s="58">
        <v>2.6109</v>
      </c>
      <c r="J13" s="64">
        <f t="shared" si="3"/>
        <v>1799.9999999998017</v>
      </c>
      <c r="K13" s="58">
        <v>3.9948999999999999</v>
      </c>
      <c r="L13" s="64">
        <f t="shared" si="4"/>
        <v>2599.9999999997135</v>
      </c>
      <c r="M13" s="58">
        <v>2.4217</v>
      </c>
      <c r="N13" s="64">
        <f t="shared" si="5"/>
        <v>2199.9999999997576</v>
      </c>
      <c r="O13" s="58">
        <v>29827</v>
      </c>
      <c r="P13" s="67">
        <f t="shared" si="6"/>
        <v>66</v>
      </c>
      <c r="Q13" s="58">
        <v>3765</v>
      </c>
      <c r="R13" s="67">
        <f t="shared" si="7"/>
        <v>7</v>
      </c>
      <c r="S13" s="58">
        <v>1722.6</v>
      </c>
      <c r="T13" s="67">
        <f t="shared" si="49"/>
        <v>1299.9999999999545</v>
      </c>
      <c r="U13" s="58">
        <v>679224.5</v>
      </c>
      <c r="V13" s="67">
        <f t="shared" si="8"/>
        <v>505.59999999997672</v>
      </c>
      <c r="W13" s="58">
        <v>609.17999999999995</v>
      </c>
      <c r="X13" s="65">
        <f t="shared" si="9"/>
        <v>429.99999999994998</v>
      </c>
      <c r="Y13" s="58">
        <v>4.6387</v>
      </c>
      <c r="Z13" s="65">
        <f t="shared" si="10"/>
        <v>3199.9999999996476</v>
      </c>
      <c r="AA13" s="58">
        <v>615.16999999999996</v>
      </c>
      <c r="AB13" s="65">
        <f t="shared" si="11"/>
        <v>449.99999999993179</v>
      </c>
      <c r="AC13" s="58">
        <v>623.29999999999995</v>
      </c>
      <c r="AD13" s="65">
        <f t="shared" si="12"/>
        <v>459.99999999992269</v>
      </c>
      <c r="AE13" s="58">
        <v>994.71</v>
      </c>
      <c r="AF13" s="65">
        <f t="shared" si="13"/>
        <v>1150.0000000000909</v>
      </c>
      <c r="AG13" s="58">
        <v>28489</v>
      </c>
      <c r="AH13" s="67">
        <f t="shared" si="14"/>
        <v>46</v>
      </c>
      <c r="AI13" s="58">
        <v>1.0587</v>
      </c>
      <c r="AJ13" s="65">
        <f t="shared" si="15"/>
        <v>799.99999999991189</v>
      </c>
      <c r="AK13" s="58">
        <v>350.46</v>
      </c>
      <c r="AL13" s="65">
        <f t="shared" si="16"/>
        <v>339.99999999997499</v>
      </c>
      <c r="AM13" s="58">
        <v>320.38</v>
      </c>
      <c r="AN13" s="65">
        <f t="shared" si="17"/>
        <v>329.99999999998408</v>
      </c>
      <c r="AO13" s="58">
        <v>308.37</v>
      </c>
      <c r="AP13" s="65">
        <f t="shared" si="18"/>
        <v>160.00000000002501</v>
      </c>
      <c r="AQ13" s="58">
        <v>362.36</v>
      </c>
      <c r="AR13" s="65">
        <f t="shared" si="19"/>
        <v>150.00000000003411</v>
      </c>
      <c r="AS13" s="58">
        <v>486.49</v>
      </c>
      <c r="AT13" s="65">
        <f t="shared" si="20"/>
        <v>69.999999999993179</v>
      </c>
      <c r="AU13" s="58">
        <v>390.07</v>
      </c>
      <c r="AV13" s="65">
        <f t="shared" si="21"/>
        <v>50.000000000011369</v>
      </c>
      <c r="AW13" s="58">
        <v>418.56</v>
      </c>
      <c r="AX13" s="65">
        <f t="shared" si="22"/>
        <v>180.00000000000682</v>
      </c>
      <c r="AY13" s="58">
        <v>453.32</v>
      </c>
      <c r="AZ13" s="65">
        <f t="shared" si="23"/>
        <v>79.999999999984084</v>
      </c>
      <c r="BA13" s="58">
        <v>470.25</v>
      </c>
      <c r="BB13" s="65">
        <f t="shared" si="24"/>
        <v>60.000000000002274</v>
      </c>
      <c r="BC13" s="58">
        <v>302.60000000000002</v>
      </c>
      <c r="BD13" s="65">
        <f t="shared" si="25"/>
        <v>120.00000000000455</v>
      </c>
      <c r="BE13" s="59">
        <v>63069</v>
      </c>
      <c r="BF13" s="67">
        <f t="shared" si="26"/>
        <v>37</v>
      </c>
      <c r="BG13" s="60">
        <v>259.69</v>
      </c>
      <c r="BH13" s="65">
        <f t="shared" si="27"/>
        <v>50.000000000011369</v>
      </c>
      <c r="BI13" s="60">
        <v>313.58999999999997</v>
      </c>
      <c r="BJ13" s="65">
        <f t="shared" si="28"/>
        <v>49.999999999954525</v>
      </c>
      <c r="BK13" s="60">
        <v>266.64</v>
      </c>
      <c r="BL13" s="65">
        <f t="shared" si="29"/>
        <v>60.000000000002274</v>
      </c>
      <c r="BM13" s="60">
        <v>249.68</v>
      </c>
      <c r="BN13" s="65">
        <f t="shared" si="30"/>
        <v>50.000000000011369</v>
      </c>
      <c r="BO13" s="60">
        <v>317.93</v>
      </c>
      <c r="BP13" s="65">
        <f t="shared" si="31"/>
        <v>50.000000000011369</v>
      </c>
      <c r="BQ13" s="60">
        <v>67923</v>
      </c>
      <c r="BR13" s="65">
        <f t="shared" si="32"/>
        <v>50</v>
      </c>
      <c r="BS13" s="60">
        <v>228.28</v>
      </c>
      <c r="BT13" s="65">
        <f t="shared" si="33"/>
        <v>50.000000000011369</v>
      </c>
      <c r="BU13" s="60">
        <v>65149</v>
      </c>
      <c r="BV13" s="65">
        <f t="shared" si="34"/>
        <v>48</v>
      </c>
      <c r="BW13" s="60">
        <v>256.23</v>
      </c>
      <c r="BX13" s="65">
        <f t="shared" si="35"/>
        <v>50.000000000011369</v>
      </c>
      <c r="BY13" s="60">
        <v>87605</v>
      </c>
      <c r="BZ13" s="67">
        <f t="shared" si="36"/>
        <v>60</v>
      </c>
      <c r="CA13" s="60">
        <v>65561.7</v>
      </c>
      <c r="CB13" s="67">
        <f t="shared" si="37"/>
        <v>66.899999999994179</v>
      </c>
      <c r="CC13" s="60">
        <v>19328.2</v>
      </c>
      <c r="CD13" s="67">
        <f t="shared" si="38"/>
        <v>10</v>
      </c>
      <c r="CE13" s="60">
        <v>9181.5</v>
      </c>
      <c r="CF13" s="67">
        <f t="shared" si="39"/>
        <v>3.6000000000003638</v>
      </c>
      <c r="CG13" s="60">
        <v>88449</v>
      </c>
      <c r="CH13" s="67">
        <f t="shared" si="40"/>
        <v>42.30000000000291</v>
      </c>
      <c r="CI13" s="60">
        <v>1136312</v>
      </c>
      <c r="CJ13" s="67">
        <f t="shared" si="41"/>
        <v>345</v>
      </c>
      <c r="CK13" s="60">
        <v>1263</v>
      </c>
      <c r="CL13" s="64">
        <f t="shared" si="42"/>
        <v>1000</v>
      </c>
      <c r="CM13" s="65">
        <f t="shared" si="43"/>
        <v>117.29999999999927</v>
      </c>
      <c r="CN13" s="62">
        <v>44</v>
      </c>
      <c r="CO13" s="62">
        <v>91</v>
      </c>
      <c r="CP13" s="68">
        <v>56624</v>
      </c>
      <c r="CQ13" s="67">
        <f t="shared" si="44"/>
        <v>105</v>
      </c>
      <c r="CR13" s="68">
        <v>28885.3</v>
      </c>
      <c r="CS13" s="67">
        <f t="shared" si="45"/>
        <v>12.299999999999272</v>
      </c>
      <c r="CT13" s="75">
        <v>13766</v>
      </c>
      <c r="CU13" s="67">
        <f t="shared" si="46"/>
        <v>9</v>
      </c>
      <c r="CV13" s="68">
        <v>32913</v>
      </c>
      <c r="CW13" s="67">
        <f t="shared" si="47"/>
        <v>13</v>
      </c>
      <c r="CX13" s="58">
        <v>6323.2</v>
      </c>
      <c r="CY13" s="67">
        <f t="shared" si="48"/>
        <v>13.300000000000182</v>
      </c>
    </row>
    <row r="14" spans="1:103" ht="25.5" customHeight="1" thickBot="1" x14ac:dyDescent="0.45">
      <c r="A14" s="63">
        <v>44996</v>
      </c>
      <c r="B14" s="44"/>
      <c r="C14" s="58">
        <v>3.9577</v>
      </c>
      <c r="D14" s="64">
        <f t="shared" si="0"/>
        <v>2600.0000000001578</v>
      </c>
      <c r="E14" s="58">
        <v>5.2605000000000004</v>
      </c>
      <c r="F14" s="64">
        <f t="shared" si="1"/>
        <v>3700.0000000002588</v>
      </c>
      <c r="G14" s="58">
        <v>5.3052000000000001</v>
      </c>
      <c r="H14" s="64">
        <f t="shared" si="2"/>
        <v>4400.0000000004038</v>
      </c>
      <c r="I14" s="58">
        <v>2.6128</v>
      </c>
      <c r="J14" s="64">
        <f t="shared" si="3"/>
        <v>1900.0000000000127</v>
      </c>
      <c r="K14" s="58">
        <v>3.9975999999999998</v>
      </c>
      <c r="L14" s="64">
        <f t="shared" si="4"/>
        <v>2699.9999999999245</v>
      </c>
      <c r="M14" s="58">
        <v>2.4238</v>
      </c>
      <c r="N14" s="64">
        <f t="shared" si="5"/>
        <v>2099.9999999999909</v>
      </c>
      <c r="O14" s="58">
        <v>29869</v>
      </c>
      <c r="P14" s="67">
        <f t="shared" si="6"/>
        <v>42</v>
      </c>
      <c r="Q14" s="58">
        <v>3770</v>
      </c>
      <c r="R14" s="67">
        <f t="shared" si="7"/>
        <v>5</v>
      </c>
      <c r="S14" s="58">
        <v>1724.4</v>
      </c>
      <c r="T14" s="67">
        <f t="shared" si="49"/>
        <v>1800.0000000001819</v>
      </c>
      <c r="U14" s="58">
        <v>679885.3</v>
      </c>
      <c r="V14" s="67">
        <f t="shared" si="8"/>
        <v>660.80000000004657</v>
      </c>
      <c r="W14" s="58">
        <v>609.66</v>
      </c>
      <c r="X14" s="65">
        <f t="shared" si="9"/>
        <v>480.00000000001819</v>
      </c>
      <c r="Y14" s="58">
        <v>4.6421000000000001</v>
      </c>
      <c r="Z14" s="65">
        <f t="shared" si="10"/>
        <v>3400.0000000000696</v>
      </c>
      <c r="AA14" s="58">
        <v>615.62</v>
      </c>
      <c r="AB14" s="65">
        <f t="shared" si="11"/>
        <v>450.00000000004547</v>
      </c>
      <c r="AC14" s="58">
        <v>623.78</v>
      </c>
      <c r="AD14" s="65">
        <f t="shared" si="12"/>
        <v>480.00000000001819</v>
      </c>
      <c r="AE14" s="58">
        <v>995.81</v>
      </c>
      <c r="AF14" s="65">
        <f t="shared" si="13"/>
        <v>1099.9999999999091</v>
      </c>
      <c r="AG14" s="58">
        <v>28539</v>
      </c>
      <c r="AH14" s="67">
        <f t="shared" si="14"/>
        <v>50</v>
      </c>
      <c r="AI14" s="58">
        <v>1.0595000000000001</v>
      </c>
      <c r="AJ14" s="65">
        <f t="shared" si="15"/>
        <v>800.00000000013392</v>
      </c>
      <c r="AK14" s="58">
        <v>350.8</v>
      </c>
      <c r="AL14" s="65">
        <f t="shared" si="16"/>
        <v>340.00000000003183</v>
      </c>
      <c r="AM14" s="58">
        <v>320.69</v>
      </c>
      <c r="AN14" s="65">
        <f t="shared" si="17"/>
        <v>310.00000000000227</v>
      </c>
      <c r="AO14" s="58">
        <v>308.52999999999997</v>
      </c>
      <c r="AP14" s="65">
        <f t="shared" si="18"/>
        <v>159.99999999996817</v>
      </c>
      <c r="AQ14" s="58">
        <v>362.46</v>
      </c>
      <c r="AR14" s="65">
        <f t="shared" si="19"/>
        <v>99.999999999965894</v>
      </c>
      <c r="AS14" s="58">
        <v>486.63</v>
      </c>
      <c r="AT14" s="65">
        <f t="shared" si="20"/>
        <v>139.99999999998636</v>
      </c>
      <c r="AU14" s="58">
        <v>390.18</v>
      </c>
      <c r="AV14" s="65">
        <f t="shared" si="21"/>
        <v>110.00000000001364</v>
      </c>
      <c r="AW14" s="58">
        <v>418.77</v>
      </c>
      <c r="AX14" s="65">
        <f t="shared" si="22"/>
        <v>209.99999999997954</v>
      </c>
      <c r="AY14" s="58">
        <v>453.46</v>
      </c>
      <c r="AZ14" s="65">
        <f t="shared" si="23"/>
        <v>139.99999999998636</v>
      </c>
      <c r="BA14" s="58">
        <v>470.31</v>
      </c>
      <c r="BB14" s="65">
        <f t="shared" si="24"/>
        <v>60.000000000002274</v>
      </c>
      <c r="BC14" s="58">
        <v>302.70999999999998</v>
      </c>
      <c r="BD14" s="65">
        <f t="shared" si="25"/>
        <v>109.9999999999568</v>
      </c>
      <c r="BE14" s="59">
        <v>63117</v>
      </c>
      <c r="BF14" s="67">
        <f t="shared" si="26"/>
        <v>48</v>
      </c>
      <c r="BG14" s="60">
        <v>259.74</v>
      </c>
      <c r="BH14" s="65">
        <f t="shared" si="27"/>
        <v>50.000000000011369</v>
      </c>
      <c r="BI14" s="60">
        <v>313.63</v>
      </c>
      <c r="BJ14" s="65">
        <f t="shared" si="28"/>
        <v>40.000000000020464</v>
      </c>
      <c r="BK14" s="60">
        <v>266.7</v>
      </c>
      <c r="BL14" s="65">
        <f t="shared" si="29"/>
        <v>60.000000000002274</v>
      </c>
      <c r="BM14" s="60">
        <v>249.72</v>
      </c>
      <c r="BN14" s="65">
        <f t="shared" si="30"/>
        <v>39.999999999992042</v>
      </c>
      <c r="BO14" s="60">
        <v>317.99</v>
      </c>
      <c r="BP14" s="65">
        <f t="shared" si="31"/>
        <v>60.000000000002274</v>
      </c>
      <c r="BQ14" s="60">
        <v>67969</v>
      </c>
      <c r="BR14" s="65">
        <f t="shared" si="32"/>
        <v>46</v>
      </c>
      <c r="BS14" s="60">
        <v>228.35</v>
      </c>
      <c r="BT14" s="65">
        <f t="shared" si="33"/>
        <v>69.999999999993179</v>
      </c>
      <c r="BU14" s="60">
        <v>65193</v>
      </c>
      <c r="BV14" s="65">
        <f t="shared" si="34"/>
        <v>44</v>
      </c>
      <c r="BW14" s="60">
        <v>256.27999999999997</v>
      </c>
      <c r="BX14" s="65">
        <f t="shared" si="35"/>
        <v>49.999999999954525</v>
      </c>
      <c r="BY14" s="60">
        <v>87661</v>
      </c>
      <c r="BZ14" s="67">
        <f t="shared" si="36"/>
        <v>56</v>
      </c>
      <c r="CA14" s="60">
        <v>65631.399999999994</v>
      </c>
      <c r="CB14" s="67">
        <f t="shared" si="37"/>
        <v>69.69999999999709</v>
      </c>
      <c r="CC14" s="60">
        <v>19343.8</v>
      </c>
      <c r="CD14" s="67">
        <f t="shared" si="38"/>
        <v>15.599999999998545</v>
      </c>
      <c r="CE14" s="60">
        <v>9186.7999999999993</v>
      </c>
      <c r="CF14" s="67">
        <f t="shared" si="39"/>
        <v>5.2999999999992724</v>
      </c>
      <c r="CG14" s="60">
        <v>88490.4</v>
      </c>
      <c r="CH14" s="67">
        <f t="shared" si="40"/>
        <v>41.399999999994179</v>
      </c>
      <c r="CI14" s="60">
        <v>1136644</v>
      </c>
      <c r="CJ14" s="67">
        <f t="shared" si="41"/>
        <v>332</v>
      </c>
      <c r="CK14" s="60">
        <v>1264.0999999999999</v>
      </c>
      <c r="CL14" s="64">
        <f t="shared" si="42"/>
        <v>1099.9999999999091</v>
      </c>
      <c r="CM14" s="65">
        <f t="shared" si="43"/>
        <v>126</v>
      </c>
      <c r="CN14" s="62">
        <v>42</v>
      </c>
      <c r="CO14" s="62">
        <v>84</v>
      </c>
      <c r="CP14" s="68">
        <v>56736</v>
      </c>
      <c r="CQ14" s="67">
        <f t="shared" si="44"/>
        <v>112</v>
      </c>
      <c r="CR14" s="68">
        <v>28899.3</v>
      </c>
      <c r="CS14" s="67">
        <f t="shared" si="45"/>
        <v>14</v>
      </c>
      <c r="CT14" s="75">
        <v>13776</v>
      </c>
      <c r="CU14" s="67">
        <f t="shared" si="46"/>
        <v>10</v>
      </c>
      <c r="CV14" s="68">
        <v>32928</v>
      </c>
      <c r="CW14" s="67">
        <f t="shared" si="47"/>
        <v>15</v>
      </c>
      <c r="CX14" s="58">
        <v>6336.8</v>
      </c>
      <c r="CY14" s="67">
        <f t="shared" si="48"/>
        <v>13.600000000000364</v>
      </c>
    </row>
    <row r="15" spans="1:103" ht="25.5" customHeight="1" thickBot="1" x14ac:dyDescent="0.45">
      <c r="A15" s="63">
        <v>44997</v>
      </c>
      <c r="B15" s="44"/>
      <c r="C15" s="58">
        <v>3.9603000000000002</v>
      </c>
      <c r="D15" s="64">
        <f t="shared" si="0"/>
        <v>2600.0000000001578</v>
      </c>
      <c r="E15" s="58">
        <v>5.2641999999999998</v>
      </c>
      <c r="F15" s="64">
        <f t="shared" si="1"/>
        <v>3699.9999999993706</v>
      </c>
      <c r="G15" s="58">
        <v>5.3090000000000002</v>
      </c>
      <c r="H15" s="64">
        <f t="shared" si="2"/>
        <v>3800.0000000000255</v>
      </c>
      <c r="I15" s="58">
        <v>2.6147999999999998</v>
      </c>
      <c r="J15" s="64">
        <f t="shared" si="3"/>
        <v>1999.9999999997797</v>
      </c>
      <c r="K15" s="58">
        <v>4.0000999999999998</v>
      </c>
      <c r="L15" s="64">
        <f t="shared" si="4"/>
        <v>2499.9999999999468</v>
      </c>
      <c r="M15" s="58">
        <v>2.4257</v>
      </c>
      <c r="N15" s="64">
        <f t="shared" si="5"/>
        <v>1900.0000000000127</v>
      </c>
      <c r="O15" s="58">
        <v>29948</v>
      </c>
      <c r="P15" s="67">
        <f t="shared" si="6"/>
        <v>79</v>
      </c>
      <c r="Q15" s="58">
        <v>3776</v>
      </c>
      <c r="R15" s="67">
        <f>IF((Q15-Q14&lt;0), "",Q15-Q14)</f>
        <v>6</v>
      </c>
      <c r="S15" s="58">
        <v>1725.8</v>
      </c>
      <c r="T15" s="67">
        <f t="shared" si="49"/>
        <v>1399.9999999998636</v>
      </c>
      <c r="U15" s="58">
        <v>680364.9</v>
      </c>
      <c r="V15" s="67">
        <f t="shared" si="8"/>
        <v>479.59999999997672</v>
      </c>
      <c r="W15" s="58">
        <v>610.04</v>
      </c>
      <c r="X15" s="65">
        <f t="shared" si="9"/>
        <v>379.99999999999545</v>
      </c>
      <c r="Y15" s="58">
        <v>4.6452999999999998</v>
      </c>
      <c r="Z15" s="65">
        <f t="shared" si="10"/>
        <v>3199.9999999996476</v>
      </c>
      <c r="AA15" s="58">
        <v>615.94000000000005</v>
      </c>
      <c r="AB15" s="65">
        <f t="shared" si="11"/>
        <v>320.00000000005002</v>
      </c>
      <c r="AC15" s="58">
        <v>624.22</v>
      </c>
      <c r="AD15" s="65">
        <f t="shared" si="12"/>
        <v>440.00000000005457</v>
      </c>
      <c r="AE15" s="58">
        <v>996.88</v>
      </c>
      <c r="AF15" s="65">
        <f t="shared" si="13"/>
        <v>1070.00000000005</v>
      </c>
      <c r="AG15" s="58">
        <v>28586</v>
      </c>
      <c r="AH15" s="67">
        <f t="shared" si="14"/>
        <v>47</v>
      </c>
      <c r="AI15" s="58">
        <v>1.0602</v>
      </c>
      <c r="AJ15" s="65">
        <f t="shared" si="15"/>
        <v>699.99999999992292</v>
      </c>
      <c r="AK15" s="58">
        <v>351.09</v>
      </c>
      <c r="AL15" s="65">
        <f t="shared" si="16"/>
        <v>289.99999999996362</v>
      </c>
      <c r="AM15" s="58">
        <v>321</v>
      </c>
      <c r="AN15" s="65">
        <f t="shared" si="17"/>
        <v>310.00000000000227</v>
      </c>
      <c r="AO15" s="58">
        <v>308.64999999999998</v>
      </c>
      <c r="AP15" s="65">
        <f t="shared" si="18"/>
        <v>120.00000000000455</v>
      </c>
      <c r="AQ15" s="58">
        <v>362.54</v>
      </c>
      <c r="AR15" s="65">
        <f t="shared" si="19"/>
        <v>80.000000000040927</v>
      </c>
      <c r="AS15" s="58">
        <v>486.73</v>
      </c>
      <c r="AT15" s="65">
        <f t="shared" si="20"/>
        <v>100.00000000002274</v>
      </c>
      <c r="AU15" s="58">
        <v>390.27</v>
      </c>
      <c r="AV15" s="65">
        <f t="shared" si="21"/>
        <v>89.999999999974989</v>
      </c>
      <c r="AW15" s="58">
        <v>418.98</v>
      </c>
      <c r="AX15" s="65">
        <f t="shared" si="22"/>
        <v>210.00000000003638</v>
      </c>
      <c r="AY15" s="58">
        <v>453.64</v>
      </c>
      <c r="AZ15" s="65">
        <f t="shared" si="23"/>
        <v>180.00000000000682</v>
      </c>
      <c r="BA15" s="58">
        <v>470.36</v>
      </c>
      <c r="BB15" s="65">
        <f t="shared" si="24"/>
        <v>50.000000000011369</v>
      </c>
      <c r="BC15" s="58">
        <v>302.81</v>
      </c>
      <c r="BD15" s="65">
        <f t="shared" si="25"/>
        <v>100.00000000002274</v>
      </c>
      <c r="BE15" s="59">
        <v>63149</v>
      </c>
      <c r="BF15" s="67">
        <f t="shared" si="26"/>
        <v>32</v>
      </c>
      <c r="BG15" s="60">
        <v>259.8</v>
      </c>
      <c r="BH15" s="65">
        <f t="shared" si="27"/>
        <v>60.000000000002274</v>
      </c>
      <c r="BI15" s="60">
        <v>313.68</v>
      </c>
      <c r="BJ15" s="65">
        <f t="shared" si="28"/>
        <v>50.000000000011369</v>
      </c>
      <c r="BK15" s="60">
        <v>266.77</v>
      </c>
      <c r="BL15" s="65">
        <f t="shared" si="29"/>
        <v>69.999999999993179</v>
      </c>
      <c r="BM15" s="60">
        <v>249.79</v>
      </c>
      <c r="BN15" s="65">
        <f t="shared" si="30"/>
        <v>69.999999999993179</v>
      </c>
      <c r="BO15" s="60">
        <v>318.06</v>
      </c>
      <c r="BP15" s="65">
        <f t="shared" si="31"/>
        <v>69.999999999993179</v>
      </c>
      <c r="BQ15" s="60">
        <v>68025</v>
      </c>
      <c r="BR15" s="65">
        <f t="shared" si="32"/>
        <v>56</v>
      </c>
      <c r="BS15" s="60">
        <v>228.41</v>
      </c>
      <c r="BT15" s="65">
        <f t="shared" si="33"/>
        <v>60.000000000002274</v>
      </c>
      <c r="BU15" s="60">
        <v>65245</v>
      </c>
      <c r="BV15" s="65">
        <f t="shared" si="34"/>
        <v>52</v>
      </c>
      <c r="BW15" s="60">
        <v>256.33999999999997</v>
      </c>
      <c r="BX15" s="65">
        <f t="shared" si="35"/>
        <v>60.000000000002274</v>
      </c>
      <c r="BY15" s="60">
        <v>87729</v>
      </c>
      <c r="BZ15" s="67">
        <f t="shared" si="36"/>
        <v>68</v>
      </c>
      <c r="CA15" s="60">
        <v>65682.100000000006</v>
      </c>
      <c r="CB15" s="67">
        <f t="shared" si="37"/>
        <v>50.700000000011642</v>
      </c>
      <c r="CC15" s="60">
        <v>19353.900000000001</v>
      </c>
      <c r="CD15" s="67">
        <f t="shared" si="38"/>
        <v>10.100000000002183</v>
      </c>
      <c r="CE15" s="60">
        <v>9190.2999999999993</v>
      </c>
      <c r="CF15" s="67">
        <f t="shared" si="39"/>
        <v>3.5</v>
      </c>
      <c r="CG15" s="60">
        <v>88537.4</v>
      </c>
      <c r="CH15" s="67">
        <f t="shared" si="40"/>
        <v>47</v>
      </c>
      <c r="CI15" s="60">
        <v>1137016</v>
      </c>
      <c r="CJ15" s="67">
        <f t="shared" si="41"/>
        <v>372</v>
      </c>
      <c r="CK15" s="60">
        <v>1265.0999999999999</v>
      </c>
      <c r="CL15" s="64">
        <f t="shared" si="42"/>
        <v>1000</v>
      </c>
      <c r="CM15" s="65">
        <f t="shared" si="43"/>
        <v>105.10000000000218</v>
      </c>
      <c r="CN15" s="62">
        <v>37</v>
      </c>
      <c r="CO15" s="62">
        <v>70</v>
      </c>
      <c r="CP15" s="68">
        <v>56834</v>
      </c>
      <c r="CQ15" s="67">
        <f t="shared" si="44"/>
        <v>98</v>
      </c>
      <c r="CR15" s="68">
        <v>28906.400000000001</v>
      </c>
      <c r="CS15" s="67">
        <f t="shared" si="45"/>
        <v>7.1000000000021828</v>
      </c>
      <c r="CT15" s="75">
        <v>13785</v>
      </c>
      <c r="CU15" s="67">
        <f t="shared" si="46"/>
        <v>9</v>
      </c>
      <c r="CV15" s="68">
        <v>32941</v>
      </c>
      <c r="CW15" s="67">
        <f t="shared" si="47"/>
        <v>13</v>
      </c>
      <c r="CX15" s="58">
        <v>6350.2</v>
      </c>
      <c r="CY15" s="67">
        <f t="shared" si="48"/>
        <v>13.399999999999636</v>
      </c>
    </row>
    <row r="16" spans="1:103" ht="25.5" customHeight="1" thickBot="1" x14ac:dyDescent="0.45">
      <c r="A16" s="63">
        <v>44998</v>
      </c>
      <c r="B16" s="44"/>
      <c r="C16" s="58">
        <v>3.9634</v>
      </c>
      <c r="D16" s="64">
        <f t="shared" si="0"/>
        <v>3099.9999999998809</v>
      </c>
      <c r="E16" s="58">
        <v>5.2678000000000003</v>
      </c>
      <c r="F16" s="64">
        <f t="shared" si="1"/>
        <v>3600.0000000004916</v>
      </c>
      <c r="G16" s="58">
        <v>5.3131000000000004</v>
      </c>
      <c r="H16" s="64">
        <f t="shared" si="2"/>
        <v>4100.0000000002146</v>
      </c>
      <c r="I16" s="58">
        <v>2.6166999999999998</v>
      </c>
      <c r="J16" s="64">
        <f>IF((I16-I15&lt;0), "0",(I16-I15)*1000000)</f>
        <v>1900.0000000000127</v>
      </c>
      <c r="K16" s="58">
        <v>4.0025000000000004</v>
      </c>
      <c r="L16" s="64">
        <f t="shared" si="4"/>
        <v>2400.0000000006239</v>
      </c>
      <c r="M16" s="58">
        <v>2.4279000000000002</v>
      </c>
      <c r="N16" s="64">
        <f t="shared" si="5"/>
        <v>2200.0000000002019</v>
      </c>
      <c r="O16" s="58">
        <v>30011</v>
      </c>
      <c r="P16" s="67">
        <f t="shared" si="6"/>
        <v>63</v>
      </c>
      <c r="Q16" s="58">
        <v>3788</v>
      </c>
      <c r="R16" s="67">
        <f t="shared" si="7"/>
        <v>12</v>
      </c>
      <c r="S16" s="58">
        <v>1727.2</v>
      </c>
      <c r="T16" s="67">
        <f t="shared" si="49"/>
        <v>1400.0000000000909</v>
      </c>
      <c r="U16" s="58">
        <v>680928.4</v>
      </c>
      <c r="V16" s="67">
        <f t="shared" si="8"/>
        <v>563.5</v>
      </c>
      <c r="W16" s="58">
        <v>610.42999999999995</v>
      </c>
      <c r="X16" s="65">
        <f t="shared" si="9"/>
        <v>389.99999999998636</v>
      </c>
      <c r="Y16" s="58">
        <v>4.6485000000000003</v>
      </c>
      <c r="Z16" s="65">
        <f t="shared" si="10"/>
        <v>3200.0000000005357</v>
      </c>
      <c r="AA16" s="58">
        <v>616.45000000000005</v>
      </c>
      <c r="AB16" s="65">
        <f t="shared" si="11"/>
        <v>509.99999999999091</v>
      </c>
      <c r="AC16" s="58">
        <v>624.70000000000005</v>
      </c>
      <c r="AD16" s="65">
        <f t="shared" si="12"/>
        <v>480.00000000001819</v>
      </c>
      <c r="AE16" s="58">
        <v>997.9</v>
      </c>
      <c r="AF16" s="65">
        <f t="shared" si="13"/>
        <v>1019.9999999999818</v>
      </c>
      <c r="AG16" s="58">
        <v>28632</v>
      </c>
      <c r="AH16" s="67">
        <f t="shared" si="14"/>
        <v>46</v>
      </c>
      <c r="AI16" s="58">
        <v>1.0609999999999999</v>
      </c>
      <c r="AJ16" s="65">
        <f t="shared" si="15"/>
        <v>799.99999999991189</v>
      </c>
      <c r="AK16" s="58">
        <v>351.42</v>
      </c>
      <c r="AL16" s="65">
        <f t="shared" si="16"/>
        <v>330.00000000004093</v>
      </c>
      <c r="AM16" s="58">
        <v>321.35000000000002</v>
      </c>
      <c r="AN16" s="65">
        <f t="shared" si="17"/>
        <v>350.00000000002274</v>
      </c>
      <c r="AO16" s="58">
        <v>308.81</v>
      </c>
      <c r="AP16" s="65">
        <f t="shared" si="18"/>
        <v>160.00000000002501</v>
      </c>
      <c r="AQ16" s="58">
        <v>362.78</v>
      </c>
      <c r="AR16" s="65">
        <f t="shared" si="19"/>
        <v>239.99999999995225</v>
      </c>
      <c r="AS16" s="58">
        <v>486.85</v>
      </c>
      <c r="AT16" s="65">
        <f t="shared" si="20"/>
        <v>120.00000000000455</v>
      </c>
      <c r="AU16" s="58">
        <v>390.42</v>
      </c>
      <c r="AV16" s="65">
        <f t="shared" si="21"/>
        <v>150.00000000003411</v>
      </c>
      <c r="AW16" s="58">
        <v>419.2</v>
      </c>
      <c r="AX16" s="65">
        <f t="shared" si="22"/>
        <v>219.99999999997044</v>
      </c>
      <c r="AY16" s="58">
        <v>453.85</v>
      </c>
      <c r="AZ16" s="65">
        <f t="shared" si="23"/>
        <v>210.00000000003638</v>
      </c>
      <c r="BA16" s="58">
        <v>470.5</v>
      </c>
      <c r="BB16" s="65">
        <f t="shared" si="24"/>
        <v>139.99999999998636</v>
      </c>
      <c r="BC16" s="58">
        <v>302.91000000000003</v>
      </c>
      <c r="BD16" s="65">
        <f t="shared" si="25"/>
        <v>100.00000000002274</v>
      </c>
      <c r="BE16" s="59">
        <v>63192</v>
      </c>
      <c r="BF16" s="67">
        <f t="shared" si="26"/>
        <v>43</v>
      </c>
      <c r="BG16" s="60">
        <v>259.86</v>
      </c>
      <c r="BH16" s="65">
        <f t="shared" si="27"/>
        <v>60.000000000002274</v>
      </c>
      <c r="BI16" s="60">
        <v>313.72000000000003</v>
      </c>
      <c r="BJ16" s="65">
        <f t="shared" si="28"/>
        <v>40.000000000020464</v>
      </c>
      <c r="BK16" s="60">
        <v>266.85000000000002</v>
      </c>
      <c r="BL16" s="65">
        <f t="shared" si="29"/>
        <v>80.000000000040927</v>
      </c>
      <c r="BM16" s="60">
        <v>249.85</v>
      </c>
      <c r="BN16" s="65">
        <f t="shared" si="30"/>
        <v>60.000000000002274</v>
      </c>
      <c r="BO16" s="60">
        <v>318.12</v>
      </c>
      <c r="BP16" s="65">
        <f t="shared" si="31"/>
        <v>60.000000000002274</v>
      </c>
      <c r="BQ16" s="60">
        <v>68075</v>
      </c>
      <c r="BR16" s="65">
        <f t="shared" si="32"/>
        <v>50</v>
      </c>
      <c r="BS16" s="60">
        <v>228.48</v>
      </c>
      <c r="BT16" s="65">
        <f t="shared" si="33"/>
        <v>69.999999999993179</v>
      </c>
      <c r="BU16" s="60">
        <v>65299</v>
      </c>
      <c r="BV16" s="65">
        <f t="shared" si="34"/>
        <v>54</v>
      </c>
      <c r="BW16" s="60">
        <v>256.39999999999998</v>
      </c>
      <c r="BX16" s="65">
        <f t="shared" si="35"/>
        <v>60.000000000002274</v>
      </c>
      <c r="BY16" s="60">
        <v>87792</v>
      </c>
      <c r="BZ16" s="67">
        <f t="shared" si="36"/>
        <v>63</v>
      </c>
      <c r="CA16" s="60">
        <v>65735.5</v>
      </c>
      <c r="CB16" s="67">
        <f t="shared" si="37"/>
        <v>53.399999999994179</v>
      </c>
      <c r="CC16" s="60">
        <v>19364</v>
      </c>
      <c r="CD16" s="67">
        <f t="shared" si="38"/>
        <v>10.099999999998545</v>
      </c>
      <c r="CE16" s="60">
        <v>9198.9</v>
      </c>
      <c r="CF16" s="67">
        <f t="shared" si="39"/>
        <v>8.6000000000003638</v>
      </c>
      <c r="CG16" s="60">
        <v>88572.9</v>
      </c>
      <c r="CH16" s="67">
        <f t="shared" si="40"/>
        <v>35.5</v>
      </c>
      <c r="CI16" s="60">
        <v>1137348</v>
      </c>
      <c r="CJ16" s="67">
        <f t="shared" si="41"/>
        <v>332</v>
      </c>
      <c r="CK16" s="60">
        <v>1266.0999999999999</v>
      </c>
      <c r="CL16" s="64">
        <f t="shared" si="42"/>
        <v>1000</v>
      </c>
      <c r="CM16" s="65">
        <f t="shared" si="43"/>
        <v>117.69999999999709</v>
      </c>
      <c r="CN16" s="62">
        <v>37</v>
      </c>
      <c r="CO16" s="62">
        <v>70</v>
      </c>
      <c r="CP16" s="68">
        <v>56933</v>
      </c>
      <c r="CQ16" s="67">
        <f t="shared" si="44"/>
        <v>99</v>
      </c>
      <c r="CR16" s="68">
        <v>28925.1</v>
      </c>
      <c r="CS16" s="67">
        <f t="shared" si="45"/>
        <v>18.69999999999709</v>
      </c>
      <c r="CT16" s="75">
        <v>13795</v>
      </c>
      <c r="CU16" s="67">
        <f t="shared" si="46"/>
        <v>10</v>
      </c>
      <c r="CV16" s="68">
        <v>32954</v>
      </c>
      <c r="CW16" s="67">
        <f t="shared" si="47"/>
        <v>13</v>
      </c>
      <c r="CX16" s="58">
        <v>6363.6</v>
      </c>
      <c r="CY16" s="67">
        <f t="shared" si="48"/>
        <v>13.400000000000546</v>
      </c>
    </row>
    <row r="17" spans="1:103" ht="25.5" customHeight="1" thickBot="1" x14ac:dyDescent="0.45">
      <c r="A17" s="63">
        <v>44999</v>
      </c>
      <c r="B17" s="44"/>
      <c r="C17" s="58">
        <v>3.9662000000000002</v>
      </c>
      <c r="D17" s="64">
        <f t="shared" si="0"/>
        <v>2800.0000000001355</v>
      </c>
      <c r="E17" s="58">
        <v>5.2714999999999996</v>
      </c>
      <c r="F17" s="64">
        <f t="shared" si="1"/>
        <v>3699.9999999993706</v>
      </c>
      <c r="G17" s="58">
        <v>5.3171999999999997</v>
      </c>
      <c r="H17" s="64">
        <f t="shared" si="2"/>
        <v>4099.9999999993261</v>
      </c>
      <c r="I17" s="58">
        <v>2.6185999999999998</v>
      </c>
      <c r="J17" s="64">
        <f t="shared" si="3"/>
        <v>1900.0000000000127</v>
      </c>
      <c r="K17" s="58">
        <v>4.0049999999999999</v>
      </c>
      <c r="L17" s="64">
        <f t="shared" si="4"/>
        <v>2499.9999999995025</v>
      </c>
      <c r="M17" s="58">
        <v>2.4298999999999999</v>
      </c>
      <c r="N17" s="64">
        <f t="shared" si="5"/>
        <v>1999.9999999997797</v>
      </c>
      <c r="O17" s="58">
        <v>30074</v>
      </c>
      <c r="P17" s="67">
        <f t="shared" si="6"/>
        <v>63</v>
      </c>
      <c r="Q17" s="58">
        <v>3795</v>
      </c>
      <c r="R17" s="67">
        <f t="shared" si="7"/>
        <v>7</v>
      </c>
      <c r="S17" s="58">
        <v>1728.8</v>
      </c>
      <c r="T17" s="67">
        <f t="shared" si="49"/>
        <v>1599.9999999999091</v>
      </c>
      <c r="U17" s="58">
        <v>681524.1</v>
      </c>
      <c r="V17" s="67">
        <f t="shared" si="8"/>
        <v>595.69999999995343</v>
      </c>
      <c r="W17" s="58">
        <v>610.83000000000004</v>
      </c>
      <c r="X17" s="65">
        <f t="shared" si="9"/>
        <v>400.00000000009095</v>
      </c>
      <c r="Y17" s="58">
        <v>4.6516999999999999</v>
      </c>
      <c r="Z17" s="65">
        <f t="shared" si="10"/>
        <v>3199.9999999996476</v>
      </c>
      <c r="AA17" s="58">
        <v>616.76</v>
      </c>
      <c r="AB17" s="65">
        <f t="shared" si="11"/>
        <v>309.99999999994543</v>
      </c>
      <c r="AC17" s="58">
        <v>625.24</v>
      </c>
      <c r="AD17" s="65">
        <f t="shared" si="12"/>
        <v>539.99999999996362</v>
      </c>
      <c r="AE17" s="58">
        <v>999.03</v>
      </c>
      <c r="AF17" s="65">
        <f t="shared" si="13"/>
        <v>1129.9999999999955</v>
      </c>
      <c r="AG17" s="58">
        <v>28678</v>
      </c>
      <c r="AH17" s="67">
        <f t="shared" si="14"/>
        <v>46</v>
      </c>
      <c r="AI17" s="58">
        <v>1.0617000000000001</v>
      </c>
      <c r="AJ17" s="65">
        <f t="shared" si="15"/>
        <v>700.00000000014495</v>
      </c>
      <c r="AK17" s="58">
        <v>351.75</v>
      </c>
      <c r="AL17" s="65">
        <f t="shared" si="16"/>
        <v>329.99999999998408</v>
      </c>
      <c r="AM17" s="58">
        <v>321.69</v>
      </c>
      <c r="AN17" s="65">
        <f t="shared" si="17"/>
        <v>339.99999999997499</v>
      </c>
      <c r="AO17" s="58">
        <v>308.91000000000003</v>
      </c>
      <c r="AP17" s="65">
        <f t="shared" si="18"/>
        <v>100.00000000002274</v>
      </c>
      <c r="AQ17" s="58">
        <v>362.96</v>
      </c>
      <c r="AR17" s="65">
        <f t="shared" si="19"/>
        <v>180.00000000000682</v>
      </c>
      <c r="AS17" s="58">
        <v>486.97</v>
      </c>
      <c r="AT17" s="65">
        <f t="shared" si="20"/>
        <v>120.00000000000455</v>
      </c>
      <c r="AU17" s="58">
        <v>390.52</v>
      </c>
      <c r="AV17" s="65">
        <f t="shared" si="21"/>
        <v>99.999999999965894</v>
      </c>
      <c r="AW17" s="58">
        <v>419.41</v>
      </c>
      <c r="AX17" s="65">
        <f t="shared" si="22"/>
        <v>210.00000000003638</v>
      </c>
      <c r="AY17" s="58">
        <v>454.03</v>
      </c>
      <c r="AZ17" s="65">
        <f t="shared" si="23"/>
        <v>179.99999999994998</v>
      </c>
      <c r="BA17" s="58">
        <v>470.63</v>
      </c>
      <c r="BB17" s="65">
        <f t="shared" si="24"/>
        <v>129.99999999999545</v>
      </c>
      <c r="BC17" s="58">
        <v>303.04000000000002</v>
      </c>
      <c r="BD17" s="65">
        <f t="shared" si="25"/>
        <v>129.99999999999545</v>
      </c>
      <c r="BE17" s="59">
        <v>63234</v>
      </c>
      <c r="BF17" s="67">
        <f t="shared" si="26"/>
        <v>42</v>
      </c>
      <c r="BG17" s="60">
        <v>259.92</v>
      </c>
      <c r="BH17" s="65">
        <f t="shared" si="27"/>
        <v>60.000000000002274</v>
      </c>
      <c r="BI17" s="60">
        <v>313.77</v>
      </c>
      <c r="BJ17" s="65">
        <f t="shared" si="28"/>
        <v>49.999999999954525</v>
      </c>
      <c r="BK17" s="60">
        <v>266.92</v>
      </c>
      <c r="BL17" s="65">
        <f t="shared" si="29"/>
        <v>69.999999999993179</v>
      </c>
      <c r="BM17" s="60">
        <v>249.91</v>
      </c>
      <c r="BN17" s="65">
        <f t="shared" si="30"/>
        <v>60.000000000002274</v>
      </c>
      <c r="BO17" s="60">
        <v>318.18</v>
      </c>
      <c r="BP17" s="65">
        <f t="shared" si="31"/>
        <v>60.000000000002274</v>
      </c>
      <c r="BQ17" s="60">
        <v>68132</v>
      </c>
      <c r="BR17" s="65">
        <f t="shared" si="32"/>
        <v>57</v>
      </c>
      <c r="BS17" s="60">
        <v>228.54</v>
      </c>
      <c r="BT17" s="65">
        <f t="shared" si="33"/>
        <v>60.000000000002274</v>
      </c>
      <c r="BU17" s="60">
        <v>65348</v>
      </c>
      <c r="BV17" s="65">
        <f t="shared" si="34"/>
        <v>49</v>
      </c>
      <c r="BW17" s="60">
        <v>256.47000000000003</v>
      </c>
      <c r="BX17" s="65">
        <f t="shared" si="35"/>
        <v>70.000000000050022</v>
      </c>
      <c r="BY17" s="60">
        <v>87854</v>
      </c>
      <c r="BZ17" s="67">
        <f t="shared" si="36"/>
        <v>62</v>
      </c>
      <c r="CA17" s="60">
        <v>65796.899999999994</v>
      </c>
      <c r="CB17" s="67">
        <f t="shared" si="37"/>
        <v>61.399999999994179</v>
      </c>
      <c r="CC17" s="60">
        <v>19386.400000000001</v>
      </c>
      <c r="CD17" s="67">
        <f t="shared" si="38"/>
        <v>22.400000000001455</v>
      </c>
      <c r="CE17" s="60">
        <v>9200.2999999999993</v>
      </c>
      <c r="CF17" s="67">
        <f t="shared" si="39"/>
        <v>1.3999999999996362</v>
      </c>
      <c r="CG17" s="60">
        <v>88600.6</v>
      </c>
      <c r="CH17" s="67">
        <f t="shared" si="40"/>
        <v>27.700000000011642</v>
      </c>
      <c r="CI17" s="60">
        <v>1137700</v>
      </c>
      <c r="CJ17" s="67">
        <f t="shared" si="41"/>
        <v>352</v>
      </c>
      <c r="CK17" s="60">
        <v>1267.0999999999999</v>
      </c>
      <c r="CL17" s="64">
        <f t="shared" si="42"/>
        <v>1000</v>
      </c>
      <c r="CM17" s="65">
        <f t="shared" si="43"/>
        <v>114.30000000000291</v>
      </c>
      <c r="CN17" s="62">
        <v>34</v>
      </c>
      <c r="CO17" s="62">
        <v>66</v>
      </c>
      <c r="CP17" s="68">
        <v>57031</v>
      </c>
      <c r="CQ17" s="67">
        <f t="shared" si="44"/>
        <v>98</v>
      </c>
      <c r="CR17" s="68">
        <v>28941.4</v>
      </c>
      <c r="CS17" s="67">
        <f t="shared" si="45"/>
        <v>16.30000000000291</v>
      </c>
      <c r="CT17" s="75">
        <v>13804</v>
      </c>
      <c r="CU17" s="67">
        <f t="shared" si="46"/>
        <v>9</v>
      </c>
      <c r="CV17" s="68">
        <v>32968</v>
      </c>
      <c r="CW17" s="67">
        <f t="shared" si="47"/>
        <v>14</v>
      </c>
      <c r="CX17" s="58">
        <v>6376.8</v>
      </c>
      <c r="CY17" s="67">
        <f t="shared" si="48"/>
        <v>13.199999999999818</v>
      </c>
    </row>
    <row r="18" spans="1:103" ht="25.5" customHeight="1" thickBot="1" x14ac:dyDescent="0.45">
      <c r="A18" s="63">
        <v>45000</v>
      </c>
      <c r="B18" s="44"/>
      <c r="C18" s="58">
        <v>3.9691000000000001</v>
      </c>
      <c r="D18" s="64">
        <f t="shared" si="0"/>
        <v>2899.9999999999027</v>
      </c>
      <c r="E18" s="58">
        <v>5.2750000000000004</v>
      </c>
      <c r="F18" s="64">
        <f t="shared" si="1"/>
        <v>3500.0000000007249</v>
      </c>
      <c r="G18" s="58">
        <v>5.3207000000000004</v>
      </c>
      <c r="H18" s="64">
        <f t="shared" si="2"/>
        <v>3500.0000000007249</v>
      </c>
      <c r="I18" s="58">
        <v>2.6204999999999998</v>
      </c>
      <c r="J18" s="64">
        <f t="shared" si="3"/>
        <v>1900.0000000000127</v>
      </c>
      <c r="K18" s="58">
        <v>4.0073999999999996</v>
      </c>
      <c r="L18" s="64">
        <f t="shared" si="4"/>
        <v>2399.9999999997358</v>
      </c>
      <c r="M18" s="58">
        <v>2.4321000000000002</v>
      </c>
      <c r="N18" s="64">
        <f t="shared" si="5"/>
        <v>2200.0000000002019</v>
      </c>
      <c r="O18" s="58">
        <v>30135</v>
      </c>
      <c r="P18" s="67">
        <f t="shared" si="6"/>
        <v>61</v>
      </c>
      <c r="Q18" s="58">
        <v>3803</v>
      </c>
      <c r="R18" s="67">
        <f t="shared" si="7"/>
        <v>8</v>
      </c>
      <c r="S18" s="58">
        <v>1730.1</v>
      </c>
      <c r="T18" s="67">
        <f t="shared" si="49"/>
        <v>1299.9999999999545</v>
      </c>
      <c r="U18" s="58">
        <v>681969</v>
      </c>
      <c r="V18" s="67">
        <f t="shared" si="8"/>
        <v>444.90000000002328</v>
      </c>
      <c r="W18" s="58">
        <v>611.25</v>
      </c>
      <c r="X18" s="65">
        <f t="shared" si="9"/>
        <v>419.99999999995907</v>
      </c>
      <c r="Y18" s="58">
        <v>4.6548999999999996</v>
      </c>
      <c r="Z18" s="65">
        <f t="shared" si="10"/>
        <v>3199.9999999996476</v>
      </c>
      <c r="AA18" s="58">
        <v>617.23</v>
      </c>
      <c r="AB18" s="65">
        <f t="shared" si="11"/>
        <v>470.00000000002728</v>
      </c>
      <c r="AC18" s="58">
        <v>625.71</v>
      </c>
      <c r="AD18" s="65">
        <f t="shared" si="12"/>
        <v>470.00000000002728</v>
      </c>
      <c r="AE18" s="58">
        <v>1000.1</v>
      </c>
      <c r="AF18" s="65">
        <f t="shared" si="13"/>
        <v>1070.00000000005</v>
      </c>
      <c r="AG18" s="58">
        <v>28721</v>
      </c>
      <c r="AH18" s="67">
        <f t="shared" si="14"/>
        <v>43</v>
      </c>
      <c r="AI18" s="58">
        <v>1.0625</v>
      </c>
      <c r="AJ18" s="65">
        <f t="shared" si="15"/>
        <v>799.99999999991189</v>
      </c>
      <c r="AK18" s="58">
        <v>352.1</v>
      </c>
      <c r="AL18" s="65">
        <f t="shared" si="16"/>
        <v>350.00000000002274</v>
      </c>
      <c r="AM18" s="58">
        <v>322.04000000000002</v>
      </c>
      <c r="AN18" s="65">
        <f t="shared" si="17"/>
        <v>350.00000000002274</v>
      </c>
      <c r="AO18" s="58">
        <v>309.02999999999997</v>
      </c>
      <c r="AP18" s="65">
        <f t="shared" si="18"/>
        <v>119.9999999999477</v>
      </c>
      <c r="AQ18" s="58">
        <v>363.13</v>
      </c>
      <c r="AR18" s="65">
        <f t="shared" si="19"/>
        <v>170.00000000001592</v>
      </c>
      <c r="AS18" s="58">
        <v>487.12</v>
      </c>
      <c r="AT18" s="65">
        <f t="shared" si="20"/>
        <v>149.99999999997726</v>
      </c>
      <c r="AU18" s="58">
        <v>390.61</v>
      </c>
      <c r="AV18" s="65">
        <f t="shared" si="21"/>
        <v>90.000000000031832</v>
      </c>
      <c r="AW18" s="58">
        <v>419.61</v>
      </c>
      <c r="AX18" s="65">
        <f t="shared" si="22"/>
        <v>199.99999999998863</v>
      </c>
      <c r="AY18" s="58">
        <v>454.23</v>
      </c>
      <c r="AZ18" s="65">
        <f t="shared" si="23"/>
        <v>200.00000000004547</v>
      </c>
      <c r="BA18" s="58">
        <v>470.74</v>
      </c>
      <c r="BB18" s="65">
        <f t="shared" si="24"/>
        <v>110.00000000001364</v>
      </c>
      <c r="BC18" s="58">
        <v>303.25</v>
      </c>
      <c r="BD18" s="65">
        <f t="shared" si="25"/>
        <v>209.99999999997954</v>
      </c>
      <c r="BE18" s="59">
        <v>63273</v>
      </c>
      <c r="BF18" s="67">
        <f t="shared" si="26"/>
        <v>39</v>
      </c>
      <c r="BG18" s="60">
        <v>259.98</v>
      </c>
      <c r="BH18" s="65">
        <f t="shared" si="27"/>
        <v>60.000000000002274</v>
      </c>
      <c r="BI18" s="60">
        <v>313.81</v>
      </c>
      <c r="BJ18" s="65">
        <f t="shared" si="28"/>
        <v>40.000000000020464</v>
      </c>
      <c r="BK18" s="60">
        <v>267</v>
      </c>
      <c r="BL18" s="65">
        <f t="shared" si="29"/>
        <v>79.999999999984084</v>
      </c>
      <c r="BM18" s="60">
        <v>249.96</v>
      </c>
      <c r="BN18" s="65">
        <f t="shared" si="30"/>
        <v>50.000000000011369</v>
      </c>
      <c r="BO18" s="60">
        <v>318.26</v>
      </c>
      <c r="BP18" s="65">
        <f t="shared" si="31"/>
        <v>79.999999999984084</v>
      </c>
      <c r="BQ18" s="60">
        <v>68183</v>
      </c>
      <c r="BR18" s="65">
        <f t="shared" si="32"/>
        <v>51</v>
      </c>
      <c r="BS18" s="60">
        <v>228.61</v>
      </c>
      <c r="BT18" s="65">
        <f t="shared" si="33"/>
        <v>70.0000000000216</v>
      </c>
      <c r="BU18" s="60">
        <v>65399</v>
      </c>
      <c r="BV18" s="65">
        <f t="shared" si="34"/>
        <v>51</v>
      </c>
      <c r="BW18" s="60">
        <v>256.52999999999997</v>
      </c>
      <c r="BX18" s="65">
        <f t="shared" si="35"/>
        <v>59.99999999994543</v>
      </c>
      <c r="BY18" s="60">
        <v>87918</v>
      </c>
      <c r="BZ18" s="67">
        <f t="shared" si="36"/>
        <v>64</v>
      </c>
      <c r="CA18" s="60">
        <v>65858.600000000006</v>
      </c>
      <c r="CB18" s="67">
        <f t="shared" si="37"/>
        <v>61.700000000011642</v>
      </c>
      <c r="CC18" s="60">
        <v>19397</v>
      </c>
      <c r="CD18" s="67">
        <f t="shared" si="38"/>
        <v>10.599999999998545</v>
      </c>
      <c r="CE18" s="60">
        <v>9205.9</v>
      </c>
      <c r="CF18" s="67">
        <f t="shared" si="39"/>
        <v>5.6000000000003638</v>
      </c>
      <c r="CG18" s="60">
        <v>88632.9</v>
      </c>
      <c r="CH18" s="67">
        <f t="shared" si="40"/>
        <v>32.299999999988358</v>
      </c>
      <c r="CI18" s="60">
        <v>1137989</v>
      </c>
      <c r="CJ18" s="67">
        <f t="shared" si="41"/>
        <v>289</v>
      </c>
      <c r="CK18" s="60">
        <v>1268.0999999999999</v>
      </c>
      <c r="CL18" s="64">
        <f t="shared" si="42"/>
        <v>1000</v>
      </c>
      <c r="CM18" s="65">
        <f t="shared" si="43"/>
        <v>116.69999999999709</v>
      </c>
      <c r="CN18" s="62">
        <v>34</v>
      </c>
      <c r="CO18" s="62">
        <v>66</v>
      </c>
      <c r="CP18" s="68">
        <v>57138</v>
      </c>
      <c r="CQ18" s="67">
        <f t="shared" si="44"/>
        <v>107</v>
      </c>
      <c r="CR18" s="68">
        <v>28951.1</v>
      </c>
      <c r="CS18" s="67">
        <f t="shared" si="45"/>
        <v>9.6999999999970896</v>
      </c>
      <c r="CT18" s="75">
        <v>13814</v>
      </c>
      <c r="CU18" s="67">
        <f t="shared" si="46"/>
        <v>10</v>
      </c>
      <c r="CV18" s="68">
        <v>32982</v>
      </c>
      <c r="CW18" s="67">
        <f t="shared" si="47"/>
        <v>14</v>
      </c>
      <c r="CX18" s="58">
        <v>6389.3</v>
      </c>
      <c r="CY18" s="67">
        <f t="shared" si="48"/>
        <v>12.5</v>
      </c>
    </row>
    <row r="19" spans="1:103" ht="25.5" customHeight="1" thickBot="1" x14ac:dyDescent="0.45">
      <c r="A19" s="63">
        <v>45001</v>
      </c>
      <c r="B19" s="44"/>
      <c r="C19" s="58">
        <v>3.9721000000000002</v>
      </c>
      <c r="D19" s="64">
        <f t="shared" si="0"/>
        <v>3000.0000000001137</v>
      </c>
      <c r="E19" s="58">
        <v>5.2784000000000004</v>
      </c>
      <c r="F19" s="64">
        <f t="shared" si="1"/>
        <v>3400.0000000000696</v>
      </c>
      <c r="G19" s="58">
        <v>5.3246000000000002</v>
      </c>
      <c r="H19" s="64">
        <f t="shared" si="2"/>
        <v>3899.9999999997926</v>
      </c>
      <c r="I19" s="58">
        <v>2.6223999999999998</v>
      </c>
      <c r="J19" s="64">
        <f t="shared" si="3"/>
        <v>1900.0000000000127</v>
      </c>
      <c r="K19" s="58">
        <v>4.0099</v>
      </c>
      <c r="L19" s="64">
        <f t="shared" si="4"/>
        <v>2500.0000000003906</v>
      </c>
      <c r="M19" s="58">
        <v>2.4340000000000002</v>
      </c>
      <c r="N19" s="64">
        <f t="shared" si="5"/>
        <v>1900.0000000000127</v>
      </c>
      <c r="O19" s="58">
        <v>30189</v>
      </c>
      <c r="P19" s="67">
        <f t="shared" si="6"/>
        <v>54</v>
      </c>
      <c r="Q19" s="58">
        <v>3810</v>
      </c>
      <c r="R19" s="67">
        <f t="shared" si="7"/>
        <v>7</v>
      </c>
      <c r="S19" s="58">
        <v>1731.5</v>
      </c>
      <c r="T19" s="67">
        <f t="shared" si="49"/>
        <v>1400.0000000000909</v>
      </c>
      <c r="U19" s="58">
        <v>682439.3</v>
      </c>
      <c r="V19" s="67">
        <f t="shared" si="8"/>
        <v>470.30000000004657</v>
      </c>
      <c r="W19" s="58">
        <v>611.62</v>
      </c>
      <c r="X19" s="65">
        <f t="shared" si="9"/>
        <v>370.00000000000455</v>
      </c>
      <c r="Y19" s="58">
        <v>4.6578999999999997</v>
      </c>
      <c r="Z19" s="65">
        <f t="shared" si="10"/>
        <v>3000.0000000001137</v>
      </c>
      <c r="AA19" s="58">
        <v>617.55999999999995</v>
      </c>
      <c r="AB19" s="65">
        <f t="shared" si="11"/>
        <v>329.99999999992724</v>
      </c>
      <c r="AC19" s="58">
        <v>626.16</v>
      </c>
      <c r="AD19" s="65">
        <f t="shared" si="12"/>
        <v>449.99999999993179</v>
      </c>
      <c r="AE19" s="58">
        <v>1001.1</v>
      </c>
      <c r="AF19" s="65">
        <f t="shared" si="13"/>
        <v>1000</v>
      </c>
      <c r="AG19" s="58">
        <v>28769</v>
      </c>
      <c r="AH19" s="67">
        <f t="shared" si="14"/>
        <v>48</v>
      </c>
      <c r="AI19" s="58">
        <v>1.0634999999999999</v>
      </c>
      <c r="AJ19" s="65">
        <f t="shared" si="15"/>
        <v>999.99999999988984</v>
      </c>
      <c r="AK19" s="58">
        <v>352.39</v>
      </c>
      <c r="AL19" s="65">
        <f t="shared" si="16"/>
        <v>289.99999999996362</v>
      </c>
      <c r="AM19" s="58">
        <v>322.38</v>
      </c>
      <c r="AN19" s="65">
        <f t="shared" si="17"/>
        <v>339.99999999997499</v>
      </c>
      <c r="AO19" s="58">
        <v>309.14</v>
      </c>
      <c r="AP19" s="65">
        <f t="shared" si="18"/>
        <v>110.00000000001364</v>
      </c>
      <c r="AQ19" s="58">
        <v>363.26</v>
      </c>
      <c r="AR19" s="65">
        <f t="shared" si="19"/>
        <v>129.99999999999545</v>
      </c>
      <c r="AS19" s="58">
        <v>487.19</v>
      </c>
      <c r="AT19" s="65">
        <f t="shared" si="20"/>
        <v>69.999999999993179</v>
      </c>
      <c r="AU19" s="58">
        <v>390.68</v>
      </c>
      <c r="AV19" s="65">
        <f t="shared" si="21"/>
        <v>69.999999999993179</v>
      </c>
      <c r="AW19" s="58">
        <v>419.87</v>
      </c>
      <c r="AX19" s="65">
        <f t="shared" si="22"/>
        <v>259.99999999999091</v>
      </c>
      <c r="AY19" s="58">
        <v>454.39</v>
      </c>
      <c r="AZ19" s="65">
        <f t="shared" si="23"/>
        <v>159.99999999996817</v>
      </c>
      <c r="BA19" s="58">
        <v>470.81</v>
      </c>
      <c r="BB19" s="65">
        <f t="shared" si="24"/>
        <v>69.999999999993179</v>
      </c>
      <c r="BC19" s="58">
        <v>303.38</v>
      </c>
      <c r="BD19" s="65">
        <f t="shared" si="25"/>
        <v>129.99999999999545</v>
      </c>
      <c r="BE19" s="59">
        <v>63320</v>
      </c>
      <c r="BF19" s="67">
        <f t="shared" si="26"/>
        <v>47</v>
      </c>
      <c r="BG19" s="60">
        <v>260.02999999999997</v>
      </c>
      <c r="BH19" s="65">
        <f t="shared" si="27"/>
        <v>49.999999999954525</v>
      </c>
      <c r="BI19" s="60">
        <v>313.86</v>
      </c>
      <c r="BJ19" s="65">
        <f t="shared" si="28"/>
        <v>50.000000000011369</v>
      </c>
      <c r="BK19" s="60">
        <v>267.06</v>
      </c>
      <c r="BL19" s="65">
        <f t="shared" si="29"/>
        <v>60.000000000002274</v>
      </c>
      <c r="BM19" s="60">
        <v>250.01</v>
      </c>
      <c r="BN19" s="65">
        <f t="shared" si="30"/>
        <v>49.999999999982947</v>
      </c>
      <c r="BO19" s="60">
        <v>318.31</v>
      </c>
      <c r="BP19" s="65">
        <f t="shared" si="31"/>
        <v>50.000000000011369</v>
      </c>
      <c r="BQ19" s="60">
        <v>68235</v>
      </c>
      <c r="BR19" s="65">
        <f t="shared" si="32"/>
        <v>52</v>
      </c>
      <c r="BS19" s="60">
        <v>228.69</v>
      </c>
      <c r="BT19" s="65">
        <f t="shared" si="33"/>
        <v>79.999999999984084</v>
      </c>
      <c r="BU19" s="60">
        <v>65441</v>
      </c>
      <c r="BV19" s="65">
        <f t="shared" si="34"/>
        <v>42</v>
      </c>
      <c r="BW19" s="60">
        <v>256.60000000000002</v>
      </c>
      <c r="BX19" s="65">
        <f t="shared" si="35"/>
        <v>70.000000000050022</v>
      </c>
      <c r="BY19" s="60">
        <v>87980</v>
      </c>
      <c r="BZ19" s="67">
        <f t="shared" si="36"/>
        <v>62</v>
      </c>
      <c r="CA19" s="60">
        <v>65907.899999999994</v>
      </c>
      <c r="CB19" s="67">
        <f t="shared" si="37"/>
        <v>49.299999999988358</v>
      </c>
      <c r="CC19" s="60">
        <v>19418.7</v>
      </c>
      <c r="CD19" s="67">
        <f t="shared" si="38"/>
        <v>21.700000000000728</v>
      </c>
      <c r="CE19" s="60">
        <v>9209.9</v>
      </c>
      <c r="CF19" s="67">
        <f t="shared" si="39"/>
        <v>4</v>
      </c>
      <c r="CG19" s="60">
        <v>88665.2</v>
      </c>
      <c r="CH19" s="67">
        <f t="shared" si="40"/>
        <v>32.30000000000291</v>
      </c>
      <c r="CI19" s="60">
        <v>1138331</v>
      </c>
      <c r="CJ19" s="67">
        <f t="shared" si="41"/>
        <v>342</v>
      </c>
      <c r="CK19" s="60">
        <v>1269.2</v>
      </c>
      <c r="CL19" s="64">
        <f t="shared" si="42"/>
        <v>1100.0000000001364</v>
      </c>
      <c r="CM19" s="65">
        <f t="shared" si="43"/>
        <v>99.200000000000728</v>
      </c>
      <c r="CN19" s="62">
        <v>27</v>
      </c>
      <c r="CO19" s="62">
        <v>54</v>
      </c>
      <c r="CP19" s="68">
        <v>57225</v>
      </c>
      <c r="CQ19" s="67">
        <f t="shared" si="44"/>
        <v>87</v>
      </c>
      <c r="CR19" s="68">
        <v>28963.3</v>
      </c>
      <c r="CS19" s="67">
        <f t="shared" si="45"/>
        <v>12.200000000000728</v>
      </c>
      <c r="CT19" s="75">
        <v>13824</v>
      </c>
      <c r="CU19" s="67">
        <f t="shared" si="46"/>
        <v>10</v>
      </c>
      <c r="CV19" s="68">
        <v>32998</v>
      </c>
      <c r="CW19" s="67">
        <f t="shared" si="47"/>
        <v>16</v>
      </c>
      <c r="CX19" s="58">
        <v>6402.7</v>
      </c>
      <c r="CY19" s="67">
        <f t="shared" si="48"/>
        <v>13.399999999999636</v>
      </c>
    </row>
    <row r="20" spans="1:103" ht="25.5" customHeight="1" thickBot="1" x14ac:dyDescent="0.45">
      <c r="A20" s="63">
        <v>45002</v>
      </c>
      <c r="B20" s="44"/>
      <c r="C20" s="58">
        <v>3.9750999999999999</v>
      </c>
      <c r="D20" s="64">
        <f t="shared" si="0"/>
        <v>2999.9999999996694</v>
      </c>
      <c r="E20" s="58">
        <v>5.2819000000000003</v>
      </c>
      <c r="F20" s="64">
        <f t="shared" si="1"/>
        <v>3499.9999999998367</v>
      </c>
      <c r="G20" s="58">
        <v>5.3285</v>
      </c>
      <c r="H20" s="64">
        <f t="shared" si="2"/>
        <v>3899.9999999997926</v>
      </c>
      <c r="I20" s="58">
        <v>2.6244999999999998</v>
      </c>
      <c r="J20" s="64">
        <f t="shared" si="3"/>
        <v>2099.9999999999909</v>
      </c>
      <c r="K20" s="58">
        <v>4.0124000000000004</v>
      </c>
      <c r="L20" s="64">
        <f t="shared" si="4"/>
        <v>2500.0000000003906</v>
      </c>
      <c r="M20" s="58">
        <v>2.4361999999999999</v>
      </c>
      <c r="N20" s="64">
        <f t="shared" si="5"/>
        <v>2199.9999999997576</v>
      </c>
      <c r="O20" s="58">
        <v>30248</v>
      </c>
      <c r="P20" s="67">
        <f t="shared" si="6"/>
        <v>59</v>
      </c>
      <c r="Q20" s="58">
        <v>3819</v>
      </c>
      <c r="R20" s="67">
        <f t="shared" si="7"/>
        <v>9</v>
      </c>
      <c r="S20" s="58">
        <v>1732.7</v>
      </c>
      <c r="T20" s="67">
        <f t="shared" si="49"/>
        <v>1200.0000000000455</v>
      </c>
      <c r="U20" s="58">
        <v>683003.3</v>
      </c>
      <c r="V20" s="67">
        <f t="shared" si="8"/>
        <v>564</v>
      </c>
      <c r="W20" s="58">
        <v>612.04999999999995</v>
      </c>
      <c r="X20" s="65">
        <f t="shared" si="9"/>
        <v>429.99999999994998</v>
      </c>
      <c r="Y20" s="58">
        <v>4.6609999999999996</v>
      </c>
      <c r="Z20" s="65">
        <f t="shared" si="10"/>
        <v>3099.9999999998809</v>
      </c>
      <c r="AA20" s="58">
        <v>618.03</v>
      </c>
      <c r="AB20" s="65">
        <f t="shared" si="11"/>
        <v>470.00000000002728</v>
      </c>
      <c r="AC20" s="58">
        <v>626.66999999999996</v>
      </c>
      <c r="AD20" s="65">
        <f t="shared" si="12"/>
        <v>509.99999999999091</v>
      </c>
      <c r="AE20" s="58">
        <v>1002.2</v>
      </c>
      <c r="AF20" s="65">
        <f t="shared" si="13"/>
        <v>1100.0000000000227</v>
      </c>
      <c r="AG20" s="58">
        <v>28803</v>
      </c>
      <c r="AH20" s="67">
        <f t="shared" si="14"/>
        <v>34</v>
      </c>
      <c r="AI20" s="58">
        <v>1.0644</v>
      </c>
      <c r="AJ20" s="65">
        <f t="shared" si="15"/>
        <v>900.0000000001229</v>
      </c>
      <c r="AK20" s="58">
        <v>352.71</v>
      </c>
      <c r="AL20" s="65">
        <f t="shared" si="16"/>
        <v>319.99999999999318</v>
      </c>
      <c r="AM20" s="58">
        <v>322.70999999999998</v>
      </c>
      <c r="AN20" s="65">
        <f t="shared" si="17"/>
        <v>329.99999999998408</v>
      </c>
      <c r="AO20" s="58">
        <v>309.37</v>
      </c>
      <c r="AP20" s="65">
        <f t="shared" si="18"/>
        <v>230.00000000001819</v>
      </c>
      <c r="AQ20" s="58">
        <v>363.42</v>
      </c>
      <c r="AR20" s="65">
        <f t="shared" si="19"/>
        <v>160.00000000002501</v>
      </c>
      <c r="AS20" s="58">
        <v>487.37</v>
      </c>
      <c r="AT20" s="65">
        <f t="shared" si="20"/>
        <v>180.00000000000682</v>
      </c>
      <c r="AU20" s="58">
        <v>390.74</v>
      </c>
      <c r="AV20" s="65">
        <f t="shared" si="21"/>
        <v>60.000000000002274</v>
      </c>
      <c r="AW20" s="58">
        <v>420.11</v>
      </c>
      <c r="AX20" s="65">
        <f t="shared" si="22"/>
        <v>240.00000000000909</v>
      </c>
      <c r="AY20" s="58">
        <v>454.57</v>
      </c>
      <c r="AZ20" s="65">
        <f t="shared" si="23"/>
        <v>180.00000000000682</v>
      </c>
      <c r="BA20" s="58">
        <v>470.88</v>
      </c>
      <c r="BB20" s="65">
        <f t="shared" si="24"/>
        <v>69.999999999993179</v>
      </c>
      <c r="BC20" s="58">
        <v>303.48</v>
      </c>
      <c r="BD20" s="65">
        <f t="shared" si="25"/>
        <v>100.00000000002274</v>
      </c>
      <c r="BE20" s="59">
        <v>63363</v>
      </c>
      <c r="BF20" s="67">
        <f t="shared" si="26"/>
        <v>43</v>
      </c>
      <c r="BG20" s="60">
        <v>260.08999999999997</v>
      </c>
      <c r="BH20" s="65">
        <f t="shared" si="27"/>
        <v>60.000000000002274</v>
      </c>
      <c r="BI20" s="60">
        <v>313.91000000000003</v>
      </c>
      <c r="BJ20" s="65">
        <f t="shared" si="28"/>
        <v>50.000000000011369</v>
      </c>
      <c r="BK20" s="60">
        <v>267.14</v>
      </c>
      <c r="BL20" s="65">
        <f t="shared" si="29"/>
        <v>79.999999999984084</v>
      </c>
      <c r="BM20" s="60">
        <v>250.07</v>
      </c>
      <c r="BN20" s="65">
        <f t="shared" si="30"/>
        <v>60.000000000002274</v>
      </c>
      <c r="BO20" s="60">
        <v>318.38</v>
      </c>
      <c r="BP20" s="65">
        <f t="shared" si="31"/>
        <v>69.999999999993179</v>
      </c>
      <c r="BQ20" s="60">
        <v>68287</v>
      </c>
      <c r="BR20" s="65">
        <f t="shared" si="32"/>
        <v>52</v>
      </c>
      <c r="BS20" s="60">
        <v>228.77</v>
      </c>
      <c r="BT20" s="65">
        <f t="shared" si="33"/>
        <v>80.000000000012506</v>
      </c>
      <c r="BU20" s="60">
        <v>65495</v>
      </c>
      <c r="BV20" s="65">
        <f t="shared" si="34"/>
        <v>54</v>
      </c>
      <c r="BW20" s="60">
        <v>256.67</v>
      </c>
      <c r="BX20" s="65">
        <f t="shared" si="35"/>
        <v>69.999999999993179</v>
      </c>
      <c r="BY20" s="60">
        <v>88049</v>
      </c>
      <c r="BZ20" s="67">
        <f t="shared" si="36"/>
        <v>69</v>
      </c>
      <c r="CA20" s="60">
        <v>65974</v>
      </c>
      <c r="CB20" s="67">
        <f t="shared" si="37"/>
        <v>66.100000000005821</v>
      </c>
      <c r="CC20" s="60">
        <v>19431.400000000001</v>
      </c>
      <c r="CD20" s="67">
        <f t="shared" si="38"/>
        <v>12.700000000000728</v>
      </c>
      <c r="CE20" s="60">
        <v>9214.4</v>
      </c>
      <c r="CF20" s="67">
        <f t="shared" si="39"/>
        <v>4.5</v>
      </c>
      <c r="CG20" s="60">
        <v>88692.2</v>
      </c>
      <c r="CH20" s="67">
        <f t="shared" si="40"/>
        <v>27</v>
      </c>
      <c r="CI20" s="60">
        <v>1138665</v>
      </c>
      <c r="CJ20" s="67">
        <f t="shared" si="41"/>
        <v>334</v>
      </c>
      <c r="CK20" s="60">
        <v>1270.3</v>
      </c>
      <c r="CL20" s="64">
        <f t="shared" si="42"/>
        <v>1099.9999999999091</v>
      </c>
      <c r="CM20" s="65">
        <f t="shared" si="43"/>
        <v>101.90000000000146</v>
      </c>
      <c r="CN20" s="62">
        <v>28</v>
      </c>
      <c r="CO20" s="62">
        <v>56</v>
      </c>
      <c r="CP20" s="68">
        <v>57313</v>
      </c>
      <c r="CQ20" s="67">
        <f t="shared" si="44"/>
        <v>88</v>
      </c>
      <c r="CR20" s="68">
        <v>28977.200000000001</v>
      </c>
      <c r="CS20" s="67">
        <f t="shared" si="45"/>
        <v>13.900000000001455</v>
      </c>
      <c r="CT20" s="75">
        <v>13833</v>
      </c>
      <c r="CU20" s="67">
        <f t="shared" si="46"/>
        <v>9</v>
      </c>
      <c r="CV20" s="68">
        <v>33010</v>
      </c>
      <c r="CW20" s="67">
        <f t="shared" si="47"/>
        <v>12</v>
      </c>
      <c r="CX20" s="58">
        <v>6415.9</v>
      </c>
      <c r="CY20" s="67">
        <f t="shared" si="48"/>
        <v>13.199999999999818</v>
      </c>
    </row>
    <row r="21" spans="1:103" ht="25.5" customHeight="1" thickBot="1" x14ac:dyDescent="0.45">
      <c r="A21" s="63">
        <v>45003</v>
      </c>
      <c r="B21" s="44"/>
      <c r="C21" s="58">
        <v>3.9780000000000002</v>
      </c>
      <c r="D21" s="64">
        <f t="shared" si="0"/>
        <v>2900.0000000003465</v>
      </c>
      <c r="E21" s="58">
        <v>5.2855999999999996</v>
      </c>
      <c r="F21" s="64">
        <f t="shared" si="1"/>
        <v>3699.9999999993706</v>
      </c>
      <c r="G21" s="58">
        <v>5.3323999999999998</v>
      </c>
      <c r="H21" s="64">
        <f t="shared" si="2"/>
        <v>3899.9999999997926</v>
      </c>
      <c r="I21" s="58">
        <v>2.6263999999999998</v>
      </c>
      <c r="J21" s="64">
        <f t="shared" si="3"/>
        <v>1900.0000000000127</v>
      </c>
      <c r="K21" s="58">
        <v>4.0148999999999999</v>
      </c>
      <c r="L21" s="64">
        <f t="shared" si="4"/>
        <v>2499.9999999995025</v>
      </c>
      <c r="M21" s="58">
        <v>2.4382999999999999</v>
      </c>
      <c r="N21" s="64">
        <f t="shared" si="5"/>
        <v>2099.9999999999909</v>
      </c>
      <c r="O21" s="58">
        <v>30286</v>
      </c>
      <c r="P21" s="67">
        <f t="shared" si="6"/>
        <v>38</v>
      </c>
      <c r="Q21" s="58">
        <v>3824</v>
      </c>
      <c r="R21" s="67">
        <f t="shared" si="7"/>
        <v>5</v>
      </c>
      <c r="S21" s="58">
        <v>1734.2</v>
      </c>
      <c r="T21" s="67">
        <f t="shared" si="49"/>
        <v>1500</v>
      </c>
      <c r="U21" s="58">
        <v>683620.6</v>
      </c>
      <c r="V21" s="67">
        <f t="shared" si="8"/>
        <v>617.29999999993015</v>
      </c>
      <c r="W21" s="58">
        <v>612.59</v>
      </c>
      <c r="X21" s="65">
        <f t="shared" si="9"/>
        <v>540.00000000007731</v>
      </c>
      <c r="Y21" s="58">
        <v>4.6646000000000001</v>
      </c>
      <c r="Z21" s="65">
        <f t="shared" si="10"/>
        <v>3600.0000000004916</v>
      </c>
      <c r="AA21" s="58">
        <v>618.51</v>
      </c>
      <c r="AB21" s="65">
        <f t="shared" si="11"/>
        <v>480.00000000001819</v>
      </c>
      <c r="AC21" s="58">
        <v>627.16999999999996</v>
      </c>
      <c r="AD21" s="65">
        <f t="shared" si="12"/>
        <v>500</v>
      </c>
      <c r="AE21" s="58">
        <v>1003.3</v>
      </c>
      <c r="AF21" s="65">
        <f t="shared" si="13"/>
        <v>1099.9999999999091</v>
      </c>
      <c r="AG21" s="58">
        <v>28894</v>
      </c>
      <c r="AH21" s="67">
        <f t="shared" si="14"/>
        <v>91</v>
      </c>
      <c r="AI21" s="58">
        <v>1.0653999999999999</v>
      </c>
      <c r="AJ21" s="65">
        <f t="shared" si="15"/>
        <v>999.99999999988984</v>
      </c>
      <c r="AK21" s="58">
        <v>352.96</v>
      </c>
      <c r="AL21" s="65">
        <f t="shared" si="16"/>
        <v>250</v>
      </c>
      <c r="AM21" s="58">
        <v>323.07</v>
      </c>
      <c r="AN21" s="65">
        <f t="shared" si="17"/>
        <v>360.00000000001364</v>
      </c>
      <c r="AO21" s="58">
        <v>309.67</v>
      </c>
      <c r="AP21" s="65">
        <f t="shared" si="18"/>
        <v>300.00000000001137</v>
      </c>
      <c r="AQ21" s="58">
        <v>363.59</v>
      </c>
      <c r="AR21" s="65">
        <f t="shared" si="19"/>
        <v>169.99999999995907</v>
      </c>
      <c r="AS21" s="58">
        <v>487.51</v>
      </c>
      <c r="AT21" s="65">
        <f t="shared" si="20"/>
        <v>139.99999999998636</v>
      </c>
      <c r="AU21" s="58">
        <v>390.83</v>
      </c>
      <c r="AV21" s="65">
        <f t="shared" si="21"/>
        <v>89.999999999974989</v>
      </c>
      <c r="AW21" s="58">
        <v>420.37</v>
      </c>
      <c r="AX21" s="65">
        <f t="shared" si="22"/>
        <v>259.99999999999091</v>
      </c>
      <c r="AY21" s="58">
        <v>454.73</v>
      </c>
      <c r="AZ21" s="65">
        <f t="shared" si="23"/>
        <v>160.00000000002501</v>
      </c>
      <c r="BA21" s="58">
        <v>470.98</v>
      </c>
      <c r="BB21" s="65">
        <f t="shared" si="24"/>
        <v>100.00000000002274</v>
      </c>
      <c r="BC21" s="58">
        <v>303.60000000000002</v>
      </c>
      <c r="BD21" s="65">
        <f t="shared" si="25"/>
        <v>120.00000000000455</v>
      </c>
      <c r="BE21" s="59">
        <v>63410</v>
      </c>
      <c r="BF21" s="67">
        <f t="shared" si="26"/>
        <v>47</v>
      </c>
      <c r="BG21" s="60">
        <v>260.14999999999998</v>
      </c>
      <c r="BH21" s="65">
        <f t="shared" si="27"/>
        <v>60.000000000002274</v>
      </c>
      <c r="BI21" s="60">
        <v>313.95</v>
      </c>
      <c r="BJ21" s="65">
        <f t="shared" si="28"/>
        <v>39.99999999996362</v>
      </c>
      <c r="BK21" s="60">
        <v>267.2</v>
      </c>
      <c r="BL21" s="65">
        <f t="shared" si="29"/>
        <v>60.000000000002274</v>
      </c>
      <c r="BM21" s="60">
        <v>250.12</v>
      </c>
      <c r="BN21" s="65">
        <f t="shared" si="30"/>
        <v>50.000000000011369</v>
      </c>
      <c r="BO21" s="60">
        <v>318.44</v>
      </c>
      <c r="BP21" s="65">
        <f t="shared" si="31"/>
        <v>60.000000000002274</v>
      </c>
      <c r="BQ21" s="60">
        <v>68338</v>
      </c>
      <c r="BR21" s="65">
        <f t="shared" si="32"/>
        <v>51</v>
      </c>
      <c r="BS21" s="60">
        <v>228.83</v>
      </c>
      <c r="BT21" s="65">
        <f t="shared" si="33"/>
        <v>60.000000000002274</v>
      </c>
      <c r="BU21" s="60">
        <v>65534</v>
      </c>
      <c r="BV21" s="65">
        <f t="shared" si="34"/>
        <v>39</v>
      </c>
      <c r="BW21" s="60">
        <v>256.73</v>
      </c>
      <c r="BX21" s="65">
        <f t="shared" si="35"/>
        <v>60.000000000002274</v>
      </c>
      <c r="BY21" s="60">
        <v>88111</v>
      </c>
      <c r="BZ21" s="67">
        <f t="shared" si="36"/>
        <v>62</v>
      </c>
      <c r="CA21" s="60">
        <v>66064.800000000003</v>
      </c>
      <c r="CB21" s="67">
        <f t="shared" si="37"/>
        <v>90.80000000000291</v>
      </c>
      <c r="CC21" s="60">
        <v>19445</v>
      </c>
      <c r="CD21" s="67">
        <f t="shared" si="38"/>
        <v>13.599999999998545</v>
      </c>
      <c r="CE21" s="60">
        <v>9219.2000000000007</v>
      </c>
      <c r="CF21" s="67">
        <f t="shared" si="39"/>
        <v>4.8000000000010914</v>
      </c>
      <c r="CG21" s="60">
        <v>88728.6</v>
      </c>
      <c r="CH21" s="67">
        <f t="shared" si="40"/>
        <v>36.400000000008731</v>
      </c>
      <c r="CI21" s="60">
        <v>1138990</v>
      </c>
      <c r="CJ21" s="67">
        <f t="shared" si="41"/>
        <v>325</v>
      </c>
      <c r="CK21" s="60">
        <v>1271.4000000000001</v>
      </c>
      <c r="CL21" s="64">
        <f t="shared" si="42"/>
        <v>1100.0000000001364</v>
      </c>
      <c r="CM21" s="65">
        <f t="shared" si="43"/>
        <v>125</v>
      </c>
      <c r="CN21" s="62">
        <v>31</v>
      </c>
      <c r="CO21" s="62">
        <v>61</v>
      </c>
      <c r="CP21" s="68">
        <v>57416</v>
      </c>
      <c r="CQ21" s="67">
        <f t="shared" si="44"/>
        <v>103</v>
      </c>
      <c r="CR21" s="68">
        <v>28999.200000000001</v>
      </c>
      <c r="CS21" s="67">
        <f t="shared" si="45"/>
        <v>22</v>
      </c>
      <c r="CT21" s="75">
        <v>13844</v>
      </c>
      <c r="CU21" s="67">
        <f t="shared" si="46"/>
        <v>11</v>
      </c>
      <c r="CV21" s="68">
        <v>33027</v>
      </c>
      <c r="CW21" s="67">
        <f t="shared" si="47"/>
        <v>17</v>
      </c>
      <c r="CX21" s="58">
        <v>6428.4</v>
      </c>
      <c r="CY21" s="67">
        <f t="shared" si="48"/>
        <v>12.5</v>
      </c>
    </row>
    <row r="22" spans="1:103" ht="25.5" customHeight="1" thickBot="1" x14ac:dyDescent="0.45">
      <c r="A22" s="63">
        <v>45004</v>
      </c>
      <c r="B22" s="44"/>
      <c r="C22" s="58">
        <v>3.9805000000000001</v>
      </c>
      <c r="D22" s="64">
        <f t="shared" si="0"/>
        <v>2499.9999999999468</v>
      </c>
      <c r="E22" s="58">
        <v>5.2888999999999999</v>
      </c>
      <c r="F22" s="64">
        <f t="shared" si="1"/>
        <v>3300.0000000003029</v>
      </c>
      <c r="G22" s="58">
        <v>5.3361999999999998</v>
      </c>
      <c r="H22" s="64">
        <f t="shared" si="2"/>
        <v>3800.0000000000255</v>
      </c>
      <c r="I22" s="58">
        <v>2.6280999999999999</v>
      </c>
      <c r="J22" s="64">
        <f t="shared" si="3"/>
        <v>1700.0000000000348</v>
      </c>
      <c r="K22" s="58">
        <v>4.0171000000000001</v>
      </c>
      <c r="L22" s="64">
        <f t="shared" si="4"/>
        <v>2200.0000000002019</v>
      </c>
      <c r="M22" s="58">
        <v>2.4399000000000002</v>
      </c>
      <c r="N22" s="64">
        <f t="shared" si="5"/>
        <v>1600.0000000002678</v>
      </c>
      <c r="O22" s="58">
        <v>30332</v>
      </c>
      <c r="P22" s="67">
        <f t="shared" si="6"/>
        <v>46</v>
      </c>
      <c r="Q22" s="58">
        <v>3828</v>
      </c>
      <c r="R22" s="67">
        <f t="shared" si="7"/>
        <v>4</v>
      </c>
      <c r="S22" s="58">
        <v>1735.5</v>
      </c>
      <c r="T22" s="67">
        <f t="shared" si="49"/>
        <v>1299.9999999999545</v>
      </c>
      <c r="U22" s="58">
        <v>684095.2</v>
      </c>
      <c r="V22" s="67">
        <f t="shared" si="8"/>
        <v>474.59999999997672</v>
      </c>
      <c r="W22" s="58">
        <v>612.91999999999996</v>
      </c>
      <c r="X22" s="65">
        <f t="shared" si="9"/>
        <v>329.99999999992724</v>
      </c>
      <c r="Y22" s="58">
        <v>4.6673</v>
      </c>
      <c r="Z22" s="65">
        <f t="shared" si="10"/>
        <v>2699.9999999999245</v>
      </c>
      <c r="AA22" s="58">
        <v>618.77</v>
      </c>
      <c r="AB22" s="65">
        <f t="shared" si="11"/>
        <v>259.99999999999091</v>
      </c>
      <c r="AC22" s="58">
        <v>627.48</v>
      </c>
      <c r="AD22" s="65">
        <f t="shared" si="12"/>
        <v>310.00000000005912</v>
      </c>
      <c r="AE22" s="58">
        <v>1004.1</v>
      </c>
      <c r="AF22" s="65">
        <f t="shared" si="13"/>
        <v>800.00000000006821</v>
      </c>
      <c r="AG22" s="58">
        <v>28932</v>
      </c>
      <c r="AH22" s="67">
        <f t="shared" si="14"/>
        <v>38</v>
      </c>
      <c r="AI22" s="58">
        <v>1.0662</v>
      </c>
      <c r="AJ22" s="65">
        <f t="shared" si="15"/>
        <v>800.00000000013392</v>
      </c>
      <c r="AK22" s="58">
        <v>353.1</v>
      </c>
      <c r="AL22" s="65">
        <f t="shared" si="16"/>
        <v>140.0000000000432</v>
      </c>
      <c r="AM22" s="58">
        <v>323.22000000000003</v>
      </c>
      <c r="AN22" s="65">
        <f t="shared" si="17"/>
        <v>150.00000000003411</v>
      </c>
      <c r="AO22" s="58">
        <v>309.88</v>
      </c>
      <c r="AP22" s="65">
        <f t="shared" si="18"/>
        <v>209.99999999997954</v>
      </c>
      <c r="AQ22" s="58">
        <v>363.75</v>
      </c>
      <c r="AR22" s="65">
        <f t="shared" si="19"/>
        <v>160.00000000002501</v>
      </c>
      <c r="AS22" s="58">
        <v>487.59</v>
      </c>
      <c r="AT22" s="65">
        <f t="shared" si="20"/>
        <v>79.999999999984084</v>
      </c>
      <c r="AU22" s="58">
        <v>390.9</v>
      </c>
      <c r="AV22" s="65">
        <f t="shared" si="21"/>
        <v>69.999999999993179</v>
      </c>
      <c r="AW22" s="58">
        <v>420.52</v>
      </c>
      <c r="AX22" s="65">
        <f t="shared" si="22"/>
        <v>149.99999999997726</v>
      </c>
      <c r="AY22" s="58">
        <v>454.81</v>
      </c>
      <c r="AZ22" s="65">
        <f t="shared" si="23"/>
        <v>79.999999999984084</v>
      </c>
      <c r="BA22" s="58">
        <v>471.05</v>
      </c>
      <c r="BB22" s="65">
        <f t="shared" si="24"/>
        <v>69.999999999993179</v>
      </c>
      <c r="BC22" s="58">
        <v>303.68</v>
      </c>
      <c r="BD22" s="65">
        <f t="shared" si="25"/>
        <v>79.999999999984084</v>
      </c>
      <c r="BE22" s="59">
        <v>63447</v>
      </c>
      <c r="BF22" s="67">
        <f t="shared" si="26"/>
        <v>37</v>
      </c>
      <c r="BG22" s="60">
        <v>260.19</v>
      </c>
      <c r="BH22" s="65">
        <f t="shared" si="27"/>
        <v>40.000000000020464</v>
      </c>
      <c r="BI22" s="60">
        <v>313.99</v>
      </c>
      <c r="BJ22" s="65">
        <f t="shared" si="28"/>
        <v>40.000000000020464</v>
      </c>
      <c r="BK22" s="60">
        <v>267.26</v>
      </c>
      <c r="BL22" s="65">
        <f t="shared" si="29"/>
        <v>60.000000000002274</v>
      </c>
      <c r="BM22" s="60">
        <v>250.16</v>
      </c>
      <c r="BN22" s="65">
        <f t="shared" si="30"/>
        <v>39.999999999992042</v>
      </c>
      <c r="BO22" s="60">
        <v>318.49</v>
      </c>
      <c r="BP22" s="65">
        <f t="shared" si="31"/>
        <v>50.000000000011369</v>
      </c>
      <c r="BQ22" s="60">
        <v>68376</v>
      </c>
      <c r="BR22" s="65">
        <f t="shared" si="32"/>
        <v>38</v>
      </c>
      <c r="BS22" s="60">
        <v>228.88</v>
      </c>
      <c r="BT22" s="65">
        <f t="shared" si="33"/>
        <v>49.999999999982947</v>
      </c>
      <c r="BU22" s="60">
        <v>65569</v>
      </c>
      <c r="BV22" s="65">
        <f t="shared" si="34"/>
        <v>35</v>
      </c>
      <c r="BW22" s="60">
        <v>256.77</v>
      </c>
      <c r="BX22" s="65">
        <f t="shared" si="35"/>
        <v>39.99999999996362</v>
      </c>
      <c r="BY22" s="60">
        <v>88161</v>
      </c>
      <c r="BZ22" s="67">
        <f t="shared" si="36"/>
        <v>50</v>
      </c>
      <c r="CA22" s="60">
        <v>66136.5</v>
      </c>
      <c r="CB22" s="67">
        <f t="shared" si="37"/>
        <v>71.69999999999709</v>
      </c>
      <c r="CC22" s="60">
        <v>19453.3</v>
      </c>
      <c r="CD22" s="67">
        <f t="shared" si="38"/>
        <v>8.2999999999992724</v>
      </c>
      <c r="CE22" s="60">
        <v>9221.5</v>
      </c>
      <c r="CF22" s="67">
        <f t="shared" si="39"/>
        <v>2.2999999999992724</v>
      </c>
      <c r="CG22" s="60">
        <v>88766.9</v>
      </c>
      <c r="CH22" s="67">
        <f t="shared" si="40"/>
        <v>38.299999999988358</v>
      </c>
      <c r="CI22" s="60">
        <v>1139300</v>
      </c>
      <c r="CJ22" s="67">
        <f t="shared" si="41"/>
        <v>310</v>
      </c>
      <c r="CK22" s="60">
        <v>1272.4000000000001</v>
      </c>
      <c r="CL22" s="64">
        <f t="shared" si="42"/>
        <v>1000</v>
      </c>
      <c r="CM22" s="65">
        <f t="shared" si="43"/>
        <v>105.79999999999927</v>
      </c>
      <c r="CN22" s="62">
        <v>43</v>
      </c>
      <c r="CO22" s="62">
        <v>75</v>
      </c>
      <c r="CP22" s="68">
        <v>57498</v>
      </c>
      <c r="CQ22" s="67">
        <f t="shared" si="44"/>
        <v>82</v>
      </c>
      <c r="CR22" s="68">
        <v>29023</v>
      </c>
      <c r="CS22" s="67">
        <f t="shared" si="45"/>
        <v>23.799999999999272</v>
      </c>
      <c r="CT22" s="75">
        <v>13854</v>
      </c>
      <c r="CU22" s="67">
        <f t="shared" si="46"/>
        <v>10</v>
      </c>
      <c r="CV22" s="68">
        <v>33040</v>
      </c>
      <c r="CW22" s="67">
        <f t="shared" si="47"/>
        <v>13</v>
      </c>
      <c r="CX22" s="58">
        <v>6439.3</v>
      </c>
      <c r="CY22" s="67">
        <f t="shared" si="48"/>
        <v>10.900000000000546</v>
      </c>
    </row>
    <row r="23" spans="1:103" ht="25.5" customHeight="1" thickBot="1" x14ac:dyDescent="0.45">
      <c r="A23" s="63">
        <v>45005</v>
      </c>
      <c r="B23" s="44"/>
      <c r="C23" s="58">
        <v>3.9830999999999999</v>
      </c>
      <c r="D23" s="64">
        <f t="shared" si="0"/>
        <v>2599.9999999997135</v>
      </c>
      <c r="E23" s="58">
        <v>5.2923</v>
      </c>
      <c r="F23" s="64">
        <f t="shared" si="1"/>
        <v>3400.0000000000696</v>
      </c>
      <c r="G23" s="58">
        <v>5.3399000000000001</v>
      </c>
      <c r="H23" s="64">
        <f t="shared" si="2"/>
        <v>3700.0000000002588</v>
      </c>
      <c r="I23" s="58">
        <v>2.63</v>
      </c>
      <c r="J23" s="64">
        <f t="shared" si="3"/>
        <v>1900.0000000000127</v>
      </c>
      <c r="K23" s="58">
        <v>4.0194999999999999</v>
      </c>
      <c r="L23" s="64">
        <f t="shared" si="4"/>
        <v>2399.9999999997358</v>
      </c>
      <c r="M23" s="58">
        <v>2.4417</v>
      </c>
      <c r="N23" s="64">
        <f t="shared" si="5"/>
        <v>1799.9999999998017</v>
      </c>
      <c r="O23" s="58">
        <v>30401</v>
      </c>
      <c r="P23" s="67">
        <f t="shared" si="6"/>
        <v>69</v>
      </c>
      <c r="Q23" s="58">
        <v>3837</v>
      </c>
      <c r="R23" s="67">
        <f t="shared" si="7"/>
        <v>9</v>
      </c>
      <c r="S23" s="58">
        <v>1736.6</v>
      </c>
      <c r="T23" s="67">
        <f t="shared" si="49"/>
        <v>1099.9999999999091</v>
      </c>
      <c r="U23" s="58">
        <v>684502.5</v>
      </c>
      <c r="V23" s="67">
        <f t="shared" si="8"/>
        <v>407.30000000004657</v>
      </c>
      <c r="W23" s="58">
        <v>613.26</v>
      </c>
      <c r="X23" s="65">
        <f t="shared" si="9"/>
        <v>340.00000000003183</v>
      </c>
      <c r="Y23" s="58">
        <v>4.6702000000000004</v>
      </c>
      <c r="Z23" s="65">
        <f t="shared" si="10"/>
        <v>2900.0000000003465</v>
      </c>
      <c r="AA23" s="58">
        <v>619.22</v>
      </c>
      <c r="AB23" s="65">
        <f t="shared" si="11"/>
        <v>450.00000000004547</v>
      </c>
      <c r="AC23" s="58">
        <v>627.84</v>
      </c>
      <c r="AD23" s="65">
        <f t="shared" si="12"/>
        <v>360.00000000001364</v>
      </c>
      <c r="AE23" s="58">
        <v>1005</v>
      </c>
      <c r="AF23" s="65">
        <f t="shared" si="13"/>
        <v>899.99999999997726</v>
      </c>
      <c r="AG23" s="58">
        <v>28970</v>
      </c>
      <c r="AH23" s="67">
        <f t="shared" si="14"/>
        <v>38</v>
      </c>
      <c r="AI23" s="58">
        <v>1.0669999999999999</v>
      </c>
      <c r="AJ23" s="65">
        <f t="shared" si="15"/>
        <v>799.99999999991189</v>
      </c>
      <c r="AK23" s="58">
        <v>353.3</v>
      </c>
      <c r="AL23" s="65">
        <f t="shared" si="16"/>
        <v>199.99999999998863</v>
      </c>
      <c r="AM23" s="58">
        <v>323.36</v>
      </c>
      <c r="AN23" s="65">
        <f t="shared" si="17"/>
        <v>139.99999999998636</v>
      </c>
      <c r="AO23" s="58">
        <v>310.16000000000003</v>
      </c>
      <c r="AP23" s="65">
        <f t="shared" si="18"/>
        <v>280.00000000002956</v>
      </c>
      <c r="AQ23" s="58">
        <v>363.92</v>
      </c>
      <c r="AR23" s="65">
        <f t="shared" si="19"/>
        <v>170.00000000001592</v>
      </c>
      <c r="AS23" s="58">
        <v>487.7</v>
      </c>
      <c r="AT23" s="65">
        <f t="shared" si="20"/>
        <v>110.00000000001364</v>
      </c>
      <c r="AU23" s="58">
        <v>390.96</v>
      </c>
      <c r="AV23" s="65">
        <f t="shared" si="21"/>
        <v>60.000000000002274</v>
      </c>
      <c r="AW23" s="58">
        <v>420.67</v>
      </c>
      <c r="AX23" s="65">
        <f t="shared" si="22"/>
        <v>150.00000000003411</v>
      </c>
      <c r="AY23" s="58">
        <v>454.94</v>
      </c>
      <c r="AZ23" s="65">
        <f t="shared" si="23"/>
        <v>129.99999999999545</v>
      </c>
      <c r="BA23" s="58">
        <v>471.15</v>
      </c>
      <c r="BB23" s="65">
        <f t="shared" si="24"/>
        <v>99.999999999965894</v>
      </c>
      <c r="BC23" s="58">
        <v>303.77</v>
      </c>
      <c r="BD23" s="65">
        <f t="shared" si="25"/>
        <v>89.999999999974989</v>
      </c>
      <c r="BE23" s="59">
        <v>63485</v>
      </c>
      <c r="BF23" s="67">
        <f t="shared" si="26"/>
        <v>38</v>
      </c>
      <c r="BG23" s="60">
        <v>260.24</v>
      </c>
      <c r="BH23" s="65">
        <f t="shared" si="27"/>
        <v>50.000000000011369</v>
      </c>
      <c r="BI23" s="60">
        <v>314.02999999999997</v>
      </c>
      <c r="BJ23" s="65">
        <f t="shared" si="28"/>
        <v>39.99999999996362</v>
      </c>
      <c r="BK23" s="60">
        <v>267.32</v>
      </c>
      <c r="BL23" s="65">
        <f t="shared" si="29"/>
        <v>60.000000000002274</v>
      </c>
      <c r="BM23" s="60">
        <v>250.21</v>
      </c>
      <c r="BN23" s="65">
        <f t="shared" si="30"/>
        <v>50.000000000011369</v>
      </c>
      <c r="BO23" s="60">
        <v>318.55</v>
      </c>
      <c r="BP23" s="65">
        <f t="shared" si="31"/>
        <v>60.000000000002274</v>
      </c>
      <c r="BQ23" s="60">
        <v>68424</v>
      </c>
      <c r="BR23" s="65">
        <f t="shared" si="32"/>
        <v>48</v>
      </c>
      <c r="BS23" s="60">
        <v>228.94</v>
      </c>
      <c r="BT23" s="65">
        <f t="shared" si="33"/>
        <v>60.000000000002274</v>
      </c>
      <c r="BU23" s="60">
        <v>65608</v>
      </c>
      <c r="BV23" s="65">
        <f t="shared" si="34"/>
        <v>39</v>
      </c>
      <c r="BW23" s="60">
        <v>256.83</v>
      </c>
      <c r="BX23" s="65">
        <f t="shared" si="35"/>
        <v>60.000000000002274</v>
      </c>
      <c r="BY23" s="60">
        <v>88217</v>
      </c>
      <c r="BZ23" s="67">
        <f t="shared" si="36"/>
        <v>56</v>
      </c>
      <c r="CA23" s="60">
        <v>66197.600000000006</v>
      </c>
      <c r="CB23" s="67">
        <f t="shared" si="37"/>
        <v>61.100000000005821</v>
      </c>
      <c r="CC23" s="60">
        <v>19473</v>
      </c>
      <c r="CD23" s="67">
        <f t="shared" si="38"/>
        <v>19.700000000000728</v>
      </c>
      <c r="CE23" s="60">
        <v>9225</v>
      </c>
      <c r="CF23" s="67">
        <f t="shared" si="39"/>
        <v>3.5</v>
      </c>
      <c r="CG23" s="60">
        <v>88800.5</v>
      </c>
      <c r="CH23" s="67">
        <f t="shared" si="40"/>
        <v>33.600000000005821</v>
      </c>
      <c r="CI23" s="60">
        <v>1139624</v>
      </c>
      <c r="CJ23" s="67">
        <f t="shared" si="41"/>
        <v>324</v>
      </c>
      <c r="CK23" s="60">
        <v>1273.5</v>
      </c>
      <c r="CL23" s="64">
        <f t="shared" si="42"/>
        <v>1099.9999999999091</v>
      </c>
      <c r="CM23" s="65">
        <f>CQ23+CS23</f>
        <v>97</v>
      </c>
      <c r="CN23" s="62">
        <v>43</v>
      </c>
      <c r="CO23" s="62">
        <v>75</v>
      </c>
      <c r="CP23" s="68">
        <v>57588</v>
      </c>
      <c r="CQ23" s="67">
        <f t="shared" si="44"/>
        <v>90</v>
      </c>
      <c r="CR23" s="68">
        <v>29030</v>
      </c>
      <c r="CS23" s="67">
        <f t="shared" si="45"/>
        <v>7</v>
      </c>
      <c r="CT23" s="75">
        <v>13863</v>
      </c>
      <c r="CU23" s="67">
        <f t="shared" si="46"/>
        <v>9</v>
      </c>
      <c r="CV23" s="68">
        <v>33054</v>
      </c>
      <c r="CW23" s="67">
        <f t="shared" si="47"/>
        <v>14</v>
      </c>
      <c r="CX23" s="58">
        <v>6451.2</v>
      </c>
      <c r="CY23" s="67">
        <f t="shared" si="48"/>
        <v>11.899999999999636</v>
      </c>
    </row>
    <row r="24" spans="1:103" ht="25.5" customHeight="1" thickBot="1" x14ac:dyDescent="0.45">
      <c r="A24" s="63">
        <v>45006</v>
      </c>
      <c r="B24" s="44"/>
      <c r="C24" s="58"/>
      <c r="D24" s="64" t="str">
        <f t="shared" si="0"/>
        <v>0</v>
      </c>
      <c r="E24" s="58"/>
      <c r="F24" s="64" t="str">
        <f t="shared" si="1"/>
        <v>0</v>
      </c>
      <c r="G24" s="58"/>
      <c r="H24" s="64" t="str">
        <f t="shared" si="2"/>
        <v>0</v>
      </c>
      <c r="I24" s="58"/>
      <c r="J24" s="64" t="str">
        <f t="shared" si="3"/>
        <v>0</v>
      </c>
      <c r="K24" s="58"/>
      <c r="L24" s="64" t="str">
        <f t="shared" si="4"/>
        <v>0</v>
      </c>
      <c r="M24" s="58"/>
      <c r="N24" s="64" t="str">
        <f t="shared" si="5"/>
        <v/>
      </c>
      <c r="O24" s="58"/>
      <c r="P24" s="67" t="str">
        <f t="shared" si="6"/>
        <v/>
      </c>
      <c r="Q24" s="58"/>
      <c r="R24" s="67" t="str">
        <f t="shared" si="7"/>
        <v/>
      </c>
      <c r="S24" s="58"/>
      <c r="T24" s="67" t="e">
        <f t="shared" si="49"/>
        <v>#VALUE!</v>
      </c>
      <c r="U24" s="58"/>
      <c r="V24" s="67" t="str">
        <f t="shared" si="8"/>
        <v/>
      </c>
      <c r="W24" s="58"/>
      <c r="X24" s="65" t="str">
        <f t="shared" si="9"/>
        <v/>
      </c>
      <c r="Y24" s="58"/>
      <c r="Z24" s="65" t="str">
        <f t="shared" si="10"/>
        <v/>
      </c>
      <c r="AA24" s="58"/>
      <c r="AB24" s="65" t="str">
        <f t="shared" si="11"/>
        <v/>
      </c>
      <c r="AC24" s="58"/>
      <c r="AD24" s="65" t="str">
        <f t="shared" si="12"/>
        <v/>
      </c>
      <c r="AE24" s="58"/>
      <c r="AF24" s="65" t="str">
        <f t="shared" si="13"/>
        <v/>
      </c>
      <c r="AG24" s="58"/>
      <c r="AH24" s="67" t="str">
        <f t="shared" si="14"/>
        <v/>
      </c>
      <c r="AI24" s="58"/>
      <c r="AJ24" s="65" t="str">
        <f t="shared" si="15"/>
        <v/>
      </c>
      <c r="AK24" s="58"/>
      <c r="AL24" s="65" t="str">
        <f t="shared" si="16"/>
        <v/>
      </c>
      <c r="AM24" s="58"/>
      <c r="AN24" s="65" t="str">
        <f t="shared" si="17"/>
        <v/>
      </c>
      <c r="AO24" s="58"/>
      <c r="AP24" s="65" t="str">
        <f t="shared" si="18"/>
        <v/>
      </c>
      <c r="AQ24" s="58"/>
      <c r="AR24" s="65" t="str">
        <f t="shared" si="19"/>
        <v/>
      </c>
      <c r="AS24" s="58"/>
      <c r="AT24" s="65" t="str">
        <f t="shared" si="20"/>
        <v/>
      </c>
      <c r="AU24" s="58"/>
      <c r="AV24" s="65" t="str">
        <f t="shared" si="21"/>
        <v/>
      </c>
      <c r="AW24" s="58"/>
      <c r="AX24" s="65" t="str">
        <f t="shared" si="22"/>
        <v/>
      </c>
      <c r="AY24" s="58"/>
      <c r="AZ24" s="65" t="str">
        <f t="shared" si="23"/>
        <v/>
      </c>
      <c r="BA24" s="58"/>
      <c r="BB24" s="65" t="str">
        <f t="shared" si="24"/>
        <v/>
      </c>
      <c r="BC24" s="58"/>
      <c r="BD24" s="65" t="str">
        <f t="shared" si="25"/>
        <v/>
      </c>
      <c r="BE24" s="59"/>
      <c r="BF24" s="67" t="str">
        <f t="shared" si="26"/>
        <v/>
      </c>
      <c r="BG24" s="60"/>
      <c r="BH24" s="65" t="str">
        <f t="shared" si="27"/>
        <v/>
      </c>
      <c r="BI24" s="60"/>
      <c r="BJ24" s="65" t="str">
        <f t="shared" si="28"/>
        <v/>
      </c>
      <c r="BK24" s="60"/>
      <c r="BL24" s="65" t="str">
        <f t="shared" si="29"/>
        <v/>
      </c>
      <c r="BM24" s="60"/>
      <c r="BN24" s="65" t="str">
        <f t="shared" si="30"/>
        <v/>
      </c>
      <c r="BO24" s="60"/>
      <c r="BP24" s="65" t="str">
        <f t="shared" si="31"/>
        <v/>
      </c>
      <c r="BQ24" s="60"/>
      <c r="BR24" s="65" t="str">
        <f t="shared" si="32"/>
        <v/>
      </c>
      <c r="BS24" s="60"/>
      <c r="BT24" s="65" t="str">
        <f t="shared" si="33"/>
        <v/>
      </c>
      <c r="BU24" s="60"/>
      <c r="BV24" s="65" t="str">
        <f t="shared" si="34"/>
        <v/>
      </c>
      <c r="BW24" s="60"/>
      <c r="BX24" s="65" t="str">
        <f t="shared" si="35"/>
        <v/>
      </c>
      <c r="BY24" s="60"/>
      <c r="BZ24" s="67" t="str">
        <f t="shared" si="36"/>
        <v/>
      </c>
      <c r="CA24" s="60"/>
      <c r="CB24" s="67" t="str">
        <f t="shared" si="37"/>
        <v/>
      </c>
      <c r="CC24" s="60"/>
      <c r="CD24" s="67" t="str">
        <f t="shared" si="38"/>
        <v/>
      </c>
      <c r="CE24" s="60"/>
      <c r="CF24" s="67" t="str">
        <f t="shared" si="39"/>
        <v/>
      </c>
      <c r="CG24" s="60"/>
      <c r="CH24" s="67" t="str">
        <f t="shared" si="40"/>
        <v/>
      </c>
      <c r="CI24" s="60"/>
      <c r="CJ24" s="67" t="str">
        <f t="shared" si="41"/>
        <v/>
      </c>
      <c r="CK24" s="60"/>
      <c r="CL24" s="64" t="str">
        <f t="shared" si="42"/>
        <v/>
      </c>
      <c r="CM24" s="65" t="e">
        <f t="shared" si="43"/>
        <v>#VALUE!</v>
      </c>
      <c r="CN24" s="62"/>
      <c r="CO24" s="62"/>
      <c r="CP24" s="68"/>
      <c r="CQ24" s="67" t="str">
        <f t="shared" si="44"/>
        <v/>
      </c>
      <c r="CR24" s="68"/>
      <c r="CS24" s="67" t="str">
        <f t="shared" si="45"/>
        <v/>
      </c>
      <c r="CT24" s="75"/>
      <c r="CU24" s="67" t="str">
        <f t="shared" si="46"/>
        <v/>
      </c>
      <c r="CV24" s="68"/>
      <c r="CW24" s="67" t="str">
        <f t="shared" si="47"/>
        <v/>
      </c>
      <c r="CX24" s="58"/>
      <c r="CY24" s="67" t="str">
        <f t="shared" si="48"/>
        <v/>
      </c>
    </row>
    <row r="25" spans="1:103" ht="25.5" customHeight="1" thickBot="1" x14ac:dyDescent="0.45">
      <c r="A25" s="63">
        <v>45007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49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6"/>
        <v>0</v>
      </c>
      <c r="AM25" s="58"/>
      <c r="AN25" s="65">
        <f t="shared" si="17"/>
        <v>0</v>
      </c>
      <c r="AO25" s="58"/>
      <c r="AP25" s="65">
        <f t="shared" si="18"/>
        <v>0</v>
      </c>
      <c r="AQ25" s="58"/>
      <c r="AR25" s="65">
        <f t="shared" si="19"/>
        <v>0</v>
      </c>
      <c r="AS25" s="58"/>
      <c r="AT25" s="65">
        <f t="shared" si="20"/>
        <v>0</v>
      </c>
      <c r="AU25" s="58"/>
      <c r="AV25" s="65">
        <f t="shared" si="21"/>
        <v>0</v>
      </c>
      <c r="AW25" s="58"/>
      <c r="AX25" s="65">
        <f t="shared" si="22"/>
        <v>0</v>
      </c>
      <c r="AY25" s="58"/>
      <c r="AZ25" s="65">
        <f t="shared" si="23"/>
        <v>0</v>
      </c>
      <c r="BA25" s="58"/>
      <c r="BB25" s="65">
        <f t="shared" si="24"/>
        <v>0</v>
      </c>
      <c r="BC25" s="58"/>
      <c r="BD25" s="65">
        <f t="shared" si="25"/>
        <v>0</v>
      </c>
      <c r="BE25" s="59"/>
      <c r="BF25" s="67">
        <f t="shared" si="26"/>
        <v>0</v>
      </c>
      <c r="BG25" s="60"/>
      <c r="BH25" s="65">
        <f t="shared" si="27"/>
        <v>0</v>
      </c>
      <c r="BI25" s="60"/>
      <c r="BJ25" s="65">
        <f t="shared" si="28"/>
        <v>0</v>
      </c>
      <c r="BK25" s="60"/>
      <c r="BL25" s="65">
        <f t="shared" si="29"/>
        <v>0</v>
      </c>
      <c r="BM25" s="60"/>
      <c r="BN25" s="65">
        <f t="shared" si="30"/>
        <v>0</v>
      </c>
      <c r="BO25" s="60"/>
      <c r="BP25" s="65">
        <f t="shared" si="31"/>
        <v>0</v>
      </c>
      <c r="BQ25" s="60"/>
      <c r="BR25" s="65">
        <f t="shared" si="32"/>
        <v>0</v>
      </c>
      <c r="BS25" s="60"/>
      <c r="BT25" s="65">
        <f t="shared" si="33"/>
        <v>0</v>
      </c>
      <c r="BU25" s="60"/>
      <c r="BV25" s="65">
        <f t="shared" si="34"/>
        <v>0</v>
      </c>
      <c r="BW25" s="60"/>
      <c r="BX25" s="65">
        <f t="shared" si="35"/>
        <v>0</v>
      </c>
      <c r="BY25" s="60"/>
      <c r="BZ25" s="67">
        <f t="shared" si="36"/>
        <v>0</v>
      </c>
      <c r="CA25" s="60"/>
      <c r="CB25" s="67">
        <f t="shared" si="37"/>
        <v>0</v>
      </c>
      <c r="CC25" s="60"/>
      <c r="CD25" s="67">
        <f t="shared" si="38"/>
        <v>0</v>
      </c>
      <c r="CE25" s="60"/>
      <c r="CF25" s="67">
        <f t="shared" si="39"/>
        <v>0</v>
      </c>
      <c r="CG25" s="60"/>
      <c r="CH25" s="67">
        <f t="shared" si="40"/>
        <v>0</v>
      </c>
      <c r="CI25" s="60"/>
      <c r="CJ25" s="67">
        <f t="shared" si="41"/>
        <v>0</v>
      </c>
      <c r="CK25" s="60"/>
      <c r="CL25" s="64">
        <f t="shared" si="42"/>
        <v>0</v>
      </c>
      <c r="CM25" s="65">
        <f t="shared" si="43"/>
        <v>0</v>
      </c>
      <c r="CN25" s="62"/>
      <c r="CO25" s="62"/>
      <c r="CP25" s="68"/>
      <c r="CQ25" s="67">
        <f t="shared" si="44"/>
        <v>0</v>
      </c>
      <c r="CR25" s="68"/>
      <c r="CS25" s="67">
        <f t="shared" si="45"/>
        <v>0</v>
      </c>
      <c r="CT25" s="75"/>
      <c r="CU25" s="67">
        <f t="shared" si="46"/>
        <v>0</v>
      </c>
      <c r="CV25" s="68"/>
      <c r="CW25" s="67">
        <f t="shared" si="47"/>
        <v>0</v>
      </c>
      <c r="CX25" s="58"/>
      <c r="CY25" s="67">
        <f t="shared" si="48"/>
        <v>0</v>
      </c>
    </row>
    <row r="26" spans="1:103" ht="25.5" customHeight="1" thickBot="1" x14ac:dyDescent="0.45">
      <c r="A26" s="63">
        <v>45008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49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6"/>
        <v>0</v>
      </c>
      <c r="AM26" s="58"/>
      <c r="AN26" s="65">
        <f t="shared" si="17"/>
        <v>0</v>
      </c>
      <c r="AO26" s="58"/>
      <c r="AP26" s="65">
        <f t="shared" si="18"/>
        <v>0</v>
      </c>
      <c r="AQ26" s="58"/>
      <c r="AR26" s="65">
        <f t="shared" si="19"/>
        <v>0</v>
      </c>
      <c r="AS26" s="58"/>
      <c r="AT26" s="65">
        <f t="shared" si="20"/>
        <v>0</v>
      </c>
      <c r="AU26" s="58"/>
      <c r="AV26" s="65">
        <f t="shared" si="21"/>
        <v>0</v>
      </c>
      <c r="AW26" s="58"/>
      <c r="AX26" s="65">
        <f t="shared" si="22"/>
        <v>0</v>
      </c>
      <c r="AY26" s="58"/>
      <c r="AZ26" s="65">
        <f t="shared" si="23"/>
        <v>0</v>
      </c>
      <c r="BA26" s="58"/>
      <c r="BB26" s="65">
        <f t="shared" si="24"/>
        <v>0</v>
      </c>
      <c r="BC26" s="58"/>
      <c r="BD26" s="65">
        <f t="shared" si="25"/>
        <v>0</v>
      </c>
      <c r="BE26" s="59"/>
      <c r="BF26" s="67">
        <f t="shared" si="26"/>
        <v>0</v>
      </c>
      <c r="BG26" s="60"/>
      <c r="BH26" s="65">
        <f t="shared" si="27"/>
        <v>0</v>
      </c>
      <c r="BI26" s="60"/>
      <c r="BJ26" s="65">
        <f t="shared" si="28"/>
        <v>0</v>
      </c>
      <c r="BK26" s="60"/>
      <c r="BL26" s="65">
        <f t="shared" si="29"/>
        <v>0</v>
      </c>
      <c r="BM26" s="60"/>
      <c r="BN26" s="65">
        <f t="shared" si="30"/>
        <v>0</v>
      </c>
      <c r="BO26" s="60"/>
      <c r="BP26" s="65">
        <f t="shared" si="31"/>
        <v>0</v>
      </c>
      <c r="BQ26" s="60"/>
      <c r="BR26" s="65">
        <f t="shared" si="32"/>
        <v>0</v>
      </c>
      <c r="BS26" s="60"/>
      <c r="BT26" s="65">
        <f t="shared" si="33"/>
        <v>0</v>
      </c>
      <c r="BU26" s="60"/>
      <c r="BV26" s="65">
        <f t="shared" si="34"/>
        <v>0</v>
      </c>
      <c r="BW26" s="60"/>
      <c r="BX26" s="65">
        <f t="shared" si="35"/>
        <v>0</v>
      </c>
      <c r="BY26" s="60"/>
      <c r="BZ26" s="67">
        <f t="shared" si="36"/>
        <v>0</v>
      </c>
      <c r="CA26" s="60"/>
      <c r="CB26" s="67">
        <f t="shared" si="37"/>
        <v>0</v>
      </c>
      <c r="CC26" s="60"/>
      <c r="CD26" s="67">
        <f t="shared" si="38"/>
        <v>0</v>
      </c>
      <c r="CE26" s="60"/>
      <c r="CF26" s="67">
        <f t="shared" si="39"/>
        <v>0</v>
      </c>
      <c r="CG26" s="60"/>
      <c r="CH26" s="67">
        <f t="shared" si="40"/>
        <v>0</v>
      </c>
      <c r="CI26" s="60"/>
      <c r="CJ26" s="67">
        <f t="shared" si="41"/>
        <v>0</v>
      </c>
      <c r="CK26" s="60"/>
      <c r="CL26" s="64">
        <f t="shared" si="42"/>
        <v>0</v>
      </c>
      <c r="CM26" s="65">
        <f t="shared" si="43"/>
        <v>0</v>
      </c>
      <c r="CN26" s="62"/>
      <c r="CO26" s="62"/>
      <c r="CP26" s="68"/>
      <c r="CQ26" s="67">
        <f t="shared" si="44"/>
        <v>0</v>
      </c>
      <c r="CR26" s="68"/>
      <c r="CS26" s="67">
        <f t="shared" si="45"/>
        <v>0</v>
      </c>
      <c r="CT26" s="75"/>
      <c r="CU26" s="67">
        <f t="shared" si="46"/>
        <v>0</v>
      </c>
      <c r="CV26" s="68"/>
      <c r="CW26" s="67">
        <f t="shared" si="47"/>
        <v>0</v>
      </c>
      <c r="CX26" s="58"/>
      <c r="CY26" s="67">
        <f t="shared" si="48"/>
        <v>0</v>
      </c>
    </row>
    <row r="27" spans="1:103" ht="25.5" customHeight="1" thickBot="1" x14ac:dyDescent="0.45">
      <c r="A27" s="63">
        <v>45009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49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6"/>
        <v>0</v>
      </c>
      <c r="AM27" s="58"/>
      <c r="AN27" s="65">
        <f t="shared" si="17"/>
        <v>0</v>
      </c>
      <c r="AO27" s="58"/>
      <c r="AP27" s="65">
        <f t="shared" si="18"/>
        <v>0</v>
      </c>
      <c r="AQ27" s="58"/>
      <c r="AR27" s="65">
        <f t="shared" si="19"/>
        <v>0</v>
      </c>
      <c r="AS27" s="58"/>
      <c r="AT27" s="65">
        <f t="shared" si="20"/>
        <v>0</v>
      </c>
      <c r="AU27" s="58"/>
      <c r="AV27" s="65">
        <f t="shared" si="21"/>
        <v>0</v>
      </c>
      <c r="AW27" s="58"/>
      <c r="AX27" s="65">
        <f t="shared" si="22"/>
        <v>0</v>
      </c>
      <c r="AY27" s="58"/>
      <c r="AZ27" s="65">
        <f t="shared" si="23"/>
        <v>0</v>
      </c>
      <c r="BA27" s="58"/>
      <c r="BB27" s="65">
        <f t="shared" si="24"/>
        <v>0</v>
      </c>
      <c r="BC27" s="58"/>
      <c r="BD27" s="65">
        <f t="shared" si="25"/>
        <v>0</v>
      </c>
      <c r="BE27" s="59"/>
      <c r="BF27" s="67">
        <f t="shared" si="26"/>
        <v>0</v>
      </c>
      <c r="BG27" s="60"/>
      <c r="BH27" s="65">
        <f t="shared" si="27"/>
        <v>0</v>
      </c>
      <c r="BI27" s="60"/>
      <c r="BJ27" s="65">
        <f t="shared" si="28"/>
        <v>0</v>
      </c>
      <c r="BK27" s="60"/>
      <c r="BL27" s="65">
        <f t="shared" si="29"/>
        <v>0</v>
      </c>
      <c r="BM27" s="60"/>
      <c r="BN27" s="65">
        <f t="shared" si="30"/>
        <v>0</v>
      </c>
      <c r="BO27" s="60"/>
      <c r="BP27" s="65">
        <f t="shared" si="31"/>
        <v>0</v>
      </c>
      <c r="BQ27" s="60"/>
      <c r="BR27" s="65">
        <f t="shared" si="32"/>
        <v>0</v>
      </c>
      <c r="BS27" s="60"/>
      <c r="BT27" s="65">
        <f t="shared" si="33"/>
        <v>0</v>
      </c>
      <c r="BU27" s="60"/>
      <c r="BV27" s="65">
        <f t="shared" si="34"/>
        <v>0</v>
      </c>
      <c r="BW27" s="60"/>
      <c r="BX27" s="65">
        <f t="shared" si="35"/>
        <v>0</v>
      </c>
      <c r="BY27" s="60"/>
      <c r="BZ27" s="67">
        <f t="shared" si="36"/>
        <v>0</v>
      </c>
      <c r="CA27" s="60"/>
      <c r="CB27" s="67">
        <f t="shared" si="37"/>
        <v>0</v>
      </c>
      <c r="CC27" s="60"/>
      <c r="CD27" s="67">
        <f t="shared" si="38"/>
        <v>0</v>
      </c>
      <c r="CE27" s="60"/>
      <c r="CF27" s="67">
        <f t="shared" si="39"/>
        <v>0</v>
      </c>
      <c r="CG27" s="60"/>
      <c r="CH27" s="67">
        <f t="shared" si="40"/>
        <v>0</v>
      </c>
      <c r="CI27" s="60"/>
      <c r="CJ27" s="67">
        <f t="shared" si="41"/>
        <v>0</v>
      </c>
      <c r="CK27" s="60"/>
      <c r="CL27" s="64">
        <f t="shared" si="42"/>
        <v>0</v>
      </c>
      <c r="CM27" s="65">
        <f t="shared" si="43"/>
        <v>0</v>
      </c>
      <c r="CN27" s="62"/>
      <c r="CO27" s="62"/>
      <c r="CP27" s="68"/>
      <c r="CQ27" s="67">
        <f t="shared" si="44"/>
        <v>0</v>
      </c>
      <c r="CR27" s="68"/>
      <c r="CS27" s="67">
        <f t="shared" si="45"/>
        <v>0</v>
      </c>
      <c r="CT27" s="75"/>
      <c r="CU27" s="67">
        <f t="shared" si="46"/>
        <v>0</v>
      </c>
      <c r="CV27" s="68"/>
      <c r="CW27" s="67">
        <f t="shared" si="47"/>
        <v>0</v>
      </c>
      <c r="CX27" s="58"/>
      <c r="CY27" s="67">
        <f t="shared" si="48"/>
        <v>0</v>
      </c>
    </row>
    <row r="28" spans="1:103" ht="25.5" customHeight="1" thickBot="1" x14ac:dyDescent="0.45">
      <c r="A28" s="63">
        <v>45010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49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6"/>
        <v>0</v>
      </c>
      <c r="AM28" s="58"/>
      <c r="AN28" s="65">
        <f t="shared" si="17"/>
        <v>0</v>
      </c>
      <c r="AO28" s="58"/>
      <c r="AP28" s="65">
        <f t="shared" si="18"/>
        <v>0</v>
      </c>
      <c r="AQ28" s="58"/>
      <c r="AR28" s="65">
        <f t="shared" si="19"/>
        <v>0</v>
      </c>
      <c r="AS28" s="58"/>
      <c r="AT28" s="65">
        <f t="shared" si="20"/>
        <v>0</v>
      </c>
      <c r="AU28" s="58"/>
      <c r="AV28" s="65">
        <f t="shared" si="21"/>
        <v>0</v>
      </c>
      <c r="AW28" s="58"/>
      <c r="AX28" s="65">
        <f t="shared" si="22"/>
        <v>0</v>
      </c>
      <c r="AY28" s="58"/>
      <c r="AZ28" s="65">
        <f t="shared" si="23"/>
        <v>0</v>
      </c>
      <c r="BA28" s="58"/>
      <c r="BB28" s="65">
        <f t="shared" si="24"/>
        <v>0</v>
      </c>
      <c r="BC28" s="58"/>
      <c r="BD28" s="65">
        <f t="shared" si="25"/>
        <v>0</v>
      </c>
      <c r="BE28" s="59"/>
      <c r="BF28" s="67">
        <f t="shared" si="26"/>
        <v>0</v>
      </c>
      <c r="BG28" s="60"/>
      <c r="BH28" s="65">
        <f t="shared" si="27"/>
        <v>0</v>
      </c>
      <c r="BI28" s="60"/>
      <c r="BJ28" s="65">
        <f t="shared" si="28"/>
        <v>0</v>
      </c>
      <c r="BK28" s="60"/>
      <c r="BL28" s="65">
        <f t="shared" si="29"/>
        <v>0</v>
      </c>
      <c r="BM28" s="60"/>
      <c r="BN28" s="65">
        <f t="shared" si="30"/>
        <v>0</v>
      </c>
      <c r="BO28" s="60"/>
      <c r="BP28" s="65">
        <f t="shared" si="31"/>
        <v>0</v>
      </c>
      <c r="BQ28" s="60"/>
      <c r="BR28" s="65">
        <f t="shared" si="32"/>
        <v>0</v>
      </c>
      <c r="BS28" s="60"/>
      <c r="BT28" s="65">
        <f t="shared" si="33"/>
        <v>0</v>
      </c>
      <c r="BU28" s="60"/>
      <c r="BV28" s="65">
        <f t="shared" si="34"/>
        <v>0</v>
      </c>
      <c r="BW28" s="60"/>
      <c r="BX28" s="65">
        <f t="shared" si="35"/>
        <v>0</v>
      </c>
      <c r="BY28" s="60"/>
      <c r="BZ28" s="67">
        <f t="shared" si="36"/>
        <v>0</v>
      </c>
      <c r="CA28" s="60"/>
      <c r="CB28" s="67">
        <f t="shared" si="37"/>
        <v>0</v>
      </c>
      <c r="CC28" s="60"/>
      <c r="CD28" s="67">
        <f t="shared" si="38"/>
        <v>0</v>
      </c>
      <c r="CE28" s="60"/>
      <c r="CF28" s="67">
        <f t="shared" si="39"/>
        <v>0</v>
      </c>
      <c r="CG28" s="60"/>
      <c r="CH28" s="67">
        <f t="shared" si="40"/>
        <v>0</v>
      </c>
      <c r="CI28" s="60"/>
      <c r="CJ28" s="67">
        <f t="shared" si="41"/>
        <v>0</v>
      </c>
      <c r="CK28" s="60"/>
      <c r="CL28" s="64">
        <f t="shared" si="42"/>
        <v>0</v>
      </c>
      <c r="CM28" s="65">
        <f t="shared" si="43"/>
        <v>0</v>
      </c>
      <c r="CN28" s="62"/>
      <c r="CO28" s="62"/>
      <c r="CP28" s="68"/>
      <c r="CQ28" s="67">
        <f t="shared" si="44"/>
        <v>0</v>
      </c>
      <c r="CR28" s="68"/>
      <c r="CS28" s="67">
        <f t="shared" si="45"/>
        <v>0</v>
      </c>
      <c r="CT28" s="75"/>
      <c r="CU28" s="67">
        <f t="shared" si="46"/>
        <v>0</v>
      </c>
      <c r="CV28" s="68"/>
      <c r="CW28" s="67">
        <f t="shared" si="47"/>
        <v>0</v>
      </c>
      <c r="CX28" s="58"/>
      <c r="CY28" s="67">
        <f t="shared" si="48"/>
        <v>0</v>
      </c>
    </row>
    <row r="29" spans="1:103" ht="25.5" customHeight="1" thickBot="1" x14ac:dyDescent="0.45">
      <c r="A29" s="63">
        <v>45011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49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6"/>
        <v>0</v>
      </c>
      <c r="AM29" s="58"/>
      <c r="AN29" s="65">
        <f t="shared" si="17"/>
        <v>0</v>
      </c>
      <c r="AO29" s="58"/>
      <c r="AP29" s="65">
        <f t="shared" si="18"/>
        <v>0</v>
      </c>
      <c r="AQ29" s="58"/>
      <c r="AR29" s="65">
        <f t="shared" si="19"/>
        <v>0</v>
      </c>
      <c r="AS29" s="58"/>
      <c r="AT29" s="65">
        <f t="shared" si="20"/>
        <v>0</v>
      </c>
      <c r="AU29" s="58"/>
      <c r="AV29" s="65">
        <f t="shared" si="21"/>
        <v>0</v>
      </c>
      <c r="AW29" s="58"/>
      <c r="AX29" s="65">
        <f t="shared" si="22"/>
        <v>0</v>
      </c>
      <c r="AY29" s="58"/>
      <c r="AZ29" s="65">
        <f t="shared" si="23"/>
        <v>0</v>
      </c>
      <c r="BA29" s="58"/>
      <c r="BB29" s="65">
        <f t="shared" si="24"/>
        <v>0</v>
      </c>
      <c r="BC29" s="58"/>
      <c r="BD29" s="65">
        <f t="shared" si="25"/>
        <v>0</v>
      </c>
      <c r="BE29" s="59"/>
      <c r="BF29" s="67">
        <f t="shared" si="26"/>
        <v>0</v>
      </c>
      <c r="BG29" s="60"/>
      <c r="BH29" s="65">
        <f t="shared" si="27"/>
        <v>0</v>
      </c>
      <c r="BI29" s="60"/>
      <c r="BJ29" s="65">
        <f t="shared" si="28"/>
        <v>0</v>
      </c>
      <c r="BK29" s="60"/>
      <c r="BL29" s="65">
        <f t="shared" si="29"/>
        <v>0</v>
      </c>
      <c r="BM29" s="60"/>
      <c r="BN29" s="65">
        <f t="shared" si="30"/>
        <v>0</v>
      </c>
      <c r="BO29" s="60"/>
      <c r="BP29" s="65">
        <f t="shared" si="31"/>
        <v>0</v>
      </c>
      <c r="BQ29" s="60"/>
      <c r="BR29" s="65">
        <f t="shared" si="32"/>
        <v>0</v>
      </c>
      <c r="BS29" s="60"/>
      <c r="BT29" s="65">
        <f t="shared" si="33"/>
        <v>0</v>
      </c>
      <c r="BU29" s="60"/>
      <c r="BV29" s="65">
        <f t="shared" si="34"/>
        <v>0</v>
      </c>
      <c r="BW29" s="60"/>
      <c r="BX29" s="65">
        <f t="shared" si="35"/>
        <v>0</v>
      </c>
      <c r="BY29" s="60"/>
      <c r="BZ29" s="67">
        <f t="shared" si="36"/>
        <v>0</v>
      </c>
      <c r="CA29" s="60"/>
      <c r="CB29" s="67">
        <f t="shared" si="37"/>
        <v>0</v>
      </c>
      <c r="CC29" s="60"/>
      <c r="CD29" s="67">
        <f t="shared" si="38"/>
        <v>0</v>
      </c>
      <c r="CE29" s="60"/>
      <c r="CF29" s="67">
        <f t="shared" si="39"/>
        <v>0</v>
      </c>
      <c r="CG29" s="60"/>
      <c r="CH29" s="67">
        <f t="shared" si="40"/>
        <v>0</v>
      </c>
      <c r="CI29" s="60"/>
      <c r="CJ29" s="67">
        <f t="shared" si="41"/>
        <v>0</v>
      </c>
      <c r="CK29" s="60"/>
      <c r="CL29" s="64">
        <f t="shared" si="42"/>
        <v>0</v>
      </c>
      <c r="CM29" s="65">
        <f t="shared" si="43"/>
        <v>0</v>
      </c>
      <c r="CN29" s="62"/>
      <c r="CO29" s="62"/>
      <c r="CP29" s="68"/>
      <c r="CQ29" s="67">
        <f t="shared" si="44"/>
        <v>0</v>
      </c>
      <c r="CR29" s="68"/>
      <c r="CS29" s="67">
        <f t="shared" si="45"/>
        <v>0</v>
      </c>
      <c r="CT29" s="75"/>
      <c r="CU29" s="67">
        <f t="shared" si="46"/>
        <v>0</v>
      </c>
      <c r="CV29" s="68"/>
      <c r="CW29" s="67">
        <f t="shared" si="47"/>
        <v>0</v>
      </c>
      <c r="CX29" s="58"/>
      <c r="CY29" s="67">
        <f t="shared" si="48"/>
        <v>0</v>
      </c>
    </row>
    <row r="30" spans="1:103" ht="25.5" customHeight="1" thickBot="1" x14ac:dyDescent="0.45">
      <c r="A30" s="63">
        <v>45012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49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6"/>
        <v>0</v>
      </c>
      <c r="AM30" s="58"/>
      <c r="AN30" s="65">
        <f t="shared" si="17"/>
        <v>0</v>
      </c>
      <c r="AO30" s="58"/>
      <c r="AP30" s="65">
        <f t="shared" si="18"/>
        <v>0</v>
      </c>
      <c r="AQ30" s="58"/>
      <c r="AR30" s="65">
        <f t="shared" si="19"/>
        <v>0</v>
      </c>
      <c r="AS30" s="58"/>
      <c r="AT30" s="65">
        <f t="shared" si="20"/>
        <v>0</v>
      </c>
      <c r="AU30" s="58"/>
      <c r="AV30" s="65">
        <f t="shared" si="21"/>
        <v>0</v>
      </c>
      <c r="AW30" s="58"/>
      <c r="AX30" s="65">
        <f t="shared" si="22"/>
        <v>0</v>
      </c>
      <c r="AY30" s="58"/>
      <c r="AZ30" s="65">
        <f t="shared" si="23"/>
        <v>0</v>
      </c>
      <c r="BA30" s="58"/>
      <c r="BB30" s="65">
        <f t="shared" si="24"/>
        <v>0</v>
      </c>
      <c r="BC30" s="58"/>
      <c r="BD30" s="65">
        <f t="shared" si="25"/>
        <v>0</v>
      </c>
      <c r="BE30" s="59"/>
      <c r="BF30" s="67">
        <f t="shared" si="26"/>
        <v>0</v>
      </c>
      <c r="BG30" s="60"/>
      <c r="BH30" s="65">
        <f t="shared" si="27"/>
        <v>0</v>
      </c>
      <c r="BI30" s="60"/>
      <c r="BJ30" s="65">
        <f t="shared" si="28"/>
        <v>0</v>
      </c>
      <c r="BK30" s="60"/>
      <c r="BL30" s="65">
        <f t="shared" si="29"/>
        <v>0</v>
      </c>
      <c r="BM30" s="60"/>
      <c r="BN30" s="65">
        <f t="shared" si="30"/>
        <v>0</v>
      </c>
      <c r="BO30" s="60"/>
      <c r="BP30" s="65">
        <f t="shared" si="31"/>
        <v>0</v>
      </c>
      <c r="BQ30" s="60"/>
      <c r="BR30" s="65">
        <f t="shared" si="32"/>
        <v>0</v>
      </c>
      <c r="BS30" s="60"/>
      <c r="BT30" s="65">
        <f t="shared" si="33"/>
        <v>0</v>
      </c>
      <c r="BU30" s="60"/>
      <c r="BV30" s="65">
        <f t="shared" si="34"/>
        <v>0</v>
      </c>
      <c r="BW30" s="60"/>
      <c r="BX30" s="65">
        <f t="shared" si="35"/>
        <v>0</v>
      </c>
      <c r="BY30" s="60"/>
      <c r="BZ30" s="67">
        <f t="shared" si="36"/>
        <v>0</v>
      </c>
      <c r="CA30" s="60"/>
      <c r="CB30" s="67">
        <f t="shared" si="37"/>
        <v>0</v>
      </c>
      <c r="CC30" s="60"/>
      <c r="CD30" s="67">
        <f t="shared" si="38"/>
        <v>0</v>
      </c>
      <c r="CE30" s="60"/>
      <c r="CF30" s="67">
        <f t="shared" si="39"/>
        <v>0</v>
      </c>
      <c r="CG30" s="60"/>
      <c r="CH30" s="67">
        <f t="shared" si="40"/>
        <v>0</v>
      </c>
      <c r="CI30" s="60"/>
      <c r="CJ30" s="67">
        <f t="shared" si="41"/>
        <v>0</v>
      </c>
      <c r="CK30" s="60"/>
      <c r="CL30" s="64">
        <f t="shared" si="42"/>
        <v>0</v>
      </c>
      <c r="CM30" s="65">
        <f t="shared" si="43"/>
        <v>0</v>
      </c>
      <c r="CN30" s="62"/>
      <c r="CO30" s="62"/>
      <c r="CP30" s="68"/>
      <c r="CQ30" s="67">
        <f t="shared" si="44"/>
        <v>0</v>
      </c>
      <c r="CR30" s="68"/>
      <c r="CS30" s="67">
        <f t="shared" si="45"/>
        <v>0</v>
      </c>
      <c r="CT30" s="75"/>
      <c r="CU30" s="67">
        <f t="shared" si="46"/>
        <v>0</v>
      </c>
      <c r="CV30" s="68"/>
      <c r="CW30" s="67">
        <f t="shared" si="47"/>
        <v>0</v>
      </c>
      <c r="CX30" s="58"/>
      <c r="CY30" s="67">
        <f t="shared" si="48"/>
        <v>0</v>
      </c>
    </row>
    <row r="31" spans="1:103" ht="25.5" customHeight="1" thickBot="1" x14ac:dyDescent="0.45">
      <c r="A31" s="63">
        <v>45013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49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6"/>
        <v>0</v>
      </c>
      <c r="AM31" s="58"/>
      <c r="AN31" s="65">
        <f t="shared" si="17"/>
        <v>0</v>
      </c>
      <c r="AO31" s="58"/>
      <c r="AP31" s="65">
        <f t="shared" si="18"/>
        <v>0</v>
      </c>
      <c r="AQ31" s="58"/>
      <c r="AR31" s="65">
        <f t="shared" si="19"/>
        <v>0</v>
      </c>
      <c r="AS31" s="58"/>
      <c r="AT31" s="65">
        <f t="shared" si="20"/>
        <v>0</v>
      </c>
      <c r="AU31" s="58"/>
      <c r="AV31" s="65">
        <f t="shared" si="21"/>
        <v>0</v>
      </c>
      <c r="AW31" s="58"/>
      <c r="AX31" s="65">
        <f t="shared" si="22"/>
        <v>0</v>
      </c>
      <c r="AY31" s="58"/>
      <c r="AZ31" s="65">
        <f t="shared" si="23"/>
        <v>0</v>
      </c>
      <c r="BA31" s="58"/>
      <c r="BB31" s="65">
        <f t="shared" si="24"/>
        <v>0</v>
      </c>
      <c r="BC31" s="58"/>
      <c r="BD31" s="65">
        <f t="shared" si="25"/>
        <v>0</v>
      </c>
      <c r="BE31" s="59"/>
      <c r="BF31" s="67">
        <f t="shared" si="26"/>
        <v>0</v>
      </c>
      <c r="BG31" s="60"/>
      <c r="BH31" s="65">
        <f t="shared" si="27"/>
        <v>0</v>
      </c>
      <c r="BI31" s="60"/>
      <c r="BJ31" s="65">
        <f t="shared" si="28"/>
        <v>0</v>
      </c>
      <c r="BK31" s="60"/>
      <c r="BL31" s="65">
        <f t="shared" si="29"/>
        <v>0</v>
      </c>
      <c r="BM31" s="60"/>
      <c r="BN31" s="65">
        <f t="shared" si="30"/>
        <v>0</v>
      </c>
      <c r="BO31" s="60"/>
      <c r="BP31" s="65">
        <f t="shared" si="31"/>
        <v>0</v>
      </c>
      <c r="BQ31" s="60"/>
      <c r="BR31" s="65">
        <f t="shared" si="32"/>
        <v>0</v>
      </c>
      <c r="BS31" s="60"/>
      <c r="BT31" s="65">
        <f t="shared" si="33"/>
        <v>0</v>
      </c>
      <c r="BU31" s="60"/>
      <c r="BV31" s="65">
        <f t="shared" si="34"/>
        <v>0</v>
      </c>
      <c r="BW31" s="60"/>
      <c r="BX31" s="65">
        <f t="shared" si="35"/>
        <v>0</v>
      </c>
      <c r="BY31" s="60"/>
      <c r="BZ31" s="67">
        <f t="shared" si="36"/>
        <v>0</v>
      </c>
      <c r="CA31" s="60"/>
      <c r="CB31" s="67">
        <f t="shared" si="37"/>
        <v>0</v>
      </c>
      <c r="CC31" s="60"/>
      <c r="CD31" s="67">
        <f t="shared" si="38"/>
        <v>0</v>
      </c>
      <c r="CE31" s="60"/>
      <c r="CF31" s="67">
        <f t="shared" si="39"/>
        <v>0</v>
      </c>
      <c r="CG31" s="60"/>
      <c r="CH31" s="67">
        <f t="shared" si="40"/>
        <v>0</v>
      </c>
      <c r="CI31" s="60"/>
      <c r="CJ31" s="67">
        <f t="shared" si="41"/>
        <v>0</v>
      </c>
      <c r="CK31" s="60"/>
      <c r="CL31" s="64">
        <f t="shared" si="42"/>
        <v>0</v>
      </c>
      <c r="CM31" s="65">
        <f t="shared" si="43"/>
        <v>0</v>
      </c>
      <c r="CN31" s="62"/>
      <c r="CO31" s="62"/>
      <c r="CP31" s="68"/>
      <c r="CQ31" s="67">
        <f t="shared" si="44"/>
        <v>0</v>
      </c>
      <c r="CR31" s="68"/>
      <c r="CS31" s="67">
        <f t="shared" si="45"/>
        <v>0</v>
      </c>
      <c r="CT31" s="75"/>
      <c r="CU31" s="67">
        <f t="shared" si="46"/>
        <v>0</v>
      </c>
      <c r="CV31" s="68"/>
      <c r="CW31" s="67">
        <f t="shared" si="47"/>
        <v>0</v>
      </c>
      <c r="CX31" s="58"/>
      <c r="CY31" s="67">
        <f t="shared" si="48"/>
        <v>0</v>
      </c>
    </row>
    <row r="32" spans="1:103" ht="25.5" customHeight="1" thickBot="1" x14ac:dyDescent="0.45">
      <c r="A32" s="63">
        <v>45014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49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6"/>
        <v>0</v>
      </c>
      <c r="AM32" s="58"/>
      <c r="AN32" s="65">
        <f t="shared" si="17"/>
        <v>0</v>
      </c>
      <c r="AO32" s="58"/>
      <c r="AP32" s="65">
        <f t="shared" si="18"/>
        <v>0</v>
      </c>
      <c r="AQ32" s="58"/>
      <c r="AR32" s="65">
        <f t="shared" si="19"/>
        <v>0</v>
      </c>
      <c r="AS32" s="58"/>
      <c r="AT32" s="65">
        <f t="shared" si="20"/>
        <v>0</v>
      </c>
      <c r="AU32" s="58"/>
      <c r="AV32" s="65">
        <f t="shared" si="21"/>
        <v>0</v>
      </c>
      <c r="AW32" s="58"/>
      <c r="AX32" s="65">
        <f t="shared" si="22"/>
        <v>0</v>
      </c>
      <c r="AY32" s="58"/>
      <c r="AZ32" s="65">
        <f t="shared" si="23"/>
        <v>0</v>
      </c>
      <c r="BA32" s="58"/>
      <c r="BB32" s="65">
        <f t="shared" si="24"/>
        <v>0</v>
      </c>
      <c r="BC32" s="58"/>
      <c r="BD32" s="65">
        <f t="shared" si="25"/>
        <v>0</v>
      </c>
      <c r="BE32" s="59"/>
      <c r="BF32" s="67">
        <f t="shared" si="26"/>
        <v>0</v>
      </c>
      <c r="BG32" s="60"/>
      <c r="BH32" s="65">
        <f t="shared" si="27"/>
        <v>0</v>
      </c>
      <c r="BI32" s="60"/>
      <c r="BJ32" s="65">
        <f t="shared" si="28"/>
        <v>0</v>
      </c>
      <c r="BK32" s="60"/>
      <c r="BL32" s="65">
        <f t="shared" si="29"/>
        <v>0</v>
      </c>
      <c r="BM32" s="60"/>
      <c r="BN32" s="65">
        <f t="shared" si="30"/>
        <v>0</v>
      </c>
      <c r="BO32" s="60"/>
      <c r="BP32" s="65">
        <f t="shared" si="31"/>
        <v>0</v>
      </c>
      <c r="BQ32" s="60"/>
      <c r="BR32" s="65">
        <f t="shared" si="32"/>
        <v>0</v>
      </c>
      <c r="BS32" s="60"/>
      <c r="BT32" s="65">
        <f t="shared" si="33"/>
        <v>0</v>
      </c>
      <c r="BU32" s="60"/>
      <c r="BV32" s="65">
        <f t="shared" si="34"/>
        <v>0</v>
      </c>
      <c r="BW32" s="60"/>
      <c r="BX32" s="65">
        <f t="shared" si="35"/>
        <v>0</v>
      </c>
      <c r="BY32" s="60"/>
      <c r="BZ32" s="67">
        <f t="shared" si="36"/>
        <v>0</v>
      </c>
      <c r="CA32" s="60"/>
      <c r="CB32" s="67">
        <f t="shared" si="37"/>
        <v>0</v>
      </c>
      <c r="CC32" s="60"/>
      <c r="CD32" s="67">
        <f t="shared" si="38"/>
        <v>0</v>
      </c>
      <c r="CE32" s="60"/>
      <c r="CF32" s="67">
        <f t="shared" si="39"/>
        <v>0</v>
      </c>
      <c r="CG32" s="60"/>
      <c r="CH32" s="67">
        <f t="shared" si="40"/>
        <v>0</v>
      </c>
      <c r="CI32" s="60"/>
      <c r="CJ32" s="67">
        <f t="shared" si="41"/>
        <v>0</v>
      </c>
      <c r="CK32" s="60"/>
      <c r="CL32" s="64">
        <f t="shared" si="42"/>
        <v>0</v>
      </c>
      <c r="CM32" s="65">
        <f t="shared" si="43"/>
        <v>0</v>
      </c>
      <c r="CN32" s="62"/>
      <c r="CO32" s="62"/>
      <c r="CP32" s="68"/>
      <c r="CQ32" s="67">
        <f t="shared" si="44"/>
        <v>0</v>
      </c>
      <c r="CR32" s="68"/>
      <c r="CS32" s="67">
        <f t="shared" si="45"/>
        <v>0</v>
      </c>
      <c r="CT32" s="75"/>
      <c r="CU32" s="67">
        <f t="shared" si="46"/>
        <v>0</v>
      </c>
      <c r="CV32" s="68"/>
      <c r="CW32" s="67">
        <f t="shared" si="47"/>
        <v>0</v>
      </c>
      <c r="CX32" s="58"/>
      <c r="CY32" s="67">
        <f t="shared" si="48"/>
        <v>0</v>
      </c>
    </row>
    <row r="33" spans="1:103" ht="25.5" customHeight="1" thickBot="1" x14ac:dyDescent="0.45">
      <c r="A33" s="63">
        <v>45015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49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6"/>
        <v>0</v>
      </c>
      <c r="AM33" s="58"/>
      <c r="AN33" s="65">
        <f t="shared" si="17"/>
        <v>0</v>
      </c>
      <c r="AO33" s="58"/>
      <c r="AP33" s="65">
        <f t="shared" si="18"/>
        <v>0</v>
      </c>
      <c r="AQ33" s="58"/>
      <c r="AR33" s="65">
        <f t="shared" si="19"/>
        <v>0</v>
      </c>
      <c r="AS33" s="58"/>
      <c r="AT33" s="65">
        <f t="shared" si="20"/>
        <v>0</v>
      </c>
      <c r="AU33" s="58"/>
      <c r="AV33" s="65">
        <f t="shared" si="21"/>
        <v>0</v>
      </c>
      <c r="AW33" s="58"/>
      <c r="AX33" s="65">
        <f t="shared" si="22"/>
        <v>0</v>
      </c>
      <c r="AY33" s="58"/>
      <c r="AZ33" s="65">
        <f t="shared" si="23"/>
        <v>0</v>
      </c>
      <c r="BA33" s="58"/>
      <c r="BB33" s="65">
        <f t="shared" si="24"/>
        <v>0</v>
      </c>
      <c r="BC33" s="58"/>
      <c r="BD33" s="65">
        <f t="shared" si="25"/>
        <v>0</v>
      </c>
      <c r="BE33" s="59"/>
      <c r="BF33" s="67">
        <f t="shared" si="26"/>
        <v>0</v>
      </c>
      <c r="BG33" s="60"/>
      <c r="BH33" s="65">
        <f t="shared" si="27"/>
        <v>0</v>
      </c>
      <c r="BI33" s="60"/>
      <c r="BJ33" s="65">
        <f t="shared" si="28"/>
        <v>0</v>
      </c>
      <c r="BK33" s="60"/>
      <c r="BL33" s="65">
        <f t="shared" si="29"/>
        <v>0</v>
      </c>
      <c r="BM33" s="60"/>
      <c r="BN33" s="65">
        <f t="shared" si="30"/>
        <v>0</v>
      </c>
      <c r="BO33" s="60"/>
      <c r="BP33" s="65">
        <f t="shared" si="31"/>
        <v>0</v>
      </c>
      <c r="BQ33" s="60"/>
      <c r="BR33" s="65">
        <f t="shared" si="32"/>
        <v>0</v>
      </c>
      <c r="BS33" s="60"/>
      <c r="BT33" s="65">
        <f t="shared" si="33"/>
        <v>0</v>
      </c>
      <c r="BU33" s="60"/>
      <c r="BV33" s="65">
        <f t="shared" si="34"/>
        <v>0</v>
      </c>
      <c r="BW33" s="60"/>
      <c r="BX33" s="65">
        <f t="shared" si="35"/>
        <v>0</v>
      </c>
      <c r="BY33" s="60"/>
      <c r="BZ33" s="67">
        <f t="shared" si="36"/>
        <v>0</v>
      </c>
      <c r="CA33" s="60"/>
      <c r="CB33" s="67">
        <f t="shared" si="37"/>
        <v>0</v>
      </c>
      <c r="CC33" s="60"/>
      <c r="CD33" s="67">
        <f t="shared" si="38"/>
        <v>0</v>
      </c>
      <c r="CE33" s="60"/>
      <c r="CF33" s="67">
        <f t="shared" si="39"/>
        <v>0</v>
      </c>
      <c r="CG33" s="60"/>
      <c r="CH33" s="67">
        <f t="shared" si="40"/>
        <v>0</v>
      </c>
      <c r="CI33" s="60"/>
      <c r="CJ33" s="67">
        <f t="shared" si="41"/>
        <v>0</v>
      </c>
      <c r="CK33" s="60"/>
      <c r="CL33" s="64">
        <f t="shared" si="42"/>
        <v>0</v>
      </c>
      <c r="CM33" s="65">
        <f t="shared" si="43"/>
        <v>0</v>
      </c>
      <c r="CN33" s="62"/>
      <c r="CO33" s="62"/>
      <c r="CP33" s="68"/>
      <c r="CQ33" s="67">
        <f t="shared" si="44"/>
        <v>0</v>
      </c>
      <c r="CR33" s="68"/>
      <c r="CS33" s="67">
        <f t="shared" si="45"/>
        <v>0</v>
      </c>
      <c r="CT33" s="75"/>
      <c r="CU33" s="67">
        <f t="shared" si="46"/>
        <v>0</v>
      </c>
      <c r="CV33" s="68"/>
      <c r="CW33" s="67">
        <f t="shared" si="47"/>
        <v>0</v>
      </c>
      <c r="CX33" s="58"/>
      <c r="CY33" s="67">
        <f t="shared" si="48"/>
        <v>0</v>
      </c>
    </row>
    <row r="34" spans="1:103" ht="25.5" customHeight="1" thickBot="1" x14ac:dyDescent="0.45">
      <c r="A34" s="63">
        <v>45016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6"/>
        <v>0</v>
      </c>
      <c r="Q34" s="58"/>
      <c r="R34" s="67">
        <f t="shared" si="7"/>
        <v>0</v>
      </c>
      <c r="S34" s="58"/>
      <c r="T34" s="67">
        <f t="shared" si="49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6"/>
        <v>0</v>
      </c>
      <c r="AM34" s="58"/>
      <c r="AN34" s="65">
        <f t="shared" si="17"/>
        <v>0</v>
      </c>
      <c r="AO34" s="58"/>
      <c r="AP34" s="65">
        <f t="shared" si="18"/>
        <v>0</v>
      </c>
      <c r="AQ34" s="58"/>
      <c r="AR34" s="65">
        <f t="shared" si="19"/>
        <v>0</v>
      </c>
      <c r="AS34" s="58"/>
      <c r="AT34" s="65">
        <f t="shared" si="20"/>
        <v>0</v>
      </c>
      <c r="AU34" s="58"/>
      <c r="AV34" s="65">
        <f t="shared" si="21"/>
        <v>0</v>
      </c>
      <c r="AW34" s="58"/>
      <c r="AX34" s="65">
        <f t="shared" si="22"/>
        <v>0</v>
      </c>
      <c r="AY34" s="58"/>
      <c r="AZ34" s="65">
        <f t="shared" si="23"/>
        <v>0</v>
      </c>
      <c r="BA34" s="58"/>
      <c r="BB34" s="65">
        <f t="shared" si="24"/>
        <v>0</v>
      </c>
      <c r="BC34" s="58"/>
      <c r="BD34" s="65">
        <f t="shared" si="25"/>
        <v>0</v>
      </c>
      <c r="BE34" s="59"/>
      <c r="BF34" s="67">
        <f t="shared" si="26"/>
        <v>0</v>
      </c>
      <c r="BG34" s="60"/>
      <c r="BH34" s="65">
        <f t="shared" si="27"/>
        <v>0</v>
      </c>
      <c r="BI34" s="60"/>
      <c r="BJ34" s="65">
        <f t="shared" si="28"/>
        <v>0</v>
      </c>
      <c r="BK34" s="60"/>
      <c r="BL34" s="65">
        <f t="shared" si="29"/>
        <v>0</v>
      </c>
      <c r="BM34" s="60"/>
      <c r="BN34" s="65">
        <f t="shared" si="30"/>
        <v>0</v>
      </c>
      <c r="BO34" s="60"/>
      <c r="BP34" s="65">
        <f t="shared" si="31"/>
        <v>0</v>
      </c>
      <c r="BQ34" s="60"/>
      <c r="BR34" s="65">
        <f t="shared" si="32"/>
        <v>0</v>
      </c>
      <c r="BS34" s="60"/>
      <c r="BT34" s="65">
        <f t="shared" si="33"/>
        <v>0</v>
      </c>
      <c r="BU34" s="60"/>
      <c r="BV34" s="65">
        <f t="shared" si="34"/>
        <v>0</v>
      </c>
      <c r="BW34" s="60"/>
      <c r="BX34" s="65">
        <f t="shared" si="35"/>
        <v>0</v>
      </c>
      <c r="BY34" s="60"/>
      <c r="BZ34" s="67">
        <f t="shared" si="36"/>
        <v>0</v>
      </c>
      <c r="CA34" s="60"/>
      <c r="CB34" s="67">
        <f t="shared" si="37"/>
        <v>0</v>
      </c>
      <c r="CC34" s="60"/>
      <c r="CD34" s="67">
        <f t="shared" si="38"/>
        <v>0</v>
      </c>
      <c r="CE34" s="60"/>
      <c r="CF34" s="67">
        <f t="shared" si="39"/>
        <v>0</v>
      </c>
      <c r="CG34" s="60"/>
      <c r="CH34" s="67">
        <f t="shared" si="40"/>
        <v>0</v>
      </c>
      <c r="CI34" s="60"/>
      <c r="CJ34" s="67">
        <f t="shared" si="41"/>
        <v>0</v>
      </c>
      <c r="CK34" s="60"/>
      <c r="CL34" s="64">
        <f t="shared" si="42"/>
        <v>0</v>
      </c>
      <c r="CM34" s="65">
        <f t="shared" si="43"/>
        <v>0</v>
      </c>
      <c r="CN34" s="62"/>
      <c r="CO34" s="62"/>
      <c r="CP34" s="68"/>
      <c r="CQ34" s="67">
        <f t="shared" si="44"/>
        <v>0</v>
      </c>
      <c r="CR34" s="68"/>
      <c r="CS34" s="67">
        <f t="shared" si="45"/>
        <v>0</v>
      </c>
      <c r="CT34" s="75"/>
      <c r="CU34" s="67">
        <f t="shared" si="46"/>
        <v>0</v>
      </c>
      <c r="CV34" s="68"/>
      <c r="CW34" s="67">
        <f t="shared" si="47"/>
        <v>0</v>
      </c>
      <c r="CX34" s="58"/>
      <c r="CY34" s="67">
        <f t="shared" si="48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7" zoomScaleNormal="100" workbookViewId="0">
      <selection activeCell="S27" sqref="S2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44985</v>
      </c>
      <c r="B7" s="40"/>
      <c r="C7" s="40">
        <v>30</v>
      </c>
      <c r="D7" s="40">
        <v>56</v>
      </c>
      <c r="E7" s="41">
        <v>85</v>
      </c>
      <c r="F7" s="41">
        <v>6834</v>
      </c>
      <c r="G7" s="41">
        <v>85</v>
      </c>
      <c r="H7" s="41">
        <v>1425</v>
      </c>
      <c r="I7" s="41">
        <v>60</v>
      </c>
      <c r="J7" s="41">
        <v>2212</v>
      </c>
      <c r="K7" s="42">
        <v>85</v>
      </c>
      <c r="L7" s="42">
        <v>85</v>
      </c>
      <c r="M7" s="42">
        <v>1914</v>
      </c>
      <c r="N7" s="39">
        <v>85</v>
      </c>
      <c r="O7" s="39">
        <v>85</v>
      </c>
      <c r="P7" s="39">
        <v>75</v>
      </c>
      <c r="Q7" s="39">
        <v>5887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44986</v>
      </c>
      <c r="B8" s="40"/>
      <c r="C8" s="40">
        <v>30</v>
      </c>
      <c r="D8" s="40">
        <v>56</v>
      </c>
      <c r="E8" s="41">
        <v>85</v>
      </c>
      <c r="F8" s="41">
        <v>6834</v>
      </c>
      <c r="G8" s="41">
        <v>85</v>
      </c>
      <c r="H8" s="41">
        <v>1428</v>
      </c>
      <c r="I8" s="41">
        <v>45</v>
      </c>
      <c r="J8" s="41">
        <v>2212</v>
      </c>
      <c r="K8" s="42">
        <v>85</v>
      </c>
      <c r="L8" s="42">
        <v>85</v>
      </c>
      <c r="M8" s="42">
        <v>1914</v>
      </c>
      <c r="N8" s="39">
        <v>85</v>
      </c>
      <c r="O8" s="39">
        <v>85</v>
      </c>
      <c r="P8" s="39">
        <v>75</v>
      </c>
      <c r="Q8" s="39">
        <v>5889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44987</v>
      </c>
      <c r="B9" s="40"/>
      <c r="C9" s="40">
        <v>34</v>
      </c>
      <c r="D9" s="40">
        <v>64</v>
      </c>
      <c r="E9" s="41">
        <v>85</v>
      </c>
      <c r="F9" s="41">
        <v>6834</v>
      </c>
      <c r="G9" s="41">
        <v>85</v>
      </c>
      <c r="H9" s="41">
        <v>1431</v>
      </c>
      <c r="I9" s="41">
        <v>30</v>
      </c>
      <c r="J9" s="41">
        <v>2212</v>
      </c>
      <c r="K9" s="42">
        <v>85</v>
      </c>
      <c r="L9" s="42">
        <v>85</v>
      </c>
      <c r="M9" s="42">
        <v>1914</v>
      </c>
      <c r="N9" s="39">
        <v>85</v>
      </c>
      <c r="O9" s="39">
        <v>85</v>
      </c>
      <c r="P9" s="39">
        <v>70</v>
      </c>
      <c r="Q9" s="39">
        <v>5893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44988</v>
      </c>
      <c r="B10" s="40"/>
      <c r="C10" s="40">
        <v>36</v>
      </c>
      <c r="D10" s="40">
        <v>68</v>
      </c>
      <c r="E10" s="41">
        <v>85</v>
      </c>
      <c r="F10" s="41">
        <v>6834</v>
      </c>
      <c r="G10" s="41">
        <v>85</v>
      </c>
      <c r="H10" s="41">
        <v>1433</v>
      </c>
      <c r="I10" s="41">
        <v>20</v>
      </c>
      <c r="J10" s="41">
        <v>2212</v>
      </c>
      <c r="K10" s="42">
        <v>85</v>
      </c>
      <c r="L10" s="42">
        <v>80</v>
      </c>
      <c r="M10" s="42">
        <v>1914</v>
      </c>
      <c r="N10" s="39">
        <v>85</v>
      </c>
      <c r="O10" s="39">
        <v>85</v>
      </c>
      <c r="P10" s="39">
        <v>70</v>
      </c>
      <c r="Q10" s="39">
        <v>5896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44989</v>
      </c>
      <c r="B11" s="40"/>
      <c r="C11" s="40">
        <v>42</v>
      </c>
      <c r="D11" s="40">
        <v>84</v>
      </c>
      <c r="E11" s="41">
        <v>85</v>
      </c>
      <c r="F11" s="41">
        <v>6834</v>
      </c>
      <c r="G11" s="41">
        <v>85</v>
      </c>
      <c r="H11" s="41">
        <v>1438</v>
      </c>
      <c r="I11" s="41">
        <v>11</v>
      </c>
      <c r="J11" s="41">
        <v>2212</v>
      </c>
      <c r="K11" s="42">
        <v>85</v>
      </c>
      <c r="L11" s="42">
        <v>75</v>
      </c>
      <c r="M11" s="42">
        <v>1914</v>
      </c>
      <c r="N11" s="39">
        <v>85</v>
      </c>
      <c r="O11" s="39">
        <v>85</v>
      </c>
      <c r="P11" s="39">
        <v>65</v>
      </c>
      <c r="Q11" s="39">
        <v>5900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44990</v>
      </c>
      <c r="B12" s="40"/>
      <c r="C12" s="40">
        <v>34</v>
      </c>
      <c r="D12" s="40">
        <v>71</v>
      </c>
      <c r="E12" s="41">
        <v>85</v>
      </c>
      <c r="F12" s="41">
        <v>6834</v>
      </c>
      <c r="G12" s="41">
        <v>85</v>
      </c>
      <c r="H12" s="41">
        <v>1440</v>
      </c>
      <c r="I12" s="41">
        <v>5</v>
      </c>
      <c r="J12" s="41">
        <v>2212</v>
      </c>
      <c r="K12" s="42">
        <v>85</v>
      </c>
      <c r="L12" s="42">
        <v>75</v>
      </c>
      <c r="M12" s="42">
        <v>1914</v>
      </c>
      <c r="N12" s="39">
        <v>85</v>
      </c>
      <c r="O12" s="39">
        <v>85</v>
      </c>
      <c r="P12" s="39">
        <v>64</v>
      </c>
      <c r="Q12" s="39">
        <v>5902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44991</v>
      </c>
      <c r="B13" s="40"/>
      <c r="C13" s="40">
        <v>34</v>
      </c>
      <c r="D13" s="40">
        <v>71</v>
      </c>
      <c r="E13" s="41">
        <v>85</v>
      </c>
      <c r="F13" s="41">
        <v>6834</v>
      </c>
      <c r="G13" s="41">
        <v>85</v>
      </c>
      <c r="H13" s="41">
        <v>1443</v>
      </c>
      <c r="I13" s="41">
        <v>0</v>
      </c>
      <c r="J13" s="41">
        <v>2212</v>
      </c>
      <c r="K13" s="42">
        <v>85</v>
      </c>
      <c r="L13" s="42">
        <v>74</v>
      </c>
      <c r="M13" s="42">
        <v>1914</v>
      </c>
      <c r="N13" s="39">
        <v>85</v>
      </c>
      <c r="O13" s="39">
        <v>85</v>
      </c>
      <c r="P13" s="39">
        <v>60</v>
      </c>
      <c r="Q13" s="39">
        <v>5904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44992</v>
      </c>
      <c r="B14" s="40"/>
      <c r="C14" s="40">
        <v>34</v>
      </c>
      <c r="D14" s="40">
        <v>71</v>
      </c>
      <c r="E14" s="41">
        <v>85</v>
      </c>
      <c r="F14" s="41">
        <v>6834</v>
      </c>
      <c r="G14" s="41">
        <v>75</v>
      </c>
      <c r="H14" s="41">
        <v>1446</v>
      </c>
      <c r="I14" s="41">
        <v>0</v>
      </c>
      <c r="J14" s="41">
        <v>2212</v>
      </c>
      <c r="K14" s="42">
        <v>85</v>
      </c>
      <c r="L14" s="42">
        <v>74</v>
      </c>
      <c r="M14" s="42">
        <v>1914</v>
      </c>
      <c r="N14" s="39">
        <v>85</v>
      </c>
      <c r="O14" s="39">
        <v>85</v>
      </c>
      <c r="P14" s="39">
        <v>55</v>
      </c>
      <c r="Q14" s="39">
        <v>5907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44993</v>
      </c>
      <c r="B15" s="40"/>
      <c r="C15" s="40">
        <v>31</v>
      </c>
      <c r="D15" s="40">
        <v>66</v>
      </c>
      <c r="E15" s="41">
        <v>85</v>
      </c>
      <c r="F15" s="41">
        <v>6834</v>
      </c>
      <c r="G15" s="41">
        <v>60</v>
      </c>
      <c r="H15" s="41">
        <v>1449</v>
      </c>
      <c r="I15" s="41">
        <v>0</v>
      </c>
      <c r="J15" s="41">
        <v>2212</v>
      </c>
      <c r="K15" s="42">
        <v>85</v>
      </c>
      <c r="L15" s="42">
        <v>70</v>
      </c>
      <c r="M15" s="42">
        <v>1914</v>
      </c>
      <c r="N15" s="39">
        <v>85</v>
      </c>
      <c r="O15" s="39">
        <v>85</v>
      </c>
      <c r="P15" s="39">
        <v>50</v>
      </c>
      <c r="Q15" s="39">
        <v>5910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44994</v>
      </c>
      <c r="B16" s="40"/>
      <c r="C16" s="40">
        <v>48</v>
      </c>
      <c r="D16" s="40">
        <v>100</v>
      </c>
      <c r="E16" s="41">
        <v>85</v>
      </c>
      <c r="F16" s="41">
        <v>6834</v>
      </c>
      <c r="G16" s="41">
        <v>45</v>
      </c>
      <c r="H16" s="41">
        <v>1452</v>
      </c>
      <c r="I16" s="41">
        <v>0</v>
      </c>
      <c r="J16" s="41">
        <v>2212</v>
      </c>
      <c r="K16" s="42">
        <v>85</v>
      </c>
      <c r="L16" s="42">
        <v>70</v>
      </c>
      <c r="M16" s="42">
        <v>1914</v>
      </c>
      <c r="N16" s="39">
        <v>85</v>
      </c>
      <c r="O16" s="39">
        <v>85</v>
      </c>
      <c r="P16" s="39">
        <v>50</v>
      </c>
      <c r="Q16" s="39">
        <v>5912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44995</v>
      </c>
      <c r="B17" s="40"/>
      <c r="C17" s="40">
        <v>44</v>
      </c>
      <c r="D17" s="40">
        <v>91</v>
      </c>
      <c r="E17" s="41">
        <v>85</v>
      </c>
      <c r="F17" s="41">
        <v>6834</v>
      </c>
      <c r="G17" s="41">
        <v>30</v>
      </c>
      <c r="H17" s="41">
        <v>1454</v>
      </c>
      <c r="I17" s="41">
        <v>0</v>
      </c>
      <c r="J17" s="41">
        <v>2212</v>
      </c>
      <c r="K17" s="42">
        <v>85</v>
      </c>
      <c r="L17" s="42">
        <v>70</v>
      </c>
      <c r="M17" s="42">
        <v>1914</v>
      </c>
      <c r="N17" s="39">
        <v>85</v>
      </c>
      <c r="O17" s="39">
        <v>85</v>
      </c>
      <c r="P17" s="39">
        <v>45</v>
      </c>
      <c r="Q17" s="39">
        <v>5915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44996</v>
      </c>
      <c r="B18" s="40"/>
      <c r="C18" s="40">
        <v>42</v>
      </c>
      <c r="D18" s="40">
        <v>84</v>
      </c>
      <c r="E18" s="41">
        <v>85</v>
      </c>
      <c r="F18" s="41">
        <v>6834</v>
      </c>
      <c r="G18" s="41">
        <v>20</v>
      </c>
      <c r="H18" s="41">
        <v>1458</v>
      </c>
      <c r="I18" s="41">
        <v>0</v>
      </c>
      <c r="J18" s="41">
        <v>2212</v>
      </c>
      <c r="K18" s="42">
        <v>85</v>
      </c>
      <c r="L18" s="42">
        <v>60</v>
      </c>
      <c r="M18" s="42">
        <v>1914</v>
      </c>
      <c r="N18" s="39">
        <v>85</v>
      </c>
      <c r="O18" s="39">
        <v>85</v>
      </c>
      <c r="P18" s="39">
        <v>45</v>
      </c>
      <c r="Q18" s="39">
        <v>5918</v>
      </c>
      <c r="R18" s="77">
        <v>60</v>
      </c>
      <c r="S18" s="77">
        <v>223</v>
      </c>
      <c r="T18">
        <f t="shared" si="1"/>
        <v>-10</v>
      </c>
    </row>
    <row r="19" spans="1:20" x14ac:dyDescent="0.25">
      <c r="A19" s="73">
        <v>44997</v>
      </c>
      <c r="B19" s="40"/>
      <c r="C19" s="40">
        <v>37</v>
      </c>
      <c r="D19" s="40">
        <v>70</v>
      </c>
      <c r="E19" s="41">
        <v>85</v>
      </c>
      <c r="F19" s="41">
        <v>6834</v>
      </c>
      <c r="G19" s="41">
        <v>10</v>
      </c>
      <c r="H19" s="41">
        <v>1460</v>
      </c>
      <c r="I19" s="41">
        <v>0</v>
      </c>
      <c r="J19" s="41">
        <v>2212</v>
      </c>
      <c r="K19" s="42">
        <v>85</v>
      </c>
      <c r="L19" s="42">
        <v>60</v>
      </c>
      <c r="M19" s="42">
        <v>1914</v>
      </c>
      <c r="N19" s="39">
        <v>85</v>
      </c>
      <c r="O19" s="39">
        <v>85</v>
      </c>
      <c r="P19" s="39">
        <v>35</v>
      </c>
      <c r="Q19" s="39">
        <v>5923</v>
      </c>
      <c r="R19" s="77">
        <v>60</v>
      </c>
      <c r="S19" s="77">
        <v>233</v>
      </c>
      <c r="T19">
        <f t="shared" si="1"/>
        <v>10</v>
      </c>
    </row>
    <row r="20" spans="1:20" x14ac:dyDescent="0.25">
      <c r="A20" s="73">
        <v>44998</v>
      </c>
      <c r="B20" s="40"/>
      <c r="C20" s="40">
        <v>37</v>
      </c>
      <c r="D20" s="40">
        <v>70</v>
      </c>
      <c r="E20" s="41">
        <v>85</v>
      </c>
      <c r="F20" s="41">
        <v>6834</v>
      </c>
      <c r="G20" s="41">
        <v>0</v>
      </c>
      <c r="H20" s="41">
        <v>1463</v>
      </c>
      <c r="I20" s="41">
        <v>0</v>
      </c>
      <c r="J20" s="41">
        <v>2212</v>
      </c>
      <c r="K20" s="42">
        <v>85</v>
      </c>
      <c r="L20" s="42">
        <v>60</v>
      </c>
      <c r="M20" s="42">
        <v>1914</v>
      </c>
      <c r="N20" s="39">
        <v>85</v>
      </c>
      <c r="O20" s="39">
        <v>85</v>
      </c>
      <c r="P20" s="39">
        <v>32</v>
      </c>
      <c r="Q20" s="39">
        <v>5925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44999</v>
      </c>
      <c r="B21" s="40"/>
      <c r="C21" s="40">
        <v>34</v>
      </c>
      <c r="D21" s="40">
        <v>66</v>
      </c>
      <c r="E21" s="41">
        <v>75</v>
      </c>
      <c r="F21" s="41">
        <v>6834</v>
      </c>
      <c r="G21" s="41">
        <v>0</v>
      </c>
      <c r="H21" s="41">
        <v>1466</v>
      </c>
      <c r="I21" s="41">
        <v>0</v>
      </c>
      <c r="J21" s="41">
        <v>2212</v>
      </c>
      <c r="K21" s="42">
        <v>85</v>
      </c>
      <c r="L21" s="42">
        <v>60</v>
      </c>
      <c r="M21" s="42">
        <v>1914</v>
      </c>
      <c r="N21" s="39">
        <v>85</v>
      </c>
      <c r="O21" s="39">
        <v>85</v>
      </c>
      <c r="P21" s="39">
        <v>30</v>
      </c>
      <c r="Q21" s="39">
        <v>5928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45000</v>
      </c>
      <c r="B22" s="40"/>
      <c r="C22" s="40">
        <v>34</v>
      </c>
      <c r="D22" s="40">
        <v>66</v>
      </c>
      <c r="E22" s="41">
        <v>60</v>
      </c>
      <c r="F22" s="41">
        <v>6834</v>
      </c>
      <c r="G22" s="41">
        <v>0</v>
      </c>
      <c r="H22" s="41">
        <v>1469</v>
      </c>
      <c r="I22" s="41">
        <v>0</v>
      </c>
      <c r="J22" s="41">
        <v>2212</v>
      </c>
      <c r="K22" s="42">
        <v>85</v>
      </c>
      <c r="L22" s="42">
        <v>55</v>
      </c>
      <c r="M22" s="42">
        <v>1914</v>
      </c>
      <c r="N22" s="39">
        <v>85</v>
      </c>
      <c r="O22" s="39">
        <v>85</v>
      </c>
      <c r="P22" s="39">
        <v>28</v>
      </c>
      <c r="Q22" s="39">
        <v>5930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45001</v>
      </c>
      <c r="B23" s="40"/>
      <c r="C23" s="40">
        <v>27</v>
      </c>
      <c r="D23" s="40">
        <v>54</v>
      </c>
      <c r="E23" s="41">
        <v>45</v>
      </c>
      <c r="F23" s="41">
        <v>6834</v>
      </c>
      <c r="G23" s="41">
        <v>0</v>
      </c>
      <c r="H23" s="41">
        <v>1472</v>
      </c>
      <c r="I23" s="41">
        <v>0</v>
      </c>
      <c r="J23" s="41">
        <v>2212</v>
      </c>
      <c r="K23" s="42">
        <v>85</v>
      </c>
      <c r="L23" s="42">
        <v>55</v>
      </c>
      <c r="M23" s="42">
        <v>1914</v>
      </c>
      <c r="N23" s="39">
        <v>85</v>
      </c>
      <c r="O23" s="39">
        <v>85</v>
      </c>
      <c r="P23" s="39">
        <v>20</v>
      </c>
      <c r="Q23" s="39">
        <v>5933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45002</v>
      </c>
      <c r="B24" s="40"/>
      <c r="C24" s="40">
        <v>28</v>
      </c>
      <c r="D24" s="40">
        <v>56</v>
      </c>
      <c r="E24" s="41">
        <v>35</v>
      </c>
      <c r="F24" s="41">
        <v>6834</v>
      </c>
      <c r="G24" s="41">
        <v>0</v>
      </c>
      <c r="H24" s="41">
        <v>1475</v>
      </c>
      <c r="I24" s="41">
        <v>0</v>
      </c>
      <c r="J24" s="41">
        <v>2212</v>
      </c>
      <c r="K24" s="42">
        <v>85</v>
      </c>
      <c r="L24" s="42">
        <v>51</v>
      </c>
      <c r="M24" s="42">
        <v>1914</v>
      </c>
      <c r="N24" s="39">
        <v>85</v>
      </c>
      <c r="O24" s="39">
        <v>85</v>
      </c>
      <c r="P24" s="39">
        <v>20</v>
      </c>
      <c r="Q24" s="39">
        <v>5935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45003</v>
      </c>
      <c r="B25" s="40"/>
      <c r="C25" s="40">
        <v>31</v>
      </c>
      <c r="D25" s="40">
        <v>61</v>
      </c>
      <c r="E25" s="41">
        <v>20</v>
      </c>
      <c r="F25" s="41">
        <v>6834</v>
      </c>
      <c r="G25" s="41">
        <v>0</v>
      </c>
      <c r="H25" s="41">
        <v>1478</v>
      </c>
      <c r="I25" s="41">
        <v>0</v>
      </c>
      <c r="J25" s="41">
        <v>2212</v>
      </c>
      <c r="K25" s="42">
        <v>85</v>
      </c>
      <c r="L25" s="42">
        <v>50</v>
      </c>
      <c r="M25" s="42">
        <v>1914</v>
      </c>
      <c r="N25" s="39">
        <v>85</v>
      </c>
      <c r="O25" s="39">
        <v>85</v>
      </c>
      <c r="P25" s="39">
        <v>20</v>
      </c>
      <c r="Q25" s="39">
        <v>5937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45004</v>
      </c>
      <c r="B26" s="40"/>
      <c r="C26" s="40">
        <v>43</v>
      </c>
      <c r="D26" s="40">
        <v>75</v>
      </c>
      <c r="E26" s="41">
        <v>10</v>
      </c>
      <c r="F26" s="41">
        <v>6834</v>
      </c>
      <c r="G26" s="41">
        <v>80</v>
      </c>
      <c r="H26" s="41">
        <v>1481</v>
      </c>
      <c r="I26" s="41">
        <v>0</v>
      </c>
      <c r="J26" s="41">
        <v>2212</v>
      </c>
      <c r="K26" s="42">
        <v>85</v>
      </c>
      <c r="L26" s="42">
        <v>50</v>
      </c>
      <c r="M26" s="42">
        <v>1914</v>
      </c>
      <c r="N26" s="39">
        <v>85</v>
      </c>
      <c r="O26" s="39">
        <v>85</v>
      </c>
      <c r="P26" s="39">
        <v>20</v>
      </c>
      <c r="Q26" s="39">
        <v>5939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45005</v>
      </c>
      <c r="B27" s="40"/>
      <c r="C27" s="40">
        <v>43</v>
      </c>
      <c r="D27" s="40">
        <v>75</v>
      </c>
      <c r="E27" s="41">
        <v>5</v>
      </c>
      <c r="F27" s="41">
        <v>6834</v>
      </c>
      <c r="G27" s="41">
        <v>85</v>
      </c>
      <c r="H27" s="41">
        <v>1483</v>
      </c>
      <c r="I27" s="41">
        <v>0</v>
      </c>
      <c r="J27" s="41">
        <v>2212</v>
      </c>
      <c r="K27" s="42">
        <v>85</v>
      </c>
      <c r="L27" s="42">
        <v>50</v>
      </c>
      <c r="M27" s="42">
        <v>1914</v>
      </c>
      <c r="N27" s="39">
        <v>85</v>
      </c>
      <c r="O27" s="39">
        <v>85</v>
      </c>
      <c r="P27" s="39">
        <v>15</v>
      </c>
      <c r="Q27" s="39">
        <v>5942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45006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-233</v>
      </c>
    </row>
    <row r="29" spans="1:20" x14ac:dyDescent="0.25">
      <c r="A29" s="73">
        <v>45007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45008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45009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45010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45011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45012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45013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45014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45015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45016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45017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2023-03-21T15:50:29Z</dcterms:modified>
</cp:coreProperties>
</file>