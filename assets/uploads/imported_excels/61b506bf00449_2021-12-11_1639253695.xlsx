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<sst xmlns="http://schemas.openxmlformats.org/spreadsheetml/2006/main" count="313" uniqueCount="148">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</sst>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82.5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68.400000000001455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79.69999999999709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81.5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82.5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68.400000000001455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79.69999999999709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 t="str">
        <f>'FS Desroches Daily'!CF13</f>
        <v/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81.5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>
        <f>'FS Desroches Daily'!CF14</f>
        <v>0</v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26299.999999999993</v>
      </c>
      <c r="F33" s="17">
        <f t="shared" ref="F33:BC33" si="1">SUM(F2:F32)</f>
        <v>30499.999999999967</v>
      </c>
      <c r="G33" s="17">
        <f t="shared" si="1"/>
        <v>25799.999999999818</v>
      </c>
      <c r="H33" s="17">
        <f t="shared" si="1"/>
        <v>15299.999999999867</v>
      </c>
      <c r="I33" s="17">
        <f t="shared" si="1"/>
        <v>20300.000000000211</v>
      </c>
      <c r="J33" s="17">
        <f t="shared" si="1"/>
        <v>13000.000000000122</v>
      </c>
      <c r="K33" s="17">
        <f t="shared" si="1"/>
        <v>70</v>
      </c>
      <c r="L33" s="17">
        <f t="shared" si="1"/>
        <v>53</v>
      </c>
      <c r="M33" s="17">
        <f t="shared" si="1"/>
        <v>8.5</v>
      </c>
      <c r="N33" s="17">
        <f t="shared" si="1"/>
        <v>3502.8999999999651</v>
      </c>
      <c r="O33" s="17">
        <f t="shared" si="1"/>
        <v>2500</v>
      </c>
      <c r="P33" s="17">
        <f t="shared" si="1"/>
        <v>28200</v>
      </c>
      <c r="Q33" s="17">
        <f t="shared" si="1"/>
        <v>3629.9999999999955</v>
      </c>
      <c r="R33" s="17">
        <f t="shared" si="1"/>
        <v>2819.9999999999932</v>
      </c>
      <c r="S33" s="17">
        <f t="shared" si="1"/>
        <v>5509.9999999999909</v>
      </c>
      <c r="T33" s="17">
        <f t="shared" si="1"/>
        <v>426</v>
      </c>
      <c r="U33" s="35">
        <f t="shared" si="1"/>
        <v>6879.9999999999955</v>
      </c>
      <c r="V33" s="35">
        <f t="shared" si="1"/>
        <v>2520.00000000001</v>
      </c>
      <c r="W33" s="35">
        <f t="shared" si="1"/>
        <v>2000</v>
      </c>
      <c r="X33" s="35">
        <f t="shared" si="1"/>
        <v>1500</v>
      </c>
      <c r="Y33" s="35">
        <f t="shared" si="1"/>
        <v>2510.0000000000477</v>
      </c>
      <c r="Z33" s="35">
        <f t="shared" si="1"/>
        <v>2039.9999999999636</v>
      </c>
      <c r="AA33" s="35">
        <f t="shared" si="1"/>
        <v>2039.9999999999636</v>
      </c>
      <c r="AB33" s="35">
        <f t="shared" si="1"/>
        <v>1309.9999999999454</v>
      </c>
      <c r="AC33" s="35">
        <f t="shared" si="1"/>
        <v>1369.9999999999477</v>
      </c>
      <c r="AD33" s="35">
        <f t="shared" si="1"/>
        <v>1519.9999999999818</v>
      </c>
      <c r="AE33" s="35">
        <f t="shared" si="1"/>
        <v>789.99999999999204</v>
      </c>
      <c r="AF33" s="17">
        <f t="shared" si="1"/>
        <v>352</v>
      </c>
      <c r="AG33" s="32">
        <f t="shared" si="1"/>
        <v>430.00000000000682</v>
      </c>
      <c r="AH33" s="32">
        <f t="shared" si="1"/>
        <v>330.00000000004093</v>
      </c>
      <c r="AI33" s="32">
        <f t="shared" si="1"/>
        <v>390.00000000001478</v>
      </c>
      <c r="AJ33" s="32">
        <f t="shared" si="1"/>
        <v>419.99999999998749</v>
      </c>
      <c r="AK33" s="32">
        <f t="shared" si="1"/>
        <v>610.00000000001364</v>
      </c>
      <c r="AL33" s="32">
        <f t="shared" si="1"/>
        <v>346</v>
      </c>
      <c r="AM33" s="32">
        <f t="shared" si="1"/>
        <v>500</v>
      </c>
      <c r="AN33" s="32">
        <f t="shared" si="1"/>
        <v>372</v>
      </c>
      <c r="AO33" s="32">
        <f t="shared" si="1"/>
        <v>310.00000000000227</v>
      </c>
      <c r="AP33" s="32">
        <f t="shared" si="1"/>
        <v>478</v>
      </c>
      <c r="AQ33" s="17">
        <f t="shared" si="1"/>
        <v>624</v>
      </c>
      <c r="AR33" s="17">
        <f t="shared" si="1"/>
        <v>102.5</v>
      </c>
      <c r="AS33" s="17">
        <f t="shared" si="1"/>
        <v>48.199999999999818</v>
      </c>
      <c r="AT33" s="17">
        <f t="shared" si="1"/>
        <v>352.90000000000873</v>
      </c>
      <c r="AU33" s="17">
        <f t="shared" si="1"/>
        <v>3094</v>
      </c>
      <c r="AV33" s="17">
        <f t="shared" si="1"/>
        <v>6019.9999999999818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53.113499999999995</v>
      </c>
      <c r="BC33" s="17">
        <f t="shared" si="1"/>
        <v>117</v>
      </c>
    </row>
    <row r="35" spans="5:55" x14ac:dyDescent="0.25">
      <c r="E35" s="38">
        <f>E33/E37</f>
        <v>0.25774711382034199</v>
      </c>
      <c r="G35" s="29">
        <f>G33-M36</f>
        <v>22288.599999999853</v>
      </c>
      <c r="AE35" s="35">
        <f>SUM(U33:AE33)</f>
        <v>24479.999999999847</v>
      </c>
      <c r="AG35" s="32">
        <f>SUM(AG33:AP33)</f>
        <v>4186.0000000000655</v>
      </c>
    </row>
    <row r="36" spans="5:55" x14ac:dyDescent="0.25">
      <c r="G36" s="29">
        <f>G35-633*14</f>
        <v>13426.599999999853</v>
      </c>
      <c r="M36" s="29">
        <f>M33+N33</f>
        <v>3511.3999999999651</v>
      </c>
    </row>
    <row r="37" spans="5:55" x14ac:dyDescent="0.25">
      <c r="E37" s="17">
        <f>E33+F33+G33+H33+J33-633*14</f>
        <v>102037.99999999975</v>
      </c>
      <c r="G37" s="37">
        <f>M36/E37</f>
        <v>3.4412669789685935E-2</v>
      </c>
      <c r="M37" s="35">
        <f>AE35</f>
        <v>24479.999999999847</v>
      </c>
    </row>
    <row r="38" spans="5:55" x14ac:dyDescent="0.25">
      <c r="L38" s="27">
        <f>M38/E37</f>
        <v>4.102393226053113E-2</v>
      </c>
      <c r="M38" s="29">
        <f>AG35</f>
        <v>4186.0000000000655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H1" zoomScale="90" zoomScaleNormal="90" workbookViewId="0">
      <pane ySplit="1" topLeftCell="A5" activePane="bottomLeft" state="frozen"/>
      <selection pane="bottomLeft" activeCell="CH13" sqref="CH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82.5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17720</v>
      </c>
      <c r="CS10" s="67">
        <f t="shared" si="46"/>
        <v>21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68.400000000001455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17741</v>
      </c>
      <c r="CS11" s="67">
        <f t="shared" si="46"/>
        <v>21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79.69999999999709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17762</v>
      </c>
      <c r="CS12" s="67">
        <f t="shared" si="46"/>
        <v>21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/>
      <c r="CF13" s="67" t="str">
        <f t="shared" si="40"/>
        <v/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81.5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17784</v>
      </c>
      <c r="CS13" s="67">
        <f t="shared" si="46"/>
        <v>22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si="6"/>
        <v/>
      </c>
      <c r="Q14" s="58"/>
      <c r="R14" s="67" t="str">
        <f t="shared" si="7"/>
        <v/>
      </c>
      <c r="S14" s="58"/>
      <c r="T14" s="67" t="str">
        <f t="shared" si="8"/>
        <v/>
      </c>
      <c r="U14" s="58"/>
      <c r="V14" s="67" t="str">
        <f t="shared" si="9"/>
        <v/>
      </c>
      <c r="W14" s="58"/>
      <c r="X14" s="65" t="str">
        <f t="shared" si="10"/>
        <v/>
      </c>
      <c r="Y14" s="58"/>
      <c r="Z14" s="65" t="str">
        <f t="shared" si="11"/>
        <v/>
      </c>
      <c r="AA14" s="58"/>
      <c r="AB14" s="65" t="str">
        <f t="shared" si="12"/>
        <v/>
      </c>
      <c r="AC14" s="58"/>
      <c r="AD14" s="65" t="str">
        <f t="shared" si="13"/>
        <v/>
      </c>
      <c r="AE14" s="58"/>
      <c r="AF14" s="65" t="str">
        <f t="shared" si="14"/>
        <v/>
      </c>
      <c r="AG14" s="58"/>
      <c r="AH14" s="67" t="str">
        <f t="shared" si="15"/>
        <v/>
      </c>
      <c r="AI14" s="58"/>
      <c r="AJ14" s="65" t="str">
        <f t="shared" si="16"/>
        <v/>
      </c>
      <c r="AK14" s="58"/>
      <c r="AL14" s="65" t="str">
        <f t="shared" si="17"/>
        <v/>
      </c>
      <c r="AM14" s="58"/>
      <c r="AN14" s="65" t="str">
        <f t="shared" si="18"/>
        <v/>
      </c>
      <c r="AO14" s="58"/>
      <c r="AP14" s="65" t="str">
        <f t="shared" si="19"/>
        <v/>
      </c>
      <c r="AQ14" s="58"/>
      <c r="AR14" s="65" t="str">
        <f t="shared" si="20"/>
        <v/>
      </c>
      <c r="AS14" s="58"/>
      <c r="AT14" s="65" t="str">
        <f t="shared" si="21"/>
        <v/>
      </c>
      <c r="AU14" s="58"/>
      <c r="AV14" s="65" t="str">
        <f t="shared" si="22"/>
        <v/>
      </c>
      <c r="AW14" s="58"/>
      <c r="AX14" s="65" t="str">
        <f t="shared" si="23"/>
        <v/>
      </c>
      <c r="AY14" s="58"/>
      <c r="AZ14" s="65" t="str">
        <f t="shared" si="24"/>
        <v/>
      </c>
      <c r="BA14" s="58"/>
      <c r="BB14" s="65" t="str">
        <f t="shared" si="25"/>
        <v/>
      </c>
      <c r="BC14" s="58"/>
      <c r="BD14" s="65" t="str">
        <f t="shared" si="26"/>
        <v/>
      </c>
      <c r="BE14" s="59"/>
      <c r="BF14" s="67" t="str">
        <f t="shared" si="27"/>
        <v/>
      </c>
      <c r="BG14" s="60"/>
      <c r="BH14" s="65" t="str">
        <f t="shared" si="28"/>
        <v/>
      </c>
      <c r="BI14" s="60"/>
      <c r="BJ14" s="65" t="str">
        <f t="shared" si="29"/>
        <v/>
      </c>
      <c r="BK14" s="60"/>
      <c r="BL14" s="65" t="str">
        <f t="shared" si="30"/>
        <v/>
      </c>
      <c r="BM14" s="60"/>
      <c r="BN14" s="65" t="str">
        <f t="shared" si="31"/>
        <v/>
      </c>
      <c r="BO14" s="60"/>
      <c r="BP14" s="65" t="str">
        <f t="shared" si="32"/>
        <v/>
      </c>
      <c r="BQ14" s="60"/>
      <c r="BR14" s="65" t="str">
        <f t="shared" si="33"/>
        <v/>
      </c>
      <c r="BS14" s="60"/>
      <c r="BT14" s="65" t="str">
        <f t="shared" si="34"/>
        <v/>
      </c>
      <c r="BU14" s="60"/>
      <c r="BV14" s="65" t="str">
        <f t="shared" si="35"/>
        <v/>
      </c>
      <c r="BW14" s="60"/>
      <c r="BX14" s="65" t="str">
        <f t="shared" si="36"/>
        <v/>
      </c>
      <c r="BY14" s="60"/>
      <c r="BZ14" s="67" t="str">
        <f t="shared" si="37"/>
        <v/>
      </c>
      <c r="CA14" s="60"/>
      <c r="CB14" s="67" t="str">
        <f t="shared" si="38"/>
        <v/>
      </c>
      <c r="CC14" s="60"/>
      <c r="CD14" s="67" t="str">
        <f t="shared" si="39"/>
        <v/>
      </c>
      <c r="CE14" s="60"/>
      <c r="CF14" s="67">
        <f t="shared" si="40"/>
        <v>0</v>
      </c>
      <c r="CG14" s="60"/>
      <c r="CH14" s="67" t="str">
        <f t="shared" si="41"/>
        <v/>
      </c>
      <c r="CI14" s="60"/>
      <c r="CJ14" s="67" t="str">
        <f t="shared" si="42"/>
        <v/>
      </c>
      <c r="CK14" s="60"/>
      <c r="CL14" s="64" t="str">
        <f t="shared" si="43"/>
        <v/>
      </c>
      <c r="CM14" s="65" t="e">
        <f t="shared" si="44"/>
        <v>#VALUE!</v>
      </c>
      <c r="CN14" s="62"/>
      <c r="CO14" s="62"/>
      <c r="CP14" s="68"/>
      <c r="CQ14" s="67" t="str">
        <f t="shared" si="45"/>
        <v/>
      </c>
      <c r="CR14" s="68"/>
      <c r="CS14" s="67" t="str">
        <f t="shared" si="46"/>
        <v/>
      </c>
      <c r="CT14" s="75"/>
      <c r="CU14" s="67" t="str">
        <f t="shared" si="47"/>
        <v/>
      </c>
      <c r="CV14" s="68"/>
      <c r="CW14" s="67" t="str">
        <f t="shared" si="48"/>
        <v/>
      </c>
    </row>
    <row r="15" spans="1:101" ht="25.5" customHeight="1" thickBot="1" x14ac:dyDescent="0.45">
      <c r="A15" s="63">
        <v>44542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4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6"/>
        <v>0</v>
      </c>
      <c r="CT15" s="75"/>
      <c r="CU15" s="67">
        <f t="shared" si="47"/>
        <v>0</v>
      </c>
      <c r="CV15" s="68"/>
      <c r="CW15" s="67">
        <f t="shared" si="48"/>
        <v>0</v>
      </c>
    </row>
    <row r="16" spans="1:101" ht="25.5" customHeight="1" thickBot="1" x14ac:dyDescent="0.45">
      <c r="A16" s="63">
        <v>44543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</row>
    <row r="17" spans="1:101" ht="25.5" customHeight="1" thickBot="1" x14ac:dyDescent="0.45">
      <c r="A17" s="63">
        <v>44544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</row>
    <row r="18" spans="1:101" ht="25.5" customHeight="1" thickBot="1" x14ac:dyDescent="0.45">
      <c r="A18" s="63">
        <v>44545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</row>
    <row r="19" spans="1:101" ht="25.5" customHeight="1" thickBot="1" x14ac:dyDescent="0.45">
      <c r="A19" s="63">
        <v>44546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</row>
    <row r="20" spans="1:101" ht="25.5" customHeight="1" thickBot="1" x14ac:dyDescent="0.45">
      <c r="A20" s="63">
        <v>44547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</row>
    <row r="21" spans="1:101" ht="25.5" customHeight="1" thickBot="1" x14ac:dyDescent="0.45">
      <c r="A21" s="63">
        <v>44548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</row>
    <row r="22" spans="1:101" ht="25.5" customHeight="1" thickBot="1" x14ac:dyDescent="0.45">
      <c r="A22" s="63">
        <v>44549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</row>
    <row r="23" spans="1:101" ht="25.5" customHeight="1" thickBot="1" x14ac:dyDescent="0.45">
      <c r="A23" s="63">
        <v>44550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 t="shared" si="44"/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8" sqref="B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-219</v>
      </c>
    </row>
    <row r="19" spans="1:20" x14ac:dyDescent="0.25">
      <c r="A19" s="73">
        <v>44542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44543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44544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44545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44546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44547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44548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44549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2021-12-11T20:11:44Z</dcterms:modified>
</cp:coreProperties>
</file>