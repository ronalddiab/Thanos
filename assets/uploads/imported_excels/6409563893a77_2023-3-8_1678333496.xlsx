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sal.ibrahim\Desktop\DOWNLOAD\"/>
    </mc:Choice>
  </mc:AlternateContent>
  <xr:revisionPtr revIDLastSave="572" documentId="13_ncr:1_{ADDBF9FC-5976-49B1-876C-86167D197705}" xr6:coauthVersionLast="47" xr6:coauthVersionMax="47" xr10:uidLastSave="{AEE15768-5049-4FC6-90C6-F898B7AF2ED5}"/>
  <bookViews>
    <workbookView xWindow="-120" yWindow="-120" windowWidth="29040" windowHeight="15840" tabRatio="531" firstSheet="6" xr2:uid="{00000000-000D-0000-FFFF-FFFF00000000}"/>
  </bookViews>
  <sheets>
    <sheet name="TOTAL" sheetId="17" r:id="rId1"/>
    <sheet name="Submetering " sheetId="26" r:id="rId2"/>
    <sheet name="Daily Utility Report" sheetId="24" r:id="rId3"/>
    <sheet name="All Genset Readings" sheetId="27" r:id="rId4"/>
    <sheet name="Diesel consumption" sheetId="9" r:id="rId5"/>
    <sheet name="Solar" sheetId="11" r:id="rId6"/>
    <sheet name="Water" sheetId="29" r:id="rId7"/>
    <sheet name="FEEDER Consumption " sheetId="12" r:id="rId8"/>
    <sheet name="Room Nights &amp; Food Covers" sheetId="25" r:id="rId9"/>
    <sheet name="LPG Gas" sheetId="21" r:id="rId10"/>
    <sheet name="Powerhouse Daily Performance" sheetId="28" r:id="rId11"/>
    <sheet name="Water Plant Daily Performance" sheetId="30" r:id="rId12"/>
  </sheets>
  <definedNames>
    <definedName name="_xlnm.Print_Area" localSheetId="2">'Daily Utility Report'!$A$1:$K$39</definedName>
    <definedName name="_xlnm.Print_Area" localSheetId="9">'LPG Gas'!$A$1:$E$36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1" l="1"/>
  <c r="F5" i="21"/>
  <c r="M5" i="30"/>
  <c r="M6" i="30"/>
  <c r="M7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5" i="30"/>
  <c r="AS9" i="12"/>
  <c r="AS10" i="12"/>
  <c r="AS11" i="12"/>
  <c r="AS12" i="12"/>
  <c r="AS13" i="12"/>
  <c r="AS14" i="12"/>
  <c r="AS15" i="12"/>
  <c r="AS16" i="12"/>
  <c r="AS17" i="12"/>
  <c r="AS18" i="12"/>
  <c r="AS19" i="12"/>
  <c r="AS20" i="12"/>
  <c r="AS21" i="12"/>
  <c r="AS22" i="12"/>
  <c r="AS23" i="12"/>
  <c r="AS24" i="12"/>
  <c r="AS25" i="12"/>
  <c r="AS26" i="12"/>
  <c r="AS27" i="12"/>
  <c r="AS28" i="12"/>
  <c r="AS29" i="12"/>
  <c r="AS30" i="12"/>
  <c r="AS31" i="12"/>
  <c r="AS32" i="12"/>
  <c r="AS33" i="12"/>
  <c r="AS34" i="12"/>
  <c r="AS35" i="12"/>
  <c r="AS36" i="12"/>
  <c r="AC5" i="28"/>
  <c r="AC6" i="28"/>
  <c r="AC7" i="28"/>
  <c r="AC8" i="28"/>
  <c r="AC9" i="28"/>
  <c r="AC10" i="28"/>
  <c r="AC11" i="28"/>
  <c r="AC12" i="28"/>
  <c r="AC13" i="28"/>
  <c r="AC14" i="28"/>
  <c r="AC15" i="28"/>
  <c r="AC16" i="28"/>
  <c r="AC17" i="28"/>
  <c r="AC18" i="28"/>
  <c r="AC19" i="28"/>
  <c r="AC20" i="28"/>
  <c r="AC21" i="28"/>
  <c r="AC22" i="28"/>
  <c r="AC23" i="28"/>
  <c r="AC24" i="28"/>
  <c r="AC25" i="28"/>
  <c r="AC26" i="28"/>
  <c r="AC27" i="28"/>
  <c r="AC28" i="28"/>
  <c r="AC29" i="28"/>
  <c r="AC30" i="28"/>
  <c r="AC31" i="28"/>
  <c r="AC32" i="28"/>
  <c r="AC33" i="28"/>
  <c r="AC34" i="28"/>
  <c r="AC4" i="28"/>
  <c r="W5" i="28"/>
  <c r="W6" i="28"/>
  <c r="W7" i="28"/>
  <c r="W8" i="28"/>
  <c r="W9" i="28"/>
  <c r="W10" i="28"/>
  <c r="W11" i="28"/>
  <c r="W12" i="28"/>
  <c r="W13" i="28"/>
  <c r="W14" i="28"/>
  <c r="W15" i="28"/>
  <c r="W16" i="28"/>
  <c r="W17" i="28"/>
  <c r="W18" i="28"/>
  <c r="W19" i="28"/>
  <c r="W20" i="28"/>
  <c r="W21" i="28"/>
  <c r="W22" i="28"/>
  <c r="W23" i="28"/>
  <c r="W24" i="28"/>
  <c r="W25" i="28"/>
  <c r="W26" i="28"/>
  <c r="W27" i="28"/>
  <c r="W28" i="28"/>
  <c r="W29" i="28"/>
  <c r="W30" i="28"/>
  <c r="W31" i="28"/>
  <c r="W32" i="28"/>
  <c r="W33" i="28"/>
  <c r="W34" i="28"/>
  <c r="W4" i="28"/>
  <c r="Q5" i="28"/>
  <c r="Q6" i="28"/>
  <c r="Q7" i="28"/>
  <c r="Q8" i="28"/>
  <c r="Q9" i="28"/>
  <c r="Q10" i="28"/>
  <c r="Q11" i="28"/>
  <c r="Q12" i="28"/>
  <c r="Q13" i="28"/>
  <c r="Q14" i="28"/>
  <c r="Q15" i="28"/>
  <c r="Q16" i="28"/>
  <c r="Q17" i="28"/>
  <c r="Q18" i="28"/>
  <c r="Q19" i="28"/>
  <c r="Q20" i="28"/>
  <c r="Q21" i="28"/>
  <c r="Q22" i="28"/>
  <c r="Q23" i="28"/>
  <c r="Q24" i="28"/>
  <c r="Q25" i="28"/>
  <c r="Q26" i="28"/>
  <c r="Q27" i="28"/>
  <c r="Q28" i="28"/>
  <c r="Q29" i="28"/>
  <c r="Q30" i="28"/>
  <c r="Q31" i="28"/>
  <c r="Q32" i="28"/>
  <c r="Q33" i="28"/>
  <c r="Q34" i="28"/>
  <c r="Q4" i="28"/>
  <c r="K5" i="28"/>
  <c r="K6" i="28"/>
  <c r="AI6" i="28" s="1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K27" i="28"/>
  <c r="K28" i="28"/>
  <c r="K29" i="28"/>
  <c r="K30" i="28"/>
  <c r="K31" i="28"/>
  <c r="K32" i="28"/>
  <c r="K33" i="28"/>
  <c r="K34" i="28"/>
  <c r="K4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4" i="28"/>
  <c r="H39" i="24"/>
  <c r="H40" i="24"/>
  <c r="A36" i="21"/>
  <c r="BV8" i="29"/>
  <c r="BL3" i="26" s="1"/>
  <c r="BV7" i="29"/>
  <c r="BL2" i="26" s="1"/>
  <c r="BV37" i="29"/>
  <c r="BL32" i="26" s="1"/>
  <c r="BV36" i="29"/>
  <c r="BL31" i="26" s="1"/>
  <c r="BV35" i="29"/>
  <c r="BL30" i="26" s="1"/>
  <c r="BV34" i="29"/>
  <c r="BL29" i="26" s="1"/>
  <c r="BV33" i="29"/>
  <c r="BL28" i="26" s="1"/>
  <c r="BV32" i="29"/>
  <c r="BL27" i="26" s="1"/>
  <c r="BV31" i="29"/>
  <c r="BL26" i="26" s="1"/>
  <c r="BV30" i="29"/>
  <c r="BL25" i="26" s="1"/>
  <c r="BV29" i="29"/>
  <c r="BL24" i="26" s="1"/>
  <c r="BV28" i="29"/>
  <c r="BL23" i="26" s="1"/>
  <c r="BV27" i="29"/>
  <c r="BL22" i="26" s="1"/>
  <c r="BV26" i="29"/>
  <c r="BL21" i="26" s="1"/>
  <c r="BV25" i="29"/>
  <c r="BL20" i="26" s="1"/>
  <c r="BV24" i="29"/>
  <c r="BL19" i="26" s="1"/>
  <c r="BV23" i="29"/>
  <c r="BL18" i="26" s="1"/>
  <c r="BV22" i="29"/>
  <c r="BL17" i="26" s="1"/>
  <c r="BV21" i="29"/>
  <c r="BL16" i="26" s="1"/>
  <c r="BV20" i="29"/>
  <c r="BL15" i="26" s="1"/>
  <c r="BV19" i="29"/>
  <c r="BL14" i="26" s="1"/>
  <c r="BV18" i="29"/>
  <c r="BL13" i="26" s="1"/>
  <c r="BV17" i="29"/>
  <c r="BL12" i="26" s="1"/>
  <c r="BV16" i="29"/>
  <c r="BL11" i="26" s="1"/>
  <c r="BV15" i="29"/>
  <c r="BL10" i="26" s="1"/>
  <c r="BV14" i="29"/>
  <c r="BL9" i="26" s="1"/>
  <c r="BV13" i="29"/>
  <c r="BL8" i="26" s="1"/>
  <c r="BV12" i="29"/>
  <c r="BL7" i="26" s="1"/>
  <c r="BV11" i="29"/>
  <c r="BL6" i="26" s="1"/>
  <c r="BV10" i="29"/>
  <c r="BL5" i="26" s="1"/>
  <c r="BV9" i="29"/>
  <c r="BL4" i="26" s="1"/>
  <c r="BT37" i="29"/>
  <c r="BK32" i="26" s="1"/>
  <c r="BT36" i="29"/>
  <c r="BK31" i="26" s="1"/>
  <c r="BT35" i="29"/>
  <c r="BK30" i="26" s="1"/>
  <c r="BT34" i="29"/>
  <c r="BK29" i="26" s="1"/>
  <c r="BT33" i="29"/>
  <c r="BK28" i="26" s="1"/>
  <c r="BT32" i="29"/>
  <c r="BK27" i="26" s="1"/>
  <c r="BT31" i="29"/>
  <c r="BK26" i="26" s="1"/>
  <c r="BT30" i="29"/>
  <c r="BK25" i="26" s="1"/>
  <c r="BT29" i="29"/>
  <c r="BK24" i="26" s="1"/>
  <c r="BT28" i="29"/>
  <c r="BK23" i="26" s="1"/>
  <c r="BT27" i="29"/>
  <c r="BK22" i="26" s="1"/>
  <c r="BT26" i="29"/>
  <c r="BK21" i="26" s="1"/>
  <c r="BT25" i="29"/>
  <c r="BK20" i="26" s="1"/>
  <c r="BT24" i="29"/>
  <c r="BK19" i="26" s="1"/>
  <c r="BT23" i="29"/>
  <c r="BK18" i="26" s="1"/>
  <c r="BT22" i="29"/>
  <c r="BK17" i="26" s="1"/>
  <c r="BT21" i="29"/>
  <c r="BK16" i="26" s="1"/>
  <c r="BT20" i="29"/>
  <c r="BK15" i="26" s="1"/>
  <c r="BT19" i="29"/>
  <c r="BK14" i="26" s="1"/>
  <c r="BT18" i="29"/>
  <c r="BK13" i="26" s="1"/>
  <c r="BT17" i="29"/>
  <c r="BK12" i="26" s="1"/>
  <c r="BT16" i="29"/>
  <c r="BK11" i="26" s="1"/>
  <c r="BT15" i="29"/>
  <c r="BK10" i="26" s="1"/>
  <c r="BT14" i="29"/>
  <c r="BK9" i="26" s="1"/>
  <c r="BT13" i="29"/>
  <c r="BK8" i="26" s="1"/>
  <c r="BT12" i="29"/>
  <c r="BK7" i="26" s="1"/>
  <c r="BT11" i="29"/>
  <c r="BK6" i="26" s="1"/>
  <c r="BT10" i="29"/>
  <c r="BK5" i="26" s="1"/>
  <c r="BT9" i="29"/>
  <c r="BK4" i="26" s="1"/>
  <c r="BT8" i="29"/>
  <c r="BK3" i="26" s="1"/>
  <c r="BT7" i="29"/>
  <c r="BK2" i="26" s="1"/>
  <c r="BR37" i="29"/>
  <c r="BJ32" i="26" s="1"/>
  <c r="BR36" i="29"/>
  <c r="BJ31" i="26" s="1"/>
  <c r="BR35" i="29"/>
  <c r="BJ30" i="26" s="1"/>
  <c r="BR34" i="29"/>
  <c r="BJ29" i="26" s="1"/>
  <c r="BR33" i="29"/>
  <c r="BJ28" i="26" s="1"/>
  <c r="BR32" i="29"/>
  <c r="BJ27" i="26" s="1"/>
  <c r="BR31" i="29"/>
  <c r="BJ26" i="26" s="1"/>
  <c r="BR30" i="29"/>
  <c r="BJ25" i="26" s="1"/>
  <c r="BR29" i="29"/>
  <c r="BJ24" i="26" s="1"/>
  <c r="BR28" i="29"/>
  <c r="BJ23" i="26" s="1"/>
  <c r="BR27" i="29"/>
  <c r="BJ22" i="26" s="1"/>
  <c r="BR26" i="29"/>
  <c r="BJ21" i="26" s="1"/>
  <c r="BR25" i="29"/>
  <c r="BJ20" i="26" s="1"/>
  <c r="BR24" i="29"/>
  <c r="BJ19" i="26" s="1"/>
  <c r="BR23" i="29"/>
  <c r="BJ18" i="26" s="1"/>
  <c r="BR22" i="29"/>
  <c r="BJ17" i="26" s="1"/>
  <c r="BR21" i="29"/>
  <c r="BJ16" i="26" s="1"/>
  <c r="BR20" i="29"/>
  <c r="BJ15" i="26" s="1"/>
  <c r="BR19" i="29"/>
  <c r="BJ14" i="26" s="1"/>
  <c r="BR18" i="29"/>
  <c r="BJ13" i="26" s="1"/>
  <c r="BR17" i="29"/>
  <c r="BJ12" i="26" s="1"/>
  <c r="BR16" i="29"/>
  <c r="BJ11" i="26" s="1"/>
  <c r="BR15" i="29"/>
  <c r="BJ10" i="26" s="1"/>
  <c r="BR14" i="29"/>
  <c r="BJ9" i="26" s="1"/>
  <c r="BR13" i="29"/>
  <c r="BJ8" i="26" s="1"/>
  <c r="BR12" i="29"/>
  <c r="BJ7" i="26" s="1"/>
  <c r="BR11" i="29"/>
  <c r="BJ6" i="26" s="1"/>
  <c r="BR10" i="29"/>
  <c r="BJ5" i="26" s="1"/>
  <c r="BR9" i="29"/>
  <c r="BJ4" i="26" s="1"/>
  <c r="BR8" i="29"/>
  <c r="BJ3" i="26" s="1"/>
  <c r="BR7" i="29"/>
  <c r="BJ2" i="26" s="1"/>
  <c r="BP37" i="29"/>
  <c r="BI32" i="26" s="1"/>
  <c r="BP36" i="29"/>
  <c r="BI31" i="26" s="1"/>
  <c r="BP35" i="29"/>
  <c r="BI30" i="26" s="1"/>
  <c r="BP34" i="29"/>
  <c r="BI29" i="26" s="1"/>
  <c r="BP33" i="29"/>
  <c r="BI28" i="26" s="1"/>
  <c r="BP32" i="29"/>
  <c r="BI27" i="26" s="1"/>
  <c r="BP31" i="29"/>
  <c r="BI26" i="26" s="1"/>
  <c r="BP30" i="29"/>
  <c r="BI25" i="26" s="1"/>
  <c r="BP29" i="29"/>
  <c r="BI24" i="26" s="1"/>
  <c r="BP28" i="29"/>
  <c r="BI23" i="26" s="1"/>
  <c r="BP27" i="29"/>
  <c r="BI22" i="26" s="1"/>
  <c r="BP26" i="29"/>
  <c r="BI21" i="26" s="1"/>
  <c r="BP25" i="29"/>
  <c r="BI20" i="26" s="1"/>
  <c r="BP24" i="29"/>
  <c r="BI19" i="26" s="1"/>
  <c r="BP23" i="29"/>
  <c r="BI18" i="26" s="1"/>
  <c r="BP22" i="29"/>
  <c r="BI17" i="26" s="1"/>
  <c r="BP21" i="29"/>
  <c r="BI16" i="26" s="1"/>
  <c r="BP20" i="29"/>
  <c r="BI15" i="26" s="1"/>
  <c r="BP19" i="29"/>
  <c r="BI14" i="26" s="1"/>
  <c r="BP18" i="29"/>
  <c r="BI13" i="26" s="1"/>
  <c r="BP17" i="29"/>
  <c r="BI12" i="26" s="1"/>
  <c r="BP16" i="29"/>
  <c r="BI11" i="26" s="1"/>
  <c r="BP15" i="29"/>
  <c r="BI10" i="26" s="1"/>
  <c r="BP14" i="29"/>
  <c r="BI9" i="26" s="1"/>
  <c r="BP13" i="29"/>
  <c r="BI8" i="26" s="1"/>
  <c r="BP12" i="29"/>
  <c r="BI7" i="26" s="1"/>
  <c r="BP11" i="29"/>
  <c r="BI6" i="26" s="1"/>
  <c r="BP10" i="29"/>
  <c r="BI5" i="26" s="1"/>
  <c r="BP9" i="29"/>
  <c r="BI4" i="26" s="1"/>
  <c r="BP8" i="29"/>
  <c r="BI3" i="26" s="1"/>
  <c r="BP7" i="29"/>
  <c r="BI2" i="26" s="1"/>
  <c r="BL37" i="29"/>
  <c r="BH32" i="26" s="1"/>
  <c r="BL36" i="29"/>
  <c r="BH31" i="26" s="1"/>
  <c r="BL35" i="29"/>
  <c r="BH30" i="26" s="1"/>
  <c r="BL34" i="29"/>
  <c r="BH29" i="26" s="1"/>
  <c r="BL33" i="29"/>
  <c r="BH28" i="26" s="1"/>
  <c r="BL32" i="29"/>
  <c r="BH27" i="26" s="1"/>
  <c r="BL31" i="29"/>
  <c r="BH26" i="26" s="1"/>
  <c r="BL30" i="29"/>
  <c r="BH25" i="26" s="1"/>
  <c r="BL29" i="29"/>
  <c r="BH24" i="26" s="1"/>
  <c r="BL28" i="29"/>
  <c r="BH23" i="26" s="1"/>
  <c r="BL27" i="29"/>
  <c r="BH22" i="26" s="1"/>
  <c r="BL26" i="29"/>
  <c r="BH21" i="26" s="1"/>
  <c r="BL25" i="29"/>
  <c r="BH20" i="26" s="1"/>
  <c r="BL24" i="29"/>
  <c r="BH19" i="26" s="1"/>
  <c r="BL23" i="29"/>
  <c r="BH18" i="26" s="1"/>
  <c r="BL22" i="29"/>
  <c r="BH17" i="26" s="1"/>
  <c r="BL21" i="29"/>
  <c r="BH16" i="26" s="1"/>
  <c r="BL20" i="29"/>
  <c r="BH15" i="26" s="1"/>
  <c r="BL19" i="29"/>
  <c r="BH14" i="26" s="1"/>
  <c r="BL18" i="29"/>
  <c r="BH13" i="26" s="1"/>
  <c r="BL17" i="29"/>
  <c r="BH12" i="26" s="1"/>
  <c r="BL16" i="29"/>
  <c r="BH11" i="26" s="1"/>
  <c r="BL15" i="29"/>
  <c r="BH10" i="26" s="1"/>
  <c r="BL14" i="29"/>
  <c r="BH9" i="26" s="1"/>
  <c r="BL13" i="29"/>
  <c r="BH8" i="26" s="1"/>
  <c r="BL12" i="29"/>
  <c r="BH7" i="26" s="1"/>
  <c r="BL11" i="29"/>
  <c r="BH6" i="26" s="1"/>
  <c r="BL10" i="29"/>
  <c r="BH5" i="26" s="1"/>
  <c r="BL9" i="29"/>
  <c r="BH4" i="26" s="1"/>
  <c r="BL8" i="29"/>
  <c r="BH3" i="26" s="1"/>
  <c r="BL7" i="29"/>
  <c r="BH2" i="26" s="1"/>
  <c r="BJ37" i="29"/>
  <c r="BG32" i="26" s="1"/>
  <c r="BJ36" i="29"/>
  <c r="BG31" i="26" s="1"/>
  <c r="BJ35" i="29"/>
  <c r="BG30" i="26" s="1"/>
  <c r="BJ34" i="29"/>
  <c r="BG29" i="26" s="1"/>
  <c r="BJ33" i="29"/>
  <c r="BG28" i="26" s="1"/>
  <c r="BJ32" i="29"/>
  <c r="BG27" i="26" s="1"/>
  <c r="BJ31" i="29"/>
  <c r="BG26" i="26" s="1"/>
  <c r="BJ30" i="29"/>
  <c r="BG25" i="26" s="1"/>
  <c r="BJ29" i="29"/>
  <c r="BG24" i="26" s="1"/>
  <c r="BJ28" i="29"/>
  <c r="BG23" i="26" s="1"/>
  <c r="BJ27" i="29"/>
  <c r="BG22" i="26" s="1"/>
  <c r="BJ26" i="29"/>
  <c r="BG21" i="26" s="1"/>
  <c r="BJ25" i="29"/>
  <c r="BG20" i="26" s="1"/>
  <c r="BJ24" i="29"/>
  <c r="BG19" i="26" s="1"/>
  <c r="BJ23" i="29"/>
  <c r="BG18" i="26" s="1"/>
  <c r="BJ22" i="29"/>
  <c r="BG17" i="26" s="1"/>
  <c r="BJ21" i="29"/>
  <c r="BG16" i="26" s="1"/>
  <c r="BJ20" i="29"/>
  <c r="BG15" i="26" s="1"/>
  <c r="BJ19" i="29"/>
  <c r="BG14" i="26" s="1"/>
  <c r="BJ18" i="29"/>
  <c r="BG13" i="26" s="1"/>
  <c r="BJ17" i="29"/>
  <c r="BG12" i="26" s="1"/>
  <c r="BJ16" i="29"/>
  <c r="BG11" i="26" s="1"/>
  <c r="BJ15" i="29"/>
  <c r="BG10" i="26" s="1"/>
  <c r="BJ14" i="29"/>
  <c r="BG9" i="26" s="1"/>
  <c r="BJ13" i="29"/>
  <c r="BG8" i="26" s="1"/>
  <c r="BJ12" i="29"/>
  <c r="BG7" i="26" s="1"/>
  <c r="BJ11" i="29"/>
  <c r="BG6" i="26" s="1"/>
  <c r="BJ10" i="29"/>
  <c r="BG5" i="26" s="1"/>
  <c r="BJ9" i="29"/>
  <c r="BG4" i="26" s="1"/>
  <c r="BJ8" i="29"/>
  <c r="BG3" i="26" s="1"/>
  <c r="BJ7" i="29"/>
  <c r="BG2" i="26" s="1"/>
  <c r="BH37" i="29"/>
  <c r="BF32" i="26" s="1"/>
  <c r="BH36" i="29"/>
  <c r="BF31" i="26" s="1"/>
  <c r="BH35" i="29"/>
  <c r="BF30" i="26" s="1"/>
  <c r="BH34" i="29"/>
  <c r="BF29" i="26" s="1"/>
  <c r="BH33" i="29"/>
  <c r="BF28" i="26" s="1"/>
  <c r="BH32" i="29"/>
  <c r="BF27" i="26" s="1"/>
  <c r="BH31" i="29"/>
  <c r="BF26" i="26" s="1"/>
  <c r="BH30" i="29"/>
  <c r="BF25" i="26" s="1"/>
  <c r="BH29" i="29"/>
  <c r="BF24" i="26" s="1"/>
  <c r="BH28" i="29"/>
  <c r="BF23" i="26" s="1"/>
  <c r="BH27" i="29"/>
  <c r="BF22" i="26" s="1"/>
  <c r="BH26" i="29"/>
  <c r="BF21" i="26" s="1"/>
  <c r="BH25" i="29"/>
  <c r="BF20" i="26" s="1"/>
  <c r="BH24" i="29"/>
  <c r="BF19" i="26" s="1"/>
  <c r="BH23" i="29"/>
  <c r="BF18" i="26" s="1"/>
  <c r="BH22" i="29"/>
  <c r="BF17" i="26" s="1"/>
  <c r="BH21" i="29"/>
  <c r="BF16" i="26" s="1"/>
  <c r="BH20" i="29"/>
  <c r="BF15" i="26" s="1"/>
  <c r="BH19" i="29"/>
  <c r="BF14" i="26" s="1"/>
  <c r="BH18" i="29"/>
  <c r="BF13" i="26" s="1"/>
  <c r="BH17" i="29"/>
  <c r="BF12" i="26" s="1"/>
  <c r="BH16" i="29"/>
  <c r="BF11" i="26" s="1"/>
  <c r="BH15" i="29"/>
  <c r="BF10" i="26" s="1"/>
  <c r="BH14" i="29"/>
  <c r="BF9" i="26" s="1"/>
  <c r="BH13" i="29"/>
  <c r="BF8" i="26" s="1"/>
  <c r="BH12" i="29"/>
  <c r="BF7" i="26" s="1"/>
  <c r="BH11" i="29"/>
  <c r="BF6" i="26" s="1"/>
  <c r="BH10" i="29"/>
  <c r="BF5" i="26" s="1"/>
  <c r="BH9" i="29"/>
  <c r="BF4" i="26" s="1"/>
  <c r="BH8" i="29"/>
  <c r="BF3" i="26" s="1"/>
  <c r="BH7" i="29"/>
  <c r="BF2" i="26" s="1"/>
  <c r="BF37" i="29"/>
  <c r="BE32" i="26" s="1"/>
  <c r="BF36" i="29"/>
  <c r="BE31" i="26" s="1"/>
  <c r="BF35" i="29"/>
  <c r="BE30" i="26" s="1"/>
  <c r="BF34" i="29"/>
  <c r="BE29" i="26" s="1"/>
  <c r="BF33" i="29"/>
  <c r="BE28" i="26" s="1"/>
  <c r="BF32" i="29"/>
  <c r="BE27" i="26" s="1"/>
  <c r="BF31" i="29"/>
  <c r="BE26" i="26" s="1"/>
  <c r="BF30" i="29"/>
  <c r="BE25" i="26" s="1"/>
  <c r="BF29" i="29"/>
  <c r="BE24" i="26" s="1"/>
  <c r="BF28" i="29"/>
  <c r="BE23" i="26" s="1"/>
  <c r="BF27" i="29"/>
  <c r="BE22" i="26" s="1"/>
  <c r="BF26" i="29"/>
  <c r="BE21" i="26" s="1"/>
  <c r="BF25" i="29"/>
  <c r="BE20" i="26" s="1"/>
  <c r="BF24" i="29"/>
  <c r="BE19" i="26" s="1"/>
  <c r="BF23" i="29"/>
  <c r="BE18" i="26" s="1"/>
  <c r="BF22" i="29"/>
  <c r="BE17" i="26" s="1"/>
  <c r="BF21" i="29"/>
  <c r="BE16" i="26" s="1"/>
  <c r="BF20" i="29"/>
  <c r="BE15" i="26" s="1"/>
  <c r="BF19" i="29"/>
  <c r="BE14" i="26" s="1"/>
  <c r="BF18" i="29"/>
  <c r="BE13" i="26" s="1"/>
  <c r="BF17" i="29"/>
  <c r="BE12" i="26" s="1"/>
  <c r="BF16" i="29"/>
  <c r="BE11" i="26" s="1"/>
  <c r="BF15" i="29"/>
  <c r="BE10" i="26" s="1"/>
  <c r="BF14" i="29"/>
  <c r="BE9" i="26" s="1"/>
  <c r="BF13" i="29"/>
  <c r="BE8" i="26" s="1"/>
  <c r="BF12" i="29"/>
  <c r="BE7" i="26" s="1"/>
  <c r="BF11" i="29"/>
  <c r="BE6" i="26" s="1"/>
  <c r="BF10" i="29"/>
  <c r="BE5" i="26" s="1"/>
  <c r="BF9" i="29"/>
  <c r="BE4" i="26" s="1"/>
  <c r="BF8" i="29"/>
  <c r="BE3" i="26" s="1"/>
  <c r="BF7" i="29"/>
  <c r="BE2" i="26" s="1"/>
  <c r="BD37" i="29"/>
  <c r="BD32" i="26" s="1"/>
  <c r="BD36" i="29"/>
  <c r="BD31" i="26" s="1"/>
  <c r="BD35" i="29"/>
  <c r="BD30" i="26" s="1"/>
  <c r="BD34" i="29"/>
  <c r="BD29" i="26" s="1"/>
  <c r="BD33" i="29"/>
  <c r="BD28" i="26" s="1"/>
  <c r="BD32" i="29"/>
  <c r="BD27" i="26" s="1"/>
  <c r="BD31" i="29"/>
  <c r="BD26" i="26" s="1"/>
  <c r="BD30" i="29"/>
  <c r="BD25" i="26" s="1"/>
  <c r="BD29" i="29"/>
  <c r="BD24" i="26" s="1"/>
  <c r="BD28" i="29"/>
  <c r="BD23" i="26" s="1"/>
  <c r="BD27" i="29"/>
  <c r="BD22" i="26" s="1"/>
  <c r="BD26" i="29"/>
  <c r="BD21" i="26" s="1"/>
  <c r="BD25" i="29"/>
  <c r="BD20" i="26" s="1"/>
  <c r="BD24" i="29"/>
  <c r="BD19" i="26" s="1"/>
  <c r="BD23" i="29"/>
  <c r="BD18" i="26" s="1"/>
  <c r="BD22" i="29"/>
  <c r="BD17" i="26" s="1"/>
  <c r="BD21" i="29"/>
  <c r="BD16" i="26" s="1"/>
  <c r="BD20" i="29"/>
  <c r="BD15" i="26" s="1"/>
  <c r="BD19" i="29"/>
  <c r="BD14" i="26" s="1"/>
  <c r="BD18" i="29"/>
  <c r="BD13" i="26" s="1"/>
  <c r="BD17" i="29"/>
  <c r="BD12" i="26" s="1"/>
  <c r="BD16" i="29"/>
  <c r="BD11" i="26" s="1"/>
  <c r="BD15" i="29"/>
  <c r="BD10" i="26" s="1"/>
  <c r="BD14" i="29"/>
  <c r="BD9" i="26" s="1"/>
  <c r="BD13" i="29"/>
  <c r="BD8" i="26" s="1"/>
  <c r="BD12" i="29"/>
  <c r="BD7" i="26" s="1"/>
  <c r="BD11" i="29"/>
  <c r="BD6" i="26" s="1"/>
  <c r="BD10" i="29"/>
  <c r="BD5" i="26" s="1"/>
  <c r="BD9" i="29"/>
  <c r="BD4" i="26" s="1"/>
  <c r="BD8" i="29"/>
  <c r="BD3" i="26" s="1"/>
  <c r="BD7" i="29"/>
  <c r="BD2" i="26" s="1"/>
  <c r="BB37" i="29"/>
  <c r="BC32" i="26" s="1"/>
  <c r="BB36" i="29"/>
  <c r="BC31" i="26" s="1"/>
  <c r="BB35" i="29"/>
  <c r="BC30" i="26" s="1"/>
  <c r="BB34" i="29"/>
  <c r="BC29" i="26" s="1"/>
  <c r="BB33" i="29"/>
  <c r="BC28" i="26" s="1"/>
  <c r="BB32" i="29"/>
  <c r="BC27" i="26" s="1"/>
  <c r="BB31" i="29"/>
  <c r="BC26" i="26" s="1"/>
  <c r="BB30" i="29"/>
  <c r="BC25" i="26" s="1"/>
  <c r="BB29" i="29"/>
  <c r="BC24" i="26" s="1"/>
  <c r="BB28" i="29"/>
  <c r="BC23" i="26" s="1"/>
  <c r="BB27" i="29"/>
  <c r="BC22" i="26" s="1"/>
  <c r="BB26" i="29"/>
  <c r="BC21" i="26" s="1"/>
  <c r="BB25" i="29"/>
  <c r="BC20" i="26" s="1"/>
  <c r="BB24" i="29"/>
  <c r="BC19" i="26" s="1"/>
  <c r="BB23" i="29"/>
  <c r="BC18" i="26" s="1"/>
  <c r="BB22" i="29"/>
  <c r="BC17" i="26" s="1"/>
  <c r="BB21" i="29"/>
  <c r="BC16" i="26" s="1"/>
  <c r="BB20" i="29"/>
  <c r="BC15" i="26" s="1"/>
  <c r="BB19" i="29"/>
  <c r="BC14" i="26" s="1"/>
  <c r="BB18" i="29"/>
  <c r="BC13" i="26" s="1"/>
  <c r="BB17" i="29"/>
  <c r="BC12" i="26" s="1"/>
  <c r="BB16" i="29"/>
  <c r="BC11" i="26" s="1"/>
  <c r="BB15" i="29"/>
  <c r="BC10" i="26" s="1"/>
  <c r="BB14" i="29"/>
  <c r="BC9" i="26" s="1"/>
  <c r="BB13" i="29"/>
  <c r="BC8" i="26" s="1"/>
  <c r="BB12" i="29"/>
  <c r="BC7" i="26" s="1"/>
  <c r="BB11" i="29"/>
  <c r="BC6" i="26" s="1"/>
  <c r="BB10" i="29"/>
  <c r="BC5" i="26" s="1"/>
  <c r="BB9" i="29"/>
  <c r="BC4" i="26" s="1"/>
  <c r="BB8" i="29"/>
  <c r="BC3" i="26" s="1"/>
  <c r="BB7" i="29"/>
  <c r="BC2" i="26" s="1"/>
  <c r="AZ37" i="29"/>
  <c r="BB32" i="26" s="1"/>
  <c r="AZ36" i="29"/>
  <c r="BB31" i="26" s="1"/>
  <c r="AZ35" i="29"/>
  <c r="BB30" i="26" s="1"/>
  <c r="AZ34" i="29"/>
  <c r="BB29" i="26" s="1"/>
  <c r="AZ33" i="29"/>
  <c r="BB28" i="26" s="1"/>
  <c r="AZ32" i="29"/>
  <c r="BB27" i="26" s="1"/>
  <c r="AZ31" i="29"/>
  <c r="BB26" i="26" s="1"/>
  <c r="AZ30" i="29"/>
  <c r="BB25" i="26" s="1"/>
  <c r="AZ29" i="29"/>
  <c r="BB24" i="26" s="1"/>
  <c r="AZ28" i="29"/>
  <c r="BB23" i="26" s="1"/>
  <c r="AZ27" i="29"/>
  <c r="BB22" i="26" s="1"/>
  <c r="AZ26" i="29"/>
  <c r="BB21" i="26" s="1"/>
  <c r="AZ25" i="29"/>
  <c r="BB20" i="26" s="1"/>
  <c r="AZ24" i="29"/>
  <c r="BB19" i="26" s="1"/>
  <c r="AZ23" i="29"/>
  <c r="BB18" i="26" s="1"/>
  <c r="AZ22" i="29"/>
  <c r="BB17" i="26" s="1"/>
  <c r="AZ21" i="29"/>
  <c r="BB16" i="26" s="1"/>
  <c r="AZ20" i="29"/>
  <c r="BB15" i="26" s="1"/>
  <c r="AZ19" i="29"/>
  <c r="BB14" i="26" s="1"/>
  <c r="AZ18" i="29"/>
  <c r="BB13" i="26" s="1"/>
  <c r="AZ17" i="29"/>
  <c r="BB12" i="26" s="1"/>
  <c r="AZ16" i="29"/>
  <c r="BB11" i="26" s="1"/>
  <c r="AZ15" i="29"/>
  <c r="BB10" i="26" s="1"/>
  <c r="AZ14" i="29"/>
  <c r="BB9" i="26" s="1"/>
  <c r="AZ13" i="29"/>
  <c r="BB8" i="26" s="1"/>
  <c r="AZ12" i="29"/>
  <c r="BB7" i="26" s="1"/>
  <c r="AZ11" i="29"/>
  <c r="BB6" i="26" s="1"/>
  <c r="AZ10" i="29"/>
  <c r="BB5" i="26" s="1"/>
  <c r="AZ9" i="29"/>
  <c r="BB4" i="26" s="1"/>
  <c r="AZ8" i="29"/>
  <c r="BB3" i="26" s="1"/>
  <c r="AZ7" i="29"/>
  <c r="BB2" i="26" s="1"/>
  <c r="AX37" i="29"/>
  <c r="BA32" i="26" s="1"/>
  <c r="AX36" i="29"/>
  <c r="BA31" i="26" s="1"/>
  <c r="AX35" i="29"/>
  <c r="BA30" i="26" s="1"/>
  <c r="AX34" i="29"/>
  <c r="BA29" i="26" s="1"/>
  <c r="AX33" i="29"/>
  <c r="BA28" i="26" s="1"/>
  <c r="AX32" i="29"/>
  <c r="BA27" i="26" s="1"/>
  <c r="AX31" i="29"/>
  <c r="BA26" i="26" s="1"/>
  <c r="AX30" i="29"/>
  <c r="BA25" i="26" s="1"/>
  <c r="AX29" i="29"/>
  <c r="BA24" i="26" s="1"/>
  <c r="AX28" i="29"/>
  <c r="BA23" i="26" s="1"/>
  <c r="AX27" i="29"/>
  <c r="BA22" i="26" s="1"/>
  <c r="AX26" i="29"/>
  <c r="BA21" i="26" s="1"/>
  <c r="AX25" i="29"/>
  <c r="BA20" i="26" s="1"/>
  <c r="AX24" i="29"/>
  <c r="BA19" i="26" s="1"/>
  <c r="AX23" i="29"/>
  <c r="BA18" i="26" s="1"/>
  <c r="AX22" i="29"/>
  <c r="BA17" i="26" s="1"/>
  <c r="AX21" i="29"/>
  <c r="BA16" i="26" s="1"/>
  <c r="AX20" i="29"/>
  <c r="BA15" i="26" s="1"/>
  <c r="AX19" i="29"/>
  <c r="BA14" i="26" s="1"/>
  <c r="AX18" i="29"/>
  <c r="BA13" i="26" s="1"/>
  <c r="AX17" i="29"/>
  <c r="BA12" i="26" s="1"/>
  <c r="AX16" i="29"/>
  <c r="BA11" i="26" s="1"/>
  <c r="AX15" i="29"/>
  <c r="BA10" i="26" s="1"/>
  <c r="AX14" i="29"/>
  <c r="BA9" i="26" s="1"/>
  <c r="AX13" i="29"/>
  <c r="BA8" i="26" s="1"/>
  <c r="AX12" i="29"/>
  <c r="BA7" i="26" s="1"/>
  <c r="AX11" i="29"/>
  <c r="BA6" i="26" s="1"/>
  <c r="AX10" i="29"/>
  <c r="BA5" i="26" s="1"/>
  <c r="AX9" i="29"/>
  <c r="BA4" i="26" s="1"/>
  <c r="AX8" i="29"/>
  <c r="BA3" i="26" s="1"/>
  <c r="AX7" i="29"/>
  <c r="BA2" i="26" s="1"/>
  <c r="AV37" i="29"/>
  <c r="AV36" i="29"/>
  <c r="AV35" i="29"/>
  <c r="AV34" i="29"/>
  <c r="AV33" i="29"/>
  <c r="AV32" i="29"/>
  <c r="AV31" i="29"/>
  <c r="AV30" i="29"/>
  <c r="AV29" i="29"/>
  <c r="AV28" i="29"/>
  <c r="AV27" i="29"/>
  <c r="AV26" i="29"/>
  <c r="AV25" i="29"/>
  <c r="AV24" i="29"/>
  <c r="AV23" i="29"/>
  <c r="AV22" i="29"/>
  <c r="AV21" i="29"/>
  <c r="AV20" i="29"/>
  <c r="AV19" i="29"/>
  <c r="AV18" i="29"/>
  <c r="AV17" i="29"/>
  <c r="AV16" i="29"/>
  <c r="AV15" i="29"/>
  <c r="AV14" i="29"/>
  <c r="AV13" i="29"/>
  <c r="AV12" i="29"/>
  <c r="AV11" i="29"/>
  <c r="AV10" i="29"/>
  <c r="AV9" i="29"/>
  <c r="AV8" i="29"/>
  <c r="AV7" i="29"/>
  <c r="AT37" i="29"/>
  <c r="AT36" i="29"/>
  <c r="AT35" i="29"/>
  <c r="AT34" i="29"/>
  <c r="AT33" i="29"/>
  <c r="AT32" i="29"/>
  <c r="AT31" i="29"/>
  <c r="AT30" i="29"/>
  <c r="AT29" i="29"/>
  <c r="AT28" i="29"/>
  <c r="AT27" i="29"/>
  <c r="AT26" i="29"/>
  <c r="AT25" i="29"/>
  <c r="AT24" i="29"/>
  <c r="AT23" i="29"/>
  <c r="AT22" i="29"/>
  <c r="AT21" i="29"/>
  <c r="AT20" i="29"/>
  <c r="AT19" i="29"/>
  <c r="AT18" i="29"/>
  <c r="AT17" i="29"/>
  <c r="AT16" i="29"/>
  <c r="AT15" i="29"/>
  <c r="AT14" i="29"/>
  <c r="AT13" i="29"/>
  <c r="AT12" i="29"/>
  <c r="AT11" i="29"/>
  <c r="AT10" i="29"/>
  <c r="AT9" i="29"/>
  <c r="AT8" i="29"/>
  <c r="AT7" i="29"/>
  <c r="AR37" i="29"/>
  <c r="AX32" i="26" s="1"/>
  <c r="AR36" i="29"/>
  <c r="AX31" i="26" s="1"/>
  <c r="AR35" i="29"/>
  <c r="AX30" i="26" s="1"/>
  <c r="AR34" i="29"/>
  <c r="AX29" i="26" s="1"/>
  <c r="AR33" i="29"/>
  <c r="AX28" i="26" s="1"/>
  <c r="AR32" i="29"/>
  <c r="AX27" i="26" s="1"/>
  <c r="AR31" i="29"/>
  <c r="AX26" i="26" s="1"/>
  <c r="AR30" i="29"/>
  <c r="AX25" i="26" s="1"/>
  <c r="AR29" i="29"/>
  <c r="AX24" i="26" s="1"/>
  <c r="AR28" i="29"/>
  <c r="AX23" i="26" s="1"/>
  <c r="AR27" i="29"/>
  <c r="AX22" i="26" s="1"/>
  <c r="AR26" i="29"/>
  <c r="AX21" i="26" s="1"/>
  <c r="AR25" i="29"/>
  <c r="AX20" i="26" s="1"/>
  <c r="AR24" i="29"/>
  <c r="AX19" i="26" s="1"/>
  <c r="AR23" i="29"/>
  <c r="AX18" i="26" s="1"/>
  <c r="AR22" i="29"/>
  <c r="AX17" i="26" s="1"/>
  <c r="AR21" i="29"/>
  <c r="AX16" i="26" s="1"/>
  <c r="AR20" i="29"/>
  <c r="AX15" i="26" s="1"/>
  <c r="AR19" i="29"/>
  <c r="AX14" i="26" s="1"/>
  <c r="AR18" i="29"/>
  <c r="AX13" i="26" s="1"/>
  <c r="AR17" i="29"/>
  <c r="AX12" i="26" s="1"/>
  <c r="AR16" i="29"/>
  <c r="AX11" i="26" s="1"/>
  <c r="AR15" i="29"/>
  <c r="AX10" i="26" s="1"/>
  <c r="AR14" i="29"/>
  <c r="AX9" i="26" s="1"/>
  <c r="AR13" i="29"/>
  <c r="AX8" i="26" s="1"/>
  <c r="AR12" i="29"/>
  <c r="AX7" i="26" s="1"/>
  <c r="AR11" i="29"/>
  <c r="AX6" i="26" s="1"/>
  <c r="AR10" i="29"/>
  <c r="AX5" i="26" s="1"/>
  <c r="AR9" i="29"/>
  <c r="AX4" i="26" s="1"/>
  <c r="AR8" i="29"/>
  <c r="AX3" i="26" s="1"/>
  <c r="AR7" i="29"/>
  <c r="AX2" i="26" s="1"/>
  <c r="AP37" i="29"/>
  <c r="AW32" i="26" s="1"/>
  <c r="AP36" i="29"/>
  <c r="AW31" i="26" s="1"/>
  <c r="AP35" i="29"/>
  <c r="AW30" i="26" s="1"/>
  <c r="AP34" i="29"/>
  <c r="AW29" i="26" s="1"/>
  <c r="AP33" i="29"/>
  <c r="AW28" i="26" s="1"/>
  <c r="AP32" i="29"/>
  <c r="AW27" i="26" s="1"/>
  <c r="AP31" i="29"/>
  <c r="AW26" i="26" s="1"/>
  <c r="AP30" i="29"/>
  <c r="AW25" i="26" s="1"/>
  <c r="AP29" i="29"/>
  <c r="AW24" i="26" s="1"/>
  <c r="AP28" i="29"/>
  <c r="AW23" i="26" s="1"/>
  <c r="AP27" i="29"/>
  <c r="AW22" i="26" s="1"/>
  <c r="AP26" i="29"/>
  <c r="AW21" i="26" s="1"/>
  <c r="AP25" i="29"/>
  <c r="AW20" i="26" s="1"/>
  <c r="AP24" i="29"/>
  <c r="AW19" i="26" s="1"/>
  <c r="AP23" i="29"/>
  <c r="AW18" i="26" s="1"/>
  <c r="AP22" i="29"/>
  <c r="AW17" i="26" s="1"/>
  <c r="AP21" i="29"/>
  <c r="AW16" i="26" s="1"/>
  <c r="AP20" i="29"/>
  <c r="AW15" i="26" s="1"/>
  <c r="AP19" i="29"/>
  <c r="AW14" i="26" s="1"/>
  <c r="AP18" i="29"/>
  <c r="AW13" i="26" s="1"/>
  <c r="AP17" i="29"/>
  <c r="AW12" i="26" s="1"/>
  <c r="AP16" i="29"/>
  <c r="AW11" i="26" s="1"/>
  <c r="AP15" i="29"/>
  <c r="AW10" i="26" s="1"/>
  <c r="AP14" i="29"/>
  <c r="AW9" i="26" s="1"/>
  <c r="AP13" i="29"/>
  <c r="AW8" i="26" s="1"/>
  <c r="AP12" i="29"/>
  <c r="AW7" i="26" s="1"/>
  <c r="AP11" i="29"/>
  <c r="AW6" i="26" s="1"/>
  <c r="AP10" i="29"/>
  <c r="AW5" i="26" s="1"/>
  <c r="AP9" i="29"/>
  <c r="AW4" i="26" s="1"/>
  <c r="AP8" i="29"/>
  <c r="AW3" i="26" s="1"/>
  <c r="AP7" i="29"/>
  <c r="AW2" i="26" s="1"/>
  <c r="AN37" i="29"/>
  <c r="AV32" i="26" s="1"/>
  <c r="AN36" i="29"/>
  <c r="AV31" i="26" s="1"/>
  <c r="AN35" i="29"/>
  <c r="AV30" i="26" s="1"/>
  <c r="AN34" i="29"/>
  <c r="AV29" i="26" s="1"/>
  <c r="AN33" i="29"/>
  <c r="AV28" i="26" s="1"/>
  <c r="AN32" i="29"/>
  <c r="AV27" i="26" s="1"/>
  <c r="AN31" i="29"/>
  <c r="AV26" i="26" s="1"/>
  <c r="AN30" i="29"/>
  <c r="AV25" i="26" s="1"/>
  <c r="AN29" i="29"/>
  <c r="AV24" i="26" s="1"/>
  <c r="AN28" i="29"/>
  <c r="AV23" i="26" s="1"/>
  <c r="AN27" i="29"/>
  <c r="AV22" i="26" s="1"/>
  <c r="AN26" i="29"/>
  <c r="AV21" i="26" s="1"/>
  <c r="AN25" i="29"/>
  <c r="AV20" i="26" s="1"/>
  <c r="AN24" i="29"/>
  <c r="AV19" i="26" s="1"/>
  <c r="AN23" i="29"/>
  <c r="AV18" i="26" s="1"/>
  <c r="AN22" i="29"/>
  <c r="AV17" i="26" s="1"/>
  <c r="AN21" i="29"/>
  <c r="AV16" i="26" s="1"/>
  <c r="AN20" i="29"/>
  <c r="AV15" i="26" s="1"/>
  <c r="AN19" i="29"/>
  <c r="AV14" i="26" s="1"/>
  <c r="AN18" i="29"/>
  <c r="AV13" i="26" s="1"/>
  <c r="AN17" i="29"/>
  <c r="AV12" i="26" s="1"/>
  <c r="AN16" i="29"/>
  <c r="AV11" i="26" s="1"/>
  <c r="AN15" i="29"/>
  <c r="AV10" i="26" s="1"/>
  <c r="AN14" i="29"/>
  <c r="AV9" i="26" s="1"/>
  <c r="AN13" i="29"/>
  <c r="AV8" i="26" s="1"/>
  <c r="AN12" i="29"/>
  <c r="AV7" i="26" s="1"/>
  <c r="AN11" i="29"/>
  <c r="AV6" i="26" s="1"/>
  <c r="AN10" i="29"/>
  <c r="AV5" i="26" s="1"/>
  <c r="AN9" i="29"/>
  <c r="AV4" i="26" s="1"/>
  <c r="AN8" i="29"/>
  <c r="AV3" i="26" s="1"/>
  <c r="AN7" i="29"/>
  <c r="AV2" i="26" s="1"/>
  <c r="AL37" i="29"/>
  <c r="AU32" i="26" s="1"/>
  <c r="AL36" i="29"/>
  <c r="AU31" i="26" s="1"/>
  <c r="AL35" i="29"/>
  <c r="AU30" i="26" s="1"/>
  <c r="AL34" i="29"/>
  <c r="AU29" i="26" s="1"/>
  <c r="AL33" i="29"/>
  <c r="AU28" i="26" s="1"/>
  <c r="AL32" i="29"/>
  <c r="AU27" i="26" s="1"/>
  <c r="AL31" i="29"/>
  <c r="AU26" i="26" s="1"/>
  <c r="AL30" i="29"/>
  <c r="AU25" i="26" s="1"/>
  <c r="AL29" i="29"/>
  <c r="AU24" i="26" s="1"/>
  <c r="AL28" i="29"/>
  <c r="AU23" i="26" s="1"/>
  <c r="AL27" i="29"/>
  <c r="AU22" i="26" s="1"/>
  <c r="AL26" i="29"/>
  <c r="AU21" i="26" s="1"/>
  <c r="AL25" i="29"/>
  <c r="AU20" i="26" s="1"/>
  <c r="AL24" i="29"/>
  <c r="AU19" i="26" s="1"/>
  <c r="AL23" i="29"/>
  <c r="AU18" i="26" s="1"/>
  <c r="AL22" i="29"/>
  <c r="AU17" i="26" s="1"/>
  <c r="AL21" i="29"/>
  <c r="AU16" i="26" s="1"/>
  <c r="AL20" i="29"/>
  <c r="AU15" i="26" s="1"/>
  <c r="AL19" i="29"/>
  <c r="AU14" i="26" s="1"/>
  <c r="AL18" i="29"/>
  <c r="AU13" i="26" s="1"/>
  <c r="AL17" i="29"/>
  <c r="AU12" i="26" s="1"/>
  <c r="AL16" i="29"/>
  <c r="AU11" i="26" s="1"/>
  <c r="AL15" i="29"/>
  <c r="AU10" i="26" s="1"/>
  <c r="AL14" i="29"/>
  <c r="AU9" i="26" s="1"/>
  <c r="AL13" i="29"/>
  <c r="AU8" i="26" s="1"/>
  <c r="AL12" i="29"/>
  <c r="AU7" i="26" s="1"/>
  <c r="AL11" i="29"/>
  <c r="AU6" i="26" s="1"/>
  <c r="AL10" i="29"/>
  <c r="AU5" i="26" s="1"/>
  <c r="AL9" i="29"/>
  <c r="AU4" i="26" s="1"/>
  <c r="AL8" i="29"/>
  <c r="AU3" i="26" s="1"/>
  <c r="AL7" i="29"/>
  <c r="AU2" i="26" s="1"/>
  <c r="AJ37" i="29"/>
  <c r="AT32" i="26" s="1"/>
  <c r="AJ36" i="29"/>
  <c r="AT31" i="26" s="1"/>
  <c r="AJ35" i="29"/>
  <c r="AT30" i="26" s="1"/>
  <c r="AJ34" i="29"/>
  <c r="AT29" i="26" s="1"/>
  <c r="AJ33" i="29"/>
  <c r="AT28" i="26" s="1"/>
  <c r="AJ32" i="29"/>
  <c r="AT27" i="26" s="1"/>
  <c r="AJ31" i="29"/>
  <c r="AT26" i="26" s="1"/>
  <c r="AJ30" i="29"/>
  <c r="AT25" i="26" s="1"/>
  <c r="AJ29" i="29"/>
  <c r="AT24" i="26" s="1"/>
  <c r="AJ28" i="29"/>
  <c r="AT23" i="26" s="1"/>
  <c r="AJ27" i="29"/>
  <c r="AT22" i="26" s="1"/>
  <c r="AJ26" i="29"/>
  <c r="AT21" i="26" s="1"/>
  <c r="AJ25" i="29"/>
  <c r="AT20" i="26" s="1"/>
  <c r="AJ24" i="29"/>
  <c r="AT19" i="26" s="1"/>
  <c r="AJ23" i="29"/>
  <c r="AT18" i="26" s="1"/>
  <c r="AJ22" i="29"/>
  <c r="AT17" i="26" s="1"/>
  <c r="AJ21" i="29"/>
  <c r="AT16" i="26" s="1"/>
  <c r="AJ20" i="29"/>
  <c r="AT15" i="26" s="1"/>
  <c r="AJ19" i="29"/>
  <c r="AT14" i="26" s="1"/>
  <c r="AJ18" i="29"/>
  <c r="AT13" i="26" s="1"/>
  <c r="AJ17" i="29"/>
  <c r="AT12" i="26" s="1"/>
  <c r="AJ16" i="29"/>
  <c r="AT11" i="26" s="1"/>
  <c r="AJ15" i="29"/>
  <c r="AT10" i="26" s="1"/>
  <c r="AJ14" i="29"/>
  <c r="AT9" i="26" s="1"/>
  <c r="AJ13" i="29"/>
  <c r="AT8" i="26" s="1"/>
  <c r="AJ12" i="29"/>
  <c r="AT7" i="26" s="1"/>
  <c r="AJ11" i="29"/>
  <c r="AT6" i="26" s="1"/>
  <c r="AJ10" i="29"/>
  <c r="AT5" i="26" s="1"/>
  <c r="AJ9" i="29"/>
  <c r="AT4" i="26" s="1"/>
  <c r="AJ8" i="29"/>
  <c r="AT3" i="26" s="1"/>
  <c r="AJ7" i="29"/>
  <c r="AT2" i="26" s="1"/>
  <c r="AH37" i="29"/>
  <c r="AS32" i="26" s="1"/>
  <c r="AH36" i="29"/>
  <c r="AS31" i="26" s="1"/>
  <c r="AH35" i="29"/>
  <c r="AS30" i="26" s="1"/>
  <c r="AH34" i="29"/>
  <c r="AS29" i="26" s="1"/>
  <c r="AH33" i="29"/>
  <c r="AS28" i="26" s="1"/>
  <c r="AH32" i="29"/>
  <c r="AS27" i="26" s="1"/>
  <c r="AH31" i="29"/>
  <c r="AS26" i="26" s="1"/>
  <c r="AH30" i="29"/>
  <c r="AS25" i="26" s="1"/>
  <c r="AH29" i="29"/>
  <c r="AS24" i="26" s="1"/>
  <c r="AH28" i="29"/>
  <c r="AS23" i="26" s="1"/>
  <c r="AH27" i="29"/>
  <c r="AS22" i="26" s="1"/>
  <c r="AH26" i="29"/>
  <c r="AS21" i="26" s="1"/>
  <c r="AH25" i="29"/>
  <c r="AS20" i="26" s="1"/>
  <c r="AH24" i="29"/>
  <c r="AS19" i="26" s="1"/>
  <c r="AH23" i="29"/>
  <c r="AS18" i="26" s="1"/>
  <c r="AH22" i="29"/>
  <c r="AS17" i="26" s="1"/>
  <c r="AH21" i="29"/>
  <c r="AS16" i="26" s="1"/>
  <c r="AH20" i="29"/>
  <c r="AS15" i="26" s="1"/>
  <c r="AH19" i="29"/>
  <c r="AS14" i="26" s="1"/>
  <c r="AH18" i="29"/>
  <c r="AS13" i="26" s="1"/>
  <c r="AH17" i="29"/>
  <c r="AS12" i="26" s="1"/>
  <c r="AH16" i="29"/>
  <c r="AS11" i="26" s="1"/>
  <c r="AH15" i="29"/>
  <c r="AS10" i="26" s="1"/>
  <c r="AH14" i="29"/>
  <c r="AS9" i="26" s="1"/>
  <c r="AH13" i="29"/>
  <c r="AS8" i="26" s="1"/>
  <c r="AH12" i="29"/>
  <c r="AS7" i="26" s="1"/>
  <c r="AH11" i="29"/>
  <c r="AS6" i="26" s="1"/>
  <c r="AH10" i="29"/>
  <c r="AS5" i="26" s="1"/>
  <c r="AH9" i="29"/>
  <c r="AS4" i="26" s="1"/>
  <c r="AH8" i="29"/>
  <c r="AS3" i="26" s="1"/>
  <c r="AH7" i="29"/>
  <c r="AS2" i="26" s="1"/>
  <c r="AD7" i="29"/>
  <c r="AR2" i="26" s="1"/>
  <c r="BG36" i="12"/>
  <c r="BG35" i="12"/>
  <c r="BG34" i="12"/>
  <c r="BG33" i="12"/>
  <c r="BG32" i="12"/>
  <c r="BG31" i="12"/>
  <c r="BG30" i="12"/>
  <c r="BG29" i="12"/>
  <c r="BG28" i="12"/>
  <c r="BG27" i="12"/>
  <c r="BG26" i="12"/>
  <c r="BG25" i="12"/>
  <c r="BG24" i="12"/>
  <c r="BG23" i="12"/>
  <c r="BG22" i="12"/>
  <c r="BG21" i="12"/>
  <c r="BG20" i="12"/>
  <c r="BG19" i="12"/>
  <c r="BG18" i="12"/>
  <c r="BG17" i="12"/>
  <c r="BG16" i="12"/>
  <c r="BG15" i="12"/>
  <c r="BG14" i="12"/>
  <c r="BG13" i="12"/>
  <c r="BG12" i="12"/>
  <c r="BG11" i="12"/>
  <c r="BG10" i="12"/>
  <c r="BG9" i="12"/>
  <c r="BG8" i="12"/>
  <c r="BG7" i="12"/>
  <c r="BG6" i="12"/>
  <c r="BC36" i="12"/>
  <c r="BC35" i="12"/>
  <c r="BC34" i="12"/>
  <c r="BC33" i="12"/>
  <c r="BC32" i="12"/>
  <c r="BC31" i="12"/>
  <c r="BC30" i="12"/>
  <c r="BC29" i="12"/>
  <c r="BC28" i="12"/>
  <c r="BC27" i="12"/>
  <c r="BC26" i="12"/>
  <c r="BC25" i="12"/>
  <c r="BC24" i="12"/>
  <c r="BC23" i="12"/>
  <c r="BC22" i="12"/>
  <c r="BC21" i="12"/>
  <c r="BC20" i="12"/>
  <c r="BC19" i="12"/>
  <c r="BC18" i="12"/>
  <c r="BC17" i="12"/>
  <c r="BC16" i="12"/>
  <c r="BC15" i="12"/>
  <c r="BC14" i="12"/>
  <c r="BC13" i="12"/>
  <c r="BC12" i="12"/>
  <c r="BC11" i="12"/>
  <c r="BC10" i="12"/>
  <c r="BC9" i="12"/>
  <c r="BC8" i="12"/>
  <c r="BC7" i="12"/>
  <c r="BC6" i="12"/>
  <c r="AY36" i="12"/>
  <c r="AY35" i="12"/>
  <c r="AY34" i="12"/>
  <c r="AY33" i="12"/>
  <c r="AY32" i="12"/>
  <c r="AY31" i="12"/>
  <c r="AY30" i="12"/>
  <c r="AY29" i="12"/>
  <c r="AY28" i="12"/>
  <c r="AY27" i="12"/>
  <c r="AY26" i="12"/>
  <c r="AY25" i="12"/>
  <c r="AY24" i="12"/>
  <c r="AY23" i="12"/>
  <c r="AY22" i="12"/>
  <c r="AY21" i="12"/>
  <c r="AY20" i="12"/>
  <c r="AY19" i="12"/>
  <c r="AY18" i="12"/>
  <c r="AY17" i="12"/>
  <c r="AY16" i="12"/>
  <c r="AY15" i="12"/>
  <c r="AY14" i="12"/>
  <c r="AY13" i="12"/>
  <c r="AY12" i="12"/>
  <c r="AY11" i="12"/>
  <c r="AY10" i="12"/>
  <c r="AY9" i="12"/>
  <c r="AY8" i="12"/>
  <c r="AY7" i="12"/>
  <c r="AY6" i="12"/>
  <c r="AU36" i="12"/>
  <c r="AU35" i="12"/>
  <c r="AU34" i="12"/>
  <c r="AU33" i="12"/>
  <c r="AU32" i="12"/>
  <c r="AU31" i="12"/>
  <c r="AU30" i="12"/>
  <c r="AU29" i="12"/>
  <c r="AU28" i="12"/>
  <c r="AU27" i="12"/>
  <c r="AU26" i="12"/>
  <c r="AU25" i="12"/>
  <c r="AU24" i="12"/>
  <c r="AU23" i="12"/>
  <c r="AU22" i="12"/>
  <c r="AU21" i="12"/>
  <c r="AU20" i="12"/>
  <c r="AU19" i="12"/>
  <c r="AU18" i="12"/>
  <c r="AU17" i="12"/>
  <c r="AU16" i="12"/>
  <c r="AU15" i="12"/>
  <c r="AU14" i="12"/>
  <c r="AU13" i="12"/>
  <c r="AU12" i="12"/>
  <c r="AU11" i="12"/>
  <c r="AU10" i="12"/>
  <c r="AU9" i="12"/>
  <c r="AU8" i="12"/>
  <c r="AU7" i="12"/>
  <c r="AU6" i="12"/>
  <c r="AQ36" i="12"/>
  <c r="AQ35" i="12"/>
  <c r="AQ34" i="12"/>
  <c r="AQ33" i="12"/>
  <c r="AQ32" i="12"/>
  <c r="AQ31" i="12"/>
  <c r="AQ30" i="12"/>
  <c r="AQ29" i="12"/>
  <c r="AQ28" i="12"/>
  <c r="AQ27" i="12"/>
  <c r="AQ26" i="12"/>
  <c r="AQ25" i="12"/>
  <c r="AQ24" i="12"/>
  <c r="AQ23" i="12"/>
  <c r="AQ22" i="12"/>
  <c r="AQ21" i="12"/>
  <c r="AQ20" i="12"/>
  <c r="AQ19" i="12"/>
  <c r="AQ18" i="12"/>
  <c r="AQ17" i="12"/>
  <c r="AQ16" i="12"/>
  <c r="AQ15" i="12"/>
  <c r="AQ14" i="12"/>
  <c r="AQ13" i="12"/>
  <c r="AQ12" i="12"/>
  <c r="AQ11" i="12"/>
  <c r="AQ10" i="12"/>
  <c r="AQ9" i="12"/>
  <c r="AQ8" i="12"/>
  <c r="AQ7" i="12"/>
  <c r="AQ6" i="12"/>
  <c r="AM7" i="12"/>
  <c r="AC3" i="26" s="1"/>
  <c r="AM8" i="12"/>
  <c r="AC4" i="26" s="1"/>
  <c r="AM9" i="12"/>
  <c r="AC5" i="26" s="1"/>
  <c r="AM10" i="12"/>
  <c r="AC6" i="26" s="1"/>
  <c r="AM11" i="12"/>
  <c r="AC7" i="26" s="1"/>
  <c r="AM12" i="12"/>
  <c r="AC8" i="26" s="1"/>
  <c r="AM13" i="12"/>
  <c r="AC9" i="26" s="1"/>
  <c r="AM14" i="12"/>
  <c r="AC10" i="26" s="1"/>
  <c r="AM15" i="12"/>
  <c r="AC11" i="26" s="1"/>
  <c r="AM16" i="12"/>
  <c r="AC12" i="26" s="1"/>
  <c r="AM17" i="12"/>
  <c r="AC13" i="26" s="1"/>
  <c r="AM18" i="12"/>
  <c r="AC14" i="26" s="1"/>
  <c r="AM19" i="12"/>
  <c r="AC15" i="26" s="1"/>
  <c r="AM20" i="12"/>
  <c r="AC16" i="26" s="1"/>
  <c r="AM21" i="12"/>
  <c r="AC17" i="26" s="1"/>
  <c r="AM22" i="12"/>
  <c r="AC18" i="26" s="1"/>
  <c r="AM23" i="12"/>
  <c r="AC19" i="26" s="1"/>
  <c r="AM24" i="12"/>
  <c r="AC20" i="26" s="1"/>
  <c r="AM25" i="12"/>
  <c r="AC21" i="26" s="1"/>
  <c r="AM26" i="12"/>
  <c r="AC22" i="26" s="1"/>
  <c r="AM27" i="12"/>
  <c r="AC23" i="26" s="1"/>
  <c r="AM28" i="12"/>
  <c r="AC24" i="26" s="1"/>
  <c r="AM29" i="12"/>
  <c r="AC25" i="26" s="1"/>
  <c r="AM30" i="12"/>
  <c r="AC26" i="26" s="1"/>
  <c r="AM31" i="12"/>
  <c r="AC27" i="26" s="1"/>
  <c r="AM32" i="12"/>
  <c r="AC28" i="26" s="1"/>
  <c r="AM33" i="12"/>
  <c r="AC29" i="26" s="1"/>
  <c r="AM34" i="12"/>
  <c r="AC30" i="26" s="1"/>
  <c r="AM35" i="12"/>
  <c r="AC31" i="26" s="1"/>
  <c r="AM36" i="12"/>
  <c r="AC32" i="26" s="1"/>
  <c r="AM6" i="12"/>
  <c r="AC2" i="26" s="1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C36" i="12"/>
  <c r="AC35" i="12"/>
  <c r="AC34" i="12"/>
  <c r="AC33" i="12"/>
  <c r="AC32" i="12"/>
  <c r="AC31" i="12"/>
  <c r="AC30" i="12"/>
  <c r="AC29" i="12"/>
  <c r="AC28" i="12"/>
  <c r="AC27" i="12"/>
  <c r="AC26" i="12"/>
  <c r="AC25" i="12"/>
  <c r="AC24" i="12"/>
  <c r="AC23" i="12"/>
  <c r="AC22" i="12"/>
  <c r="AC21" i="12"/>
  <c r="AC20" i="12"/>
  <c r="AC19" i="12"/>
  <c r="AC18" i="12"/>
  <c r="AC17" i="12"/>
  <c r="AC16" i="12"/>
  <c r="AC15" i="12"/>
  <c r="AC14" i="12"/>
  <c r="AC13" i="12"/>
  <c r="AC12" i="12"/>
  <c r="AC11" i="12"/>
  <c r="AC10" i="12"/>
  <c r="AC9" i="12"/>
  <c r="AC8" i="12"/>
  <c r="AC7" i="12"/>
  <c r="AC6" i="12"/>
  <c r="Y36" i="12"/>
  <c r="Y35" i="12"/>
  <c r="Y34" i="12"/>
  <c r="Y33" i="12"/>
  <c r="Y32" i="12"/>
  <c r="Y31" i="12"/>
  <c r="Y30" i="12"/>
  <c r="Y29" i="12"/>
  <c r="Y28" i="12"/>
  <c r="Y27" i="12"/>
  <c r="Y26" i="12"/>
  <c r="Y25" i="12"/>
  <c r="Y24" i="12"/>
  <c r="Y23" i="12"/>
  <c r="Y22" i="12"/>
  <c r="Y21" i="12"/>
  <c r="Y20" i="12"/>
  <c r="Y19" i="12"/>
  <c r="Y18" i="12"/>
  <c r="Y17" i="12"/>
  <c r="Y16" i="12"/>
  <c r="Y15" i="12"/>
  <c r="Y14" i="12"/>
  <c r="Y13" i="12"/>
  <c r="Y12" i="12"/>
  <c r="Y11" i="12"/>
  <c r="Y10" i="12"/>
  <c r="Y9" i="12"/>
  <c r="Y8" i="12"/>
  <c r="Y7" i="12"/>
  <c r="Y6" i="12"/>
  <c r="U36" i="12"/>
  <c r="U35" i="12"/>
  <c r="U34" i="12"/>
  <c r="U33" i="12"/>
  <c r="U32" i="12"/>
  <c r="U31" i="12"/>
  <c r="U30" i="12"/>
  <c r="U29" i="12"/>
  <c r="U28" i="12"/>
  <c r="U27" i="12"/>
  <c r="U26" i="12"/>
  <c r="U25" i="12"/>
  <c r="U24" i="12"/>
  <c r="U23" i="12"/>
  <c r="U22" i="12"/>
  <c r="U21" i="12"/>
  <c r="U20" i="12"/>
  <c r="U19" i="12"/>
  <c r="U18" i="12"/>
  <c r="U17" i="12"/>
  <c r="U16" i="12"/>
  <c r="U15" i="12"/>
  <c r="U14" i="12"/>
  <c r="U13" i="12"/>
  <c r="U12" i="12"/>
  <c r="U11" i="12"/>
  <c r="U10" i="12"/>
  <c r="U9" i="12"/>
  <c r="U8" i="12"/>
  <c r="U7" i="12"/>
  <c r="U6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M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6" i="12"/>
  <c r="BE36" i="12"/>
  <c r="BE35" i="12"/>
  <c r="BE34" i="12"/>
  <c r="BE33" i="12"/>
  <c r="BE32" i="12"/>
  <c r="BE31" i="12"/>
  <c r="BE30" i="12"/>
  <c r="BE29" i="12"/>
  <c r="BE28" i="12"/>
  <c r="BE27" i="12"/>
  <c r="BE26" i="12"/>
  <c r="BE25" i="12"/>
  <c r="BE24" i="12"/>
  <c r="BE23" i="12"/>
  <c r="BE22" i="12"/>
  <c r="BE21" i="12"/>
  <c r="BE20" i="12"/>
  <c r="BE19" i="12"/>
  <c r="BE18" i="12"/>
  <c r="BE17" i="12"/>
  <c r="BE16" i="12"/>
  <c r="BE15" i="12"/>
  <c r="BE14" i="12"/>
  <c r="BE13" i="12"/>
  <c r="BE12" i="12"/>
  <c r="BE11" i="12"/>
  <c r="BE10" i="12"/>
  <c r="BE9" i="12"/>
  <c r="BE8" i="12"/>
  <c r="BE7" i="12"/>
  <c r="BE6" i="12"/>
  <c r="BA36" i="12"/>
  <c r="BA35" i="12"/>
  <c r="BA34" i="12"/>
  <c r="BA33" i="12"/>
  <c r="BA32" i="12"/>
  <c r="BA31" i="12"/>
  <c r="BA30" i="12"/>
  <c r="BA29" i="12"/>
  <c r="BA28" i="12"/>
  <c r="BA27" i="12"/>
  <c r="BA26" i="12"/>
  <c r="BA25" i="12"/>
  <c r="BA24" i="12"/>
  <c r="BA23" i="12"/>
  <c r="BA22" i="12"/>
  <c r="BA21" i="12"/>
  <c r="BA20" i="12"/>
  <c r="BA19" i="12"/>
  <c r="BA18" i="12"/>
  <c r="BA17" i="12"/>
  <c r="BA16" i="12"/>
  <c r="BA15" i="12"/>
  <c r="BA14" i="12"/>
  <c r="BA13" i="12"/>
  <c r="BA12" i="12"/>
  <c r="BA11" i="12"/>
  <c r="BA10" i="12"/>
  <c r="BA9" i="12"/>
  <c r="BA8" i="12"/>
  <c r="BA7" i="12"/>
  <c r="BA6" i="12"/>
  <c r="AW36" i="12"/>
  <c r="AW35" i="12"/>
  <c r="AW34" i="12"/>
  <c r="AW33" i="12"/>
  <c r="AW32" i="12"/>
  <c r="AW31" i="12"/>
  <c r="AW30" i="12"/>
  <c r="AW29" i="12"/>
  <c r="AW28" i="12"/>
  <c r="AW27" i="12"/>
  <c r="AW26" i="12"/>
  <c r="AW25" i="12"/>
  <c r="AW24" i="12"/>
  <c r="AW23" i="12"/>
  <c r="AW22" i="12"/>
  <c r="AW21" i="12"/>
  <c r="AW20" i="12"/>
  <c r="AW19" i="12"/>
  <c r="AW18" i="12"/>
  <c r="AW17" i="12"/>
  <c r="AW16" i="12"/>
  <c r="AW15" i="12"/>
  <c r="AW14" i="12"/>
  <c r="AW13" i="12"/>
  <c r="AW12" i="12"/>
  <c r="AW11" i="12"/>
  <c r="AW10" i="12"/>
  <c r="AW9" i="12"/>
  <c r="AW8" i="12"/>
  <c r="AW7" i="12"/>
  <c r="AW6" i="12"/>
  <c r="AS8" i="12"/>
  <c r="AS7" i="12"/>
  <c r="AS6" i="12"/>
  <c r="AO36" i="12"/>
  <c r="AD32" i="26" s="1"/>
  <c r="AO35" i="12"/>
  <c r="AD31" i="26" s="1"/>
  <c r="AO34" i="12"/>
  <c r="AD30" i="26" s="1"/>
  <c r="AO33" i="12"/>
  <c r="AD29" i="26" s="1"/>
  <c r="AO32" i="12"/>
  <c r="AD28" i="26" s="1"/>
  <c r="AO31" i="12"/>
  <c r="AD27" i="26" s="1"/>
  <c r="AO30" i="12"/>
  <c r="AD26" i="26" s="1"/>
  <c r="AO29" i="12"/>
  <c r="AD25" i="26" s="1"/>
  <c r="AO28" i="12"/>
  <c r="AD24" i="26" s="1"/>
  <c r="AO27" i="12"/>
  <c r="AD23" i="26" s="1"/>
  <c r="AO26" i="12"/>
  <c r="AD22" i="26" s="1"/>
  <c r="AO25" i="12"/>
  <c r="AD21" i="26" s="1"/>
  <c r="AO24" i="12"/>
  <c r="AD20" i="26" s="1"/>
  <c r="AO23" i="12"/>
  <c r="AD19" i="26" s="1"/>
  <c r="AO22" i="12"/>
  <c r="AD18" i="26" s="1"/>
  <c r="AO21" i="12"/>
  <c r="AD17" i="26" s="1"/>
  <c r="AO20" i="12"/>
  <c r="AD16" i="26" s="1"/>
  <c r="AO19" i="12"/>
  <c r="AD15" i="26" s="1"/>
  <c r="AO18" i="12"/>
  <c r="AD14" i="26" s="1"/>
  <c r="AO17" i="12"/>
  <c r="AD13" i="26" s="1"/>
  <c r="AO16" i="12"/>
  <c r="AD12" i="26" s="1"/>
  <c r="AO15" i="12"/>
  <c r="AD11" i="26" s="1"/>
  <c r="AO14" i="12"/>
  <c r="AD10" i="26" s="1"/>
  <c r="AO13" i="12"/>
  <c r="AD9" i="26" s="1"/>
  <c r="AO12" i="12"/>
  <c r="AD8" i="26" s="1"/>
  <c r="AO11" i="12"/>
  <c r="AD7" i="26" s="1"/>
  <c r="AO10" i="12"/>
  <c r="AD6" i="26" s="1"/>
  <c r="AO9" i="12"/>
  <c r="AD5" i="26" s="1"/>
  <c r="AO8" i="12"/>
  <c r="AD4" i="26" s="1"/>
  <c r="AO7" i="12"/>
  <c r="AD3" i="26" s="1"/>
  <c r="AO6" i="12"/>
  <c r="AD2" i="26" s="1"/>
  <c r="AK36" i="12"/>
  <c r="AB32" i="26" s="1"/>
  <c r="AK35" i="12"/>
  <c r="AB31" i="26" s="1"/>
  <c r="AK34" i="12"/>
  <c r="AB30" i="26" s="1"/>
  <c r="AK33" i="12"/>
  <c r="AB29" i="26" s="1"/>
  <c r="AK32" i="12"/>
  <c r="AB28" i="26" s="1"/>
  <c r="AK31" i="12"/>
  <c r="AB27" i="26" s="1"/>
  <c r="AK30" i="12"/>
  <c r="AB26" i="26" s="1"/>
  <c r="AK29" i="12"/>
  <c r="AB25" i="26" s="1"/>
  <c r="AK28" i="12"/>
  <c r="AB24" i="26" s="1"/>
  <c r="AK27" i="12"/>
  <c r="AB23" i="26" s="1"/>
  <c r="AK26" i="12"/>
  <c r="AB22" i="26" s="1"/>
  <c r="AK25" i="12"/>
  <c r="AB21" i="26" s="1"/>
  <c r="AK24" i="12"/>
  <c r="AB20" i="26" s="1"/>
  <c r="AK23" i="12"/>
  <c r="AB19" i="26" s="1"/>
  <c r="AK22" i="12"/>
  <c r="AB18" i="26" s="1"/>
  <c r="AK21" i="12"/>
  <c r="AB17" i="26" s="1"/>
  <c r="AK20" i="12"/>
  <c r="AB16" i="26" s="1"/>
  <c r="AK19" i="12"/>
  <c r="AB15" i="26" s="1"/>
  <c r="AK18" i="12"/>
  <c r="AB14" i="26" s="1"/>
  <c r="AK17" i="12"/>
  <c r="AB13" i="26" s="1"/>
  <c r="AK16" i="12"/>
  <c r="AB12" i="26" s="1"/>
  <c r="AK15" i="12"/>
  <c r="AB11" i="26" s="1"/>
  <c r="AK14" i="12"/>
  <c r="AB10" i="26" s="1"/>
  <c r="AK13" i="12"/>
  <c r="AB9" i="26" s="1"/>
  <c r="AK12" i="12"/>
  <c r="AB8" i="26" s="1"/>
  <c r="AK11" i="12"/>
  <c r="AB7" i="26" s="1"/>
  <c r="AK10" i="12"/>
  <c r="AB6" i="26" s="1"/>
  <c r="AK9" i="12"/>
  <c r="AB5" i="26" s="1"/>
  <c r="AK8" i="12"/>
  <c r="AB4" i="26" s="1"/>
  <c r="AK7" i="12"/>
  <c r="AB3" i="26" s="1"/>
  <c r="AK6" i="12"/>
  <c r="AB2" i="26" s="1"/>
  <c r="AI36" i="12"/>
  <c r="AI35" i="12"/>
  <c r="AI34" i="12"/>
  <c r="AI33" i="12"/>
  <c r="AI32" i="12"/>
  <c r="AI31" i="12"/>
  <c r="AI30" i="12"/>
  <c r="AI29" i="12"/>
  <c r="AI28" i="12"/>
  <c r="AI27" i="12"/>
  <c r="AI26" i="12"/>
  <c r="AI25" i="12"/>
  <c r="AI24" i="12"/>
  <c r="AI23" i="12"/>
  <c r="AI22" i="12"/>
  <c r="AI21" i="12"/>
  <c r="AI20" i="12"/>
  <c r="AI19" i="12"/>
  <c r="AI18" i="12"/>
  <c r="AI17" i="12"/>
  <c r="AI16" i="12"/>
  <c r="AI15" i="12"/>
  <c r="AI14" i="12"/>
  <c r="AI13" i="12"/>
  <c r="AI12" i="12"/>
  <c r="AI11" i="12"/>
  <c r="AI10" i="12"/>
  <c r="AI9" i="12"/>
  <c r="AI8" i="12"/>
  <c r="AI7" i="12"/>
  <c r="AI6" i="12"/>
  <c r="AE36" i="12"/>
  <c r="AE35" i="12"/>
  <c r="AE34" i="12"/>
  <c r="AE33" i="12"/>
  <c r="AE32" i="12"/>
  <c r="AE31" i="12"/>
  <c r="AE30" i="12"/>
  <c r="AE29" i="12"/>
  <c r="AE28" i="12"/>
  <c r="AE27" i="12"/>
  <c r="AE26" i="12"/>
  <c r="AE25" i="12"/>
  <c r="AE24" i="12"/>
  <c r="AE23" i="12"/>
  <c r="AE22" i="12"/>
  <c r="AE21" i="12"/>
  <c r="AE20" i="12"/>
  <c r="AE19" i="12"/>
  <c r="AE18" i="12"/>
  <c r="AE17" i="12"/>
  <c r="AE16" i="12"/>
  <c r="AE15" i="12"/>
  <c r="AE14" i="12"/>
  <c r="AE13" i="12"/>
  <c r="AE12" i="12"/>
  <c r="AE11" i="12"/>
  <c r="AE10" i="12"/>
  <c r="AE9" i="12"/>
  <c r="AE8" i="12"/>
  <c r="AE7" i="12"/>
  <c r="AE6" i="12"/>
  <c r="AA36" i="12"/>
  <c r="AA35" i="12"/>
  <c r="AA34" i="12"/>
  <c r="AA33" i="12"/>
  <c r="AA32" i="12"/>
  <c r="AA31" i="12"/>
  <c r="AA30" i="12"/>
  <c r="AA29" i="12"/>
  <c r="AA28" i="12"/>
  <c r="AA27" i="12"/>
  <c r="AA26" i="12"/>
  <c r="AA25" i="12"/>
  <c r="AA24" i="12"/>
  <c r="AA23" i="12"/>
  <c r="AA22" i="12"/>
  <c r="AA21" i="12"/>
  <c r="AA20" i="12"/>
  <c r="AA19" i="12"/>
  <c r="AA18" i="12"/>
  <c r="AA17" i="12"/>
  <c r="AA16" i="12"/>
  <c r="AA15" i="12"/>
  <c r="AA14" i="12"/>
  <c r="AA13" i="12"/>
  <c r="AA12" i="12"/>
  <c r="AA11" i="12"/>
  <c r="AA10" i="12"/>
  <c r="AA9" i="12"/>
  <c r="AA8" i="12"/>
  <c r="AA7" i="12"/>
  <c r="AA6" i="12"/>
  <c r="W36" i="12"/>
  <c r="W35" i="12"/>
  <c r="W34" i="12"/>
  <c r="W33" i="12"/>
  <c r="W32" i="12"/>
  <c r="W31" i="12"/>
  <c r="W30" i="12"/>
  <c r="W29" i="12"/>
  <c r="W28" i="12"/>
  <c r="W27" i="12"/>
  <c r="W26" i="12"/>
  <c r="W25" i="12"/>
  <c r="W24" i="12"/>
  <c r="W23" i="12"/>
  <c r="W22" i="12"/>
  <c r="W21" i="12"/>
  <c r="W20" i="12"/>
  <c r="W19" i="12"/>
  <c r="W18" i="12"/>
  <c r="W17" i="12"/>
  <c r="W16" i="12"/>
  <c r="W15" i="12"/>
  <c r="W14" i="12"/>
  <c r="W13" i="12"/>
  <c r="W12" i="12"/>
  <c r="W11" i="12"/>
  <c r="W10" i="12"/>
  <c r="W9" i="12"/>
  <c r="W8" i="12"/>
  <c r="W7" i="12"/>
  <c r="W6" i="12"/>
  <c r="S36" i="12"/>
  <c r="S35" i="12"/>
  <c r="S34" i="12"/>
  <c r="S33" i="12"/>
  <c r="S32" i="12"/>
  <c r="S31" i="12"/>
  <c r="S30" i="12"/>
  <c r="S29" i="12"/>
  <c r="S28" i="12"/>
  <c r="S27" i="12"/>
  <c r="S26" i="12"/>
  <c r="S25" i="12"/>
  <c r="S24" i="12"/>
  <c r="S23" i="12"/>
  <c r="S22" i="12"/>
  <c r="S21" i="12"/>
  <c r="S20" i="12"/>
  <c r="S19" i="12"/>
  <c r="S18" i="12"/>
  <c r="S17" i="12"/>
  <c r="S16" i="12"/>
  <c r="S15" i="12"/>
  <c r="S14" i="12"/>
  <c r="S13" i="12"/>
  <c r="S12" i="12"/>
  <c r="S11" i="12"/>
  <c r="S10" i="12"/>
  <c r="S9" i="12"/>
  <c r="S8" i="12"/>
  <c r="S7" i="12"/>
  <c r="S6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6" i="12"/>
  <c r="A7" i="9"/>
  <c r="A5" i="11" s="1"/>
  <c r="A6" i="29" s="1"/>
  <c r="A5" i="12" s="1"/>
  <c r="AZ2" i="26" l="1"/>
  <c r="AY2" i="26"/>
  <c r="AZ3" i="26"/>
  <c r="AY3" i="26"/>
  <c r="AZ4" i="26"/>
  <c r="AY4" i="26"/>
  <c r="AZ5" i="26"/>
  <c r="AY5" i="26"/>
  <c r="AZ6" i="26"/>
  <c r="AY6" i="26"/>
  <c r="AZ7" i="26"/>
  <c r="AY7" i="26"/>
  <c r="AZ8" i="26"/>
  <c r="AY8" i="26"/>
  <c r="AZ9" i="26"/>
  <c r="AY9" i="26"/>
  <c r="AZ10" i="26"/>
  <c r="AY10" i="26"/>
  <c r="AZ11" i="26"/>
  <c r="AY11" i="26"/>
  <c r="AZ12" i="26"/>
  <c r="AY12" i="26"/>
  <c r="AZ13" i="26"/>
  <c r="AY13" i="26"/>
  <c r="AZ14" i="26"/>
  <c r="AY14" i="26"/>
  <c r="AZ15" i="26"/>
  <c r="AY15" i="26"/>
  <c r="AZ16" i="26"/>
  <c r="AY16" i="26"/>
  <c r="AZ17" i="26"/>
  <c r="AY17" i="26"/>
  <c r="AZ18" i="26"/>
  <c r="AY18" i="26"/>
  <c r="AZ19" i="26"/>
  <c r="AY19" i="26"/>
  <c r="AZ20" i="26"/>
  <c r="AY20" i="26"/>
  <c r="AZ21" i="26"/>
  <c r="AY21" i="26"/>
  <c r="AZ22" i="26"/>
  <c r="AY22" i="26"/>
  <c r="AZ23" i="26"/>
  <c r="AY23" i="26"/>
  <c r="AZ24" i="26"/>
  <c r="AY24" i="26"/>
  <c r="AZ25" i="26"/>
  <c r="AY25" i="26"/>
  <c r="AZ26" i="26"/>
  <c r="AY26" i="26"/>
  <c r="AZ27" i="26"/>
  <c r="AY27" i="26"/>
  <c r="AZ28" i="26"/>
  <c r="AY28" i="26"/>
  <c r="AZ29" i="26"/>
  <c r="AY29" i="26"/>
  <c r="AZ30" i="26"/>
  <c r="AY30" i="26"/>
  <c r="AZ31" i="26"/>
  <c r="AY31" i="26"/>
  <c r="AZ32" i="26"/>
  <c r="AY32" i="26"/>
  <c r="AB6" i="29"/>
  <c r="E40" i="24" l="1"/>
  <c r="C6" i="11"/>
  <c r="C7" i="11"/>
  <c r="E9" i="24" s="1"/>
  <c r="C8" i="11"/>
  <c r="E10" i="24" s="1"/>
  <c r="C9" i="11"/>
  <c r="E11" i="24" s="1"/>
  <c r="C10" i="11"/>
  <c r="E12" i="24" s="1"/>
  <c r="C11" i="11"/>
  <c r="E13" i="24" s="1"/>
  <c r="C12" i="11"/>
  <c r="E14" i="24" s="1"/>
  <c r="C13" i="11"/>
  <c r="E15" i="24" s="1"/>
  <c r="C14" i="11"/>
  <c r="E16" i="24" s="1"/>
  <c r="C15" i="11"/>
  <c r="E17" i="24" s="1"/>
  <c r="C16" i="11"/>
  <c r="E18" i="24" s="1"/>
  <c r="C17" i="11"/>
  <c r="E19" i="24" s="1"/>
  <c r="C18" i="11"/>
  <c r="E20" i="24" s="1"/>
  <c r="C19" i="11"/>
  <c r="E21" i="24" s="1"/>
  <c r="C20" i="11"/>
  <c r="E22" i="24" s="1"/>
  <c r="C21" i="11"/>
  <c r="E23" i="24" s="1"/>
  <c r="C22" i="11"/>
  <c r="E24" i="24" s="1"/>
  <c r="C23" i="11"/>
  <c r="E25" i="24" s="1"/>
  <c r="C24" i="11"/>
  <c r="E26" i="24" s="1"/>
  <c r="C25" i="11"/>
  <c r="E27" i="24" s="1"/>
  <c r="C26" i="11"/>
  <c r="E28" i="24" s="1"/>
  <c r="C27" i="11"/>
  <c r="E29" i="24" s="1"/>
  <c r="C28" i="11"/>
  <c r="E30" i="24" s="1"/>
  <c r="C29" i="11"/>
  <c r="E31" i="24" s="1"/>
  <c r="C30" i="11"/>
  <c r="E32" i="24" s="1"/>
  <c r="C31" i="11"/>
  <c r="E33" i="24" s="1"/>
  <c r="C32" i="11"/>
  <c r="E34" i="24" s="1"/>
  <c r="C33" i="11"/>
  <c r="E35" i="24" s="1"/>
  <c r="C34" i="11"/>
  <c r="E36" i="24" s="1"/>
  <c r="C35" i="11"/>
  <c r="E37" i="24" s="1"/>
  <c r="C36" i="11"/>
  <c r="E38" i="24" s="1"/>
  <c r="M9" i="9"/>
  <c r="K9" i="24" s="1"/>
  <c r="M10" i="9"/>
  <c r="K10" i="24" s="1"/>
  <c r="M11" i="9"/>
  <c r="K11" i="24" s="1"/>
  <c r="M12" i="9"/>
  <c r="K12" i="24" s="1"/>
  <c r="M13" i="9"/>
  <c r="K13" i="24" s="1"/>
  <c r="M14" i="9"/>
  <c r="K14" i="24" s="1"/>
  <c r="M15" i="9"/>
  <c r="K15" i="24" s="1"/>
  <c r="M16" i="9"/>
  <c r="K16" i="24" s="1"/>
  <c r="M17" i="9"/>
  <c r="K17" i="24" s="1"/>
  <c r="M18" i="9"/>
  <c r="K18" i="24" s="1"/>
  <c r="M19" i="9"/>
  <c r="K19" i="24" s="1"/>
  <c r="M20" i="9"/>
  <c r="K20" i="24" s="1"/>
  <c r="M21" i="9"/>
  <c r="K21" i="24" s="1"/>
  <c r="M22" i="9"/>
  <c r="K22" i="24" s="1"/>
  <c r="M23" i="9"/>
  <c r="K23" i="24" s="1"/>
  <c r="M24" i="9"/>
  <c r="K24" i="24" s="1"/>
  <c r="M25" i="9"/>
  <c r="K25" i="24" s="1"/>
  <c r="M26" i="9"/>
  <c r="K26" i="24" s="1"/>
  <c r="M27" i="9"/>
  <c r="K27" i="24" s="1"/>
  <c r="M28" i="9"/>
  <c r="K28" i="24" s="1"/>
  <c r="M29" i="9"/>
  <c r="K29" i="24" s="1"/>
  <c r="M30" i="9"/>
  <c r="K30" i="24" s="1"/>
  <c r="M31" i="9"/>
  <c r="K31" i="24" s="1"/>
  <c r="M32" i="9"/>
  <c r="K32" i="24" s="1"/>
  <c r="M33" i="9"/>
  <c r="K33" i="24" s="1"/>
  <c r="M34" i="9"/>
  <c r="K34" i="24" s="1"/>
  <c r="M35" i="9"/>
  <c r="K35" i="24" s="1"/>
  <c r="M36" i="9"/>
  <c r="K36" i="24" s="1"/>
  <c r="M37" i="9"/>
  <c r="K37" i="24" s="1"/>
  <c r="M38" i="9"/>
  <c r="K38" i="24" s="1"/>
  <c r="M8" i="9"/>
  <c r="K8" i="24" s="1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8" i="9"/>
  <c r="H8" i="9" l="1"/>
  <c r="I8" i="24"/>
  <c r="I2" i="17"/>
  <c r="I38" i="24"/>
  <c r="I32" i="17"/>
  <c r="I37" i="24"/>
  <c r="I31" i="17"/>
  <c r="I36" i="24"/>
  <c r="I30" i="17"/>
  <c r="I35" i="24"/>
  <c r="I29" i="17"/>
  <c r="I34" i="24"/>
  <c r="I28" i="17"/>
  <c r="I33" i="24"/>
  <c r="I27" i="17"/>
  <c r="I32" i="24"/>
  <c r="I26" i="17"/>
  <c r="I31" i="24"/>
  <c r="I25" i="17"/>
  <c r="I30" i="24"/>
  <c r="I24" i="17"/>
  <c r="I29" i="24"/>
  <c r="I23" i="17"/>
  <c r="I28" i="24"/>
  <c r="I22" i="17"/>
  <c r="I27" i="24"/>
  <c r="I21" i="17"/>
  <c r="I26" i="24"/>
  <c r="I20" i="17"/>
  <c r="I25" i="24"/>
  <c r="I19" i="17"/>
  <c r="I24" i="24"/>
  <c r="I18" i="17"/>
  <c r="I23" i="24"/>
  <c r="I17" i="17"/>
  <c r="I22" i="24"/>
  <c r="I16" i="17"/>
  <c r="I21" i="24"/>
  <c r="I15" i="17"/>
  <c r="I20" i="24"/>
  <c r="I14" i="17"/>
  <c r="I19" i="24"/>
  <c r="I13" i="17"/>
  <c r="I18" i="24"/>
  <c r="I12" i="17"/>
  <c r="I17" i="24"/>
  <c r="I11" i="17"/>
  <c r="I16" i="24"/>
  <c r="I10" i="17"/>
  <c r="I15" i="24"/>
  <c r="I9" i="17"/>
  <c r="I14" i="24"/>
  <c r="I8" i="17"/>
  <c r="I13" i="24"/>
  <c r="I7" i="17"/>
  <c r="I12" i="24"/>
  <c r="I6" i="17"/>
  <c r="I11" i="24"/>
  <c r="I5" i="17"/>
  <c r="I10" i="24"/>
  <c r="I4" i="17"/>
  <c r="I9" i="24"/>
  <c r="I3" i="17"/>
  <c r="J8" i="24"/>
  <c r="P2" i="17"/>
  <c r="J38" i="24"/>
  <c r="P32" i="17"/>
  <c r="J37" i="24"/>
  <c r="P31" i="17"/>
  <c r="J36" i="24"/>
  <c r="P30" i="17"/>
  <c r="J35" i="24"/>
  <c r="P29" i="17"/>
  <c r="J34" i="24"/>
  <c r="P28" i="17"/>
  <c r="J33" i="24"/>
  <c r="P27" i="17"/>
  <c r="J32" i="24"/>
  <c r="P26" i="17"/>
  <c r="J31" i="24"/>
  <c r="P25" i="17"/>
  <c r="J30" i="24"/>
  <c r="P24" i="17"/>
  <c r="J29" i="24"/>
  <c r="P23" i="17"/>
  <c r="J28" i="24"/>
  <c r="P22" i="17"/>
  <c r="J27" i="24"/>
  <c r="P21" i="17"/>
  <c r="J26" i="24"/>
  <c r="P20" i="17"/>
  <c r="J25" i="24"/>
  <c r="P19" i="17"/>
  <c r="J24" i="24"/>
  <c r="P18" i="17"/>
  <c r="J23" i="24"/>
  <c r="P17" i="17"/>
  <c r="J22" i="24"/>
  <c r="P16" i="17"/>
  <c r="J21" i="24"/>
  <c r="P15" i="17"/>
  <c r="J20" i="24"/>
  <c r="P14" i="17"/>
  <c r="J19" i="24"/>
  <c r="P13" i="17"/>
  <c r="J18" i="24"/>
  <c r="P12" i="17"/>
  <c r="J17" i="24"/>
  <c r="P11" i="17"/>
  <c r="J16" i="24"/>
  <c r="P10" i="17"/>
  <c r="J15" i="24"/>
  <c r="P9" i="17"/>
  <c r="J14" i="24"/>
  <c r="P8" i="17"/>
  <c r="J13" i="24"/>
  <c r="P7" i="17"/>
  <c r="J12" i="24"/>
  <c r="P6" i="17"/>
  <c r="J11" i="24"/>
  <c r="P5" i="17"/>
  <c r="J10" i="24"/>
  <c r="P4" i="17"/>
  <c r="J9" i="24"/>
  <c r="P3" i="17"/>
  <c r="E8" i="24"/>
  <c r="E39" i="24" s="1"/>
  <c r="C37" i="11"/>
  <c r="J8" i="9"/>
  <c r="K8" i="9" s="1"/>
  <c r="C5" i="28"/>
  <c r="F3" i="26" s="1"/>
  <c r="D5" i="28"/>
  <c r="C6" i="28"/>
  <c r="F4" i="26" s="1"/>
  <c r="D6" i="28"/>
  <c r="C7" i="28"/>
  <c r="F5" i="26" s="1"/>
  <c r="D7" i="28"/>
  <c r="C8" i="28"/>
  <c r="F6" i="26" s="1"/>
  <c r="D8" i="28"/>
  <c r="C9" i="28"/>
  <c r="D9" i="28"/>
  <c r="C10" i="28"/>
  <c r="D10" i="28"/>
  <c r="C11" i="28"/>
  <c r="F9" i="26" s="1"/>
  <c r="D11" i="28"/>
  <c r="C12" i="28"/>
  <c r="D12" i="28"/>
  <c r="C13" i="28"/>
  <c r="F11" i="26" s="1"/>
  <c r="D13" i="28"/>
  <c r="C14" i="28"/>
  <c r="F12" i="26" s="1"/>
  <c r="D14" i="28"/>
  <c r="C15" i="28"/>
  <c r="F13" i="26" s="1"/>
  <c r="D15" i="28"/>
  <c r="C16" i="28"/>
  <c r="F14" i="26" s="1"/>
  <c r="D16" i="28"/>
  <c r="C17" i="28"/>
  <c r="F15" i="26" s="1"/>
  <c r="D17" i="28"/>
  <c r="C18" i="28"/>
  <c r="D18" i="28"/>
  <c r="C19" i="28"/>
  <c r="F17" i="26" s="1"/>
  <c r="D19" i="28"/>
  <c r="C20" i="28"/>
  <c r="D20" i="28"/>
  <c r="C21" i="28"/>
  <c r="F19" i="26" s="1"/>
  <c r="D21" i="28"/>
  <c r="C22" i="28"/>
  <c r="F20" i="26" s="1"/>
  <c r="D22" i="28"/>
  <c r="C23" i="28"/>
  <c r="D23" i="28"/>
  <c r="C24" i="28"/>
  <c r="F22" i="26" s="1"/>
  <c r="D24" i="28"/>
  <c r="C25" i="28"/>
  <c r="F23" i="26" s="1"/>
  <c r="D25" i="28"/>
  <c r="C26" i="28"/>
  <c r="F24" i="26" s="1"/>
  <c r="D26" i="28"/>
  <c r="C27" i="28"/>
  <c r="F25" i="26" s="1"/>
  <c r="D27" i="28"/>
  <c r="C28" i="28"/>
  <c r="D28" i="28"/>
  <c r="C29" i="28"/>
  <c r="D29" i="28"/>
  <c r="C30" i="28"/>
  <c r="D30" i="28"/>
  <c r="C31" i="28"/>
  <c r="F29" i="26" s="1"/>
  <c r="D31" i="28"/>
  <c r="C32" i="28"/>
  <c r="D32" i="28"/>
  <c r="C33" i="28"/>
  <c r="D33" i="28"/>
  <c r="C34" i="28"/>
  <c r="F32" i="26" s="1"/>
  <c r="D34" i="28"/>
  <c r="D4" i="28"/>
  <c r="C4" i="28"/>
  <c r="F2" i="26" s="1"/>
  <c r="AA5" i="28"/>
  <c r="J3" i="26" s="1"/>
  <c r="AB5" i="28"/>
  <c r="AA6" i="28"/>
  <c r="J4" i="26" s="1"/>
  <c r="AB6" i="28"/>
  <c r="AA7" i="28"/>
  <c r="J5" i="26" s="1"/>
  <c r="AB7" i="28"/>
  <c r="AA8" i="28"/>
  <c r="J6" i="26" s="1"/>
  <c r="AB8" i="28"/>
  <c r="AA9" i="28"/>
  <c r="J7" i="26" s="1"/>
  <c r="AB9" i="28"/>
  <c r="AA10" i="28"/>
  <c r="J8" i="26" s="1"/>
  <c r="AB10" i="28"/>
  <c r="AA11" i="28"/>
  <c r="J9" i="26" s="1"/>
  <c r="AB11" i="28"/>
  <c r="AA12" i="28"/>
  <c r="J10" i="26" s="1"/>
  <c r="AB12" i="28"/>
  <c r="AA13" i="28"/>
  <c r="J11" i="26" s="1"/>
  <c r="AB13" i="28"/>
  <c r="AA14" i="28"/>
  <c r="J12" i="26" s="1"/>
  <c r="AB14" i="28"/>
  <c r="AA15" i="28"/>
  <c r="J13" i="26" s="1"/>
  <c r="AB15" i="28"/>
  <c r="AA16" i="28"/>
  <c r="J14" i="26" s="1"/>
  <c r="AB16" i="28"/>
  <c r="AA17" i="28"/>
  <c r="J15" i="26" s="1"/>
  <c r="AB17" i="28"/>
  <c r="AA18" i="28"/>
  <c r="J16" i="26" s="1"/>
  <c r="AB18" i="28"/>
  <c r="AA19" i="28"/>
  <c r="AB19" i="28"/>
  <c r="AA20" i="28"/>
  <c r="J18" i="26" s="1"/>
  <c r="AB20" i="28"/>
  <c r="AA21" i="28"/>
  <c r="J19" i="26" s="1"/>
  <c r="AB21" i="28"/>
  <c r="AE21" i="28"/>
  <c r="AA22" i="28"/>
  <c r="J20" i="26" s="1"/>
  <c r="AB22" i="28"/>
  <c r="AA23" i="28"/>
  <c r="J21" i="26" s="1"/>
  <c r="AB23" i="28"/>
  <c r="AA24" i="28"/>
  <c r="J22" i="26" s="1"/>
  <c r="AB24" i="28"/>
  <c r="AA25" i="28"/>
  <c r="J23" i="26" s="1"/>
  <c r="AB25" i="28"/>
  <c r="AA26" i="28"/>
  <c r="J24" i="26" s="1"/>
  <c r="AB26" i="28"/>
  <c r="AA27" i="28"/>
  <c r="AB27" i="28"/>
  <c r="AA28" i="28"/>
  <c r="J26" i="26" s="1"/>
  <c r="AB28" i="28"/>
  <c r="AA29" i="28"/>
  <c r="J27" i="26" s="1"/>
  <c r="AB29" i="28"/>
  <c r="AE29" i="28"/>
  <c r="AA30" i="28"/>
  <c r="J28" i="26" s="1"/>
  <c r="AB30" i="28"/>
  <c r="AA31" i="28"/>
  <c r="J29" i="26" s="1"/>
  <c r="AB31" i="28"/>
  <c r="AA32" i="28"/>
  <c r="J30" i="26" s="1"/>
  <c r="AB32" i="28"/>
  <c r="AD32" i="28" s="1"/>
  <c r="AA33" i="28"/>
  <c r="AB33" i="28"/>
  <c r="AA34" i="28"/>
  <c r="J32" i="26" s="1"/>
  <c r="AB34" i="28"/>
  <c r="AB4" i="28"/>
  <c r="AA4" i="28"/>
  <c r="J2" i="26" s="1"/>
  <c r="U5" i="28"/>
  <c r="I3" i="26" s="1"/>
  <c r="V5" i="28"/>
  <c r="U6" i="28"/>
  <c r="I4" i="26" s="1"/>
  <c r="V6" i="28"/>
  <c r="U7" i="28"/>
  <c r="I5" i="26" s="1"/>
  <c r="V7" i="28"/>
  <c r="U8" i="28"/>
  <c r="I6" i="26" s="1"/>
  <c r="V8" i="28"/>
  <c r="U9" i="28"/>
  <c r="I7" i="26" s="1"/>
  <c r="V9" i="28"/>
  <c r="U10" i="28"/>
  <c r="I8" i="26" s="1"/>
  <c r="V10" i="28"/>
  <c r="U11" i="28"/>
  <c r="I9" i="26" s="1"/>
  <c r="V11" i="28"/>
  <c r="U12" i="28"/>
  <c r="I10" i="26" s="1"/>
  <c r="V12" i="28"/>
  <c r="U13" i="28"/>
  <c r="I11" i="26" s="1"/>
  <c r="V13" i="28"/>
  <c r="U14" i="28"/>
  <c r="I12" i="26" s="1"/>
  <c r="V14" i="28"/>
  <c r="U15" i="28"/>
  <c r="I13" i="26" s="1"/>
  <c r="V15" i="28"/>
  <c r="U16" i="28"/>
  <c r="I14" i="26" s="1"/>
  <c r="V16" i="28"/>
  <c r="U17" i="28"/>
  <c r="I15" i="26" s="1"/>
  <c r="V17" i="28"/>
  <c r="U18" i="28"/>
  <c r="I16" i="26" s="1"/>
  <c r="V18" i="28"/>
  <c r="U19" i="28"/>
  <c r="I17" i="26" s="1"/>
  <c r="V19" i="28"/>
  <c r="U20" i="28"/>
  <c r="I18" i="26" s="1"/>
  <c r="V20" i="28"/>
  <c r="U21" i="28"/>
  <c r="I19" i="26" s="1"/>
  <c r="V21" i="28"/>
  <c r="U22" i="28"/>
  <c r="I20" i="26" s="1"/>
  <c r="V22" i="28"/>
  <c r="U23" i="28"/>
  <c r="I21" i="26" s="1"/>
  <c r="V23" i="28"/>
  <c r="U24" i="28"/>
  <c r="I22" i="26" s="1"/>
  <c r="V24" i="28"/>
  <c r="U25" i="28"/>
  <c r="I23" i="26" s="1"/>
  <c r="V25" i="28"/>
  <c r="U26" i="28"/>
  <c r="I24" i="26" s="1"/>
  <c r="V26" i="28"/>
  <c r="U27" i="28"/>
  <c r="I25" i="26" s="1"/>
  <c r="V27" i="28"/>
  <c r="U28" i="28"/>
  <c r="I26" i="26" s="1"/>
  <c r="V28" i="28"/>
  <c r="U29" i="28"/>
  <c r="I27" i="26" s="1"/>
  <c r="V29" i="28"/>
  <c r="U30" i="28"/>
  <c r="I28" i="26" s="1"/>
  <c r="V30" i="28"/>
  <c r="U31" i="28"/>
  <c r="I29" i="26" s="1"/>
  <c r="V31" i="28"/>
  <c r="U32" i="28"/>
  <c r="I30" i="26" s="1"/>
  <c r="V32" i="28"/>
  <c r="U33" i="28"/>
  <c r="I31" i="26" s="1"/>
  <c r="V33" i="28"/>
  <c r="U34" i="28"/>
  <c r="I32" i="26" s="1"/>
  <c r="V34" i="28"/>
  <c r="V4" i="28"/>
  <c r="U4" i="28"/>
  <c r="I2" i="26" s="1"/>
  <c r="O5" i="28"/>
  <c r="H3" i="26" s="1"/>
  <c r="P5" i="28"/>
  <c r="O6" i="28"/>
  <c r="H4" i="26" s="1"/>
  <c r="P6" i="28"/>
  <c r="O7" i="28"/>
  <c r="H5" i="26" s="1"/>
  <c r="P7" i="28"/>
  <c r="O8" i="28"/>
  <c r="H6" i="26" s="1"/>
  <c r="P8" i="28"/>
  <c r="O9" i="28"/>
  <c r="H7" i="26" s="1"/>
  <c r="P9" i="28"/>
  <c r="O10" i="28"/>
  <c r="H8" i="26" s="1"/>
  <c r="P10" i="28"/>
  <c r="O11" i="28"/>
  <c r="H9" i="26" s="1"/>
  <c r="P11" i="28"/>
  <c r="O12" i="28"/>
  <c r="H10" i="26" s="1"/>
  <c r="P12" i="28"/>
  <c r="O13" i="28"/>
  <c r="H11" i="26" s="1"/>
  <c r="P13" i="28"/>
  <c r="O14" i="28"/>
  <c r="H12" i="26" s="1"/>
  <c r="P14" i="28"/>
  <c r="O15" i="28"/>
  <c r="H13" i="26" s="1"/>
  <c r="P15" i="28"/>
  <c r="O16" i="28"/>
  <c r="H14" i="26" s="1"/>
  <c r="P16" i="28"/>
  <c r="O17" i="28"/>
  <c r="H15" i="26" s="1"/>
  <c r="P17" i="28"/>
  <c r="O18" i="28"/>
  <c r="P18" i="28"/>
  <c r="O19" i="28"/>
  <c r="H17" i="26" s="1"/>
  <c r="P19" i="28"/>
  <c r="O20" i="28"/>
  <c r="H18" i="26" s="1"/>
  <c r="P20" i="28"/>
  <c r="O21" i="28"/>
  <c r="H19" i="26" s="1"/>
  <c r="P21" i="28"/>
  <c r="O22" i="28"/>
  <c r="H20" i="26" s="1"/>
  <c r="P22" i="28"/>
  <c r="O23" i="28"/>
  <c r="H21" i="26" s="1"/>
  <c r="P23" i="28"/>
  <c r="O24" i="28"/>
  <c r="H22" i="26" s="1"/>
  <c r="P24" i="28"/>
  <c r="O25" i="28"/>
  <c r="H23" i="26" s="1"/>
  <c r="P25" i="28"/>
  <c r="O26" i="28"/>
  <c r="H24" i="26" s="1"/>
  <c r="P26" i="28"/>
  <c r="O27" i="28"/>
  <c r="H25" i="26" s="1"/>
  <c r="P27" i="28"/>
  <c r="O28" i="28"/>
  <c r="H26" i="26" s="1"/>
  <c r="P28" i="28"/>
  <c r="O29" i="28"/>
  <c r="H27" i="26" s="1"/>
  <c r="P29" i="28"/>
  <c r="O30" i="28"/>
  <c r="P30" i="28"/>
  <c r="O31" i="28"/>
  <c r="H29" i="26" s="1"/>
  <c r="P31" i="28"/>
  <c r="O32" i="28"/>
  <c r="H30" i="26" s="1"/>
  <c r="P32" i="28"/>
  <c r="O33" i="28"/>
  <c r="H31" i="26" s="1"/>
  <c r="P33" i="28"/>
  <c r="O34" i="28"/>
  <c r="P34" i="28"/>
  <c r="P4" i="28"/>
  <c r="O4" i="28"/>
  <c r="H2" i="26" s="1"/>
  <c r="I5" i="28"/>
  <c r="J5" i="28"/>
  <c r="I6" i="28"/>
  <c r="J6" i="28"/>
  <c r="I7" i="28"/>
  <c r="J7" i="28"/>
  <c r="I8" i="28"/>
  <c r="J8" i="28"/>
  <c r="I9" i="28"/>
  <c r="G7" i="26" s="1"/>
  <c r="J9" i="28"/>
  <c r="I10" i="28"/>
  <c r="G8" i="26" s="1"/>
  <c r="J10" i="28"/>
  <c r="I11" i="28"/>
  <c r="J11" i="28"/>
  <c r="I12" i="28"/>
  <c r="G10" i="26" s="1"/>
  <c r="J12" i="28"/>
  <c r="I13" i="28"/>
  <c r="J13" i="28"/>
  <c r="I14" i="28"/>
  <c r="J14" i="28"/>
  <c r="I15" i="28"/>
  <c r="J15" i="28"/>
  <c r="I16" i="28"/>
  <c r="J16" i="28"/>
  <c r="I17" i="28"/>
  <c r="J17" i="28"/>
  <c r="I18" i="28"/>
  <c r="G16" i="26" s="1"/>
  <c r="J18" i="28"/>
  <c r="I19" i="28"/>
  <c r="J19" i="28"/>
  <c r="I20" i="28"/>
  <c r="G18" i="26" s="1"/>
  <c r="J20" i="28"/>
  <c r="I21" i="28"/>
  <c r="J21" i="28"/>
  <c r="I22" i="28"/>
  <c r="J22" i="28"/>
  <c r="I23" i="28"/>
  <c r="G21" i="26" s="1"/>
  <c r="J23" i="28"/>
  <c r="I24" i="28"/>
  <c r="J24" i="28"/>
  <c r="I25" i="28"/>
  <c r="J25" i="28"/>
  <c r="I26" i="28"/>
  <c r="J26" i="28"/>
  <c r="I27" i="28"/>
  <c r="J27" i="28"/>
  <c r="I28" i="28"/>
  <c r="G26" i="26" s="1"/>
  <c r="J28" i="28"/>
  <c r="I29" i="28"/>
  <c r="G27" i="26" s="1"/>
  <c r="J29" i="28"/>
  <c r="I30" i="28"/>
  <c r="G28" i="26" s="1"/>
  <c r="J30" i="28"/>
  <c r="I31" i="28"/>
  <c r="J31" i="28"/>
  <c r="I32" i="28"/>
  <c r="G30" i="26" s="1"/>
  <c r="J32" i="28"/>
  <c r="I33" i="28"/>
  <c r="G31" i="26" s="1"/>
  <c r="J33" i="28"/>
  <c r="I34" i="28"/>
  <c r="J34" i="28"/>
  <c r="J4" i="28"/>
  <c r="I4" i="28"/>
  <c r="G2" i="26" s="1"/>
  <c r="G40" i="24"/>
  <c r="D40" i="24"/>
  <c r="AA5" i="30"/>
  <c r="AB5" i="30"/>
  <c r="AC5" i="30"/>
  <c r="AA6" i="30"/>
  <c r="AB6" i="30"/>
  <c r="AC6" i="30"/>
  <c r="AA7" i="30"/>
  <c r="AB7" i="30"/>
  <c r="AC7" i="30"/>
  <c r="AA8" i="30"/>
  <c r="AB8" i="30"/>
  <c r="AC8" i="30"/>
  <c r="AA9" i="30"/>
  <c r="AB9" i="30"/>
  <c r="AC9" i="30"/>
  <c r="AA10" i="30"/>
  <c r="AB10" i="30"/>
  <c r="AC10" i="30"/>
  <c r="AA11" i="30"/>
  <c r="AB11" i="30"/>
  <c r="AC11" i="30"/>
  <c r="AA12" i="30"/>
  <c r="AB12" i="30"/>
  <c r="AC12" i="30"/>
  <c r="AA13" i="30"/>
  <c r="AB13" i="30"/>
  <c r="AC13" i="30"/>
  <c r="AA14" i="30"/>
  <c r="AB14" i="30"/>
  <c r="AC14" i="30"/>
  <c r="AA15" i="30"/>
  <c r="AB15" i="30"/>
  <c r="AC15" i="30"/>
  <c r="AA16" i="30"/>
  <c r="AB16" i="30"/>
  <c r="AC16" i="30"/>
  <c r="AA17" i="30"/>
  <c r="AB17" i="30"/>
  <c r="AC17" i="30"/>
  <c r="AA18" i="30"/>
  <c r="AB18" i="30"/>
  <c r="AC18" i="30"/>
  <c r="AA19" i="30"/>
  <c r="AB19" i="30"/>
  <c r="AC19" i="30"/>
  <c r="AA20" i="30"/>
  <c r="AB20" i="30"/>
  <c r="AC20" i="30"/>
  <c r="AA21" i="30"/>
  <c r="AB21" i="30"/>
  <c r="AC21" i="30"/>
  <c r="AA22" i="30"/>
  <c r="AB22" i="30"/>
  <c r="AC22" i="30"/>
  <c r="AA23" i="30"/>
  <c r="AB23" i="30"/>
  <c r="AC23" i="30"/>
  <c r="AA24" i="30"/>
  <c r="AB24" i="30"/>
  <c r="AC24" i="30"/>
  <c r="AA25" i="30"/>
  <c r="AB25" i="30"/>
  <c r="AC25" i="30"/>
  <c r="AA26" i="30"/>
  <c r="AB26" i="30"/>
  <c r="AC26" i="30"/>
  <c r="AA27" i="30"/>
  <c r="AB27" i="30"/>
  <c r="AC27" i="30"/>
  <c r="AA28" i="30"/>
  <c r="AB28" i="30"/>
  <c r="AC28" i="30"/>
  <c r="AA29" i="30"/>
  <c r="AB29" i="30"/>
  <c r="AC29" i="30"/>
  <c r="AA30" i="30"/>
  <c r="AB30" i="30"/>
  <c r="AC30" i="30"/>
  <c r="AA31" i="30"/>
  <c r="AB31" i="30"/>
  <c r="AC31" i="30"/>
  <c r="AA32" i="30"/>
  <c r="AB32" i="30"/>
  <c r="AC32" i="30"/>
  <c r="AA33" i="30"/>
  <c r="AB33" i="30"/>
  <c r="AC33" i="30"/>
  <c r="AE33" i="30" s="1"/>
  <c r="AA34" i="30"/>
  <c r="AB34" i="30"/>
  <c r="AC34" i="30"/>
  <c r="AB4" i="30"/>
  <c r="AC4" i="30"/>
  <c r="AA4" i="30"/>
  <c r="U5" i="30"/>
  <c r="AQ3" i="26" s="1"/>
  <c r="V5" i="30"/>
  <c r="W5" i="30"/>
  <c r="U6" i="30"/>
  <c r="AQ4" i="26" s="1"/>
  <c r="V6" i="30"/>
  <c r="W6" i="30"/>
  <c r="U7" i="30"/>
  <c r="V7" i="30"/>
  <c r="W7" i="30"/>
  <c r="U8" i="30"/>
  <c r="AQ6" i="26" s="1"/>
  <c r="V8" i="30"/>
  <c r="W8" i="30"/>
  <c r="U9" i="30"/>
  <c r="AQ7" i="26" s="1"/>
  <c r="V9" i="30"/>
  <c r="W9" i="30"/>
  <c r="U10" i="30"/>
  <c r="AQ8" i="26" s="1"/>
  <c r="V10" i="30"/>
  <c r="W10" i="30"/>
  <c r="U11" i="30"/>
  <c r="AQ9" i="26" s="1"/>
  <c r="V11" i="30"/>
  <c r="W11" i="30"/>
  <c r="U12" i="30"/>
  <c r="AQ10" i="26" s="1"/>
  <c r="V12" i="30"/>
  <c r="W12" i="30"/>
  <c r="U13" i="30"/>
  <c r="AQ11" i="26" s="1"/>
  <c r="V13" i="30"/>
  <c r="W13" i="30"/>
  <c r="U14" i="30"/>
  <c r="AQ12" i="26" s="1"/>
  <c r="V14" i="30"/>
  <c r="W14" i="30"/>
  <c r="U15" i="30"/>
  <c r="AQ13" i="26" s="1"/>
  <c r="V15" i="30"/>
  <c r="W15" i="30"/>
  <c r="U16" i="30"/>
  <c r="AQ14" i="26" s="1"/>
  <c r="V16" i="30"/>
  <c r="W16" i="30"/>
  <c r="U17" i="30"/>
  <c r="AQ15" i="26" s="1"/>
  <c r="V17" i="30"/>
  <c r="W17" i="30"/>
  <c r="U18" i="30"/>
  <c r="AQ16" i="26" s="1"/>
  <c r="V18" i="30"/>
  <c r="W18" i="30"/>
  <c r="U19" i="30"/>
  <c r="AQ17" i="26" s="1"/>
  <c r="V19" i="30"/>
  <c r="W19" i="30"/>
  <c r="U20" i="30"/>
  <c r="AQ18" i="26" s="1"/>
  <c r="V20" i="30"/>
  <c r="W20" i="30"/>
  <c r="U21" i="30"/>
  <c r="AQ19" i="26" s="1"/>
  <c r="V21" i="30"/>
  <c r="W21" i="30"/>
  <c r="U22" i="30"/>
  <c r="AQ20" i="26" s="1"/>
  <c r="V22" i="30"/>
  <c r="W22" i="30"/>
  <c r="U23" i="30"/>
  <c r="AQ21" i="26" s="1"/>
  <c r="V23" i="30"/>
  <c r="W23" i="30"/>
  <c r="U24" i="30"/>
  <c r="AQ22" i="26" s="1"/>
  <c r="V24" i="30"/>
  <c r="W24" i="30"/>
  <c r="U25" i="30"/>
  <c r="AQ23" i="26" s="1"/>
  <c r="V25" i="30"/>
  <c r="W25" i="30"/>
  <c r="U26" i="30"/>
  <c r="AQ24" i="26" s="1"/>
  <c r="V26" i="30"/>
  <c r="W26" i="30"/>
  <c r="U27" i="30"/>
  <c r="AQ25" i="26" s="1"/>
  <c r="V27" i="30"/>
  <c r="W27" i="30"/>
  <c r="U28" i="30"/>
  <c r="AQ26" i="26" s="1"/>
  <c r="V28" i="30"/>
  <c r="W28" i="30"/>
  <c r="U29" i="30"/>
  <c r="AQ27" i="26" s="1"/>
  <c r="V29" i="30"/>
  <c r="W29" i="30"/>
  <c r="U30" i="30"/>
  <c r="AQ28" i="26" s="1"/>
  <c r="V30" i="30"/>
  <c r="W30" i="30"/>
  <c r="U31" i="30"/>
  <c r="AQ29" i="26" s="1"/>
  <c r="V31" i="30"/>
  <c r="W31" i="30"/>
  <c r="U32" i="30"/>
  <c r="AQ30" i="26" s="1"/>
  <c r="V32" i="30"/>
  <c r="W32" i="30"/>
  <c r="U33" i="30"/>
  <c r="V33" i="30"/>
  <c r="W33" i="30"/>
  <c r="U34" i="30"/>
  <c r="AQ32" i="26" s="1"/>
  <c r="V34" i="30"/>
  <c r="W34" i="30"/>
  <c r="V4" i="30"/>
  <c r="W4" i="30"/>
  <c r="U4" i="30"/>
  <c r="AQ2" i="26" s="1"/>
  <c r="O5" i="30"/>
  <c r="AP3" i="26" s="1"/>
  <c r="P5" i="30"/>
  <c r="Q5" i="30"/>
  <c r="O6" i="30"/>
  <c r="AP4" i="26" s="1"/>
  <c r="P6" i="30"/>
  <c r="Q6" i="30"/>
  <c r="O7" i="30"/>
  <c r="AP5" i="26" s="1"/>
  <c r="P7" i="30"/>
  <c r="Q7" i="30"/>
  <c r="O8" i="30"/>
  <c r="AP6" i="26" s="1"/>
  <c r="P8" i="30"/>
  <c r="Q8" i="30"/>
  <c r="O9" i="30"/>
  <c r="AP7" i="26" s="1"/>
  <c r="P9" i="30"/>
  <c r="R9" i="30" s="1"/>
  <c r="Q9" i="30"/>
  <c r="O10" i="30"/>
  <c r="AP8" i="26" s="1"/>
  <c r="P10" i="30"/>
  <c r="Q10" i="30"/>
  <c r="O11" i="30"/>
  <c r="AP9" i="26" s="1"/>
  <c r="P11" i="30"/>
  <c r="Q11" i="30"/>
  <c r="O12" i="30"/>
  <c r="AP10" i="26" s="1"/>
  <c r="P12" i="30"/>
  <c r="Q12" i="30"/>
  <c r="O13" i="30"/>
  <c r="AP11" i="26" s="1"/>
  <c r="P13" i="30"/>
  <c r="Q13" i="30"/>
  <c r="O14" i="30"/>
  <c r="AP12" i="26" s="1"/>
  <c r="P14" i="30"/>
  <c r="Q14" i="30"/>
  <c r="O15" i="30"/>
  <c r="AP13" i="26" s="1"/>
  <c r="P15" i="30"/>
  <c r="Q15" i="30"/>
  <c r="O16" i="30"/>
  <c r="AP14" i="26" s="1"/>
  <c r="P16" i="30"/>
  <c r="Q16" i="30"/>
  <c r="O17" i="30"/>
  <c r="AP15" i="26" s="1"/>
  <c r="P17" i="30"/>
  <c r="Q17" i="30"/>
  <c r="O18" i="30"/>
  <c r="AP16" i="26" s="1"/>
  <c r="P18" i="30"/>
  <c r="Q18" i="30"/>
  <c r="O19" i="30"/>
  <c r="AP17" i="26" s="1"/>
  <c r="P19" i="30"/>
  <c r="Q19" i="30"/>
  <c r="O20" i="30"/>
  <c r="AP18" i="26" s="1"/>
  <c r="P20" i="30"/>
  <c r="Q20" i="30"/>
  <c r="O21" i="30"/>
  <c r="AP19" i="26" s="1"/>
  <c r="P21" i="30"/>
  <c r="Q21" i="30"/>
  <c r="O22" i="30"/>
  <c r="AP20" i="26" s="1"/>
  <c r="P22" i="30"/>
  <c r="Q22" i="30"/>
  <c r="O23" i="30"/>
  <c r="AP21" i="26" s="1"/>
  <c r="P23" i="30"/>
  <c r="Q23" i="30"/>
  <c r="O24" i="30"/>
  <c r="AP22" i="26" s="1"/>
  <c r="P24" i="30"/>
  <c r="Q24" i="30"/>
  <c r="O25" i="30"/>
  <c r="AP23" i="26" s="1"/>
  <c r="P25" i="30"/>
  <c r="Q25" i="30"/>
  <c r="O26" i="30"/>
  <c r="AP24" i="26" s="1"/>
  <c r="P26" i="30"/>
  <c r="Q26" i="30"/>
  <c r="O27" i="30"/>
  <c r="AP25" i="26" s="1"/>
  <c r="P27" i="30"/>
  <c r="Q27" i="30"/>
  <c r="O28" i="30"/>
  <c r="AP26" i="26" s="1"/>
  <c r="P28" i="30"/>
  <c r="Q28" i="30"/>
  <c r="O29" i="30"/>
  <c r="AP27" i="26" s="1"/>
  <c r="P29" i="30"/>
  <c r="Q29" i="30"/>
  <c r="O30" i="30"/>
  <c r="AP28" i="26" s="1"/>
  <c r="P30" i="30"/>
  <c r="Q30" i="30"/>
  <c r="O31" i="30"/>
  <c r="AP29" i="26" s="1"/>
  <c r="P31" i="30"/>
  <c r="Q31" i="30"/>
  <c r="O32" i="30"/>
  <c r="AP30" i="26" s="1"/>
  <c r="P32" i="30"/>
  <c r="Q32" i="30"/>
  <c r="O33" i="30"/>
  <c r="AP31" i="26" s="1"/>
  <c r="P33" i="30"/>
  <c r="Q33" i="30"/>
  <c r="O34" i="30"/>
  <c r="AP32" i="26" s="1"/>
  <c r="P34" i="30"/>
  <c r="Q34" i="30"/>
  <c r="P4" i="30"/>
  <c r="Q4" i="30"/>
  <c r="O4" i="30"/>
  <c r="AP2" i="26" s="1"/>
  <c r="I5" i="30"/>
  <c r="AO3" i="26" s="1"/>
  <c r="J5" i="30"/>
  <c r="K5" i="30"/>
  <c r="I6" i="30"/>
  <c r="AO4" i="26" s="1"/>
  <c r="J6" i="30"/>
  <c r="K6" i="30"/>
  <c r="I7" i="30"/>
  <c r="AO5" i="26" s="1"/>
  <c r="J7" i="30"/>
  <c r="K7" i="30"/>
  <c r="I8" i="30"/>
  <c r="AO6" i="26" s="1"/>
  <c r="J8" i="30"/>
  <c r="K8" i="30"/>
  <c r="I9" i="30"/>
  <c r="AO7" i="26" s="1"/>
  <c r="J9" i="30"/>
  <c r="K9" i="30"/>
  <c r="I10" i="30"/>
  <c r="AO8" i="26" s="1"/>
  <c r="J10" i="30"/>
  <c r="K10" i="30"/>
  <c r="I11" i="30"/>
  <c r="AO9" i="26" s="1"/>
  <c r="J11" i="30"/>
  <c r="K11" i="30"/>
  <c r="I12" i="30"/>
  <c r="AO10" i="26" s="1"/>
  <c r="J12" i="30"/>
  <c r="K12" i="30"/>
  <c r="I13" i="30"/>
  <c r="AO11" i="26" s="1"/>
  <c r="J13" i="30"/>
  <c r="K13" i="30"/>
  <c r="I14" i="30"/>
  <c r="AO12" i="26" s="1"/>
  <c r="J14" i="30"/>
  <c r="K14" i="30"/>
  <c r="I15" i="30"/>
  <c r="AO13" i="26" s="1"/>
  <c r="J15" i="30"/>
  <c r="K15" i="30"/>
  <c r="I16" i="30"/>
  <c r="AO14" i="26" s="1"/>
  <c r="J16" i="30"/>
  <c r="K16" i="30"/>
  <c r="I17" i="30"/>
  <c r="AO15" i="26" s="1"/>
  <c r="J17" i="30"/>
  <c r="K17" i="30"/>
  <c r="M17" i="30" s="1"/>
  <c r="I18" i="30"/>
  <c r="AO16" i="26" s="1"/>
  <c r="J18" i="30"/>
  <c r="K18" i="30"/>
  <c r="I19" i="30"/>
  <c r="AO17" i="26" s="1"/>
  <c r="J19" i="30"/>
  <c r="K19" i="30"/>
  <c r="I20" i="30"/>
  <c r="AO18" i="26" s="1"/>
  <c r="J20" i="30"/>
  <c r="K20" i="30"/>
  <c r="I21" i="30"/>
  <c r="AO19" i="26" s="1"/>
  <c r="J21" i="30"/>
  <c r="K21" i="30"/>
  <c r="I22" i="30"/>
  <c r="AO20" i="26" s="1"/>
  <c r="J22" i="30"/>
  <c r="K22" i="30"/>
  <c r="I23" i="30"/>
  <c r="AO21" i="26" s="1"/>
  <c r="J23" i="30"/>
  <c r="K23" i="30"/>
  <c r="I24" i="30"/>
  <c r="AO22" i="26" s="1"/>
  <c r="J24" i="30"/>
  <c r="K24" i="30"/>
  <c r="I25" i="30"/>
  <c r="AO23" i="26" s="1"/>
  <c r="J25" i="30"/>
  <c r="K25" i="30"/>
  <c r="I26" i="30"/>
  <c r="AO24" i="26" s="1"/>
  <c r="J26" i="30"/>
  <c r="K26" i="30"/>
  <c r="I27" i="30"/>
  <c r="AO25" i="26" s="1"/>
  <c r="J27" i="30"/>
  <c r="K27" i="30"/>
  <c r="I28" i="30"/>
  <c r="AO26" i="26" s="1"/>
  <c r="J28" i="30"/>
  <c r="K28" i="30"/>
  <c r="I29" i="30"/>
  <c r="AO27" i="26" s="1"/>
  <c r="J29" i="30"/>
  <c r="K29" i="30"/>
  <c r="I30" i="30"/>
  <c r="AO28" i="26" s="1"/>
  <c r="J30" i="30"/>
  <c r="K30" i="30"/>
  <c r="I31" i="30"/>
  <c r="AO29" i="26" s="1"/>
  <c r="J31" i="30"/>
  <c r="K31" i="30"/>
  <c r="I32" i="30"/>
  <c r="AO30" i="26" s="1"/>
  <c r="J32" i="30"/>
  <c r="K32" i="30"/>
  <c r="I33" i="30"/>
  <c r="AO31" i="26" s="1"/>
  <c r="J33" i="30"/>
  <c r="K33" i="30"/>
  <c r="I34" i="30"/>
  <c r="AO32" i="26" s="1"/>
  <c r="J34" i="30"/>
  <c r="K34" i="30"/>
  <c r="J4" i="30"/>
  <c r="K4" i="30"/>
  <c r="I4" i="30"/>
  <c r="AO2" i="26" s="1"/>
  <c r="C5" i="30"/>
  <c r="AN3" i="26" s="1"/>
  <c r="E5" i="30"/>
  <c r="C6" i="30"/>
  <c r="AN4" i="26" s="1"/>
  <c r="E6" i="30"/>
  <c r="C7" i="30"/>
  <c r="AN5" i="26" s="1"/>
  <c r="E7" i="30"/>
  <c r="C8" i="30"/>
  <c r="AN6" i="26" s="1"/>
  <c r="E8" i="30"/>
  <c r="C9" i="30"/>
  <c r="AN7" i="26" s="1"/>
  <c r="E9" i="30"/>
  <c r="C10" i="30"/>
  <c r="AN8" i="26" s="1"/>
  <c r="E10" i="30"/>
  <c r="C11" i="30"/>
  <c r="AN9" i="26" s="1"/>
  <c r="E11" i="30"/>
  <c r="C12" i="30"/>
  <c r="E12" i="30"/>
  <c r="C13" i="30"/>
  <c r="AN11" i="26" s="1"/>
  <c r="E13" i="30"/>
  <c r="C14" i="30"/>
  <c r="AN12" i="26" s="1"/>
  <c r="E14" i="30"/>
  <c r="C15" i="30"/>
  <c r="AN13" i="26" s="1"/>
  <c r="E15" i="30"/>
  <c r="C16" i="30"/>
  <c r="AN14" i="26" s="1"/>
  <c r="E16" i="30"/>
  <c r="C17" i="30"/>
  <c r="AN15" i="26" s="1"/>
  <c r="E17" i="30"/>
  <c r="C18" i="30"/>
  <c r="AN16" i="26" s="1"/>
  <c r="E18" i="30"/>
  <c r="C19" i="30"/>
  <c r="AN17" i="26" s="1"/>
  <c r="E19" i="30"/>
  <c r="C20" i="30"/>
  <c r="AN18" i="26" s="1"/>
  <c r="E20" i="30"/>
  <c r="C21" i="30"/>
  <c r="AN19" i="26" s="1"/>
  <c r="E21" i="30"/>
  <c r="C22" i="30"/>
  <c r="AN20" i="26" s="1"/>
  <c r="E22" i="30"/>
  <c r="C23" i="30"/>
  <c r="AN21" i="26" s="1"/>
  <c r="E23" i="30"/>
  <c r="C24" i="30"/>
  <c r="AN22" i="26" s="1"/>
  <c r="E24" i="30"/>
  <c r="C25" i="30"/>
  <c r="AN23" i="26" s="1"/>
  <c r="E25" i="30"/>
  <c r="C26" i="30"/>
  <c r="AN24" i="26" s="1"/>
  <c r="E26" i="30"/>
  <c r="C27" i="30"/>
  <c r="AN25" i="26" s="1"/>
  <c r="E27" i="30"/>
  <c r="C28" i="30"/>
  <c r="AN26" i="26" s="1"/>
  <c r="E28" i="30"/>
  <c r="C29" i="30"/>
  <c r="AN27" i="26" s="1"/>
  <c r="E29" i="30"/>
  <c r="C30" i="30"/>
  <c r="AN28" i="26" s="1"/>
  <c r="E30" i="30"/>
  <c r="C31" i="30"/>
  <c r="AN29" i="26" s="1"/>
  <c r="E31" i="30"/>
  <c r="C32" i="30"/>
  <c r="E32" i="30"/>
  <c r="C33" i="30"/>
  <c r="AN31" i="26" s="1"/>
  <c r="E33" i="30"/>
  <c r="C34" i="30"/>
  <c r="AN32" i="26" s="1"/>
  <c r="E34" i="30"/>
  <c r="D4" i="30"/>
  <c r="E4" i="30"/>
  <c r="C4" i="30"/>
  <c r="AN2" i="26" s="1"/>
  <c r="AD8" i="29"/>
  <c r="AR3" i="26" s="1"/>
  <c r="AD9" i="29"/>
  <c r="AR4" i="26" s="1"/>
  <c r="AD10" i="29"/>
  <c r="AR5" i="26" s="1"/>
  <c r="AD11" i="29"/>
  <c r="AR6" i="26" s="1"/>
  <c r="AD12" i="29"/>
  <c r="AR7" i="26" s="1"/>
  <c r="AD13" i="29"/>
  <c r="AR8" i="26" s="1"/>
  <c r="AD14" i="29"/>
  <c r="AR9" i="26" s="1"/>
  <c r="AD15" i="29"/>
  <c r="AR10" i="26" s="1"/>
  <c r="AD16" i="29"/>
  <c r="AR11" i="26" s="1"/>
  <c r="AD17" i="29"/>
  <c r="AR12" i="26" s="1"/>
  <c r="AD18" i="29"/>
  <c r="AR13" i="26" s="1"/>
  <c r="AD19" i="29"/>
  <c r="AR14" i="26" s="1"/>
  <c r="AD20" i="29"/>
  <c r="AR15" i="26" s="1"/>
  <c r="AD21" i="29"/>
  <c r="AR16" i="26" s="1"/>
  <c r="AD22" i="29"/>
  <c r="AR17" i="26" s="1"/>
  <c r="AD23" i="29"/>
  <c r="AR18" i="26" s="1"/>
  <c r="AD24" i="29"/>
  <c r="AR19" i="26" s="1"/>
  <c r="AD25" i="29"/>
  <c r="AR20" i="26" s="1"/>
  <c r="AD26" i="29"/>
  <c r="AR21" i="26" s="1"/>
  <c r="AD27" i="29"/>
  <c r="AR22" i="26" s="1"/>
  <c r="AD28" i="29"/>
  <c r="AR23" i="26" s="1"/>
  <c r="AD29" i="29"/>
  <c r="AR24" i="26" s="1"/>
  <c r="AD30" i="29"/>
  <c r="AR25" i="26" s="1"/>
  <c r="AD31" i="29"/>
  <c r="AR26" i="26" s="1"/>
  <c r="AD32" i="29"/>
  <c r="AR27" i="26" s="1"/>
  <c r="AD33" i="29"/>
  <c r="AR28" i="26" s="1"/>
  <c r="AD34" i="29"/>
  <c r="AR29" i="26" s="1"/>
  <c r="AD35" i="29"/>
  <c r="AR30" i="26" s="1"/>
  <c r="AD36" i="29"/>
  <c r="AR31" i="26" s="1"/>
  <c r="AD37" i="29"/>
  <c r="AR32" i="26" s="1"/>
  <c r="X35" i="29"/>
  <c r="Z35" i="29"/>
  <c r="X36" i="29"/>
  <c r="Z36" i="29"/>
  <c r="X37" i="29"/>
  <c r="Z37" i="29"/>
  <c r="CD34" i="29"/>
  <c r="CF34" i="29" s="1"/>
  <c r="CA34" i="29"/>
  <c r="CC34" i="29" s="1"/>
  <c r="BX34" i="29"/>
  <c r="BZ34" i="29" s="1"/>
  <c r="BW34" i="29"/>
  <c r="Z34" i="29"/>
  <c r="X34" i="29"/>
  <c r="CD33" i="29"/>
  <c r="CF33" i="29" s="1"/>
  <c r="CA33" i="29"/>
  <c r="CC33" i="29" s="1"/>
  <c r="BX33" i="29"/>
  <c r="BZ33" i="29" s="1"/>
  <c r="BW33" i="29"/>
  <c r="Z33" i="29"/>
  <c r="X33" i="29"/>
  <c r="CD32" i="29"/>
  <c r="CF32" i="29" s="1"/>
  <c r="CA32" i="29"/>
  <c r="CC32" i="29" s="1"/>
  <c r="BX32" i="29"/>
  <c r="BZ32" i="29" s="1"/>
  <c r="BW32" i="29"/>
  <c r="Z32" i="29"/>
  <c r="X32" i="29"/>
  <c r="CD31" i="29"/>
  <c r="CF31" i="29" s="1"/>
  <c r="CA31" i="29"/>
  <c r="CC31" i="29" s="1"/>
  <c r="BX31" i="29"/>
  <c r="BZ31" i="29" s="1"/>
  <c r="BW31" i="29"/>
  <c r="Z31" i="29"/>
  <c r="X31" i="29"/>
  <c r="CD30" i="29"/>
  <c r="CF30" i="29" s="1"/>
  <c r="CA30" i="29"/>
  <c r="CC30" i="29" s="1"/>
  <c r="BX30" i="29"/>
  <c r="BZ30" i="29" s="1"/>
  <c r="BW30" i="29"/>
  <c r="Z30" i="29"/>
  <c r="X30" i="29"/>
  <c r="CD29" i="29"/>
  <c r="CF29" i="29" s="1"/>
  <c r="CA29" i="29"/>
  <c r="CC29" i="29" s="1"/>
  <c r="BX29" i="29"/>
  <c r="BZ29" i="29" s="1"/>
  <c r="BW29" i="29"/>
  <c r="Z29" i="29"/>
  <c r="X29" i="29"/>
  <c r="CD28" i="29"/>
  <c r="CF28" i="29" s="1"/>
  <c r="CA28" i="29"/>
  <c r="CC28" i="29" s="1"/>
  <c r="BX28" i="29"/>
  <c r="BZ28" i="29" s="1"/>
  <c r="BW28" i="29"/>
  <c r="Z28" i="29"/>
  <c r="X28" i="29"/>
  <c r="CD27" i="29"/>
  <c r="CF27" i="29" s="1"/>
  <c r="CA27" i="29"/>
  <c r="CC27" i="29" s="1"/>
  <c r="BX27" i="29"/>
  <c r="BZ27" i="29" s="1"/>
  <c r="BW27" i="29"/>
  <c r="Z27" i="29"/>
  <c r="X27" i="29"/>
  <c r="CD26" i="29"/>
  <c r="CF26" i="29" s="1"/>
  <c r="CA26" i="29"/>
  <c r="CC26" i="29" s="1"/>
  <c r="BX26" i="29"/>
  <c r="BZ26" i="29" s="1"/>
  <c r="BW26" i="29"/>
  <c r="Z26" i="29"/>
  <c r="X26" i="29"/>
  <c r="CD25" i="29"/>
  <c r="CF25" i="29" s="1"/>
  <c r="CA25" i="29"/>
  <c r="CC25" i="29" s="1"/>
  <c r="BX25" i="29"/>
  <c r="BZ25" i="29" s="1"/>
  <c r="BW25" i="29"/>
  <c r="Z25" i="29"/>
  <c r="X25" i="29"/>
  <c r="CD24" i="29"/>
  <c r="CF24" i="29" s="1"/>
  <c r="CA24" i="29"/>
  <c r="CC24" i="29" s="1"/>
  <c r="BX24" i="29"/>
  <c r="BZ24" i="29" s="1"/>
  <c r="BW24" i="29"/>
  <c r="Z24" i="29"/>
  <c r="X24" i="29"/>
  <c r="CD23" i="29"/>
  <c r="CF23" i="29" s="1"/>
  <c r="CA23" i="29"/>
  <c r="CC23" i="29" s="1"/>
  <c r="BX23" i="29"/>
  <c r="BZ23" i="29" s="1"/>
  <c r="BW23" i="29"/>
  <c r="Z23" i="29"/>
  <c r="X23" i="29"/>
  <c r="CD22" i="29"/>
  <c r="CF22" i="29" s="1"/>
  <c r="CA22" i="29"/>
  <c r="CC22" i="29" s="1"/>
  <c r="BX22" i="29"/>
  <c r="BZ22" i="29" s="1"/>
  <c r="BW22" i="29"/>
  <c r="Z22" i="29"/>
  <c r="X22" i="29"/>
  <c r="CD21" i="29"/>
  <c r="CF21" i="29" s="1"/>
  <c r="CA21" i="29"/>
  <c r="CC21" i="29" s="1"/>
  <c r="BX21" i="29"/>
  <c r="BZ21" i="29" s="1"/>
  <c r="BW21" i="29"/>
  <c r="Z21" i="29"/>
  <c r="X21" i="29"/>
  <c r="CD20" i="29"/>
  <c r="CF20" i="29" s="1"/>
  <c r="CA20" i="29"/>
  <c r="CC20" i="29" s="1"/>
  <c r="BX20" i="29"/>
  <c r="BZ20" i="29" s="1"/>
  <c r="BW20" i="29"/>
  <c r="Z20" i="29"/>
  <c r="X20" i="29"/>
  <c r="CD19" i="29"/>
  <c r="CF19" i="29" s="1"/>
  <c r="CA19" i="29"/>
  <c r="CC19" i="29" s="1"/>
  <c r="BX19" i="29"/>
  <c r="BZ19" i="29" s="1"/>
  <c r="BW19" i="29"/>
  <c r="Z19" i="29"/>
  <c r="X19" i="29"/>
  <c r="CD18" i="29"/>
  <c r="CF18" i="29" s="1"/>
  <c r="CA18" i="29"/>
  <c r="CC18" i="29" s="1"/>
  <c r="BX18" i="29"/>
  <c r="BZ18" i="29" s="1"/>
  <c r="BW18" i="29"/>
  <c r="Z18" i="29"/>
  <c r="X18" i="29"/>
  <c r="CD17" i="29"/>
  <c r="CF17" i="29" s="1"/>
  <c r="CA17" i="29"/>
  <c r="CC17" i="29" s="1"/>
  <c r="BX17" i="29"/>
  <c r="BZ17" i="29" s="1"/>
  <c r="BW17" i="29"/>
  <c r="Z17" i="29"/>
  <c r="X17" i="29"/>
  <c r="CD16" i="29"/>
  <c r="CF16" i="29" s="1"/>
  <c r="CA16" i="29"/>
  <c r="CC16" i="29" s="1"/>
  <c r="BX16" i="29"/>
  <c r="BZ16" i="29" s="1"/>
  <c r="BW16" i="29"/>
  <c r="Z16" i="29"/>
  <c r="X16" i="29"/>
  <c r="CD15" i="29"/>
  <c r="CF15" i="29" s="1"/>
  <c r="CA15" i="29"/>
  <c r="CC15" i="29" s="1"/>
  <c r="BX15" i="29"/>
  <c r="BZ15" i="29" s="1"/>
  <c r="BW15" i="29"/>
  <c r="Z15" i="29"/>
  <c r="X15" i="29"/>
  <c r="CD14" i="29"/>
  <c r="CF14" i="29" s="1"/>
  <c r="CA14" i="29"/>
  <c r="CC14" i="29" s="1"/>
  <c r="BX14" i="29"/>
  <c r="BZ14" i="29" s="1"/>
  <c r="BW14" i="29"/>
  <c r="Z14" i="29"/>
  <c r="X14" i="29"/>
  <c r="CD13" i="29"/>
  <c r="CF13" i="29" s="1"/>
  <c r="CA13" i="29"/>
  <c r="CC13" i="29" s="1"/>
  <c r="BX13" i="29"/>
  <c r="BZ13" i="29" s="1"/>
  <c r="BW13" i="29"/>
  <c r="Z13" i="29"/>
  <c r="X13" i="29"/>
  <c r="CD12" i="29"/>
  <c r="CF12" i="29" s="1"/>
  <c r="CA12" i="29"/>
  <c r="CC12" i="29" s="1"/>
  <c r="BX12" i="29"/>
  <c r="BZ12" i="29" s="1"/>
  <c r="BW12" i="29"/>
  <c r="Z12" i="29"/>
  <c r="X12" i="29"/>
  <c r="CD11" i="29"/>
  <c r="CF11" i="29" s="1"/>
  <c r="CA11" i="29"/>
  <c r="CC11" i="29" s="1"/>
  <c r="BX11" i="29"/>
  <c r="BZ11" i="29" s="1"/>
  <c r="BW11" i="29"/>
  <c r="Z11" i="29"/>
  <c r="X11" i="29"/>
  <c r="CD10" i="29"/>
  <c r="CF10" i="29" s="1"/>
  <c r="CA10" i="29"/>
  <c r="CC10" i="29" s="1"/>
  <c r="BX10" i="29"/>
  <c r="BZ10" i="29" s="1"/>
  <c r="BW10" i="29"/>
  <c r="Z10" i="29"/>
  <c r="X10" i="29"/>
  <c r="CD9" i="29"/>
  <c r="CF9" i="29" s="1"/>
  <c r="CA9" i="29"/>
  <c r="CC9" i="29" s="1"/>
  <c r="BX9" i="29"/>
  <c r="BZ9" i="29" s="1"/>
  <c r="BW9" i="29"/>
  <c r="Z9" i="29"/>
  <c r="X9" i="29"/>
  <c r="CF8" i="29"/>
  <c r="CC8" i="29"/>
  <c r="BZ8" i="29"/>
  <c r="BW8" i="29"/>
  <c r="Z8" i="29"/>
  <c r="X8" i="29"/>
  <c r="CF7" i="29"/>
  <c r="CC7" i="29"/>
  <c r="BZ7" i="29"/>
  <c r="BW7" i="29"/>
  <c r="Z7" i="29"/>
  <c r="X7" i="29"/>
  <c r="CF6" i="29"/>
  <c r="CC6" i="29"/>
  <c r="BZ6" i="29"/>
  <c r="BW6" i="29"/>
  <c r="Z6" i="29"/>
  <c r="X6" i="29"/>
  <c r="M12" i="28"/>
  <c r="M21" i="28"/>
  <c r="S8" i="28"/>
  <c r="S10" i="28"/>
  <c r="S28" i="28"/>
  <c r="Y8" i="28"/>
  <c r="Y10" i="28"/>
  <c r="Y21" i="28"/>
  <c r="Y22" i="28"/>
  <c r="Y24" i="28"/>
  <c r="Y4" i="28"/>
  <c r="AD7" i="28"/>
  <c r="AD8" i="28"/>
  <c r="AD11" i="28"/>
  <c r="AD12" i="28"/>
  <c r="AE13" i="28"/>
  <c r="AE15" i="28"/>
  <c r="AD20" i="28"/>
  <c r="AD24" i="28"/>
  <c r="AD34" i="28"/>
  <c r="Y13" i="28"/>
  <c r="Y14" i="28"/>
  <c r="Y16" i="28"/>
  <c r="Y20" i="28"/>
  <c r="Y26" i="28"/>
  <c r="X33" i="28"/>
  <c r="X34" i="28"/>
  <c r="AH5" i="28"/>
  <c r="R6" i="28"/>
  <c r="S12" i="28"/>
  <c r="S16" i="28"/>
  <c r="S22" i="28"/>
  <c r="R25" i="28"/>
  <c r="AH25" i="28"/>
  <c r="S26" i="28"/>
  <c r="R29" i="28"/>
  <c r="R32" i="28"/>
  <c r="R33" i="28"/>
  <c r="S4" i="28"/>
  <c r="M13" i="28"/>
  <c r="M17" i="28"/>
  <c r="M33" i="28"/>
  <c r="M34" i="28"/>
  <c r="F6" i="28"/>
  <c r="F7" i="28"/>
  <c r="F32" i="28"/>
  <c r="F33" i="28"/>
  <c r="F34" i="28"/>
  <c r="L32" i="28"/>
  <c r="X32" i="28"/>
  <c r="AH34" i="28"/>
  <c r="F30" i="28"/>
  <c r="Y28" i="28"/>
  <c r="M28" i="28"/>
  <c r="AE25" i="28"/>
  <c r="Y25" i="28"/>
  <c r="M25" i="28"/>
  <c r="F22" i="28"/>
  <c r="R21" i="28"/>
  <c r="R20" i="28"/>
  <c r="AD17" i="28"/>
  <c r="AD16" i="28"/>
  <c r="M16" i="28"/>
  <c r="F16" i="28"/>
  <c r="S14" i="28"/>
  <c r="F12" i="28"/>
  <c r="F10" i="28"/>
  <c r="AD9" i="28"/>
  <c r="F9" i="28"/>
  <c r="M8" i="28"/>
  <c r="Y6" i="28"/>
  <c r="AE5" i="28"/>
  <c r="Y5" i="28"/>
  <c r="M5" i="28"/>
  <c r="F5" i="28"/>
  <c r="A7" i="27"/>
  <c r="AQ5" i="26" l="1"/>
  <c r="AG7" i="30"/>
  <c r="A8" i="27"/>
  <c r="A8" i="9"/>
  <c r="A6" i="11" s="1"/>
  <c r="A7" i="29" s="1"/>
  <c r="F32" i="30"/>
  <c r="AN30" i="26"/>
  <c r="AG12" i="30"/>
  <c r="G16" i="24" s="1"/>
  <c r="AN10" i="26"/>
  <c r="X33" i="30"/>
  <c r="AQ31" i="26"/>
  <c r="G32" i="26"/>
  <c r="AG34" i="28"/>
  <c r="G29" i="26"/>
  <c r="AG31" i="28"/>
  <c r="G25" i="26"/>
  <c r="AG27" i="28"/>
  <c r="G24" i="26"/>
  <c r="AG26" i="28"/>
  <c r="G23" i="26"/>
  <c r="AG25" i="28"/>
  <c r="D29" i="24" s="1"/>
  <c r="G22" i="26"/>
  <c r="AG24" i="28"/>
  <c r="G20" i="26"/>
  <c r="AG22" i="28"/>
  <c r="G19" i="26"/>
  <c r="AG21" i="28"/>
  <c r="D25" i="24" s="1"/>
  <c r="G17" i="26"/>
  <c r="AG19" i="28"/>
  <c r="G15" i="26"/>
  <c r="AG17" i="28"/>
  <c r="G14" i="26"/>
  <c r="AG16" i="28"/>
  <c r="G13" i="26"/>
  <c r="AG15" i="28"/>
  <c r="G12" i="26"/>
  <c r="AG14" i="28"/>
  <c r="G11" i="26"/>
  <c r="AG13" i="28"/>
  <c r="G9" i="26"/>
  <c r="AG11" i="28"/>
  <c r="G6" i="26"/>
  <c r="AG8" i="28"/>
  <c r="G5" i="26"/>
  <c r="AG7" i="28"/>
  <c r="G4" i="26"/>
  <c r="AG6" i="28"/>
  <c r="G3" i="26"/>
  <c r="AG5" i="28"/>
  <c r="S34" i="28"/>
  <c r="H32" i="26"/>
  <c r="S30" i="28"/>
  <c r="H28" i="26"/>
  <c r="R18" i="28"/>
  <c r="H16" i="26"/>
  <c r="P35" i="28"/>
  <c r="AD33" i="28"/>
  <c r="J31" i="26"/>
  <c r="AE27" i="28"/>
  <c r="J25" i="26"/>
  <c r="AD19" i="28"/>
  <c r="J17" i="26"/>
  <c r="AG33" i="28"/>
  <c r="F31" i="26"/>
  <c r="AG32" i="28"/>
  <c r="F30" i="26"/>
  <c r="AG30" i="28"/>
  <c r="F28" i="26"/>
  <c r="AG29" i="28"/>
  <c r="D33" i="24" s="1"/>
  <c r="F27" i="26"/>
  <c r="AG28" i="28"/>
  <c r="F26" i="26"/>
  <c r="AG23" i="28"/>
  <c r="F21" i="26"/>
  <c r="AG20" i="28"/>
  <c r="F18" i="26"/>
  <c r="AG18" i="28"/>
  <c r="F16" i="26"/>
  <c r="AG12" i="28"/>
  <c r="F10" i="26"/>
  <c r="AG10" i="28"/>
  <c r="F8" i="26"/>
  <c r="AG9" i="28"/>
  <c r="F7" i="26"/>
  <c r="Y28" i="30"/>
  <c r="AI11" i="30"/>
  <c r="R5" i="30"/>
  <c r="Y16" i="30"/>
  <c r="S22" i="30"/>
  <c r="S28" i="30"/>
  <c r="Y19" i="30"/>
  <c r="L10" i="30"/>
  <c r="R21" i="30"/>
  <c r="X32" i="30"/>
  <c r="Y25" i="30"/>
  <c r="X19" i="30"/>
  <c r="X25" i="30"/>
  <c r="R23" i="30"/>
  <c r="AH6" i="30"/>
  <c r="M24" i="30"/>
  <c r="Y6" i="30"/>
  <c r="AD16" i="30"/>
  <c r="G24" i="30"/>
  <c r="M15" i="30"/>
  <c r="S26" i="30"/>
  <c r="S6" i="30"/>
  <c r="Y17" i="30"/>
  <c r="AE8" i="30"/>
  <c r="AE19" i="30"/>
  <c r="AH34" i="30"/>
  <c r="AH14" i="30"/>
  <c r="AH13" i="30"/>
  <c r="S21" i="30"/>
  <c r="Y32" i="30"/>
  <c r="Y12" i="30"/>
  <c r="F4" i="30"/>
  <c r="M12" i="30"/>
  <c r="S32" i="30"/>
  <c r="S12" i="30"/>
  <c r="Y23" i="30"/>
  <c r="AE34" i="30"/>
  <c r="AE14" i="30"/>
  <c r="Y33" i="30"/>
  <c r="AE24" i="30"/>
  <c r="Y21" i="30"/>
  <c r="AD32" i="30"/>
  <c r="X21" i="30"/>
  <c r="R34" i="30"/>
  <c r="M27" i="30"/>
  <c r="L20" i="30"/>
  <c r="S18" i="30"/>
  <c r="AG22" i="30"/>
  <c r="G26" i="24" s="1"/>
  <c r="L33" i="30"/>
  <c r="L6" i="30"/>
  <c r="R17" i="30"/>
  <c r="X15" i="30"/>
  <c r="AD26" i="30"/>
  <c r="AD6" i="30"/>
  <c r="AD12" i="30"/>
  <c r="Y7" i="30"/>
  <c r="M29" i="30"/>
  <c r="M9" i="30"/>
  <c r="X5" i="30"/>
  <c r="Y18" i="30"/>
  <c r="R32" i="30"/>
  <c r="X23" i="30"/>
  <c r="AD34" i="30"/>
  <c r="AD14" i="30"/>
  <c r="Y29" i="30"/>
  <c r="AI10" i="30"/>
  <c r="AE25" i="30"/>
  <c r="AE18" i="30"/>
  <c r="L24" i="30"/>
  <c r="M30" i="30"/>
  <c r="Y31" i="30"/>
  <c r="AE22" i="30"/>
  <c r="AH18" i="30"/>
  <c r="AE4" i="30"/>
  <c r="AD22" i="30"/>
  <c r="M22" i="30"/>
  <c r="R33" i="30"/>
  <c r="F16" i="30"/>
  <c r="AI13" i="30"/>
  <c r="Y15" i="30"/>
  <c r="X9" i="30"/>
  <c r="AE26" i="30"/>
  <c r="AD20" i="30"/>
  <c r="M20" i="30"/>
  <c r="AH28" i="30"/>
  <c r="L26" i="30"/>
  <c r="S17" i="30"/>
  <c r="F8" i="30"/>
  <c r="M25" i="30"/>
  <c r="M19" i="30"/>
  <c r="L12" i="30"/>
  <c r="S16" i="30"/>
  <c r="S10" i="30"/>
  <c r="F33" i="30"/>
  <c r="R15" i="30"/>
  <c r="Y26" i="30"/>
  <c r="M11" i="30"/>
  <c r="M16" i="30"/>
  <c r="S27" i="30"/>
  <c r="Y5" i="30"/>
  <c r="AG25" i="30"/>
  <c r="G29" i="24" s="1"/>
  <c r="AG5" i="30"/>
  <c r="G9" i="24" s="1"/>
  <c r="S33" i="30"/>
  <c r="S13" i="30"/>
  <c r="Y24" i="30"/>
  <c r="AE15" i="30"/>
  <c r="L22" i="30"/>
  <c r="S19" i="30"/>
  <c r="AH17" i="30"/>
  <c r="M21" i="30"/>
  <c r="X17" i="30"/>
  <c r="M14" i="30"/>
  <c r="S25" i="30"/>
  <c r="S5" i="30"/>
  <c r="AE27" i="30"/>
  <c r="AE7" i="30"/>
  <c r="R25" i="30"/>
  <c r="M26" i="30"/>
  <c r="S31" i="30"/>
  <c r="S11" i="30"/>
  <c r="AD33" i="30"/>
  <c r="S15" i="30"/>
  <c r="AH15" i="30"/>
  <c r="AI30" i="30"/>
  <c r="AE32" i="30"/>
  <c r="AE12" i="30"/>
  <c r="M32" i="30"/>
  <c r="S23" i="30"/>
  <c r="Y14" i="30"/>
  <c r="AE5" i="30"/>
  <c r="X29" i="30"/>
  <c r="L30" i="30"/>
  <c r="F34" i="30"/>
  <c r="M31" i="30"/>
  <c r="Y13" i="30"/>
  <c r="X7" i="30"/>
  <c r="G33" i="30"/>
  <c r="R29" i="30"/>
  <c r="S9" i="30"/>
  <c r="AE31" i="30"/>
  <c r="AD24" i="30"/>
  <c r="AE17" i="30"/>
  <c r="AE11" i="30"/>
  <c r="F6" i="30"/>
  <c r="M23" i="30"/>
  <c r="S34" i="30"/>
  <c r="S14" i="30"/>
  <c r="S8" i="30"/>
  <c r="AE30" i="30"/>
  <c r="AE16" i="30"/>
  <c r="AD10" i="30"/>
  <c r="Y9" i="30"/>
  <c r="AI27" i="30"/>
  <c r="AG21" i="30"/>
  <c r="G25" i="24" s="1"/>
  <c r="S7" i="30"/>
  <c r="R7" i="30"/>
  <c r="F18" i="30"/>
  <c r="M28" i="30"/>
  <c r="L8" i="30"/>
  <c r="R19" i="30"/>
  <c r="Y10" i="30"/>
  <c r="AE21" i="30"/>
  <c r="F18" i="28"/>
  <c r="AI7" i="30"/>
  <c r="AE20" i="30"/>
  <c r="AD30" i="30"/>
  <c r="S30" i="30"/>
  <c r="L34" i="30"/>
  <c r="L14" i="30"/>
  <c r="Y22" i="30"/>
  <c r="AE13" i="30"/>
  <c r="S29" i="30"/>
  <c r="M33" i="30"/>
  <c r="M13" i="30"/>
  <c r="R31" i="30"/>
  <c r="S24" i="30"/>
  <c r="R11" i="30"/>
  <c r="AE6" i="30"/>
  <c r="AI25" i="30"/>
  <c r="AI21" i="30"/>
  <c r="M8" i="30"/>
  <c r="AI23" i="30"/>
  <c r="Y8" i="30"/>
  <c r="L32" i="30"/>
  <c r="Y20" i="30"/>
  <c r="Y27" i="30"/>
  <c r="F20" i="30"/>
  <c r="S4" i="30"/>
  <c r="X27" i="30"/>
  <c r="M10" i="30"/>
  <c r="AE23" i="30"/>
  <c r="AI18" i="30"/>
  <c r="AE29" i="30"/>
  <c r="AE9" i="30"/>
  <c r="S20" i="30"/>
  <c r="Y11" i="30"/>
  <c r="R13" i="30"/>
  <c r="Y30" i="30"/>
  <c r="L28" i="30"/>
  <c r="AG15" i="30"/>
  <c r="G19" i="24" s="1"/>
  <c r="AH8" i="30"/>
  <c r="AE28" i="30"/>
  <c r="AE10" i="30"/>
  <c r="AD28" i="30"/>
  <c r="AI6" i="30"/>
  <c r="AI19" i="30"/>
  <c r="AG26" i="30"/>
  <c r="G30" i="24" s="1"/>
  <c r="AH20" i="30"/>
  <c r="AI22" i="30"/>
  <c r="Y4" i="30"/>
  <c r="AI5" i="30"/>
  <c r="AG10" i="30"/>
  <c r="AH16" i="30"/>
  <c r="AI9" i="30"/>
  <c r="AH27" i="30"/>
  <c r="M34" i="30"/>
  <c r="AH5" i="30"/>
  <c r="AI28" i="30"/>
  <c r="AI12" i="30"/>
  <c r="AK12" i="30" s="1"/>
  <c r="AH10" i="30"/>
  <c r="AH30" i="30"/>
  <c r="AG17" i="30"/>
  <c r="AH21" i="30"/>
  <c r="AI14" i="30"/>
  <c r="AH32" i="30"/>
  <c r="AH23" i="30"/>
  <c r="AG27" i="30"/>
  <c r="G31" i="24" s="1"/>
  <c r="AG34" i="30"/>
  <c r="AG24" i="30"/>
  <c r="G28" i="24" s="1"/>
  <c r="AD18" i="30"/>
  <c r="AD8" i="30"/>
  <c r="AD4" i="30"/>
  <c r="AI31" i="30"/>
  <c r="AH29" i="30"/>
  <c r="AG16" i="30"/>
  <c r="G20" i="24" s="1"/>
  <c r="AH9" i="30"/>
  <c r="X31" i="30"/>
  <c r="X13" i="30"/>
  <c r="AI20" i="30"/>
  <c r="AG23" i="30"/>
  <c r="G27" i="24" s="1"/>
  <c r="AI26" i="30"/>
  <c r="X34" i="30"/>
  <c r="AI29" i="30"/>
  <c r="Y34" i="30"/>
  <c r="AI16" i="30"/>
  <c r="X11" i="30"/>
  <c r="AH25" i="30"/>
  <c r="AH7" i="30"/>
  <c r="AG19" i="30"/>
  <c r="G23" i="24" s="1"/>
  <c r="AG29" i="30"/>
  <c r="G33" i="24" s="1"/>
  <c r="AH22" i="30"/>
  <c r="AG9" i="30"/>
  <c r="G13" i="24" s="1"/>
  <c r="R27" i="30"/>
  <c r="AG13" i="30"/>
  <c r="AI8" i="30"/>
  <c r="AH19" i="30"/>
  <c r="AH31" i="30"/>
  <c r="AG18" i="30"/>
  <c r="AH11" i="30"/>
  <c r="AH12" i="30"/>
  <c r="AJ12" i="30" s="1"/>
  <c r="AG30" i="30"/>
  <c r="AG28" i="30"/>
  <c r="G32" i="24" s="1"/>
  <c r="AG14" i="30"/>
  <c r="G18" i="24" s="1"/>
  <c r="AI4" i="30"/>
  <c r="AI15" i="30"/>
  <c r="AH33" i="30"/>
  <c r="AH26" i="30"/>
  <c r="AI32" i="30"/>
  <c r="L18" i="30"/>
  <c r="AG31" i="30"/>
  <c r="G35" i="24" s="1"/>
  <c r="AH24" i="30"/>
  <c r="AI17" i="30"/>
  <c r="AG11" i="30"/>
  <c r="G15" i="24" s="1"/>
  <c r="M18" i="30"/>
  <c r="L16" i="30"/>
  <c r="AI34" i="30"/>
  <c r="M4" i="30"/>
  <c r="L4" i="30"/>
  <c r="G34" i="30"/>
  <c r="AG33" i="30"/>
  <c r="G37" i="24" s="1"/>
  <c r="AI33" i="30"/>
  <c r="AG32" i="30"/>
  <c r="G36" i="24" s="1"/>
  <c r="G32" i="30"/>
  <c r="R4" i="30"/>
  <c r="F5" i="30"/>
  <c r="AD5" i="30"/>
  <c r="R6" i="30"/>
  <c r="F7" i="30"/>
  <c r="AD7" i="30"/>
  <c r="R8" i="30"/>
  <c r="F9" i="30"/>
  <c r="AD9" i="30"/>
  <c r="R10" i="30"/>
  <c r="F11" i="30"/>
  <c r="AD11" i="30"/>
  <c r="R12" i="30"/>
  <c r="F13" i="30"/>
  <c r="AD13" i="30"/>
  <c r="R14" i="30"/>
  <c r="F15" i="30"/>
  <c r="AD15" i="30"/>
  <c r="R16" i="30"/>
  <c r="F17" i="30"/>
  <c r="AD17" i="30"/>
  <c r="R18" i="30"/>
  <c r="F19" i="30"/>
  <c r="AD19" i="30"/>
  <c r="R20" i="30"/>
  <c r="F21" i="30"/>
  <c r="AD21" i="30"/>
  <c r="R22" i="30"/>
  <c r="F23" i="30"/>
  <c r="AD23" i="30"/>
  <c r="R24" i="30"/>
  <c r="F25" i="30"/>
  <c r="AD25" i="30"/>
  <c r="R26" i="30"/>
  <c r="F27" i="30"/>
  <c r="AD27" i="30"/>
  <c r="R28" i="30"/>
  <c r="F29" i="30"/>
  <c r="AD29" i="30"/>
  <c r="R30" i="30"/>
  <c r="F31" i="30"/>
  <c r="AD31" i="30"/>
  <c r="G5" i="30"/>
  <c r="G7" i="30"/>
  <c r="G9" i="30"/>
  <c r="G11" i="30"/>
  <c r="G13" i="30"/>
  <c r="G15" i="30"/>
  <c r="G17" i="30"/>
  <c r="G19" i="30"/>
  <c r="G21" i="30"/>
  <c r="G23" i="30"/>
  <c r="G25" i="30"/>
  <c r="G27" i="30"/>
  <c r="G29" i="30"/>
  <c r="G31" i="30"/>
  <c r="X4" i="30"/>
  <c r="L5" i="30"/>
  <c r="X6" i="30"/>
  <c r="L7" i="30"/>
  <c r="X8" i="30"/>
  <c r="L9" i="30"/>
  <c r="X10" i="30"/>
  <c r="L11" i="30"/>
  <c r="X12" i="30"/>
  <c r="L13" i="30"/>
  <c r="X14" i="30"/>
  <c r="L15" i="30"/>
  <c r="X16" i="30"/>
  <c r="L17" i="30"/>
  <c r="X18" i="30"/>
  <c r="L19" i="30"/>
  <c r="X20" i="30"/>
  <c r="L21" i="30"/>
  <c r="X22" i="30"/>
  <c r="L23" i="30"/>
  <c r="X24" i="30"/>
  <c r="L25" i="30"/>
  <c r="X26" i="30"/>
  <c r="L27" i="30"/>
  <c r="X28" i="30"/>
  <c r="L29" i="30"/>
  <c r="X30" i="30"/>
  <c r="L31" i="30"/>
  <c r="F10" i="30"/>
  <c r="F12" i="30"/>
  <c r="F14" i="30"/>
  <c r="F22" i="30"/>
  <c r="F24" i="30"/>
  <c r="F26" i="30"/>
  <c r="F28" i="30"/>
  <c r="F30" i="30"/>
  <c r="G4" i="30"/>
  <c r="G6" i="30"/>
  <c r="G8" i="30"/>
  <c r="G10" i="30"/>
  <c r="G12" i="30"/>
  <c r="G14" i="30"/>
  <c r="G16" i="30"/>
  <c r="G18" i="30"/>
  <c r="G20" i="30"/>
  <c r="G22" i="30"/>
  <c r="G26" i="30"/>
  <c r="G28" i="30"/>
  <c r="G30" i="30"/>
  <c r="AG4" i="30"/>
  <c r="G8" i="24" s="1"/>
  <c r="AG6" i="30"/>
  <c r="AG8" i="30"/>
  <c r="AG20" i="30"/>
  <c r="G24" i="24" s="1"/>
  <c r="AH4" i="30"/>
  <c r="AI24" i="30"/>
  <c r="AE30" i="29"/>
  <c r="AE37" i="29"/>
  <c r="AE17" i="29"/>
  <c r="AE9" i="29"/>
  <c r="AE23" i="29"/>
  <c r="AE35" i="29"/>
  <c r="AE15" i="29"/>
  <c r="AE20" i="29"/>
  <c r="AE10" i="29"/>
  <c r="AE26" i="29"/>
  <c r="AE22" i="29"/>
  <c r="AE25" i="29"/>
  <c r="AE27" i="29"/>
  <c r="AE8" i="29"/>
  <c r="AE16" i="29"/>
  <c r="AE19" i="29"/>
  <c r="AE29" i="29"/>
  <c r="AE11" i="29"/>
  <c r="AE28" i="29"/>
  <c r="AE32" i="29"/>
  <c r="AE36" i="29"/>
  <c r="AE13" i="29"/>
  <c r="AE14" i="29"/>
  <c r="AE21" i="29"/>
  <c r="AE33" i="29"/>
  <c r="AE24" i="29"/>
  <c r="AE18" i="29"/>
  <c r="AE31" i="29"/>
  <c r="AE12" i="29"/>
  <c r="AE34" i="29"/>
  <c r="M24" i="28"/>
  <c r="M20" i="28"/>
  <c r="M29" i="28"/>
  <c r="M9" i="28"/>
  <c r="S24" i="28"/>
  <c r="Y31" i="28"/>
  <c r="Y30" i="28"/>
  <c r="Y12" i="28"/>
  <c r="Y9" i="28"/>
  <c r="Y18" i="28"/>
  <c r="Y17" i="28"/>
  <c r="AI31" i="28"/>
  <c r="AE23" i="28"/>
  <c r="AE31" i="28"/>
  <c r="D19" i="24"/>
  <c r="AC35" i="28"/>
  <c r="AI32" i="28"/>
  <c r="D23" i="24"/>
  <c r="AD4" i="28"/>
  <c r="AI33" i="28"/>
  <c r="AH13" i="28"/>
  <c r="D31" i="24"/>
  <c r="D35" i="24"/>
  <c r="AH21" i="28"/>
  <c r="AJ21" i="28" s="1"/>
  <c r="AH17" i="28"/>
  <c r="AH32" i="28"/>
  <c r="AH33" i="28"/>
  <c r="AH9" i="28"/>
  <c r="AH29" i="28"/>
  <c r="AJ29" i="28" s="1"/>
  <c r="AI34" i="28"/>
  <c r="M4" i="28"/>
  <c r="Y34" i="28"/>
  <c r="Y32" i="28"/>
  <c r="L33" i="28"/>
  <c r="AE33" i="28"/>
  <c r="S32" i="28"/>
  <c r="R34" i="28"/>
  <c r="G33" i="28"/>
  <c r="Y33" i="28"/>
  <c r="M32" i="28"/>
  <c r="L34" i="28"/>
  <c r="D37" i="24"/>
  <c r="D38" i="24"/>
  <c r="D36" i="24"/>
  <c r="AE34" i="28"/>
  <c r="G34" i="28"/>
  <c r="S33" i="28"/>
  <c r="AE32" i="28"/>
  <c r="G32" i="28"/>
  <c r="AG4" i="28"/>
  <c r="D8" i="24" s="1"/>
  <c r="D24" i="24"/>
  <c r="D32" i="24"/>
  <c r="S5" i="28"/>
  <c r="S9" i="28"/>
  <c r="AH12" i="28"/>
  <c r="AH16" i="28"/>
  <c r="S17" i="28"/>
  <c r="AH20" i="28"/>
  <c r="AH24" i="28"/>
  <c r="AH28" i="28"/>
  <c r="AI4" i="28"/>
  <c r="AD6" i="28"/>
  <c r="AI8" i="28"/>
  <c r="AD10" i="28"/>
  <c r="AI12" i="28"/>
  <c r="AD14" i="28"/>
  <c r="AI16" i="28"/>
  <c r="AD18" i="28"/>
  <c r="AI20" i="28"/>
  <c r="AE22" i="28"/>
  <c r="AI24" i="28"/>
  <c r="AD26" i="28"/>
  <c r="AI28" i="28"/>
  <c r="AD30" i="28"/>
  <c r="Y29" i="28"/>
  <c r="D27" i="24"/>
  <c r="AH19" i="28"/>
  <c r="AH23" i="28"/>
  <c r="AH27" i="28"/>
  <c r="AH31" i="28"/>
  <c r="J35" i="28"/>
  <c r="AH7" i="28"/>
  <c r="AH15" i="28"/>
  <c r="AI15" i="28"/>
  <c r="AI19" i="28"/>
  <c r="AI23" i="28"/>
  <c r="AI27" i="28"/>
  <c r="Q35" i="28"/>
  <c r="M7" i="28"/>
  <c r="M11" i="28"/>
  <c r="M15" i="28"/>
  <c r="M19" i="28"/>
  <c r="M23" i="28"/>
  <c r="M27" i="28"/>
  <c r="M31" i="28"/>
  <c r="D15" i="24"/>
  <c r="AH11" i="28"/>
  <c r="AI11" i="28"/>
  <c r="V35" i="28"/>
  <c r="K35" i="28"/>
  <c r="D18" i="24"/>
  <c r="D30" i="24"/>
  <c r="W35" i="28"/>
  <c r="AH6" i="28"/>
  <c r="R7" i="28"/>
  <c r="AH10" i="28"/>
  <c r="R11" i="28"/>
  <c r="AH14" i="28"/>
  <c r="R15" i="28"/>
  <c r="AH18" i="28"/>
  <c r="R19" i="28"/>
  <c r="AH22" i="28"/>
  <c r="R23" i="28"/>
  <c r="AH26" i="28"/>
  <c r="R27" i="28"/>
  <c r="AH30" i="28"/>
  <c r="R31" i="28"/>
  <c r="AI7" i="28"/>
  <c r="AI10" i="28"/>
  <c r="AI14" i="28"/>
  <c r="AI18" i="28"/>
  <c r="AI22" i="28"/>
  <c r="AI26" i="28"/>
  <c r="AE28" i="28"/>
  <c r="AI30" i="28"/>
  <c r="AB35" i="28"/>
  <c r="M6" i="28"/>
  <c r="M10" i="28"/>
  <c r="M14" i="28"/>
  <c r="M18" i="28"/>
  <c r="M22" i="28"/>
  <c r="M26" i="28"/>
  <c r="M30" i="28"/>
  <c r="Y7" i="28"/>
  <c r="Y11" i="28"/>
  <c r="Y15" i="28"/>
  <c r="Y19" i="28"/>
  <c r="Y23" i="28"/>
  <c r="Y27" i="28"/>
  <c r="F13" i="28"/>
  <c r="F17" i="28"/>
  <c r="AI5" i="28"/>
  <c r="AI13" i="28"/>
  <c r="AI17" i="28"/>
  <c r="AI21" i="28"/>
  <c r="AK21" i="28" s="1"/>
  <c r="AI25" i="28"/>
  <c r="AK25" i="28" s="1"/>
  <c r="AI29" i="28"/>
  <c r="AK29" i="28" s="1"/>
  <c r="AI9" i="28"/>
  <c r="O35" i="28"/>
  <c r="R35" i="28" s="1"/>
  <c r="D12" i="24"/>
  <c r="D28" i="24"/>
  <c r="AH4" i="28"/>
  <c r="AH8" i="28"/>
  <c r="S13" i="28"/>
  <c r="AJ25" i="28"/>
  <c r="R4" i="28"/>
  <c r="R14" i="28"/>
  <c r="F19" i="28"/>
  <c r="AD21" i="28"/>
  <c r="R22" i="28"/>
  <c r="AD23" i="28"/>
  <c r="R24" i="28"/>
  <c r="F25" i="28"/>
  <c r="AD25" i="28"/>
  <c r="R26" i="28"/>
  <c r="AD27" i="28"/>
  <c r="R28" i="28"/>
  <c r="F29" i="28"/>
  <c r="AD29" i="28"/>
  <c r="R30" i="28"/>
  <c r="F31" i="28"/>
  <c r="AD31" i="28"/>
  <c r="AD5" i="28"/>
  <c r="R8" i="28"/>
  <c r="R10" i="28"/>
  <c r="R12" i="28"/>
  <c r="AD13" i="28"/>
  <c r="F15" i="28"/>
  <c r="AD15" i="28"/>
  <c r="R16" i="28"/>
  <c r="F21" i="28"/>
  <c r="F23" i="28"/>
  <c r="F27" i="28"/>
  <c r="G5" i="28"/>
  <c r="S6" i="28"/>
  <c r="G7" i="28"/>
  <c r="AE7" i="28"/>
  <c r="G9" i="28"/>
  <c r="AE9" i="28"/>
  <c r="G11" i="28"/>
  <c r="AE11" i="28"/>
  <c r="G13" i="28"/>
  <c r="G15" i="28"/>
  <c r="G17" i="28"/>
  <c r="AE17" i="28"/>
  <c r="S18" i="28"/>
  <c r="G19" i="28"/>
  <c r="AE19" i="28"/>
  <c r="S20" i="28"/>
  <c r="G21" i="28"/>
  <c r="G23" i="28"/>
  <c r="G25" i="28"/>
  <c r="G27" i="28"/>
  <c r="G29" i="28"/>
  <c r="G31" i="28"/>
  <c r="F11" i="28"/>
  <c r="D9" i="24"/>
  <c r="D13" i="24"/>
  <c r="D17" i="24"/>
  <c r="D21" i="24"/>
  <c r="U35" i="28"/>
  <c r="D11" i="24"/>
  <c r="X8" i="28"/>
  <c r="L11" i="28"/>
  <c r="X12" i="28"/>
  <c r="X14" i="28"/>
  <c r="L15" i="28"/>
  <c r="X16" i="28"/>
  <c r="L17" i="28"/>
  <c r="X18" i="28"/>
  <c r="L19" i="28"/>
  <c r="X20" i="28"/>
  <c r="L21" i="28"/>
  <c r="X22" i="28"/>
  <c r="L23" i="28"/>
  <c r="X24" i="28"/>
  <c r="L25" i="28"/>
  <c r="X26" i="28"/>
  <c r="L27" i="28"/>
  <c r="X28" i="28"/>
  <c r="L29" i="28"/>
  <c r="X30" i="28"/>
  <c r="L31" i="28"/>
  <c r="X4" i="28"/>
  <c r="L5" i="28"/>
  <c r="X6" i="28"/>
  <c r="L7" i="28"/>
  <c r="L9" i="28"/>
  <c r="X10" i="28"/>
  <c r="L13" i="28"/>
  <c r="AA35" i="28"/>
  <c r="D35" i="28"/>
  <c r="C35" i="28"/>
  <c r="E35" i="28"/>
  <c r="F8" i="28"/>
  <c r="R5" i="28"/>
  <c r="R9" i="28"/>
  <c r="R13" i="28"/>
  <c r="R17" i="28"/>
  <c r="F20" i="28"/>
  <c r="AD22" i="28"/>
  <c r="F26" i="28"/>
  <c r="F28" i="28"/>
  <c r="AD28" i="28"/>
  <c r="G4" i="28"/>
  <c r="AE4" i="28"/>
  <c r="G6" i="28"/>
  <c r="AE6" i="28"/>
  <c r="S7" i="28"/>
  <c r="G8" i="28"/>
  <c r="AE8" i="28"/>
  <c r="G10" i="28"/>
  <c r="AE10" i="28"/>
  <c r="S11" i="28"/>
  <c r="G12" i="28"/>
  <c r="AE12" i="28"/>
  <c r="G14" i="28"/>
  <c r="AE14" i="28"/>
  <c r="S15" i="28"/>
  <c r="G16" i="28"/>
  <c r="AE16" i="28"/>
  <c r="G18" i="28"/>
  <c r="AE18" i="28"/>
  <c r="S19" i="28"/>
  <c r="G20" i="28"/>
  <c r="AE20" i="28"/>
  <c r="S21" i="28"/>
  <c r="G22" i="28"/>
  <c r="S23" i="28"/>
  <c r="G24" i="28"/>
  <c r="AE24" i="28"/>
  <c r="S25" i="28"/>
  <c r="G26" i="28"/>
  <c r="AE26" i="28"/>
  <c r="S27" i="28"/>
  <c r="G28" i="28"/>
  <c r="S29" i="28"/>
  <c r="G30" i="28"/>
  <c r="AE30" i="28"/>
  <c r="S31" i="28"/>
  <c r="F4" i="28"/>
  <c r="F14" i="28"/>
  <c r="F24" i="28"/>
  <c r="D10" i="24"/>
  <c r="D14" i="24"/>
  <c r="D16" i="24"/>
  <c r="D20" i="24"/>
  <c r="D22" i="24"/>
  <c r="D26" i="24"/>
  <c r="D34" i="24"/>
  <c r="I35" i="28"/>
  <c r="L4" i="28"/>
  <c r="X5" i="28"/>
  <c r="L6" i="28"/>
  <c r="X7" i="28"/>
  <c r="L8" i="28"/>
  <c r="X9" i="28"/>
  <c r="L10" i="28"/>
  <c r="X11" i="28"/>
  <c r="L12" i="28"/>
  <c r="X13" i="28"/>
  <c r="L14" i="28"/>
  <c r="X15" i="28"/>
  <c r="L16" i="28"/>
  <c r="X17" i="28"/>
  <c r="L18" i="28"/>
  <c r="X19" i="28"/>
  <c r="L20" i="28"/>
  <c r="X21" i="28"/>
  <c r="L22" i="28"/>
  <c r="X23" i="28"/>
  <c r="L24" i="28"/>
  <c r="X25" i="28"/>
  <c r="L26" i="28"/>
  <c r="X27" i="28"/>
  <c r="L28" i="28"/>
  <c r="X29" i="28"/>
  <c r="L30" i="28"/>
  <c r="X31" i="28"/>
  <c r="O3" i="17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2" i="17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2" i="17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2" i="17"/>
  <c r="AB7" i="29" l="1"/>
  <c r="A6" i="12"/>
  <c r="A5" i="25" s="1"/>
  <c r="A5" i="21" s="1"/>
  <c r="A9" i="27"/>
  <c r="A9" i="9"/>
  <c r="A7" i="11" s="1"/>
  <c r="A8" i="29" s="1"/>
  <c r="AK22" i="30"/>
  <c r="AJ22" i="30"/>
  <c r="AK15" i="30"/>
  <c r="AK5" i="30"/>
  <c r="AJ25" i="30"/>
  <c r="AJ15" i="30"/>
  <c r="AK25" i="30"/>
  <c r="AJ5" i="30"/>
  <c r="AJ13" i="30"/>
  <c r="G17" i="24"/>
  <c r="AJ6" i="30"/>
  <c r="G10" i="24"/>
  <c r="AK7" i="30"/>
  <c r="G11" i="24"/>
  <c r="AK10" i="30"/>
  <c r="G14" i="24"/>
  <c r="AJ34" i="30"/>
  <c r="G38" i="24"/>
  <c r="AJ8" i="30"/>
  <c r="G12" i="24"/>
  <c r="AJ21" i="30"/>
  <c r="AK30" i="30"/>
  <c r="G34" i="24"/>
  <c r="AJ17" i="30"/>
  <c r="G21" i="24"/>
  <c r="AK18" i="30"/>
  <c r="G22" i="24"/>
  <c r="AK21" i="30"/>
  <c r="AK15" i="28"/>
  <c r="AJ15" i="28"/>
  <c r="AK26" i="30"/>
  <c r="AJ10" i="30"/>
  <c r="AJ26" i="30"/>
  <c r="AK14" i="30"/>
  <c r="AJ7" i="30"/>
  <c r="AK24" i="30"/>
  <c r="AJ20" i="30"/>
  <c r="AJ16" i="30"/>
  <c r="AJ27" i="30"/>
  <c r="AK17" i="30"/>
  <c r="AJ24" i="30"/>
  <c r="AJ31" i="30"/>
  <c r="AJ29" i="30"/>
  <c r="AK16" i="30"/>
  <c r="AK28" i="30"/>
  <c r="AJ23" i="30"/>
  <c r="AJ30" i="30"/>
  <c r="AK34" i="30"/>
  <c r="AJ19" i="30"/>
  <c r="AK29" i="30"/>
  <c r="AJ14" i="30"/>
  <c r="AK27" i="30"/>
  <c r="AK19" i="30"/>
  <c r="AJ18" i="30"/>
  <c r="AJ28" i="30"/>
  <c r="AK23" i="30"/>
  <c r="AJ11" i="30"/>
  <c r="AJ9" i="30"/>
  <c r="AK11" i="30"/>
  <c r="AK13" i="30"/>
  <c r="AK9" i="30"/>
  <c r="AJ33" i="30"/>
  <c r="AK4" i="30"/>
  <c r="AK31" i="30"/>
  <c r="AK33" i="30"/>
  <c r="AJ32" i="30"/>
  <c r="AK32" i="30"/>
  <c r="AK20" i="30"/>
  <c r="AJ4" i="30"/>
  <c r="AK6" i="30"/>
  <c r="AK8" i="30"/>
  <c r="AK31" i="28"/>
  <c r="AK19" i="28"/>
  <c r="AJ19" i="28"/>
  <c r="AJ14" i="28"/>
  <c r="AJ27" i="28"/>
  <c r="AJ24" i="28"/>
  <c r="AJ31" i="28"/>
  <c r="AK27" i="28"/>
  <c r="AK8" i="28"/>
  <c r="AK24" i="28"/>
  <c r="AJ20" i="28"/>
  <c r="AJ26" i="28"/>
  <c r="AK20" i="28"/>
  <c r="AK14" i="28"/>
  <c r="AK26" i="28"/>
  <c r="AH35" i="28"/>
  <c r="AK11" i="28"/>
  <c r="AK23" i="28"/>
  <c r="AK28" i="28"/>
  <c r="AK4" i="28"/>
  <c r="AI35" i="28"/>
  <c r="AK32" i="28"/>
  <c r="AJ32" i="28"/>
  <c r="AJ34" i="28"/>
  <c r="AK34" i="28"/>
  <c r="AJ33" i="28"/>
  <c r="AK33" i="28"/>
  <c r="AJ11" i="28"/>
  <c r="S35" i="28"/>
  <c r="AJ28" i="28"/>
  <c r="AJ8" i="28"/>
  <c r="AJ4" i="28"/>
  <c r="AJ23" i="28"/>
  <c r="AK10" i="28"/>
  <c r="AJ10" i="28"/>
  <c r="AK12" i="28"/>
  <c r="AJ12" i="28"/>
  <c r="AK16" i="28"/>
  <c r="AJ16" i="28"/>
  <c r="AK6" i="28"/>
  <c r="AJ6" i="28"/>
  <c r="AK7" i="28"/>
  <c r="AJ7" i="28"/>
  <c r="AK18" i="28"/>
  <c r="AJ18" i="28"/>
  <c r="Y35" i="28"/>
  <c r="X35" i="28"/>
  <c r="AK22" i="28"/>
  <c r="AJ22" i="28"/>
  <c r="AK17" i="28"/>
  <c r="AJ17" i="28"/>
  <c r="AK13" i="28"/>
  <c r="AJ13" i="28"/>
  <c r="AK5" i="28"/>
  <c r="AJ5" i="28"/>
  <c r="AK9" i="28"/>
  <c r="AJ9" i="28"/>
  <c r="AG35" i="28"/>
  <c r="D39" i="24" s="1"/>
  <c r="F35" i="28"/>
  <c r="G35" i="28"/>
  <c r="M35" i="28"/>
  <c r="L35" i="28"/>
  <c r="AE35" i="28"/>
  <c r="AD35" i="28"/>
  <c r="AK30" i="28"/>
  <c r="AJ30" i="28"/>
  <c r="K30" i="26"/>
  <c r="L30" i="26"/>
  <c r="N30" i="26"/>
  <c r="O30" i="26"/>
  <c r="P30" i="26"/>
  <c r="Q30" i="26"/>
  <c r="R30" i="26"/>
  <c r="S30" i="26"/>
  <c r="T30" i="26"/>
  <c r="U30" i="26"/>
  <c r="V30" i="26"/>
  <c r="W30" i="26"/>
  <c r="X30" i="26"/>
  <c r="Z30" i="26"/>
  <c r="AE30" i="26"/>
  <c r="AF30" i="26"/>
  <c r="AG30" i="26"/>
  <c r="AH30" i="26"/>
  <c r="AI30" i="26"/>
  <c r="AJ30" i="26"/>
  <c r="AK30" i="26"/>
  <c r="AL30" i="26"/>
  <c r="AM30" i="26"/>
  <c r="K31" i="26"/>
  <c r="L31" i="26"/>
  <c r="N31" i="26"/>
  <c r="O31" i="26"/>
  <c r="P31" i="26"/>
  <c r="Q31" i="26"/>
  <c r="R31" i="26"/>
  <c r="S31" i="26"/>
  <c r="T31" i="26"/>
  <c r="U31" i="26"/>
  <c r="V31" i="26"/>
  <c r="W31" i="26"/>
  <c r="X31" i="26"/>
  <c r="Z31" i="26"/>
  <c r="AE31" i="26"/>
  <c r="AF31" i="26"/>
  <c r="AG31" i="26"/>
  <c r="AH31" i="26"/>
  <c r="AI31" i="26"/>
  <c r="AJ31" i="26"/>
  <c r="AK31" i="26"/>
  <c r="AL31" i="26"/>
  <c r="AM31" i="26"/>
  <c r="K32" i="26"/>
  <c r="L32" i="26"/>
  <c r="N32" i="26"/>
  <c r="Q32" i="26"/>
  <c r="R32" i="26"/>
  <c r="S32" i="26"/>
  <c r="V32" i="26"/>
  <c r="W32" i="26"/>
  <c r="X32" i="26"/>
  <c r="Z32" i="26"/>
  <c r="AE32" i="26"/>
  <c r="AF32" i="26"/>
  <c r="AG32" i="26"/>
  <c r="AH32" i="26"/>
  <c r="AK32" i="26"/>
  <c r="AL32" i="26"/>
  <c r="AM32" i="26"/>
  <c r="AB8" i="29" l="1"/>
  <c r="A7" i="12"/>
  <c r="A6" i="25" s="1"/>
  <c r="A6" i="21" s="1"/>
  <c r="A10" i="27"/>
  <c r="A10" i="9"/>
  <c r="A8" i="11" s="1"/>
  <c r="A9" i="29" s="1"/>
  <c r="G39" i="24"/>
  <c r="AI32" i="26"/>
  <c r="M30" i="26"/>
  <c r="O32" i="26"/>
  <c r="Y30" i="26"/>
  <c r="AJ32" i="26"/>
  <c r="Y32" i="26"/>
  <c r="P32" i="26"/>
  <c r="M32" i="26"/>
  <c r="Y31" i="26"/>
  <c r="M31" i="26"/>
  <c r="T32" i="26"/>
  <c r="AK35" i="28"/>
  <c r="AJ35" i="28"/>
  <c r="AA32" i="26"/>
  <c r="U32" i="26"/>
  <c r="AA31" i="26"/>
  <c r="AA30" i="26"/>
  <c r="AB9" i="29" l="1"/>
  <c r="A8" i="12"/>
  <c r="A7" i="25" s="1"/>
  <c r="A7" i="21" s="1"/>
  <c r="A11" i="27"/>
  <c r="A11" i="9"/>
  <c r="A9" i="11" s="1"/>
  <c r="A10" i="29" s="1"/>
  <c r="F33" i="21"/>
  <c r="G33" i="21" s="1"/>
  <c r="H36" i="24" s="1"/>
  <c r="F34" i="21"/>
  <c r="G34" i="21" s="1"/>
  <c r="H37" i="24" s="1"/>
  <c r="F35" i="21"/>
  <c r="G35" i="21" s="1"/>
  <c r="H38" i="24" s="1"/>
  <c r="C36" i="24"/>
  <c r="C37" i="24"/>
  <c r="K31" i="17"/>
  <c r="G31" i="17"/>
  <c r="C38" i="24"/>
  <c r="K32" i="17"/>
  <c r="G32" i="17"/>
  <c r="C30" i="26"/>
  <c r="D30" i="26"/>
  <c r="BM30" i="26"/>
  <c r="B36" i="24" s="1"/>
  <c r="C31" i="26"/>
  <c r="D31" i="26"/>
  <c r="BM31" i="26"/>
  <c r="B37" i="24" s="1"/>
  <c r="BN31" i="26"/>
  <c r="C32" i="26"/>
  <c r="D32" i="26"/>
  <c r="BM32" i="26"/>
  <c r="B38" i="24" s="1"/>
  <c r="BN32" i="26"/>
  <c r="AB10" i="29" l="1"/>
  <c r="A9" i="12"/>
  <c r="A8" i="25" s="1"/>
  <c r="A8" i="21" s="1"/>
  <c r="A12" i="27"/>
  <c r="A12" i="9"/>
  <c r="A10" i="11" s="1"/>
  <c r="A11" i="29" s="1"/>
  <c r="E31" i="26"/>
  <c r="E32" i="26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8" i="24"/>
  <c r="D36" i="25"/>
  <c r="BN30" i="26" s="1"/>
  <c r="AE2" i="26"/>
  <c r="C3" i="26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2" i="26"/>
  <c r="C2" i="26"/>
  <c r="AB11" i="29" l="1"/>
  <c r="A10" i="12"/>
  <c r="A9" i="25" s="1"/>
  <c r="A9" i="21" s="1"/>
  <c r="A13" i="27"/>
  <c r="A13" i="9"/>
  <c r="A11" i="11" s="1"/>
  <c r="A12" i="29" s="1"/>
  <c r="BN3" i="26"/>
  <c r="BN4" i="26"/>
  <c r="BN5" i="26"/>
  <c r="BN6" i="26"/>
  <c r="BN7" i="26"/>
  <c r="BN8" i="26"/>
  <c r="BN9" i="26"/>
  <c r="BN10" i="26"/>
  <c r="BN11" i="26"/>
  <c r="BN12" i="26"/>
  <c r="BN13" i="26"/>
  <c r="BN14" i="26"/>
  <c r="BN15" i="26"/>
  <c r="BN16" i="26"/>
  <c r="BN17" i="26"/>
  <c r="BN18" i="26"/>
  <c r="BN19" i="26"/>
  <c r="BN20" i="26"/>
  <c r="BN21" i="26"/>
  <c r="BN22" i="26"/>
  <c r="BN23" i="26"/>
  <c r="BN24" i="26"/>
  <c r="BN25" i="26"/>
  <c r="BN26" i="26"/>
  <c r="BN27" i="26"/>
  <c r="BN28" i="26"/>
  <c r="BN29" i="26"/>
  <c r="BN2" i="26"/>
  <c r="BM3" i="26"/>
  <c r="B9" i="24" s="1"/>
  <c r="BM4" i="26"/>
  <c r="B10" i="24" s="1"/>
  <c r="BM5" i="26"/>
  <c r="B11" i="24" s="1"/>
  <c r="BM6" i="26"/>
  <c r="B12" i="24" s="1"/>
  <c r="BM7" i="26"/>
  <c r="B13" i="24" s="1"/>
  <c r="BM8" i="26"/>
  <c r="B14" i="24" s="1"/>
  <c r="BM9" i="26"/>
  <c r="B15" i="24" s="1"/>
  <c r="BM10" i="26"/>
  <c r="B16" i="24" s="1"/>
  <c r="BM11" i="26"/>
  <c r="B17" i="24" s="1"/>
  <c r="BM12" i="26"/>
  <c r="B18" i="24" s="1"/>
  <c r="BM13" i="26"/>
  <c r="B19" i="24" s="1"/>
  <c r="BM14" i="26"/>
  <c r="B20" i="24" s="1"/>
  <c r="BM15" i="26"/>
  <c r="B21" i="24" s="1"/>
  <c r="BM16" i="26"/>
  <c r="B22" i="24" s="1"/>
  <c r="BM17" i="26"/>
  <c r="B23" i="24" s="1"/>
  <c r="BM18" i="26"/>
  <c r="B24" i="24" s="1"/>
  <c r="BM19" i="26"/>
  <c r="B25" i="24" s="1"/>
  <c r="BM20" i="26"/>
  <c r="B26" i="24" s="1"/>
  <c r="BM21" i="26"/>
  <c r="B27" i="24" s="1"/>
  <c r="BM22" i="26"/>
  <c r="B28" i="24" s="1"/>
  <c r="BM23" i="26"/>
  <c r="B29" i="24" s="1"/>
  <c r="BM24" i="26"/>
  <c r="B30" i="24" s="1"/>
  <c r="BM25" i="26"/>
  <c r="B31" i="24" s="1"/>
  <c r="BM26" i="26"/>
  <c r="B32" i="24" s="1"/>
  <c r="BM27" i="26"/>
  <c r="B33" i="24" s="1"/>
  <c r="BM28" i="26"/>
  <c r="B34" i="24" s="1"/>
  <c r="BM29" i="26"/>
  <c r="B35" i="24" s="1"/>
  <c r="BM2" i="26"/>
  <c r="B8" i="24" s="1"/>
  <c r="AB12" i="29" l="1"/>
  <c r="A11" i="12"/>
  <c r="A10" i="25" s="1"/>
  <c r="A10" i="21" s="1"/>
  <c r="A14" i="27"/>
  <c r="A14" i="9"/>
  <c r="A12" i="11" s="1"/>
  <c r="A13" i="29" s="1"/>
  <c r="R2" i="26"/>
  <c r="A12" i="12" l="1"/>
  <c r="A11" i="25" s="1"/>
  <c r="A11" i="21" s="1"/>
  <c r="AB13" i="29"/>
  <c r="A15" i="27"/>
  <c r="A15" i="9"/>
  <c r="A13" i="11" s="1"/>
  <c r="A14" i="29" s="1"/>
  <c r="P2" i="26"/>
  <c r="A13" i="12" l="1"/>
  <c r="A12" i="25" s="1"/>
  <c r="A12" i="21" s="1"/>
  <c r="AB14" i="29"/>
  <c r="A16" i="27"/>
  <c r="A16" i="9"/>
  <c r="A14" i="11" s="1"/>
  <c r="A15" i="29" s="1"/>
  <c r="Z2" i="26"/>
  <c r="Y2" i="26"/>
  <c r="AB15" i="29" l="1"/>
  <c r="A14" i="12"/>
  <c r="A13" i="25" s="1"/>
  <c r="A13" i="21" s="1"/>
  <c r="A17" i="27"/>
  <c r="A17" i="9"/>
  <c r="A15" i="11" s="1"/>
  <c r="A16" i="29" s="1"/>
  <c r="V2" i="26"/>
  <c r="U2" i="26"/>
  <c r="T2" i="26"/>
  <c r="S2" i="26"/>
  <c r="AB16" i="29" l="1"/>
  <c r="A15" i="12"/>
  <c r="A14" i="25" s="1"/>
  <c r="A14" i="21" s="1"/>
  <c r="A18" i="27"/>
  <c r="A18" i="9"/>
  <c r="A16" i="11" s="1"/>
  <c r="A17" i="29" s="1"/>
  <c r="W2" i="26"/>
  <c r="AB17" i="29" l="1"/>
  <c r="A16" i="12"/>
  <c r="A15" i="25" s="1"/>
  <c r="A15" i="21" s="1"/>
  <c r="A19" i="27"/>
  <c r="A19" i="9"/>
  <c r="A17" i="11" s="1"/>
  <c r="A18" i="29" s="1"/>
  <c r="AA2" i="26"/>
  <c r="X2" i="26"/>
  <c r="AB18" i="29" l="1"/>
  <c r="A17" i="12"/>
  <c r="A16" i="25" s="1"/>
  <c r="A16" i="21" s="1"/>
  <c r="A20" i="27"/>
  <c r="A20" i="9"/>
  <c r="A18" i="11" s="1"/>
  <c r="A19" i="29" s="1"/>
  <c r="AM14" i="26"/>
  <c r="AL14" i="26"/>
  <c r="AH14" i="26"/>
  <c r="AF14" i="26"/>
  <c r="AE13" i="26"/>
  <c r="AE14" i="26"/>
  <c r="Z13" i="26"/>
  <c r="Z14" i="26"/>
  <c r="Z16" i="26"/>
  <c r="Y13" i="26"/>
  <c r="Y14" i="26"/>
  <c r="Y15" i="26"/>
  <c r="Y16" i="26"/>
  <c r="X13" i="26"/>
  <c r="X14" i="26"/>
  <c r="X15" i="26"/>
  <c r="W15" i="26"/>
  <c r="W17" i="26"/>
  <c r="W18" i="26"/>
  <c r="V13" i="26"/>
  <c r="V14" i="26"/>
  <c r="V15" i="26"/>
  <c r="U13" i="26"/>
  <c r="U14" i="26"/>
  <c r="U15" i="26"/>
  <c r="T13" i="26"/>
  <c r="T15" i="26"/>
  <c r="S13" i="26"/>
  <c r="S15" i="26"/>
  <c r="S16" i="26"/>
  <c r="R14" i="26"/>
  <c r="R16" i="26"/>
  <c r="Q14" i="26"/>
  <c r="Q15" i="26"/>
  <c r="P13" i="26"/>
  <c r="P14" i="26"/>
  <c r="P15" i="26"/>
  <c r="O13" i="26"/>
  <c r="O14" i="26"/>
  <c r="L13" i="26"/>
  <c r="K14" i="26"/>
  <c r="AH13" i="26"/>
  <c r="AH15" i="26"/>
  <c r="AG13" i="26"/>
  <c r="AG14" i="26"/>
  <c r="AG15" i="26"/>
  <c r="AG16" i="26"/>
  <c r="AF13" i="26"/>
  <c r="AF15" i="26"/>
  <c r="AF16" i="26"/>
  <c r="O12" i="26"/>
  <c r="N5" i="26"/>
  <c r="AJ2" i="26"/>
  <c r="AK2" i="26"/>
  <c r="AL2" i="26"/>
  <c r="AM2" i="26"/>
  <c r="AI2" i="26"/>
  <c r="AH2" i="26"/>
  <c r="AG2" i="26"/>
  <c r="AF2" i="26"/>
  <c r="Q2" i="26"/>
  <c r="O2" i="26"/>
  <c r="N2" i="26"/>
  <c r="M2" i="26"/>
  <c r="L2" i="26"/>
  <c r="K2" i="26"/>
  <c r="AM4" i="26"/>
  <c r="AM5" i="26"/>
  <c r="AM6" i="26"/>
  <c r="AM7" i="26"/>
  <c r="AM8" i="26"/>
  <c r="AM9" i="26"/>
  <c r="AM10" i="26"/>
  <c r="AM11" i="26"/>
  <c r="AM12" i="26"/>
  <c r="AM15" i="26"/>
  <c r="AM16" i="26"/>
  <c r="AM17" i="26"/>
  <c r="AM18" i="26"/>
  <c r="AM19" i="26"/>
  <c r="AM20" i="26"/>
  <c r="AM21" i="26"/>
  <c r="AM22" i="26"/>
  <c r="AM23" i="26"/>
  <c r="AM24" i="26"/>
  <c r="AM25" i="26"/>
  <c r="AM26" i="26"/>
  <c r="AM27" i="26"/>
  <c r="AM28" i="26"/>
  <c r="AM29" i="26"/>
  <c r="AM3" i="26"/>
  <c r="AL4" i="26"/>
  <c r="AL5" i="26"/>
  <c r="AL6" i="26"/>
  <c r="AL7" i="26"/>
  <c r="AL8" i="26"/>
  <c r="AL9" i="26"/>
  <c r="AL10" i="26"/>
  <c r="AL11" i="26"/>
  <c r="AL12" i="26"/>
  <c r="AL15" i="26"/>
  <c r="AL16" i="26"/>
  <c r="AL17" i="26"/>
  <c r="AL18" i="26"/>
  <c r="AL19" i="26"/>
  <c r="AL20" i="26"/>
  <c r="AL21" i="26"/>
  <c r="AL22" i="26"/>
  <c r="AL23" i="26"/>
  <c r="AL24" i="26"/>
  <c r="AL25" i="26"/>
  <c r="AL26" i="26"/>
  <c r="AL27" i="26"/>
  <c r="AL28" i="26"/>
  <c r="AL29" i="26"/>
  <c r="AL3" i="26"/>
  <c r="AK4" i="26"/>
  <c r="AK5" i="26"/>
  <c r="AK6" i="26"/>
  <c r="AK7" i="26"/>
  <c r="AK8" i="26"/>
  <c r="AK9" i="26"/>
  <c r="AK10" i="26"/>
  <c r="AK11" i="26"/>
  <c r="AK12" i="26"/>
  <c r="AK13" i="26"/>
  <c r="AK14" i="26"/>
  <c r="AK15" i="26"/>
  <c r="AK16" i="26"/>
  <c r="AK17" i="26"/>
  <c r="AK18" i="26"/>
  <c r="AK19" i="26"/>
  <c r="AK20" i="26"/>
  <c r="AK21" i="26"/>
  <c r="AK22" i="26"/>
  <c r="AK23" i="26"/>
  <c r="AK24" i="26"/>
  <c r="AK25" i="26"/>
  <c r="AK26" i="26"/>
  <c r="AK27" i="26"/>
  <c r="AK28" i="26"/>
  <c r="AK29" i="26"/>
  <c r="AK3" i="26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" i="26"/>
  <c r="AH4" i="26"/>
  <c r="AH5" i="26"/>
  <c r="AH6" i="26"/>
  <c r="AH7" i="26"/>
  <c r="AH8" i="26"/>
  <c r="AH9" i="26"/>
  <c r="AH10" i="26"/>
  <c r="AH11" i="26"/>
  <c r="AH12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" i="26"/>
  <c r="AG4" i="26"/>
  <c r="AG5" i="26"/>
  <c r="AG6" i="26"/>
  <c r="AG7" i="26"/>
  <c r="AG8" i="26"/>
  <c r="AG9" i="26"/>
  <c r="AG10" i="26"/>
  <c r="AG11" i="26"/>
  <c r="AG12" i="26"/>
  <c r="AG17" i="26"/>
  <c r="AG18" i="26"/>
  <c r="AG19" i="26"/>
  <c r="AG20" i="26"/>
  <c r="AG21" i="26"/>
  <c r="AG22" i="26"/>
  <c r="AG23" i="26"/>
  <c r="AG24" i="26"/>
  <c r="AG25" i="26"/>
  <c r="AG26" i="26"/>
  <c r="AG27" i="26"/>
  <c r="AG28" i="26"/>
  <c r="AG29" i="26"/>
  <c r="AG3" i="26"/>
  <c r="AF4" i="26"/>
  <c r="AF5" i="26"/>
  <c r="AF6" i="26"/>
  <c r="AF7" i="26"/>
  <c r="AF8" i="26"/>
  <c r="AF9" i="26"/>
  <c r="AF10" i="26"/>
  <c r="AF11" i="26"/>
  <c r="AF12" i="26"/>
  <c r="AF17" i="26"/>
  <c r="AF18" i="26"/>
  <c r="AF19" i="26"/>
  <c r="AF20" i="26"/>
  <c r="AF21" i="26"/>
  <c r="AF22" i="26"/>
  <c r="AF23" i="26"/>
  <c r="AF24" i="26"/>
  <c r="AF25" i="26"/>
  <c r="AF26" i="26"/>
  <c r="AF27" i="26"/>
  <c r="AF28" i="26"/>
  <c r="AF29" i="26"/>
  <c r="AF3" i="26"/>
  <c r="AE4" i="26"/>
  <c r="AE5" i="26"/>
  <c r="AE6" i="26"/>
  <c r="AE7" i="26"/>
  <c r="AE8" i="26"/>
  <c r="AE9" i="26"/>
  <c r="AE10" i="26"/>
  <c r="AE11" i="26"/>
  <c r="AE12" i="26"/>
  <c r="AE15" i="26"/>
  <c r="AE16" i="26"/>
  <c r="AE17" i="26"/>
  <c r="AE18" i="26"/>
  <c r="AE19" i="26"/>
  <c r="AE20" i="26"/>
  <c r="AE21" i="26"/>
  <c r="AE22" i="26"/>
  <c r="AE23" i="26"/>
  <c r="AE24" i="26"/>
  <c r="AE25" i="26"/>
  <c r="AE26" i="26"/>
  <c r="AE27" i="26"/>
  <c r="AE28" i="26"/>
  <c r="AE3" i="26"/>
  <c r="Z4" i="26"/>
  <c r="Z5" i="26"/>
  <c r="Z6" i="26"/>
  <c r="Z7" i="26"/>
  <c r="Z8" i="26"/>
  <c r="Z9" i="26"/>
  <c r="Z10" i="26"/>
  <c r="Z11" i="26"/>
  <c r="Z12" i="26"/>
  <c r="Z15" i="26"/>
  <c r="Z17" i="26"/>
  <c r="Z18" i="26"/>
  <c r="Z19" i="26"/>
  <c r="Z20" i="26"/>
  <c r="Z21" i="26"/>
  <c r="Z22" i="26"/>
  <c r="Z23" i="26"/>
  <c r="Z24" i="26"/>
  <c r="Z25" i="26"/>
  <c r="Z26" i="26"/>
  <c r="Z27" i="26"/>
  <c r="Z28" i="26"/>
  <c r="Z29" i="26"/>
  <c r="Z3" i="26"/>
  <c r="Y4" i="26"/>
  <c r="Y5" i="26"/>
  <c r="Y6" i="26"/>
  <c r="Y7" i="26"/>
  <c r="Y8" i="26"/>
  <c r="Y9" i="26"/>
  <c r="Y10" i="26"/>
  <c r="Y11" i="26"/>
  <c r="Y12" i="26"/>
  <c r="Y17" i="26"/>
  <c r="Y18" i="26"/>
  <c r="Y19" i="26"/>
  <c r="Y20" i="26"/>
  <c r="Y21" i="26"/>
  <c r="Y22" i="26"/>
  <c r="Y23" i="26"/>
  <c r="Y24" i="26"/>
  <c r="Y29" i="26"/>
  <c r="Y3" i="26"/>
  <c r="X4" i="26"/>
  <c r="X5" i="26"/>
  <c r="X6" i="26"/>
  <c r="X7" i="26"/>
  <c r="X8" i="26"/>
  <c r="X9" i="26"/>
  <c r="X10" i="26"/>
  <c r="X11" i="26"/>
  <c r="X12" i="26"/>
  <c r="X16" i="26"/>
  <c r="X17" i="26"/>
  <c r="X18" i="26"/>
  <c r="X19" i="26"/>
  <c r="X20" i="26"/>
  <c r="X21" i="26"/>
  <c r="X22" i="26"/>
  <c r="X23" i="26"/>
  <c r="X24" i="26"/>
  <c r="X25" i="26"/>
  <c r="X26" i="26"/>
  <c r="X27" i="26"/>
  <c r="X28" i="26"/>
  <c r="X29" i="26"/>
  <c r="X3" i="26"/>
  <c r="W4" i="26"/>
  <c r="W5" i="26"/>
  <c r="W6" i="26"/>
  <c r="W7" i="26"/>
  <c r="W8" i="26"/>
  <c r="W9" i="26"/>
  <c r="W10" i="26"/>
  <c r="W11" i="26"/>
  <c r="W12" i="26"/>
  <c r="W13" i="26"/>
  <c r="W14" i="26"/>
  <c r="W16" i="26"/>
  <c r="W19" i="26"/>
  <c r="W20" i="26"/>
  <c r="W21" i="26"/>
  <c r="W22" i="26"/>
  <c r="W23" i="26"/>
  <c r="W24" i="26"/>
  <c r="W25" i="26"/>
  <c r="W26" i="26"/>
  <c r="W27" i="26"/>
  <c r="W28" i="26"/>
  <c r="W29" i="26"/>
  <c r="W3" i="26"/>
  <c r="V4" i="26"/>
  <c r="V5" i="26"/>
  <c r="V6" i="26"/>
  <c r="V7" i="26"/>
  <c r="V8" i="26"/>
  <c r="V9" i="26"/>
  <c r="V10" i="26"/>
  <c r="V11" i="26"/>
  <c r="V12" i="26"/>
  <c r="V16" i="26"/>
  <c r="V17" i="26"/>
  <c r="V18" i="26"/>
  <c r="V19" i="26"/>
  <c r="V20" i="26"/>
  <c r="V21" i="26"/>
  <c r="V22" i="26"/>
  <c r="V23" i="26"/>
  <c r="V24" i="26"/>
  <c r="V25" i="26"/>
  <c r="V26" i="26"/>
  <c r="V27" i="26"/>
  <c r="V28" i="26"/>
  <c r="V3" i="26"/>
  <c r="U4" i="26"/>
  <c r="U5" i="26"/>
  <c r="U6" i="26"/>
  <c r="U7" i="26"/>
  <c r="U8" i="26"/>
  <c r="U9" i="26"/>
  <c r="U10" i="26"/>
  <c r="U11" i="26"/>
  <c r="U12" i="26"/>
  <c r="U16" i="26"/>
  <c r="U17" i="26"/>
  <c r="U18" i="26"/>
  <c r="U19" i="26"/>
  <c r="U20" i="26"/>
  <c r="U21" i="26"/>
  <c r="U22" i="26"/>
  <c r="U23" i="26"/>
  <c r="U24" i="26"/>
  <c r="U25" i="26"/>
  <c r="U26" i="26"/>
  <c r="U27" i="26"/>
  <c r="U28" i="26"/>
  <c r="U3" i="26"/>
  <c r="T4" i="26"/>
  <c r="T5" i="26"/>
  <c r="T6" i="26"/>
  <c r="T7" i="26"/>
  <c r="T8" i="26"/>
  <c r="T9" i="26"/>
  <c r="T10" i="26"/>
  <c r="T11" i="26"/>
  <c r="T12" i="26"/>
  <c r="T14" i="26"/>
  <c r="T16" i="26"/>
  <c r="T17" i="26"/>
  <c r="T18" i="26"/>
  <c r="T19" i="26"/>
  <c r="T20" i="26"/>
  <c r="T21" i="26"/>
  <c r="T22" i="26"/>
  <c r="T23" i="26"/>
  <c r="T24" i="26"/>
  <c r="T25" i="26"/>
  <c r="T26" i="26"/>
  <c r="T27" i="26"/>
  <c r="T28" i="26"/>
  <c r="T29" i="26"/>
  <c r="T3" i="26"/>
  <c r="S4" i="26"/>
  <c r="S5" i="26"/>
  <c r="S6" i="26"/>
  <c r="S7" i="26"/>
  <c r="S8" i="26"/>
  <c r="S9" i="26"/>
  <c r="S10" i="26"/>
  <c r="S11" i="26"/>
  <c r="S12" i="26"/>
  <c r="S14" i="26"/>
  <c r="S17" i="26"/>
  <c r="S18" i="26"/>
  <c r="S19" i="26"/>
  <c r="S20" i="26"/>
  <c r="S21" i="26"/>
  <c r="S22" i="26"/>
  <c r="S23" i="26"/>
  <c r="S24" i="26"/>
  <c r="S25" i="26"/>
  <c r="S26" i="26"/>
  <c r="S27" i="26"/>
  <c r="S28" i="26"/>
  <c r="S29" i="26"/>
  <c r="S3" i="26"/>
  <c r="R4" i="26"/>
  <c r="R5" i="26"/>
  <c r="R6" i="26"/>
  <c r="R7" i="26"/>
  <c r="R8" i="26"/>
  <c r="R9" i="26"/>
  <c r="R10" i="26"/>
  <c r="R11" i="26"/>
  <c r="R12" i="26"/>
  <c r="R13" i="26"/>
  <c r="R15" i="26"/>
  <c r="R17" i="26"/>
  <c r="R18" i="26"/>
  <c r="R19" i="26"/>
  <c r="R20" i="26"/>
  <c r="R21" i="26"/>
  <c r="R22" i="26"/>
  <c r="R23" i="26"/>
  <c r="R24" i="26"/>
  <c r="R25" i="26"/>
  <c r="R26" i="26"/>
  <c r="R27" i="26"/>
  <c r="R28" i="26"/>
  <c r="R29" i="26"/>
  <c r="R3" i="26"/>
  <c r="Q4" i="26"/>
  <c r="Q5" i="26"/>
  <c r="Q6" i="26"/>
  <c r="Q7" i="26"/>
  <c r="Q8" i="26"/>
  <c r="Q9" i="26"/>
  <c r="Q10" i="26"/>
  <c r="Q11" i="26"/>
  <c r="Q12" i="26"/>
  <c r="Q13" i="26"/>
  <c r="Q16" i="26"/>
  <c r="Q17" i="26"/>
  <c r="Q18" i="26"/>
  <c r="Q19" i="26"/>
  <c r="Q20" i="26"/>
  <c r="Q21" i="26"/>
  <c r="Q22" i="26"/>
  <c r="Q23" i="26"/>
  <c r="Q24" i="26"/>
  <c r="Q25" i="26"/>
  <c r="Q26" i="26"/>
  <c r="Q27" i="26"/>
  <c r="Q28" i="26"/>
  <c r="Q29" i="26"/>
  <c r="Q3" i="26"/>
  <c r="P4" i="26"/>
  <c r="P5" i="26"/>
  <c r="P6" i="26"/>
  <c r="P7" i="26"/>
  <c r="P8" i="26"/>
  <c r="P9" i="26"/>
  <c r="P10" i="26"/>
  <c r="P11" i="26"/>
  <c r="P12" i="26"/>
  <c r="P16" i="26"/>
  <c r="P17" i="26"/>
  <c r="P18" i="26"/>
  <c r="P19" i="26"/>
  <c r="P20" i="26"/>
  <c r="P21" i="26"/>
  <c r="P22" i="26"/>
  <c r="P23" i="26"/>
  <c r="P24" i="26"/>
  <c r="P25" i="26"/>
  <c r="P26" i="26"/>
  <c r="P27" i="26"/>
  <c r="P28" i="26"/>
  <c r="P29" i="26"/>
  <c r="O4" i="26"/>
  <c r="O5" i="26"/>
  <c r="O6" i="26"/>
  <c r="O7" i="26"/>
  <c r="O8" i="26"/>
  <c r="O9" i="26"/>
  <c r="O10" i="26"/>
  <c r="O11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" i="26"/>
  <c r="N4" i="26"/>
  <c r="N6" i="26"/>
  <c r="N7" i="26"/>
  <c r="N8" i="26"/>
  <c r="N9" i="26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25" i="26"/>
  <c r="N26" i="26"/>
  <c r="N27" i="26"/>
  <c r="N28" i="26"/>
  <c r="N29" i="26"/>
  <c r="N3" i="26"/>
  <c r="L4" i="26"/>
  <c r="L5" i="26"/>
  <c r="L6" i="26"/>
  <c r="L7" i="26"/>
  <c r="L8" i="26"/>
  <c r="L9" i="26"/>
  <c r="L10" i="26"/>
  <c r="L11" i="26"/>
  <c r="L12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" i="26"/>
  <c r="K4" i="26"/>
  <c r="K5" i="26"/>
  <c r="K6" i="26"/>
  <c r="K7" i="26"/>
  <c r="K8" i="26"/>
  <c r="K9" i="26"/>
  <c r="K10" i="26"/>
  <c r="K11" i="26"/>
  <c r="K12" i="26"/>
  <c r="K13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3" i="26"/>
  <c r="F28" i="21"/>
  <c r="G28" i="21" s="1"/>
  <c r="H31" i="24" s="1"/>
  <c r="F32" i="21"/>
  <c r="G32" i="21" s="1"/>
  <c r="H35" i="24" s="1"/>
  <c r="F31" i="21"/>
  <c r="G31" i="21" s="1"/>
  <c r="H34" i="24" s="1"/>
  <c r="F30" i="21"/>
  <c r="G30" i="21" s="1"/>
  <c r="H33" i="24" s="1"/>
  <c r="F29" i="21"/>
  <c r="G29" i="21" s="1"/>
  <c r="H32" i="24" s="1"/>
  <c r="F27" i="21"/>
  <c r="G27" i="21" s="1"/>
  <c r="H30" i="24" s="1"/>
  <c r="F26" i="21"/>
  <c r="G26" i="21" s="1"/>
  <c r="H29" i="24" s="1"/>
  <c r="F25" i="21"/>
  <c r="G25" i="21" s="1"/>
  <c r="H28" i="24" s="1"/>
  <c r="F24" i="21"/>
  <c r="G24" i="21" s="1"/>
  <c r="H27" i="24" s="1"/>
  <c r="F23" i="21"/>
  <c r="G23" i="21" s="1"/>
  <c r="H26" i="24" s="1"/>
  <c r="F22" i="21"/>
  <c r="G22" i="21" s="1"/>
  <c r="H25" i="24" s="1"/>
  <c r="F21" i="21"/>
  <c r="G21" i="21" s="1"/>
  <c r="H24" i="24" s="1"/>
  <c r="F20" i="21"/>
  <c r="G20" i="21" s="1"/>
  <c r="H23" i="24" s="1"/>
  <c r="F19" i="21"/>
  <c r="G19" i="21" s="1"/>
  <c r="H22" i="24" s="1"/>
  <c r="F18" i="21"/>
  <c r="G18" i="21" s="1"/>
  <c r="H21" i="24" s="1"/>
  <c r="F17" i="21"/>
  <c r="G17" i="21" s="1"/>
  <c r="H20" i="24" s="1"/>
  <c r="F16" i="21"/>
  <c r="G16" i="21" s="1"/>
  <c r="H19" i="24" s="1"/>
  <c r="F15" i="21"/>
  <c r="G15" i="21" s="1"/>
  <c r="H18" i="24" s="1"/>
  <c r="F14" i="21"/>
  <c r="G14" i="21" s="1"/>
  <c r="H17" i="24" s="1"/>
  <c r="F13" i="21"/>
  <c r="G13" i="21" s="1"/>
  <c r="H16" i="24" s="1"/>
  <c r="F12" i="21"/>
  <c r="G12" i="21" s="1"/>
  <c r="H15" i="24" s="1"/>
  <c r="F11" i="21"/>
  <c r="G11" i="21" s="1"/>
  <c r="H14" i="24" s="1"/>
  <c r="F10" i="21"/>
  <c r="G10" i="21" s="1"/>
  <c r="H13" i="24" s="1"/>
  <c r="F9" i="21"/>
  <c r="G9" i="21" s="1"/>
  <c r="H12" i="24" s="1"/>
  <c r="F8" i="21"/>
  <c r="G8" i="21" s="1"/>
  <c r="H11" i="24" s="1"/>
  <c r="F7" i="21"/>
  <c r="G7" i="21" s="1"/>
  <c r="H10" i="24" s="1"/>
  <c r="F6" i="21"/>
  <c r="G6" i="21" s="1"/>
  <c r="H9" i="24" s="1"/>
  <c r="A18" i="12" l="1"/>
  <c r="A17" i="25" s="1"/>
  <c r="A17" i="21" s="1"/>
  <c r="AB19" i="29"/>
  <c r="A21" i="27"/>
  <c r="A21" i="9"/>
  <c r="A19" i="11" s="1"/>
  <c r="A20" i="29" s="1"/>
  <c r="K29" i="26"/>
  <c r="U29" i="26"/>
  <c r="V29" i="26"/>
  <c r="AA3" i="26"/>
  <c r="AA29" i="26"/>
  <c r="AA28" i="26"/>
  <c r="AA27" i="26"/>
  <c r="AA26" i="26"/>
  <c r="AA25" i="26"/>
  <c r="AA24" i="26"/>
  <c r="AA23" i="26"/>
  <c r="AA22" i="26"/>
  <c r="AA21" i="26"/>
  <c r="AA20" i="26"/>
  <c r="AA19" i="26"/>
  <c r="AA14" i="26"/>
  <c r="AA13" i="26"/>
  <c r="AA12" i="26"/>
  <c r="AA11" i="26"/>
  <c r="AA10" i="26"/>
  <c r="AA9" i="26"/>
  <c r="AA8" i="26"/>
  <c r="AA7" i="26"/>
  <c r="AA6" i="26"/>
  <c r="AA5" i="26"/>
  <c r="AA4" i="26"/>
  <c r="AE29" i="26"/>
  <c r="AA18" i="26"/>
  <c r="AA17" i="26"/>
  <c r="AA16" i="26"/>
  <c r="AA15" i="26"/>
  <c r="Y28" i="26"/>
  <c r="Y27" i="26"/>
  <c r="Y26" i="26"/>
  <c r="Y25" i="26"/>
  <c r="E14" i="26"/>
  <c r="E3" i="26"/>
  <c r="E13" i="26"/>
  <c r="E12" i="26"/>
  <c r="E11" i="26"/>
  <c r="E10" i="26"/>
  <c r="E9" i="26"/>
  <c r="E8" i="26"/>
  <c r="E7" i="26"/>
  <c r="E6" i="26"/>
  <c r="E5" i="26"/>
  <c r="E4" i="26"/>
  <c r="E2" i="26"/>
  <c r="J7" i="9"/>
  <c r="K7" i="9" s="1"/>
  <c r="G5" i="17"/>
  <c r="G6" i="17"/>
  <c r="G7" i="17"/>
  <c r="G8" i="17"/>
  <c r="G9" i="17"/>
  <c r="G10" i="17"/>
  <c r="G11" i="17"/>
  <c r="G12" i="17"/>
  <c r="G13" i="17"/>
  <c r="G14" i="17"/>
  <c r="G3" i="17"/>
  <c r="G4" i="17"/>
  <c r="G29" i="17"/>
  <c r="G28" i="17"/>
  <c r="G27" i="17"/>
  <c r="E29" i="26"/>
  <c r="E28" i="26"/>
  <c r="G26" i="17"/>
  <c r="E27" i="26"/>
  <c r="G25" i="17"/>
  <c r="E26" i="26"/>
  <c r="G24" i="17"/>
  <c r="E25" i="26"/>
  <c r="G23" i="17"/>
  <c r="G22" i="17"/>
  <c r="E24" i="26"/>
  <c r="E23" i="26"/>
  <c r="G21" i="17"/>
  <c r="E22" i="26"/>
  <c r="G20" i="17"/>
  <c r="G19" i="17"/>
  <c r="G18" i="17"/>
  <c r="G17" i="17"/>
  <c r="E21" i="26"/>
  <c r="E20" i="26"/>
  <c r="E19" i="26"/>
  <c r="E18" i="26"/>
  <c r="G16" i="17"/>
  <c r="G15" i="17"/>
  <c r="E17" i="26"/>
  <c r="E16" i="26"/>
  <c r="E15" i="26"/>
  <c r="P3" i="26"/>
  <c r="H8" i="24"/>
  <c r="H7" i="9"/>
  <c r="H11" i="9"/>
  <c r="J11" i="9"/>
  <c r="K11" i="9" s="1"/>
  <c r="J31" i="9"/>
  <c r="K31" i="9" s="1"/>
  <c r="H31" i="9"/>
  <c r="H30" i="9"/>
  <c r="J30" i="9"/>
  <c r="K30" i="9" s="1"/>
  <c r="H29" i="9"/>
  <c r="J29" i="9"/>
  <c r="K29" i="9" s="1"/>
  <c r="H26" i="9"/>
  <c r="J26" i="9"/>
  <c r="K26" i="9" s="1"/>
  <c r="AM13" i="26"/>
  <c r="AL13" i="26"/>
  <c r="K17" i="17"/>
  <c r="J21" i="9"/>
  <c r="K21" i="9" s="1"/>
  <c r="H21" i="9"/>
  <c r="K15" i="17"/>
  <c r="J20" i="9"/>
  <c r="K20" i="9" s="1"/>
  <c r="H20" i="9"/>
  <c r="H19" i="9"/>
  <c r="J19" i="9"/>
  <c r="K19" i="9" s="1"/>
  <c r="J16" i="9"/>
  <c r="K16" i="9" s="1"/>
  <c r="H16" i="9"/>
  <c r="K5" i="17"/>
  <c r="K16" i="17"/>
  <c r="K14" i="17"/>
  <c r="K13" i="17"/>
  <c r="K12" i="17"/>
  <c r="K11" i="17"/>
  <c r="K10" i="17"/>
  <c r="K9" i="17"/>
  <c r="K8" i="17"/>
  <c r="K7" i="17"/>
  <c r="K6" i="17"/>
  <c r="K21" i="17"/>
  <c r="K4" i="17"/>
  <c r="K3" i="17"/>
  <c r="J32" i="9"/>
  <c r="K32" i="9" s="1"/>
  <c r="H32" i="9"/>
  <c r="J18" i="9"/>
  <c r="K18" i="9" s="1"/>
  <c r="H18" i="9"/>
  <c r="J33" i="9"/>
  <c r="K33" i="9" s="1"/>
  <c r="H33" i="9"/>
  <c r="H17" i="9"/>
  <c r="J17" i="9"/>
  <c r="K17" i="9" s="1"/>
  <c r="H15" i="9"/>
  <c r="J15" i="9"/>
  <c r="K15" i="9" s="1"/>
  <c r="H14" i="9"/>
  <c r="J14" i="9"/>
  <c r="K14" i="9" s="1"/>
  <c r="J28" i="9"/>
  <c r="K28" i="9" s="1"/>
  <c r="H28" i="9"/>
  <c r="J13" i="9"/>
  <c r="K13" i="9" s="1"/>
  <c r="H13" i="9"/>
  <c r="H27" i="9"/>
  <c r="J27" i="9"/>
  <c r="K27" i="9" s="1"/>
  <c r="H12" i="9"/>
  <c r="J12" i="9"/>
  <c r="K12" i="9" s="1"/>
  <c r="J25" i="9"/>
  <c r="K25" i="9" s="1"/>
  <c r="H25" i="9"/>
  <c r="H10" i="9"/>
  <c r="J10" i="9"/>
  <c r="K10" i="9" s="1"/>
  <c r="H24" i="9"/>
  <c r="J24" i="9"/>
  <c r="K24" i="9" s="1"/>
  <c r="J9" i="9"/>
  <c r="K9" i="9" s="1"/>
  <c r="H9" i="9"/>
  <c r="H23" i="9"/>
  <c r="J23" i="9"/>
  <c r="K23" i="9" s="1"/>
  <c r="J22" i="9"/>
  <c r="K22" i="9" s="1"/>
  <c r="H22" i="9"/>
  <c r="J34" i="9"/>
  <c r="K34" i="9" s="1"/>
  <c r="H34" i="9"/>
  <c r="J35" i="9"/>
  <c r="K35" i="9" s="1"/>
  <c r="H35" i="9"/>
  <c r="A19" i="12" l="1"/>
  <c r="A18" i="25" s="1"/>
  <c r="A18" i="21" s="1"/>
  <c r="AB20" i="29"/>
  <c r="A22" i="27"/>
  <c r="A22" i="9"/>
  <c r="A20" i="11" s="1"/>
  <c r="A21" i="29" s="1"/>
  <c r="J39" i="24"/>
  <c r="J40" i="24" s="1"/>
  <c r="E30" i="26"/>
  <c r="F22" i="24"/>
  <c r="E16" i="17" s="1"/>
  <c r="F8" i="24"/>
  <c r="E2" i="17" s="1"/>
  <c r="K2" i="17"/>
  <c r="J36" i="9"/>
  <c r="K36" i="9" s="1"/>
  <c r="F9" i="24"/>
  <c r="E3" i="17" s="1"/>
  <c r="F16" i="24"/>
  <c r="E10" i="17" s="1"/>
  <c r="F15" i="24"/>
  <c r="E9" i="17" s="1"/>
  <c r="F11" i="24"/>
  <c r="E5" i="17" s="1"/>
  <c r="F12" i="24"/>
  <c r="E6" i="17" s="1"/>
  <c r="F13" i="24"/>
  <c r="E7" i="17" s="1"/>
  <c r="F14" i="24"/>
  <c r="E8" i="17" s="1"/>
  <c r="F10" i="24"/>
  <c r="E4" i="17" s="1"/>
  <c r="G30" i="17"/>
  <c r="F35" i="24"/>
  <c r="E29" i="17" s="1"/>
  <c r="K29" i="17"/>
  <c r="F34" i="24"/>
  <c r="E28" i="17" s="1"/>
  <c r="K28" i="17"/>
  <c r="F33" i="24"/>
  <c r="E27" i="17" s="1"/>
  <c r="F32" i="24"/>
  <c r="E26" i="17" s="1"/>
  <c r="K27" i="17"/>
  <c r="K26" i="17"/>
  <c r="F31" i="24"/>
  <c r="E25" i="17" s="1"/>
  <c r="F30" i="24"/>
  <c r="E24" i="17" s="1"/>
  <c r="K25" i="17"/>
  <c r="F28" i="24"/>
  <c r="E22" i="17" s="1"/>
  <c r="F29" i="24"/>
  <c r="E23" i="17" s="1"/>
  <c r="K24" i="17"/>
  <c r="I39" i="24"/>
  <c r="I40" i="24" s="1"/>
  <c r="K23" i="17"/>
  <c r="F27" i="24"/>
  <c r="E21" i="17" s="1"/>
  <c r="F26" i="24"/>
  <c r="E20" i="17" s="1"/>
  <c r="F25" i="24"/>
  <c r="E19" i="17" s="1"/>
  <c r="K22" i="17"/>
  <c r="K20" i="17"/>
  <c r="K19" i="17"/>
  <c r="F24" i="24"/>
  <c r="E18" i="17" s="1"/>
  <c r="K18" i="17"/>
  <c r="F23" i="24"/>
  <c r="E17" i="17" s="1"/>
  <c r="F21" i="24"/>
  <c r="E15" i="17" s="1"/>
  <c r="F20" i="24"/>
  <c r="E14" i="17" s="1"/>
  <c r="F19" i="24"/>
  <c r="E13" i="17" s="1"/>
  <c r="F18" i="24"/>
  <c r="E12" i="17" s="1"/>
  <c r="H36" i="9"/>
  <c r="AB21" i="29" l="1"/>
  <c r="A20" i="12"/>
  <c r="A19" i="25" s="1"/>
  <c r="A19" i="21" s="1"/>
  <c r="A23" i="27"/>
  <c r="A23" i="9"/>
  <c r="A21" i="11" s="1"/>
  <c r="A22" i="29" s="1"/>
  <c r="G2" i="17"/>
  <c r="K30" i="17"/>
  <c r="F37" i="24"/>
  <c r="E31" i="17" s="1"/>
  <c r="F38" i="24"/>
  <c r="E32" i="17" s="1"/>
  <c r="F36" i="24"/>
  <c r="E30" i="17" s="1"/>
  <c r="F17" i="24"/>
  <c r="A21" i="12" l="1"/>
  <c r="A20" i="25" s="1"/>
  <c r="A20" i="21" s="1"/>
  <c r="AB22" i="29"/>
  <c r="A24" i="27"/>
  <c r="A24" i="9"/>
  <c r="A22" i="11" s="1"/>
  <c r="A23" i="29" s="1"/>
  <c r="F39" i="24"/>
  <c r="F40" i="24" s="1"/>
  <c r="E11" i="17"/>
  <c r="A22" i="12" l="1"/>
  <c r="A21" i="25" s="1"/>
  <c r="A21" i="21" s="1"/>
  <c r="AB23" i="29"/>
  <c r="A25" i="27"/>
  <c r="A25" i="9"/>
  <c r="A23" i="11" s="1"/>
  <c r="A24" i="29" s="1"/>
  <c r="K39" i="24"/>
  <c r="K40" i="24" s="1"/>
  <c r="AB24" i="29" l="1"/>
  <c r="A23" i="12"/>
  <c r="A22" i="25" s="1"/>
  <c r="A22" i="21" s="1"/>
  <c r="A26" i="27"/>
  <c r="A26" i="9"/>
  <c r="A24" i="11" s="1"/>
  <c r="A25" i="29" s="1"/>
  <c r="AB25" i="29" l="1"/>
  <c r="A24" i="12"/>
  <c r="A23" i="25" s="1"/>
  <c r="A23" i="21" s="1"/>
  <c r="A27" i="27"/>
  <c r="A27" i="9"/>
  <c r="A25" i="11" s="1"/>
  <c r="A26" i="29" s="1"/>
  <c r="A25" i="12" l="1"/>
  <c r="A24" i="25" s="1"/>
  <c r="A24" i="21" s="1"/>
  <c r="AB26" i="29"/>
  <c r="A28" i="27"/>
  <c r="A28" i="9"/>
  <c r="A26" i="11" s="1"/>
  <c r="A27" i="29" s="1"/>
  <c r="AB27" i="29" l="1"/>
  <c r="A26" i="12"/>
  <c r="A25" i="25" s="1"/>
  <c r="A25" i="21" s="1"/>
  <c r="A29" i="27"/>
  <c r="A29" i="9"/>
  <c r="A27" i="11" s="1"/>
  <c r="A28" i="29" s="1"/>
  <c r="AB28" i="29" l="1"/>
  <c r="A27" i="12"/>
  <c r="A26" i="25" s="1"/>
  <c r="A26" i="21" s="1"/>
  <c r="A30" i="27"/>
  <c r="A30" i="9"/>
  <c r="A28" i="11" s="1"/>
  <c r="A29" i="29" s="1"/>
  <c r="AB29" i="29" l="1"/>
  <c r="A28" i="12"/>
  <c r="A27" i="25" s="1"/>
  <c r="A27" i="21" s="1"/>
  <c r="A31" i="27"/>
  <c r="A31" i="9"/>
  <c r="A29" i="11" s="1"/>
  <c r="A30" i="29" s="1"/>
  <c r="AB30" i="29" l="1"/>
  <c r="A29" i="12"/>
  <c r="A28" i="25" s="1"/>
  <c r="A28" i="21" s="1"/>
  <c r="A32" i="27"/>
  <c r="A32" i="9"/>
  <c r="A30" i="11" s="1"/>
  <c r="A31" i="29" s="1"/>
  <c r="AB31" i="29" l="1"/>
  <c r="A30" i="12"/>
  <c r="A29" i="25" s="1"/>
  <c r="A29" i="21" s="1"/>
  <c r="A33" i="27"/>
  <c r="A33" i="9"/>
  <c r="A31" i="11" s="1"/>
  <c r="A32" i="29" s="1"/>
  <c r="AB32" i="29" l="1"/>
  <c r="A31" i="12"/>
  <c r="A30" i="25" s="1"/>
  <c r="A30" i="21" s="1"/>
  <c r="A34" i="27"/>
  <c r="A34" i="9"/>
  <c r="A32" i="11" s="1"/>
  <c r="A33" i="29" s="1"/>
  <c r="AB33" i="29" l="1"/>
  <c r="A32" i="12"/>
  <c r="A31" i="25" s="1"/>
  <c r="A31" i="21" s="1"/>
  <c r="A35" i="27"/>
  <c r="A35" i="9"/>
  <c r="A33" i="11" s="1"/>
  <c r="A34" i="29" s="1"/>
  <c r="A33" i="12" l="1"/>
  <c r="A32" i="25" s="1"/>
  <c r="A32" i="21" s="1"/>
  <c r="AB34" i="29"/>
  <c r="A36" i="27"/>
  <c r="A36" i="9"/>
  <c r="A34" i="11" s="1"/>
  <c r="A35" i="29" s="1"/>
  <c r="A34" i="12" l="1"/>
  <c r="A33" i="25" s="1"/>
  <c r="A33" i="21" s="1"/>
  <c r="AB35" i="29"/>
  <c r="A37" i="27"/>
  <c r="A38" i="9" s="1"/>
  <c r="A36" i="11" s="1"/>
  <c r="A37" i="29" s="1"/>
  <c r="A37" i="9"/>
  <c r="A35" i="11" s="1"/>
  <c r="A36" i="29" s="1"/>
  <c r="A35" i="12" l="1"/>
  <c r="A34" i="25" s="1"/>
  <c r="A34" i="21" s="1"/>
  <c r="AB36" i="29"/>
  <c r="A36" i="12"/>
  <c r="A35" i="25" s="1"/>
  <c r="A35" i="21" s="1"/>
  <c r="AB37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Faisal Ibrahim</author>
  </authors>
  <commentList>
    <comment ref="AN5" authorId="0" shapeId="0" xr:uid="{989A816B-8E4C-423B-B501-1E455126847E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AP5" authorId="0" shapeId="0" xr:uid="{CE19765A-7306-477B-BBD3-EF8CC249647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AR5" authorId="0" shapeId="0" xr:uid="{3ADBAFA6-EA7F-49B7-93C4-57C7EA93C7ED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T5" authorId="0" shapeId="0" xr:uid="{F901C819-0F62-4FF7-8978-4DCCEA4C08BD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AV5" authorId="0" shapeId="0" xr:uid="{69737114-07D8-4CBF-96FD-CDF1871AC881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AX5" authorId="0" shapeId="0" xr:uid="{3243B027-671B-4085-88C1-9A77634B7DDF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B5" authorId="0" shapeId="0" xr:uid="{ACD17C10-7CF8-4E81-ADE1-12770341F228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</commentList>
</comments>
</file>

<file path=xl/sharedStrings.xml><?xml version="1.0" encoding="utf-8"?>
<sst xmlns="http://schemas.openxmlformats.org/spreadsheetml/2006/main" count="496" uniqueCount="195">
  <si>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</si>
  <si>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</si>
  <si>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</si>
  <si>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</si>
  <si>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</si>
  <si>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</si>
  <si>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</si>
  <si>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</si>
  <si>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</si>
  <si>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</si>
  <si>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</si>
  <si>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</si>
  <si>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</si>
  <si>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</si>
  <si>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Total Guests</t>
  </si>
  <si>
    <t>Other fleets Petrol (Litres)</t>
  </si>
  <si>
    <t>Maldives at Landaa Giraavaru</t>
  </si>
  <si>
    <t>Solar</t>
  </si>
  <si>
    <t>GENSET NO 1</t>
  </si>
  <si>
    <t>GENSET NO 2</t>
  </si>
  <si>
    <t>GENSET NO 3</t>
  </si>
  <si>
    <t>GENSET NO 4</t>
  </si>
  <si>
    <t>GENSET NO 5</t>
  </si>
  <si>
    <t>Main BLU FEEDER PANEL 1</t>
  </si>
  <si>
    <t>Main BLU FEEDER PANEL 2</t>
  </si>
  <si>
    <t>Main POWER HOUSE FEEDER PANEL NO:3</t>
  </si>
  <si>
    <t>Main Kitchen -7</t>
  </si>
  <si>
    <t>Main Kitchen -10</t>
  </si>
  <si>
    <t>Water treatment Plant</t>
  </si>
  <si>
    <t>Sewage treatment Plant</t>
  </si>
  <si>
    <t>Laundry--8SSB  (Machineries)</t>
  </si>
  <si>
    <t>Laundry-9  (HR/Tuck Shop Building)</t>
  </si>
  <si>
    <t>New staff accomodation (E0)</t>
  </si>
  <si>
    <t>Staff block-16(E2-E3)</t>
  </si>
  <si>
    <t>Staff Block Feeder-3(E4-E5)</t>
  </si>
  <si>
    <t>Management block-5 (M1 to M6)</t>
  </si>
  <si>
    <t>SNR STAFF BLOCK (PC Block)</t>
  </si>
  <si>
    <t>BOAT DOCK FEEDER - 22</t>
  </si>
  <si>
    <t>RECEPTION Building Full (Finance/Reservation)</t>
  </si>
  <si>
    <t>DIVE CENTER (Inc MDC and Recreation)</t>
  </si>
  <si>
    <t>301-307</t>
  </si>
  <si>
    <t>308-314</t>
  </si>
  <si>
    <t>315-320</t>
  </si>
  <si>
    <t>401-407</t>
  </si>
  <si>
    <t>408-414</t>
  </si>
  <si>
    <t>415-420</t>
  </si>
  <si>
    <t>SPA - 1</t>
  </si>
  <si>
    <t>SPA - 2</t>
  </si>
  <si>
    <t>BLU KITCHEN - 1</t>
  </si>
  <si>
    <t>BLU KITCHEN - 2</t>
  </si>
  <si>
    <t>AL BARAKATH</t>
  </si>
  <si>
    <t>STAFF KITCHEN</t>
  </si>
  <si>
    <t>R/O Plant A</t>
  </si>
  <si>
    <t>R/O Plant B</t>
  </si>
  <si>
    <t>R/O Plant C</t>
  </si>
  <si>
    <t>R/O Plant D</t>
  </si>
  <si>
    <t>Laundry</t>
  </si>
  <si>
    <t xml:space="preserve">Staff Block - E0 </t>
  </si>
  <si>
    <t>Staff Block - E1</t>
  </si>
  <si>
    <t xml:space="preserve">Staff Block - E2 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</si>
  <si>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</si>
  <si>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</si>
  <si>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</si>
  <si>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</si>
  <si>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</si>
  <si>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</si>
  <si>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</si>
  <si>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</si>
  <si>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</si>
  <si>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</si>
  <si>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</si>
  <si>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</si>
  <si>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</si>
  <si>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</si>
  <si>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</si>
  <si>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</si>
  <si>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</si>
  <si>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ROOM NIGHTS</t>
  </si>
  <si>
    <t>Total Food Covers</t>
  </si>
  <si>
    <t>Daily Utility Report</t>
  </si>
  <si>
    <t>DAY</t>
  </si>
  <si>
    <t>Occupancy</t>
  </si>
  <si>
    <t>No. of Guests</t>
  </si>
  <si>
    <t>Genset (Kwh)</t>
  </si>
  <si>
    <t>Solar (Kwh)</t>
  </si>
  <si>
    <t>Total (Kwh)</t>
  </si>
  <si>
    <t xml:space="preserve">   Water Consumption
 ( m3)</t>
  </si>
  <si>
    <t xml:space="preserve">   Gas Consumption
 (kg)</t>
  </si>
  <si>
    <t xml:space="preserve">Genset Diesel Consumption (Liters) </t>
  </si>
  <si>
    <t xml:space="preserve">Boats Diesel Consumption (Liters) </t>
  </si>
  <si>
    <t xml:space="preserve">Boats Petrol Consumption (Liters) </t>
  </si>
  <si>
    <t>Total</t>
  </si>
  <si>
    <t>Avg</t>
  </si>
  <si>
    <t xml:space="preserve">All Genset Meter Readings </t>
  </si>
  <si>
    <t>Date</t>
  </si>
  <si>
    <t>Generator No. 1 - 1000 KVA</t>
  </si>
  <si>
    <t>Generator No. 2 - 1600 KVA</t>
  </si>
  <si>
    <t>Generator No. 3 - 900 KVA</t>
  </si>
  <si>
    <t>Generator No. 4 - 500 KVA</t>
  </si>
  <si>
    <t>Generator No. 5 - 1000 KVA</t>
  </si>
  <si>
    <t>Kwh</t>
  </si>
  <si>
    <t>R. Hours</t>
  </si>
  <si>
    <t>Diesel</t>
  </si>
  <si>
    <t>Diesel Consumption meter reading</t>
  </si>
  <si>
    <t>Diesel Consumption - Powerhouse</t>
  </si>
  <si>
    <t xml:space="preserve">Diesel Tank Jetty Meter </t>
  </si>
  <si>
    <t xml:space="preserve">Petrol Tank Jetty Meter </t>
  </si>
  <si>
    <t>Boat meter Reading</t>
  </si>
  <si>
    <t xml:space="preserve">Date </t>
  </si>
  <si>
    <t xml:space="preserve">Today </t>
  </si>
  <si>
    <t>ConsumptionIn 24 hrs</t>
  </si>
  <si>
    <t>Reading</t>
  </si>
  <si>
    <t>Consumption (Liters)</t>
  </si>
  <si>
    <t>In Barrels</t>
  </si>
  <si>
    <t>Carbon Emmision</t>
  </si>
  <si>
    <t>Solar Meter Reading</t>
  </si>
  <si>
    <t>TODAY</t>
  </si>
  <si>
    <t>Final Consumption( KWh)</t>
  </si>
  <si>
    <t>Weather Condition</t>
  </si>
  <si>
    <t>Temperature</t>
  </si>
  <si>
    <t>1 liter diesel</t>
  </si>
  <si>
    <t>3.61 kwh</t>
  </si>
  <si>
    <t>212.88 diesel</t>
  </si>
  <si>
    <t>768.50 kwh</t>
  </si>
  <si>
    <t xml:space="preserve"> </t>
  </si>
  <si>
    <t>RO Plant Water Production Meter Reading</t>
  </si>
  <si>
    <t>Water Consumption Submeters</t>
  </si>
  <si>
    <t>Plant A - 250 m3/day</t>
  </si>
  <si>
    <t>Plant B - 110 m3/day</t>
  </si>
  <si>
    <t>Plant C - 270 m3/day</t>
  </si>
  <si>
    <t>Plant D - 110 m3/day</t>
  </si>
  <si>
    <t>Drinking Water</t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</si>
  <si>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</si>
  <si>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</si>
  <si>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</si>
  <si>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</si>
  <si>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</si>
  <si>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</si>
  <si>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</si>
  <si>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</si>
  <si>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</si>
  <si>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</si>
  <si>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</si>
  <si>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</si>
  <si>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</si>
  <si>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</si>
  <si>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</si>
  <si>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</si>
  <si>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</si>
  <si>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</si>
  <si>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</si>
  <si>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</si>
  <si>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</si>
  <si>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Hose 3</t>
  </si>
  <si>
    <t>Hose 4</t>
  </si>
  <si>
    <t>Water 
Production
 (M3)</t>
  </si>
  <si>
    <t>Running Hrs</t>
  </si>
  <si>
    <t>Elect Cons. (Kwh)</t>
  </si>
  <si>
    <t>Water Production (m3)</t>
  </si>
  <si>
    <t>Occ%</t>
  </si>
  <si>
    <t>Total Number of Guests</t>
  </si>
  <si>
    <t>Water Consumption per Guest</t>
  </si>
  <si>
    <t>Usage (m3)</t>
  </si>
  <si>
    <t>Variance (Today vs Ystday)</t>
  </si>
  <si>
    <t>%</t>
  </si>
  <si>
    <t>Usage</t>
  </si>
  <si>
    <t>Yesterday</t>
  </si>
  <si>
    <t>Today</t>
  </si>
  <si>
    <t>Electric Submeters</t>
  </si>
  <si>
    <t xml:space="preserve">Main BLU FEEDER PANEL 1 </t>
  </si>
  <si>
    <t>Staff block-16(E1-E2-E3)</t>
  </si>
  <si>
    <t xml:space="preserve">Consumption </t>
  </si>
  <si>
    <t>Consumption</t>
  </si>
  <si>
    <t>From Daily Revenue Report</t>
  </si>
  <si>
    <t>GAS CONSUMPTION / CYLINDERS</t>
  </si>
  <si>
    <t>Blu Kitchen &amp; Tiki Torch</t>
  </si>
  <si>
    <t>Albarakath Kitchen &amp; Tiki Torch</t>
  </si>
  <si>
    <t>Fuego Tiki Torch</t>
  </si>
  <si>
    <t xml:space="preserve">Main Kitchen </t>
  </si>
  <si>
    <t>Total Consumption (KG)</t>
  </si>
  <si>
    <t>Generators Daily Performance</t>
  </si>
  <si>
    <t>Generator No. 1</t>
  </si>
  <si>
    <t>Generator No. 2</t>
  </si>
  <si>
    <t>Generator No. 3</t>
  </si>
  <si>
    <t>Generator No. 4</t>
  </si>
  <si>
    <t>Generator No. 5</t>
  </si>
  <si>
    <t>Total Generator 1 : 5</t>
  </si>
  <si>
    <t>Diesel Lit.</t>
  </si>
  <si>
    <t>kwh/RH</t>
  </si>
  <si>
    <t>kwh/Lit.</t>
  </si>
  <si>
    <t>RO Plants Daily Performance</t>
  </si>
  <si>
    <t>Total (RO 1: RO4)</t>
  </si>
  <si>
    <t>Elect Cons. 
(Kwh)</t>
  </si>
  <si>
    <t>M3 / R.H</t>
  </si>
  <si>
    <t>Kwh /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</si>
</sst>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mmmm\,\ yyyy"/>
    <numFmt numFmtId="166" formatCode="_(* #,##0_);_(* \(#,##0\);_(* &quot;-&quot;??_);_(@_)"/>
    <numFmt numFmtId="167" formatCode="0\ &quot;%&quot;"/>
    <numFmt numFmtId="168" formatCode="0\ &quot;°C&quot;"/>
    <numFmt numFmtId="169" formatCode="0.000"/>
    <numFmt numFmtId="170" formatCode="[$-409]d\-mmm;@"/>
  </numFmts>
  <fonts count="3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8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5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5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Times New Roman"/>
      <family val="1"/>
    </font>
  </fonts>
  <fills count="29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medium">
        <color indexed="64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7">
    <xf numFmtId="0" fontId="0" fillId="0" borderId="0"/>
    <xf numFmtId="43" fontId="5" fillId="0" borderId="0" applyFont="0" applyFill="0" applyBorder="0" applyAlignment="0" applyProtection="0"/>
    <xf numFmtId="0" fontId="3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5" fillId="0" borderId="0"/>
  </cellStyleXfs>
  <cellXfs count="371">
    <xf numFmtId="0" fontId="0" fillId="0" borderId="0" xfId="0"/>
    <xf numFmtId="0" fontId="4" fillId="0" borderId="0" xfId="0" applyFont="1"/>
    <xf numFmtId="43" fontId="0" fillId="0" borderId="0" xfId="0" applyNumberFormat="1"/>
    <xf numFmtId="0" fontId="5" fillId="0" borderId="0" xfId="0" applyFon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4" borderId="0" xfId="0" applyFont="1" applyFill="1"/>
    <xf numFmtId="0" fontId="5" fillId="4" borderId="2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43" fontId="0" fillId="4" borderId="4" xfId="1" applyFont="1" applyFill="1" applyBorder="1" applyAlignment="1">
      <alignment vertical="center"/>
    </xf>
    <xf numFmtId="0" fontId="5" fillId="4" borderId="2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 vertical="center"/>
    </xf>
    <xf numFmtId="0" fontId="5" fillId="5" borderId="0" xfId="0" applyFont="1" applyFill="1"/>
    <xf numFmtId="0" fontId="9" fillId="6" borderId="8" xfId="0" applyFont="1" applyFill="1" applyBorder="1" applyAlignment="1">
      <alignment horizontal="center" vertical="center" wrapText="1"/>
    </xf>
    <xf numFmtId="0" fontId="8" fillId="0" borderId="0" xfId="0" applyFont="1"/>
    <xf numFmtId="0" fontId="5" fillId="0" borderId="2" xfId="0" applyFont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0" xfId="0" applyFill="1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2" xfId="1" applyNumberFormat="1" applyFont="1" applyBorder="1" applyAlignment="1">
      <alignment horizontal="center" vertical="center"/>
    </xf>
    <xf numFmtId="0" fontId="0" fillId="4" borderId="2" xfId="1" applyNumberFormat="1" applyFont="1" applyFill="1" applyBorder="1" applyAlignment="1">
      <alignment horizontal="center" vertical="center"/>
    </xf>
    <xf numFmtId="0" fontId="0" fillId="4" borderId="0" xfId="1" applyNumberFormat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 wrapText="1"/>
    </xf>
    <xf numFmtId="43" fontId="0" fillId="0" borderId="2" xfId="1" applyFont="1" applyBorder="1" applyAlignment="1">
      <alignment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0" fontId="5" fillId="4" borderId="0" xfId="0" applyFont="1" applyFill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2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4" fillId="3" borderId="2" xfId="9" applyFont="1" applyFill="1" applyBorder="1" applyAlignment="1">
      <alignment horizontal="center" vertical="center"/>
    </xf>
    <xf numFmtId="2" fontId="6" fillId="7" borderId="2" xfId="9" applyNumberFormat="1" applyFont="1" applyFill="1" applyBorder="1" applyAlignment="1">
      <alignment horizontal="center" vertical="center" wrapText="1"/>
    </xf>
    <xf numFmtId="0" fontId="5" fillId="4" borderId="17" xfId="9" applyFill="1" applyBorder="1" applyAlignment="1">
      <alignment horizontal="center" vertical="center"/>
    </xf>
    <xf numFmtId="0" fontId="5" fillId="0" borderId="4" xfId="9" applyBorder="1" applyAlignment="1">
      <alignment horizontal="center"/>
    </xf>
    <xf numFmtId="0" fontId="5" fillId="9" borderId="3" xfId="9" applyFill="1" applyBorder="1"/>
    <xf numFmtId="0" fontId="5" fillId="9" borderId="0" xfId="9" applyFill="1"/>
    <xf numFmtId="2" fontId="5" fillId="4" borderId="4" xfId="9" applyNumberFormat="1" applyFill="1" applyBorder="1" applyAlignment="1">
      <alignment horizontal="center" vertical="center"/>
    </xf>
    <xf numFmtId="0" fontId="5" fillId="4" borderId="2" xfId="9" applyFill="1" applyBorder="1" applyAlignment="1">
      <alignment horizontal="center" vertical="center"/>
    </xf>
    <xf numFmtId="0" fontId="5" fillId="4" borderId="9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9" xfId="9" applyBorder="1" applyAlignment="1">
      <alignment horizontal="center" vertical="center"/>
    </xf>
    <xf numFmtId="0" fontId="5" fillId="0" borderId="0" xfId="9" applyAlignment="1">
      <alignment horizontal="center" vertical="center"/>
    </xf>
    <xf numFmtId="0" fontId="5" fillId="9" borderId="0" xfId="9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4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166" fontId="5" fillId="0" borderId="2" xfId="9" applyNumberFormat="1" applyBorder="1" applyAlignment="1">
      <alignment horizontal="center"/>
    </xf>
    <xf numFmtId="166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2" fillId="0" borderId="0" xfId="13"/>
    <xf numFmtId="0" fontId="13" fillId="11" borderId="4" xfId="13" applyFont="1" applyFill="1" applyBorder="1" applyAlignment="1">
      <alignment horizontal="center" vertical="center"/>
    </xf>
    <xf numFmtId="15" fontId="15" fillId="11" borderId="4" xfId="13" applyNumberFormat="1" applyFont="1" applyFill="1" applyBorder="1" applyAlignment="1">
      <alignment horizontal="center" vertical="center"/>
    </xf>
    <xf numFmtId="1" fontId="12" fillId="0" borderId="2" xfId="13" applyNumberFormat="1" applyFont="1" applyBorder="1" applyAlignment="1">
      <alignment horizontal="center" vertical="center"/>
    </xf>
    <xf numFmtId="15" fontId="13" fillId="11" borderId="4" xfId="13" applyNumberFormat="1" applyFont="1" applyFill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1" fontId="13" fillId="12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9" borderId="6" xfId="9" applyFill="1" applyBorder="1"/>
    <xf numFmtId="0" fontId="6" fillId="14" borderId="2" xfId="9" applyFont="1" applyFill="1" applyBorder="1" applyAlignment="1">
      <alignment horizontal="center" vertical="center"/>
    </xf>
    <xf numFmtId="0" fontId="6" fillId="14" borderId="18" xfId="9" applyFont="1" applyFill="1" applyBorder="1" applyAlignment="1">
      <alignment horizontal="center" vertical="center"/>
    </xf>
    <xf numFmtId="0" fontId="6" fillId="14" borderId="19" xfId="9" applyFont="1" applyFill="1" applyBorder="1" applyAlignment="1">
      <alignment horizontal="center" vertical="center" wrapText="1"/>
    </xf>
    <xf numFmtId="0" fontId="5" fillId="0" borderId="19" xfId="9" applyBorder="1" applyAlignment="1">
      <alignment horizontal="center"/>
    </xf>
    <xf numFmtId="0" fontId="5" fillId="0" borderId="18" xfId="9" applyBorder="1" applyAlignment="1">
      <alignment horizontal="center"/>
    </xf>
    <xf numFmtId="0" fontId="5" fillId="6" borderId="21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 wrapText="1"/>
    </xf>
    <xf numFmtId="0" fontId="5" fillId="7" borderId="21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/>
    </xf>
    <xf numFmtId="0" fontId="5" fillId="16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43" fontId="4" fillId="3" borderId="2" xfId="0" applyNumberFormat="1" applyFont="1" applyFill="1" applyBorder="1" applyAlignment="1">
      <alignment horizontal="center" vertical="center" wrapText="1"/>
    </xf>
    <xf numFmtId="0" fontId="4" fillId="18" borderId="0" xfId="0" applyFont="1" applyFill="1"/>
    <xf numFmtId="0" fontId="0" fillId="18" borderId="0" xfId="0" applyFill="1"/>
    <xf numFmtId="0" fontId="5" fillId="18" borderId="0" xfId="0" applyFont="1" applyFill="1"/>
    <xf numFmtId="168" fontId="5" fillId="4" borderId="2" xfId="0" applyNumberFormat="1" applyFont="1" applyFill="1" applyBorder="1" applyAlignment="1">
      <alignment horizontal="center"/>
    </xf>
    <xf numFmtId="0" fontId="6" fillId="14" borderId="29" xfId="9" applyFont="1" applyFill="1" applyBorder="1" applyAlignment="1">
      <alignment horizontal="center" vertical="center" wrapText="1"/>
    </xf>
    <xf numFmtId="0" fontId="6" fillId="14" borderId="2" xfId="9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6" fillId="7" borderId="2" xfId="9" applyFont="1" applyFill="1" applyBorder="1" applyAlignment="1">
      <alignment horizontal="center" vertical="center" wrapText="1"/>
    </xf>
    <xf numFmtId="0" fontId="7" fillId="13" borderId="0" xfId="9" applyFont="1" applyFill="1" applyAlignment="1">
      <alignment horizontal="center"/>
    </xf>
    <xf numFmtId="0" fontId="7" fillId="14" borderId="0" xfId="9" applyFont="1" applyFill="1" applyAlignment="1">
      <alignment horizontal="center"/>
    </xf>
    <xf numFmtId="0" fontId="4" fillId="7" borderId="2" xfId="9" applyFont="1" applyFill="1" applyBorder="1" applyAlignment="1">
      <alignment horizontal="center"/>
    </xf>
    <xf numFmtId="0" fontId="6" fillId="7" borderId="2" xfId="9" applyFont="1" applyFill="1" applyBorder="1" applyAlignment="1">
      <alignment horizontal="center" wrapText="1"/>
    </xf>
    <xf numFmtId="2" fontId="5" fillId="0" borderId="4" xfId="9" applyNumberFormat="1" applyBorder="1" applyAlignment="1">
      <alignment horizontal="center"/>
    </xf>
    <xf numFmtId="0" fontId="5" fillId="22" borderId="0" xfId="9" applyFill="1"/>
    <xf numFmtId="0" fontId="4" fillId="22" borderId="0" xfId="9" applyFont="1" applyFill="1"/>
    <xf numFmtId="0" fontId="5" fillId="22" borderId="0" xfId="9" applyFill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6" fillId="5" borderId="18" xfId="9" applyFont="1" applyFill="1" applyBorder="1" applyAlignment="1">
      <alignment horizontal="center" vertical="center"/>
    </xf>
    <xf numFmtId="0" fontId="6" fillId="5" borderId="2" xfId="9" applyFont="1" applyFill="1" applyBorder="1" applyAlignment="1">
      <alignment horizontal="center" vertical="center"/>
    </xf>
    <xf numFmtId="0" fontId="6" fillId="5" borderId="19" xfId="9" applyFont="1" applyFill="1" applyBorder="1" applyAlignment="1">
      <alignment horizontal="center" vertical="center" wrapText="1"/>
    </xf>
    <xf numFmtId="0" fontId="4" fillId="0" borderId="0" xfId="9" applyFont="1" applyAlignment="1">
      <alignment horizontal="center"/>
    </xf>
    <xf numFmtId="43" fontId="5" fillId="0" borderId="0" xfId="9" applyNumberFormat="1" applyAlignment="1">
      <alignment horizontal="center" vertical="center"/>
    </xf>
    <xf numFmtId="14" fontId="5" fillId="0" borderId="0" xfId="9" applyNumberFormat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/>
    <xf numFmtId="0" fontId="4" fillId="2" borderId="2" xfId="9" applyFont="1" applyFill="1" applyBorder="1" applyAlignment="1">
      <alignment horizontal="center" vertical="center"/>
    </xf>
    <xf numFmtId="0" fontId="4" fillId="2" borderId="2" xfId="9" applyFont="1" applyFill="1" applyBorder="1" applyAlignment="1">
      <alignment horizontal="center" vertical="center" wrapText="1"/>
    </xf>
    <xf numFmtId="43" fontId="4" fillId="2" borderId="2" xfId="9" applyNumberFormat="1" applyFont="1" applyFill="1" applyBorder="1" applyAlignment="1">
      <alignment horizontal="center" vertical="center" wrapText="1"/>
    </xf>
    <xf numFmtId="167" fontId="5" fillId="0" borderId="2" xfId="9" applyNumberFormat="1" applyBorder="1" applyAlignment="1">
      <alignment horizontal="center" vertical="center"/>
    </xf>
    <xf numFmtId="167" fontId="5" fillId="0" borderId="0" xfId="9" applyNumberFormat="1" applyAlignment="1">
      <alignment horizontal="center" vertical="center"/>
    </xf>
    <xf numFmtId="166" fontId="22" fillId="5" borderId="5" xfId="9" applyNumberFormat="1" applyFont="1" applyFill="1" applyBorder="1" applyAlignment="1">
      <alignment horizontal="center" vertical="center"/>
    </xf>
    <xf numFmtId="43" fontId="22" fillId="5" borderId="5" xfId="9" applyNumberFormat="1" applyFont="1" applyFill="1" applyBorder="1" applyAlignment="1">
      <alignment vertical="center"/>
    </xf>
    <xf numFmtId="0" fontId="5" fillId="5" borderId="0" xfId="9" applyFill="1" applyAlignment="1">
      <alignment horizontal="center"/>
    </xf>
    <xf numFmtId="0" fontId="5" fillId="0" borderId="0" xfId="9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13" fillId="0" borderId="32" xfId="9" applyFont="1" applyBorder="1" applyAlignment="1">
      <alignment horizontal="center" vertical="center" wrapText="1"/>
    </xf>
    <xf numFmtId="0" fontId="15" fillId="0" borderId="32" xfId="9" applyFont="1" applyBorder="1" applyAlignment="1">
      <alignment horizontal="center" vertical="center" wrapText="1"/>
    </xf>
    <xf numFmtId="0" fontId="25" fillId="0" borderId="32" xfId="9" applyFont="1" applyBorder="1" applyAlignment="1">
      <alignment horizontal="center" vertical="center" wrapText="1"/>
    </xf>
    <xf numFmtId="2" fontId="25" fillId="0" borderId="32" xfId="9" applyNumberFormat="1" applyFont="1" applyBorder="1" applyAlignment="1">
      <alignment horizontal="center" vertical="center" wrapText="1"/>
    </xf>
    <xf numFmtId="0" fontId="4" fillId="0" borderId="32" xfId="9" applyFont="1" applyBorder="1" applyAlignment="1">
      <alignment horizontal="center" vertical="center" wrapText="1"/>
    </xf>
    <xf numFmtId="0" fontId="4" fillId="14" borderId="32" xfId="9" applyFont="1" applyFill="1" applyBorder="1" applyAlignment="1">
      <alignment horizontal="center" vertical="center" wrapText="1"/>
    </xf>
    <xf numFmtId="0" fontId="13" fillId="0" borderId="33" xfId="9" applyFont="1" applyBorder="1" applyAlignment="1">
      <alignment horizontal="center"/>
    </xf>
    <xf numFmtId="0" fontId="15" fillId="0" borderId="33" xfId="9" applyFont="1" applyBorder="1" applyAlignment="1">
      <alignment horizontal="center"/>
    </xf>
    <xf numFmtId="1" fontId="5" fillId="0" borderId="33" xfId="9" applyNumberFormat="1" applyBorder="1" applyAlignment="1">
      <alignment horizontal="center"/>
    </xf>
    <xf numFmtId="0" fontId="13" fillId="0" borderId="34" xfId="9" applyFont="1" applyBorder="1" applyAlignment="1">
      <alignment horizontal="center"/>
    </xf>
    <xf numFmtId="0" fontId="13" fillId="0" borderId="35" xfId="9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3" fillId="0" borderId="31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 wrapText="1"/>
    </xf>
    <xf numFmtId="2" fontId="15" fillId="0" borderId="31" xfId="0" applyNumberFormat="1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169" fontId="12" fillId="0" borderId="2" xfId="0" applyNumberFormat="1" applyFont="1" applyBorder="1" applyAlignment="1">
      <alignment horizontal="center"/>
    </xf>
    <xf numFmtId="0" fontId="5" fillId="14" borderId="16" xfId="0" applyFont="1" applyFill="1" applyBorder="1" applyAlignment="1">
      <alignment horizontal="center" vertical="center"/>
    </xf>
    <xf numFmtId="0" fontId="5" fillId="14" borderId="14" xfId="0" applyFont="1" applyFill="1" applyBorder="1" applyAlignment="1">
      <alignment horizontal="center" vertical="center"/>
    </xf>
    <xf numFmtId="0" fontId="0" fillId="7" borderId="0" xfId="0" applyFill="1"/>
    <xf numFmtId="0" fontId="5" fillId="13" borderId="21" xfId="0" applyFont="1" applyFill="1" applyBorder="1" applyAlignment="1">
      <alignment horizontal="center" vertical="center"/>
    </xf>
    <xf numFmtId="0" fontId="5" fillId="13" borderId="21" xfId="0" applyFont="1" applyFill="1" applyBorder="1" applyAlignment="1">
      <alignment horizontal="center"/>
    </xf>
    <xf numFmtId="0" fontId="10" fillId="21" borderId="8" xfId="0" applyFont="1" applyFill="1" applyBorder="1" applyAlignment="1">
      <alignment horizontal="center" vertical="center"/>
    </xf>
    <xf numFmtId="0" fontId="10" fillId="21" borderId="8" xfId="0" applyFont="1" applyFill="1" applyBorder="1" applyAlignment="1">
      <alignment horizontal="center" vertical="center" wrapText="1"/>
    </xf>
    <xf numFmtId="0" fontId="5" fillId="21" borderId="21" xfId="0" applyFont="1" applyFill="1" applyBorder="1" applyAlignment="1">
      <alignment horizontal="center" vertical="center"/>
    </xf>
    <xf numFmtId="1" fontId="5" fillId="21" borderId="21" xfId="0" applyNumberFormat="1" applyFont="1" applyFill="1" applyBorder="1" applyAlignment="1">
      <alignment horizontal="center"/>
    </xf>
    <xf numFmtId="0" fontId="5" fillId="7" borderId="37" xfId="0" applyFont="1" applyFill="1" applyBorder="1" applyAlignment="1">
      <alignment horizontal="center" vertical="center"/>
    </xf>
    <xf numFmtId="0" fontId="16" fillId="14" borderId="0" xfId="9" applyFont="1" applyFill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5" borderId="41" xfId="0" applyFont="1" applyFill="1" applyBorder="1" applyAlignment="1">
      <alignment horizontal="center" vertical="center" wrapText="1"/>
    </xf>
    <xf numFmtId="0" fontId="13" fillId="25" borderId="2" xfId="0" applyFont="1" applyFill="1" applyBorder="1" applyAlignment="1">
      <alignment horizontal="center" vertical="center" wrapText="1"/>
    </xf>
    <xf numFmtId="0" fontId="13" fillId="25" borderId="42" xfId="0" applyFont="1" applyFill="1" applyBorder="1" applyAlignment="1">
      <alignment horizontal="center" vertical="center" wrapText="1"/>
    </xf>
    <xf numFmtId="170" fontId="28" fillId="9" borderId="41" xfId="0" applyNumberFormat="1" applyFont="1" applyFill="1" applyBorder="1" applyAlignment="1">
      <alignment horizontal="center" vertical="center"/>
    </xf>
    <xf numFmtId="16" fontId="28" fillId="9" borderId="0" xfId="0" applyNumberFormat="1" applyFont="1" applyFill="1" applyAlignment="1">
      <alignment horizontal="center" vertical="center"/>
    </xf>
    <xf numFmtId="0" fontId="28" fillId="9" borderId="9" xfId="0" applyFont="1" applyFill="1" applyBorder="1" applyAlignment="1">
      <alignment horizontal="center" vertical="center"/>
    </xf>
    <xf numFmtId="0" fontId="28" fillId="9" borderId="2" xfId="0" applyFont="1" applyFill="1" applyBorder="1" applyAlignment="1">
      <alignment horizontal="center" vertical="center"/>
    </xf>
    <xf numFmtId="0" fontId="28" fillId="9" borderId="42" xfId="0" applyFont="1" applyFill="1" applyBorder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28" fillId="9" borderId="43" xfId="0" applyFont="1" applyFill="1" applyBorder="1" applyAlignment="1">
      <alignment horizontal="center" vertical="center"/>
    </xf>
    <xf numFmtId="170" fontId="0" fillId="0" borderId="41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42" xfId="0" applyBorder="1" applyAlignment="1">
      <alignment horizontal="center" vertical="center"/>
    </xf>
    <xf numFmtId="2" fontId="1" fillId="0" borderId="0" xfId="14" applyNumberFormat="1" applyAlignment="1">
      <alignment horizontal="center" vertical="center"/>
    </xf>
    <xf numFmtId="2" fontId="26" fillId="25" borderId="39" xfId="14" applyNumberFormat="1" applyFont="1" applyFill="1" applyBorder="1" applyAlignment="1">
      <alignment vertical="center"/>
    </xf>
    <xf numFmtId="2" fontId="27" fillId="0" borderId="0" xfId="14" applyNumberFormat="1" applyFont="1" applyAlignment="1">
      <alignment horizontal="center" vertical="center"/>
    </xf>
    <xf numFmtId="2" fontId="26" fillId="4" borderId="46" xfId="14" applyNumberFormat="1" applyFont="1" applyFill="1" applyBorder="1" applyAlignment="1">
      <alignment vertical="center"/>
    </xf>
    <xf numFmtId="2" fontId="13" fillId="25" borderId="2" xfId="14" applyNumberFormat="1" applyFont="1" applyFill="1" applyBorder="1" applyAlignment="1">
      <alignment horizontal="center" vertical="center" wrapText="1"/>
    </xf>
    <xf numFmtId="2" fontId="13" fillId="25" borderId="9" xfId="14" applyNumberFormat="1" applyFont="1" applyFill="1" applyBorder="1" applyAlignment="1">
      <alignment horizontal="center" vertical="center" wrapText="1"/>
    </xf>
    <xf numFmtId="2" fontId="13" fillId="0" borderId="0" xfId="14" applyNumberFormat="1" applyFont="1" applyAlignment="1">
      <alignment horizontal="center" vertical="center"/>
    </xf>
    <xf numFmtId="2" fontId="13" fillId="25" borderId="41" xfId="14" applyNumberFormat="1" applyFont="1" applyFill="1" applyBorder="1" applyAlignment="1">
      <alignment horizontal="center" vertical="center" wrapText="1"/>
    </xf>
    <xf numFmtId="2" fontId="13" fillId="25" borderId="42" xfId="14" applyNumberFormat="1" applyFont="1" applyFill="1" applyBorder="1" applyAlignment="1">
      <alignment horizontal="center" vertical="center" wrapText="1"/>
    </xf>
    <xf numFmtId="1" fontId="13" fillId="25" borderId="16" xfId="14" applyNumberFormat="1" applyFont="1" applyFill="1" applyBorder="1" applyAlignment="1">
      <alignment horizontal="center" vertical="center" wrapText="1"/>
    </xf>
    <xf numFmtId="1" fontId="13" fillId="25" borderId="2" xfId="14" applyNumberFormat="1" applyFont="1" applyFill="1" applyBorder="1" applyAlignment="1">
      <alignment horizontal="center" vertical="center" wrapText="1"/>
    </xf>
    <xf numFmtId="1" fontId="13" fillId="25" borderId="9" xfId="14" applyNumberFormat="1" applyFont="1" applyFill="1" applyBorder="1" applyAlignment="1">
      <alignment horizontal="center" vertical="center" wrapText="1"/>
    </xf>
    <xf numFmtId="2" fontId="13" fillId="0" borderId="46" xfId="14" applyNumberFormat="1" applyFont="1" applyBorder="1" applyAlignment="1">
      <alignment horizontal="center" vertical="center"/>
    </xf>
    <xf numFmtId="2" fontId="15" fillId="25" borderId="41" xfId="14" applyNumberFormat="1" applyFont="1" applyFill="1" applyBorder="1" applyAlignment="1">
      <alignment horizontal="center" vertical="center" wrapText="1"/>
    </xf>
    <xf numFmtId="2" fontId="15" fillId="25" borderId="2" xfId="14" applyNumberFormat="1" applyFont="1" applyFill="1" applyBorder="1" applyAlignment="1">
      <alignment horizontal="center" vertical="center" wrapText="1"/>
    </xf>
    <xf numFmtId="2" fontId="15" fillId="25" borderId="9" xfId="14" applyNumberFormat="1" applyFont="1" applyFill="1" applyBorder="1" applyAlignment="1">
      <alignment horizontal="center" vertical="center" wrapText="1"/>
    </xf>
    <xf numFmtId="170" fontId="1" fillId="0" borderId="41" xfId="14" applyNumberFormat="1" applyBorder="1" applyAlignment="1">
      <alignment horizontal="center" vertical="center"/>
    </xf>
    <xf numFmtId="2" fontId="1" fillId="0" borderId="9" xfId="14" applyNumberFormat="1" applyBorder="1" applyAlignment="1">
      <alignment horizontal="center" vertical="center"/>
    </xf>
    <xf numFmtId="1" fontId="1" fillId="0" borderId="41" xfId="14" applyNumberFormat="1" applyBorder="1" applyAlignment="1">
      <alignment horizontal="center" vertical="center"/>
    </xf>
    <xf numFmtId="1" fontId="1" fillId="0" borderId="2" xfId="14" applyNumberFormat="1" applyBorder="1" applyAlignment="1">
      <alignment horizontal="center" vertical="center"/>
    </xf>
    <xf numFmtId="2" fontId="1" fillId="0" borderId="2" xfId="14" applyNumberFormat="1" applyBorder="1" applyAlignment="1">
      <alignment horizontal="center" vertical="center"/>
    </xf>
    <xf numFmtId="2" fontId="1" fillId="0" borderId="42" xfId="14" applyNumberFormat="1" applyBorder="1" applyAlignment="1">
      <alignment horizontal="center" vertical="center"/>
    </xf>
    <xf numFmtId="1" fontId="1" fillId="0" borderId="16" xfId="14" applyNumberFormat="1" applyBorder="1" applyAlignment="1">
      <alignment horizontal="center" vertical="center"/>
    </xf>
    <xf numFmtId="2" fontId="1" fillId="0" borderId="46" xfId="14" applyNumberFormat="1" applyBorder="1" applyAlignment="1">
      <alignment horizontal="center" vertical="center"/>
    </xf>
    <xf numFmtId="1" fontId="1" fillId="0" borderId="47" xfId="14" applyNumberFormat="1" applyBorder="1" applyAlignment="1">
      <alignment horizontal="center" vertical="center"/>
    </xf>
    <xf numFmtId="170" fontId="26" fillId="5" borderId="43" xfId="14" applyNumberFormat="1" applyFont="1" applyFill="1" applyBorder="1" applyAlignment="1">
      <alignment horizontal="center" vertical="center"/>
    </xf>
    <xf numFmtId="2" fontId="30" fillId="25" borderId="48" xfId="14" applyNumberFormat="1" applyFont="1" applyFill="1" applyBorder="1" applyAlignment="1">
      <alignment horizontal="center" vertical="center"/>
    </xf>
    <xf numFmtId="2" fontId="26" fillId="0" borderId="0" xfId="14" applyNumberFormat="1" applyFont="1" applyAlignment="1">
      <alignment horizontal="center" vertical="center"/>
    </xf>
    <xf numFmtId="2" fontId="30" fillId="25" borderId="43" xfId="14" applyNumberFormat="1" applyFont="1" applyFill="1" applyBorder="1" applyAlignment="1">
      <alignment horizontal="center" vertical="center"/>
    </xf>
    <xf numFmtId="2" fontId="30" fillId="25" borderId="49" xfId="14" applyNumberFormat="1" applyFont="1" applyFill="1" applyBorder="1" applyAlignment="1">
      <alignment horizontal="center" vertical="center"/>
    </xf>
    <xf numFmtId="2" fontId="30" fillId="25" borderId="50" xfId="14" applyNumberFormat="1" applyFont="1" applyFill="1" applyBorder="1" applyAlignment="1">
      <alignment horizontal="center" vertical="center"/>
    </xf>
    <xf numFmtId="2" fontId="26" fillId="0" borderId="46" xfId="14" applyNumberFormat="1" applyFont="1" applyBorder="1" applyAlignment="1">
      <alignment horizontal="center" vertical="center"/>
    </xf>
    <xf numFmtId="2" fontId="12" fillId="0" borderId="0" xfId="14" applyNumberFormat="1" applyFont="1" applyAlignment="1">
      <alignment horizontal="center" vertical="center"/>
    </xf>
    <xf numFmtId="2" fontId="26" fillId="25" borderId="40" xfId="14" applyNumberFormat="1" applyFont="1" applyFill="1" applyBorder="1" applyAlignment="1">
      <alignment vertical="center"/>
    </xf>
    <xf numFmtId="1" fontId="30" fillId="25" borderId="49" xfId="14" applyNumberFormat="1" applyFont="1" applyFill="1" applyBorder="1" applyAlignment="1">
      <alignment horizontal="center" vertical="center"/>
    </xf>
    <xf numFmtId="16" fontId="15" fillId="20" borderId="41" xfId="9" applyNumberFormat="1" applyFont="1" applyFill="1" applyBorder="1" applyAlignment="1">
      <alignment horizontal="center" vertical="center"/>
    </xf>
    <xf numFmtId="0" fontId="24" fillId="4" borderId="17" xfId="9" applyFont="1" applyFill="1" applyBorder="1" applyAlignment="1">
      <alignment horizontal="center" vertical="center"/>
    </xf>
    <xf numFmtId="0" fontId="24" fillId="0" borderId="4" xfId="9" applyFont="1" applyBorder="1" applyAlignment="1">
      <alignment horizontal="center"/>
    </xf>
    <xf numFmtId="0" fontId="24" fillId="9" borderId="6" xfId="9" applyFont="1" applyFill="1" applyBorder="1"/>
    <xf numFmtId="0" fontId="24" fillId="4" borderId="2" xfId="9" applyFont="1" applyFill="1" applyBorder="1" applyAlignment="1">
      <alignment horizontal="center" vertical="center"/>
    </xf>
    <xf numFmtId="0" fontId="24" fillId="4" borderId="9" xfId="9" applyFont="1" applyFill="1" applyBorder="1" applyAlignment="1">
      <alignment horizontal="center" vertical="center"/>
    </xf>
    <xf numFmtId="0" fontId="24" fillId="9" borderId="0" xfId="9" applyFont="1" applyFill="1"/>
    <xf numFmtId="0" fontId="24" fillId="9" borderId="3" xfId="9" applyFont="1" applyFill="1" applyBorder="1"/>
    <xf numFmtId="2" fontId="24" fillId="4" borderId="4" xfId="9" applyNumberFormat="1" applyFont="1" applyFill="1" applyBorder="1" applyAlignment="1">
      <alignment horizontal="center" vertical="center"/>
    </xf>
    <xf numFmtId="2" fontId="24" fillId="0" borderId="4" xfId="9" applyNumberFormat="1" applyFont="1" applyBorder="1" applyAlignment="1">
      <alignment horizontal="center"/>
    </xf>
    <xf numFmtId="0" fontId="24" fillId="22" borderId="0" xfId="9" applyFont="1" applyFill="1"/>
    <xf numFmtId="0" fontId="24" fillId="0" borderId="2" xfId="9" applyFont="1" applyBorder="1" applyAlignment="1">
      <alignment horizontal="center"/>
    </xf>
    <xf numFmtId="0" fontId="24" fillId="0" borderId="19" xfId="9" applyFont="1" applyBorder="1" applyAlignment="1">
      <alignment horizontal="center"/>
    </xf>
    <xf numFmtId="0" fontId="24" fillId="0" borderId="18" xfId="9" applyFont="1" applyBorder="1" applyAlignment="1">
      <alignment horizontal="center"/>
    </xf>
    <xf numFmtId="0" fontId="24" fillId="0" borderId="0" xfId="9" applyFont="1"/>
    <xf numFmtId="16" fontId="13" fillId="20" borderId="41" xfId="9" applyNumberFormat="1" applyFont="1" applyFill="1" applyBorder="1" applyAlignment="1">
      <alignment horizontal="center" vertical="center"/>
    </xf>
    <xf numFmtId="2" fontId="1" fillId="0" borderId="0" xfId="15" applyNumberFormat="1" applyAlignment="1">
      <alignment horizontal="center"/>
    </xf>
    <xf numFmtId="2" fontId="31" fillId="0" borderId="0" xfId="15" applyNumberFormat="1" applyFont="1" applyAlignment="1">
      <alignment horizontal="center" vertical="center"/>
    </xf>
    <xf numFmtId="2" fontId="26" fillId="0" borderId="0" xfId="15" applyNumberFormat="1" applyFont="1" applyAlignment="1">
      <alignment horizontal="center" vertical="center"/>
    </xf>
    <xf numFmtId="2" fontId="13" fillId="20" borderId="2" xfId="15" applyNumberFormat="1" applyFont="1" applyFill="1" applyBorder="1" applyAlignment="1">
      <alignment horizontal="center" vertical="center" wrapText="1"/>
    </xf>
    <xf numFmtId="2" fontId="33" fillId="20" borderId="2" xfId="16" applyNumberFormat="1" applyFont="1" applyFill="1" applyBorder="1" applyAlignment="1" applyProtection="1">
      <alignment horizontal="center" vertical="center" wrapText="1"/>
      <protection hidden="1"/>
    </xf>
    <xf numFmtId="2" fontId="13" fillId="0" borderId="0" xfId="15" applyNumberFormat="1" applyFont="1" applyAlignment="1">
      <alignment horizontal="center" vertical="center" wrapText="1"/>
    </xf>
    <xf numFmtId="170" fontId="13" fillId="20" borderId="2" xfId="15" applyNumberFormat="1" applyFont="1" applyFill="1" applyBorder="1" applyAlignment="1">
      <alignment horizontal="center"/>
    </xf>
    <xf numFmtId="1" fontId="1" fillId="0" borderId="2" xfId="15" applyNumberFormat="1" applyBorder="1" applyAlignment="1">
      <alignment horizontal="center"/>
    </xf>
    <xf numFmtId="2" fontId="1" fillId="0" borderId="2" xfId="15" applyNumberFormat="1" applyBorder="1" applyAlignment="1">
      <alignment horizontal="center"/>
    </xf>
    <xf numFmtId="2" fontId="1" fillId="0" borderId="0" xfId="15" applyNumberFormat="1" applyAlignment="1">
      <alignment horizontal="center" vertical="center"/>
    </xf>
    <xf numFmtId="0" fontId="21" fillId="19" borderId="13" xfId="9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horizontal="center" vertical="center"/>
    </xf>
    <xf numFmtId="0" fontId="0" fillId="28" borderId="4" xfId="0" applyFill="1" applyBorder="1" applyAlignment="1">
      <alignment horizontal="center"/>
    </xf>
    <xf numFmtId="0" fontId="0" fillId="28" borderId="2" xfId="0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43" fontId="4" fillId="28" borderId="4" xfId="0" applyNumberFormat="1" applyFont="1" applyFill="1" applyBorder="1" applyAlignment="1">
      <alignment horizontal="center" vertical="center" wrapText="1"/>
    </xf>
    <xf numFmtId="0" fontId="7" fillId="13" borderId="0" xfId="9" applyFont="1" applyFill="1" applyAlignment="1">
      <alignment vertical="center"/>
    </xf>
    <xf numFmtId="0" fontId="7" fillId="13" borderId="1" xfId="9" applyFont="1" applyFill="1" applyBorder="1" applyAlignment="1">
      <alignment vertical="center"/>
    </xf>
    <xf numFmtId="0" fontId="8" fillId="18" borderId="0" xfId="0" applyFont="1" applyFill="1" applyAlignment="1">
      <alignment horizontal="center"/>
    </xf>
    <xf numFmtId="16" fontId="5" fillId="13" borderId="53" xfId="0" applyNumberFormat="1" applyFont="1" applyFill="1" applyBorder="1" applyAlignment="1">
      <alignment horizontal="center"/>
    </xf>
    <xf numFmtId="16" fontId="5" fillId="13" borderId="54" xfId="0" applyNumberFormat="1" applyFont="1" applyFill="1" applyBorder="1" applyAlignment="1">
      <alignment horizontal="center"/>
    </xf>
    <xf numFmtId="16" fontId="28" fillId="13" borderId="53" xfId="0" applyNumberFormat="1" applyFont="1" applyFill="1" applyBorder="1" applyAlignment="1">
      <alignment horizontal="center"/>
    </xf>
    <xf numFmtId="0" fontId="9" fillId="7" borderId="57" xfId="0" applyFont="1" applyFill="1" applyBorder="1" applyAlignment="1">
      <alignment horizontal="center" vertical="center"/>
    </xf>
    <xf numFmtId="0" fontId="9" fillId="13" borderId="57" xfId="0" applyFont="1" applyFill="1" applyBorder="1" applyAlignment="1">
      <alignment horizontal="center" vertical="center"/>
    </xf>
    <xf numFmtId="0" fontId="9" fillId="7" borderId="57" xfId="0" applyFont="1" applyFill="1" applyBorder="1" applyAlignment="1">
      <alignment horizontal="center" vertical="center" wrapText="1"/>
    </xf>
    <xf numFmtId="0" fontId="9" fillId="13" borderId="57" xfId="0" applyFont="1" applyFill="1" applyBorder="1" applyAlignment="1">
      <alignment horizontal="center" vertical="center" wrapText="1"/>
    </xf>
    <xf numFmtId="0" fontId="24" fillId="6" borderId="59" xfId="0" applyFont="1" applyFill="1" applyBorder="1" applyAlignment="1">
      <alignment horizontal="center" vertical="center"/>
    </xf>
    <xf numFmtId="0" fontId="24" fillId="28" borderId="60" xfId="0" applyFont="1" applyFill="1" applyBorder="1" applyAlignment="1">
      <alignment horizontal="center" vertical="center" wrapText="1"/>
    </xf>
    <xf numFmtId="0" fontId="24" fillId="6" borderId="60" xfId="0" applyFont="1" applyFill="1" applyBorder="1" applyAlignment="1">
      <alignment horizontal="center" vertical="center"/>
    </xf>
    <xf numFmtId="0" fontId="24" fillId="7" borderId="60" xfId="0" applyFont="1" applyFill="1" applyBorder="1" applyAlignment="1">
      <alignment horizontal="center" vertical="center"/>
    </xf>
    <xf numFmtId="0" fontId="24" fillId="13" borderId="60" xfId="0" applyFont="1" applyFill="1" applyBorder="1" applyAlignment="1">
      <alignment horizontal="center" vertical="center"/>
    </xf>
    <xf numFmtId="0" fontId="24" fillId="13" borderId="60" xfId="0" applyFont="1" applyFill="1" applyBorder="1" applyAlignment="1">
      <alignment horizontal="center"/>
    </xf>
    <xf numFmtId="0" fontId="24" fillId="7" borderId="60" xfId="0" applyFont="1" applyFill="1" applyBorder="1" applyAlignment="1">
      <alignment horizontal="center"/>
    </xf>
    <xf numFmtId="0" fontId="24" fillId="21" borderId="60" xfId="0" applyFont="1" applyFill="1" applyBorder="1" applyAlignment="1">
      <alignment horizontal="center" vertical="center"/>
    </xf>
    <xf numFmtId="0" fontId="24" fillId="28" borderId="61" xfId="0" applyFont="1" applyFill="1" applyBorder="1" applyAlignment="1">
      <alignment horizontal="center" vertical="center" wrapText="1"/>
    </xf>
    <xf numFmtId="1" fontId="5" fillId="21" borderId="24" xfId="0" applyNumberFormat="1" applyFont="1" applyFill="1" applyBorder="1" applyAlignment="1">
      <alignment horizontal="center"/>
    </xf>
    <xf numFmtId="0" fontId="5" fillId="6" borderId="62" xfId="0" applyFont="1" applyFill="1" applyBorder="1" applyAlignment="1">
      <alignment horizontal="center" vertical="center"/>
    </xf>
    <xf numFmtId="0" fontId="5" fillId="6" borderId="37" xfId="0" applyFont="1" applyFill="1" applyBorder="1" applyAlignment="1">
      <alignment horizontal="center" vertical="center" wrapText="1"/>
    </xf>
    <xf numFmtId="0" fontId="5" fillId="6" borderId="37" xfId="0" applyFont="1" applyFill="1" applyBorder="1" applyAlignment="1">
      <alignment horizontal="center" vertical="center"/>
    </xf>
    <xf numFmtId="0" fontId="5" fillId="7" borderId="37" xfId="0" applyFont="1" applyFill="1" applyBorder="1" applyAlignment="1">
      <alignment horizontal="center"/>
    </xf>
    <xf numFmtId="0" fontId="5" fillId="13" borderId="37" xfId="0" applyFont="1" applyFill="1" applyBorder="1" applyAlignment="1">
      <alignment horizontal="center" vertical="center"/>
    </xf>
    <xf numFmtId="0" fontId="5" fillId="13" borderId="37" xfId="0" applyFont="1" applyFill="1" applyBorder="1" applyAlignment="1">
      <alignment horizontal="center"/>
    </xf>
    <xf numFmtId="0" fontId="5" fillId="21" borderId="37" xfId="0" applyFont="1" applyFill="1" applyBorder="1" applyAlignment="1">
      <alignment horizontal="center" vertical="center"/>
    </xf>
    <xf numFmtId="1" fontId="5" fillId="21" borderId="37" xfId="0" applyNumberFormat="1" applyFont="1" applyFill="1" applyBorder="1" applyAlignment="1">
      <alignment horizontal="center"/>
    </xf>
    <xf numFmtId="1" fontId="5" fillId="21" borderId="63" xfId="0" applyNumberFormat="1" applyFont="1" applyFill="1" applyBorder="1" applyAlignment="1">
      <alignment horizontal="center"/>
    </xf>
    <xf numFmtId="16" fontId="15" fillId="20" borderId="66" xfId="9" applyNumberFormat="1" applyFont="1" applyFill="1" applyBorder="1" applyAlignment="1">
      <alignment horizontal="center" vertical="center"/>
    </xf>
    <xf numFmtId="16" fontId="13" fillId="20" borderId="68" xfId="9" applyNumberFormat="1" applyFont="1" applyFill="1" applyBorder="1" applyAlignment="1">
      <alignment horizontal="center" vertical="center"/>
    </xf>
    <xf numFmtId="0" fontId="5" fillId="0" borderId="21" xfId="9" applyBorder="1" applyAlignment="1">
      <alignment horizontal="center"/>
    </xf>
    <xf numFmtId="0" fontId="5" fillId="0" borderId="24" xfId="9" applyBorder="1" applyAlignment="1">
      <alignment horizontal="center"/>
    </xf>
    <xf numFmtId="0" fontId="5" fillId="0" borderId="69" xfId="9" applyBorder="1" applyAlignment="1">
      <alignment horizontal="center"/>
    </xf>
    <xf numFmtId="0" fontId="5" fillId="4" borderId="25" xfId="9" applyFill="1" applyBorder="1" applyAlignment="1">
      <alignment horizontal="center" vertical="center"/>
    </xf>
    <xf numFmtId="0" fontId="5" fillId="0" borderId="25" xfId="9" applyBorder="1" applyAlignment="1">
      <alignment horizontal="center"/>
    </xf>
    <xf numFmtId="16" fontId="13" fillId="20" borderId="70" xfId="9" applyNumberFormat="1" applyFont="1" applyFill="1" applyBorder="1" applyAlignment="1">
      <alignment horizontal="center" vertical="center"/>
    </xf>
    <xf numFmtId="0" fontId="5" fillId="0" borderId="71" xfId="9" applyBorder="1" applyAlignment="1">
      <alignment horizontal="center"/>
    </xf>
    <xf numFmtId="0" fontId="5" fillId="0" borderId="72" xfId="9" applyBorder="1" applyAlignment="1">
      <alignment horizontal="center"/>
    </xf>
    <xf numFmtId="0" fontId="5" fillId="4" borderId="73" xfId="9" applyFill="1" applyBorder="1" applyAlignment="1">
      <alignment horizontal="center" vertical="center"/>
    </xf>
    <xf numFmtId="0" fontId="5" fillId="0" borderId="73" xfId="9" applyBorder="1" applyAlignment="1">
      <alignment horizontal="center"/>
    </xf>
    <xf numFmtId="0" fontId="5" fillId="0" borderId="74" xfId="9" applyBorder="1" applyAlignment="1">
      <alignment horizontal="center"/>
    </xf>
    <xf numFmtId="0" fontId="28" fillId="0" borderId="20" xfId="9" applyFont="1" applyBorder="1" applyAlignment="1">
      <alignment horizontal="center"/>
    </xf>
    <xf numFmtId="0" fontId="28" fillId="28" borderId="20" xfId="9" applyFont="1" applyFill="1" applyBorder="1" applyAlignment="1">
      <alignment horizontal="center"/>
    </xf>
    <xf numFmtId="0" fontId="28" fillId="0" borderId="23" xfId="9" applyFont="1" applyBorder="1" applyAlignment="1">
      <alignment horizontal="center"/>
    </xf>
    <xf numFmtId="0" fontId="28" fillId="0" borderId="67" xfId="9" applyFont="1" applyBorder="1" applyAlignment="1">
      <alignment horizontal="center" vertical="center"/>
    </xf>
    <xf numFmtId="0" fontId="28" fillId="0" borderId="67" xfId="9" applyFont="1" applyBorder="1" applyAlignment="1">
      <alignment horizontal="center"/>
    </xf>
    <xf numFmtId="0" fontId="21" fillId="3" borderId="2" xfId="9" applyFont="1" applyFill="1" applyBorder="1" applyAlignment="1">
      <alignment horizontal="center" vertical="center"/>
    </xf>
    <xf numFmtId="0" fontId="21" fillId="3" borderId="2" xfId="9" applyFont="1" applyFill="1" applyBorder="1" applyAlignment="1">
      <alignment horizontal="center" vertical="center" wrapText="1"/>
    </xf>
    <xf numFmtId="0" fontId="5" fillId="0" borderId="22" xfId="9" applyBorder="1" applyAlignment="1">
      <alignment horizontal="center"/>
    </xf>
    <xf numFmtId="0" fontId="5" fillId="0" borderId="75" xfId="9" applyBorder="1" applyAlignment="1">
      <alignment horizontal="center"/>
    </xf>
    <xf numFmtId="0" fontId="28" fillId="0" borderId="76" xfId="9" applyFont="1" applyBorder="1" applyAlignment="1">
      <alignment horizontal="center"/>
    </xf>
    <xf numFmtId="0" fontId="28" fillId="28" borderId="23" xfId="9" applyFont="1" applyFill="1" applyBorder="1" applyAlignment="1">
      <alignment horizontal="center"/>
    </xf>
    <xf numFmtId="15" fontId="5" fillId="4" borderId="2" xfId="9" applyNumberFormat="1" applyFill="1" applyBorder="1" applyAlignment="1">
      <alignment horizontal="center"/>
    </xf>
    <xf numFmtId="1" fontId="1" fillId="0" borderId="2" xfId="13" applyNumberFormat="1" applyFont="1" applyBorder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19" fillId="0" borderId="0" xfId="9" applyFont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4" fillId="0" borderId="0" xfId="9" applyFont="1" applyAlignment="1">
      <alignment horizontal="center"/>
    </xf>
    <xf numFmtId="0" fontId="16" fillId="21" borderId="0" xfId="0" applyFont="1" applyFill="1" applyAlignment="1">
      <alignment horizontal="center" vertical="center"/>
    </xf>
    <xf numFmtId="0" fontId="13" fillId="5" borderId="38" xfId="0" applyFont="1" applyFill="1" applyBorder="1" applyAlignment="1">
      <alignment horizontal="center" vertical="center"/>
    </xf>
    <xf numFmtId="0" fontId="13" fillId="5" borderId="41" xfId="0" applyFont="1" applyFill="1" applyBorder="1" applyAlignment="1">
      <alignment horizontal="center" vertical="center"/>
    </xf>
    <xf numFmtId="0" fontId="26" fillId="25" borderId="38" xfId="0" applyFont="1" applyFill="1" applyBorder="1" applyAlignment="1">
      <alignment horizontal="center" vertical="center"/>
    </xf>
    <xf numFmtId="0" fontId="26" fillId="25" borderId="39" xfId="0" applyFont="1" applyFill="1" applyBorder="1" applyAlignment="1">
      <alignment horizontal="center" vertical="center"/>
    </xf>
    <xf numFmtId="0" fontId="26" fillId="25" borderId="40" xfId="0" applyFont="1" applyFill="1" applyBorder="1" applyAlignment="1">
      <alignment horizontal="center" vertical="center"/>
    </xf>
    <xf numFmtId="0" fontId="16" fillId="26" borderId="0" xfId="0" applyFont="1" applyFill="1" applyAlignment="1">
      <alignment horizontal="center" vertical="center"/>
    </xf>
    <xf numFmtId="0" fontId="4" fillId="7" borderId="26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27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7" borderId="52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1" borderId="36" xfId="0" applyFont="1" applyFill="1" applyBorder="1" applyAlignment="1">
      <alignment horizontal="center" vertical="center"/>
    </xf>
    <xf numFmtId="0" fontId="4" fillId="24" borderId="36" xfId="0" applyFont="1" applyFill="1" applyBorder="1" applyAlignment="1">
      <alignment horizontal="center" vertical="center"/>
    </xf>
    <xf numFmtId="0" fontId="7" fillId="23" borderId="0" xfId="0" applyFont="1" applyFill="1" applyAlignment="1">
      <alignment horizontal="center" vertical="center"/>
    </xf>
    <xf numFmtId="0" fontId="7" fillId="26" borderId="0" xfId="9" applyFont="1" applyFill="1" applyAlignment="1">
      <alignment horizontal="center" vertical="center"/>
    </xf>
    <xf numFmtId="0" fontId="7" fillId="0" borderId="1" xfId="9" applyFont="1" applyBorder="1" applyAlignment="1">
      <alignment horizontal="center" vertical="center"/>
    </xf>
    <xf numFmtId="0" fontId="16" fillId="14" borderId="0" xfId="9" applyFont="1" applyFill="1" applyAlignment="1">
      <alignment horizontal="left" vertical="center"/>
    </xf>
    <xf numFmtId="0" fontId="16" fillId="14" borderId="28" xfId="9" applyFont="1" applyFill="1" applyBorder="1" applyAlignment="1">
      <alignment horizontal="left" vertical="center"/>
    </xf>
    <xf numFmtId="0" fontId="4" fillId="3" borderId="9" xfId="9" applyFont="1" applyFill="1" applyBorder="1" applyAlignment="1">
      <alignment horizontal="center" vertical="center"/>
    </xf>
    <xf numFmtId="0" fontId="4" fillId="3" borderId="15" xfId="9" applyFont="1" applyFill="1" applyBorder="1" applyAlignment="1">
      <alignment horizontal="center" vertical="center"/>
    </xf>
    <xf numFmtId="0" fontId="4" fillId="3" borderId="16" xfId="9" applyFont="1" applyFill="1" applyBorder="1" applyAlignment="1">
      <alignment horizontal="center" vertical="center"/>
    </xf>
    <xf numFmtId="0" fontId="20" fillId="7" borderId="15" xfId="9" applyFont="1" applyFill="1" applyBorder="1" applyAlignment="1">
      <alignment horizontal="center" vertical="center"/>
    </xf>
    <xf numFmtId="0" fontId="20" fillId="7" borderId="16" xfId="9" applyFont="1" applyFill="1" applyBorder="1" applyAlignment="1">
      <alignment horizontal="center" vertical="center"/>
    </xf>
    <xf numFmtId="0" fontId="4" fillId="0" borderId="10" xfId="9" applyFont="1" applyBorder="1" applyAlignment="1">
      <alignment horizontal="center" vertical="center" wrapText="1"/>
    </xf>
    <xf numFmtId="0" fontId="4" fillId="0" borderId="12" xfId="9" applyFont="1" applyBorder="1" applyAlignment="1">
      <alignment horizontal="center" vertical="center" wrapText="1"/>
    </xf>
    <xf numFmtId="0" fontId="4" fillId="0" borderId="13" xfId="9" applyFont="1" applyBorder="1" applyAlignment="1">
      <alignment horizontal="center" vertical="center" wrapText="1"/>
    </xf>
    <xf numFmtId="0" fontId="21" fillId="19" borderId="10" xfId="9" applyFont="1" applyFill="1" applyBorder="1" applyAlignment="1">
      <alignment horizontal="center" vertical="center"/>
    </xf>
    <xf numFmtId="0" fontId="21" fillId="19" borderId="12" xfId="9" applyFont="1" applyFill="1" applyBorder="1" applyAlignment="1">
      <alignment horizontal="center" vertical="center"/>
    </xf>
    <xf numFmtId="0" fontId="21" fillId="19" borderId="13" xfId="9" applyFont="1" applyFill="1" applyBorder="1" applyAlignment="1">
      <alignment horizontal="center" vertical="center"/>
    </xf>
    <xf numFmtId="0" fontId="9" fillId="7" borderId="57" xfId="0" applyFont="1" applyFill="1" applyBorder="1" applyAlignment="1">
      <alignment horizontal="center" vertical="center"/>
    </xf>
    <xf numFmtId="0" fontId="9" fillId="13" borderId="57" xfId="0" applyFont="1" applyFill="1" applyBorder="1" applyAlignment="1">
      <alignment horizontal="center" vertical="center"/>
    </xf>
    <xf numFmtId="0" fontId="9" fillId="13" borderId="57" xfId="0" applyFont="1" applyFill="1" applyBorder="1" applyAlignment="1">
      <alignment horizontal="center" vertical="center" wrapText="1"/>
    </xf>
    <xf numFmtId="0" fontId="8" fillId="18" borderId="30" xfId="0" applyFont="1" applyFill="1" applyBorder="1" applyAlignment="1">
      <alignment horizontal="center"/>
    </xf>
    <xf numFmtId="0" fontId="9" fillId="7" borderId="57" xfId="0" applyFont="1" applyFill="1" applyBorder="1" applyAlignment="1">
      <alignment horizontal="center" vertical="center" wrapText="1"/>
    </xf>
    <xf numFmtId="0" fontId="10" fillId="21" borderId="58" xfId="0" applyFont="1" applyFill="1" applyBorder="1" applyAlignment="1">
      <alignment horizontal="center" vertical="center"/>
    </xf>
    <xf numFmtId="0" fontId="10" fillId="8" borderId="58" xfId="0" applyFont="1" applyFill="1" applyBorder="1" applyAlignment="1">
      <alignment horizontal="center" vertical="center"/>
    </xf>
    <xf numFmtId="17" fontId="16" fillId="0" borderId="0" xfId="0" applyNumberFormat="1" applyFont="1" applyAlignment="1">
      <alignment horizontal="left" vertical="center"/>
    </xf>
    <xf numFmtId="17" fontId="16" fillId="0" borderId="28" xfId="0" applyNumberFormat="1" applyFont="1" applyBorder="1" applyAlignment="1">
      <alignment horizontal="left" vertical="center"/>
    </xf>
    <xf numFmtId="0" fontId="9" fillId="17" borderId="64" xfId="0" applyFont="1" applyFill="1" applyBorder="1" applyAlignment="1">
      <alignment horizontal="center" vertical="center"/>
    </xf>
    <xf numFmtId="0" fontId="9" fillId="17" borderId="65" xfId="0" applyFont="1" applyFill="1" applyBorder="1" applyAlignment="1">
      <alignment horizontal="center" vertical="center"/>
    </xf>
    <xf numFmtId="0" fontId="9" fillId="6" borderId="55" xfId="0" applyFont="1" applyFill="1" applyBorder="1" applyAlignment="1">
      <alignment horizontal="center" vertical="center"/>
    </xf>
    <xf numFmtId="0" fontId="9" fillId="6" borderId="56" xfId="0" applyFont="1" applyFill="1" applyBorder="1" applyAlignment="1">
      <alignment horizontal="center" vertical="center"/>
    </xf>
    <xf numFmtId="2" fontId="14" fillId="10" borderId="0" xfId="13" applyNumberFormat="1" applyFont="1" applyFill="1" applyAlignment="1">
      <alignment horizontal="center" vertical="center" wrapText="1"/>
    </xf>
    <xf numFmtId="0" fontId="16" fillId="15" borderId="0" xfId="9" applyFont="1" applyFill="1" applyAlignment="1">
      <alignment horizontal="center" vertical="center"/>
    </xf>
    <xf numFmtId="0" fontId="16" fillId="15" borderId="1" xfId="9" applyFont="1" applyFill="1" applyBorder="1" applyAlignment="1">
      <alignment horizontal="center" vertical="center"/>
    </xf>
    <xf numFmtId="2" fontId="1" fillId="0" borderId="51" xfId="14" applyNumberFormat="1" applyBorder="1" applyAlignment="1">
      <alignment horizontal="center" vertical="center"/>
    </xf>
    <xf numFmtId="2" fontId="29" fillId="21" borderId="0" xfId="14" applyNumberFormat="1" applyFont="1" applyFill="1" applyAlignment="1">
      <alignment horizontal="center" vertical="center"/>
    </xf>
    <xf numFmtId="2" fontId="13" fillId="5" borderId="38" xfId="14" applyNumberFormat="1" applyFont="1" applyFill="1" applyBorder="1" applyAlignment="1">
      <alignment horizontal="center" vertical="center"/>
    </xf>
    <xf numFmtId="2" fontId="13" fillId="5" borderId="41" xfId="14" applyNumberFormat="1" applyFont="1" applyFill="1" applyBorder="1" applyAlignment="1">
      <alignment horizontal="center" vertical="center"/>
    </xf>
    <xf numFmtId="2" fontId="26" fillId="25" borderId="38" xfId="14" applyNumberFormat="1" applyFont="1" applyFill="1" applyBorder="1" applyAlignment="1">
      <alignment horizontal="center" vertical="center"/>
    </xf>
    <xf numFmtId="2" fontId="26" fillId="25" borderId="39" xfId="14" applyNumberFormat="1" applyFont="1" applyFill="1" applyBorder="1" applyAlignment="1">
      <alignment horizontal="center" vertical="center"/>
    </xf>
    <xf numFmtId="2" fontId="26" fillId="25" borderId="40" xfId="14" applyNumberFormat="1" applyFont="1" applyFill="1" applyBorder="1" applyAlignment="1">
      <alignment horizontal="center" vertical="center"/>
    </xf>
    <xf numFmtId="2" fontId="26" fillId="25" borderId="44" xfId="14" applyNumberFormat="1" applyFont="1" applyFill="1" applyBorder="1" applyAlignment="1">
      <alignment horizontal="center" vertical="center"/>
    </xf>
    <xf numFmtId="2" fontId="26" fillId="25" borderId="45" xfId="14" applyNumberFormat="1" applyFont="1" applyFill="1" applyBorder="1" applyAlignment="1">
      <alignment horizontal="center" vertical="center"/>
    </xf>
    <xf numFmtId="2" fontId="30" fillId="25" borderId="38" xfId="14" applyNumberFormat="1" applyFont="1" applyFill="1" applyBorder="1" applyAlignment="1">
      <alignment horizontal="center" vertical="center"/>
    </xf>
    <xf numFmtId="2" fontId="30" fillId="25" borderId="39" xfId="14" applyNumberFormat="1" applyFont="1" applyFill="1" applyBorder="1" applyAlignment="1">
      <alignment horizontal="center" vertical="center"/>
    </xf>
    <xf numFmtId="2" fontId="30" fillId="25" borderId="45" xfId="14" applyNumberFormat="1" applyFont="1" applyFill="1" applyBorder="1" applyAlignment="1">
      <alignment horizontal="center" vertical="center"/>
    </xf>
    <xf numFmtId="2" fontId="29" fillId="26" borderId="0" xfId="15" applyNumberFormat="1" applyFont="1" applyFill="1" applyAlignment="1">
      <alignment horizontal="center" vertical="center"/>
    </xf>
    <xf numFmtId="2" fontId="1" fillId="27" borderId="31" xfId="15" applyNumberFormat="1" applyFill="1" applyBorder="1" applyAlignment="1">
      <alignment horizontal="center" vertical="center"/>
    </xf>
    <xf numFmtId="2" fontId="1" fillId="27" borderId="4" xfId="15" applyNumberFormat="1" applyFill="1" applyBorder="1" applyAlignment="1">
      <alignment horizontal="center" vertical="center"/>
    </xf>
    <xf numFmtId="2" fontId="31" fillId="27" borderId="2" xfId="15" applyNumberFormat="1" applyFont="1" applyFill="1" applyBorder="1" applyAlignment="1">
      <alignment horizontal="center" vertical="center"/>
    </xf>
    <xf numFmtId="2" fontId="31" fillId="27" borderId="17" xfId="15" applyNumberFormat="1" applyFont="1" applyFill="1" applyBorder="1" applyAlignment="1">
      <alignment horizontal="center" vertical="center"/>
    </xf>
    <xf numFmtId="2" fontId="31" fillId="27" borderId="1" xfId="15" applyNumberFormat="1" applyFont="1" applyFill="1" applyBorder="1" applyAlignment="1">
      <alignment horizontal="center" vertical="center"/>
    </xf>
    <xf numFmtId="2" fontId="32" fillId="27" borderId="2" xfId="15" applyNumberFormat="1" applyFont="1" applyFill="1" applyBorder="1" applyAlignment="1">
      <alignment horizontal="center"/>
    </xf>
  </cellXfs>
  <cellStyles count="17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2 2" xfId="16" xr:uid="{832AC182-26D9-48D6-AE45-FD2C62F5EBB6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Normal 5" xfId="14" xr:uid="{7788D969-899D-4D2F-81F8-AA5399E9E450}"/>
    <cellStyle name="Normal 6" xfId="15" xr:uid="{B7B619DC-DE95-427F-B676-1306AC142957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981075</xdr:colOff>
      <xdr:row>0</xdr:row>
      <xdr:rowOff>0</xdr:rowOff>
    </xdr:from>
    <xdr:to>
      <xdr:col>6</xdr:col>
      <xdr:colOff>933450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030DA-D5AD-4701-A48A-0480D66F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0"/>
          <a:ext cx="1190625" cy="723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835E8B68-9972-47BC-B9C5-AE99D94F3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43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89EFBB27-27E6-4371-9369-5CAFA333B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577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4340E900-EA1B-41BD-82BD-5EA66335A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914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1EE8ABF0-3D50-4A5C-8EA6-426F6EBE6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108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22</xdr:col>
      <xdr:colOff>0</xdr:colOff>
      <xdr:row>0</xdr:row>
      <xdr:rowOff>0</xdr:rowOff>
    </xdr:from>
    <xdr:to>
      <xdr:col>22</xdr:col>
      <xdr:colOff>0</xdr:colOff>
      <xdr:row>3</xdr:row>
      <xdr:rowOff>0</xdr:rowOff>
    </xdr:to>
    <xdr:pic>
      <xdr:nvPicPr>
        <xdr:cNvPr id="6" name="Picture 5" descr="MaldivesLandaa">
          <a:extLst>
            <a:ext uri="{FF2B5EF4-FFF2-40B4-BE49-F238E27FC236}">
              <a16:creationId xmlns:a16="http://schemas.microsoft.com/office/drawing/2014/main" id="{FEEEEF24-64AE-4677-9BB9-2286815AD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7349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2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P32"/>
  <sheetViews>
    <sheetView tabSelected="1" workbookViewId="0">
      <selection activeCell="T11" sqref="T11"/>
    </sheetView>
  </sheetViews>
  <sheetFormatPr defaultRowHeight="12.75"/>
  <cols>
    <col min="1" max="1" width="27.42578125" bestFit="1" customWidth="1"/>
    <col min="5" max="5" width="10.7109375" customWidth="1"/>
    <col min="6" max="6" width="12.140625" customWidth="1"/>
    <col min="9" max="9" width="11.7109375" style="5" bestFit="1" customWidth="1"/>
    <col min="10" max="10" width="11.7109375" style="24" bestFit="1" customWidth="1"/>
    <col min="11" max="11" width="10.85546875" customWidth="1"/>
    <col min="12" max="12" width="11.28515625" customWidth="1"/>
  </cols>
  <sheetData>
    <row r="1" spans="1:16" ht="60">
      <c r="A1" s="33" t="s">
        <v>0</v>
      </c>
      <c r="B1" s="138" t="s">
        <v>1</v>
      </c>
      <c r="C1" s="139" t="s">
        <v>2</v>
      </c>
      <c r="D1" s="138" t="s">
        <v>3</v>
      </c>
      <c r="E1" s="140" t="s">
        <v>4</v>
      </c>
      <c r="F1" s="141" t="s">
        <v>5</v>
      </c>
      <c r="G1" s="140" t="s">
        <v>6</v>
      </c>
      <c r="H1" s="141" t="s">
        <v>7</v>
      </c>
      <c r="I1" s="137" t="s">
        <v>8</v>
      </c>
      <c r="J1" s="137" t="s">
        <v>9</v>
      </c>
      <c r="K1" s="140" t="s">
        <v>10</v>
      </c>
      <c r="L1" s="142" t="s">
        <v>11</v>
      </c>
      <c r="M1" s="140" t="s">
        <v>12</v>
      </c>
      <c r="N1" s="140" t="s">
        <v>13</v>
      </c>
      <c r="O1" s="140" t="s">
        <v>14</v>
      </c>
      <c r="P1" s="140" t="s">
        <v>15</v>
      </c>
    </row>
    <row r="2" spans="1:16" ht="15">
      <c r="A2" s="34" t="s">
        <v>16</v>
      </c>
      <c r="B2" s="34">
        <v>1</v>
      </c>
      <c r="C2" s="35">
        <v>3</v>
      </c>
      <c r="D2" s="34">
        <v>2023</v>
      </c>
      <c r="E2" s="36">
        <f>'Daily Utility Report'!F8</f>
        <v>30677</v>
      </c>
      <c r="F2" s="145">
        <v>0.35399999999999998</v>
      </c>
      <c r="G2" s="36">
        <f>'Daily Utility Report'!H8</f>
        <v>225</v>
      </c>
      <c r="H2" s="37">
        <v>1.1499999999999999</v>
      </c>
      <c r="I2" s="143">
        <f>'Diesel consumption'!C8</f>
        <v>7750</v>
      </c>
      <c r="J2" s="144">
        <v>1.3</v>
      </c>
      <c r="K2" s="36">
        <f>'Daily Utility Report'!G8</f>
        <v>350</v>
      </c>
      <c r="L2" s="37">
        <v>0</v>
      </c>
      <c r="M2" s="36">
        <f>'Room Nights &amp; Food Covers'!B5</f>
        <v>57</v>
      </c>
      <c r="N2" s="36">
        <f>'Room Nights &amp; Food Covers'!D5</f>
        <v>334</v>
      </c>
      <c r="O2" s="36">
        <f>'Room Nights &amp; Food Covers'!C5</f>
        <v>123</v>
      </c>
      <c r="P2" s="36">
        <f>'Diesel consumption'!F8+'Diesel consumption'!M8</f>
        <v>1300</v>
      </c>
    </row>
    <row r="3" spans="1:16" ht="15">
      <c r="A3" s="34" t="s">
        <v>16</v>
      </c>
      <c r="B3" s="34">
        <v>2</v>
      </c>
      <c r="C3" s="35">
        <v>3</v>
      </c>
      <c r="D3" s="34">
        <v>2023</v>
      </c>
      <c r="E3" s="36">
        <f>'Daily Utility Report'!F9</f>
        <v>31340</v>
      </c>
      <c r="F3" s="145">
        <v>0.35399999999999998</v>
      </c>
      <c r="G3" s="36">
        <f>'Daily Utility Report'!H9</f>
        <v>225</v>
      </c>
      <c r="H3" s="37">
        <v>1.1499999999999999</v>
      </c>
      <c r="I3" s="143">
        <f>'Diesel consumption'!C9</f>
        <v>7890</v>
      </c>
      <c r="J3" s="144">
        <v>1.3</v>
      </c>
      <c r="K3" s="36">
        <f>'Daily Utility Report'!G9</f>
        <v>341</v>
      </c>
      <c r="L3" s="37">
        <v>0</v>
      </c>
      <c r="M3" s="36">
        <f>'Room Nights &amp; Food Covers'!B6</f>
        <v>57</v>
      </c>
      <c r="N3" s="36">
        <f>'Room Nights &amp; Food Covers'!D6</f>
        <v>360</v>
      </c>
      <c r="O3" s="36">
        <f>'Room Nights &amp; Food Covers'!C6</f>
        <v>125</v>
      </c>
      <c r="P3" s="36">
        <f>'Diesel consumption'!F9+'Diesel consumption'!M9</f>
        <v>5190</v>
      </c>
    </row>
    <row r="4" spans="1:16" ht="15">
      <c r="A4" s="34" t="s">
        <v>16</v>
      </c>
      <c r="B4" s="34">
        <v>3</v>
      </c>
      <c r="C4" s="35">
        <v>3</v>
      </c>
      <c r="D4" s="34">
        <v>2023</v>
      </c>
      <c r="E4" s="36">
        <f>'Daily Utility Report'!F10</f>
        <v>31078</v>
      </c>
      <c r="F4" s="145">
        <v>0.35399999999999998</v>
      </c>
      <c r="G4" s="36">
        <f>'Daily Utility Report'!H10</f>
        <v>315</v>
      </c>
      <c r="H4" s="37">
        <v>1.1499999999999999</v>
      </c>
      <c r="I4" s="143">
        <f>'Diesel consumption'!C10</f>
        <v>7780</v>
      </c>
      <c r="J4" s="144">
        <v>1.3</v>
      </c>
      <c r="K4" s="36">
        <f>'Daily Utility Report'!G10</f>
        <v>338</v>
      </c>
      <c r="L4" s="37">
        <v>0</v>
      </c>
      <c r="M4" s="36">
        <f>'Room Nights &amp; Food Covers'!B7</f>
        <v>58</v>
      </c>
      <c r="N4" s="36">
        <f>'Room Nights &amp; Food Covers'!D7</f>
        <v>355</v>
      </c>
      <c r="O4" s="36">
        <f>'Room Nights &amp; Food Covers'!C7</f>
        <v>128</v>
      </c>
      <c r="P4" s="36">
        <f>'Diesel consumption'!F10+'Diesel consumption'!M10</f>
        <v>1380</v>
      </c>
    </row>
    <row r="5" spans="1:16" ht="15">
      <c r="A5" s="34" t="s">
        <v>16</v>
      </c>
      <c r="B5" s="34">
        <v>4</v>
      </c>
      <c r="C5" s="35">
        <v>3</v>
      </c>
      <c r="D5" s="34">
        <v>2023</v>
      </c>
      <c r="E5" s="36">
        <f>'Daily Utility Report'!F11</f>
        <v>30229</v>
      </c>
      <c r="F5" s="145">
        <v>0.35399999999999998</v>
      </c>
      <c r="G5" s="36">
        <f>'Daily Utility Report'!H11</f>
        <v>270</v>
      </c>
      <c r="H5" s="37">
        <v>1.1499999999999999</v>
      </c>
      <c r="I5" s="143">
        <f>'Diesel consumption'!C11</f>
        <v>7580</v>
      </c>
      <c r="J5" s="144">
        <v>1.3</v>
      </c>
      <c r="K5" s="36">
        <f>'Daily Utility Report'!G11</f>
        <v>377</v>
      </c>
      <c r="L5" s="37">
        <v>0</v>
      </c>
      <c r="M5" s="36">
        <f>'Room Nights &amp; Food Covers'!B8</f>
        <v>59</v>
      </c>
      <c r="N5" s="36">
        <f>'Room Nights &amp; Food Covers'!D8</f>
        <v>358</v>
      </c>
      <c r="O5" s="36">
        <f>'Room Nights &amp; Food Covers'!C8</f>
        <v>124</v>
      </c>
      <c r="P5" s="36">
        <f>'Diesel consumption'!F11+'Diesel consumption'!M11</f>
        <v>2640</v>
      </c>
    </row>
    <row r="6" spans="1:16" ht="15">
      <c r="A6" s="34" t="s">
        <v>16</v>
      </c>
      <c r="B6" s="34">
        <v>5</v>
      </c>
      <c r="C6" s="35">
        <v>3</v>
      </c>
      <c r="D6" s="34">
        <v>2023</v>
      </c>
      <c r="E6" s="36">
        <f>'Daily Utility Report'!F12</f>
        <v>28828</v>
      </c>
      <c r="F6" s="145">
        <v>0.35399999999999998</v>
      </c>
      <c r="G6" s="36">
        <f>'Daily Utility Report'!H12</f>
        <v>270</v>
      </c>
      <c r="H6" s="37">
        <v>1.1499999999999999</v>
      </c>
      <c r="I6" s="143">
        <f>'Diesel consumption'!C12</f>
        <v>7360</v>
      </c>
      <c r="J6" s="144">
        <v>1.3</v>
      </c>
      <c r="K6" s="36">
        <f>'Daily Utility Report'!G12</f>
        <v>298</v>
      </c>
      <c r="L6" s="37">
        <v>0</v>
      </c>
      <c r="M6" s="36">
        <f>'Room Nights &amp; Food Covers'!B9</f>
        <v>56</v>
      </c>
      <c r="N6" s="36">
        <f>'Room Nights &amp; Food Covers'!D9</f>
        <v>344</v>
      </c>
      <c r="O6" s="36">
        <f>'Room Nights &amp; Food Covers'!C9</f>
        <v>126</v>
      </c>
      <c r="P6" s="36">
        <f>'Diesel consumption'!F12+'Diesel consumption'!M12</f>
        <v>1200</v>
      </c>
    </row>
    <row r="7" spans="1:16" ht="15">
      <c r="A7" s="34" t="s">
        <v>16</v>
      </c>
      <c r="B7" s="34">
        <v>6</v>
      </c>
      <c r="C7" s="35">
        <v>3</v>
      </c>
      <c r="D7" s="34">
        <v>2023</v>
      </c>
      <c r="E7" s="36">
        <f>'Daily Utility Report'!F13</f>
        <v>26740</v>
      </c>
      <c r="F7" s="145">
        <v>0.35399999999999998</v>
      </c>
      <c r="G7" s="36">
        <f>'Daily Utility Report'!H13</f>
        <v>180</v>
      </c>
      <c r="H7" s="37">
        <v>1.1499999999999999</v>
      </c>
      <c r="I7" s="143">
        <f>'Diesel consumption'!C13</f>
        <v>7070</v>
      </c>
      <c r="J7" s="144">
        <v>1.3</v>
      </c>
      <c r="K7" s="36">
        <f>'Daily Utility Report'!G13</f>
        <v>297</v>
      </c>
      <c r="L7" s="37">
        <v>0</v>
      </c>
      <c r="M7" s="36">
        <f>'Room Nights &amp; Food Covers'!B10</f>
        <v>63</v>
      </c>
      <c r="N7" s="36">
        <f>'Room Nights &amp; Food Covers'!D10</f>
        <v>393</v>
      </c>
      <c r="O7" s="36">
        <f>'Room Nights &amp; Food Covers'!C10</f>
        <v>135</v>
      </c>
      <c r="P7" s="36">
        <f>'Diesel consumption'!F13+'Diesel consumption'!M13</f>
        <v>3950</v>
      </c>
    </row>
    <row r="8" spans="1:16" ht="15">
      <c r="A8" s="34" t="s">
        <v>16</v>
      </c>
      <c r="B8" s="34">
        <v>7</v>
      </c>
      <c r="C8" s="35">
        <v>3</v>
      </c>
      <c r="D8" s="34">
        <v>2023</v>
      </c>
      <c r="E8" s="36">
        <f>'Daily Utility Report'!F14</f>
        <v>29279</v>
      </c>
      <c r="F8" s="145">
        <v>0.35399999999999998</v>
      </c>
      <c r="G8" s="36">
        <f>'Daily Utility Report'!H14</f>
        <v>315</v>
      </c>
      <c r="H8" s="37">
        <v>1.1499999999999999</v>
      </c>
      <c r="I8" s="143">
        <f>'Diesel consumption'!C14</f>
        <v>6410</v>
      </c>
      <c r="J8" s="144">
        <v>1.3</v>
      </c>
      <c r="K8" s="36">
        <f>'Daily Utility Report'!G14</f>
        <v>344</v>
      </c>
      <c r="L8" s="37">
        <v>0</v>
      </c>
      <c r="M8" s="36">
        <f>'Room Nights &amp; Food Covers'!B11</f>
        <v>61</v>
      </c>
      <c r="N8" s="36">
        <f>'Room Nights &amp; Food Covers'!D11</f>
        <v>363</v>
      </c>
      <c r="O8" s="36">
        <f>'Room Nights &amp; Food Covers'!C11</f>
        <v>139</v>
      </c>
      <c r="P8" s="36">
        <f>'Diesel consumption'!F14+'Diesel consumption'!M14</f>
        <v>1460</v>
      </c>
    </row>
    <row r="9" spans="1:16" ht="15">
      <c r="A9" s="34" t="s">
        <v>16</v>
      </c>
      <c r="B9" s="34">
        <v>8</v>
      </c>
      <c r="C9" s="35">
        <v>3</v>
      </c>
      <c r="D9" s="34">
        <v>2023</v>
      </c>
      <c r="E9" s="36">
        <f>'Daily Utility Report'!F15</f>
        <v>31410</v>
      </c>
      <c r="F9" s="145">
        <v>0.35399999999999998</v>
      </c>
      <c r="G9" s="36">
        <f>'Daily Utility Report'!H15</f>
        <v>135</v>
      </c>
      <c r="H9" s="37">
        <v>1.1499999999999999</v>
      </c>
      <c r="I9" s="143">
        <f>'Diesel consumption'!C15</f>
        <v>9460</v>
      </c>
      <c r="J9" s="144">
        <v>1.3</v>
      </c>
      <c r="K9" s="36">
        <f>'Daily Utility Report'!G15</f>
        <v>351</v>
      </c>
      <c r="L9" s="37">
        <v>0</v>
      </c>
      <c r="M9" s="36">
        <f>'Room Nights &amp; Food Covers'!B12</f>
        <v>0</v>
      </c>
      <c r="N9" s="36">
        <f>'Room Nights &amp; Food Covers'!D12</f>
        <v>0</v>
      </c>
      <c r="O9" s="36">
        <f>'Room Nights &amp; Food Covers'!C12</f>
        <v>0</v>
      </c>
      <c r="P9" s="36">
        <f>'Diesel consumption'!F15+'Diesel consumption'!M15</f>
        <v>1290</v>
      </c>
    </row>
    <row r="10" spans="1:16" ht="15">
      <c r="A10" s="34" t="s">
        <v>16</v>
      </c>
      <c r="B10" s="34">
        <v>9</v>
      </c>
      <c r="C10" s="35">
        <v>3</v>
      </c>
      <c r="D10" s="34">
        <v>2023</v>
      </c>
      <c r="E10" s="36">
        <f>'Daily Utility Report'!F16</f>
        <v>0</v>
      </c>
      <c r="F10" s="145">
        <v>0.35399999999999998</v>
      </c>
      <c r="G10" s="36">
        <f>'Daily Utility Report'!H16</f>
        <v>0</v>
      </c>
      <c r="H10" s="37">
        <v>1.1499999999999999</v>
      </c>
      <c r="I10" s="143">
        <f>'Diesel consumption'!C16</f>
        <v>0</v>
      </c>
      <c r="J10" s="144">
        <v>1.3</v>
      </c>
      <c r="K10" s="36">
        <f>'Daily Utility Report'!G16</f>
        <v>0</v>
      </c>
      <c r="L10" s="37">
        <v>0</v>
      </c>
      <c r="M10" s="36">
        <f>'Room Nights &amp; Food Covers'!B13</f>
        <v>0</v>
      </c>
      <c r="N10" s="36">
        <f>'Room Nights &amp; Food Covers'!D13</f>
        <v>0</v>
      </c>
      <c r="O10" s="36">
        <f>'Room Nights &amp; Food Covers'!C13</f>
        <v>0</v>
      </c>
      <c r="P10" s="36">
        <f>'Diesel consumption'!F16+'Diesel consumption'!M16</f>
        <v>0</v>
      </c>
    </row>
    <row r="11" spans="1:16" ht="15">
      <c r="A11" s="34" t="s">
        <v>16</v>
      </c>
      <c r="B11" s="34">
        <v>10</v>
      </c>
      <c r="C11" s="35">
        <v>3</v>
      </c>
      <c r="D11" s="34">
        <v>2023</v>
      </c>
      <c r="E11" s="36">
        <f>'Daily Utility Report'!F17</f>
        <v>0</v>
      </c>
      <c r="F11" s="145">
        <v>0.35399999999999998</v>
      </c>
      <c r="G11" s="36">
        <f>'Daily Utility Report'!H17</f>
        <v>0</v>
      </c>
      <c r="H11" s="37">
        <v>1.1499999999999999</v>
      </c>
      <c r="I11" s="143">
        <f>'Diesel consumption'!C17</f>
        <v>0</v>
      </c>
      <c r="J11" s="144">
        <v>1.3</v>
      </c>
      <c r="K11" s="36">
        <f>'Daily Utility Report'!G17</f>
        <v>0</v>
      </c>
      <c r="L11" s="37">
        <v>0</v>
      </c>
      <c r="M11" s="36">
        <f>'Room Nights &amp; Food Covers'!B14</f>
        <v>0</v>
      </c>
      <c r="N11" s="36">
        <f>'Room Nights &amp; Food Covers'!D14</f>
        <v>0</v>
      </c>
      <c r="O11" s="36">
        <f>'Room Nights &amp; Food Covers'!C14</f>
        <v>0</v>
      </c>
      <c r="P11" s="36">
        <f>'Diesel consumption'!F17+'Diesel consumption'!M17</f>
        <v>0</v>
      </c>
    </row>
    <row r="12" spans="1:16" ht="15">
      <c r="A12" s="34" t="s">
        <v>16</v>
      </c>
      <c r="B12" s="34">
        <v>11</v>
      </c>
      <c r="C12" s="35">
        <v>3</v>
      </c>
      <c r="D12" s="34">
        <v>2023</v>
      </c>
      <c r="E12" s="36">
        <f>'Daily Utility Report'!F18</f>
        <v>0</v>
      </c>
      <c r="F12" s="145">
        <v>0.35399999999999998</v>
      </c>
      <c r="G12" s="36">
        <f>'Daily Utility Report'!H18</f>
        <v>0</v>
      </c>
      <c r="H12" s="37">
        <v>1.1499999999999999</v>
      </c>
      <c r="I12" s="143">
        <f>'Diesel consumption'!C18</f>
        <v>0</v>
      </c>
      <c r="J12" s="144">
        <v>1.3</v>
      </c>
      <c r="K12" s="36">
        <f>'Daily Utility Report'!G18</f>
        <v>0</v>
      </c>
      <c r="L12" s="37">
        <v>0</v>
      </c>
      <c r="M12" s="36">
        <f>'Room Nights &amp; Food Covers'!B15</f>
        <v>0</v>
      </c>
      <c r="N12" s="36">
        <f>'Room Nights &amp; Food Covers'!D15</f>
        <v>0</v>
      </c>
      <c r="O12" s="36">
        <f>'Room Nights &amp; Food Covers'!C15</f>
        <v>0</v>
      </c>
      <c r="P12" s="36">
        <f>'Diesel consumption'!F18+'Diesel consumption'!M18</f>
        <v>0</v>
      </c>
    </row>
    <row r="13" spans="1:16" ht="15">
      <c r="A13" s="34" t="s">
        <v>16</v>
      </c>
      <c r="B13" s="34">
        <v>12</v>
      </c>
      <c r="C13" s="35">
        <v>3</v>
      </c>
      <c r="D13" s="34">
        <v>2023</v>
      </c>
      <c r="E13" s="36">
        <f>'Daily Utility Report'!F19</f>
        <v>0</v>
      </c>
      <c r="F13" s="145">
        <v>0.35399999999999998</v>
      </c>
      <c r="G13" s="36">
        <f>'Daily Utility Report'!H19</f>
        <v>0</v>
      </c>
      <c r="H13" s="37">
        <v>1.1499999999999999</v>
      </c>
      <c r="I13" s="143">
        <f>'Diesel consumption'!C19</f>
        <v>0</v>
      </c>
      <c r="J13" s="144">
        <v>1.3</v>
      </c>
      <c r="K13" s="36">
        <f>'Daily Utility Report'!G19</f>
        <v>0</v>
      </c>
      <c r="L13" s="37">
        <v>0</v>
      </c>
      <c r="M13" s="36">
        <f>'Room Nights &amp; Food Covers'!B16</f>
        <v>0</v>
      </c>
      <c r="N13" s="36">
        <f>'Room Nights &amp; Food Covers'!D16</f>
        <v>0</v>
      </c>
      <c r="O13" s="36">
        <f>'Room Nights &amp; Food Covers'!C16</f>
        <v>0</v>
      </c>
      <c r="P13" s="36">
        <f>'Diesel consumption'!F19+'Diesel consumption'!M19</f>
        <v>0</v>
      </c>
    </row>
    <row r="14" spans="1:16" ht="15">
      <c r="A14" s="34" t="s">
        <v>16</v>
      </c>
      <c r="B14" s="34">
        <v>13</v>
      </c>
      <c r="C14" s="35">
        <v>3</v>
      </c>
      <c r="D14" s="34">
        <v>2023</v>
      </c>
      <c r="E14" s="36">
        <f>'Daily Utility Report'!F20</f>
        <v>0</v>
      </c>
      <c r="F14" s="145">
        <v>0.35399999999999998</v>
      </c>
      <c r="G14" s="36">
        <f>'Daily Utility Report'!H20</f>
        <v>0</v>
      </c>
      <c r="H14" s="37">
        <v>1.1499999999999999</v>
      </c>
      <c r="I14" s="143">
        <f>'Diesel consumption'!C20</f>
        <v>0</v>
      </c>
      <c r="J14" s="144">
        <v>1.3</v>
      </c>
      <c r="K14" s="36">
        <f>'Daily Utility Report'!G20</f>
        <v>0</v>
      </c>
      <c r="L14" s="37">
        <v>0</v>
      </c>
      <c r="M14" s="36">
        <f>'Room Nights &amp; Food Covers'!B17</f>
        <v>0</v>
      </c>
      <c r="N14" s="36">
        <f>'Room Nights &amp; Food Covers'!D17</f>
        <v>0</v>
      </c>
      <c r="O14" s="36">
        <f>'Room Nights &amp; Food Covers'!C17</f>
        <v>0</v>
      </c>
      <c r="P14" s="36">
        <f>'Diesel consumption'!F20+'Diesel consumption'!M20</f>
        <v>0</v>
      </c>
    </row>
    <row r="15" spans="1:16" ht="15">
      <c r="A15" s="34" t="s">
        <v>16</v>
      </c>
      <c r="B15" s="34">
        <v>14</v>
      </c>
      <c r="C15" s="35">
        <v>3</v>
      </c>
      <c r="D15" s="34">
        <v>2023</v>
      </c>
      <c r="E15" s="36">
        <f>'Daily Utility Report'!F21</f>
        <v>0</v>
      </c>
      <c r="F15" s="145">
        <v>0.35399999999999998</v>
      </c>
      <c r="G15" s="36">
        <f>'Daily Utility Report'!H21</f>
        <v>0</v>
      </c>
      <c r="H15" s="37">
        <v>1.1499999999999999</v>
      </c>
      <c r="I15" s="143">
        <f>'Diesel consumption'!C21</f>
        <v>0</v>
      </c>
      <c r="J15" s="144">
        <v>1.3</v>
      </c>
      <c r="K15" s="36">
        <f>'Daily Utility Report'!G21</f>
        <v>0</v>
      </c>
      <c r="L15" s="37">
        <v>0</v>
      </c>
      <c r="M15" s="36">
        <f>'Room Nights &amp; Food Covers'!B18</f>
        <v>0</v>
      </c>
      <c r="N15" s="36">
        <f>'Room Nights &amp; Food Covers'!D18</f>
        <v>0</v>
      </c>
      <c r="O15" s="36">
        <f>'Room Nights &amp; Food Covers'!C18</f>
        <v>0</v>
      </c>
      <c r="P15" s="36">
        <f>'Diesel consumption'!F21+'Diesel consumption'!M21</f>
        <v>0</v>
      </c>
    </row>
    <row r="16" spans="1:16" ht="15">
      <c r="A16" s="34" t="s">
        <v>16</v>
      </c>
      <c r="B16" s="34">
        <v>15</v>
      </c>
      <c r="C16" s="35">
        <v>3</v>
      </c>
      <c r="D16" s="34">
        <v>2023</v>
      </c>
      <c r="E16" s="36">
        <f>'Daily Utility Report'!F22</f>
        <v>0</v>
      </c>
      <c r="F16" s="145">
        <v>0.35399999999999998</v>
      </c>
      <c r="G16" s="36">
        <f>'Daily Utility Report'!H22</f>
        <v>0</v>
      </c>
      <c r="H16" s="37">
        <v>1.1499999999999999</v>
      </c>
      <c r="I16" s="143">
        <f>'Diesel consumption'!C22</f>
        <v>0</v>
      </c>
      <c r="J16" s="144">
        <v>1.3</v>
      </c>
      <c r="K16" s="36">
        <f>'Daily Utility Report'!G22</f>
        <v>0</v>
      </c>
      <c r="L16" s="37">
        <v>0</v>
      </c>
      <c r="M16" s="36">
        <f>'Room Nights &amp; Food Covers'!B19</f>
        <v>0</v>
      </c>
      <c r="N16" s="36">
        <f>'Room Nights &amp; Food Covers'!D19</f>
        <v>0</v>
      </c>
      <c r="O16" s="36">
        <f>'Room Nights &amp; Food Covers'!C19</f>
        <v>0</v>
      </c>
      <c r="P16" s="36">
        <f>'Diesel consumption'!F22+'Diesel consumption'!M22</f>
        <v>0</v>
      </c>
    </row>
    <row r="17" spans="1:16" ht="15">
      <c r="A17" s="34" t="s">
        <v>16</v>
      </c>
      <c r="B17" s="34">
        <v>16</v>
      </c>
      <c r="C17" s="35">
        <v>3</v>
      </c>
      <c r="D17" s="34">
        <v>2023</v>
      </c>
      <c r="E17" s="36">
        <f>'Daily Utility Report'!F23</f>
        <v>0</v>
      </c>
      <c r="F17" s="145">
        <v>0.35399999999999998</v>
      </c>
      <c r="G17" s="36">
        <f>'Daily Utility Report'!H23</f>
        <v>0</v>
      </c>
      <c r="H17" s="37">
        <v>1.1499999999999999</v>
      </c>
      <c r="I17" s="143">
        <f>'Diesel consumption'!C23</f>
        <v>0</v>
      </c>
      <c r="J17" s="144">
        <v>1.3</v>
      </c>
      <c r="K17" s="36">
        <f>'Daily Utility Report'!G23</f>
        <v>0</v>
      </c>
      <c r="L17" s="37">
        <v>0</v>
      </c>
      <c r="M17" s="36">
        <f>'Room Nights &amp; Food Covers'!B20</f>
        <v>0</v>
      </c>
      <c r="N17" s="36">
        <f>'Room Nights &amp; Food Covers'!D20</f>
        <v>0</v>
      </c>
      <c r="O17" s="36">
        <f>'Room Nights &amp; Food Covers'!C20</f>
        <v>0</v>
      </c>
      <c r="P17" s="36">
        <f>'Diesel consumption'!F23+'Diesel consumption'!M23</f>
        <v>0</v>
      </c>
    </row>
    <row r="18" spans="1:16" ht="15">
      <c r="A18" s="34" t="s">
        <v>16</v>
      </c>
      <c r="B18" s="34">
        <v>17</v>
      </c>
      <c r="C18" s="35">
        <v>3</v>
      </c>
      <c r="D18" s="34">
        <v>2023</v>
      </c>
      <c r="E18" s="36">
        <f>'Daily Utility Report'!F24</f>
        <v>0</v>
      </c>
      <c r="F18" s="145">
        <v>0.35399999999999998</v>
      </c>
      <c r="G18" s="36">
        <f>'Daily Utility Report'!H24</f>
        <v>0</v>
      </c>
      <c r="H18" s="37">
        <v>1.1499999999999999</v>
      </c>
      <c r="I18" s="143">
        <f>'Diesel consumption'!C24</f>
        <v>0</v>
      </c>
      <c r="J18" s="144">
        <v>1.3</v>
      </c>
      <c r="K18" s="36">
        <f>'Daily Utility Report'!G24</f>
        <v>0</v>
      </c>
      <c r="L18" s="37">
        <v>0</v>
      </c>
      <c r="M18" s="36">
        <f>'Room Nights &amp; Food Covers'!B21</f>
        <v>0</v>
      </c>
      <c r="N18" s="36">
        <f>'Room Nights &amp; Food Covers'!D21</f>
        <v>0</v>
      </c>
      <c r="O18" s="36">
        <f>'Room Nights &amp; Food Covers'!C21</f>
        <v>0</v>
      </c>
      <c r="P18" s="36">
        <f>'Diesel consumption'!F24+'Diesel consumption'!M24</f>
        <v>0</v>
      </c>
    </row>
    <row r="19" spans="1:16" ht="15">
      <c r="A19" s="34" t="s">
        <v>16</v>
      </c>
      <c r="B19" s="34">
        <v>18</v>
      </c>
      <c r="C19" s="35">
        <v>3</v>
      </c>
      <c r="D19" s="34">
        <v>2023</v>
      </c>
      <c r="E19" s="36">
        <f>'Daily Utility Report'!F25</f>
        <v>0</v>
      </c>
      <c r="F19" s="145">
        <v>0.35399999999999998</v>
      </c>
      <c r="G19" s="36">
        <f>'Daily Utility Report'!H25</f>
        <v>0</v>
      </c>
      <c r="H19" s="37">
        <v>1.1499999999999999</v>
      </c>
      <c r="I19" s="143">
        <f>'Diesel consumption'!C25</f>
        <v>0</v>
      </c>
      <c r="J19" s="144">
        <v>1.3</v>
      </c>
      <c r="K19" s="36">
        <f>'Daily Utility Report'!G25</f>
        <v>0</v>
      </c>
      <c r="L19" s="37">
        <v>0</v>
      </c>
      <c r="M19" s="36">
        <f>'Room Nights &amp; Food Covers'!B22</f>
        <v>0</v>
      </c>
      <c r="N19" s="36">
        <f>'Room Nights &amp; Food Covers'!D22</f>
        <v>0</v>
      </c>
      <c r="O19" s="36">
        <f>'Room Nights &amp; Food Covers'!C22</f>
        <v>0</v>
      </c>
      <c r="P19" s="36">
        <f>'Diesel consumption'!F25+'Diesel consumption'!M25</f>
        <v>0</v>
      </c>
    </row>
    <row r="20" spans="1:16" ht="15">
      <c r="A20" s="34" t="s">
        <v>16</v>
      </c>
      <c r="B20" s="34">
        <v>19</v>
      </c>
      <c r="C20" s="35">
        <v>3</v>
      </c>
      <c r="D20" s="34">
        <v>2023</v>
      </c>
      <c r="E20" s="36">
        <f>'Daily Utility Report'!F26</f>
        <v>0</v>
      </c>
      <c r="F20" s="145">
        <v>0.35399999999999998</v>
      </c>
      <c r="G20" s="36">
        <f>'Daily Utility Report'!H26</f>
        <v>0</v>
      </c>
      <c r="H20" s="37">
        <v>1.1499999999999999</v>
      </c>
      <c r="I20" s="143">
        <f>'Diesel consumption'!C26</f>
        <v>0</v>
      </c>
      <c r="J20" s="144">
        <v>1.3</v>
      </c>
      <c r="K20" s="36">
        <f>'Daily Utility Report'!G26</f>
        <v>0</v>
      </c>
      <c r="L20" s="37">
        <v>0</v>
      </c>
      <c r="M20" s="36">
        <f>'Room Nights &amp; Food Covers'!B23</f>
        <v>0</v>
      </c>
      <c r="N20" s="36">
        <f>'Room Nights &amp; Food Covers'!D23</f>
        <v>0</v>
      </c>
      <c r="O20" s="36">
        <f>'Room Nights &amp; Food Covers'!C23</f>
        <v>0</v>
      </c>
      <c r="P20" s="36">
        <f>'Diesel consumption'!F26+'Diesel consumption'!M26</f>
        <v>0</v>
      </c>
    </row>
    <row r="21" spans="1:16" ht="15">
      <c r="A21" s="34" t="s">
        <v>16</v>
      </c>
      <c r="B21" s="34">
        <v>20</v>
      </c>
      <c r="C21" s="35">
        <v>3</v>
      </c>
      <c r="D21" s="34">
        <v>2023</v>
      </c>
      <c r="E21" s="36">
        <f>'Daily Utility Report'!F27</f>
        <v>0</v>
      </c>
      <c r="F21" s="145">
        <v>0.35399999999999998</v>
      </c>
      <c r="G21" s="36">
        <f>'Daily Utility Report'!H27</f>
        <v>0</v>
      </c>
      <c r="H21" s="37">
        <v>1.1499999999999999</v>
      </c>
      <c r="I21" s="143">
        <f>'Diesel consumption'!C27</f>
        <v>0</v>
      </c>
      <c r="J21" s="144">
        <v>1.3</v>
      </c>
      <c r="K21" s="36">
        <f>'Daily Utility Report'!G27</f>
        <v>0</v>
      </c>
      <c r="L21" s="37">
        <v>0</v>
      </c>
      <c r="M21" s="36">
        <f>'Room Nights &amp; Food Covers'!B24</f>
        <v>0</v>
      </c>
      <c r="N21" s="36">
        <f>'Room Nights &amp; Food Covers'!D24</f>
        <v>0</v>
      </c>
      <c r="O21" s="36">
        <f>'Room Nights &amp; Food Covers'!C24</f>
        <v>0</v>
      </c>
      <c r="P21" s="36">
        <f>'Diesel consumption'!F27+'Diesel consumption'!M27</f>
        <v>0</v>
      </c>
    </row>
    <row r="22" spans="1:16" ht="15">
      <c r="A22" s="34" t="s">
        <v>16</v>
      </c>
      <c r="B22" s="34">
        <v>21</v>
      </c>
      <c r="C22" s="35">
        <v>3</v>
      </c>
      <c r="D22" s="34">
        <v>2023</v>
      </c>
      <c r="E22" s="36">
        <f>'Daily Utility Report'!F28</f>
        <v>0</v>
      </c>
      <c r="F22" s="145">
        <v>0.35399999999999998</v>
      </c>
      <c r="G22" s="36">
        <f>'Daily Utility Report'!H28</f>
        <v>0</v>
      </c>
      <c r="H22" s="37">
        <v>1.1499999999999999</v>
      </c>
      <c r="I22" s="143">
        <f>'Diesel consumption'!C28</f>
        <v>0</v>
      </c>
      <c r="J22" s="144">
        <v>1.3</v>
      </c>
      <c r="K22" s="36">
        <f>'Daily Utility Report'!G28</f>
        <v>0</v>
      </c>
      <c r="L22" s="37">
        <v>0</v>
      </c>
      <c r="M22" s="36">
        <f>'Room Nights &amp; Food Covers'!B25</f>
        <v>0</v>
      </c>
      <c r="N22" s="36">
        <f>'Room Nights &amp; Food Covers'!D25</f>
        <v>0</v>
      </c>
      <c r="O22" s="36">
        <f>'Room Nights &amp; Food Covers'!C25</f>
        <v>0</v>
      </c>
      <c r="P22" s="36">
        <f>'Diesel consumption'!F28+'Diesel consumption'!M28</f>
        <v>0</v>
      </c>
    </row>
    <row r="23" spans="1:16" ht="15">
      <c r="A23" s="34" t="s">
        <v>16</v>
      </c>
      <c r="B23" s="34">
        <v>22</v>
      </c>
      <c r="C23" s="35">
        <v>3</v>
      </c>
      <c r="D23" s="34">
        <v>2023</v>
      </c>
      <c r="E23" s="36">
        <f>'Daily Utility Report'!F29</f>
        <v>0</v>
      </c>
      <c r="F23" s="145">
        <v>0.35399999999999998</v>
      </c>
      <c r="G23" s="36">
        <f>'Daily Utility Report'!H29</f>
        <v>0</v>
      </c>
      <c r="H23" s="37">
        <v>1.1499999999999999</v>
      </c>
      <c r="I23" s="143">
        <f>'Diesel consumption'!C29</f>
        <v>0</v>
      </c>
      <c r="J23" s="144">
        <v>1.3</v>
      </c>
      <c r="K23" s="36">
        <f>'Daily Utility Report'!G29</f>
        <v>0</v>
      </c>
      <c r="L23" s="37">
        <v>0</v>
      </c>
      <c r="M23" s="36">
        <f>'Room Nights &amp; Food Covers'!B26</f>
        <v>0</v>
      </c>
      <c r="N23" s="36">
        <f>'Room Nights &amp; Food Covers'!D26</f>
        <v>0</v>
      </c>
      <c r="O23" s="36">
        <f>'Room Nights &amp; Food Covers'!C26</f>
        <v>0</v>
      </c>
      <c r="P23" s="36">
        <f>'Diesel consumption'!F29+'Diesel consumption'!M29</f>
        <v>0</v>
      </c>
    </row>
    <row r="24" spans="1:16" ht="15">
      <c r="A24" s="34" t="s">
        <v>16</v>
      </c>
      <c r="B24" s="34">
        <v>23</v>
      </c>
      <c r="C24" s="35">
        <v>3</v>
      </c>
      <c r="D24" s="34">
        <v>2023</v>
      </c>
      <c r="E24" s="36">
        <f>'Daily Utility Report'!F30</f>
        <v>0</v>
      </c>
      <c r="F24" s="145">
        <v>0.35399999999999998</v>
      </c>
      <c r="G24" s="36">
        <f>'Daily Utility Report'!H30</f>
        <v>0</v>
      </c>
      <c r="H24" s="37">
        <v>1.1499999999999999</v>
      </c>
      <c r="I24" s="143">
        <f>'Diesel consumption'!C30</f>
        <v>0</v>
      </c>
      <c r="J24" s="144">
        <v>1.3</v>
      </c>
      <c r="K24" s="36">
        <f>'Daily Utility Report'!G30</f>
        <v>0</v>
      </c>
      <c r="L24" s="37">
        <v>0</v>
      </c>
      <c r="M24" s="36">
        <f>'Room Nights &amp; Food Covers'!B27</f>
        <v>0</v>
      </c>
      <c r="N24" s="36">
        <f>'Room Nights &amp; Food Covers'!D27</f>
        <v>0</v>
      </c>
      <c r="O24" s="36">
        <f>'Room Nights &amp; Food Covers'!C27</f>
        <v>0</v>
      </c>
      <c r="P24" s="36">
        <f>'Diesel consumption'!F30+'Diesel consumption'!M30</f>
        <v>0</v>
      </c>
    </row>
    <row r="25" spans="1:16" ht="15">
      <c r="A25" s="34" t="s">
        <v>16</v>
      </c>
      <c r="B25" s="34">
        <v>24</v>
      </c>
      <c r="C25" s="35">
        <v>3</v>
      </c>
      <c r="D25" s="34">
        <v>2023</v>
      </c>
      <c r="E25" s="36">
        <f>'Daily Utility Report'!F31</f>
        <v>0</v>
      </c>
      <c r="F25" s="145">
        <v>0.35399999999999998</v>
      </c>
      <c r="G25" s="36">
        <f>'Daily Utility Report'!H31</f>
        <v>0</v>
      </c>
      <c r="H25" s="37">
        <v>1.1499999999999999</v>
      </c>
      <c r="I25" s="143">
        <f>'Diesel consumption'!C31</f>
        <v>0</v>
      </c>
      <c r="J25" s="144">
        <v>1.3</v>
      </c>
      <c r="K25" s="36">
        <f>'Daily Utility Report'!G31</f>
        <v>0</v>
      </c>
      <c r="L25" s="37">
        <v>0</v>
      </c>
      <c r="M25" s="36">
        <f>'Room Nights &amp; Food Covers'!B28</f>
        <v>0</v>
      </c>
      <c r="N25" s="36">
        <f>'Room Nights &amp; Food Covers'!D28</f>
        <v>0</v>
      </c>
      <c r="O25" s="36">
        <f>'Room Nights &amp; Food Covers'!C28</f>
        <v>0</v>
      </c>
      <c r="P25" s="36">
        <f>'Diesel consumption'!F31+'Diesel consumption'!M31</f>
        <v>0</v>
      </c>
    </row>
    <row r="26" spans="1:16" ht="15">
      <c r="A26" s="34" t="s">
        <v>16</v>
      </c>
      <c r="B26" s="34">
        <v>25</v>
      </c>
      <c r="C26" s="35">
        <v>3</v>
      </c>
      <c r="D26" s="34">
        <v>2023</v>
      </c>
      <c r="E26" s="36">
        <f>'Daily Utility Report'!F32</f>
        <v>0</v>
      </c>
      <c r="F26" s="145">
        <v>0.35399999999999998</v>
      </c>
      <c r="G26" s="36">
        <f>'Daily Utility Report'!H32</f>
        <v>0</v>
      </c>
      <c r="H26" s="37">
        <v>1.1499999999999999</v>
      </c>
      <c r="I26" s="143">
        <f>'Diesel consumption'!C32</f>
        <v>0</v>
      </c>
      <c r="J26" s="144">
        <v>1.3</v>
      </c>
      <c r="K26" s="36">
        <f>'Daily Utility Report'!G32</f>
        <v>0</v>
      </c>
      <c r="L26" s="37">
        <v>0</v>
      </c>
      <c r="M26" s="36">
        <f>'Room Nights &amp; Food Covers'!B29</f>
        <v>0</v>
      </c>
      <c r="N26" s="36">
        <f>'Room Nights &amp; Food Covers'!D29</f>
        <v>0</v>
      </c>
      <c r="O26" s="36">
        <f>'Room Nights &amp; Food Covers'!C29</f>
        <v>0</v>
      </c>
      <c r="P26" s="36">
        <f>'Diesel consumption'!F32+'Diesel consumption'!M32</f>
        <v>0</v>
      </c>
    </row>
    <row r="27" spans="1:16" ht="15">
      <c r="A27" s="34" t="s">
        <v>16</v>
      </c>
      <c r="B27" s="34">
        <v>26</v>
      </c>
      <c r="C27" s="35">
        <v>3</v>
      </c>
      <c r="D27" s="34">
        <v>2023</v>
      </c>
      <c r="E27" s="36">
        <f>'Daily Utility Report'!F33</f>
        <v>0</v>
      </c>
      <c r="F27" s="145">
        <v>0.35399999999999998</v>
      </c>
      <c r="G27" s="36">
        <f>'Daily Utility Report'!H33</f>
        <v>0</v>
      </c>
      <c r="H27" s="37">
        <v>1.1499999999999999</v>
      </c>
      <c r="I27" s="143">
        <f>'Diesel consumption'!C33</f>
        <v>0</v>
      </c>
      <c r="J27" s="144">
        <v>1.3</v>
      </c>
      <c r="K27" s="36">
        <f>'Daily Utility Report'!G33</f>
        <v>0</v>
      </c>
      <c r="L27" s="37">
        <v>0</v>
      </c>
      <c r="M27" s="36">
        <f>'Room Nights &amp; Food Covers'!B30</f>
        <v>0</v>
      </c>
      <c r="N27" s="36">
        <f>'Room Nights &amp; Food Covers'!D30</f>
        <v>0</v>
      </c>
      <c r="O27" s="36">
        <f>'Room Nights &amp; Food Covers'!C30</f>
        <v>0</v>
      </c>
      <c r="P27" s="36">
        <f>'Diesel consumption'!F33+'Diesel consumption'!M33</f>
        <v>0</v>
      </c>
    </row>
    <row r="28" spans="1:16" ht="15">
      <c r="A28" s="34" t="s">
        <v>16</v>
      </c>
      <c r="B28" s="34">
        <v>27</v>
      </c>
      <c r="C28" s="35">
        <v>3</v>
      </c>
      <c r="D28" s="34">
        <v>2023</v>
      </c>
      <c r="E28" s="36">
        <f>'Daily Utility Report'!F34</f>
        <v>0</v>
      </c>
      <c r="F28" s="145">
        <v>0.35399999999999998</v>
      </c>
      <c r="G28" s="36">
        <f>'Daily Utility Report'!H34</f>
        <v>0</v>
      </c>
      <c r="H28" s="37">
        <v>1.1499999999999999</v>
      </c>
      <c r="I28" s="143">
        <f>'Diesel consumption'!C34</f>
        <v>0</v>
      </c>
      <c r="J28" s="144">
        <v>1.3</v>
      </c>
      <c r="K28" s="36">
        <f>'Daily Utility Report'!G34</f>
        <v>0</v>
      </c>
      <c r="L28" s="37">
        <v>0</v>
      </c>
      <c r="M28" s="36">
        <f>'Room Nights &amp; Food Covers'!B31</f>
        <v>0</v>
      </c>
      <c r="N28" s="36">
        <f>'Room Nights &amp; Food Covers'!D31</f>
        <v>0</v>
      </c>
      <c r="O28" s="36">
        <f>'Room Nights &amp; Food Covers'!C31</f>
        <v>0</v>
      </c>
      <c r="P28" s="36">
        <f>'Diesel consumption'!F34+'Diesel consumption'!M34</f>
        <v>0</v>
      </c>
    </row>
    <row r="29" spans="1:16" ht="15">
      <c r="A29" s="34" t="s">
        <v>16</v>
      </c>
      <c r="B29" s="34">
        <v>28</v>
      </c>
      <c r="C29" s="35">
        <v>3</v>
      </c>
      <c r="D29" s="34">
        <v>2023</v>
      </c>
      <c r="E29" s="36">
        <f>'Daily Utility Report'!F35</f>
        <v>0</v>
      </c>
      <c r="F29" s="145">
        <v>0.35399999999999998</v>
      </c>
      <c r="G29" s="36">
        <f>'Daily Utility Report'!H35</f>
        <v>0</v>
      </c>
      <c r="H29" s="37">
        <v>1.1499999999999999</v>
      </c>
      <c r="I29" s="143">
        <f>'Diesel consumption'!C35</f>
        <v>0</v>
      </c>
      <c r="J29" s="144">
        <v>1.3</v>
      </c>
      <c r="K29" s="36">
        <f>'Daily Utility Report'!G35</f>
        <v>0</v>
      </c>
      <c r="L29" s="37">
        <v>0</v>
      </c>
      <c r="M29" s="36">
        <f>'Room Nights &amp; Food Covers'!B32</f>
        <v>0</v>
      </c>
      <c r="N29" s="36">
        <f>'Room Nights &amp; Food Covers'!D32</f>
        <v>0</v>
      </c>
      <c r="O29" s="36">
        <f>'Room Nights &amp; Food Covers'!C32</f>
        <v>0</v>
      </c>
      <c r="P29" s="36">
        <f>'Diesel consumption'!F35+'Diesel consumption'!M35</f>
        <v>0</v>
      </c>
    </row>
    <row r="30" spans="1:16" ht="15">
      <c r="A30" s="34" t="s">
        <v>16</v>
      </c>
      <c r="B30" s="34">
        <v>29</v>
      </c>
      <c r="C30" s="35">
        <v>3</v>
      </c>
      <c r="D30" s="34">
        <v>2023</v>
      </c>
      <c r="E30" s="36">
        <f>'Daily Utility Report'!F36</f>
        <v>0</v>
      </c>
      <c r="F30" s="145">
        <v>1.3540000000000001</v>
      </c>
      <c r="G30" s="36">
        <f>'Daily Utility Report'!H36</f>
        <v>0</v>
      </c>
      <c r="H30" s="37">
        <v>1.1499999999999999</v>
      </c>
      <c r="I30" s="143">
        <f>'Diesel consumption'!C36</f>
        <v>0</v>
      </c>
      <c r="J30" s="144">
        <v>2.2999999999999998</v>
      </c>
      <c r="K30" s="36">
        <f>'Daily Utility Report'!G36</f>
        <v>0</v>
      </c>
      <c r="L30" s="37">
        <v>1</v>
      </c>
      <c r="M30" s="36">
        <f>'Room Nights &amp; Food Covers'!B33</f>
        <v>0</v>
      </c>
      <c r="N30" s="36">
        <f>'Room Nights &amp; Food Covers'!D33</f>
        <v>0</v>
      </c>
      <c r="O30" s="36">
        <f>'Room Nights &amp; Food Covers'!C33</f>
        <v>0</v>
      </c>
      <c r="P30" s="36">
        <f>'Diesel consumption'!F36+'Diesel consumption'!M36</f>
        <v>0</v>
      </c>
    </row>
    <row r="31" spans="1:16" ht="15">
      <c r="A31" s="34" t="s">
        <v>16</v>
      </c>
      <c r="B31" s="34">
        <v>30</v>
      </c>
      <c r="C31" s="35">
        <v>3</v>
      </c>
      <c r="D31" s="34">
        <v>2023</v>
      </c>
      <c r="E31" s="36">
        <f>'Daily Utility Report'!F37</f>
        <v>0</v>
      </c>
      <c r="F31" s="145">
        <v>2.3540000000000001</v>
      </c>
      <c r="G31" s="36">
        <f>'Daily Utility Report'!H37</f>
        <v>0</v>
      </c>
      <c r="H31" s="37">
        <v>1.1499999999999999</v>
      </c>
      <c r="I31" s="143">
        <f>'Diesel consumption'!C37</f>
        <v>0</v>
      </c>
      <c r="J31" s="144">
        <v>3.3</v>
      </c>
      <c r="K31" s="36">
        <f>'Daily Utility Report'!G37</f>
        <v>0</v>
      </c>
      <c r="L31" s="37">
        <v>2</v>
      </c>
      <c r="M31" s="36">
        <f>'Room Nights &amp; Food Covers'!B34</f>
        <v>0</v>
      </c>
      <c r="N31" s="36">
        <f>'Room Nights &amp; Food Covers'!D34</f>
        <v>0</v>
      </c>
      <c r="O31" s="36">
        <f>'Room Nights &amp; Food Covers'!C34</f>
        <v>0</v>
      </c>
      <c r="P31" s="36">
        <f>'Diesel consumption'!F37+'Diesel consumption'!M37</f>
        <v>0</v>
      </c>
    </row>
    <row r="32" spans="1:16" ht="15">
      <c r="A32" s="34" t="s">
        <v>16</v>
      </c>
      <c r="B32" s="34">
        <v>31</v>
      </c>
      <c r="C32" s="35">
        <v>3</v>
      </c>
      <c r="D32" s="34">
        <v>2023</v>
      </c>
      <c r="E32" s="36">
        <f>'Daily Utility Report'!F38</f>
        <v>0</v>
      </c>
      <c r="F32" s="145">
        <v>3.3540000000000001</v>
      </c>
      <c r="G32" s="36">
        <f>'Daily Utility Report'!H38</f>
        <v>0</v>
      </c>
      <c r="H32" s="37">
        <v>1.1499999999999999</v>
      </c>
      <c r="I32" s="143">
        <f>'Diesel consumption'!C38</f>
        <v>0</v>
      </c>
      <c r="J32" s="144">
        <v>4.3</v>
      </c>
      <c r="K32" s="36">
        <f>'Daily Utility Report'!G38</f>
        <v>0</v>
      </c>
      <c r="L32" s="37">
        <v>3</v>
      </c>
      <c r="M32" s="36">
        <f>'Room Nights &amp; Food Covers'!B35</f>
        <v>0</v>
      </c>
      <c r="N32" s="36">
        <f>'Room Nights &amp; Food Covers'!D35</f>
        <v>0</v>
      </c>
      <c r="O32" s="36">
        <f>'Room Nights &amp; Food Covers'!C35</f>
        <v>0</v>
      </c>
      <c r="P32" s="36">
        <f>'Diesel consumption'!F38+'Diesel consumption'!M38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A208-84A1-4C73-957F-933647BB7C87}">
  <sheetPr>
    <tabColor rgb="FFFF0000"/>
  </sheetPr>
  <dimension ref="A1:BN32"/>
  <sheetViews>
    <sheetView workbookViewId="0">
      <selection activeCell="BM2" sqref="BM2"/>
    </sheetView>
  </sheetViews>
  <sheetFormatPr defaultColWidth="9.140625" defaultRowHeight="12.75"/>
  <cols>
    <col min="1" max="1" width="27.42578125" style="38" bestFit="1" customWidth="1"/>
    <col min="2" max="4" width="9.140625" style="38"/>
    <col min="5" max="5" width="9.5703125" style="38" bestFit="1" customWidth="1"/>
    <col min="6" max="6" width="10.7109375" style="38" customWidth="1"/>
    <col min="7" max="7" width="12.140625" style="38" customWidth="1"/>
    <col min="8" max="9" width="9.140625" style="38"/>
    <col min="10" max="10" width="10.85546875" style="38" customWidth="1"/>
    <col min="11" max="11" width="11.28515625" style="38" customWidth="1"/>
    <col min="12" max="12" width="9.140625" style="38"/>
    <col min="13" max="13" width="10.28515625" style="38" customWidth="1"/>
    <col min="14" max="16384" width="9.140625" style="38"/>
  </cols>
  <sheetData>
    <row r="1" spans="1:66" ht="90.75" thickBot="1">
      <c r="A1" s="126" t="s">
        <v>0</v>
      </c>
      <c r="B1" s="126" t="s">
        <v>1</v>
      </c>
      <c r="C1" s="127" t="s">
        <v>2</v>
      </c>
      <c r="D1" s="126" t="s">
        <v>3</v>
      </c>
      <c r="E1" s="126" t="s">
        <v>17</v>
      </c>
      <c r="F1" s="128" t="s">
        <v>18</v>
      </c>
      <c r="G1" s="129" t="s">
        <v>19</v>
      </c>
      <c r="H1" s="128" t="s">
        <v>20</v>
      </c>
      <c r="I1" s="129" t="s">
        <v>21</v>
      </c>
      <c r="J1" s="128" t="s">
        <v>22</v>
      </c>
      <c r="K1" s="128" t="s">
        <v>23</v>
      </c>
      <c r="L1" s="126" t="s">
        <v>24</v>
      </c>
      <c r="M1" s="126" t="s">
        <v>25</v>
      </c>
      <c r="N1" s="130" t="s">
        <v>26</v>
      </c>
      <c r="O1" s="130" t="s">
        <v>27</v>
      </c>
      <c r="P1" s="130" t="s">
        <v>28</v>
      </c>
      <c r="Q1" s="130" t="s">
        <v>29</v>
      </c>
      <c r="R1" s="130" t="s">
        <v>30</v>
      </c>
      <c r="S1" s="130" t="s">
        <v>31</v>
      </c>
      <c r="T1" s="130" t="s">
        <v>32</v>
      </c>
      <c r="U1" s="130" t="s">
        <v>33</v>
      </c>
      <c r="V1" s="130" t="s">
        <v>34</v>
      </c>
      <c r="W1" s="130" t="s">
        <v>35</v>
      </c>
      <c r="X1" s="130" t="s">
        <v>36</v>
      </c>
      <c r="Y1" s="130" t="s">
        <v>37</v>
      </c>
      <c r="Z1" s="130" t="s">
        <v>38</v>
      </c>
      <c r="AA1" s="130" t="s">
        <v>39</v>
      </c>
      <c r="AB1" s="130" t="s">
        <v>40</v>
      </c>
      <c r="AC1" s="130" t="s">
        <v>41</v>
      </c>
      <c r="AD1" s="130" t="s">
        <v>42</v>
      </c>
      <c r="AE1" s="130" t="s">
        <v>43</v>
      </c>
      <c r="AF1" s="130" t="s">
        <v>44</v>
      </c>
      <c r="AG1" s="130" t="s">
        <v>45</v>
      </c>
      <c r="AH1" s="130" t="s">
        <v>46</v>
      </c>
      <c r="AI1" s="130" t="s">
        <v>47</v>
      </c>
      <c r="AJ1" s="130" t="s">
        <v>48</v>
      </c>
      <c r="AK1" s="130" t="s">
        <v>49</v>
      </c>
      <c r="AL1" s="130" t="s">
        <v>50</v>
      </c>
      <c r="AM1" s="130" t="s">
        <v>51</v>
      </c>
      <c r="AN1" s="131" t="s">
        <v>52</v>
      </c>
      <c r="AO1" s="131" t="s">
        <v>53</v>
      </c>
      <c r="AP1" s="131" t="s">
        <v>54</v>
      </c>
      <c r="AQ1" s="131" t="s">
        <v>55</v>
      </c>
      <c r="AR1" s="131" t="s">
        <v>56</v>
      </c>
      <c r="AS1" s="131" t="s">
        <v>57</v>
      </c>
      <c r="AT1" s="131" t="s">
        <v>58</v>
      </c>
      <c r="AU1" s="131" t="s">
        <v>59</v>
      </c>
      <c r="AV1" s="131" t="s">
        <v>60</v>
      </c>
      <c r="AW1" s="131" t="s">
        <v>61</v>
      </c>
      <c r="AX1" s="131" t="s">
        <v>62</v>
      </c>
      <c r="AY1" s="131" t="s">
        <v>63</v>
      </c>
      <c r="AZ1" s="131" t="s">
        <v>64</v>
      </c>
      <c r="BA1" s="131" t="s">
        <v>65</v>
      </c>
      <c r="BB1" s="131" t="s">
        <v>66</v>
      </c>
      <c r="BC1" s="131" t="s">
        <v>67</v>
      </c>
      <c r="BD1" s="131" t="s">
        <v>68</v>
      </c>
      <c r="BE1" s="131" t="s">
        <v>69</v>
      </c>
      <c r="BF1" s="131" t="s">
        <v>70</v>
      </c>
      <c r="BG1" s="131" t="s">
        <v>71</v>
      </c>
      <c r="BH1" s="131" t="s">
        <v>72</v>
      </c>
      <c r="BI1" s="131" t="s">
        <v>73</v>
      </c>
      <c r="BJ1" s="131" t="s">
        <v>74</v>
      </c>
      <c r="BK1" s="131" t="s">
        <v>75</v>
      </c>
      <c r="BL1" s="131" t="s">
        <v>76</v>
      </c>
      <c r="BM1" s="131" t="s">
        <v>77</v>
      </c>
      <c r="BN1" s="131" t="s">
        <v>78</v>
      </c>
    </row>
    <row r="2" spans="1:66" ht="16.5" thickTop="1" thickBot="1">
      <c r="A2" s="132" t="s">
        <v>16</v>
      </c>
      <c r="B2" s="132">
        <v>1</v>
      </c>
      <c r="C2" s="133">
        <f>TOTAL!C2</f>
        <v>3</v>
      </c>
      <c r="D2" s="132">
        <f>TOTAL!D2</f>
        <v>2023</v>
      </c>
      <c r="E2" s="134">
        <f>Solar!C6</f>
        <v>3199</v>
      </c>
      <c r="F2" s="134">
        <f>'Powerhouse Daily Performance'!C4</f>
        <v>4913</v>
      </c>
      <c r="G2" s="134">
        <f>'Powerhouse Daily Performance'!I4</f>
        <v>10599</v>
      </c>
      <c r="H2" s="134">
        <f>'Powerhouse Daily Performance'!O4</f>
        <v>4211</v>
      </c>
      <c r="I2" s="134">
        <f>'Powerhouse Daily Performance'!U4</f>
        <v>2300</v>
      </c>
      <c r="J2" s="134">
        <f>'Powerhouse Daily Performance'!AA4</f>
        <v>5455</v>
      </c>
      <c r="K2" s="134">
        <f>'FEEDER Consumption '!C6</f>
        <v>4504</v>
      </c>
      <c r="L2" s="134">
        <f>'FEEDER Consumption '!E6</f>
        <v>4773</v>
      </c>
      <c r="M2" s="134">
        <f>'FEEDER Consumption '!G6</f>
        <v>11643</v>
      </c>
      <c r="N2" s="134">
        <f>'FEEDER Consumption '!I6</f>
        <v>2300</v>
      </c>
      <c r="O2" s="134">
        <f>'FEEDER Consumption '!K6</f>
        <v>2939</v>
      </c>
      <c r="P2" s="134">
        <f>'FEEDER Consumption '!M6</f>
        <v>1600</v>
      </c>
      <c r="Q2" s="134">
        <f>'FEEDER Consumption '!O6</f>
        <v>433</v>
      </c>
      <c r="R2" s="134">
        <f>'FEEDER Consumption '!Q6</f>
        <v>700</v>
      </c>
      <c r="S2" s="134">
        <f>'FEEDER Consumption '!S6</f>
        <v>1700</v>
      </c>
      <c r="T2" s="134">
        <f>'FEEDER Consumption '!U6</f>
        <v>456</v>
      </c>
      <c r="U2" s="134">
        <f>'FEEDER Consumption '!W6</f>
        <v>400</v>
      </c>
      <c r="V2" s="134">
        <f>'FEEDER Consumption '!Y6</f>
        <v>300</v>
      </c>
      <c r="W2" s="134">
        <f>'FEEDER Consumption '!AA6</f>
        <v>600</v>
      </c>
      <c r="X2" s="134">
        <f>'FEEDER Consumption '!AC6</f>
        <v>140</v>
      </c>
      <c r="Y2" s="134">
        <f>'FEEDER Consumption '!AE6</f>
        <v>380</v>
      </c>
      <c r="Z2" s="134">
        <f>'FEEDER Consumption '!AG6</f>
        <v>1200</v>
      </c>
      <c r="AA2" s="134">
        <f>'FEEDER Consumption '!AI6</f>
        <v>430</v>
      </c>
      <c r="AB2" s="134">
        <f>'FEEDER Consumption '!AK6</f>
        <v>1140</v>
      </c>
      <c r="AC2" s="134">
        <f>'FEEDER Consumption '!AM6</f>
        <v>950</v>
      </c>
      <c r="AD2" s="134">
        <f>'FEEDER Consumption '!AO6</f>
        <v>720</v>
      </c>
      <c r="AE2" s="134">
        <f>'FEEDER Consumption '!AQ6</f>
        <v>1100</v>
      </c>
      <c r="AF2" s="134">
        <f>'FEEDER Consumption '!AS6</f>
        <v>1070</v>
      </c>
      <c r="AG2" s="134">
        <f>'FEEDER Consumption '!AU6</f>
        <v>640</v>
      </c>
      <c r="AH2" s="134">
        <f>'FEEDER Consumption '!AW6</f>
        <v>360</v>
      </c>
      <c r="AI2" s="134">
        <f>'FEEDER Consumption '!AY6</f>
        <v>150</v>
      </c>
      <c r="AJ2" s="134">
        <f>'FEEDER Consumption '!BA6</f>
        <v>1050</v>
      </c>
      <c r="AK2" s="134">
        <f>'FEEDER Consumption '!BC6</f>
        <v>270</v>
      </c>
      <c r="AL2" s="134">
        <f>'FEEDER Consumption '!BE6</f>
        <v>400</v>
      </c>
      <c r="AM2" s="134">
        <f>'FEEDER Consumption '!BG6</f>
        <v>490</v>
      </c>
      <c r="AN2" s="134">
        <f>'Water Plant Daily Performance'!C4</f>
        <v>179</v>
      </c>
      <c r="AO2" s="134">
        <f>'Water Plant Daily Performance'!I4</f>
        <v>0</v>
      </c>
      <c r="AP2" s="134">
        <f>'Water Plant Daily Performance'!O4</f>
        <v>161</v>
      </c>
      <c r="AQ2" s="134">
        <f>'Water Plant Daily Performance'!U4</f>
        <v>10</v>
      </c>
      <c r="AR2" s="134">
        <f>Water!AD7</f>
        <v>25</v>
      </c>
      <c r="AS2" s="134">
        <f>Water!AH7</f>
        <v>6</v>
      </c>
      <c r="AT2" s="134">
        <f>Water!AJ7</f>
        <v>9</v>
      </c>
      <c r="AU2" s="134">
        <f>Water!AL7</f>
        <v>10</v>
      </c>
      <c r="AV2" s="134">
        <f>Water!AN7</f>
        <v>6</v>
      </c>
      <c r="AW2" s="134">
        <f>Water!AP7</f>
        <v>5</v>
      </c>
      <c r="AX2" s="134">
        <f>Water!AR7</f>
        <v>7</v>
      </c>
      <c r="AY2" s="134">
        <f>Water!AT7</f>
        <v>8</v>
      </c>
      <c r="AZ2" s="134">
        <f>Water!AT7</f>
        <v>8</v>
      </c>
      <c r="BA2" s="134">
        <f>Water!AX7</f>
        <v>0</v>
      </c>
      <c r="BB2" s="134">
        <f>Water!AZ7</f>
        <v>3</v>
      </c>
      <c r="BC2" s="134">
        <f>Water!BB7</f>
        <v>2</v>
      </c>
      <c r="BD2" s="134">
        <f>Water!BD7</f>
        <v>28</v>
      </c>
      <c r="BE2" s="134">
        <f>Water!BF7</f>
        <v>8</v>
      </c>
      <c r="BF2" s="134">
        <f>Water!BH7</f>
        <v>1</v>
      </c>
      <c r="BG2" s="134">
        <f>Water!BJ7</f>
        <v>8</v>
      </c>
      <c r="BH2" s="134">
        <f>Water!BL7</f>
        <v>3</v>
      </c>
      <c r="BI2" s="134">
        <f>Water!BP7</f>
        <v>2</v>
      </c>
      <c r="BJ2" s="134">
        <f>Water!BR7</f>
        <v>15</v>
      </c>
      <c r="BK2" s="134">
        <f>Water!BT7</f>
        <v>1</v>
      </c>
      <c r="BL2" s="134">
        <f>Water!BV7</f>
        <v>1</v>
      </c>
      <c r="BM2" s="134">
        <f>'Room Nights &amp; Food Covers'!B5</f>
        <v>57</v>
      </c>
      <c r="BN2" s="134">
        <f>'Room Nights &amp; Food Covers'!D5</f>
        <v>334</v>
      </c>
    </row>
    <row r="3" spans="1:66" ht="15.75" thickBot="1">
      <c r="A3" s="135" t="s">
        <v>16</v>
      </c>
      <c r="B3" s="135">
        <v>2</v>
      </c>
      <c r="C3" s="133">
        <f>TOTAL!C3</f>
        <v>3</v>
      </c>
      <c r="D3" s="132">
        <f>TOTAL!D3</f>
        <v>2023</v>
      </c>
      <c r="E3" s="134">
        <f>Solar!C7</f>
        <v>2956</v>
      </c>
      <c r="F3" s="134">
        <f>'Powerhouse Daily Performance'!C5</f>
        <v>6424</v>
      </c>
      <c r="G3" s="134">
        <f>'Powerhouse Daily Performance'!I5</f>
        <v>8247</v>
      </c>
      <c r="H3" s="134">
        <f>'Powerhouse Daily Performance'!O5</f>
        <v>6657</v>
      </c>
      <c r="I3" s="134">
        <f>'Powerhouse Daily Performance'!U5</f>
        <v>2406</v>
      </c>
      <c r="J3" s="134">
        <f>'Powerhouse Daily Performance'!AA5</f>
        <v>4650</v>
      </c>
      <c r="K3" s="134">
        <f>'FEEDER Consumption '!C7</f>
        <v>4442</v>
      </c>
      <c r="L3" s="134">
        <f>'FEEDER Consumption '!E7</f>
        <v>4885</v>
      </c>
      <c r="M3" s="134">
        <f>'FEEDER Consumption '!G7</f>
        <v>12500</v>
      </c>
      <c r="N3" s="134">
        <f>'FEEDER Consumption '!I7</f>
        <v>2400</v>
      </c>
      <c r="O3" s="134">
        <f>'FEEDER Consumption '!K7</f>
        <v>2988</v>
      </c>
      <c r="P3" s="134">
        <f>'FEEDER Consumption '!M7</f>
        <v>1900</v>
      </c>
      <c r="Q3" s="134">
        <f>'FEEDER Consumption '!O7</f>
        <v>462</v>
      </c>
      <c r="R3" s="134">
        <f>'FEEDER Consumption '!Q7</f>
        <v>700</v>
      </c>
      <c r="S3" s="134">
        <f>'FEEDER Consumption '!S7</f>
        <v>1800</v>
      </c>
      <c r="T3" s="134">
        <f>'FEEDER Consumption '!U7</f>
        <v>483</v>
      </c>
      <c r="U3" s="134">
        <f>'FEEDER Consumption '!W7</f>
        <v>400</v>
      </c>
      <c r="V3" s="134">
        <f>'FEEDER Consumption '!Y7</f>
        <v>400</v>
      </c>
      <c r="W3" s="134">
        <f>'FEEDER Consumption '!AA7</f>
        <v>700</v>
      </c>
      <c r="X3" s="134">
        <f>'FEEDER Consumption '!AC7</f>
        <v>160</v>
      </c>
      <c r="Y3" s="134">
        <f>'FEEDER Consumption '!AE7</f>
        <v>390</v>
      </c>
      <c r="Z3" s="134">
        <f>'FEEDER Consumption '!AG7</f>
        <v>1200</v>
      </c>
      <c r="AA3" s="134">
        <f>'FEEDER Consumption '!AI7</f>
        <v>430</v>
      </c>
      <c r="AB3" s="134">
        <f>'FEEDER Consumption '!AK7</f>
        <v>1200</v>
      </c>
      <c r="AC3" s="134">
        <f>'FEEDER Consumption '!AM7</f>
        <v>950</v>
      </c>
      <c r="AD3" s="134">
        <f>'FEEDER Consumption '!AO7</f>
        <v>820</v>
      </c>
      <c r="AE3" s="134">
        <f>'FEEDER Consumption '!AQ7</f>
        <v>1000</v>
      </c>
      <c r="AF3" s="134">
        <f>'FEEDER Consumption '!AS7</f>
        <v>970</v>
      </c>
      <c r="AG3" s="134">
        <f>'FEEDER Consumption '!AU7</f>
        <v>640</v>
      </c>
      <c r="AH3" s="134">
        <f>'FEEDER Consumption '!AW7</f>
        <v>350</v>
      </c>
      <c r="AI3" s="134">
        <f>'FEEDER Consumption '!AY7</f>
        <v>150</v>
      </c>
      <c r="AJ3" s="134">
        <f>'FEEDER Consumption '!BA7</f>
        <v>1030</v>
      </c>
      <c r="AK3" s="134">
        <f>'FEEDER Consumption '!BC7</f>
        <v>260</v>
      </c>
      <c r="AL3" s="134">
        <f>'FEEDER Consumption '!BE7</f>
        <v>440</v>
      </c>
      <c r="AM3" s="134">
        <f>'FEEDER Consumption '!BG7</f>
        <v>500</v>
      </c>
      <c r="AN3" s="134">
        <f>'Water Plant Daily Performance'!C5</f>
        <v>159</v>
      </c>
      <c r="AO3" s="134">
        <f>'Water Plant Daily Performance'!I5</f>
        <v>29</v>
      </c>
      <c r="AP3" s="134">
        <f>'Water Plant Daily Performance'!O5</f>
        <v>151</v>
      </c>
      <c r="AQ3" s="134">
        <f>'Water Plant Daily Performance'!U5</f>
        <v>2</v>
      </c>
      <c r="AR3" s="134">
        <f>Water!AD8</f>
        <v>27</v>
      </c>
      <c r="AS3" s="134">
        <f>Water!AH8</f>
        <v>4</v>
      </c>
      <c r="AT3" s="134">
        <f>Water!AJ8</f>
        <v>8</v>
      </c>
      <c r="AU3" s="134">
        <f>Water!AL8</f>
        <v>11</v>
      </c>
      <c r="AV3" s="134">
        <f>Water!AN8</f>
        <v>10</v>
      </c>
      <c r="AW3" s="134">
        <f>Water!AP8</f>
        <v>5</v>
      </c>
      <c r="AX3" s="134">
        <f>Water!AR8</f>
        <v>10</v>
      </c>
      <c r="AY3" s="134">
        <f>Water!AT8</f>
        <v>9</v>
      </c>
      <c r="AZ3" s="134">
        <f>Water!AT8</f>
        <v>9</v>
      </c>
      <c r="BA3" s="134">
        <f>Water!AX8</f>
        <v>6</v>
      </c>
      <c r="BB3" s="134">
        <f>Water!AZ8</f>
        <v>3</v>
      </c>
      <c r="BC3" s="134">
        <f>Water!BB8</f>
        <v>4</v>
      </c>
      <c r="BD3" s="134">
        <f>Water!BD8</f>
        <v>26</v>
      </c>
      <c r="BE3" s="134">
        <f>Water!BF8</f>
        <v>11</v>
      </c>
      <c r="BF3" s="134">
        <f>Water!BH8</f>
        <v>0</v>
      </c>
      <c r="BG3" s="134">
        <f>Water!BJ8</f>
        <v>11</v>
      </c>
      <c r="BH3" s="134">
        <f>Water!BL8</f>
        <v>4</v>
      </c>
      <c r="BI3" s="134">
        <f>Water!BP8</f>
        <v>6</v>
      </c>
      <c r="BJ3" s="134">
        <f>Water!BR8</f>
        <v>18</v>
      </c>
      <c r="BK3" s="134">
        <f>Water!BT8</f>
        <v>4</v>
      </c>
      <c r="BL3" s="134">
        <f>Water!BV8</f>
        <v>2</v>
      </c>
      <c r="BM3" s="134">
        <f>'Room Nights &amp; Food Covers'!B6</f>
        <v>57</v>
      </c>
      <c r="BN3" s="134">
        <f>'Room Nights &amp; Food Covers'!D6</f>
        <v>360</v>
      </c>
    </row>
    <row r="4" spans="1:66" ht="15.75" thickBot="1">
      <c r="A4" s="135" t="s">
        <v>16</v>
      </c>
      <c r="B4" s="135">
        <v>3</v>
      </c>
      <c r="C4" s="133">
        <f>TOTAL!C4</f>
        <v>3</v>
      </c>
      <c r="D4" s="132">
        <f>TOTAL!D4</f>
        <v>2023</v>
      </c>
      <c r="E4" s="134">
        <f>Solar!C8</f>
        <v>3031</v>
      </c>
      <c r="F4" s="134">
        <f>'Powerhouse Daily Performance'!C6</f>
        <v>6018</v>
      </c>
      <c r="G4" s="134">
        <f>'Powerhouse Daily Performance'!I6</f>
        <v>7152</v>
      </c>
      <c r="H4" s="134">
        <f>'Powerhouse Daily Performance'!O6</f>
        <v>4976</v>
      </c>
      <c r="I4" s="134">
        <f>'Powerhouse Daily Performance'!U6</f>
        <v>2650</v>
      </c>
      <c r="J4" s="134">
        <f>'Powerhouse Daily Performance'!AA6</f>
        <v>7251</v>
      </c>
      <c r="K4" s="134">
        <f>'FEEDER Consumption '!C8</f>
        <v>4386</v>
      </c>
      <c r="L4" s="134">
        <f>'FEEDER Consumption '!E8</f>
        <v>4703</v>
      </c>
      <c r="M4" s="134">
        <f>'FEEDER Consumption '!G8</f>
        <v>12335</v>
      </c>
      <c r="N4" s="134">
        <f>'FEEDER Consumption '!I8</f>
        <v>2500</v>
      </c>
      <c r="O4" s="134">
        <f>'FEEDER Consumption '!K8</f>
        <v>2961</v>
      </c>
      <c r="P4" s="134">
        <f>'FEEDER Consumption '!M8</f>
        <v>1700</v>
      </c>
      <c r="Q4" s="134">
        <f>'FEEDER Consumption '!O8</f>
        <v>490</v>
      </c>
      <c r="R4" s="134">
        <f>'FEEDER Consumption '!Q8</f>
        <v>700</v>
      </c>
      <c r="S4" s="134">
        <f>'FEEDER Consumption '!S8</f>
        <v>1900</v>
      </c>
      <c r="T4" s="134">
        <f>'FEEDER Consumption '!U8</f>
        <v>517</v>
      </c>
      <c r="U4" s="134">
        <f>'FEEDER Consumption '!W8</f>
        <v>400</v>
      </c>
      <c r="V4" s="134">
        <f>'FEEDER Consumption '!Y8</f>
        <v>200</v>
      </c>
      <c r="W4" s="134">
        <f>'FEEDER Consumption '!AA8</f>
        <v>700</v>
      </c>
      <c r="X4" s="134">
        <f>'FEEDER Consumption '!AC8</f>
        <v>170</v>
      </c>
      <c r="Y4" s="134">
        <f>'FEEDER Consumption '!AE8</f>
        <v>460</v>
      </c>
      <c r="Z4" s="134">
        <f>'FEEDER Consumption '!AG8</f>
        <v>1100</v>
      </c>
      <c r="AA4" s="134">
        <f>'FEEDER Consumption '!AI8</f>
        <v>510</v>
      </c>
      <c r="AB4" s="134">
        <f>'FEEDER Consumption '!AK8</f>
        <v>1250</v>
      </c>
      <c r="AC4" s="134">
        <f>'FEEDER Consumption '!AM8</f>
        <v>1020</v>
      </c>
      <c r="AD4" s="134">
        <f>'FEEDER Consumption '!AO8</f>
        <v>730</v>
      </c>
      <c r="AE4" s="134">
        <f>'FEEDER Consumption '!AQ8</f>
        <v>1000</v>
      </c>
      <c r="AF4" s="134">
        <f>'FEEDER Consumption '!AS8</f>
        <v>820</v>
      </c>
      <c r="AG4" s="134">
        <f>'FEEDER Consumption '!AU8</f>
        <v>670</v>
      </c>
      <c r="AH4" s="134">
        <f>'FEEDER Consumption '!AW8</f>
        <v>340</v>
      </c>
      <c r="AI4" s="134">
        <f>'FEEDER Consumption '!AY8</f>
        <v>150</v>
      </c>
      <c r="AJ4" s="134">
        <f>'FEEDER Consumption '!BA8</f>
        <v>1060</v>
      </c>
      <c r="AK4" s="134">
        <f>'FEEDER Consumption '!BC8</f>
        <v>280</v>
      </c>
      <c r="AL4" s="134">
        <f>'FEEDER Consumption '!BE8</f>
        <v>430</v>
      </c>
      <c r="AM4" s="134">
        <f>'FEEDER Consumption '!BG8</f>
        <v>460</v>
      </c>
      <c r="AN4" s="134">
        <f>'Water Plant Daily Performance'!C6</f>
        <v>175</v>
      </c>
      <c r="AO4" s="134">
        <f>'Water Plant Daily Performance'!I6</f>
        <v>13</v>
      </c>
      <c r="AP4" s="134">
        <f>'Water Plant Daily Performance'!O6</f>
        <v>150</v>
      </c>
      <c r="AQ4" s="134">
        <f>'Water Plant Daily Performance'!U6</f>
        <v>0</v>
      </c>
      <c r="AR4" s="134">
        <f>Water!AD9</f>
        <v>26</v>
      </c>
      <c r="AS4" s="134">
        <f>Water!AH9</f>
        <v>6</v>
      </c>
      <c r="AT4" s="134">
        <f>Water!AJ9</f>
        <v>8</v>
      </c>
      <c r="AU4" s="134">
        <f>Water!AL9</f>
        <v>12</v>
      </c>
      <c r="AV4" s="134">
        <f>Water!AN9</f>
        <v>6</v>
      </c>
      <c r="AW4" s="134">
        <f>Water!AP9</f>
        <v>6</v>
      </c>
      <c r="AX4" s="134">
        <f>Water!AR9</f>
        <v>9</v>
      </c>
      <c r="AY4" s="134">
        <f>Water!AT9</f>
        <v>8</v>
      </c>
      <c r="AZ4" s="134">
        <f>Water!AT9</f>
        <v>8</v>
      </c>
      <c r="BA4" s="134">
        <f>Water!AX9</f>
        <v>0</v>
      </c>
      <c r="BB4" s="134">
        <f>Water!AZ9</f>
        <v>3</v>
      </c>
      <c r="BC4" s="134">
        <f>Water!BB9</f>
        <v>3</v>
      </c>
      <c r="BD4" s="134">
        <f>Water!BD9</f>
        <v>27</v>
      </c>
      <c r="BE4" s="134">
        <f>Water!BF9</f>
        <v>10</v>
      </c>
      <c r="BF4" s="134">
        <f>Water!BH9</f>
        <v>1</v>
      </c>
      <c r="BG4" s="134">
        <f>Water!BJ9</f>
        <v>3</v>
      </c>
      <c r="BH4" s="134">
        <f>Water!BL9</f>
        <v>3</v>
      </c>
      <c r="BI4" s="134">
        <f>Water!BP9</f>
        <v>3</v>
      </c>
      <c r="BJ4" s="134">
        <f>Water!BR9</f>
        <v>29</v>
      </c>
      <c r="BK4" s="134">
        <f>Water!BT9</f>
        <v>2</v>
      </c>
      <c r="BL4" s="134">
        <f>Water!BV9</f>
        <v>0</v>
      </c>
      <c r="BM4" s="134">
        <f>'Room Nights &amp; Food Covers'!B7</f>
        <v>58</v>
      </c>
      <c r="BN4" s="134">
        <f>'Room Nights &amp; Food Covers'!D7</f>
        <v>355</v>
      </c>
    </row>
    <row r="5" spans="1:66" ht="15.75" thickBot="1">
      <c r="A5" s="135" t="s">
        <v>16</v>
      </c>
      <c r="B5" s="135">
        <v>4</v>
      </c>
      <c r="C5" s="133">
        <f>TOTAL!C5</f>
        <v>3</v>
      </c>
      <c r="D5" s="132">
        <f>TOTAL!D5</f>
        <v>2023</v>
      </c>
      <c r="E5" s="134">
        <f>Solar!C9</f>
        <v>2866</v>
      </c>
      <c r="F5" s="134">
        <f>'Powerhouse Daily Performance'!C7</f>
        <v>7692</v>
      </c>
      <c r="G5" s="134">
        <f>'Powerhouse Daily Performance'!I7</f>
        <v>6433</v>
      </c>
      <c r="H5" s="134">
        <f>'Powerhouse Daily Performance'!O7</f>
        <v>4928</v>
      </c>
      <c r="I5" s="134">
        <f>'Powerhouse Daily Performance'!U7</f>
        <v>2943</v>
      </c>
      <c r="J5" s="134">
        <f>'Powerhouse Daily Performance'!AA7</f>
        <v>5367</v>
      </c>
      <c r="K5" s="134">
        <f>'FEEDER Consumption '!C9</f>
        <v>4211</v>
      </c>
      <c r="L5" s="134">
        <f>'FEEDER Consumption '!E9</f>
        <v>4493</v>
      </c>
      <c r="M5" s="134">
        <f>'FEEDER Consumption '!G9</f>
        <v>12340</v>
      </c>
      <c r="N5" s="134">
        <f>'FEEDER Consumption '!I9</f>
        <v>2500</v>
      </c>
      <c r="O5" s="134">
        <f>'FEEDER Consumption '!K9</f>
        <v>2795</v>
      </c>
      <c r="P5" s="134">
        <f>'FEEDER Consumption '!M9</f>
        <v>1800</v>
      </c>
      <c r="Q5" s="134">
        <f>'FEEDER Consumption '!O9</f>
        <v>455</v>
      </c>
      <c r="R5" s="134">
        <f>'FEEDER Consumption '!Q9</f>
        <v>700</v>
      </c>
      <c r="S5" s="134">
        <f>'FEEDER Consumption '!S9</f>
        <v>1800</v>
      </c>
      <c r="T5" s="134">
        <f>'FEEDER Consumption '!U9</f>
        <v>489</v>
      </c>
      <c r="U5" s="134">
        <f>'FEEDER Consumption '!W9</f>
        <v>400</v>
      </c>
      <c r="V5" s="134">
        <f>'FEEDER Consumption '!Y9</f>
        <v>400</v>
      </c>
      <c r="W5" s="134">
        <f>'FEEDER Consumption '!AA9</f>
        <v>600</v>
      </c>
      <c r="X5" s="134">
        <f>'FEEDER Consumption '!AC9</f>
        <v>170</v>
      </c>
      <c r="Y5" s="134">
        <f>'FEEDER Consumption '!AE9</f>
        <v>430</v>
      </c>
      <c r="Z5" s="134">
        <f>'FEEDER Consumption '!AG9</f>
        <v>1200</v>
      </c>
      <c r="AA5" s="134">
        <f>'FEEDER Consumption '!AI9</f>
        <v>440</v>
      </c>
      <c r="AB5" s="134">
        <f>'FEEDER Consumption '!AK9</f>
        <v>1020</v>
      </c>
      <c r="AC5" s="134">
        <f>'FEEDER Consumption '!AM9</f>
        <v>950</v>
      </c>
      <c r="AD5" s="134">
        <f>'FEEDER Consumption '!AO9</f>
        <v>640</v>
      </c>
      <c r="AE5" s="134">
        <f>'FEEDER Consumption '!AQ9</f>
        <v>900</v>
      </c>
      <c r="AF5" s="134">
        <f>'FEEDER Consumption '!AS9</f>
        <v>850</v>
      </c>
      <c r="AG5" s="134">
        <f>'FEEDER Consumption '!AU9</f>
        <v>680</v>
      </c>
      <c r="AH5" s="134">
        <f>'FEEDER Consumption '!AW9</f>
        <v>350</v>
      </c>
      <c r="AI5" s="134">
        <f>'FEEDER Consumption '!AY9</f>
        <v>120</v>
      </c>
      <c r="AJ5" s="134">
        <f>'FEEDER Consumption '!BA9</f>
        <v>980</v>
      </c>
      <c r="AK5" s="134">
        <f>'FEEDER Consumption '!BC9</f>
        <v>250</v>
      </c>
      <c r="AL5" s="134">
        <f>'FEEDER Consumption '!BE9</f>
        <v>410</v>
      </c>
      <c r="AM5" s="134">
        <f>'FEEDER Consumption '!BG9</f>
        <v>460</v>
      </c>
      <c r="AN5" s="134">
        <f>'Water Plant Daily Performance'!C7</f>
        <v>169</v>
      </c>
      <c r="AO5" s="134">
        <f>'Water Plant Daily Performance'!I7</f>
        <v>0</v>
      </c>
      <c r="AP5" s="134">
        <f>'Water Plant Daily Performance'!O7</f>
        <v>118</v>
      </c>
      <c r="AQ5" s="134">
        <f>'Water Plant Daily Performance'!U7</f>
        <v>90</v>
      </c>
      <c r="AR5" s="134">
        <f>Water!AD10</f>
        <v>25</v>
      </c>
      <c r="AS5" s="134">
        <f>Water!AH10</f>
        <v>4</v>
      </c>
      <c r="AT5" s="134">
        <f>Water!AJ10</f>
        <v>5</v>
      </c>
      <c r="AU5" s="134">
        <f>Water!AL10</f>
        <v>9</v>
      </c>
      <c r="AV5" s="134">
        <f>Water!AN10</f>
        <v>9</v>
      </c>
      <c r="AW5" s="134">
        <f>Water!AP10</f>
        <v>6</v>
      </c>
      <c r="AX5" s="134">
        <f>Water!AR10</f>
        <v>8</v>
      </c>
      <c r="AY5" s="134">
        <f>Water!AT10</f>
        <v>7</v>
      </c>
      <c r="AZ5" s="134">
        <f>Water!AT10</f>
        <v>7</v>
      </c>
      <c r="BA5" s="134">
        <f>Water!AX10</f>
        <v>0</v>
      </c>
      <c r="BB5" s="134">
        <f>Water!AZ10</f>
        <v>3</v>
      </c>
      <c r="BC5" s="134">
        <f>Water!BB10</f>
        <v>0</v>
      </c>
      <c r="BD5" s="134">
        <f>Water!BD10</f>
        <v>31</v>
      </c>
      <c r="BE5" s="134">
        <f>Water!BF10</f>
        <v>10</v>
      </c>
      <c r="BF5" s="134">
        <f>Water!BH10</f>
        <v>2</v>
      </c>
      <c r="BG5" s="134">
        <f>Water!BJ10</f>
        <v>6</v>
      </c>
      <c r="BH5" s="134">
        <f>Water!BL10</f>
        <v>3</v>
      </c>
      <c r="BI5" s="134">
        <f>Water!BP10</f>
        <v>6</v>
      </c>
      <c r="BJ5" s="134">
        <f>Water!BR10</f>
        <v>5</v>
      </c>
      <c r="BK5" s="134">
        <f>Water!BT10</f>
        <v>3</v>
      </c>
      <c r="BL5" s="134">
        <f>Water!BV10</f>
        <v>0</v>
      </c>
      <c r="BM5" s="134">
        <f>'Room Nights &amp; Food Covers'!B8</f>
        <v>59</v>
      </c>
      <c r="BN5" s="134">
        <f>'Room Nights &amp; Food Covers'!D8</f>
        <v>358</v>
      </c>
    </row>
    <row r="6" spans="1:66" ht="15.75" thickBot="1">
      <c r="A6" s="135" t="s">
        <v>16</v>
      </c>
      <c r="B6" s="135">
        <v>5</v>
      </c>
      <c r="C6" s="133">
        <f>TOTAL!C6</f>
        <v>3</v>
      </c>
      <c r="D6" s="132">
        <f>TOTAL!D6</f>
        <v>2023</v>
      </c>
      <c r="E6" s="134">
        <f>Solar!C10</f>
        <v>2096</v>
      </c>
      <c r="F6" s="134">
        <f>'Powerhouse Daily Performance'!C8</f>
        <v>1750</v>
      </c>
      <c r="G6" s="134">
        <f>'Powerhouse Daily Performance'!I8</f>
        <v>5722</v>
      </c>
      <c r="H6" s="134">
        <f>'Powerhouse Daily Performance'!O8</f>
        <v>7546</v>
      </c>
      <c r="I6" s="134">
        <f>'Powerhouse Daily Performance'!U8</f>
        <v>3257</v>
      </c>
      <c r="J6" s="134">
        <f>'Powerhouse Daily Performance'!AA8</f>
        <v>8457</v>
      </c>
      <c r="K6" s="134">
        <f>'FEEDER Consumption '!C10</f>
        <v>4139</v>
      </c>
      <c r="L6" s="134">
        <f>'FEEDER Consumption '!E10</f>
        <v>4173</v>
      </c>
      <c r="M6" s="134">
        <f>'FEEDER Consumption '!G10</f>
        <v>11889</v>
      </c>
      <c r="N6" s="134">
        <f>'FEEDER Consumption '!I10</f>
        <v>2300</v>
      </c>
      <c r="O6" s="134">
        <f>'FEEDER Consumption '!K10</f>
        <v>2766</v>
      </c>
      <c r="P6" s="134">
        <f>'FEEDER Consumption '!M10</f>
        <v>1500</v>
      </c>
      <c r="Q6" s="134">
        <f>'FEEDER Consumption '!O10</f>
        <v>482</v>
      </c>
      <c r="R6" s="134">
        <f>'FEEDER Consumption '!Q10</f>
        <v>600</v>
      </c>
      <c r="S6" s="134">
        <f>'FEEDER Consumption '!S10</f>
        <v>2100</v>
      </c>
      <c r="T6" s="134">
        <f>'FEEDER Consumption '!U10</f>
        <v>440</v>
      </c>
      <c r="U6" s="134">
        <f>'FEEDER Consumption '!W10</f>
        <v>500</v>
      </c>
      <c r="V6" s="134">
        <f>'FEEDER Consumption '!Y10</f>
        <v>300</v>
      </c>
      <c r="W6" s="134">
        <f>'FEEDER Consumption '!AA10</f>
        <v>600</v>
      </c>
      <c r="X6" s="134">
        <f>'FEEDER Consumption '!AC10</f>
        <v>160</v>
      </c>
      <c r="Y6" s="134">
        <f>'FEEDER Consumption '!AE10</f>
        <v>410</v>
      </c>
      <c r="Z6" s="134">
        <f>'FEEDER Consumption '!AG10</f>
        <v>1100</v>
      </c>
      <c r="AA6" s="134">
        <f>'FEEDER Consumption '!AI10</f>
        <v>440</v>
      </c>
      <c r="AB6" s="134">
        <f>'FEEDER Consumption '!AK10</f>
        <v>950</v>
      </c>
      <c r="AC6" s="134">
        <f>'FEEDER Consumption '!AM10</f>
        <v>930</v>
      </c>
      <c r="AD6" s="134">
        <f>'FEEDER Consumption '!AO10</f>
        <v>700</v>
      </c>
      <c r="AE6" s="134">
        <f>'FEEDER Consumption '!AQ10</f>
        <v>900</v>
      </c>
      <c r="AF6" s="134">
        <f>'FEEDER Consumption '!AS10</f>
        <v>870</v>
      </c>
      <c r="AG6" s="134">
        <f>'FEEDER Consumption '!AU10</f>
        <v>750</v>
      </c>
      <c r="AH6" s="134">
        <f>'FEEDER Consumption '!AW10</f>
        <v>350</v>
      </c>
      <c r="AI6" s="134">
        <f>'FEEDER Consumption '!AY10</f>
        <v>140</v>
      </c>
      <c r="AJ6" s="134">
        <f>'FEEDER Consumption '!BA10</f>
        <v>1130</v>
      </c>
      <c r="AK6" s="134">
        <f>'FEEDER Consumption '!BC10</f>
        <v>280</v>
      </c>
      <c r="AL6" s="134">
        <f>'FEEDER Consumption '!BE10</f>
        <v>460</v>
      </c>
      <c r="AM6" s="134">
        <f>'FEEDER Consumption '!BG10</f>
        <v>460</v>
      </c>
      <c r="AN6" s="134">
        <f>'Water Plant Daily Performance'!C8</f>
        <v>180</v>
      </c>
      <c r="AO6" s="134">
        <f>'Water Plant Daily Performance'!I8</f>
        <v>0</v>
      </c>
      <c r="AP6" s="134">
        <f>'Water Plant Daily Performance'!O8</f>
        <v>104</v>
      </c>
      <c r="AQ6" s="134">
        <f>'Water Plant Daily Performance'!U8</f>
        <v>14</v>
      </c>
      <c r="AR6" s="134">
        <f>Water!AD11</f>
        <v>27</v>
      </c>
      <c r="AS6" s="134">
        <f>Water!AH11</f>
        <v>7</v>
      </c>
      <c r="AT6" s="134">
        <f>Water!AJ11</f>
        <v>7</v>
      </c>
      <c r="AU6" s="134">
        <f>Water!AL11</f>
        <v>11</v>
      </c>
      <c r="AV6" s="134">
        <f>Water!AN11</f>
        <v>9</v>
      </c>
      <c r="AW6" s="134">
        <f>Water!AP11</f>
        <v>5</v>
      </c>
      <c r="AX6" s="134">
        <f>Water!AR11</f>
        <v>8</v>
      </c>
      <c r="AY6" s="134">
        <f>Water!AT11</f>
        <v>3</v>
      </c>
      <c r="AZ6" s="134">
        <f>Water!AT11</f>
        <v>3</v>
      </c>
      <c r="BA6" s="134">
        <f>Water!AX11</f>
        <v>0</v>
      </c>
      <c r="BB6" s="134">
        <f>Water!AZ11</f>
        <v>9</v>
      </c>
      <c r="BC6" s="134">
        <f>Water!BB11</f>
        <v>2</v>
      </c>
      <c r="BD6" s="134">
        <f>Water!BD11</f>
        <v>32</v>
      </c>
      <c r="BE6" s="134">
        <f>Water!BF11</f>
        <v>10</v>
      </c>
      <c r="BF6" s="134">
        <f>Water!BH11</f>
        <v>1</v>
      </c>
      <c r="BG6" s="134">
        <f>Water!BJ11</f>
        <v>2</v>
      </c>
      <c r="BH6" s="134">
        <f>Water!BL11</f>
        <v>3</v>
      </c>
      <c r="BI6" s="134">
        <f>Water!BP11</f>
        <v>3</v>
      </c>
      <c r="BJ6" s="134">
        <f>Water!BR11</f>
        <v>9</v>
      </c>
      <c r="BK6" s="134">
        <f>Water!BT11</f>
        <v>1</v>
      </c>
      <c r="BL6" s="134">
        <f>Water!BV11</f>
        <v>1</v>
      </c>
      <c r="BM6" s="134">
        <f>'Room Nights &amp; Food Covers'!B9</f>
        <v>56</v>
      </c>
      <c r="BN6" s="134">
        <f>'Room Nights &amp; Food Covers'!D9</f>
        <v>344</v>
      </c>
    </row>
    <row r="7" spans="1:66" ht="15.75" thickBot="1">
      <c r="A7" s="135" t="s">
        <v>16</v>
      </c>
      <c r="B7" s="135">
        <v>6</v>
      </c>
      <c r="C7" s="133">
        <f>TOTAL!C7</f>
        <v>3</v>
      </c>
      <c r="D7" s="132">
        <f>TOTAL!D7</f>
        <v>2023</v>
      </c>
      <c r="E7" s="134">
        <f>Solar!C11</f>
        <v>1133</v>
      </c>
      <c r="F7" s="134">
        <f>'Powerhouse Daily Performance'!C9</f>
        <v>0</v>
      </c>
      <c r="G7" s="134">
        <f>'Powerhouse Daily Performance'!I9</f>
        <v>16557</v>
      </c>
      <c r="H7" s="134">
        <f>'Powerhouse Daily Performance'!O9</f>
        <v>922</v>
      </c>
      <c r="I7" s="134">
        <f>'Powerhouse Daily Performance'!U9</f>
        <v>626</v>
      </c>
      <c r="J7" s="134">
        <f>'Powerhouse Daily Performance'!AA9</f>
        <v>7502</v>
      </c>
      <c r="K7" s="134">
        <f>'FEEDER Consumption '!C11</f>
        <v>3817</v>
      </c>
      <c r="L7" s="134">
        <f>'FEEDER Consumption '!E11</f>
        <v>3402</v>
      </c>
      <c r="M7" s="134">
        <f>'FEEDER Consumption '!G11</f>
        <v>12185</v>
      </c>
      <c r="N7" s="134">
        <f>'FEEDER Consumption '!I11</f>
        <v>2200</v>
      </c>
      <c r="O7" s="134">
        <f>'FEEDER Consumption '!K11</f>
        <v>2679</v>
      </c>
      <c r="P7" s="134">
        <f>'FEEDER Consumption '!M11</f>
        <v>1500</v>
      </c>
      <c r="Q7" s="134">
        <f>'FEEDER Consumption '!O11</f>
        <v>478</v>
      </c>
      <c r="R7" s="134">
        <f>'FEEDER Consumption '!Q11</f>
        <v>600</v>
      </c>
      <c r="S7" s="134">
        <f>'FEEDER Consumption '!S11</f>
        <v>2100</v>
      </c>
      <c r="T7" s="134">
        <f>'FEEDER Consumption '!U11</f>
        <v>493</v>
      </c>
      <c r="U7" s="134">
        <f>'FEEDER Consumption '!W11</f>
        <v>400</v>
      </c>
      <c r="V7" s="134">
        <f>'FEEDER Consumption '!Y11</f>
        <v>300</v>
      </c>
      <c r="W7" s="134">
        <f>'FEEDER Consumption '!AA11</f>
        <v>700</v>
      </c>
      <c r="X7" s="134">
        <f>'FEEDER Consumption '!AC11</f>
        <v>170</v>
      </c>
      <c r="Y7" s="134">
        <f>'FEEDER Consumption '!AE11</f>
        <v>480</v>
      </c>
      <c r="Z7" s="134">
        <f>'FEEDER Consumption '!AG11</f>
        <v>1100</v>
      </c>
      <c r="AA7" s="134">
        <f>'FEEDER Consumption '!AI11</f>
        <v>380</v>
      </c>
      <c r="AB7" s="134">
        <f>'FEEDER Consumption '!AK11</f>
        <v>630</v>
      </c>
      <c r="AC7" s="134">
        <f>'FEEDER Consumption '!AM11</f>
        <v>640</v>
      </c>
      <c r="AD7" s="134">
        <f>'FEEDER Consumption '!AO11</f>
        <v>420</v>
      </c>
      <c r="AE7" s="134">
        <f>'FEEDER Consumption '!AQ11</f>
        <v>700</v>
      </c>
      <c r="AF7" s="134">
        <f>'FEEDER Consumption '!AS11</f>
        <v>550</v>
      </c>
      <c r="AG7" s="134">
        <f>'FEEDER Consumption '!AU11</f>
        <v>490</v>
      </c>
      <c r="AH7" s="134">
        <f>'FEEDER Consumption '!AW11</f>
        <v>300</v>
      </c>
      <c r="AI7" s="134">
        <f>'FEEDER Consumption '!AY11</f>
        <v>110</v>
      </c>
      <c r="AJ7" s="134">
        <f>'FEEDER Consumption '!BA11</f>
        <v>930</v>
      </c>
      <c r="AK7" s="134">
        <f>'FEEDER Consumption '!BC11</f>
        <v>250</v>
      </c>
      <c r="AL7" s="134">
        <f>'FEEDER Consumption '!BE11</f>
        <v>390</v>
      </c>
      <c r="AM7" s="134">
        <f>'FEEDER Consumption '!BG11</f>
        <v>480</v>
      </c>
      <c r="AN7" s="134">
        <f>'Water Plant Daily Performance'!C9</f>
        <v>189</v>
      </c>
      <c r="AO7" s="134">
        <f>'Water Plant Daily Performance'!I9</f>
        <v>0</v>
      </c>
      <c r="AP7" s="134">
        <f>'Water Plant Daily Performance'!O9</f>
        <v>108</v>
      </c>
      <c r="AQ7" s="134">
        <f>'Water Plant Daily Performance'!U9</f>
        <v>0</v>
      </c>
      <c r="AR7" s="134">
        <f>Water!AD12</f>
        <v>24</v>
      </c>
      <c r="AS7" s="134">
        <f>Water!AH12</f>
        <v>6</v>
      </c>
      <c r="AT7" s="134">
        <f>Water!AJ12</f>
        <v>4</v>
      </c>
      <c r="AU7" s="134">
        <f>Water!AL12</f>
        <v>11</v>
      </c>
      <c r="AV7" s="134">
        <f>Water!AN12</f>
        <v>6</v>
      </c>
      <c r="AW7" s="134">
        <f>Water!AP12</f>
        <v>6</v>
      </c>
      <c r="AX7" s="134">
        <f>Water!AR12</f>
        <v>8</v>
      </c>
      <c r="AY7" s="134">
        <f>Water!AT12</f>
        <v>3</v>
      </c>
      <c r="AZ7" s="134">
        <f>Water!AT12</f>
        <v>3</v>
      </c>
      <c r="BA7" s="134">
        <f>Water!AX12</f>
        <v>1</v>
      </c>
      <c r="BB7" s="134">
        <f>Water!AZ12</f>
        <v>2</v>
      </c>
      <c r="BC7" s="134">
        <f>Water!BB12</f>
        <v>1</v>
      </c>
      <c r="BD7" s="134">
        <f>Water!BD12</f>
        <v>30</v>
      </c>
      <c r="BE7" s="134">
        <f>Water!BF12</f>
        <v>1</v>
      </c>
      <c r="BF7" s="134">
        <f>Water!BH12</f>
        <v>1</v>
      </c>
      <c r="BG7" s="134">
        <f>Water!BJ12</f>
        <v>0</v>
      </c>
      <c r="BH7" s="134">
        <f>Water!BL12</f>
        <v>1</v>
      </c>
      <c r="BI7" s="134">
        <f>Water!BP12</f>
        <v>6</v>
      </c>
      <c r="BJ7" s="134">
        <f>Water!BR12</f>
        <v>0</v>
      </c>
      <c r="BK7" s="134">
        <f>Water!BT12</f>
        <v>1</v>
      </c>
      <c r="BL7" s="134">
        <f>Water!BV12</f>
        <v>0</v>
      </c>
      <c r="BM7" s="134">
        <f>'Room Nights &amp; Food Covers'!B10</f>
        <v>63</v>
      </c>
      <c r="BN7" s="134">
        <f>'Room Nights &amp; Food Covers'!D10</f>
        <v>393</v>
      </c>
    </row>
    <row r="8" spans="1:66" ht="15.75" thickBot="1">
      <c r="A8" s="135" t="s">
        <v>16</v>
      </c>
      <c r="B8" s="135">
        <v>7</v>
      </c>
      <c r="C8" s="133">
        <f>TOTAL!C8</f>
        <v>3</v>
      </c>
      <c r="D8" s="132">
        <f>TOTAL!D8</f>
        <v>2023</v>
      </c>
      <c r="E8" s="134">
        <f>Solar!C12</f>
        <v>3060</v>
      </c>
      <c r="F8" s="134">
        <f>'Powerhouse Daily Performance'!C10</f>
        <v>3383</v>
      </c>
      <c r="G8" s="134">
        <f>'Powerhouse Daily Performance'!I10</f>
        <v>12822</v>
      </c>
      <c r="H8" s="134">
        <f>'Powerhouse Daily Performance'!O10</f>
        <v>5953</v>
      </c>
      <c r="I8" s="134">
        <f>'Powerhouse Daily Performance'!U10</f>
        <v>1912</v>
      </c>
      <c r="J8" s="134">
        <f>'Powerhouse Daily Performance'!AA10</f>
        <v>2149</v>
      </c>
      <c r="K8" s="134">
        <f>'FEEDER Consumption '!C12</f>
        <v>3995</v>
      </c>
      <c r="L8" s="134">
        <f>'FEEDER Consumption '!E12</f>
        <v>4439</v>
      </c>
      <c r="M8" s="134">
        <f>'FEEDER Consumption '!G12</f>
        <v>11271</v>
      </c>
      <c r="N8" s="134">
        <f>'FEEDER Consumption '!I12</f>
        <v>2300</v>
      </c>
      <c r="O8" s="134">
        <f>'FEEDER Consumption '!K12</f>
        <v>2797</v>
      </c>
      <c r="P8" s="134">
        <f>'FEEDER Consumption '!M12</f>
        <v>1800</v>
      </c>
      <c r="Q8" s="134">
        <f>'FEEDER Consumption '!O12</f>
        <v>426</v>
      </c>
      <c r="R8" s="134">
        <f>'FEEDER Consumption '!Q12</f>
        <v>700</v>
      </c>
      <c r="S8" s="134">
        <f>'FEEDER Consumption '!S12</f>
        <v>2000</v>
      </c>
      <c r="T8" s="134">
        <f>'FEEDER Consumption '!U12</f>
        <v>445</v>
      </c>
      <c r="U8" s="134">
        <f>'FEEDER Consumption '!W12</f>
        <v>300</v>
      </c>
      <c r="V8" s="134">
        <f>'FEEDER Consumption '!Y12</f>
        <v>300</v>
      </c>
      <c r="W8" s="134">
        <f>'FEEDER Consumption '!AA12</f>
        <v>500</v>
      </c>
      <c r="X8" s="134">
        <f>'FEEDER Consumption '!AC12</f>
        <v>130</v>
      </c>
      <c r="Y8" s="134">
        <f>'FEEDER Consumption '!AE12</f>
        <v>370</v>
      </c>
      <c r="Z8" s="134">
        <f>'FEEDER Consumption '!AG12</f>
        <v>1200</v>
      </c>
      <c r="AA8" s="134">
        <f>'FEEDER Consumption '!AI12</f>
        <v>480</v>
      </c>
      <c r="AB8" s="134">
        <f>'FEEDER Consumption '!AK12</f>
        <v>920</v>
      </c>
      <c r="AC8" s="134">
        <f>'FEEDER Consumption '!AM12</f>
        <v>860</v>
      </c>
      <c r="AD8" s="134">
        <f>'FEEDER Consumption '!AO12</f>
        <v>720</v>
      </c>
      <c r="AE8" s="134">
        <f>'FEEDER Consumption '!AQ12</f>
        <v>1100</v>
      </c>
      <c r="AF8" s="134">
        <f>'FEEDER Consumption '!AS12</f>
        <v>750</v>
      </c>
      <c r="AG8" s="134">
        <f>'FEEDER Consumption '!AU12</f>
        <v>690</v>
      </c>
      <c r="AH8" s="134">
        <f>'FEEDER Consumption '!AW12</f>
        <v>290</v>
      </c>
      <c r="AI8" s="134">
        <f>'FEEDER Consumption '!AY12</f>
        <v>150</v>
      </c>
      <c r="AJ8" s="134">
        <f>'FEEDER Consumption '!BA12</f>
        <v>970</v>
      </c>
      <c r="AK8" s="134">
        <f>'FEEDER Consumption '!BC12</f>
        <v>260</v>
      </c>
      <c r="AL8" s="134">
        <f>'FEEDER Consumption '!BE12</f>
        <v>420</v>
      </c>
      <c r="AM8" s="134">
        <f>'FEEDER Consumption '!BG12</f>
        <v>470</v>
      </c>
      <c r="AN8" s="134">
        <f>'Water Plant Daily Performance'!C10</f>
        <v>148</v>
      </c>
      <c r="AO8" s="134">
        <f>'Water Plant Daily Performance'!I10</f>
        <v>59</v>
      </c>
      <c r="AP8" s="134">
        <f>'Water Plant Daily Performance'!O10</f>
        <v>18</v>
      </c>
      <c r="AQ8" s="134">
        <f>'Water Plant Daily Performance'!U10</f>
        <v>119</v>
      </c>
      <c r="AR8" s="134">
        <f>Water!AD13</f>
        <v>0</v>
      </c>
      <c r="AS8" s="134">
        <f>Water!AH13</f>
        <v>0</v>
      </c>
      <c r="AT8" s="134">
        <f>Water!AJ13</f>
        <v>0</v>
      </c>
      <c r="AU8" s="134">
        <f>Water!AL13</f>
        <v>0</v>
      </c>
      <c r="AV8" s="134">
        <f>Water!AN13</f>
        <v>0</v>
      </c>
      <c r="AW8" s="134">
        <f>Water!AP13</f>
        <v>0</v>
      </c>
      <c r="AX8" s="134">
        <f>Water!AR13</f>
        <v>0</v>
      </c>
      <c r="AY8" s="134">
        <f>Water!AT13</f>
        <v>0</v>
      </c>
      <c r="AZ8" s="134">
        <f>Water!AT13</f>
        <v>0</v>
      </c>
      <c r="BA8" s="134">
        <f>Water!AX13</f>
        <v>0</v>
      </c>
      <c r="BB8" s="134">
        <f>Water!AZ13</f>
        <v>0</v>
      </c>
      <c r="BC8" s="134">
        <f>Water!BB13</f>
        <v>0</v>
      </c>
      <c r="BD8" s="134">
        <f>Water!BD13</f>
        <v>0</v>
      </c>
      <c r="BE8" s="134">
        <f>Water!BF13</f>
        <v>0</v>
      </c>
      <c r="BF8" s="134">
        <f>Water!BH13</f>
        <v>0</v>
      </c>
      <c r="BG8" s="134">
        <f>Water!BJ13</f>
        <v>0</v>
      </c>
      <c r="BH8" s="134">
        <f>Water!BL13</f>
        <v>0</v>
      </c>
      <c r="BI8" s="134">
        <f>Water!BP13</f>
        <v>0</v>
      </c>
      <c r="BJ8" s="134">
        <f>Water!BR13</f>
        <v>0</v>
      </c>
      <c r="BK8" s="134">
        <f>Water!BT13</f>
        <v>0</v>
      </c>
      <c r="BL8" s="134">
        <f>Water!BV13</f>
        <v>0</v>
      </c>
      <c r="BM8" s="134">
        <f>'Room Nights &amp; Food Covers'!B11</f>
        <v>61</v>
      </c>
      <c r="BN8" s="134">
        <f>'Room Nights &amp; Food Covers'!D11</f>
        <v>363</v>
      </c>
    </row>
    <row r="9" spans="1:66" ht="15.75" thickBot="1">
      <c r="A9" s="135" t="s">
        <v>16</v>
      </c>
      <c r="B9" s="135">
        <v>8</v>
      </c>
      <c r="C9" s="133">
        <f>TOTAL!C9</f>
        <v>3</v>
      </c>
      <c r="D9" s="132">
        <f>TOTAL!D9</f>
        <v>2023</v>
      </c>
      <c r="E9" s="134">
        <f>Solar!C13</f>
        <v>2975</v>
      </c>
      <c r="F9" s="134">
        <f>'Powerhouse Daily Performance'!C11</f>
        <v>5533</v>
      </c>
      <c r="G9" s="134">
        <f>'Powerhouse Daily Performance'!I11</f>
        <v>9792</v>
      </c>
      <c r="H9" s="134">
        <f>'Powerhouse Daily Performance'!O11</f>
        <v>7800</v>
      </c>
      <c r="I9" s="134">
        <f>'Powerhouse Daily Performance'!U11</f>
        <v>554</v>
      </c>
      <c r="J9" s="134">
        <f>'Powerhouse Daily Performance'!AA11</f>
        <v>4756</v>
      </c>
      <c r="K9" s="134">
        <f>'FEEDER Consumption '!C13</f>
        <v>4488</v>
      </c>
      <c r="L9" s="134">
        <f>'FEEDER Consumption '!E13</f>
        <v>5117</v>
      </c>
      <c r="M9" s="134">
        <f>'FEEDER Consumption '!G13</f>
        <v>12412</v>
      </c>
      <c r="N9" s="134">
        <f>'FEEDER Consumption '!I13</f>
        <v>2400</v>
      </c>
      <c r="O9" s="134">
        <f>'FEEDER Consumption '!K13</f>
        <v>2838</v>
      </c>
      <c r="P9" s="134">
        <f>'FEEDER Consumption '!M13</f>
        <v>1900</v>
      </c>
      <c r="Q9" s="134">
        <f>'FEEDER Consumption '!O13</f>
        <v>488</v>
      </c>
      <c r="R9" s="134">
        <f>'FEEDER Consumption '!Q13</f>
        <v>600</v>
      </c>
      <c r="S9" s="134">
        <f>'FEEDER Consumption '!S13</f>
        <v>1900</v>
      </c>
      <c r="T9" s="134">
        <f>'FEEDER Consumption '!U13</f>
        <v>547</v>
      </c>
      <c r="U9" s="134">
        <f>'FEEDER Consumption '!W13</f>
        <v>400</v>
      </c>
      <c r="V9" s="134">
        <f>'FEEDER Consumption '!Y13</f>
        <v>300</v>
      </c>
      <c r="W9" s="134">
        <f>'FEEDER Consumption '!AA13</f>
        <v>700</v>
      </c>
      <c r="X9" s="134">
        <f>'FEEDER Consumption '!AC13</f>
        <v>160</v>
      </c>
      <c r="Y9" s="134">
        <f>'FEEDER Consumption '!AE13</f>
        <v>390</v>
      </c>
      <c r="Z9" s="134">
        <f>'FEEDER Consumption '!AG13</f>
        <v>1200</v>
      </c>
      <c r="AA9" s="134">
        <f>'FEEDER Consumption '!AI13</f>
        <v>490</v>
      </c>
      <c r="AB9" s="134">
        <f>'FEEDER Consumption '!AK13</f>
        <v>1270</v>
      </c>
      <c r="AC9" s="134">
        <f>'FEEDER Consumption '!AM13</f>
        <v>1120</v>
      </c>
      <c r="AD9" s="134">
        <f>'FEEDER Consumption '!AO13</f>
        <v>1040</v>
      </c>
      <c r="AE9" s="134">
        <f>'FEEDER Consumption '!AQ13</f>
        <v>1200</v>
      </c>
      <c r="AF9" s="134">
        <f>'FEEDER Consumption '!AS13</f>
        <v>900</v>
      </c>
      <c r="AG9" s="134">
        <f>'FEEDER Consumption '!AU13</f>
        <v>760</v>
      </c>
      <c r="AH9" s="134">
        <f>'FEEDER Consumption '!AW13</f>
        <v>250</v>
      </c>
      <c r="AI9" s="134">
        <f>'FEEDER Consumption '!AY13</f>
        <v>130</v>
      </c>
      <c r="AJ9" s="134">
        <f>'FEEDER Consumption '!BA13</f>
        <v>1090</v>
      </c>
      <c r="AK9" s="134">
        <f>'FEEDER Consumption '!BC13</f>
        <v>280</v>
      </c>
      <c r="AL9" s="134">
        <f>'FEEDER Consumption '!BE13</f>
        <v>440</v>
      </c>
      <c r="AM9" s="134">
        <f>'FEEDER Consumption '!BG13</f>
        <v>490</v>
      </c>
      <c r="AN9" s="134">
        <f>'Water Plant Daily Performance'!C11</f>
        <v>176</v>
      </c>
      <c r="AO9" s="134">
        <f>'Water Plant Daily Performance'!I11</f>
        <v>29</v>
      </c>
      <c r="AP9" s="134">
        <f>'Water Plant Daily Performance'!O11</f>
        <v>58</v>
      </c>
      <c r="AQ9" s="134">
        <f>'Water Plant Daily Performance'!U11</f>
        <v>88</v>
      </c>
      <c r="AR9" s="134">
        <f>Water!AD14</f>
        <v>0</v>
      </c>
      <c r="AS9" s="134">
        <f>Water!AH14</f>
        <v>0</v>
      </c>
      <c r="AT9" s="134">
        <f>Water!AJ14</f>
        <v>0</v>
      </c>
      <c r="AU9" s="134">
        <f>Water!AL14</f>
        <v>0</v>
      </c>
      <c r="AV9" s="134">
        <f>Water!AN14</f>
        <v>0</v>
      </c>
      <c r="AW9" s="134">
        <f>Water!AP14</f>
        <v>0</v>
      </c>
      <c r="AX9" s="134">
        <f>Water!AR14</f>
        <v>0</v>
      </c>
      <c r="AY9" s="134">
        <f>Water!AT14</f>
        <v>0</v>
      </c>
      <c r="AZ9" s="134">
        <f>Water!AT14</f>
        <v>0</v>
      </c>
      <c r="BA9" s="134">
        <f>Water!AX14</f>
        <v>0</v>
      </c>
      <c r="BB9" s="134">
        <f>Water!AZ14</f>
        <v>0</v>
      </c>
      <c r="BC9" s="134">
        <f>Water!BB14</f>
        <v>0</v>
      </c>
      <c r="BD9" s="134">
        <f>Water!BD14</f>
        <v>0</v>
      </c>
      <c r="BE9" s="134">
        <f>Water!BF14</f>
        <v>0</v>
      </c>
      <c r="BF9" s="134">
        <f>Water!BH14</f>
        <v>0</v>
      </c>
      <c r="BG9" s="134">
        <f>Water!BJ14</f>
        <v>0</v>
      </c>
      <c r="BH9" s="134">
        <f>Water!BL14</f>
        <v>0</v>
      </c>
      <c r="BI9" s="134">
        <f>Water!BP14</f>
        <v>0</v>
      </c>
      <c r="BJ9" s="134">
        <f>Water!BR14</f>
        <v>0</v>
      </c>
      <c r="BK9" s="134">
        <f>Water!BT14</f>
        <v>0</v>
      </c>
      <c r="BL9" s="134">
        <f>Water!BV14</f>
        <v>0</v>
      </c>
      <c r="BM9" s="134">
        <f>'Room Nights &amp; Food Covers'!B12</f>
        <v>0</v>
      </c>
      <c r="BN9" s="134">
        <f>'Room Nights &amp; Food Covers'!D12</f>
        <v>0</v>
      </c>
    </row>
    <row r="10" spans="1:66" ht="15.75" thickBot="1">
      <c r="A10" s="135" t="s">
        <v>16</v>
      </c>
      <c r="B10" s="135">
        <v>9</v>
      </c>
      <c r="C10" s="133">
        <f>TOTAL!C10</f>
        <v>3</v>
      </c>
      <c r="D10" s="132">
        <f>TOTAL!D10</f>
        <v>2023</v>
      </c>
      <c r="E10" s="134">
        <f>Solar!C14</f>
        <v>0</v>
      </c>
      <c r="F10" s="134">
        <f>'Powerhouse Daily Performance'!C12</f>
        <v>0</v>
      </c>
      <c r="G10" s="134">
        <f>'Powerhouse Daily Performance'!I12</f>
        <v>0</v>
      </c>
      <c r="H10" s="134">
        <f>'Powerhouse Daily Performance'!O12</f>
        <v>0</v>
      </c>
      <c r="I10" s="134">
        <f>'Powerhouse Daily Performance'!U12</f>
        <v>0</v>
      </c>
      <c r="J10" s="134">
        <f>'Powerhouse Daily Performance'!AA12</f>
        <v>0</v>
      </c>
      <c r="K10" s="134">
        <f>'FEEDER Consumption '!C14</f>
        <v>0</v>
      </c>
      <c r="L10" s="134">
        <f>'FEEDER Consumption '!E14</f>
        <v>0</v>
      </c>
      <c r="M10" s="134">
        <f>'FEEDER Consumption '!G14</f>
        <v>0</v>
      </c>
      <c r="N10" s="134">
        <f>'FEEDER Consumption '!I14</f>
        <v>0</v>
      </c>
      <c r="O10" s="134">
        <f>'FEEDER Consumption '!K14</f>
        <v>0</v>
      </c>
      <c r="P10" s="134">
        <f>'FEEDER Consumption '!M14</f>
        <v>0</v>
      </c>
      <c r="Q10" s="134">
        <f>'FEEDER Consumption '!O14</f>
        <v>0</v>
      </c>
      <c r="R10" s="134">
        <f>'FEEDER Consumption '!Q14</f>
        <v>0</v>
      </c>
      <c r="S10" s="134">
        <f>'FEEDER Consumption '!S14</f>
        <v>0</v>
      </c>
      <c r="T10" s="134">
        <f>'FEEDER Consumption '!U14</f>
        <v>0</v>
      </c>
      <c r="U10" s="134">
        <f>'FEEDER Consumption '!W14</f>
        <v>0</v>
      </c>
      <c r="V10" s="134">
        <f>'FEEDER Consumption '!Y14</f>
        <v>0</v>
      </c>
      <c r="W10" s="134">
        <f>'FEEDER Consumption '!AA14</f>
        <v>0</v>
      </c>
      <c r="X10" s="134">
        <f>'FEEDER Consumption '!AC14</f>
        <v>0</v>
      </c>
      <c r="Y10" s="134">
        <f>'FEEDER Consumption '!AE14</f>
        <v>0</v>
      </c>
      <c r="Z10" s="134">
        <f>'FEEDER Consumption '!AG14</f>
        <v>0</v>
      </c>
      <c r="AA10" s="134">
        <f>'FEEDER Consumption '!AI14</f>
        <v>0</v>
      </c>
      <c r="AB10" s="134">
        <f>'FEEDER Consumption '!AK14</f>
        <v>0</v>
      </c>
      <c r="AC10" s="134">
        <f>'FEEDER Consumption '!AM14</f>
        <v>0</v>
      </c>
      <c r="AD10" s="134">
        <f>'FEEDER Consumption '!AO14</f>
        <v>0</v>
      </c>
      <c r="AE10" s="134">
        <f>'FEEDER Consumption '!AQ14</f>
        <v>0</v>
      </c>
      <c r="AF10" s="134">
        <f>'FEEDER Consumption '!AS14</f>
        <v>0</v>
      </c>
      <c r="AG10" s="134">
        <f>'FEEDER Consumption '!AU14</f>
        <v>0</v>
      </c>
      <c r="AH10" s="134">
        <f>'FEEDER Consumption '!AW14</f>
        <v>0</v>
      </c>
      <c r="AI10" s="134">
        <f>'FEEDER Consumption '!AY14</f>
        <v>0</v>
      </c>
      <c r="AJ10" s="134">
        <f>'FEEDER Consumption '!BA14</f>
        <v>0</v>
      </c>
      <c r="AK10" s="134">
        <f>'FEEDER Consumption '!BC14</f>
        <v>0</v>
      </c>
      <c r="AL10" s="134">
        <f>'FEEDER Consumption '!BE14</f>
        <v>0</v>
      </c>
      <c r="AM10" s="134">
        <f>'FEEDER Consumption '!BG14</f>
        <v>0</v>
      </c>
      <c r="AN10" s="134">
        <f>'Water Plant Daily Performance'!C12</f>
        <v>0</v>
      </c>
      <c r="AO10" s="134">
        <f>'Water Plant Daily Performance'!I12</f>
        <v>0</v>
      </c>
      <c r="AP10" s="134">
        <f>'Water Plant Daily Performance'!O12</f>
        <v>0</v>
      </c>
      <c r="AQ10" s="134">
        <f>'Water Plant Daily Performance'!U12</f>
        <v>0</v>
      </c>
      <c r="AR10" s="134">
        <f>Water!AD15</f>
        <v>0</v>
      </c>
      <c r="AS10" s="134">
        <f>Water!AH15</f>
        <v>0</v>
      </c>
      <c r="AT10" s="134">
        <f>Water!AJ15</f>
        <v>0</v>
      </c>
      <c r="AU10" s="134">
        <f>Water!AL15</f>
        <v>0</v>
      </c>
      <c r="AV10" s="134">
        <f>Water!AN15</f>
        <v>0</v>
      </c>
      <c r="AW10" s="134">
        <f>Water!AP15</f>
        <v>0</v>
      </c>
      <c r="AX10" s="134">
        <f>Water!AR15</f>
        <v>0</v>
      </c>
      <c r="AY10" s="134">
        <f>Water!AT15</f>
        <v>0</v>
      </c>
      <c r="AZ10" s="134">
        <f>Water!AT15</f>
        <v>0</v>
      </c>
      <c r="BA10" s="134">
        <f>Water!AX15</f>
        <v>0</v>
      </c>
      <c r="BB10" s="134">
        <f>Water!AZ15</f>
        <v>0</v>
      </c>
      <c r="BC10" s="134">
        <f>Water!BB15</f>
        <v>0</v>
      </c>
      <c r="BD10" s="134">
        <f>Water!BD15</f>
        <v>0</v>
      </c>
      <c r="BE10" s="134">
        <f>Water!BF15</f>
        <v>0</v>
      </c>
      <c r="BF10" s="134">
        <f>Water!BH15</f>
        <v>0</v>
      </c>
      <c r="BG10" s="134">
        <f>Water!BJ15</f>
        <v>0</v>
      </c>
      <c r="BH10" s="134">
        <f>Water!BL15</f>
        <v>0</v>
      </c>
      <c r="BI10" s="134">
        <f>Water!BP15</f>
        <v>0</v>
      </c>
      <c r="BJ10" s="134">
        <f>Water!BR15</f>
        <v>0</v>
      </c>
      <c r="BK10" s="134">
        <f>Water!BT15</f>
        <v>0</v>
      </c>
      <c r="BL10" s="134">
        <f>Water!BV15</f>
        <v>0</v>
      </c>
      <c r="BM10" s="134">
        <f>'Room Nights &amp; Food Covers'!B13</f>
        <v>0</v>
      </c>
      <c r="BN10" s="134">
        <f>'Room Nights &amp; Food Covers'!D13</f>
        <v>0</v>
      </c>
    </row>
    <row r="11" spans="1:66" ht="15.75" thickBot="1">
      <c r="A11" s="135" t="s">
        <v>16</v>
      </c>
      <c r="B11" s="135">
        <v>10</v>
      </c>
      <c r="C11" s="133">
        <f>TOTAL!C11</f>
        <v>3</v>
      </c>
      <c r="D11" s="132">
        <f>TOTAL!D11</f>
        <v>2023</v>
      </c>
      <c r="E11" s="134">
        <f>Solar!C15</f>
        <v>0</v>
      </c>
      <c r="F11" s="134">
        <f>'Powerhouse Daily Performance'!C13</f>
        <v>0</v>
      </c>
      <c r="G11" s="134">
        <f>'Powerhouse Daily Performance'!I13</f>
        <v>0</v>
      </c>
      <c r="H11" s="134">
        <f>'Powerhouse Daily Performance'!O13</f>
        <v>0</v>
      </c>
      <c r="I11" s="134">
        <f>'Powerhouse Daily Performance'!U13</f>
        <v>0</v>
      </c>
      <c r="J11" s="134">
        <f>'Powerhouse Daily Performance'!AA13</f>
        <v>0</v>
      </c>
      <c r="K11" s="134">
        <f>'FEEDER Consumption '!C15</f>
        <v>0</v>
      </c>
      <c r="L11" s="134">
        <f>'FEEDER Consumption '!E15</f>
        <v>0</v>
      </c>
      <c r="M11" s="134">
        <f>'FEEDER Consumption '!G15</f>
        <v>0</v>
      </c>
      <c r="N11" s="134">
        <f>'FEEDER Consumption '!I15</f>
        <v>0</v>
      </c>
      <c r="O11" s="134">
        <f>'FEEDER Consumption '!K15</f>
        <v>0</v>
      </c>
      <c r="P11" s="134">
        <f>'FEEDER Consumption '!M15</f>
        <v>0</v>
      </c>
      <c r="Q11" s="134">
        <f>'FEEDER Consumption '!O15</f>
        <v>0</v>
      </c>
      <c r="R11" s="134">
        <f>'FEEDER Consumption '!Q15</f>
        <v>0</v>
      </c>
      <c r="S11" s="134">
        <f>'FEEDER Consumption '!S15</f>
        <v>0</v>
      </c>
      <c r="T11" s="134">
        <f>'FEEDER Consumption '!U15</f>
        <v>0</v>
      </c>
      <c r="U11" s="134">
        <f>'FEEDER Consumption '!W15</f>
        <v>0</v>
      </c>
      <c r="V11" s="134">
        <f>'FEEDER Consumption '!Y15</f>
        <v>0</v>
      </c>
      <c r="W11" s="134">
        <f>'FEEDER Consumption '!AA15</f>
        <v>0</v>
      </c>
      <c r="X11" s="134">
        <f>'FEEDER Consumption '!AC15</f>
        <v>0</v>
      </c>
      <c r="Y11" s="134">
        <f>'FEEDER Consumption '!AE15</f>
        <v>0</v>
      </c>
      <c r="Z11" s="134">
        <f>'FEEDER Consumption '!AG15</f>
        <v>0</v>
      </c>
      <c r="AA11" s="134">
        <f>'FEEDER Consumption '!AI15</f>
        <v>0</v>
      </c>
      <c r="AB11" s="134">
        <f>'FEEDER Consumption '!AK15</f>
        <v>0</v>
      </c>
      <c r="AC11" s="134">
        <f>'FEEDER Consumption '!AM15</f>
        <v>0</v>
      </c>
      <c r="AD11" s="134">
        <f>'FEEDER Consumption '!AO15</f>
        <v>0</v>
      </c>
      <c r="AE11" s="134">
        <f>'FEEDER Consumption '!AQ15</f>
        <v>0</v>
      </c>
      <c r="AF11" s="134">
        <f>'FEEDER Consumption '!AS15</f>
        <v>0</v>
      </c>
      <c r="AG11" s="134">
        <f>'FEEDER Consumption '!AU15</f>
        <v>0</v>
      </c>
      <c r="AH11" s="134">
        <f>'FEEDER Consumption '!AW15</f>
        <v>0</v>
      </c>
      <c r="AI11" s="134">
        <f>'FEEDER Consumption '!AY15</f>
        <v>0</v>
      </c>
      <c r="AJ11" s="134">
        <f>'FEEDER Consumption '!BA15</f>
        <v>0</v>
      </c>
      <c r="AK11" s="134">
        <f>'FEEDER Consumption '!BC15</f>
        <v>0</v>
      </c>
      <c r="AL11" s="134">
        <f>'FEEDER Consumption '!BE15</f>
        <v>0</v>
      </c>
      <c r="AM11" s="134">
        <f>'FEEDER Consumption '!BG15</f>
        <v>0</v>
      </c>
      <c r="AN11" s="134">
        <f>'Water Plant Daily Performance'!C13</f>
        <v>0</v>
      </c>
      <c r="AO11" s="134">
        <f>'Water Plant Daily Performance'!I13</f>
        <v>0</v>
      </c>
      <c r="AP11" s="134">
        <f>'Water Plant Daily Performance'!O13</f>
        <v>0</v>
      </c>
      <c r="AQ11" s="134">
        <f>'Water Plant Daily Performance'!U13</f>
        <v>0</v>
      </c>
      <c r="AR11" s="134">
        <f>Water!AD16</f>
        <v>0</v>
      </c>
      <c r="AS11" s="134">
        <f>Water!AH16</f>
        <v>0</v>
      </c>
      <c r="AT11" s="134">
        <f>Water!AJ16</f>
        <v>0</v>
      </c>
      <c r="AU11" s="134">
        <f>Water!AL16</f>
        <v>0</v>
      </c>
      <c r="AV11" s="134">
        <f>Water!AN16</f>
        <v>0</v>
      </c>
      <c r="AW11" s="134">
        <f>Water!AP16</f>
        <v>0</v>
      </c>
      <c r="AX11" s="134">
        <f>Water!AR16</f>
        <v>0</v>
      </c>
      <c r="AY11" s="134">
        <f>Water!AT16</f>
        <v>0</v>
      </c>
      <c r="AZ11" s="134">
        <f>Water!AT16</f>
        <v>0</v>
      </c>
      <c r="BA11" s="134">
        <f>Water!AX16</f>
        <v>0</v>
      </c>
      <c r="BB11" s="134">
        <f>Water!AZ16</f>
        <v>0</v>
      </c>
      <c r="BC11" s="134">
        <f>Water!BB16</f>
        <v>0</v>
      </c>
      <c r="BD11" s="134">
        <f>Water!BD16</f>
        <v>0</v>
      </c>
      <c r="BE11" s="134">
        <f>Water!BF16</f>
        <v>0</v>
      </c>
      <c r="BF11" s="134">
        <f>Water!BH16</f>
        <v>0</v>
      </c>
      <c r="BG11" s="134">
        <f>Water!BJ16</f>
        <v>0</v>
      </c>
      <c r="BH11" s="134">
        <f>Water!BL16</f>
        <v>0</v>
      </c>
      <c r="BI11" s="134">
        <f>Water!BP16</f>
        <v>0</v>
      </c>
      <c r="BJ11" s="134">
        <f>Water!BR16</f>
        <v>0</v>
      </c>
      <c r="BK11" s="134">
        <f>Water!BT16</f>
        <v>0</v>
      </c>
      <c r="BL11" s="134">
        <f>Water!BV16</f>
        <v>0</v>
      </c>
      <c r="BM11" s="134">
        <f>'Room Nights &amp; Food Covers'!B14</f>
        <v>0</v>
      </c>
      <c r="BN11" s="134">
        <f>'Room Nights &amp; Food Covers'!D14</f>
        <v>0</v>
      </c>
    </row>
    <row r="12" spans="1:66" ht="15.75" thickBot="1">
      <c r="A12" s="135" t="s">
        <v>16</v>
      </c>
      <c r="B12" s="135">
        <v>11</v>
      </c>
      <c r="C12" s="133">
        <f>TOTAL!C12</f>
        <v>3</v>
      </c>
      <c r="D12" s="132">
        <f>TOTAL!D12</f>
        <v>2023</v>
      </c>
      <c r="E12" s="134">
        <f>Solar!C16</f>
        <v>0</v>
      </c>
      <c r="F12" s="134">
        <f>'Powerhouse Daily Performance'!C14</f>
        <v>0</v>
      </c>
      <c r="G12" s="134">
        <f>'Powerhouse Daily Performance'!I14</f>
        <v>0</v>
      </c>
      <c r="H12" s="134">
        <f>'Powerhouse Daily Performance'!O14</f>
        <v>0</v>
      </c>
      <c r="I12" s="134">
        <f>'Powerhouse Daily Performance'!U14</f>
        <v>0</v>
      </c>
      <c r="J12" s="134">
        <f>'Powerhouse Daily Performance'!AA14</f>
        <v>0</v>
      </c>
      <c r="K12" s="134">
        <f>'FEEDER Consumption '!C16</f>
        <v>0</v>
      </c>
      <c r="L12" s="134">
        <f>'FEEDER Consumption '!E16</f>
        <v>0</v>
      </c>
      <c r="M12" s="134">
        <f>'FEEDER Consumption '!G16</f>
        <v>0</v>
      </c>
      <c r="N12" s="134">
        <f>'FEEDER Consumption '!I16</f>
        <v>0</v>
      </c>
      <c r="O12" s="134">
        <f>'FEEDER Consumption '!K16</f>
        <v>0</v>
      </c>
      <c r="P12" s="134">
        <f>'FEEDER Consumption '!M16</f>
        <v>0</v>
      </c>
      <c r="Q12" s="134">
        <f>'FEEDER Consumption '!O16</f>
        <v>0</v>
      </c>
      <c r="R12" s="134">
        <f>'FEEDER Consumption '!Q16</f>
        <v>0</v>
      </c>
      <c r="S12" s="134">
        <f>'FEEDER Consumption '!S16</f>
        <v>0</v>
      </c>
      <c r="T12" s="134">
        <f>'FEEDER Consumption '!U16</f>
        <v>0</v>
      </c>
      <c r="U12" s="134">
        <f>'FEEDER Consumption '!W16</f>
        <v>0</v>
      </c>
      <c r="V12" s="134">
        <f>'FEEDER Consumption '!Y16</f>
        <v>0</v>
      </c>
      <c r="W12" s="134">
        <f>'FEEDER Consumption '!AA16</f>
        <v>0</v>
      </c>
      <c r="X12" s="134">
        <f>'FEEDER Consumption '!AC16</f>
        <v>0</v>
      </c>
      <c r="Y12" s="134">
        <f>'FEEDER Consumption '!AE16</f>
        <v>0</v>
      </c>
      <c r="Z12" s="134">
        <f>'FEEDER Consumption '!AG16</f>
        <v>0</v>
      </c>
      <c r="AA12" s="134">
        <f>'FEEDER Consumption '!AI16</f>
        <v>0</v>
      </c>
      <c r="AB12" s="134">
        <f>'FEEDER Consumption '!AK16</f>
        <v>0</v>
      </c>
      <c r="AC12" s="134">
        <f>'FEEDER Consumption '!AM16</f>
        <v>0</v>
      </c>
      <c r="AD12" s="134">
        <f>'FEEDER Consumption '!AO16</f>
        <v>0</v>
      </c>
      <c r="AE12" s="134">
        <f>'FEEDER Consumption '!AQ16</f>
        <v>0</v>
      </c>
      <c r="AF12" s="134">
        <f>'FEEDER Consumption '!AS16</f>
        <v>0</v>
      </c>
      <c r="AG12" s="134">
        <f>'FEEDER Consumption '!AU16</f>
        <v>0</v>
      </c>
      <c r="AH12" s="134">
        <f>'FEEDER Consumption '!AW16</f>
        <v>0</v>
      </c>
      <c r="AI12" s="134">
        <f>'FEEDER Consumption '!AY16</f>
        <v>0</v>
      </c>
      <c r="AJ12" s="134">
        <f>'FEEDER Consumption '!BA16</f>
        <v>0</v>
      </c>
      <c r="AK12" s="134">
        <f>'FEEDER Consumption '!BC16</f>
        <v>0</v>
      </c>
      <c r="AL12" s="134">
        <f>'FEEDER Consumption '!BE16</f>
        <v>0</v>
      </c>
      <c r="AM12" s="134">
        <f>'FEEDER Consumption '!BG16</f>
        <v>0</v>
      </c>
      <c r="AN12" s="134">
        <f>'Water Plant Daily Performance'!C14</f>
        <v>0</v>
      </c>
      <c r="AO12" s="134">
        <f>'Water Plant Daily Performance'!I14</f>
        <v>0</v>
      </c>
      <c r="AP12" s="134">
        <f>'Water Plant Daily Performance'!O14</f>
        <v>0</v>
      </c>
      <c r="AQ12" s="134">
        <f>'Water Plant Daily Performance'!U14</f>
        <v>0</v>
      </c>
      <c r="AR12" s="134">
        <f>Water!AD17</f>
        <v>0</v>
      </c>
      <c r="AS12" s="134">
        <f>Water!AH17</f>
        <v>0</v>
      </c>
      <c r="AT12" s="134">
        <f>Water!AJ17</f>
        <v>0</v>
      </c>
      <c r="AU12" s="134">
        <f>Water!AL17</f>
        <v>0</v>
      </c>
      <c r="AV12" s="134">
        <f>Water!AN17</f>
        <v>0</v>
      </c>
      <c r="AW12" s="134">
        <f>Water!AP17</f>
        <v>0</v>
      </c>
      <c r="AX12" s="134">
        <f>Water!AR17</f>
        <v>0</v>
      </c>
      <c r="AY12" s="134">
        <f>Water!AT17</f>
        <v>0</v>
      </c>
      <c r="AZ12" s="134">
        <f>Water!AT17</f>
        <v>0</v>
      </c>
      <c r="BA12" s="134">
        <f>Water!AX17</f>
        <v>0</v>
      </c>
      <c r="BB12" s="134">
        <f>Water!AZ17</f>
        <v>0</v>
      </c>
      <c r="BC12" s="134">
        <f>Water!BB17</f>
        <v>0</v>
      </c>
      <c r="BD12" s="134">
        <f>Water!BD17</f>
        <v>0</v>
      </c>
      <c r="BE12" s="134">
        <f>Water!BF17</f>
        <v>0</v>
      </c>
      <c r="BF12" s="134">
        <f>Water!BH17</f>
        <v>0</v>
      </c>
      <c r="BG12" s="134">
        <f>Water!BJ17</f>
        <v>0</v>
      </c>
      <c r="BH12" s="134">
        <f>Water!BL17</f>
        <v>0</v>
      </c>
      <c r="BI12" s="134">
        <f>Water!BP17</f>
        <v>0</v>
      </c>
      <c r="BJ12" s="134">
        <f>Water!BR17</f>
        <v>0</v>
      </c>
      <c r="BK12" s="134">
        <f>Water!BT17</f>
        <v>0</v>
      </c>
      <c r="BL12" s="134">
        <f>Water!BV17</f>
        <v>0</v>
      </c>
      <c r="BM12" s="134">
        <f>'Room Nights &amp; Food Covers'!B15</f>
        <v>0</v>
      </c>
      <c r="BN12" s="134">
        <f>'Room Nights &amp; Food Covers'!D15</f>
        <v>0</v>
      </c>
    </row>
    <row r="13" spans="1:66" ht="15.75" thickBot="1">
      <c r="A13" s="135" t="s">
        <v>16</v>
      </c>
      <c r="B13" s="135">
        <v>12</v>
      </c>
      <c r="C13" s="133">
        <f>TOTAL!C13</f>
        <v>3</v>
      </c>
      <c r="D13" s="132">
        <f>TOTAL!D13</f>
        <v>2023</v>
      </c>
      <c r="E13" s="134">
        <f>Solar!C17</f>
        <v>0</v>
      </c>
      <c r="F13" s="134">
        <f>'Powerhouse Daily Performance'!C15</f>
        <v>0</v>
      </c>
      <c r="G13" s="134">
        <f>'Powerhouse Daily Performance'!I15</f>
        <v>0</v>
      </c>
      <c r="H13" s="134">
        <f>'Powerhouse Daily Performance'!O15</f>
        <v>0</v>
      </c>
      <c r="I13" s="134">
        <f>'Powerhouse Daily Performance'!U15</f>
        <v>0</v>
      </c>
      <c r="J13" s="134">
        <f>'Powerhouse Daily Performance'!AA15</f>
        <v>0</v>
      </c>
      <c r="K13" s="134">
        <f>'FEEDER Consumption '!C17</f>
        <v>0</v>
      </c>
      <c r="L13" s="134">
        <f>'FEEDER Consumption '!E17</f>
        <v>0</v>
      </c>
      <c r="M13" s="134">
        <f>'FEEDER Consumption '!G17</f>
        <v>0</v>
      </c>
      <c r="N13" s="134">
        <f>'FEEDER Consumption '!I17</f>
        <v>0</v>
      </c>
      <c r="O13" s="134">
        <f>'FEEDER Consumption '!K17</f>
        <v>0</v>
      </c>
      <c r="P13" s="134">
        <f>'FEEDER Consumption '!M17</f>
        <v>0</v>
      </c>
      <c r="Q13" s="134">
        <f>'FEEDER Consumption '!O17</f>
        <v>0</v>
      </c>
      <c r="R13" s="134">
        <f>'FEEDER Consumption '!Q17</f>
        <v>0</v>
      </c>
      <c r="S13" s="134">
        <f>'FEEDER Consumption '!S17</f>
        <v>0</v>
      </c>
      <c r="T13" s="134">
        <f>'FEEDER Consumption '!U17</f>
        <v>0</v>
      </c>
      <c r="U13" s="134">
        <f>'FEEDER Consumption '!W17</f>
        <v>0</v>
      </c>
      <c r="V13" s="134">
        <f>'FEEDER Consumption '!Y17</f>
        <v>0</v>
      </c>
      <c r="W13" s="134">
        <f>'FEEDER Consumption '!AA17</f>
        <v>0</v>
      </c>
      <c r="X13" s="134">
        <f>'FEEDER Consumption '!AC17</f>
        <v>0</v>
      </c>
      <c r="Y13" s="134">
        <f>'FEEDER Consumption '!AE17</f>
        <v>0</v>
      </c>
      <c r="Z13" s="134">
        <f>'FEEDER Consumption '!AG17</f>
        <v>0</v>
      </c>
      <c r="AA13" s="134">
        <f>'FEEDER Consumption '!AI17</f>
        <v>0</v>
      </c>
      <c r="AB13" s="134">
        <f>'FEEDER Consumption '!AK17</f>
        <v>0</v>
      </c>
      <c r="AC13" s="134">
        <f>'FEEDER Consumption '!AM17</f>
        <v>0</v>
      </c>
      <c r="AD13" s="134">
        <f>'FEEDER Consumption '!AO17</f>
        <v>0</v>
      </c>
      <c r="AE13" s="134">
        <f>'FEEDER Consumption '!AQ17</f>
        <v>0</v>
      </c>
      <c r="AF13" s="134">
        <f>'FEEDER Consumption '!AS17</f>
        <v>0</v>
      </c>
      <c r="AG13" s="134">
        <f>'FEEDER Consumption '!AU17</f>
        <v>0</v>
      </c>
      <c r="AH13" s="134">
        <f>'FEEDER Consumption '!AW17</f>
        <v>0</v>
      </c>
      <c r="AI13" s="134">
        <f>'FEEDER Consumption '!AY17</f>
        <v>0</v>
      </c>
      <c r="AJ13" s="134">
        <f>'FEEDER Consumption '!BA17</f>
        <v>0</v>
      </c>
      <c r="AK13" s="134">
        <f>'FEEDER Consumption '!BC17</f>
        <v>0</v>
      </c>
      <c r="AL13" s="134">
        <f>'FEEDER Consumption '!BE17</f>
        <v>0</v>
      </c>
      <c r="AM13" s="134">
        <f>'FEEDER Consumption '!BG17</f>
        <v>0</v>
      </c>
      <c r="AN13" s="134">
        <f>'Water Plant Daily Performance'!C15</f>
        <v>0</v>
      </c>
      <c r="AO13" s="134">
        <f>'Water Plant Daily Performance'!I15</f>
        <v>0</v>
      </c>
      <c r="AP13" s="134">
        <f>'Water Plant Daily Performance'!O15</f>
        <v>0</v>
      </c>
      <c r="AQ13" s="134">
        <f>'Water Plant Daily Performance'!U15</f>
        <v>0</v>
      </c>
      <c r="AR13" s="134">
        <f>Water!AD18</f>
        <v>0</v>
      </c>
      <c r="AS13" s="134">
        <f>Water!AH18</f>
        <v>0</v>
      </c>
      <c r="AT13" s="134">
        <f>Water!AJ18</f>
        <v>0</v>
      </c>
      <c r="AU13" s="134">
        <f>Water!AL18</f>
        <v>0</v>
      </c>
      <c r="AV13" s="134">
        <f>Water!AN18</f>
        <v>0</v>
      </c>
      <c r="AW13" s="134">
        <f>Water!AP18</f>
        <v>0</v>
      </c>
      <c r="AX13" s="134">
        <f>Water!AR18</f>
        <v>0</v>
      </c>
      <c r="AY13" s="134">
        <f>Water!AT18</f>
        <v>0</v>
      </c>
      <c r="AZ13" s="134">
        <f>Water!AT18</f>
        <v>0</v>
      </c>
      <c r="BA13" s="134">
        <f>Water!AX18</f>
        <v>0</v>
      </c>
      <c r="BB13" s="134">
        <f>Water!AZ18</f>
        <v>0</v>
      </c>
      <c r="BC13" s="134">
        <f>Water!BB18</f>
        <v>0</v>
      </c>
      <c r="BD13" s="134">
        <f>Water!BD18</f>
        <v>0</v>
      </c>
      <c r="BE13" s="134">
        <f>Water!BF18</f>
        <v>0</v>
      </c>
      <c r="BF13" s="134">
        <f>Water!BH18</f>
        <v>0</v>
      </c>
      <c r="BG13" s="134">
        <f>Water!BJ18</f>
        <v>0</v>
      </c>
      <c r="BH13" s="134">
        <f>Water!BL18</f>
        <v>0</v>
      </c>
      <c r="BI13" s="134">
        <f>Water!BP18</f>
        <v>0</v>
      </c>
      <c r="BJ13" s="134">
        <f>Water!BR18</f>
        <v>0</v>
      </c>
      <c r="BK13" s="134">
        <f>Water!BT18</f>
        <v>0</v>
      </c>
      <c r="BL13" s="134">
        <f>Water!BV18</f>
        <v>0</v>
      </c>
      <c r="BM13" s="134">
        <f>'Room Nights &amp; Food Covers'!B16</f>
        <v>0</v>
      </c>
      <c r="BN13" s="134">
        <f>'Room Nights &amp; Food Covers'!D16</f>
        <v>0</v>
      </c>
    </row>
    <row r="14" spans="1:66" ht="15.75" thickBot="1">
      <c r="A14" s="135" t="s">
        <v>16</v>
      </c>
      <c r="B14" s="135">
        <v>13</v>
      </c>
      <c r="C14" s="133">
        <f>TOTAL!C14</f>
        <v>3</v>
      </c>
      <c r="D14" s="132">
        <f>TOTAL!D14</f>
        <v>2023</v>
      </c>
      <c r="E14" s="134">
        <f>Solar!C18</f>
        <v>0</v>
      </c>
      <c r="F14" s="134">
        <f>'Powerhouse Daily Performance'!C16</f>
        <v>0</v>
      </c>
      <c r="G14" s="134">
        <f>'Powerhouse Daily Performance'!I16</f>
        <v>0</v>
      </c>
      <c r="H14" s="134">
        <f>'Powerhouse Daily Performance'!O16</f>
        <v>0</v>
      </c>
      <c r="I14" s="134">
        <f>'Powerhouse Daily Performance'!U16</f>
        <v>0</v>
      </c>
      <c r="J14" s="134">
        <f>'Powerhouse Daily Performance'!AA16</f>
        <v>0</v>
      </c>
      <c r="K14" s="134">
        <f>'FEEDER Consumption '!C18</f>
        <v>0</v>
      </c>
      <c r="L14" s="134">
        <f>'FEEDER Consumption '!E18</f>
        <v>0</v>
      </c>
      <c r="M14" s="134">
        <f>'FEEDER Consumption '!G18</f>
        <v>0</v>
      </c>
      <c r="N14" s="134">
        <f>'FEEDER Consumption '!I18</f>
        <v>0</v>
      </c>
      <c r="O14" s="134">
        <f>'FEEDER Consumption '!K18</f>
        <v>0</v>
      </c>
      <c r="P14" s="134">
        <f>'FEEDER Consumption '!M18</f>
        <v>0</v>
      </c>
      <c r="Q14" s="134">
        <f>'FEEDER Consumption '!O18</f>
        <v>0</v>
      </c>
      <c r="R14" s="134">
        <f>'FEEDER Consumption '!Q18</f>
        <v>0</v>
      </c>
      <c r="S14" s="134">
        <f>'FEEDER Consumption '!S18</f>
        <v>0</v>
      </c>
      <c r="T14" s="134">
        <f>'FEEDER Consumption '!U18</f>
        <v>0</v>
      </c>
      <c r="U14" s="134">
        <f>'FEEDER Consumption '!W18</f>
        <v>0</v>
      </c>
      <c r="V14" s="134">
        <f>'FEEDER Consumption '!Y18</f>
        <v>0</v>
      </c>
      <c r="W14" s="134">
        <f>'FEEDER Consumption '!AA18</f>
        <v>0</v>
      </c>
      <c r="X14" s="134">
        <f>'FEEDER Consumption '!AC18</f>
        <v>0</v>
      </c>
      <c r="Y14" s="134">
        <f>'FEEDER Consumption '!AE18</f>
        <v>0</v>
      </c>
      <c r="Z14" s="134">
        <f>'FEEDER Consumption '!AG18</f>
        <v>0</v>
      </c>
      <c r="AA14" s="134">
        <f>'FEEDER Consumption '!AI18</f>
        <v>0</v>
      </c>
      <c r="AB14" s="134">
        <f>'FEEDER Consumption '!AK18</f>
        <v>0</v>
      </c>
      <c r="AC14" s="134">
        <f>'FEEDER Consumption '!AM18</f>
        <v>0</v>
      </c>
      <c r="AD14" s="134">
        <f>'FEEDER Consumption '!AO18</f>
        <v>0</v>
      </c>
      <c r="AE14" s="134">
        <f>'FEEDER Consumption '!AQ18</f>
        <v>0</v>
      </c>
      <c r="AF14" s="134">
        <f>'FEEDER Consumption '!AS18</f>
        <v>0</v>
      </c>
      <c r="AG14" s="134">
        <f>'FEEDER Consumption '!AU18</f>
        <v>0</v>
      </c>
      <c r="AH14" s="134">
        <f>'FEEDER Consumption '!AW18</f>
        <v>0</v>
      </c>
      <c r="AI14" s="134">
        <f>'FEEDER Consumption '!AY18</f>
        <v>0</v>
      </c>
      <c r="AJ14" s="134">
        <f>'FEEDER Consumption '!BA18</f>
        <v>0</v>
      </c>
      <c r="AK14" s="134">
        <f>'FEEDER Consumption '!BC18</f>
        <v>0</v>
      </c>
      <c r="AL14" s="134">
        <f>'FEEDER Consumption '!BE18</f>
        <v>0</v>
      </c>
      <c r="AM14" s="134">
        <f>'FEEDER Consumption '!BG18</f>
        <v>0</v>
      </c>
      <c r="AN14" s="134">
        <f>'Water Plant Daily Performance'!C16</f>
        <v>0</v>
      </c>
      <c r="AO14" s="134">
        <f>'Water Plant Daily Performance'!I16</f>
        <v>0</v>
      </c>
      <c r="AP14" s="134">
        <f>'Water Plant Daily Performance'!O16</f>
        <v>0</v>
      </c>
      <c r="AQ14" s="134">
        <f>'Water Plant Daily Performance'!U16</f>
        <v>0</v>
      </c>
      <c r="AR14" s="134">
        <f>Water!AD19</f>
        <v>0</v>
      </c>
      <c r="AS14" s="134">
        <f>Water!AH19</f>
        <v>0</v>
      </c>
      <c r="AT14" s="134">
        <f>Water!AJ19</f>
        <v>0</v>
      </c>
      <c r="AU14" s="134">
        <f>Water!AL19</f>
        <v>0</v>
      </c>
      <c r="AV14" s="134">
        <f>Water!AN19</f>
        <v>0</v>
      </c>
      <c r="AW14" s="134">
        <f>Water!AP19</f>
        <v>0</v>
      </c>
      <c r="AX14" s="134">
        <f>Water!AR19</f>
        <v>0</v>
      </c>
      <c r="AY14" s="134">
        <f>Water!AT19</f>
        <v>0</v>
      </c>
      <c r="AZ14" s="134">
        <f>Water!AT19</f>
        <v>0</v>
      </c>
      <c r="BA14" s="134">
        <f>Water!AX19</f>
        <v>0</v>
      </c>
      <c r="BB14" s="134">
        <f>Water!AZ19</f>
        <v>0</v>
      </c>
      <c r="BC14" s="134">
        <f>Water!BB19</f>
        <v>0</v>
      </c>
      <c r="BD14" s="134">
        <f>Water!BD19</f>
        <v>0</v>
      </c>
      <c r="BE14" s="134">
        <f>Water!BF19</f>
        <v>0</v>
      </c>
      <c r="BF14" s="134">
        <f>Water!BH19</f>
        <v>0</v>
      </c>
      <c r="BG14" s="134">
        <f>Water!BJ19</f>
        <v>0</v>
      </c>
      <c r="BH14" s="134">
        <f>Water!BL19</f>
        <v>0</v>
      </c>
      <c r="BI14" s="134">
        <f>Water!BP19</f>
        <v>0</v>
      </c>
      <c r="BJ14" s="134">
        <f>Water!BR19</f>
        <v>0</v>
      </c>
      <c r="BK14" s="134">
        <f>Water!BT19</f>
        <v>0</v>
      </c>
      <c r="BL14" s="134">
        <f>Water!BV19</f>
        <v>0</v>
      </c>
      <c r="BM14" s="134">
        <f>'Room Nights &amp; Food Covers'!B17</f>
        <v>0</v>
      </c>
      <c r="BN14" s="134">
        <f>'Room Nights &amp; Food Covers'!D17</f>
        <v>0</v>
      </c>
    </row>
    <row r="15" spans="1:66" ht="15.75" thickBot="1">
      <c r="A15" s="135" t="s">
        <v>16</v>
      </c>
      <c r="B15" s="135">
        <v>14</v>
      </c>
      <c r="C15" s="133">
        <f>TOTAL!C15</f>
        <v>3</v>
      </c>
      <c r="D15" s="132">
        <f>TOTAL!D15</f>
        <v>2023</v>
      </c>
      <c r="E15" s="134">
        <f>Solar!C19</f>
        <v>0</v>
      </c>
      <c r="F15" s="134">
        <f>'Powerhouse Daily Performance'!C17</f>
        <v>0</v>
      </c>
      <c r="G15" s="134">
        <f>'Powerhouse Daily Performance'!I17</f>
        <v>0</v>
      </c>
      <c r="H15" s="134">
        <f>'Powerhouse Daily Performance'!O17</f>
        <v>0</v>
      </c>
      <c r="I15" s="134">
        <f>'Powerhouse Daily Performance'!U17</f>
        <v>0</v>
      </c>
      <c r="J15" s="134">
        <f>'Powerhouse Daily Performance'!AA17</f>
        <v>0</v>
      </c>
      <c r="K15" s="134">
        <f>'FEEDER Consumption '!C19</f>
        <v>0</v>
      </c>
      <c r="L15" s="134">
        <f>'FEEDER Consumption '!E19</f>
        <v>0</v>
      </c>
      <c r="M15" s="134">
        <f>'FEEDER Consumption '!G19</f>
        <v>0</v>
      </c>
      <c r="N15" s="134">
        <f>'FEEDER Consumption '!I19</f>
        <v>0</v>
      </c>
      <c r="O15" s="134">
        <f>'FEEDER Consumption '!K19</f>
        <v>0</v>
      </c>
      <c r="P15" s="134">
        <f>'FEEDER Consumption '!M19</f>
        <v>0</v>
      </c>
      <c r="Q15" s="134">
        <f>'FEEDER Consumption '!O19</f>
        <v>0</v>
      </c>
      <c r="R15" s="134">
        <f>'FEEDER Consumption '!Q19</f>
        <v>0</v>
      </c>
      <c r="S15" s="134">
        <f>'FEEDER Consumption '!S19</f>
        <v>0</v>
      </c>
      <c r="T15" s="134">
        <f>'FEEDER Consumption '!U19</f>
        <v>0</v>
      </c>
      <c r="U15" s="134">
        <f>'FEEDER Consumption '!W19</f>
        <v>0</v>
      </c>
      <c r="V15" s="134">
        <f>'FEEDER Consumption '!Y19</f>
        <v>0</v>
      </c>
      <c r="W15" s="134">
        <f>'FEEDER Consumption '!AA19</f>
        <v>0</v>
      </c>
      <c r="X15" s="134">
        <f>'FEEDER Consumption '!AC19</f>
        <v>0</v>
      </c>
      <c r="Y15" s="134">
        <f>'FEEDER Consumption '!AE19</f>
        <v>0</v>
      </c>
      <c r="Z15" s="134">
        <f>'FEEDER Consumption '!AG19</f>
        <v>0</v>
      </c>
      <c r="AA15" s="134">
        <f>'FEEDER Consumption '!AI19</f>
        <v>0</v>
      </c>
      <c r="AB15" s="134">
        <f>'FEEDER Consumption '!AK19</f>
        <v>0</v>
      </c>
      <c r="AC15" s="134">
        <f>'FEEDER Consumption '!AM19</f>
        <v>0</v>
      </c>
      <c r="AD15" s="134">
        <f>'FEEDER Consumption '!AO19</f>
        <v>0</v>
      </c>
      <c r="AE15" s="134">
        <f>'FEEDER Consumption '!AQ19</f>
        <v>0</v>
      </c>
      <c r="AF15" s="134">
        <f>'FEEDER Consumption '!AS19</f>
        <v>0</v>
      </c>
      <c r="AG15" s="134">
        <f>'FEEDER Consumption '!AU19</f>
        <v>0</v>
      </c>
      <c r="AH15" s="134">
        <f>'FEEDER Consumption '!AW19</f>
        <v>0</v>
      </c>
      <c r="AI15" s="134">
        <f>'FEEDER Consumption '!AY19</f>
        <v>0</v>
      </c>
      <c r="AJ15" s="134">
        <f>'FEEDER Consumption '!BA19</f>
        <v>0</v>
      </c>
      <c r="AK15" s="134">
        <f>'FEEDER Consumption '!BC19</f>
        <v>0</v>
      </c>
      <c r="AL15" s="134">
        <f>'FEEDER Consumption '!BE19</f>
        <v>0</v>
      </c>
      <c r="AM15" s="134">
        <f>'FEEDER Consumption '!BG19</f>
        <v>0</v>
      </c>
      <c r="AN15" s="134">
        <f>'Water Plant Daily Performance'!C17</f>
        <v>0</v>
      </c>
      <c r="AO15" s="134">
        <f>'Water Plant Daily Performance'!I17</f>
        <v>0</v>
      </c>
      <c r="AP15" s="134">
        <f>'Water Plant Daily Performance'!O17</f>
        <v>0</v>
      </c>
      <c r="AQ15" s="134">
        <f>'Water Plant Daily Performance'!U17</f>
        <v>0</v>
      </c>
      <c r="AR15" s="134">
        <f>Water!AD20</f>
        <v>0</v>
      </c>
      <c r="AS15" s="134">
        <f>Water!AH20</f>
        <v>0</v>
      </c>
      <c r="AT15" s="134">
        <f>Water!AJ20</f>
        <v>0</v>
      </c>
      <c r="AU15" s="134">
        <f>Water!AL20</f>
        <v>0</v>
      </c>
      <c r="AV15" s="134">
        <f>Water!AN20</f>
        <v>0</v>
      </c>
      <c r="AW15" s="134">
        <f>Water!AP20</f>
        <v>0</v>
      </c>
      <c r="AX15" s="134">
        <f>Water!AR20</f>
        <v>0</v>
      </c>
      <c r="AY15" s="134">
        <f>Water!AT20</f>
        <v>0</v>
      </c>
      <c r="AZ15" s="134">
        <f>Water!AT20</f>
        <v>0</v>
      </c>
      <c r="BA15" s="134">
        <f>Water!AX20</f>
        <v>0</v>
      </c>
      <c r="BB15" s="134">
        <f>Water!AZ20</f>
        <v>0</v>
      </c>
      <c r="BC15" s="134">
        <f>Water!BB20</f>
        <v>0</v>
      </c>
      <c r="BD15" s="134">
        <f>Water!BD20</f>
        <v>0</v>
      </c>
      <c r="BE15" s="134">
        <f>Water!BF20</f>
        <v>0</v>
      </c>
      <c r="BF15" s="134">
        <f>Water!BH20</f>
        <v>0</v>
      </c>
      <c r="BG15" s="134">
        <f>Water!BJ20</f>
        <v>0</v>
      </c>
      <c r="BH15" s="134">
        <f>Water!BL20</f>
        <v>0</v>
      </c>
      <c r="BI15" s="134">
        <f>Water!BP20</f>
        <v>0</v>
      </c>
      <c r="BJ15" s="134">
        <f>Water!BR20</f>
        <v>0</v>
      </c>
      <c r="BK15" s="134">
        <f>Water!BT20</f>
        <v>0</v>
      </c>
      <c r="BL15" s="134">
        <f>Water!BV20</f>
        <v>0</v>
      </c>
      <c r="BM15" s="134">
        <f>'Room Nights &amp; Food Covers'!B18</f>
        <v>0</v>
      </c>
      <c r="BN15" s="134">
        <f>'Room Nights &amp; Food Covers'!D18</f>
        <v>0</v>
      </c>
    </row>
    <row r="16" spans="1:66" ht="15.75" thickBot="1">
      <c r="A16" s="135" t="s">
        <v>16</v>
      </c>
      <c r="B16" s="135">
        <v>15</v>
      </c>
      <c r="C16" s="133">
        <f>TOTAL!C16</f>
        <v>3</v>
      </c>
      <c r="D16" s="132">
        <f>TOTAL!D16</f>
        <v>2023</v>
      </c>
      <c r="E16" s="134">
        <f>Solar!C20</f>
        <v>0</v>
      </c>
      <c r="F16" s="134">
        <f>'Powerhouse Daily Performance'!C18</f>
        <v>0</v>
      </c>
      <c r="G16" s="134">
        <f>'Powerhouse Daily Performance'!I18</f>
        <v>0</v>
      </c>
      <c r="H16" s="134">
        <f>'Powerhouse Daily Performance'!O18</f>
        <v>0</v>
      </c>
      <c r="I16" s="134">
        <f>'Powerhouse Daily Performance'!U18</f>
        <v>0</v>
      </c>
      <c r="J16" s="134">
        <f>'Powerhouse Daily Performance'!AA18</f>
        <v>0</v>
      </c>
      <c r="K16" s="134">
        <f>'FEEDER Consumption '!C20</f>
        <v>0</v>
      </c>
      <c r="L16" s="134">
        <f>'FEEDER Consumption '!E20</f>
        <v>0</v>
      </c>
      <c r="M16" s="134">
        <f>'FEEDER Consumption '!G20</f>
        <v>0</v>
      </c>
      <c r="N16" s="134">
        <f>'FEEDER Consumption '!I20</f>
        <v>0</v>
      </c>
      <c r="O16" s="134">
        <f>'FEEDER Consumption '!K20</f>
        <v>0</v>
      </c>
      <c r="P16" s="134">
        <f>'FEEDER Consumption '!M20</f>
        <v>0</v>
      </c>
      <c r="Q16" s="134">
        <f>'FEEDER Consumption '!O20</f>
        <v>0</v>
      </c>
      <c r="R16" s="134">
        <f>'FEEDER Consumption '!Q20</f>
        <v>0</v>
      </c>
      <c r="S16" s="134">
        <f>'FEEDER Consumption '!S20</f>
        <v>0</v>
      </c>
      <c r="T16" s="134">
        <f>'FEEDER Consumption '!U20</f>
        <v>0</v>
      </c>
      <c r="U16" s="134">
        <f>'FEEDER Consumption '!W20</f>
        <v>0</v>
      </c>
      <c r="V16" s="134">
        <f>'FEEDER Consumption '!Y20</f>
        <v>0</v>
      </c>
      <c r="W16" s="134">
        <f>'FEEDER Consumption '!AA20</f>
        <v>0</v>
      </c>
      <c r="X16" s="134">
        <f>'FEEDER Consumption '!AC20</f>
        <v>0</v>
      </c>
      <c r="Y16" s="134">
        <f>'FEEDER Consumption '!AE20</f>
        <v>0</v>
      </c>
      <c r="Z16" s="134">
        <f>'FEEDER Consumption '!AG20</f>
        <v>0</v>
      </c>
      <c r="AA16" s="134">
        <f>'FEEDER Consumption '!AI20</f>
        <v>0</v>
      </c>
      <c r="AB16" s="134">
        <f>'FEEDER Consumption '!AK20</f>
        <v>0</v>
      </c>
      <c r="AC16" s="134">
        <f>'FEEDER Consumption '!AM20</f>
        <v>0</v>
      </c>
      <c r="AD16" s="134">
        <f>'FEEDER Consumption '!AO20</f>
        <v>0</v>
      </c>
      <c r="AE16" s="134">
        <f>'FEEDER Consumption '!AQ20</f>
        <v>0</v>
      </c>
      <c r="AF16" s="134">
        <f>'FEEDER Consumption '!AS20</f>
        <v>0</v>
      </c>
      <c r="AG16" s="134">
        <f>'FEEDER Consumption '!AU20</f>
        <v>0</v>
      </c>
      <c r="AH16" s="134">
        <f>'FEEDER Consumption '!AW20</f>
        <v>0</v>
      </c>
      <c r="AI16" s="134">
        <f>'FEEDER Consumption '!AY20</f>
        <v>0</v>
      </c>
      <c r="AJ16" s="134">
        <f>'FEEDER Consumption '!BA20</f>
        <v>0</v>
      </c>
      <c r="AK16" s="134">
        <f>'FEEDER Consumption '!BC20</f>
        <v>0</v>
      </c>
      <c r="AL16" s="134">
        <f>'FEEDER Consumption '!BE20</f>
        <v>0</v>
      </c>
      <c r="AM16" s="134">
        <f>'FEEDER Consumption '!BG20</f>
        <v>0</v>
      </c>
      <c r="AN16" s="134">
        <f>'Water Plant Daily Performance'!C18</f>
        <v>0</v>
      </c>
      <c r="AO16" s="134">
        <f>'Water Plant Daily Performance'!I18</f>
        <v>0</v>
      </c>
      <c r="AP16" s="134">
        <f>'Water Plant Daily Performance'!O18</f>
        <v>0</v>
      </c>
      <c r="AQ16" s="134">
        <f>'Water Plant Daily Performance'!U18</f>
        <v>0</v>
      </c>
      <c r="AR16" s="134">
        <f>Water!AD21</f>
        <v>0</v>
      </c>
      <c r="AS16" s="134">
        <f>Water!AH21</f>
        <v>0</v>
      </c>
      <c r="AT16" s="134">
        <f>Water!AJ21</f>
        <v>0</v>
      </c>
      <c r="AU16" s="134">
        <f>Water!AL21</f>
        <v>0</v>
      </c>
      <c r="AV16" s="134">
        <f>Water!AN21</f>
        <v>0</v>
      </c>
      <c r="AW16" s="134">
        <f>Water!AP21</f>
        <v>0</v>
      </c>
      <c r="AX16" s="134">
        <f>Water!AR21</f>
        <v>0</v>
      </c>
      <c r="AY16" s="134">
        <f>Water!AT21</f>
        <v>0</v>
      </c>
      <c r="AZ16" s="134">
        <f>Water!AT21</f>
        <v>0</v>
      </c>
      <c r="BA16" s="134">
        <f>Water!AX21</f>
        <v>0</v>
      </c>
      <c r="BB16" s="134">
        <f>Water!AZ21</f>
        <v>0</v>
      </c>
      <c r="BC16" s="134">
        <f>Water!BB21</f>
        <v>0</v>
      </c>
      <c r="BD16" s="134">
        <f>Water!BD21</f>
        <v>0</v>
      </c>
      <c r="BE16" s="134">
        <f>Water!BF21</f>
        <v>0</v>
      </c>
      <c r="BF16" s="134">
        <f>Water!BH21</f>
        <v>0</v>
      </c>
      <c r="BG16" s="134">
        <f>Water!BJ21</f>
        <v>0</v>
      </c>
      <c r="BH16" s="134">
        <f>Water!BL21</f>
        <v>0</v>
      </c>
      <c r="BI16" s="134">
        <f>Water!BP21</f>
        <v>0</v>
      </c>
      <c r="BJ16" s="134">
        <f>Water!BR21</f>
        <v>0</v>
      </c>
      <c r="BK16" s="134">
        <f>Water!BT21</f>
        <v>0</v>
      </c>
      <c r="BL16" s="134">
        <f>Water!BV21</f>
        <v>0</v>
      </c>
      <c r="BM16" s="134">
        <f>'Room Nights &amp; Food Covers'!B19</f>
        <v>0</v>
      </c>
      <c r="BN16" s="134">
        <f>'Room Nights &amp; Food Covers'!D19</f>
        <v>0</v>
      </c>
    </row>
    <row r="17" spans="1:66" ht="15.75" thickBot="1">
      <c r="A17" s="135" t="s">
        <v>16</v>
      </c>
      <c r="B17" s="135">
        <v>16</v>
      </c>
      <c r="C17" s="133">
        <f>TOTAL!C17</f>
        <v>3</v>
      </c>
      <c r="D17" s="132">
        <f>TOTAL!D17</f>
        <v>2023</v>
      </c>
      <c r="E17" s="134">
        <f>Solar!C21</f>
        <v>0</v>
      </c>
      <c r="F17" s="134">
        <f>'Powerhouse Daily Performance'!C19</f>
        <v>0</v>
      </c>
      <c r="G17" s="134">
        <f>'Powerhouse Daily Performance'!I19</f>
        <v>0</v>
      </c>
      <c r="H17" s="134">
        <f>'Powerhouse Daily Performance'!O19</f>
        <v>0</v>
      </c>
      <c r="I17" s="134">
        <f>'Powerhouse Daily Performance'!U19</f>
        <v>0</v>
      </c>
      <c r="J17" s="134">
        <f>'Powerhouse Daily Performance'!AA19</f>
        <v>0</v>
      </c>
      <c r="K17" s="134">
        <f>'FEEDER Consumption '!C21</f>
        <v>0</v>
      </c>
      <c r="L17" s="134">
        <f>'FEEDER Consumption '!E21</f>
        <v>0</v>
      </c>
      <c r="M17" s="134">
        <f>'FEEDER Consumption '!G21</f>
        <v>0</v>
      </c>
      <c r="N17" s="134">
        <f>'FEEDER Consumption '!I21</f>
        <v>0</v>
      </c>
      <c r="O17" s="134">
        <f>'FEEDER Consumption '!K21</f>
        <v>0</v>
      </c>
      <c r="P17" s="134">
        <f>'FEEDER Consumption '!M21</f>
        <v>0</v>
      </c>
      <c r="Q17" s="134">
        <f>'FEEDER Consumption '!O21</f>
        <v>0</v>
      </c>
      <c r="R17" s="134">
        <f>'FEEDER Consumption '!Q21</f>
        <v>0</v>
      </c>
      <c r="S17" s="134">
        <f>'FEEDER Consumption '!S21</f>
        <v>0</v>
      </c>
      <c r="T17" s="134">
        <f>'FEEDER Consumption '!U21</f>
        <v>0</v>
      </c>
      <c r="U17" s="134">
        <f>'FEEDER Consumption '!W21</f>
        <v>0</v>
      </c>
      <c r="V17" s="134">
        <f>'FEEDER Consumption '!Y21</f>
        <v>0</v>
      </c>
      <c r="W17" s="134">
        <f>'FEEDER Consumption '!AA21</f>
        <v>0</v>
      </c>
      <c r="X17" s="134">
        <f>'FEEDER Consumption '!AC21</f>
        <v>0</v>
      </c>
      <c r="Y17" s="134">
        <f>'FEEDER Consumption '!AE21</f>
        <v>0</v>
      </c>
      <c r="Z17" s="134">
        <f>'FEEDER Consumption '!AG21</f>
        <v>0</v>
      </c>
      <c r="AA17" s="134">
        <f>'FEEDER Consumption '!AI21</f>
        <v>0</v>
      </c>
      <c r="AB17" s="134">
        <f>'FEEDER Consumption '!AK21</f>
        <v>0</v>
      </c>
      <c r="AC17" s="134">
        <f>'FEEDER Consumption '!AM21</f>
        <v>0</v>
      </c>
      <c r="AD17" s="134">
        <f>'FEEDER Consumption '!AO21</f>
        <v>0</v>
      </c>
      <c r="AE17" s="134">
        <f>'FEEDER Consumption '!AQ21</f>
        <v>0</v>
      </c>
      <c r="AF17" s="134">
        <f>'FEEDER Consumption '!AS21</f>
        <v>0</v>
      </c>
      <c r="AG17" s="134">
        <f>'FEEDER Consumption '!AU21</f>
        <v>0</v>
      </c>
      <c r="AH17" s="134">
        <f>'FEEDER Consumption '!AW21</f>
        <v>0</v>
      </c>
      <c r="AI17" s="134">
        <f>'FEEDER Consumption '!AY21</f>
        <v>0</v>
      </c>
      <c r="AJ17" s="134">
        <f>'FEEDER Consumption '!BA21</f>
        <v>0</v>
      </c>
      <c r="AK17" s="134">
        <f>'FEEDER Consumption '!BC21</f>
        <v>0</v>
      </c>
      <c r="AL17" s="134">
        <f>'FEEDER Consumption '!BE21</f>
        <v>0</v>
      </c>
      <c r="AM17" s="134">
        <f>'FEEDER Consumption '!BG21</f>
        <v>0</v>
      </c>
      <c r="AN17" s="134">
        <f>'Water Plant Daily Performance'!C19</f>
        <v>0</v>
      </c>
      <c r="AO17" s="134">
        <f>'Water Plant Daily Performance'!I19</f>
        <v>0</v>
      </c>
      <c r="AP17" s="134">
        <f>'Water Plant Daily Performance'!O19</f>
        <v>0</v>
      </c>
      <c r="AQ17" s="134">
        <f>'Water Plant Daily Performance'!U19</f>
        <v>0</v>
      </c>
      <c r="AR17" s="134">
        <f>Water!AD22</f>
        <v>0</v>
      </c>
      <c r="AS17" s="134">
        <f>Water!AH22</f>
        <v>0</v>
      </c>
      <c r="AT17" s="134">
        <f>Water!AJ22</f>
        <v>0</v>
      </c>
      <c r="AU17" s="134">
        <f>Water!AL22</f>
        <v>0</v>
      </c>
      <c r="AV17" s="134">
        <f>Water!AN22</f>
        <v>0</v>
      </c>
      <c r="AW17" s="134">
        <f>Water!AP22</f>
        <v>0</v>
      </c>
      <c r="AX17" s="134">
        <f>Water!AR22</f>
        <v>0</v>
      </c>
      <c r="AY17" s="134">
        <f>Water!AT22</f>
        <v>0</v>
      </c>
      <c r="AZ17" s="134">
        <f>Water!AT22</f>
        <v>0</v>
      </c>
      <c r="BA17" s="134">
        <f>Water!AX22</f>
        <v>0</v>
      </c>
      <c r="BB17" s="134">
        <f>Water!AZ22</f>
        <v>0</v>
      </c>
      <c r="BC17" s="134">
        <f>Water!BB22</f>
        <v>0</v>
      </c>
      <c r="BD17" s="134">
        <f>Water!BD22</f>
        <v>0</v>
      </c>
      <c r="BE17" s="134">
        <f>Water!BF22</f>
        <v>0</v>
      </c>
      <c r="BF17" s="134">
        <f>Water!BH22</f>
        <v>0</v>
      </c>
      <c r="BG17" s="134">
        <f>Water!BJ22</f>
        <v>0</v>
      </c>
      <c r="BH17" s="134">
        <f>Water!BL22</f>
        <v>0</v>
      </c>
      <c r="BI17" s="134">
        <f>Water!BP22</f>
        <v>0</v>
      </c>
      <c r="BJ17" s="134">
        <f>Water!BR22</f>
        <v>0</v>
      </c>
      <c r="BK17" s="134">
        <f>Water!BT22</f>
        <v>0</v>
      </c>
      <c r="BL17" s="134">
        <f>Water!BV22</f>
        <v>0</v>
      </c>
      <c r="BM17" s="134">
        <f>'Room Nights &amp; Food Covers'!B20</f>
        <v>0</v>
      </c>
      <c r="BN17" s="134">
        <f>'Room Nights &amp; Food Covers'!D20</f>
        <v>0</v>
      </c>
    </row>
    <row r="18" spans="1:66" ht="15.75" thickBot="1">
      <c r="A18" s="135" t="s">
        <v>16</v>
      </c>
      <c r="B18" s="135">
        <v>17</v>
      </c>
      <c r="C18" s="133">
        <f>TOTAL!C18</f>
        <v>3</v>
      </c>
      <c r="D18" s="132">
        <f>TOTAL!D18</f>
        <v>2023</v>
      </c>
      <c r="E18" s="134">
        <f>Solar!C22</f>
        <v>0</v>
      </c>
      <c r="F18" s="134">
        <f>'Powerhouse Daily Performance'!C20</f>
        <v>0</v>
      </c>
      <c r="G18" s="134">
        <f>'Powerhouse Daily Performance'!I20</f>
        <v>0</v>
      </c>
      <c r="H18" s="134">
        <f>'Powerhouse Daily Performance'!O20</f>
        <v>0</v>
      </c>
      <c r="I18" s="134">
        <f>'Powerhouse Daily Performance'!U20</f>
        <v>0</v>
      </c>
      <c r="J18" s="134">
        <f>'Powerhouse Daily Performance'!AA20</f>
        <v>0</v>
      </c>
      <c r="K18" s="134">
        <f>'FEEDER Consumption '!C22</f>
        <v>0</v>
      </c>
      <c r="L18" s="134">
        <f>'FEEDER Consumption '!E22</f>
        <v>0</v>
      </c>
      <c r="M18" s="134">
        <f>'FEEDER Consumption '!G22</f>
        <v>0</v>
      </c>
      <c r="N18" s="134">
        <f>'FEEDER Consumption '!I22</f>
        <v>0</v>
      </c>
      <c r="O18" s="134">
        <f>'FEEDER Consumption '!K22</f>
        <v>0</v>
      </c>
      <c r="P18" s="134">
        <f>'FEEDER Consumption '!M22</f>
        <v>0</v>
      </c>
      <c r="Q18" s="134">
        <f>'FEEDER Consumption '!O22</f>
        <v>0</v>
      </c>
      <c r="R18" s="134">
        <f>'FEEDER Consumption '!Q22</f>
        <v>0</v>
      </c>
      <c r="S18" s="134">
        <f>'FEEDER Consumption '!S22</f>
        <v>0</v>
      </c>
      <c r="T18" s="134">
        <f>'FEEDER Consumption '!U22</f>
        <v>0</v>
      </c>
      <c r="U18" s="134">
        <f>'FEEDER Consumption '!W22</f>
        <v>0</v>
      </c>
      <c r="V18" s="134">
        <f>'FEEDER Consumption '!Y22</f>
        <v>0</v>
      </c>
      <c r="W18" s="134">
        <f>'FEEDER Consumption '!AA22</f>
        <v>0</v>
      </c>
      <c r="X18" s="134">
        <f>'FEEDER Consumption '!AC22</f>
        <v>0</v>
      </c>
      <c r="Y18" s="134">
        <f>'FEEDER Consumption '!AE22</f>
        <v>0</v>
      </c>
      <c r="Z18" s="134">
        <f>'FEEDER Consumption '!AG22</f>
        <v>0</v>
      </c>
      <c r="AA18" s="134">
        <f>'FEEDER Consumption '!AI22</f>
        <v>0</v>
      </c>
      <c r="AB18" s="134">
        <f>'FEEDER Consumption '!AK22</f>
        <v>0</v>
      </c>
      <c r="AC18" s="134">
        <f>'FEEDER Consumption '!AM22</f>
        <v>0</v>
      </c>
      <c r="AD18" s="134">
        <f>'FEEDER Consumption '!AO22</f>
        <v>0</v>
      </c>
      <c r="AE18" s="134">
        <f>'FEEDER Consumption '!AQ22</f>
        <v>0</v>
      </c>
      <c r="AF18" s="134">
        <f>'FEEDER Consumption '!AS22</f>
        <v>0</v>
      </c>
      <c r="AG18" s="134">
        <f>'FEEDER Consumption '!AU22</f>
        <v>0</v>
      </c>
      <c r="AH18" s="134">
        <f>'FEEDER Consumption '!AW22</f>
        <v>0</v>
      </c>
      <c r="AI18" s="134">
        <f>'FEEDER Consumption '!AY22</f>
        <v>0</v>
      </c>
      <c r="AJ18" s="134">
        <f>'FEEDER Consumption '!BA22</f>
        <v>0</v>
      </c>
      <c r="AK18" s="134">
        <f>'FEEDER Consumption '!BC22</f>
        <v>0</v>
      </c>
      <c r="AL18" s="134">
        <f>'FEEDER Consumption '!BE22</f>
        <v>0</v>
      </c>
      <c r="AM18" s="134">
        <f>'FEEDER Consumption '!BG22</f>
        <v>0</v>
      </c>
      <c r="AN18" s="134">
        <f>'Water Plant Daily Performance'!C20</f>
        <v>0</v>
      </c>
      <c r="AO18" s="134">
        <f>'Water Plant Daily Performance'!I20</f>
        <v>0</v>
      </c>
      <c r="AP18" s="134">
        <f>'Water Plant Daily Performance'!O20</f>
        <v>0</v>
      </c>
      <c r="AQ18" s="134">
        <f>'Water Plant Daily Performance'!U20</f>
        <v>0</v>
      </c>
      <c r="AR18" s="134">
        <f>Water!AD23</f>
        <v>0</v>
      </c>
      <c r="AS18" s="134">
        <f>Water!AH23</f>
        <v>0</v>
      </c>
      <c r="AT18" s="134">
        <f>Water!AJ23</f>
        <v>0</v>
      </c>
      <c r="AU18" s="134">
        <f>Water!AL23</f>
        <v>0</v>
      </c>
      <c r="AV18" s="134">
        <f>Water!AN23</f>
        <v>0</v>
      </c>
      <c r="AW18" s="134">
        <f>Water!AP23</f>
        <v>0</v>
      </c>
      <c r="AX18" s="134">
        <f>Water!AR23</f>
        <v>0</v>
      </c>
      <c r="AY18" s="134">
        <f>Water!AT23</f>
        <v>0</v>
      </c>
      <c r="AZ18" s="134">
        <f>Water!AT23</f>
        <v>0</v>
      </c>
      <c r="BA18" s="134">
        <f>Water!AX23</f>
        <v>0</v>
      </c>
      <c r="BB18" s="134">
        <f>Water!AZ23</f>
        <v>0</v>
      </c>
      <c r="BC18" s="134">
        <f>Water!BB23</f>
        <v>0</v>
      </c>
      <c r="BD18" s="134">
        <f>Water!BD23</f>
        <v>0</v>
      </c>
      <c r="BE18" s="134">
        <f>Water!BF23</f>
        <v>0</v>
      </c>
      <c r="BF18" s="134">
        <f>Water!BH23</f>
        <v>0</v>
      </c>
      <c r="BG18" s="134">
        <f>Water!BJ23</f>
        <v>0</v>
      </c>
      <c r="BH18" s="134">
        <f>Water!BL23</f>
        <v>0</v>
      </c>
      <c r="BI18" s="134">
        <f>Water!BP23</f>
        <v>0</v>
      </c>
      <c r="BJ18" s="134">
        <f>Water!BR23</f>
        <v>0</v>
      </c>
      <c r="BK18" s="134">
        <f>Water!BT23</f>
        <v>0</v>
      </c>
      <c r="BL18" s="134">
        <f>Water!BV23</f>
        <v>0</v>
      </c>
      <c r="BM18" s="134">
        <f>'Room Nights &amp; Food Covers'!B21</f>
        <v>0</v>
      </c>
      <c r="BN18" s="134">
        <f>'Room Nights &amp; Food Covers'!D21</f>
        <v>0</v>
      </c>
    </row>
    <row r="19" spans="1:66" ht="15.75" thickBot="1">
      <c r="A19" s="135" t="s">
        <v>16</v>
      </c>
      <c r="B19" s="135">
        <v>18</v>
      </c>
      <c r="C19" s="133">
        <f>TOTAL!C19</f>
        <v>3</v>
      </c>
      <c r="D19" s="132">
        <f>TOTAL!D19</f>
        <v>2023</v>
      </c>
      <c r="E19" s="134">
        <f>Solar!C23</f>
        <v>0</v>
      </c>
      <c r="F19" s="134">
        <f>'Powerhouse Daily Performance'!C21</f>
        <v>0</v>
      </c>
      <c r="G19" s="134">
        <f>'Powerhouse Daily Performance'!I21</f>
        <v>0</v>
      </c>
      <c r="H19" s="134">
        <f>'Powerhouse Daily Performance'!O21</f>
        <v>0</v>
      </c>
      <c r="I19" s="134">
        <f>'Powerhouse Daily Performance'!U21</f>
        <v>0</v>
      </c>
      <c r="J19" s="134">
        <f>'Powerhouse Daily Performance'!AA21</f>
        <v>0</v>
      </c>
      <c r="K19" s="134">
        <f>'FEEDER Consumption '!C23</f>
        <v>0</v>
      </c>
      <c r="L19" s="134">
        <f>'FEEDER Consumption '!E23</f>
        <v>0</v>
      </c>
      <c r="M19" s="134">
        <f>'FEEDER Consumption '!G23</f>
        <v>0</v>
      </c>
      <c r="N19" s="134">
        <f>'FEEDER Consumption '!I23</f>
        <v>0</v>
      </c>
      <c r="O19" s="134">
        <f>'FEEDER Consumption '!K23</f>
        <v>0</v>
      </c>
      <c r="P19" s="134">
        <f>'FEEDER Consumption '!M23</f>
        <v>0</v>
      </c>
      <c r="Q19" s="134">
        <f>'FEEDER Consumption '!O23</f>
        <v>0</v>
      </c>
      <c r="R19" s="134">
        <f>'FEEDER Consumption '!Q23</f>
        <v>0</v>
      </c>
      <c r="S19" s="134">
        <f>'FEEDER Consumption '!S23</f>
        <v>0</v>
      </c>
      <c r="T19" s="134">
        <f>'FEEDER Consumption '!U23</f>
        <v>0</v>
      </c>
      <c r="U19" s="134">
        <f>'FEEDER Consumption '!W23</f>
        <v>0</v>
      </c>
      <c r="V19" s="134">
        <f>'FEEDER Consumption '!Y23</f>
        <v>0</v>
      </c>
      <c r="W19" s="134">
        <f>'FEEDER Consumption '!AA23</f>
        <v>0</v>
      </c>
      <c r="X19" s="134">
        <f>'FEEDER Consumption '!AC23</f>
        <v>0</v>
      </c>
      <c r="Y19" s="134">
        <f>'FEEDER Consumption '!AE23</f>
        <v>0</v>
      </c>
      <c r="Z19" s="134">
        <f>'FEEDER Consumption '!AG23</f>
        <v>0</v>
      </c>
      <c r="AA19" s="134">
        <f>'FEEDER Consumption '!AI23</f>
        <v>0</v>
      </c>
      <c r="AB19" s="134">
        <f>'FEEDER Consumption '!AK23</f>
        <v>0</v>
      </c>
      <c r="AC19" s="134">
        <f>'FEEDER Consumption '!AM23</f>
        <v>0</v>
      </c>
      <c r="AD19" s="134">
        <f>'FEEDER Consumption '!AO23</f>
        <v>0</v>
      </c>
      <c r="AE19" s="134">
        <f>'FEEDER Consumption '!AQ23</f>
        <v>0</v>
      </c>
      <c r="AF19" s="134">
        <f>'FEEDER Consumption '!AS23</f>
        <v>0</v>
      </c>
      <c r="AG19" s="134">
        <f>'FEEDER Consumption '!AU23</f>
        <v>0</v>
      </c>
      <c r="AH19" s="134">
        <f>'FEEDER Consumption '!AW23</f>
        <v>0</v>
      </c>
      <c r="AI19" s="134">
        <f>'FEEDER Consumption '!AY23</f>
        <v>0</v>
      </c>
      <c r="AJ19" s="134">
        <f>'FEEDER Consumption '!BA23</f>
        <v>0</v>
      </c>
      <c r="AK19" s="134">
        <f>'FEEDER Consumption '!BC23</f>
        <v>0</v>
      </c>
      <c r="AL19" s="134">
        <f>'FEEDER Consumption '!BE23</f>
        <v>0</v>
      </c>
      <c r="AM19" s="134">
        <f>'FEEDER Consumption '!BG23</f>
        <v>0</v>
      </c>
      <c r="AN19" s="134">
        <f>'Water Plant Daily Performance'!C21</f>
        <v>0</v>
      </c>
      <c r="AO19" s="134">
        <f>'Water Plant Daily Performance'!I21</f>
        <v>0</v>
      </c>
      <c r="AP19" s="134">
        <f>'Water Plant Daily Performance'!O21</f>
        <v>0</v>
      </c>
      <c r="AQ19" s="134">
        <f>'Water Plant Daily Performance'!U21</f>
        <v>0</v>
      </c>
      <c r="AR19" s="134">
        <f>Water!AD24</f>
        <v>0</v>
      </c>
      <c r="AS19" s="134">
        <f>Water!AH24</f>
        <v>0</v>
      </c>
      <c r="AT19" s="134">
        <f>Water!AJ24</f>
        <v>0</v>
      </c>
      <c r="AU19" s="134">
        <f>Water!AL24</f>
        <v>0</v>
      </c>
      <c r="AV19" s="134">
        <f>Water!AN24</f>
        <v>0</v>
      </c>
      <c r="AW19" s="134">
        <f>Water!AP24</f>
        <v>0</v>
      </c>
      <c r="AX19" s="134">
        <f>Water!AR24</f>
        <v>0</v>
      </c>
      <c r="AY19" s="134">
        <f>Water!AT24</f>
        <v>0</v>
      </c>
      <c r="AZ19" s="134">
        <f>Water!AT24</f>
        <v>0</v>
      </c>
      <c r="BA19" s="134">
        <f>Water!AX24</f>
        <v>0</v>
      </c>
      <c r="BB19" s="134">
        <f>Water!AZ24</f>
        <v>0</v>
      </c>
      <c r="BC19" s="134">
        <f>Water!BB24</f>
        <v>0</v>
      </c>
      <c r="BD19" s="134">
        <f>Water!BD24</f>
        <v>0</v>
      </c>
      <c r="BE19" s="134">
        <f>Water!BF24</f>
        <v>0</v>
      </c>
      <c r="BF19" s="134">
        <f>Water!BH24</f>
        <v>0</v>
      </c>
      <c r="BG19" s="134">
        <f>Water!BJ24</f>
        <v>0</v>
      </c>
      <c r="BH19" s="134">
        <f>Water!BL24</f>
        <v>0</v>
      </c>
      <c r="BI19" s="134">
        <f>Water!BP24</f>
        <v>0</v>
      </c>
      <c r="BJ19" s="134">
        <f>Water!BR24</f>
        <v>0</v>
      </c>
      <c r="BK19" s="134">
        <f>Water!BT24</f>
        <v>0</v>
      </c>
      <c r="BL19" s="134">
        <f>Water!BV24</f>
        <v>0</v>
      </c>
      <c r="BM19" s="134">
        <f>'Room Nights &amp; Food Covers'!B22</f>
        <v>0</v>
      </c>
      <c r="BN19" s="134">
        <f>'Room Nights &amp; Food Covers'!D22</f>
        <v>0</v>
      </c>
    </row>
    <row r="20" spans="1:66" ht="15.75" thickBot="1">
      <c r="A20" s="135" t="s">
        <v>16</v>
      </c>
      <c r="B20" s="135">
        <v>19</v>
      </c>
      <c r="C20" s="133">
        <f>TOTAL!C20</f>
        <v>3</v>
      </c>
      <c r="D20" s="132">
        <f>TOTAL!D20</f>
        <v>2023</v>
      </c>
      <c r="E20" s="134">
        <f>Solar!C24</f>
        <v>0</v>
      </c>
      <c r="F20" s="134">
        <f>'Powerhouse Daily Performance'!C22</f>
        <v>0</v>
      </c>
      <c r="G20" s="134">
        <f>'Powerhouse Daily Performance'!I22</f>
        <v>0</v>
      </c>
      <c r="H20" s="134">
        <f>'Powerhouse Daily Performance'!O22</f>
        <v>0</v>
      </c>
      <c r="I20" s="134">
        <f>'Powerhouse Daily Performance'!U22</f>
        <v>0</v>
      </c>
      <c r="J20" s="134">
        <f>'Powerhouse Daily Performance'!AA22</f>
        <v>0</v>
      </c>
      <c r="K20" s="134">
        <f>'FEEDER Consumption '!C24</f>
        <v>0</v>
      </c>
      <c r="L20" s="134">
        <f>'FEEDER Consumption '!E24</f>
        <v>0</v>
      </c>
      <c r="M20" s="134">
        <f>'FEEDER Consumption '!G24</f>
        <v>0</v>
      </c>
      <c r="N20" s="134">
        <f>'FEEDER Consumption '!I24</f>
        <v>0</v>
      </c>
      <c r="O20" s="134">
        <f>'FEEDER Consumption '!K24</f>
        <v>0</v>
      </c>
      <c r="P20" s="134">
        <f>'FEEDER Consumption '!M24</f>
        <v>0</v>
      </c>
      <c r="Q20" s="134">
        <f>'FEEDER Consumption '!O24</f>
        <v>0</v>
      </c>
      <c r="R20" s="134">
        <f>'FEEDER Consumption '!Q24</f>
        <v>0</v>
      </c>
      <c r="S20" s="134">
        <f>'FEEDER Consumption '!S24</f>
        <v>0</v>
      </c>
      <c r="T20" s="134">
        <f>'FEEDER Consumption '!U24</f>
        <v>0</v>
      </c>
      <c r="U20" s="134">
        <f>'FEEDER Consumption '!W24</f>
        <v>0</v>
      </c>
      <c r="V20" s="134">
        <f>'FEEDER Consumption '!Y24</f>
        <v>0</v>
      </c>
      <c r="W20" s="134">
        <f>'FEEDER Consumption '!AA24</f>
        <v>0</v>
      </c>
      <c r="X20" s="134">
        <f>'FEEDER Consumption '!AC24</f>
        <v>0</v>
      </c>
      <c r="Y20" s="134">
        <f>'FEEDER Consumption '!AE24</f>
        <v>0</v>
      </c>
      <c r="Z20" s="134">
        <f>'FEEDER Consumption '!AG24</f>
        <v>0</v>
      </c>
      <c r="AA20" s="134">
        <f>'FEEDER Consumption '!AI24</f>
        <v>0</v>
      </c>
      <c r="AB20" s="134">
        <f>'FEEDER Consumption '!AK24</f>
        <v>0</v>
      </c>
      <c r="AC20" s="134">
        <f>'FEEDER Consumption '!AM24</f>
        <v>0</v>
      </c>
      <c r="AD20" s="134">
        <f>'FEEDER Consumption '!AO24</f>
        <v>0</v>
      </c>
      <c r="AE20" s="134">
        <f>'FEEDER Consumption '!AQ24</f>
        <v>0</v>
      </c>
      <c r="AF20" s="134">
        <f>'FEEDER Consumption '!AS24</f>
        <v>0</v>
      </c>
      <c r="AG20" s="134">
        <f>'FEEDER Consumption '!AU24</f>
        <v>0</v>
      </c>
      <c r="AH20" s="134">
        <f>'FEEDER Consumption '!AW24</f>
        <v>0</v>
      </c>
      <c r="AI20" s="134">
        <f>'FEEDER Consumption '!AY24</f>
        <v>0</v>
      </c>
      <c r="AJ20" s="134">
        <f>'FEEDER Consumption '!BA24</f>
        <v>0</v>
      </c>
      <c r="AK20" s="134">
        <f>'FEEDER Consumption '!BC24</f>
        <v>0</v>
      </c>
      <c r="AL20" s="134">
        <f>'FEEDER Consumption '!BE24</f>
        <v>0</v>
      </c>
      <c r="AM20" s="134">
        <f>'FEEDER Consumption '!BG24</f>
        <v>0</v>
      </c>
      <c r="AN20" s="134">
        <f>'Water Plant Daily Performance'!C22</f>
        <v>0</v>
      </c>
      <c r="AO20" s="134">
        <f>'Water Plant Daily Performance'!I22</f>
        <v>0</v>
      </c>
      <c r="AP20" s="134">
        <f>'Water Plant Daily Performance'!O22</f>
        <v>0</v>
      </c>
      <c r="AQ20" s="134">
        <f>'Water Plant Daily Performance'!U22</f>
        <v>0</v>
      </c>
      <c r="AR20" s="134">
        <f>Water!AD25</f>
        <v>0</v>
      </c>
      <c r="AS20" s="134">
        <f>Water!AH25</f>
        <v>0</v>
      </c>
      <c r="AT20" s="134">
        <f>Water!AJ25</f>
        <v>0</v>
      </c>
      <c r="AU20" s="134">
        <f>Water!AL25</f>
        <v>0</v>
      </c>
      <c r="AV20" s="134">
        <f>Water!AN25</f>
        <v>0</v>
      </c>
      <c r="AW20" s="134">
        <f>Water!AP25</f>
        <v>0</v>
      </c>
      <c r="AX20" s="134">
        <f>Water!AR25</f>
        <v>0</v>
      </c>
      <c r="AY20" s="134">
        <f>Water!AT25</f>
        <v>0</v>
      </c>
      <c r="AZ20" s="134">
        <f>Water!AT25</f>
        <v>0</v>
      </c>
      <c r="BA20" s="134">
        <f>Water!AX25</f>
        <v>0</v>
      </c>
      <c r="BB20" s="134">
        <f>Water!AZ25</f>
        <v>0</v>
      </c>
      <c r="BC20" s="134">
        <f>Water!BB25</f>
        <v>0</v>
      </c>
      <c r="BD20" s="134">
        <f>Water!BD25</f>
        <v>0</v>
      </c>
      <c r="BE20" s="134">
        <f>Water!BF25</f>
        <v>0</v>
      </c>
      <c r="BF20" s="134">
        <f>Water!BH25</f>
        <v>0</v>
      </c>
      <c r="BG20" s="134">
        <f>Water!BJ25</f>
        <v>0</v>
      </c>
      <c r="BH20" s="134">
        <f>Water!BL25</f>
        <v>0</v>
      </c>
      <c r="BI20" s="134">
        <f>Water!BP25</f>
        <v>0</v>
      </c>
      <c r="BJ20" s="134">
        <f>Water!BR25</f>
        <v>0</v>
      </c>
      <c r="BK20" s="134">
        <f>Water!BT25</f>
        <v>0</v>
      </c>
      <c r="BL20" s="134">
        <f>Water!BV25</f>
        <v>0</v>
      </c>
      <c r="BM20" s="134">
        <f>'Room Nights &amp; Food Covers'!B23</f>
        <v>0</v>
      </c>
      <c r="BN20" s="134">
        <f>'Room Nights &amp; Food Covers'!D23</f>
        <v>0</v>
      </c>
    </row>
    <row r="21" spans="1:66" ht="15.75" thickBot="1">
      <c r="A21" s="135" t="s">
        <v>16</v>
      </c>
      <c r="B21" s="135">
        <v>20</v>
      </c>
      <c r="C21" s="133">
        <f>TOTAL!C21</f>
        <v>3</v>
      </c>
      <c r="D21" s="132">
        <f>TOTAL!D21</f>
        <v>2023</v>
      </c>
      <c r="E21" s="134">
        <f>Solar!C25</f>
        <v>0</v>
      </c>
      <c r="F21" s="134">
        <f>'Powerhouse Daily Performance'!C23</f>
        <v>0</v>
      </c>
      <c r="G21" s="134">
        <f>'Powerhouse Daily Performance'!I23</f>
        <v>0</v>
      </c>
      <c r="H21" s="134">
        <f>'Powerhouse Daily Performance'!O23</f>
        <v>0</v>
      </c>
      <c r="I21" s="134">
        <f>'Powerhouse Daily Performance'!U23</f>
        <v>0</v>
      </c>
      <c r="J21" s="134">
        <f>'Powerhouse Daily Performance'!AA23</f>
        <v>0</v>
      </c>
      <c r="K21" s="134">
        <f>'FEEDER Consumption '!C25</f>
        <v>0</v>
      </c>
      <c r="L21" s="134">
        <f>'FEEDER Consumption '!E25</f>
        <v>0</v>
      </c>
      <c r="M21" s="134">
        <f>'FEEDER Consumption '!G25</f>
        <v>0</v>
      </c>
      <c r="N21" s="134">
        <f>'FEEDER Consumption '!I25</f>
        <v>0</v>
      </c>
      <c r="O21" s="134">
        <f>'FEEDER Consumption '!K25</f>
        <v>0</v>
      </c>
      <c r="P21" s="134">
        <f>'FEEDER Consumption '!M25</f>
        <v>0</v>
      </c>
      <c r="Q21" s="134">
        <f>'FEEDER Consumption '!O25</f>
        <v>0</v>
      </c>
      <c r="R21" s="134">
        <f>'FEEDER Consumption '!Q25</f>
        <v>0</v>
      </c>
      <c r="S21" s="134">
        <f>'FEEDER Consumption '!S25</f>
        <v>0</v>
      </c>
      <c r="T21" s="134">
        <f>'FEEDER Consumption '!U25</f>
        <v>0</v>
      </c>
      <c r="U21" s="134">
        <f>'FEEDER Consumption '!W25</f>
        <v>0</v>
      </c>
      <c r="V21" s="134">
        <f>'FEEDER Consumption '!Y25</f>
        <v>0</v>
      </c>
      <c r="W21" s="134">
        <f>'FEEDER Consumption '!AA25</f>
        <v>0</v>
      </c>
      <c r="X21" s="134">
        <f>'FEEDER Consumption '!AC25</f>
        <v>0</v>
      </c>
      <c r="Y21" s="134">
        <f>'FEEDER Consumption '!AE25</f>
        <v>0</v>
      </c>
      <c r="Z21" s="134">
        <f>'FEEDER Consumption '!AG25</f>
        <v>0</v>
      </c>
      <c r="AA21" s="134">
        <f>'FEEDER Consumption '!AI25</f>
        <v>0</v>
      </c>
      <c r="AB21" s="134">
        <f>'FEEDER Consumption '!AK25</f>
        <v>0</v>
      </c>
      <c r="AC21" s="134">
        <f>'FEEDER Consumption '!AM25</f>
        <v>0</v>
      </c>
      <c r="AD21" s="134">
        <f>'FEEDER Consumption '!AO25</f>
        <v>0</v>
      </c>
      <c r="AE21" s="134">
        <f>'FEEDER Consumption '!AQ25</f>
        <v>0</v>
      </c>
      <c r="AF21" s="134">
        <f>'FEEDER Consumption '!AS25</f>
        <v>0</v>
      </c>
      <c r="AG21" s="134">
        <f>'FEEDER Consumption '!AU25</f>
        <v>0</v>
      </c>
      <c r="AH21" s="134">
        <f>'FEEDER Consumption '!AW25</f>
        <v>0</v>
      </c>
      <c r="AI21" s="134">
        <f>'FEEDER Consumption '!AY25</f>
        <v>0</v>
      </c>
      <c r="AJ21" s="134">
        <f>'FEEDER Consumption '!BA25</f>
        <v>0</v>
      </c>
      <c r="AK21" s="134">
        <f>'FEEDER Consumption '!BC25</f>
        <v>0</v>
      </c>
      <c r="AL21" s="134">
        <f>'FEEDER Consumption '!BE25</f>
        <v>0</v>
      </c>
      <c r="AM21" s="134">
        <f>'FEEDER Consumption '!BG25</f>
        <v>0</v>
      </c>
      <c r="AN21" s="134">
        <f>'Water Plant Daily Performance'!C23</f>
        <v>0</v>
      </c>
      <c r="AO21" s="134">
        <f>'Water Plant Daily Performance'!I23</f>
        <v>0</v>
      </c>
      <c r="AP21" s="134">
        <f>'Water Plant Daily Performance'!O23</f>
        <v>0</v>
      </c>
      <c r="AQ21" s="134">
        <f>'Water Plant Daily Performance'!U23</f>
        <v>0</v>
      </c>
      <c r="AR21" s="134">
        <f>Water!AD26</f>
        <v>0</v>
      </c>
      <c r="AS21" s="134">
        <f>Water!AH26</f>
        <v>0</v>
      </c>
      <c r="AT21" s="134">
        <f>Water!AJ26</f>
        <v>0</v>
      </c>
      <c r="AU21" s="134">
        <f>Water!AL26</f>
        <v>0</v>
      </c>
      <c r="AV21" s="134">
        <f>Water!AN26</f>
        <v>0</v>
      </c>
      <c r="AW21" s="134">
        <f>Water!AP26</f>
        <v>0</v>
      </c>
      <c r="AX21" s="134">
        <f>Water!AR26</f>
        <v>0</v>
      </c>
      <c r="AY21" s="134">
        <f>Water!AT26</f>
        <v>0</v>
      </c>
      <c r="AZ21" s="134">
        <f>Water!AT26</f>
        <v>0</v>
      </c>
      <c r="BA21" s="134">
        <f>Water!AX26</f>
        <v>0</v>
      </c>
      <c r="BB21" s="134">
        <f>Water!AZ26</f>
        <v>0</v>
      </c>
      <c r="BC21" s="134">
        <f>Water!BB26</f>
        <v>0</v>
      </c>
      <c r="BD21" s="134">
        <f>Water!BD26</f>
        <v>0</v>
      </c>
      <c r="BE21" s="134">
        <f>Water!BF26</f>
        <v>0</v>
      </c>
      <c r="BF21" s="134">
        <f>Water!BH26</f>
        <v>0</v>
      </c>
      <c r="BG21" s="134">
        <f>Water!BJ26</f>
        <v>0</v>
      </c>
      <c r="BH21" s="134">
        <f>Water!BL26</f>
        <v>0</v>
      </c>
      <c r="BI21" s="134">
        <f>Water!BP26</f>
        <v>0</v>
      </c>
      <c r="BJ21" s="134">
        <f>Water!BR26</f>
        <v>0</v>
      </c>
      <c r="BK21" s="134">
        <f>Water!BT26</f>
        <v>0</v>
      </c>
      <c r="BL21" s="134">
        <f>Water!BV26</f>
        <v>0</v>
      </c>
      <c r="BM21" s="134">
        <f>'Room Nights &amp; Food Covers'!B24</f>
        <v>0</v>
      </c>
      <c r="BN21" s="134">
        <f>'Room Nights &amp; Food Covers'!D24</f>
        <v>0</v>
      </c>
    </row>
    <row r="22" spans="1:66" ht="15.75" thickBot="1">
      <c r="A22" s="135" t="s">
        <v>16</v>
      </c>
      <c r="B22" s="135">
        <v>21</v>
      </c>
      <c r="C22" s="133">
        <f>TOTAL!C22</f>
        <v>3</v>
      </c>
      <c r="D22" s="132">
        <f>TOTAL!D22</f>
        <v>2023</v>
      </c>
      <c r="E22" s="134">
        <f>Solar!C26</f>
        <v>0</v>
      </c>
      <c r="F22" s="134">
        <f>'Powerhouse Daily Performance'!C24</f>
        <v>0</v>
      </c>
      <c r="G22" s="134">
        <f>'Powerhouse Daily Performance'!I24</f>
        <v>0</v>
      </c>
      <c r="H22" s="134">
        <f>'Powerhouse Daily Performance'!O24</f>
        <v>0</v>
      </c>
      <c r="I22" s="134">
        <f>'Powerhouse Daily Performance'!U24</f>
        <v>0</v>
      </c>
      <c r="J22" s="134">
        <f>'Powerhouse Daily Performance'!AA24</f>
        <v>0</v>
      </c>
      <c r="K22" s="134">
        <f>'FEEDER Consumption '!C26</f>
        <v>0</v>
      </c>
      <c r="L22" s="134">
        <f>'FEEDER Consumption '!E26</f>
        <v>0</v>
      </c>
      <c r="M22" s="134">
        <f>'FEEDER Consumption '!G26</f>
        <v>0</v>
      </c>
      <c r="N22" s="134">
        <f>'FEEDER Consumption '!I26</f>
        <v>0</v>
      </c>
      <c r="O22" s="134">
        <f>'FEEDER Consumption '!K26</f>
        <v>0</v>
      </c>
      <c r="P22" s="134">
        <f>'FEEDER Consumption '!M26</f>
        <v>0</v>
      </c>
      <c r="Q22" s="134">
        <f>'FEEDER Consumption '!O26</f>
        <v>0</v>
      </c>
      <c r="R22" s="134">
        <f>'FEEDER Consumption '!Q26</f>
        <v>0</v>
      </c>
      <c r="S22" s="134">
        <f>'FEEDER Consumption '!S26</f>
        <v>0</v>
      </c>
      <c r="T22" s="134">
        <f>'FEEDER Consumption '!U26</f>
        <v>0</v>
      </c>
      <c r="U22" s="134">
        <f>'FEEDER Consumption '!W26</f>
        <v>0</v>
      </c>
      <c r="V22" s="134">
        <f>'FEEDER Consumption '!Y26</f>
        <v>0</v>
      </c>
      <c r="W22" s="134">
        <f>'FEEDER Consumption '!AA26</f>
        <v>0</v>
      </c>
      <c r="X22" s="134">
        <f>'FEEDER Consumption '!AC26</f>
        <v>0</v>
      </c>
      <c r="Y22" s="134">
        <f>'FEEDER Consumption '!AE26</f>
        <v>0</v>
      </c>
      <c r="Z22" s="134">
        <f>'FEEDER Consumption '!AG26</f>
        <v>0</v>
      </c>
      <c r="AA22" s="134">
        <f>'FEEDER Consumption '!AI26</f>
        <v>0</v>
      </c>
      <c r="AB22" s="134">
        <f>'FEEDER Consumption '!AK26</f>
        <v>0</v>
      </c>
      <c r="AC22" s="134">
        <f>'FEEDER Consumption '!AM26</f>
        <v>0</v>
      </c>
      <c r="AD22" s="134">
        <f>'FEEDER Consumption '!AO26</f>
        <v>0</v>
      </c>
      <c r="AE22" s="134">
        <f>'FEEDER Consumption '!AQ26</f>
        <v>0</v>
      </c>
      <c r="AF22" s="134">
        <f>'FEEDER Consumption '!AS26</f>
        <v>0</v>
      </c>
      <c r="AG22" s="134">
        <f>'FEEDER Consumption '!AU26</f>
        <v>0</v>
      </c>
      <c r="AH22" s="134">
        <f>'FEEDER Consumption '!AW26</f>
        <v>0</v>
      </c>
      <c r="AI22" s="134">
        <f>'FEEDER Consumption '!AY26</f>
        <v>0</v>
      </c>
      <c r="AJ22" s="134">
        <f>'FEEDER Consumption '!BA26</f>
        <v>0</v>
      </c>
      <c r="AK22" s="134">
        <f>'FEEDER Consumption '!BC26</f>
        <v>0</v>
      </c>
      <c r="AL22" s="134">
        <f>'FEEDER Consumption '!BE26</f>
        <v>0</v>
      </c>
      <c r="AM22" s="134">
        <f>'FEEDER Consumption '!BG26</f>
        <v>0</v>
      </c>
      <c r="AN22" s="134">
        <f>'Water Plant Daily Performance'!C24</f>
        <v>0</v>
      </c>
      <c r="AO22" s="134">
        <f>'Water Plant Daily Performance'!I24</f>
        <v>0</v>
      </c>
      <c r="AP22" s="134">
        <f>'Water Plant Daily Performance'!O24</f>
        <v>0</v>
      </c>
      <c r="AQ22" s="134">
        <f>'Water Plant Daily Performance'!U24</f>
        <v>0</v>
      </c>
      <c r="AR22" s="134">
        <f>Water!AD27</f>
        <v>0</v>
      </c>
      <c r="AS22" s="134">
        <f>Water!AH27</f>
        <v>0</v>
      </c>
      <c r="AT22" s="134">
        <f>Water!AJ27</f>
        <v>0</v>
      </c>
      <c r="AU22" s="134">
        <f>Water!AL27</f>
        <v>0</v>
      </c>
      <c r="AV22" s="134">
        <f>Water!AN27</f>
        <v>0</v>
      </c>
      <c r="AW22" s="134">
        <f>Water!AP27</f>
        <v>0</v>
      </c>
      <c r="AX22" s="134">
        <f>Water!AR27</f>
        <v>0</v>
      </c>
      <c r="AY22" s="134">
        <f>Water!AT27</f>
        <v>0</v>
      </c>
      <c r="AZ22" s="134">
        <f>Water!AT27</f>
        <v>0</v>
      </c>
      <c r="BA22" s="134">
        <f>Water!AX27</f>
        <v>0</v>
      </c>
      <c r="BB22" s="134">
        <f>Water!AZ27</f>
        <v>0</v>
      </c>
      <c r="BC22" s="134">
        <f>Water!BB27</f>
        <v>0</v>
      </c>
      <c r="BD22" s="134">
        <f>Water!BD27</f>
        <v>0</v>
      </c>
      <c r="BE22" s="134">
        <f>Water!BF27</f>
        <v>0</v>
      </c>
      <c r="BF22" s="134">
        <f>Water!BH27</f>
        <v>0</v>
      </c>
      <c r="BG22" s="134">
        <f>Water!BJ27</f>
        <v>0</v>
      </c>
      <c r="BH22" s="134">
        <f>Water!BL27</f>
        <v>0</v>
      </c>
      <c r="BI22" s="134">
        <f>Water!BP27</f>
        <v>0</v>
      </c>
      <c r="BJ22" s="134">
        <f>Water!BR27</f>
        <v>0</v>
      </c>
      <c r="BK22" s="134">
        <f>Water!BT27</f>
        <v>0</v>
      </c>
      <c r="BL22" s="134">
        <f>Water!BV27</f>
        <v>0</v>
      </c>
      <c r="BM22" s="134">
        <f>'Room Nights &amp; Food Covers'!B25</f>
        <v>0</v>
      </c>
      <c r="BN22" s="134">
        <f>'Room Nights &amp; Food Covers'!D25</f>
        <v>0</v>
      </c>
    </row>
    <row r="23" spans="1:66" ht="15.75" thickBot="1">
      <c r="A23" s="135" t="s">
        <v>16</v>
      </c>
      <c r="B23" s="135">
        <v>22</v>
      </c>
      <c r="C23" s="133">
        <f>TOTAL!C23</f>
        <v>3</v>
      </c>
      <c r="D23" s="132">
        <f>TOTAL!D23</f>
        <v>2023</v>
      </c>
      <c r="E23" s="134">
        <f>Solar!C27</f>
        <v>0</v>
      </c>
      <c r="F23" s="134">
        <f>'Powerhouse Daily Performance'!C25</f>
        <v>0</v>
      </c>
      <c r="G23" s="134">
        <f>'Powerhouse Daily Performance'!I25</f>
        <v>0</v>
      </c>
      <c r="H23" s="134">
        <f>'Powerhouse Daily Performance'!O25</f>
        <v>0</v>
      </c>
      <c r="I23" s="134">
        <f>'Powerhouse Daily Performance'!U25</f>
        <v>0</v>
      </c>
      <c r="J23" s="134">
        <f>'Powerhouse Daily Performance'!AA25</f>
        <v>0</v>
      </c>
      <c r="K23" s="134">
        <f>'FEEDER Consumption '!C27</f>
        <v>0</v>
      </c>
      <c r="L23" s="134">
        <f>'FEEDER Consumption '!E27</f>
        <v>0</v>
      </c>
      <c r="M23" s="134">
        <f>'FEEDER Consumption '!G27</f>
        <v>0</v>
      </c>
      <c r="N23" s="134">
        <f>'FEEDER Consumption '!I27</f>
        <v>0</v>
      </c>
      <c r="O23" s="134">
        <f>'FEEDER Consumption '!K27</f>
        <v>0</v>
      </c>
      <c r="P23" s="134">
        <f>'FEEDER Consumption '!M27</f>
        <v>0</v>
      </c>
      <c r="Q23" s="134">
        <f>'FEEDER Consumption '!O27</f>
        <v>0</v>
      </c>
      <c r="R23" s="134">
        <f>'FEEDER Consumption '!Q27</f>
        <v>0</v>
      </c>
      <c r="S23" s="134">
        <f>'FEEDER Consumption '!S27</f>
        <v>0</v>
      </c>
      <c r="T23" s="134">
        <f>'FEEDER Consumption '!U27</f>
        <v>0</v>
      </c>
      <c r="U23" s="134">
        <f>'FEEDER Consumption '!W27</f>
        <v>0</v>
      </c>
      <c r="V23" s="134">
        <f>'FEEDER Consumption '!Y27</f>
        <v>0</v>
      </c>
      <c r="W23" s="134">
        <f>'FEEDER Consumption '!AA27</f>
        <v>0</v>
      </c>
      <c r="X23" s="134">
        <f>'FEEDER Consumption '!AC27</f>
        <v>0</v>
      </c>
      <c r="Y23" s="134">
        <f>'FEEDER Consumption '!AE27</f>
        <v>0</v>
      </c>
      <c r="Z23" s="134">
        <f>'FEEDER Consumption '!AG27</f>
        <v>0</v>
      </c>
      <c r="AA23" s="134">
        <f>'FEEDER Consumption '!AI27</f>
        <v>0</v>
      </c>
      <c r="AB23" s="134">
        <f>'FEEDER Consumption '!AK27</f>
        <v>0</v>
      </c>
      <c r="AC23" s="134">
        <f>'FEEDER Consumption '!AM27</f>
        <v>0</v>
      </c>
      <c r="AD23" s="134">
        <f>'FEEDER Consumption '!AO27</f>
        <v>0</v>
      </c>
      <c r="AE23" s="134">
        <f>'FEEDER Consumption '!AQ27</f>
        <v>0</v>
      </c>
      <c r="AF23" s="134">
        <f>'FEEDER Consumption '!AS27</f>
        <v>0</v>
      </c>
      <c r="AG23" s="134">
        <f>'FEEDER Consumption '!AU27</f>
        <v>0</v>
      </c>
      <c r="AH23" s="134">
        <f>'FEEDER Consumption '!AW27</f>
        <v>0</v>
      </c>
      <c r="AI23" s="134">
        <f>'FEEDER Consumption '!AY27</f>
        <v>0</v>
      </c>
      <c r="AJ23" s="134">
        <f>'FEEDER Consumption '!BA27</f>
        <v>0</v>
      </c>
      <c r="AK23" s="134">
        <f>'FEEDER Consumption '!BC27</f>
        <v>0</v>
      </c>
      <c r="AL23" s="134">
        <f>'FEEDER Consumption '!BE27</f>
        <v>0</v>
      </c>
      <c r="AM23" s="134">
        <f>'FEEDER Consumption '!BG27</f>
        <v>0</v>
      </c>
      <c r="AN23" s="134">
        <f>'Water Plant Daily Performance'!C25</f>
        <v>0</v>
      </c>
      <c r="AO23" s="134">
        <f>'Water Plant Daily Performance'!I25</f>
        <v>0</v>
      </c>
      <c r="AP23" s="134">
        <f>'Water Plant Daily Performance'!O25</f>
        <v>0</v>
      </c>
      <c r="AQ23" s="134">
        <f>'Water Plant Daily Performance'!U25</f>
        <v>0</v>
      </c>
      <c r="AR23" s="134">
        <f>Water!AD28</f>
        <v>0</v>
      </c>
      <c r="AS23" s="134">
        <f>Water!AH28</f>
        <v>0</v>
      </c>
      <c r="AT23" s="134">
        <f>Water!AJ28</f>
        <v>0</v>
      </c>
      <c r="AU23" s="134">
        <f>Water!AL28</f>
        <v>0</v>
      </c>
      <c r="AV23" s="134">
        <f>Water!AN28</f>
        <v>0</v>
      </c>
      <c r="AW23" s="134">
        <f>Water!AP28</f>
        <v>0</v>
      </c>
      <c r="AX23" s="134">
        <f>Water!AR28</f>
        <v>0</v>
      </c>
      <c r="AY23" s="134">
        <f>Water!AT28</f>
        <v>0</v>
      </c>
      <c r="AZ23" s="134">
        <f>Water!AT28</f>
        <v>0</v>
      </c>
      <c r="BA23" s="134">
        <f>Water!AX28</f>
        <v>0</v>
      </c>
      <c r="BB23" s="134">
        <f>Water!AZ28</f>
        <v>0</v>
      </c>
      <c r="BC23" s="134">
        <f>Water!BB28</f>
        <v>0</v>
      </c>
      <c r="BD23" s="134">
        <f>Water!BD28</f>
        <v>0</v>
      </c>
      <c r="BE23" s="134">
        <f>Water!BF28</f>
        <v>0</v>
      </c>
      <c r="BF23" s="134">
        <f>Water!BH28</f>
        <v>0</v>
      </c>
      <c r="BG23" s="134">
        <f>Water!BJ28</f>
        <v>0</v>
      </c>
      <c r="BH23" s="134">
        <f>Water!BL28</f>
        <v>0</v>
      </c>
      <c r="BI23" s="134">
        <f>Water!BP28</f>
        <v>0</v>
      </c>
      <c r="BJ23" s="134">
        <f>Water!BR28</f>
        <v>0</v>
      </c>
      <c r="BK23" s="134">
        <f>Water!BT28</f>
        <v>0</v>
      </c>
      <c r="BL23" s="134">
        <f>Water!BV28</f>
        <v>0</v>
      </c>
      <c r="BM23" s="134">
        <f>'Room Nights &amp; Food Covers'!B26</f>
        <v>0</v>
      </c>
      <c r="BN23" s="134">
        <f>'Room Nights &amp; Food Covers'!D26</f>
        <v>0</v>
      </c>
    </row>
    <row r="24" spans="1:66" ht="15.75" thickBot="1">
      <c r="A24" s="135" t="s">
        <v>16</v>
      </c>
      <c r="B24" s="135">
        <v>23</v>
      </c>
      <c r="C24" s="133">
        <f>TOTAL!C24</f>
        <v>3</v>
      </c>
      <c r="D24" s="132">
        <f>TOTAL!D24</f>
        <v>2023</v>
      </c>
      <c r="E24" s="134">
        <f>Solar!C28</f>
        <v>0</v>
      </c>
      <c r="F24" s="134">
        <f>'Powerhouse Daily Performance'!C26</f>
        <v>0</v>
      </c>
      <c r="G24" s="134">
        <f>'Powerhouse Daily Performance'!I26</f>
        <v>0</v>
      </c>
      <c r="H24" s="134">
        <f>'Powerhouse Daily Performance'!O26</f>
        <v>0</v>
      </c>
      <c r="I24" s="134">
        <f>'Powerhouse Daily Performance'!U26</f>
        <v>0</v>
      </c>
      <c r="J24" s="134">
        <f>'Powerhouse Daily Performance'!AA26</f>
        <v>0</v>
      </c>
      <c r="K24" s="134">
        <f>'FEEDER Consumption '!C28</f>
        <v>0</v>
      </c>
      <c r="L24" s="134">
        <f>'FEEDER Consumption '!E28</f>
        <v>0</v>
      </c>
      <c r="M24" s="134">
        <f>'FEEDER Consumption '!G28</f>
        <v>0</v>
      </c>
      <c r="N24" s="134">
        <f>'FEEDER Consumption '!I28</f>
        <v>0</v>
      </c>
      <c r="O24" s="134">
        <f>'FEEDER Consumption '!K28</f>
        <v>0</v>
      </c>
      <c r="P24" s="134">
        <f>'FEEDER Consumption '!M28</f>
        <v>0</v>
      </c>
      <c r="Q24" s="134">
        <f>'FEEDER Consumption '!O28</f>
        <v>0</v>
      </c>
      <c r="R24" s="134">
        <f>'FEEDER Consumption '!Q28</f>
        <v>0</v>
      </c>
      <c r="S24" s="134">
        <f>'FEEDER Consumption '!S28</f>
        <v>0</v>
      </c>
      <c r="T24" s="134">
        <f>'FEEDER Consumption '!U28</f>
        <v>0</v>
      </c>
      <c r="U24" s="134">
        <f>'FEEDER Consumption '!W28</f>
        <v>0</v>
      </c>
      <c r="V24" s="134">
        <f>'FEEDER Consumption '!Y28</f>
        <v>0</v>
      </c>
      <c r="W24" s="134">
        <f>'FEEDER Consumption '!AA28</f>
        <v>0</v>
      </c>
      <c r="X24" s="134">
        <f>'FEEDER Consumption '!AC28</f>
        <v>0</v>
      </c>
      <c r="Y24" s="134">
        <f>'FEEDER Consumption '!AE28</f>
        <v>0</v>
      </c>
      <c r="Z24" s="134">
        <f>'FEEDER Consumption '!AG28</f>
        <v>0</v>
      </c>
      <c r="AA24" s="134">
        <f>'FEEDER Consumption '!AI28</f>
        <v>0</v>
      </c>
      <c r="AB24" s="134">
        <f>'FEEDER Consumption '!AK28</f>
        <v>0</v>
      </c>
      <c r="AC24" s="134">
        <f>'FEEDER Consumption '!AM28</f>
        <v>0</v>
      </c>
      <c r="AD24" s="134">
        <f>'FEEDER Consumption '!AO28</f>
        <v>0</v>
      </c>
      <c r="AE24" s="134">
        <f>'FEEDER Consumption '!AQ28</f>
        <v>0</v>
      </c>
      <c r="AF24" s="134">
        <f>'FEEDER Consumption '!AS28</f>
        <v>0</v>
      </c>
      <c r="AG24" s="134">
        <f>'FEEDER Consumption '!AU28</f>
        <v>0</v>
      </c>
      <c r="AH24" s="134">
        <f>'FEEDER Consumption '!AW28</f>
        <v>0</v>
      </c>
      <c r="AI24" s="134">
        <f>'FEEDER Consumption '!AY28</f>
        <v>0</v>
      </c>
      <c r="AJ24" s="134">
        <f>'FEEDER Consumption '!BA28</f>
        <v>0</v>
      </c>
      <c r="AK24" s="134">
        <f>'FEEDER Consumption '!BC28</f>
        <v>0</v>
      </c>
      <c r="AL24" s="134">
        <f>'FEEDER Consumption '!BE28</f>
        <v>0</v>
      </c>
      <c r="AM24" s="134">
        <f>'FEEDER Consumption '!BG28</f>
        <v>0</v>
      </c>
      <c r="AN24" s="134">
        <f>'Water Plant Daily Performance'!C26</f>
        <v>0</v>
      </c>
      <c r="AO24" s="134">
        <f>'Water Plant Daily Performance'!I26</f>
        <v>0</v>
      </c>
      <c r="AP24" s="134">
        <f>'Water Plant Daily Performance'!O26</f>
        <v>0</v>
      </c>
      <c r="AQ24" s="134">
        <f>'Water Plant Daily Performance'!U26</f>
        <v>0</v>
      </c>
      <c r="AR24" s="134">
        <f>Water!AD29</f>
        <v>0</v>
      </c>
      <c r="AS24" s="134">
        <f>Water!AH29</f>
        <v>0</v>
      </c>
      <c r="AT24" s="134">
        <f>Water!AJ29</f>
        <v>0</v>
      </c>
      <c r="AU24" s="134">
        <f>Water!AL29</f>
        <v>0</v>
      </c>
      <c r="AV24" s="134">
        <f>Water!AN29</f>
        <v>0</v>
      </c>
      <c r="AW24" s="134">
        <f>Water!AP29</f>
        <v>0</v>
      </c>
      <c r="AX24" s="134">
        <f>Water!AR29</f>
        <v>0</v>
      </c>
      <c r="AY24" s="134">
        <f>Water!AT29</f>
        <v>0</v>
      </c>
      <c r="AZ24" s="134">
        <f>Water!AT29</f>
        <v>0</v>
      </c>
      <c r="BA24" s="134">
        <f>Water!AX29</f>
        <v>0</v>
      </c>
      <c r="BB24" s="134">
        <f>Water!AZ29</f>
        <v>0</v>
      </c>
      <c r="BC24" s="134">
        <f>Water!BB29</f>
        <v>0</v>
      </c>
      <c r="BD24" s="134">
        <f>Water!BD29</f>
        <v>0</v>
      </c>
      <c r="BE24" s="134">
        <f>Water!BF29</f>
        <v>0</v>
      </c>
      <c r="BF24" s="134">
        <f>Water!BH29</f>
        <v>0</v>
      </c>
      <c r="BG24" s="134">
        <f>Water!BJ29</f>
        <v>0</v>
      </c>
      <c r="BH24" s="134">
        <f>Water!BL29</f>
        <v>0</v>
      </c>
      <c r="BI24" s="134">
        <f>Water!BP29</f>
        <v>0</v>
      </c>
      <c r="BJ24" s="134">
        <f>Water!BR29</f>
        <v>0</v>
      </c>
      <c r="BK24" s="134">
        <f>Water!BT29</f>
        <v>0</v>
      </c>
      <c r="BL24" s="134">
        <f>Water!BV29</f>
        <v>0</v>
      </c>
      <c r="BM24" s="134">
        <f>'Room Nights &amp; Food Covers'!B27</f>
        <v>0</v>
      </c>
      <c r="BN24" s="134">
        <f>'Room Nights &amp; Food Covers'!D27</f>
        <v>0</v>
      </c>
    </row>
    <row r="25" spans="1:66" ht="15.75" thickBot="1">
      <c r="A25" s="135" t="s">
        <v>16</v>
      </c>
      <c r="B25" s="135">
        <v>24</v>
      </c>
      <c r="C25" s="133">
        <f>TOTAL!C25</f>
        <v>3</v>
      </c>
      <c r="D25" s="132">
        <f>TOTAL!D25</f>
        <v>2023</v>
      </c>
      <c r="E25" s="134">
        <f>Solar!C29</f>
        <v>0</v>
      </c>
      <c r="F25" s="134">
        <f>'Powerhouse Daily Performance'!C27</f>
        <v>0</v>
      </c>
      <c r="G25" s="134">
        <f>'Powerhouse Daily Performance'!I27</f>
        <v>0</v>
      </c>
      <c r="H25" s="134">
        <f>'Powerhouse Daily Performance'!O27</f>
        <v>0</v>
      </c>
      <c r="I25" s="134">
        <f>'Powerhouse Daily Performance'!U27</f>
        <v>0</v>
      </c>
      <c r="J25" s="134">
        <f>'Powerhouse Daily Performance'!AA27</f>
        <v>0</v>
      </c>
      <c r="K25" s="134">
        <f>'FEEDER Consumption '!C29</f>
        <v>0</v>
      </c>
      <c r="L25" s="134">
        <f>'FEEDER Consumption '!E29</f>
        <v>0</v>
      </c>
      <c r="M25" s="134">
        <f>'FEEDER Consumption '!G29</f>
        <v>0</v>
      </c>
      <c r="N25" s="134">
        <f>'FEEDER Consumption '!I29</f>
        <v>0</v>
      </c>
      <c r="O25" s="134">
        <f>'FEEDER Consumption '!K29</f>
        <v>0</v>
      </c>
      <c r="P25" s="134">
        <f>'FEEDER Consumption '!M29</f>
        <v>0</v>
      </c>
      <c r="Q25" s="134">
        <f>'FEEDER Consumption '!O29</f>
        <v>0</v>
      </c>
      <c r="R25" s="134">
        <f>'FEEDER Consumption '!Q29</f>
        <v>0</v>
      </c>
      <c r="S25" s="134">
        <f>'FEEDER Consumption '!S29</f>
        <v>0</v>
      </c>
      <c r="T25" s="134">
        <f>'FEEDER Consumption '!U29</f>
        <v>0</v>
      </c>
      <c r="U25" s="134">
        <f>'FEEDER Consumption '!W29</f>
        <v>0</v>
      </c>
      <c r="V25" s="134">
        <f>'FEEDER Consumption '!Y29</f>
        <v>0</v>
      </c>
      <c r="W25" s="134">
        <f>'FEEDER Consumption '!AA29</f>
        <v>0</v>
      </c>
      <c r="X25" s="134">
        <f>'FEEDER Consumption '!AC29</f>
        <v>0</v>
      </c>
      <c r="Y25" s="134">
        <f>'FEEDER Consumption '!AE29</f>
        <v>0</v>
      </c>
      <c r="Z25" s="134">
        <f>'FEEDER Consumption '!AG29</f>
        <v>0</v>
      </c>
      <c r="AA25" s="134">
        <f>'FEEDER Consumption '!AI29</f>
        <v>0</v>
      </c>
      <c r="AB25" s="134">
        <f>'FEEDER Consumption '!AK29</f>
        <v>0</v>
      </c>
      <c r="AC25" s="134">
        <f>'FEEDER Consumption '!AM29</f>
        <v>0</v>
      </c>
      <c r="AD25" s="134">
        <f>'FEEDER Consumption '!AO29</f>
        <v>0</v>
      </c>
      <c r="AE25" s="134">
        <f>'FEEDER Consumption '!AQ29</f>
        <v>0</v>
      </c>
      <c r="AF25" s="134">
        <f>'FEEDER Consumption '!AS29</f>
        <v>0</v>
      </c>
      <c r="AG25" s="134">
        <f>'FEEDER Consumption '!AU29</f>
        <v>0</v>
      </c>
      <c r="AH25" s="134">
        <f>'FEEDER Consumption '!AW29</f>
        <v>0</v>
      </c>
      <c r="AI25" s="134">
        <f>'FEEDER Consumption '!AY29</f>
        <v>0</v>
      </c>
      <c r="AJ25" s="134">
        <f>'FEEDER Consumption '!BA29</f>
        <v>0</v>
      </c>
      <c r="AK25" s="134">
        <f>'FEEDER Consumption '!BC29</f>
        <v>0</v>
      </c>
      <c r="AL25" s="134">
        <f>'FEEDER Consumption '!BE29</f>
        <v>0</v>
      </c>
      <c r="AM25" s="134">
        <f>'FEEDER Consumption '!BG29</f>
        <v>0</v>
      </c>
      <c r="AN25" s="134">
        <f>'Water Plant Daily Performance'!C27</f>
        <v>0</v>
      </c>
      <c r="AO25" s="134">
        <f>'Water Plant Daily Performance'!I27</f>
        <v>0</v>
      </c>
      <c r="AP25" s="134">
        <f>'Water Plant Daily Performance'!O27</f>
        <v>0</v>
      </c>
      <c r="AQ25" s="134">
        <f>'Water Plant Daily Performance'!U27</f>
        <v>0</v>
      </c>
      <c r="AR25" s="134">
        <f>Water!AD30</f>
        <v>0</v>
      </c>
      <c r="AS25" s="134">
        <f>Water!AH30</f>
        <v>0</v>
      </c>
      <c r="AT25" s="134">
        <f>Water!AJ30</f>
        <v>0</v>
      </c>
      <c r="AU25" s="134">
        <f>Water!AL30</f>
        <v>0</v>
      </c>
      <c r="AV25" s="134">
        <f>Water!AN30</f>
        <v>0</v>
      </c>
      <c r="AW25" s="134">
        <f>Water!AP30</f>
        <v>0</v>
      </c>
      <c r="AX25" s="134">
        <f>Water!AR30</f>
        <v>0</v>
      </c>
      <c r="AY25" s="134">
        <f>Water!AT30</f>
        <v>0</v>
      </c>
      <c r="AZ25" s="134">
        <f>Water!AT30</f>
        <v>0</v>
      </c>
      <c r="BA25" s="134">
        <f>Water!AX30</f>
        <v>0</v>
      </c>
      <c r="BB25" s="134">
        <f>Water!AZ30</f>
        <v>0</v>
      </c>
      <c r="BC25" s="134">
        <f>Water!BB30</f>
        <v>0</v>
      </c>
      <c r="BD25" s="134">
        <f>Water!BD30</f>
        <v>0</v>
      </c>
      <c r="BE25" s="134">
        <f>Water!BF30</f>
        <v>0</v>
      </c>
      <c r="BF25" s="134">
        <f>Water!BH30</f>
        <v>0</v>
      </c>
      <c r="BG25" s="134">
        <f>Water!BJ30</f>
        <v>0</v>
      </c>
      <c r="BH25" s="134">
        <f>Water!BL30</f>
        <v>0</v>
      </c>
      <c r="BI25" s="134">
        <f>Water!BP30</f>
        <v>0</v>
      </c>
      <c r="BJ25" s="134">
        <f>Water!BR30</f>
        <v>0</v>
      </c>
      <c r="BK25" s="134">
        <f>Water!BT30</f>
        <v>0</v>
      </c>
      <c r="BL25" s="134">
        <f>Water!BV30</f>
        <v>0</v>
      </c>
      <c r="BM25" s="134">
        <f>'Room Nights &amp; Food Covers'!B28</f>
        <v>0</v>
      </c>
      <c r="BN25" s="134">
        <f>'Room Nights &amp; Food Covers'!D28</f>
        <v>0</v>
      </c>
    </row>
    <row r="26" spans="1:66" ht="15.75" thickBot="1">
      <c r="A26" s="135" t="s">
        <v>16</v>
      </c>
      <c r="B26" s="135">
        <v>25</v>
      </c>
      <c r="C26" s="133">
        <f>TOTAL!C26</f>
        <v>3</v>
      </c>
      <c r="D26" s="132">
        <f>TOTAL!D26</f>
        <v>2023</v>
      </c>
      <c r="E26" s="134">
        <f>Solar!C30</f>
        <v>0</v>
      </c>
      <c r="F26" s="134">
        <f>'Powerhouse Daily Performance'!C28</f>
        <v>0</v>
      </c>
      <c r="G26" s="134">
        <f>'Powerhouse Daily Performance'!I28</f>
        <v>0</v>
      </c>
      <c r="H26" s="134">
        <f>'Powerhouse Daily Performance'!O28</f>
        <v>0</v>
      </c>
      <c r="I26" s="134">
        <f>'Powerhouse Daily Performance'!U28</f>
        <v>0</v>
      </c>
      <c r="J26" s="134">
        <f>'Powerhouse Daily Performance'!AA28</f>
        <v>0</v>
      </c>
      <c r="K26" s="134">
        <f>'FEEDER Consumption '!C30</f>
        <v>0</v>
      </c>
      <c r="L26" s="134">
        <f>'FEEDER Consumption '!E30</f>
        <v>0</v>
      </c>
      <c r="M26" s="134">
        <f>'FEEDER Consumption '!G30</f>
        <v>0</v>
      </c>
      <c r="N26" s="134">
        <f>'FEEDER Consumption '!I30</f>
        <v>0</v>
      </c>
      <c r="O26" s="134">
        <f>'FEEDER Consumption '!K30</f>
        <v>0</v>
      </c>
      <c r="P26" s="134">
        <f>'FEEDER Consumption '!M30</f>
        <v>0</v>
      </c>
      <c r="Q26" s="134">
        <f>'FEEDER Consumption '!O30</f>
        <v>0</v>
      </c>
      <c r="R26" s="134">
        <f>'FEEDER Consumption '!Q30</f>
        <v>0</v>
      </c>
      <c r="S26" s="134">
        <f>'FEEDER Consumption '!S30</f>
        <v>0</v>
      </c>
      <c r="T26" s="134">
        <f>'FEEDER Consumption '!U30</f>
        <v>0</v>
      </c>
      <c r="U26" s="134">
        <f>'FEEDER Consumption '!W30</f>
        <v>0</v>
      </c>
      <c r="V26" s="134">
        <f>'FEEDER Consumption '!Y30</f>
        <v>0</v>
      </c>
      <c r="W26" s="134">
        <f>'FEEDER Consumption '!AA30</f>
        <v>0</v>
      </c>
      <c r="X26" s="134">
        <f>'FEEDER Consumption '!AC30</f>
        <v>0</v>
      </c>
      <c r="Y26" s="134">
        <f>'FEEDER Consumption '!AE30</f>
        <v>0</v>
      </c>
      <c r="Z26" s="134">
        <f>'FEEDER Consumption '!AG30</f>
        <v>0</v>
      </c>
      <c r="AA26" s="134">
        <f>'FEEDER Consumption '!AI30</f>
        <v>0</v>
      </c>
      <c r="AB26" s="134">
        <f>'FEEDER Consumption '!AK30</f>
        <v>0</v>
      </c>
      <c r="AC26" s="134">
        <f>'FEEDER Consumption '!AM30</f>
        <v>0</v>
      </c>
      <c r="AD26" s="134">
        <f>'FEEDER Consumption '!AO30</f>
        <v>0</v>
      </c>
      <c r="AE26" s="134">
        <f>'FEEDER Consumption '!AQ30</f>
        <v>0</v>
      </c>
      <c r="AF26" s="134">
        <f>'FEEDER Consumption '!AS30</f>
        <v>0</v>
      </c>
      <c r="AG26" s="134">
        <f>'FEEDER Consumption '!AU30</f>
        <v>0</v>
      </c>
      <c r="AH26" s="134">
        <f>'FEEDER Consumption '!AW30</f>
        <v>0</v>
      </c>
      <c r="AI26" s="134">
        <f>'FEEDER Consumption '!AY30</f>
        <v>0</v>
      </c>
      <c r="AJ26" s="134">
        <f>'FEEDER Consumption '!BA30</f>
        <v>0</v>
      </c>
      <c r="AK26" s="134">
        <f>'FEEDER Consumption '!BC30</f>
        <v>0</v>
      </c>
      <c r="AL26" s="134">
        <f>'FEEDER Consumption '!BE30</f>
        <v>0</v>
      </c>
      <c r="AM26" s="134">
        <f>'FEEDER Consumption '!BG30</f>
        <v>0</v>
      </c>
      <c r="AN26" s="134">
        <f>'Water Plant Daily Performance'!C28</f>
        <v>0</v>
      </c>
      <c r="AO26" s="134">
        <f>'Water Plant Daily Performance'!I28</f>
        <v>0</v>
      </c>
      <c r="AP26" s="134">
        <f>'Water Plant Daily Performance'!O28</f>
        <v>0</v>
      </c>
      <c r="AQ26" s="134">
        <f>'Water Plant Daily Performance'!U28</f>
        <v>0</v>
      </c>
      <c r="AR26" s="134">
        <f>Water!AD31</f>
        <v>0</v>
      </c>
      <c r="AS26" s="134">
        <f>Water!AH31</f>
        <v>0</v>
      </c>
      <c r="AT26" s="134">
        <f>Water!AJ31</f>
        <v>0</v>
      </c>
      <c r="AU26" s="134">
        <f>Water!AL31</f>
        <v>0</v>
      </c>
      <c r="AV26" s="134">
        <f>Water!AN31</f>
        <v>0</v>
      </c>
      <c r="AW26" s="134">
        <f>Water!AP31</f>
        <v>0</v>
      </c>
      <c r="AX26" s="134">
        <f>Water!AR31</f>
        <v>0</v>
      </c>
      <c r="AY26" s="134">
        <f>Water!AT31</f>
        <v>0</v>
      </c>
      <c r="AZ26" s="134">
        <f>Water!AT31</f>
        <v>0</v>
      </c>
      <c r="BA26" s="134">
        <f>Water!AX31</f>
        <v>0</v>
      </c>
      <c r="BB26" s="134">
        <f>Water!AZ31</f>
        <v>0</v>
      </c>
      <c r="BC26" s="134">
        <f>Water!BB31</f>
        <v>0</v>
      </c>
      <c r="BD26" s="134">
        <f>Water!BD31</f>
        <v>0</v>
      </c>
      <c r="BE26" s="134">
        <f>Water!BF31</f>
        <v>0</v>
      </c>
      <c r="BF26" s="134">
        <f>Water!BH31</f>
        <v>0</v>
      </c>
      <c r="BG26" s="134">
        <f>Water!BJ31</f>
        <v>0</v>
      </c>
      <c r="BH26" s="134">
        <f>Water!BL31</f>
        <v>0</v>
      </c>
      <c r="BI26" s="134">
        <f>Water!BP31</f>
        <v>0</v>
      </c>
      <c r="BJ26" s="134">
        <f>Water!BR31</f>
        <v>0</v>
      </c>
      <c r="BK26" s="134">
        <f>Water!BT31</f>
        <v>0</v>
      </c>
      <c r="BL26" s="134">
        <f>Water!BV31</f>
        <v>0</v>
      </c>
      <c r="BM26" s="134">
        <f>'Room Nights &amp; Food Covers'!B29</f>
        <v>0</v>
      </c>
      <c r="BN26" s="134">
        <f>'Room Nights &amp; Food Covers'!D29</f>
        <v>0</v>
      </c>
    </row>
    <row r="27" spans="1:66" ht="15.75" thickBot="1">
      <c r="A27" s="135" t="s">
        <v>16</v>
      </c>
      <c r="B27" s="135">
        <v>26</v>
      </c>
      <c r="C27" s="133">
        <f>TOTAL!C27</f>
        <v>3</v>
      </c>
      <c r="D27" s="132">
        <f>TOTAL!D27</f>
        <v>2023</v>
      </c>
      <c r="E27" s="134">
        <f>Solar!C31</f>
        <v>0</v>
      </c>
      <c r="F27" s="134">
        <f>'Powerhouse Daily Performance'!C29</f>
        <v>0</v>
      </c>
      <c r="G27" s="134">
        <f>'Powerhouse Daily Performance'!I29</f>
        <v>0</v>
      </c>
      <c r="H27" s="134">
        <f>'Powerhouse Daily Performance'!O29</f>
        <v>0</v>
      </c>
      <c r="I27" s="134">
        <f>'Powerhouse Daily Performance'!U29</f>
        <v>0</v>
      </c>
      <c r="J27" s="134">
        <f>'Powerhouse Daily Performance'!AA29</f>
        <v>0</v>
      </c>
      <c r="K27" s="134">
        <f>'FEEDER Consumption '!C31</f>
        <v>0</v>
      </c>
      <c r="L27" s="134">
        <f>'FEEDER Consumption '!E31</f>
        <v>0</v>
      </c>
      <c r="M27" s="134">
        <f>'FEEDER Consumption '!G31</f>
        <v>0</v>
      </c>
      <c r="N27" s="134">
        <f>'FEEDER Consumption '!I31</f>
        <v>0</v>
      </c>
      <c r="O27" s="134">
        <f>'FEEDER Consumption '!K31</f>
        <v>0</v>
      </c>
      <c r="P27" s="134">
        <f>'FEEDER Consumption '!M31</f>
        <v>0</v>
      </c>
      <c r="Q27" s="134">
        <f>'FEEDER Consumption '!O31</f>
        <v>0</v>
      </c>
      <c r="R27" s="134">
        <f>'FEEDER Consumption '!Q31</f>
        <v>0</v>
      </c>
      <c r="S27" s="134">
        <f>'FEEDER Consumption '!S31</f>
        <v>0</v>
      </c>
      <c r="T27" s="134">
        <f>'FEEDER Consumption '!U31</f>
        <v>0</v>
      </c>
      <c r="U27" s="134">
        <f>'FEEDER Consumption '!W31</f>
        <v>0</v>
      </c>
      <c r="V27" s="134">
        <f>'FEEDER Consumption '!Y31</f>
        <v>0</v>
      </c>
      <c r="W27" s="134">
        <f>'FEEDER Consumption '!AA31</f>
        <v>0</v>
      </c>
      <c r="X27" s="134">
        <f>'FEEDER Consumption '!AC31</f>
        <v>0</v>
      </c>
      <c r="Y27" s="134">
        <f>'FEEDER Consumption '!AE31</f>
        <v>0</v>
      </c>
      <c r="Z27" s="134">
        <f>'FEEDER Consumption '!AG31</f>
        <v>0</v>
      </c>
      <c r="AA27" s="134">
        <f>'FEEDER Consumption '!AI31</f>
        <v>0</v>
      </c>
      <c r="AB27" s="134">
        <f>'FEEDER Consumption '!AK31</f>
        <v>0</v>
      </c>
      <c r="AC27" s="134">
        <f>'FEEDER Consumption '!AM31</f>
        <v>0</v>
      </c>
      <c r="AD27" s="134">
        <f>'FEEDER Consumption '!AO31</f>
        <v>0</v>
      </c>
      <c r="AE27" s="134">
        <f>'FEEDER Consumption '!AQ31</f>
        <v>0</v>
      </c>
      <c r="AF27" s="134">
        <f>'FEEDER Consumption '!AS31</f>
        <v>0</v>
      </c>
      <c r="AG27" s="134">
        <f>'FEEDER Consumption '!AU31</f>
        <v>0</v>
      </c>
      <c r="AH27" s="134">
        <f>'FEEDER Consumption '!AW31</f>
        <v>0</v>
      </c>
      <c r="AI27" s="134">
        <f>'FEEDER Consumption '!AY31</f>
        <v>0</v>
      </c>
      <c r="AJ27" s="134">
        <f>'FEEDER Consumption '!BA31</f>
        <v>0</v>
      </c>
      <c r="AK27" s="134">
        <f>'FEEDER Consumption '!BC31</f>
        <v>0</v>
      </c>
      <c r="AL27" s="134">
        <f>'FEEDER Consumption '!BE31</f>
        <v>0</v>
      </c>
      <c r="AM27" s="134">
        <f>'FEEDER Consumption '!BG31</f>
        <v>0</v>
      </c>
      <c r="AN27" s="134">
        <f>'Water Plant Daily Performance'!C29</f>
        <v>0</v>
      </c>
      <c r="AO27" s="134">
        <f>'Water Plant Daily Performance'!I29</f>
        <v>0</v>
      </c>
      <c r="AP27" s="134">
        <f>'Water Plant Daily Performance'!O29</f>
        <v>0</v>
      </c>
      <c r="AQ27" s="134">
        <f>'Water Plant Daily Performance'!U29</f>
        <v>0</v>
      </c>
      <c r="AR27" s="134">
        <f>Water!AD32</f>
        <v>0</v>
      </c>
      <c r="AS27" s="134">
        <f>Water!AH32</f>
        <v>0</v>
      </c>
      <c r="AT27" s="134">
        <f>Water!AJ32</f>
        <v>0</v>
      </c>
      <c r="AU27" s="134">
        <f>Water!AL32</f>
        <v>0</v>
      </c>
      <c r="AV27" s="134">
        <f>Water!AN32</f>
        <v>0</v>
      </c>
      <c r="AW27" s="134">
        <f>Water!AP32</f>
        <v>0</v>
      </c>
      <c r="AX27" s="134">
        <f>Water!AR32</f>
        <v>0</v>
      </c>
      <c r="AY27" s="134">
        <f>Water!AT32</f>
        <v>0</v>
      </c>
      <c r="AZ27" s="134">
        <f>Water!AT32</f>
        <v>0</v>
      </c>
      <c r="BA27" s="134">
        <f>Water!AX32</f>
        <v>0</v>
      </c>
      <c r="BB27" s="134">
        <f>Water!AZ32</f>
        <v>0</v>
      </c>
      <c r="BC27" s="134">
        <f>Water!BB32</f>
        <v>0</v>
      </c>
      <c r="BD27" s="134">
        <f>Water!BD32</f>
        <v>0</v>
      </c>
      <c r="BE27" s="134">
        <f>Water!BF32</f>
        <v>0</v>
      </c>
      <c r="BF27" s="134">
        <f>Water!BH32</f>
        <v>0</v>
      </c>
      <c r="BG27" s="134">
        <f>Water!BJ32</f>
        <v>0</v>
      </c>
      <c r="BH27" s="134">
        <f>Water!BL32</f>
        <v>0</v>
      </c>
      <c r="BI27" s="134">
        <f>Water!BP32</f>
        <v>0</v>
      </c>
      <c r="BJ27" s="134">
        <f>Water!BR32</f>
        <v>0</v>
      </c>
      <c r="BK27" s="134">
        <f>Water!BT32</f>
        <v>0</v>
      </c>
      <c r="BL27" s="134">
        <f>Water!BV32</f>
        <v>0</v>
      </c>
      <c r="BM27" s="134">
        <f>'Room Nights &amp; Food Covers'!B30</f>
        <v>0</v>
      </c>
      <c r="BN27" s="134">
        <f>'Room Nights &amp; Food Covers'!D30</f>
        <v>0</v>
      </c>
    </row>
    <row r="28" spans="1:66" ht="15.75" thickBot="1">
      <c r="A28" s="135" t="s">
        <v>16</v>
      </c>
      <c r="B28" s="135">
        <v>27</v>
      </c>
      <c r="C28" s="133">
        <f>TOTAL!C28</f>
        <v>3</v>
      </c>
      <c r="D28" s="132">
        <f>TOTAL!D28</f>
        <v>2023</v>
      </c>
      <c r="E28" s="134">
        <f>Solar!C32</f>
        <v>0</v>
      </c>
      <c r="F28" s="134">
        <f>'Powerhouse Daily Performance'!C30</f>
        <v>0</v>
      </c>
      <c r="G28" s="134">
        <f>'Powerhouse Daily Performance'!I30</f>
        <v>0</v>
      </c>
      <c r="H28" s="134">
        <f>'Powerhouse Daily Performance'!O30</f>
        <v>0</v>
      </c>
      <c r="I28" s="134">
        <f>'Powerhouse Daily Performance'!U30</f>
        <v>0</v>
      </c>
      <c r="J28" s="134">
        <f>'Powerhouse Daily Performance'!AA30</f>
        <v>0</v>
      </c>
      <c r="K28" s="134">
        <f>'FEEDER Consumption '!C32</f>
        <v>0</v>
      </c>
      <c r="L28" s="134">
        <f>'FEEDER Consumption '!E32</f>
        <v>0</v>
      </c>
      <c r="M28" s="134">
        <f>'FEEDER Consumption '!G32</f>
        <v>0</v>
      </c>
      <c r="N28" s="134">
        <f>'FEEDER Consumption '!I32</f>
        <v>0</v>
      </c>
      <c r="O28" s="134">
        <f>'FEEDER Consumption '!K32</f>
        <v>0</v>
      </c>
      <c r="P28" s="134">
        <f>'FEEDER Consumption '!M32</f>
        <v>0</v>
      </c>
      <c r="Q28" s="134">
        <f>'FEEDER Consumption '!O32</f>
        <v>0</v>
      </c>
      <c r="R28" s="134">
        <f>'FEEDER Consumption '!Q32</f>
        <v>0</v>
      </c>
      <c r="S28" s="134">
        <f>'FEEDER Consumption '!S32</f>
        <v>0</v>
      </c>
      <c r="T28" s="134">
        <f>'FEEDER Consumption '!U32</f>
        <v>0</v>
      </c>
      <c r="U28" s="134">
        <f>'FEEDER Consumption '!W32</f>
        <v>0</v>
      </c>
      <c r="V28" s="134">
        <f>'FEEDER Consumption '!Y32</f>
        <v>0</v>
      </c>
      <c r="W28" s="134">
        <f>'FEEDER Consumption '!AA32</f>
        <v>0</v>
      </c>
      <c r="X28" s="134">
        <f>'FEEDER Consumption '!AC32</f>
        <v>0</v>
      </c>
      <c r="Y28" s="134">
        <f>'FEEDER Consumption '!AE32</f>
        <v>0</v>
      </c>
      <c r="Z28" s="134">
        <f>'FEEDER Consumption '!AG32</f>
        <v>0</v>
      </c>
      <c r="AA28" s="134">
        <f>'FEEDER Consumption '!AI32</f>
        <v>0</v>
      </c>
      <c r="AB28" s="134">
        <f>'FEEDER Consumption '!AK32</f>
        <v>0</v>
      </c>
      <c r="AC28" s="134">
        <f>'FEEDER Consumption '!AM32</f>
        <v>0</v>
      </c>
      <c r="AD28" s="134">
        <f>'FEEDER Consumption '!AO32</f>
        <v>0</v>
      </c>
      <c r="AE28" s="134">
        <f>'FEEDER Consumption '!AQ32</f>
        <v>0</v>
      </c>
      <c r="AF28" s="134">
        <f>'FEEDER Consumption '!AS32</f>
        <v>0</v>
      </c>
      <c r="AG28" s="134">
        <f>'FEEDER Consumption '!AU32</f>
        <v>0</v>
      </c>
      <c r="AH28" s="134">
        <f>'FEEDER Consumption '!AW32</f>
        <v>0</v>
      </c>
      <c r="AI28" s="134">
        <f>'FEEDER Consumption '!AY32</f>
        <v>0</v>
      </c>
      <c r="AJ28" s="134">
        <f>'FEEDER Consumption '!BA32</f>
        <v>0</v>
      </c>
      <c r="AK28" s="134">
        <f>'FEEDER Consumption '!BC32</f>
        <v>0</v>
      </c>
      <c r="AL28" s="134">
        <f>'FEEDER Consumption '!BE32</f>
        <v>0</v>
      </c>
      <c r="AM28" s="134">
        <f>'FEEDER Consumption '!BG32</f>
        <v>0</v>
      </c>
      <c r="AN28" s="134">
        <f>'Water Plant Daily Performance'!C30</f>
        <v>0</v>
      </c>
      <c r="AO28" s="134">
        <f>'Water Plant Daily Performance'!I30</f>
        <v>0</v>
      </c>
      <c r="AP28" s="134">
        <f>'Water Plant Daily Performance'!O30</f>
        <v>0</v>
      </c>
      <c r="AQ28" s="134">
        <f>'Water Plant Daily Performance'!U30</f>
        <v>0</v>
      </c>
      <c r="AR28" s="134">
        <f>Water!AD33</f>
        <v>0</v>
      </c>
      <c r="AS28" s="134">
        <f>Water!AH33</f>
        <v>0</v>
      </c>
      <c r="AT28" s="134">
        <f>Water!AJ33</f>
        <v>0</v>
      </c>
      <c r="AU28" s="134">
        <f>Water!AL33</f>
        <v>0</v>
      </c>
      <c r="AV28" s="134">
        <f>Water!AN33</f>
        <v>0</v>
      </c>
      <c r="AW28" s="134">
        <f>Water!AP33</f>
        <v>0</v>
      </c>
      <c r="AX28" s="134">
        <f>Water!AR33</f>
        <v>0</v>
      </c>
      <c r="AY28" s="134">
        <f>Water!AT33</f>
        <v>0</v>
      </c>
      <c r="AZ28" s="134">
        <f>Water!AT33</f>
        <v>0</v>
      </c>
      <c r="BA28" s="134">
        <f>Water!AX33</f>
        <v>0</v>
      </c>
      <c r="BB28" s="134">
        <f>Water!AZ33</f>
        <v>0</v>
      </c>
      <c r="BC28" s="134">
        <f>Water!BB33</f>
        <v>0</v>
      </c>
      <c r="BD28" s="134">
        <f>Water!BD33</f>
        <v>0</v>
      </c>
      <c r="BE28" s="134">
        <f>Water!BF33</f>
        <v>0</v>
      </c>
      <c r="BF28" s="134">
        <f>Water!BH33</f>
        <v>0</v>
      </c>
      <c r="BG28" s="134">
        <f>Water!BJ33</f>
        <v>0</v>
      </c>
      <c r="BH28" s="134">
        <f>Water!BL33</f>
        <v>0</v>
      </c>
      <c r="BI28" s="134">
        <f>Water!BP33</f>
        <v>0</v>
      </c>
      <c r="BJ28" s="134">
        <f>Water!BR33</f>
        <v>0</v>
      </c>
      <c r="BK28" s="134">
        <f>Water!BT33</f>
        <v>0</v>
      </c>
      <c r="BL28" s="134">
        <f>Water!BV33</f>
        <v>0</v>
      </c>
      <c r="BM28" s="134">
        <f>'Room Nights &amp; Food Covers'!B31</f>
        <v>0</v>
      </c>
      <c r="BN28" s="134">
        <f>'Room Nights &amp; Food Covers'!D31</f>
        <v>0</v>
      </c>
    </row>
    <row r="29" spans="1:66" ht="15.75" thickBot="1">
      <c r="A29" s="136" t="s">
        <v>16</v>
      </c>
      <c r="B29" s="136">
        <v>28</v>
      </c>
      <c r="C29" s="133">
        <f>TOTAL!C29</f>
        <v>3</v>
      </c>
      <c r="D29" s="132">
        <f>TOTAL!D29</f>
        <v>2023</v>
      </c>
      <c r="E29" s="134">
        <f>Solar!C33</f>
        <v>0</v>
      </c>
      <c r="F29" s="134">
        <f>'Powerhouse Daily Performance'!C31</f>
        <v>0</v>
      </c>
      <c r="G29" s="134">
        <f>'Powerhouse Daily Performance'!I31</f>
        <v>0</v>
      </c>
      <c r="H29" s="134">
        <f>'Powerhouse Daily Performance'!O31</f>
        <v>0</v>
      </c>
      <c r="I29" s="134">
        <f>'Powerhouse Daily Performance'!U31</f>
        <v>0</v>
      </c>
      <c r="J29" s="134">
        <f>'Powerhouse Daily Performance'!AA31</f>
        <v>0</v>
      </c>
      <c r="K29" s="134">
        <f>'FEEDER Consumption '!C33</f>
        <v>0</v>
      </c>
      <c r="L29" s="134">
        <f>'FEEDER Consumption '!E33</f>
        <v>0</v>
      </c>
      <c r="M29" s="134">
        <f>'FEEDER Consumption '!G33</f>
        <v>0</v>
      </c>
      <c r="N29" s="134">
        <f>'FEEDER Consumption '!I33</f>
        <v>0</v>
      </c>
      <c r="O29" s="134">
        <f>'FEEDER Consumption '!K33</f>
        <v>0</v>
      </c>
      <c r="P29" s="134">
        <f>'FEEDER Consumption '!M33</f>
        <v>0</v>
      </c>
      <c r="Q29" s="134">
        <f>'FEEDER Consumption '!O33</f>
        <v>0</v>
      </c>
      <c r="R29" s="134">
        <f>'FEEDER Consumption '!Q33</f>
        <v>0</v>
      </c>
      <c r="S29" s="134">
        <f>'FEEDER Consumption '!S33</f>
        <v>0</v>
      </c>
      <c r="T29" s="134">
        <f>'FEEDER Consumption '!U33</f>
        <v>0</v>
      </c>
      <c r="U29" s="134">
        <f>'FEEDER Consumption '!W33</f>
        <v>0</v>
      </c>
      <c r="V29" s="134">
        <f>'FEEDER Consumption '!Y33</f>
        <v>0</v>
      </c>
      <c r="W29" s="134">
        <f>'FEEDER Consumption '!AA33</f>
        <v>0</v>
      </c>
      <c r="X29" s="134">
        <f>'FEEDER Consumption '!AC33</f>
        <v>0</v>
      </c>
      <c r="Y29" s="134">
        <f>'FEEDER Consumption '!AE33</f>
        <v>0</v>
      </c>
      <c r="Z29" s="134">
        <f>'FEEDER Consumption '!AG33</f>
        <v>0</v>
      </c>
      <c r="AA29" s="134">
        <f>'FEEDER Consumption '!AI33</f>
        <v>0</v>
      </c>
      <c r="AB29" s="134">
        <f>'FEEDER Consumption '!AK33</f>
        <v>0</v>
      </c>
      <c r="AC29" s="134">
        <f>'FEEDER Consumption '!AM33</f>
        <v>0</v>
      </c>
      <c r="AD29" s="134">
        <f>'FEEDER Consumption '!AO33</f>
        <v>0</v>
      </c>
      <c r="AE29" s="134">
        <f>'FEEDER Consumption '!AQ33</f>
        <v>0</v>
      </c>
      <c r="AF29" s="134">
        <f>'FEEDER Consumption '!AS33</f>
        <v>0</v>
      </c>
      <c r="AG29" s="134">
        <f>'FEEDER Consumption '!AU33</f>
        <v>0</v>
      </c>
      <c r="AH29" s="134">
        <f>'FEEDER Consumption '!AW33</f>
        <v>0</v>
      </c>
      <c r="AI29" s="134">
        <f>'FEEDER Consumption '!AY33</f>
        <v>0</v>
      </c>
      <c r="AJ29" s="134">
        <f>'FEEDER Consumption '!BA33</f>
        <v>0</v>
      </c>
      <c r="AK29" s="134">
        <f>'FEEDER Consumption '!BC33</f>
        <v>0</v>
      </c>
      <c r="AL29" s="134">
        <f>'FEEDER Consumption '!BE33</f>
        <v>0</v>
      </c>
      <c r="AM29" s="134">
        <f>'FEEDER Consumption '!BG33</f>
        <v>0</v>
      </c>
      <c r="AN29" s="134">
        <f>'Water Plant Daily Performance'!C31</f>
        <v>0</v>
      </c>
      <c r="AO29" s="134">
        <f>'Water Plant Daily Performance'!I31</f>
        <v>0</v>
      </c>
      <c r="AP29" s="134">
        <f>'Water Plant Daily Performance'!O31</f>
        <v>0</v>
      </c>
      <c r="AQ29" s="134">
        <f>'Water Plant Daily Performance'!U31</f>
        <v>0</v>
      </c>
      <c r="AR29" s="134">
        <f>Water!AD34</f>
        <v>0</v>
      </c>
      <c r="AS29" s="134">
        <f>Water!AH34</f>
        <v>0</v>
      </c>
      <c r="AT29" s="134">
        <f>Water!AJ34</f>
        <v>0</v>
      </c>
      <c r="AU29" s="134">
        <f>Water!AL34</f>
        <v>0</v>
      </c>
      <c r="AV29" s="134">
        <f>Water!AN34</f>
        <v>0</v>
      </c>
      <c r="AW29" s="134">
        <f>Water!AP34</f>
        <v>0</v>
      </c>
      <c r="AX29" s="134">
        <f>Water!AR34</f>
        <v>0</v>
      </c>
      <c r="AY29" s="134">
        <f>Water!AT34</f>
        <v>0</v>
      </c>
      <c r="AZ29" s="134">
        <f>Water!AT34</f>
        <v>0</v>
      </c>
      <c r="BA29" s="134">
        <f>Water!AX34</f>
        <v>0</v>
      </c>
      <c r="BB29" s="134">
        <f>Water!AZ34</f>
        <v>0</v>
      </c>
      <c r="BC29" s="134">
        <f>Water!BB34</f>
        <v>0</v>
      </c>
      <c r="BD29" s="134">
        <f>Water!BD34</f>
        <v>0</v>
      </c>
      <c r="BE29" s="134">
        <f>Water!BF34</f>
        <v>0</v>
      </c>
      <c r="BF29" s="134">
        <f>Water!BH34</f>
        <v>0</v>
      </c>
      <c r="BG29" s="134">
        <f>Water!BJ34</f>
        <v>0</v>
      </c>
      <c r="BH29" s="134">
        <f>Water!BL34</f>
        <v>0</v>
      </c>
      <c r="BI29" s="134">
        <f>Water!BP34</f>
        <v>0</v>
      </c>
      <c r="BJ29" s="134">
        <f>Water!BR34</f>
        <v>0</v>
      </c>
      <c r="BK29" s="134">
        <f>Water!BT34</f>
        <v>0</v>
      </c>
      <c r="BL29" s="134">
        <f>Water!BV34</f>
        <v>0</v>
      </c>
      <c r="BM29" s="134">
        <f>'Room Nights &amp; Food Covers'!B32</f>
        <v>0</v>
      </c>
      <c r="BN29" s="134">
        <f>'Room Nights &amp; Food Covers'!D32</f>
        <v>0</v>
      </c>
    </row>
    <row r="30" spans="1:66" ht="15.75" thickBot="1">
      <c r="A30" s="136" t="s">
        <v>16</v>
      </c>
      <c r="B30" s="136">
        <v>29</v>
      </c>
      <c r="C30" s="133">
        <f>TOTAL!C30</f>
        <v>3</v>
      </c>
      <c r="D30" s="132">
        <f>TOTAL!D30</f>
        <v>2023</v>
      </c>
      <c r="E30" s="134">
        <f>Solar!C34</f>
        <v>0</v>
      </c>
      <c r="F30" s="134">
        <f>'Powerhouse Daily Performance'!C32</f>
        <v>0</v>
      </c>
      <c r="G30" s="134">
        <f>'Powerhouse Daily Performance'!I32</f>
        <v>0</v>
      </c>
      <c r="H30" s="134">
        <f>'Powerhouse Daily Performance'!O32</f>
        <v>0</v>
      </c>
      <c r="I30" s="134">
        <f>'Powerhouse Daily Performance'!U32</f>
        <v>0</v>
      </c>
      <c r="J30" s="134">
        <f>'Powerhouse Daily Performance'!AA32</f>
        <v>0</v>
      </c>
      <c r="K30" s="134">
        <f>'FEEDER Consumption '!C34</f>
        <v>0</v>
      </c>
      <c r="L30" s="134">
        <f>'FEEDER Consumption '!E34</f>
        <v>0</v>
      </c>
      <c r="M30" s="134">
        <f>'FEEDER Consumption '!G34</f>
        <v>0</v>
      </c>
      <c r="N30" s="134">
        <f>'FEEDER Consumption '!I34</f>
        <v>0</v>
      </c>
      <c r="O30" s="134">
        <f>'FEEDER Consumption '!K34</f>
        <v>0</v>
      </c>
      <c r="P30" s="134">
        <f>'FEEDER Consumption '!M34</f>
        <v>0</v>
      </c>
      <c r="Q30" s="134">
        <f>'FEEDER Consumption '!O34</f>
        <v>0</v>
      </c>
      <c r="R30" s="134">
        <f>'FEEDER Consumption '!Q34</f>
        <v>0</v>
      </c>
      <c r="S30" s="134">
        <f>'FEEDER Consumption '!S34</f>
        <v>0</v>
      </c>
      <c r="T30" s="134">
        <f>'FEEDER Consumption '!U34</f>
        <v>0</v>
      </c>
      <c r="U30" s="134">
        <f>'FEEDER Consumption '!W34</f>
        <v>0</v>
      </c>
      <c r="V30" s="134">
        <f>'FEEDER Consumption '!Y34</f>
        <v>0</v>
      </c>
      <c r="W30" s="134">
        <f>'FEEDER Consumption '!AA34</f>
        <v>0</v>
      </c>
      <c r="X30" s="134">
        <f>'FEEDER Consumption '!AC34</f>
        <v>0</v>
      </c>
      <c r="Y30" s="134">
        <f>'FEEDER Consumption '!AE34</f>
        <v>0</v>
      </c>
      <c r="Z30" s="134">
        <f>'FEEDER Consumption '!AG34</f>
        <v>0</v>
      </c>
      <c r="AA30" s="134">
        <f>'FEEDER Consumption '!AI34</f>
        <v>0</v>
      </c>
      <c r="AB30" s="134">
        <f>'FEEDER Consumption '!AK34</f>
        <v>0</v>
      </c>
      <c r="AC30" s="134">
        <f>'FEEDER Consumption '!AM34</f>
        <v>0</v>
      </c>
      <c r="AD30" s="134">
        <f>'FEEDER Consumption '!AO34</f>
        <v>0</v>
      </c>
      <c r="AE30" s="134">
        <f>'FEEDER Consumption '!AQ34</f>
        <v>0</v>
      </c>
      <c r="AF30" s="134">
        <f>'FEEDER Consumption '!AS34</f>
        <v>0</v>
      </c>
      <c r="AG30" s="134">
        <f>'FEEDER Consumption '!AU34</f>
        <v>0</v>
      </c>
      <c r="AH30" s="134">
        <f>'FEEDER Consumption '!AW34</f>
        <v>0</v>
      </c>
      <c r="AI30" s="134">
        <f>'FEEDER Consumption '!AY34</f>
        <v>0</v>
      </c>
      <c r="AJ30" s="134">
        <f>'FEEDER Consumption '!BA34</f>
        <v>0</v>
      </c>
      <c r="AK30" s="134">
        <f>'FEEDER Consumption '!BC34</f>
        <v>0</v>
      </c>
      <c r="AL30" s="134">
        <f>'FEEDER Consumption '!BE34</f>
        <v>0</v>
      </c>
      <c r="AM30" s="134">
        <f>'FEEDER Consumption '!BG34</f>
        <v>0</v>
      </c>
      <c r="AN30" s="134">
        <f>'Water Plant Daily Performance'!C32</f>
        <v>0</v>
      </c>
      <c r="AO30" s="134">
        <f>'Water Plant Daily Performance'!I32</f>
        <v>0</v>
      </c>
      <c r="AP30" s="134">
        <f>'Water Plant Daily Performance'!O32</f>
        <v>0</v>
      </c>
      <c r="AQ30" s="134">
        <f>'Water Plant Daily Performance'!U32</f>
        <v>0</v>
      </c>
      <c r="AR30" s="134">
        <f>Water!AD35</f>
        <v>0</v>
      </c>
      <c r="AS30" s="134">
        <f>Water!AH35</f>
        <v>0</v>
      </c>
      <c r="AT30" s="134">
        <f>Water!AJ35</f>
        <v>0</v>
      </c>
      <c r="AU30" s="134">
        <f>Water!AL35</f>
        <v>0</v>
      </c>
      <c r="AV30" s="134">
        <f>Water!AN35</f>
        <v>0</v>
      </c>
      <c r="AW30" s="134">
        <f>Water!AP35</f>
        <v>0</v>
      </c>
      <c r="AX30" s="134">
        <f>Water!AR35</f>
        <v>0</v>
      </c>
      <c r="AY30" s="134">
        <f>Water!AT35</f>
        <v>0</v>
      </c>
      <c r="AZ30" s="134">
        <f>Water!AT35</f>
        <v>0</v>
      </c>
      <c r="BA30" s="134">
        <f>Water!AX35</f>
        <v>0</v>
      </c>
      <c r="BB30" s="134">
        <f>Water!AZ35</f>
        <v>0</v>
      </c>
      <c r="BC30" s="134">
        <f>Water!BB35</f>
        <v>0</v>
      </c>
      <c r="BD30" s="134">
        <f>Water!BD35</f>
        <v>0</v>
      </c>
      <c r="BE30" s="134">
        <f>Water!BF35</f>
        <v>0</v>
      </c>
      <c r="BF30" s="134">
        <f>Water!BH35</f>
        <v>0</v>
      </c>
      <c r="BG30" s="134">
        <f>Water!BJ35</f>
        <v>0</v>
      </c>
      <c r="BH30" s="134">
        <f>Water!BL35</f>
        <v>0</v>
      </c>
      <c r="BI30" s="134">
        <f>Water!BP35</f>
        <v>0</v>
      </c>
      <c r="BJ30" s="134">
        <f>Water!BR35</f>
        <v>0</v>
      </c>
      <c r="BK30" s="134">
        <f>Water!BT35</f>
        <v>0</v>
      </c>
      <c r="BL30" s="134">
        <f>Water!BV35</f>
        <v>0</v>
      </c>
      <c r="BM30" s="134">
        <f>'Room Nights &amp; Food Covers'!B36</f>
        <v>0</v>
      </c>
      <c r="BN30" s="134">
        <f>'Room Nights &amp; Food Covers'!D36</f>
        <v>2507</v>
      </c>
    </row>
    <row r="31" spans="1:66" ht="15.75" thickBot="1">
      <c r="A31" s="136" t="s">
        <v>16</v>
      </c>
      <c r="B31" s="136">
        <v>30</v>
      </c>
      <c r="C31" s="133">
        <f>TOTAL!C31</f>
        <v>3</v>
      </c>
      <c r="D31" s="132">
        <f>TOTAL!D31</f>
        <v>2023</v>
      </c>
      <c r="E31" s="134">
        <f>Solar!C35</f>
        <v>0</v>
      </c>
      <c r="F31" s="134">
        <f>'Powerhouse Daily Performance'!C33</f>
        <v>0</v>
      </c>
      <c r="G31" s="134">
        <f>'Powerhouse Daily Performance'!I33</f>
        <v>0</v>
      </c>
      <c r="H31" s="134">
        <f>'Powerhouse Daily Performance'!O33</f>
        <v>0</v>
      </c>
      <c r="I31" s="134">
        <f>'Powerhouse Daily Performance'!U33</f>
        <v>0</v>
      </c>
      <c r="J31" s="134">
        <f>'Powerhouse Daily Performance'!AA33</f>
        <v>0</v>
      </c>
      <c r="K31" s="134">
        <f>'FEEDER Consumption '!C35</f>
        <v>0</v>
      </c>
      <c r="L31" s="134">
        <f>'FEEDER Consumption '!E35</f>
        <v>0</v>
      </c>
      <c r="M31" s="134">
        <f>'FEEDER Consumption '!G35</f>
        <v>0</v>
      </c>
      <c r="N31" s="134">
        <f>'FEEDER Consumption '!I35</f>
        <v>0</v>
      </c>
      <c r="O31" s="134">
        <f>'FEEDER Consumption '!K35</f>
        <v>0</v>
      </c>
      <c r="P31" s="134">
        <f>'FEEDER Consumption '!M35</f>
        <v>0</v>
      </c>
      <c r="Q31" s="134">
        <f>'FEEDER Consumption '!O35</f>
        <v>0</v>
      </c>
      <c r="R31" s="134">
        <f>'FEEDER Consumption '!Q35</f>
        <v>0</v>
      </c>
      <c r="S31" s="134">
        <f>'FEEDER Consumption '!S35</f>
        <v>0</v>
      </c>
      <c r="T31" s="134">
        <f>'FEEDER Consumption '!U35</f>
        <v>0</v>
      </c>
      <c r="U31" s="134">
        <f>'FEEDER Consumption '!W35</f>
        <v>0</v>
      </c>
      <c r="V31" s="134">
        <f>'FEEDER Consumption '!Y35</f>
        <v>0</v>
      </c>
      <c r="W31" s="134">
        <f>'FEEDER Consumption '!AA35</f>
        <v>0</v>
      </c>
      <c r="X31" s="134">
        <f>'FEEDER Consumption '!AC35</f>
        <v>0</v>
      </c>
      <c r="Y31" s="134">
        <f>'FEEDER Consumption '!AE35</f>
        <v>0</v>
      </c>
      <c r="Z31" s="134">
        <f>'FEEDER Consumption '!AG35</f>
        <v>0</v>
      </c>
      <c r="AA31" s="134">
        <f>'FEEDER Consumption '!AI35</f>
        <v>0</v>
      </c>
      <c r="AB31" s="134">
        <f>'FEEDER Consumption '!AK35</f>
        <v>0</v>
      </c>
      <c r="AC31" s="134">
        <f>'FEEDER Consumption '!AM35</f>
        <v>0</v>
      </c>
      <c r="AD31" s="134">
        <f>'FEEDER Consumption '!AO35</f>
        <v>0</v>
      </c>
      <c r="AE31" s="134">
        <f>'FEEDER Consumption '!AQ35</f>
        <v>0</v>
      </c>
      <c r="AF31" s="134">
        <f>'FEEDER Consumption '!AS35</f>
        <v>0</v>
      </c>
      <c r="AG31" s="134">
        <f>'FEEDER Consumption '!AU35</f>
        <v>0</v>
      </c>
      <c r="AH31" s="134">
        <f>'FEEDER Consumption '!AW35</f>
        <v>0</v>
      </c>
      <c r="AI31" s="134">
        <f>'FEEDER Consumption '!AY35</f>
        <v>0</v>
      </c>
      <c r="AJ31" s="134">
        <f>'FEEDER Consumption '!BA35</f>
        <v>0</v>
      </c>
      <c r="AK31" s="134">
        <f>'FEEDER Consumption '!BC35</f>
        <v>0</v>
      </c>
      <c r="AL31" s="134">
        <f>'FEEDER Consumption '!BE35</f>
        <v>0</v>
      </c>
      <c r="AM31" s="134">
        <f>'FEEDER Consumption '!BG35</f>
        <v>0</v>
      </c>
      <c r="AN31" s="134">
        <f>'Water Plant Daily Performance'!C33</f>
        <v>0</v>
      </c>
      <c r="AO31" s="134">
        <f>'Water Plant Daily Performance'!I33</f>
        <v>0</v>
      </c>
      <c r="AP31" s="134">
        <f>'Water Plant Daily Performance'!O33</f>
        <v>0</v>
      </c>
      <c r="AQ31" s="134">
        <f>'Water Plant Daily Performance'!U33</f>
        <v>0</v>
      </c>
      <c r="AR31" s="134">
        <f>Water!AD36</f>
        <v>0</v>
      </c>
      <c r="AS31" s="134">
        <f>Water!AH36</f>
        <v>0</v>
      </c>
      <c r="AT31" s="134">
        <f>Water!AJ36</f>
        <v>0</v>
      </c>
      <c r="AU31" s="134">
        <f>Water!AL36</f>
        <v>0</v>
      </c>
      <c r="AV31" s="134">
        <f>Water!AN36</f>
        <v>0</v>
      </c>
      <c r="AW31" s="134">
        <f>Water!AP36</f>
        <v>0</v>
      </c>
      <c r="AX31" s="134">
        <f>Water!AR36</f>
        <v>0</v>
      </c>
      <c r="AY31" s="134">
        <f>Water!AT36</f>
        <v>0</v>
      </c>
      <c r="AZ31" s="134">
        <f>Water!AT36</f>
        <v>0</v>
      </c>
      <c r="BA31" s="134">
        <f>Water!AX36</f>
        <v>0</v>
      </c>
      <c r="BB31" s="134">
        <f>Water!AZ36</f>
        <v>0</v>
      </c>
      <c r="BC31" s="134">
        <f>Water!BB36</f>
        <v>0</v>
      </c>
      <c r="BD31" s="134">
        <f>Water!BD36</f>
        <v>0</v>
      </c>
      <c r="BE31" s="134">
        <f>Water!BF36</f>
        <v>0</v>
      </c>
      <c r="BF31" s="134">
        <f>Water!BH36</f>
        <v>0</v>
      </c>
      <c r="BG31" s="134">
        <f>Water!BJ36</f>
        <v>0</v>
      </c>
      <c r="BH31" s="134">
        <f>Water!BL36</f>
        <v>0</v>
      </c>
      <c r="BI31" s="134">
        <f>Water!BP36</f>
        <v>0</v>
      </c>
      <c r="BJ31" s="134">
        <f>Water!BR36</f>
        <v>0</v>
      </c>
      <c r="BK31" s="134">
        <f>Water!BT36</f>
        <v>0</v>
      </c>
      <c r="BL31" s="134">
        <f>Water!BV36</f>
        <v>0</v>
      </c>
      <c r="BM31" s="134">
        <f>'Room Nights &amp; Food Covers'!B37</f>
        <v>0</v>
      </c>
      <c r="BN31" s="134">
        <f>'Room Nights &amp; Food Covers'!D37</f>
        <v>0</v>
      </c>
    </row>
    <row r="32" spans="1:66" ht="15.75" thickBot="1">
      <c r="A32" s="136" t="s">
        <v>16</v>
      </c>
      <c r="B32" s="136">
        <v>31</v>
      </c>
      <c r="C32" s="133">
        <f>TOTAL!C32</f>
        <v>3</v>
      </c>
      <c r="D32" s="132">
        <f>TOTAL!D32</f>
        <v>2023</v>
      </c>
      <c r="E32" s="134">
        <f>Solar!C36</f>
        <v>0</v>
      </c>
      <c r="F32" s="134">
        <f>'Powerhouse Daily Performance'!C34</f>
        <v>0</v>
      </c>
      <c r="G32" s="134">
        <f>'Powerhouse Daily Performance'!I34</f>
        <v>0</v>
      </c>
      <c r="H32" s="134">
        <f>'Powerhouse Daily Performance'!O34</f>
        <v>0</v>
      </c>
      <c r="I32" s="134">
        <f>'Powerhouse Daily Performance'!U34</f>
        <v>0</v>
      </c>
      <c r="J32" s="134">
        <f>'Powerhouse Daily Performance'!AA34</f>
        <v>0</v>
      </c>
      <c r="K32" s="134">
        <f>'FEEDER Consumption '!C36</f>
        <v>0</v>
      </c>
      <c r="L32" s="134">
        <f>'FEEDER Consumption '!E36</f>
        <v>0</v>
      </c>
      <c r="M32" s="134">
        <f>'FEEDER Consumption '!G36</f>
        <v>0</v>
      </c>
      <c r="N32" s="134">
        <f>'FEEDER Consumption '!I36</f>
        <v>0</v>
      </c>
      <c r="O32" s="134">
        <f>'FEEDER Consumption '!K36</f>
        <v>0</v>
      </c>
      <c r="P32" s="134">
        <f>'FEEDER Consumption '!M36</f>
        <v>0</v>
      </c>
      <c r="Q32" s="134">
        <f>'FEEDER Consumption '!O36</f>
        <v>0</v>
      </c>
      <c r="R32" s="134">
        <f>'FEEDER Consumption '!Q36</f>
        <v>0</v>
      </c>
      <c r="S32" s="134">
        <f>'FEEDER Consumption '!S36</f>
        <v>0</v>
      </c>
      <c r="T32" s="134">
        <f>'FEEDER Consumption '!U36</f>
        <v>0</v>
      </c>
      <c r="U32" s="134">
        <f>'FEEDER Consumption '!W36</f>
        <v>0</v>
      </c>
      <c r="V32" s="134">
        <f>'FEEDER Consumption '!Y36</f>
        <v>0</v>
      </c>
      <c r="W32" s="134">
        <f>'FEEDER Consumption '!AA36</f>
        <v>0</v>
      </c>
      <c r="X32" s="134">
        <f>'FEEDER Consumption '!AC36</f>
        <v>0</v>
      </c>
      <c r="Y32" s="134">
        <f>'FEEDER Consumption '!AE36</f>
        <v>0</v>
      </c>
      <c r="Z32" s="134">
        <f>'FEEDER Consumption '!AG36</f>
        <v>0</v>
      </c>
      <c r="AA32" s="134">
        <f>'FEEDER Consumption '!AI36</f>
        <v>0</v>
      </c>
      <c r="AB32" s="134">
        <f>'FEEDER Consumption '!AK36</f>
        <v>0</v>
      </c>
      <c r="AC32" s="134">
        <f>'FEEDER Consumption '!AM36</f>
        <v>0</v>
      </c>
      <c r="AD32" s="134">
        <f>'FEEDER Consumption '!AO36</f>
        <v>0</v>
      </c>
      <c r="AE32" s="134">
        <f>'FEEDER Consumption '!AQ36</f>
        <v>0</v>
      </c>
      <c r="AF32" s="134">
        <f>'FEEDER Consumption '!AS36</f>
        <v>0</v>
      </c>
      <c r="AG32" s="134">
        <f>'FEEDER Consumption '!AU36</f>
        <v>0</v>
      </c>
      <c r="AH32" s="134">
        <f>'FEEDER Consumption '!AW36</f>
        <v>0</v>
      </c>
      <c r="AI32" s="134">
        <f>'FEEDER Consumption '!AY36</f>
        <v>0</v>
      </c>
      <c r="AJ32" s="134">
        <f>'FEEDER Consumption '!BA36</f>
        <v>0</v>
      </c>
      <c r="AK32" s="134">
        <f>'FEEDER Consumption '!BC36</f>
        <v>0</v>
      </c>
      <c r="AL32" s="134">
        <f>'FEEDER Consumption '!BE36</f>
        <v>0</v>
      </c>
      <c r="AM32" s="134">
        <f>'FEEDER Consumption '!BG36</f>
        <v>0</v>
      </c>
      <c r="AN32" s="134">
        <f>'Water Plant Daily Performance'!C34</f>
        <v>0</v>
      </c>
      <c r="AO32" s="134">
        <f>'Water Plant Daily Performance'!I34</f>
        <v>0</v>
      </c>
      <c r="AP32" s="134">
        <f>'Water Plant Daily Performance'!O34</f>
        <v>0</v>
      </c>
      <c r="AQ32" s="134">
        <f>'Water Plant Daily Performance'!U34</f>
        <v>0</v>
      </c>
      <c r="AR32" s="134">
        <f>Water!AD37</f>
        <v>0</v>
      </c>
      <c r="AS32" s="134">
        <f>Water!AH37</f>
        <v>0</v>
      </c>
      <c r="AT32" s="134">
        <f>Water!AJ37</f>
        <v>0</v>
      </c>
      <c r="AU32" s="134">
        <f>Water!AL37</f>
        <v>0</v>
      </c>
      <c r="AV32" s="134">
        <f>Water!AN37</f>
        <v>0</v>
      </c>
      <c r="AW32" s="134">
        <f>Water!AP37</f>
        <v>0</v>
      </c>
      <c r="AX32" s="134">
        <f>Water!AR37</f>
        <v>0</v>
      </c>
      <c r="AY32" s="134">
        <f>Water!AT37</f>
        <v>0</v>
      </c>
      <c r="AZ32" s="134">
        <f>Water!AT37</f>
        <v>0</v>
      </c>
      <c r="BA32" s="134">
        <f>Water!AX37</f>
        <v>0</v>
      </c>
      <c r="BB32" s="134">
        <f>Water!AZ37</f>
        <v>0</v>
      </c>
      <c r="BC32" s="134">
        <f>Water!BB37</f>
        <v>0</v>
      </c>
      <c r="BD32" s="134">
        <f>Water!BD37</f>
        <v>0</v>
      </c>
      <c r="BE32" s="134">
        <f>Water!BF37</f>
        <v>0</v>
      </c>
      <c r="BF32" s="134">
        <f>Water!BH37</f>
        <v>0</v>
      </c>
      <c r="BG32" s="134">
        <f>Water!BJ37</f>
        <v>0</v>
      </c>
      <c r="BH32" s="134">
        <f>Water!BL37</f>
        <v>0</v>
      </c>
      <c r="BI32" s="134">
        <f>Water!BP37</f>
        <v>0</v>
      </c>
      <c r="BJ32" s="134">
        <f>Water!BR37</f>
        <v>0</v>
      </c>
      <c r="BK32" s="134">
        <f>Water!BT37</f>
        <v>0</v>
      </c>
      <c r="BL32" s="134">
        <f>Water!BV37</f>
        <v>0</v>
      </c>
      <c r="BM32" s="134">
        <f>'Room Nights &amp; Food Covers'!B38</f>
        <v>0</v>
      </c>
      <c r="BN32" s="134">
        <f>'Room Nights &amp; Food Covers'!D38</f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53EE-F963-4168-8FB0-4AE54A0128E2}">
  <sheetPr>
    <tabColor rgb="FFFF0000"/>
    <pageSetUpPr fitToPage="1"/>
  </sheetPr>
  <dimension ref="A1:K41"/>
  <sheetViews>
    <sheetView zoomScaleNormal="100" workbookViewId="0">
      <selection activeCell="N15" sqref="N15"/>
    </sheetView>
  </sheetViews>
  <sheetFormatPr defaultColWidth="9.140625" defaultRowHeight="12.75"/>
  <cols>
    <col min="1" max="1" width="9.5703125" style="60" customWidth="1"/>
    <col min="2" max="3" width="11.85546875" style="51" customWidth="1"/>
    <col min="4" max="4" width="11.42578125" style="51" customWidth="1"/>
    <col min="5" max="5" width="11.85546875" style="112" customWidth="1"/>
    <col min="6" max="6" width="18.5703125" style="112" customWidth="1"/>
    <col min="7" max="7" width="15.5703125" style="51" customWidth="1"/>
    <col min="8" max="8" width="14.5703125" style="124" customWidth="1"/>
    <col min="9" max="9" width="16.140625" style="51" customWidth="1"/>
    <col min="10" max="10" width="16.42578125" style="51" customWidth="1"/>
    <col min="11" max="11" width="17.7109375" style="51" customWidth="1"/>
    <col min="12" max="16384" width="9.140625" style="38"/>
  </cols>
  <sheetData>
    <row r="1" spans="1:11" ht="35.25" customHeight="1">
      <c r="A1" s="296"/>
      <c r="B1" s="296"/>
      <c r="C1" s="296"/>
      <c r="D1" s="296"/>
      <c r="E1" s="296"/>
      <c r="F1" s="296"/>
      <c r="G1" s="296"/>
      <c r="H1" s="296"/>
      <c r="I1" s="296"/>
      <c r="J1" s="296"/>
      <c r="K1" s="296"/>
    </row>
    <row r="2" spans="1:11">
      <c r="A2" s="111"/>
      <c r="H2" s="31"/>
    </row>
    <row r="3" spans="1:11">
      <c r="A3" s="111"/>
      <c r="B3" s="113"/>
      <c r="C3" s="113"/>
      <c r="H3" s="31"/>
    </row>
    <row r="4" spans="1:11" ht="20.25" customHeight="1">
      <c r="A4" s="297" t="s">
        <v>79</v>
      </c>
      <c r="B4" s="297"/>
      <c r="C4" s="297"/>
      <c r="D4" s="297"/>
      <c r="E4" s="297"/>
      <c r="F4" s="297"/>
      <c r="G4" s="297"/>
      <c r="H4" s="297"/>
      <c r="I4" s="297"/>
      <c r="J4" s="297"/>
      <c r="K4" s="297"/>
    </row>
    <row r="5" spans="1:11">
      <c r="A5" s="298">
        <v>44958</v>
      </c>
      <c r="B5" s="299"/>
      <c r="C5" s="299"/>
      <c r="D5" s="299"/>
      <c r="E5" s="299"/>
      <c r="F5" s="299"/>
      <c r="G5" s="299"/>
      <c r="H5" s="299"/>
      <c r="I5" s="299"/>
      <c r="J5" s="299"/>
      <c r="K5" s="299"/>
    </row>
    <row r="6" spans="1:11">
      <c r="G6" s="114"/>
      <c r="H6" s="115"/>
    </row>
    <row r="7" spans="1:11" ht="38.25">
      <c r="A7" s="116" t="s">
        <v>80</v>
      </c>
      <c r="B7" s="117" t="s">
        <v>81</v>
      </c>
      <c r="C7" s="117" t="s">
        <v>82</v>
      </c>
      <c r="D7" s="117" t="s">
        <v>83</v>
      </c>
      <c r="E7" s="118" t="s">
        <v>84</v>
      </c>
      <c r="F7" s="118" t="s">
        <v>85</v>
      </c>
      <c r="G7" s="117" t="s">
        <v>86</v>
      </c>
      <c r="H7" s="28" t="s">
        <v>87</v>
      </c>
      <c r="I7" s="117" t="s">
        <v>88</v>
      </c>
      <c r="J7" s="117" t="s">
        <v>89</v>
      </c>
      <c r="K7" s="117" t="s">
        <v>90</v>
      </c>
    </row>
    <row r="8" spans="1:11" ht="15.75" customHeight="1">
      <c r="A8" s="49">
        <v>1</v>
      </c>
      <c r="B8" s="119">
        <f>TOTAL!M2</f>
        <v>57</v>
      </c>
      <c r="C8" s="125">
        <f>'Room Nights &amp; Food Covers'!C5</f>
        <v>123</v>
      </c>
      <c r="D8" s="25">
        <f>'Powerhouse Daily Performance'!AG4</f>
        <v>27478</v>
      </c>
      <c r="E8" s="30">
        <f>Solar!C6</f>
        <v>3199</v>
      </c>
      <c r="F8" s="30">
        <f>E8+D8</f>
        <v>30677</v>
      </c>
      <c r="G8" s="25">
        <f>'Water Plant Daily Performance'!AG4</f>
        <v>350</v>
      </c>
      <c r="H8" s="29">
        <f>'LPG Gas'!G5</f>
        <v>225</v>
      </c>
      <c r="I8" s="25">
        <f>'Diesel consumption'!C8</f>
        <v>7750</v>
      </c>
      <c r="J8" s="25">
        <f>'Diesel consumption'!F8</f>
        <v>500</v>
      </c>
      <c r="K8" s="25">
        <f>'Diesel consumption'!M8</f>
        <v>800</v>
      </c>
    </row>
    <row r="9" spans="1:11" ht="15.75" customHeight="1">
      <c r="A9" s="49">
        <v>2</v>
      </c>
      <c r="B9" s="119">
        <f>TOTAL!M3</f>
        <v>57</v>
      </c>
      <c r="C9" s="125">
        <f>'Room Nights &amp; Food Covers'!C6</f>
        <v>125</v>
      </c>
      <c r="D9" s="25">
        <f>'Powerhouse Daily Performance'!AG5</f>
        <v>28384</v>
      </c>
      <c r="E9" s="30">
        <f>Solar!C7</f>
        <v>2956</v>
      </c>
      <c r="F9" s="30">
        <f t="shared" ref="F9:F35" si="0">E9+D9</f>
        <v>31340</v>
      </c>
      <c r="G9" s="25">
        <f>'Water Plant Daily Performance'!AG5</f>
        <v>341</v>
      </c>
      <c r="H9" s="29">
        <f>'LPG Gas'!G6</f>
        <v>225</v>
      </c>
      <c r="I9" s="25">
        <f>'Diesel consumption'!C9</f>
        <v>7890</v>
      </c>
      <c r="J9" s="25">
        <f>'Diesel consumption'!F9</f>
        <v>3440</v>
      </c>
      <c r="K9" s="25">
        <f>'Diesel consumption'!M9</f>
        <v>1750</v>
      </c>
    </row>
    <row r="10" spans="1:11" ht="15.75" customHeight="1">
      <c r="A10" s="49">
        <v>3</v>
      </c>
      <c r="B10" s="119">
        <f>TOTAL!M4</f>
        <v>58</v>
      </c>
      <c r="C10" s="125">
        <f>'Room Nights &amp; Food Covers'!C7</f>
        <v>128</v>
      </c>
      <c r="D10" s="25">
        <f>'Powerhouse Daily Performance'!AG6</f>
        <v>28047</v>
      </c>
      <c r="E10" s="30">
        <f>Solar!C8</f>
        <v>3031</v>
      </c>
      <c r="F10" s="30">
        <f t="shared" si="0"/>
        <v>31078</v>
      </c>
      <c r="G10" s="25">
        <f>'Water Plant Daily Performance'!AG6</f>
        <v>338</v>
      </c>
      <c r="H10" s="29">
        <f>'LPG Gas'!G7</f>
        <v>315</v>
      </c>
      <c r="I10" s="25">
        <f>'Diesel consumption'!C10</f>
        <v>7780</v>
      </c>
      <c r="J10" s="25">
        <f>'Diesel consumption'!F10</f>
        <v>640</v>
      </c>
      <c r="K10" s="25">
        <f>'Diesel consumption'!M10</f>
        <v>740</v>
      </c>
    </row>
    <row r="11" spans="1:11" ht="15.75" customHeight="1">
      <c r="A11" s="49">
        <v>4</v>
      </c>
      <c r="B11" s="119">
        <f>TOTAL!M5</f>
        <v>59</v>
      </c>
      <c r="C11" s="125">
        <f>'Room Nights &amp; Food Covers'!C8</f>
        <v>124</v>
      </c>
      <c r="D11" s="25">
        <f>'Powerhouse Daily Performance'!AG7</f>
        <v>27363</v>
      </c>
      <c r="E11" s="30">
        <f>Solar!C9</f>
        <v>2866</v>
      </c>
      <c r="F11" s="30">
        <f t="shared" si="0"/>
        <v>30229</v>
      </c>
      <c r="G11" s="25">
        <f>'Water Plant Daily Performance'!AG7</f>
        <v>377</v>
      </c>
      <c r="H11" s="29">
        <f>'LPG Gas'!G8</f>
        <v>270</v>
      </c>
      <c r="I11" s="25">
        <f>'Diesel consumption'!C11</f>
        <v>7580</v>
      </c>
      <c r="J11" s="25">
        <f>'Diesel consumption'!F11</f>
        <v>2090</v>
      </c>
      <c r="K11" s="25">
        <f>'Diesel consumption'!M11</f>
        <v>550</v>
      </c>
    </row>
    <row r="12" spans="1:11" ht="15.75" customHeight="1">
      <c r="A12" s="49">
        <v>5</v>
      </c>
      <c r="B12" s="119">
        <f>TOTAL!M6</f>
        <v>56</v>
      </c>
      <c r="C12" s="125">
        <f>'Room Nights &amp; Food Covers'!C9</f>
        <v>126</v>
      </c>
      <c r="D12" s="25">
        <f>'Powerhouse Daily Performance'!AG8</f>
        <v>26732</v>
      </c>
      <c r="E12" s="30">
        <f>Solar!C10</f>
        <v>2096</v>
      </c>
      <c r="F12" s="30">
        <f t="shared" si="0"/>
        <v>28828</v>
      </c>
      <c r="G12" s="25">
        <f>'Water Plant Daily Performance'!AG8</f>
        <v>298</v>
      </c>
      <c r="H12" s="29">
        <f>'LPG Gas'!G9</f>
        <v>270</v>
      </c>
      <c r="I12" s="25">
        <f>'Diesel consumption'!C12</f>
        <v>7360</v>
      </c>
      <c r="J12" s="25">
        <f>'Diesel consumption'!F12</f>
        <v>0</v>
      </c>
      <c r="K12" s="25">
        <f>'Diesel consumption'!M12</f>
        <v>1200</v>
      </c>
    </row>
    <row r="13" spans="1:11" ht="15.75" customHeight="1">
      <c r="A13" s="49">
        <v>6</v>
      </c>
      <c r="B13" s="119">
        <f>TOTAL!M7</f>
        <v>63</v>
      </c>
      <c r="C13" s="125">
        <f>'Room Nights &amp; Food Covers'!C10</f>
        <v>135</v>
      </c>
      <c r="D13" s="25">
        <f>'Powerhouse Daily Performance'!AG9</f>
        <v>25607</v>
      </c>
      <c r="E13" s="30">
        <f>Solar!C11</f>
        <v>1133</v>
      </c>
      <c r="F13" s="30">
        <f t="shared" si="0"/>
        <v>26740</v>
      </c>
      <c r="G13" s="25">
        <f>'Water Plant Daily Performance'!AG9</f>
        <v>297</v>
      </c>
      <c r="H13" s="29">
        <f>'LPG Gas'!G10</f>
        <v>180</v>
      </c>
      <c r="I13" s="25">
        <f>'Diesel consumption'!C13</f>
        <v>7070</v>
      </c>
      <c r="J13" s="25">
        <f>'Diesel consumption'!F13</f>
        <v>1640</v>
      </c>
      <c r="K13" s="25">
        <f>'Diesel consumption'!M13</f>
        <v>2310</v>
      </c>
    </row>
    <row r="14" spans="1:11" ht="15.75" customHeight="1">
      <c r="A14" s="49">
        <v>7</v>
      </c>
      <c r="B14" s="119">
        <f>TOTAL!M8</f>
        <v>61</v>
      </c>
      <c r="C14" s="125">
        <f>'Room Nights &amp; Food Covers'!C11</f>
        <v>139</v>
      </c>
      <c r="D14" s="25">
        <f>'Powerhouse Daily Performance'!AG10</f>
        <v>26219</v>
      </c>
      <c r="E14" s="30">
        <f>Solar!C12</f>
        <v>3060</v>
      </c>
      <c r="F14" s="30">
        <f t="shared" si="0"/>
        <v>29279</v>
      </c>
      <c r="G14" s="25">
        <f>'Water Plant Daily Performance'!AG10</f>
        <v>344</v>
      </c>
      <c r="H14" s="29">
        <f>'LPG Gas'!G11</f>
        <v>315</v>
      </c>
      <c r="I14" s="25">
        <f>'Diesel consumption'!C14</f>
        <v>6410</v>
      </c>
      <c r="J14" s="25">
        <f>'Diesel consumption'!F14</f>
        <v>500</v>
      </c>
      <c r="K14" s="25">
        <f>'Diesel consumption'!M14</f>
        <v>960</v>
      </c>
    </row>
    <row r="15" spans="1:11" ht="15.75" customHeight="1">
      <c r="A15" s="49">
        <v>8</v>
      </c>
      <c r="B15" s="119">
        <f>TOTAL!M9</f>
        <v>0</v>
      </c>
      <c r="C15" s="125">
        <f>'Room Nights &amp; Food Covers'!C12</f>
        <v>0</v>
      </c>
      <c r="D15" s="25">
        <f>'Powerhouse Daily Performance'!AG11</f>
        <v>28435</v>
      </c>
      <c r="E15" s="30">
        <f>Solar!C13</f>
        <v>2975</v>
      </c>
      <c r="F15" s="30">
        <f t="shared" si="0"/>
        <v>31410</v>
      </c>
      <c r="G15" s="25">
        <f>'Water Plant Daily Performance'!AG11</f>
        <v>351</v>
      </c>
      <c r="H15" s="29">
        <f>'LPG Gas'!G12</f>
        <v>135</v>
      </c>
      <c r="I15" s="25">
        <f>'Diesel consumption'!C15</f>
        <v>9460</v>
      </c>
      <c r="J15" s="25">
        <f>'Diesel consumption'!F15</f>
        <v>0</v>
      </c>
      <c r="K15" s="25">
        <f>'Diesel consumption'!M15</f>
        <v>1290</v>
      </c>
    </row>
    <row r="16" spans="1:11" ht="15.75" customHeight="1">
      <c r="A16" s="49">
        <v>9</v>
      </c>
      <c r="B16" s="119">
        <f>TOTAL!M10</f>
        <v>0</v>
      </c>
      <c r="C16" s="125">
        <f>'Room Nights &amp; Food Covers'!C13</f>
        <v>0</v>
      </c>
      <c r="D16" s="25">
        <f>'Powerhouse Daily Performance'!AG12</f>
        <v>0</v>
      </c>
      <c r="E16" s="30">
        <f>Solar!C14</f>
        <v>0</v>
      </c>
      <c r="F16" s="30">
        <f t="shared" si="0"/>
        <v>0</v>
      </c>
      <c r="G16" s="25">
        <f>'Water Plant Daily Performance'!AG12</f>
        <v>0</v>
      </c>
      <c r="H16" s="29">
        <f>'LPG Gas'!G13</f>
        <v>0</v>
      </c>
      <c r="I16" s="25">
        <f>'Diesel consumption'!C16</f>
        <v>0</v>
      </c>
      <c r="J16" s="25">
        <f>'Diesel consumption'!F16</f>
        <v>0</v>
      </c>
      <c r="K16" s="25">
        <f>'Diesel consumption'!M16</f>
        <v>0</v>
      </c>
    </row>
    <row r="17" spans="1:11" ht="15.75" customHeight="1">
      <c r="A17" s="49">
        <v>10</v>
      </c>
      <c r="B17" s="119">
        <f>TOTAL!M11</f>
        <v>0</v>
      </c>
      <c r="C17" s="125">
        <f>'Room Nights &amp; Food Covers'!C14</f>
        <v>0</v>
      </c>
      <c r="D17" s="25">
        <f>'Powerhouse Daily Performance'!AG13</f>
        <v>0</v>
      </c>
      <c r="E17" s="30">
        <f>Solar!C15</f>
        <v>0</v>
      </c>
      <c r="F17" s="30">
        <f t="shared" si="0"/>
        <v>0</v>
      </c>
      <c r="G17" s="25">
        <f>'Water Plant Daily Performance'!AG13</f>
        <v>0</v>
      </c>
      <c r="H17" s="29">
        <f>'LPG Gas'!G14</f>
        <v>0</v>
      </c>
      <c r="I17" s="25">
        <f>'Diesel consumption'!C17</f>
        <v>0</v>
      </c>
      <c r="J17" s="25">
        <f>'Diesel consumption'!F17</f>
        <v>0</v>
      </c>
      <c r="K17" s="25">
        <f>'Diesel consumption'!M17</f>
        <v>0</v>
      </c>
    </row>
    <row r="18" spans="1:11" ht="15.75" customHeight="1">
      <c r="A18" s="49">
        <v>11</v>
      </c>
      <c r="B18" s="119">
        <f>TOTAL!M12</f>
        <v>0</v>
      </c>
      <c r="C18" s="125">
        <f>'Room Nights &amp; Food Covers'!C15</f>
        <v>0</v>
      </c>
      <c r="D18" s="25">
        <f>'Powerhouse Daily Performance'!AG14</f>
        <v>0</v>
      </c>
      <c r="E18" s="30">
        <f>Solar!C16</f>
        <v>0</v>
      </c>
      <c r="F18" s="30">
        <f t="shared" si="0"/>
        <v>0</v>
      </c>
      <c r="G18" s="25">
        <f>'Water Plant Daily Performance'!AG14</f>
        <v>0</v>
      </c>
      <c r="H18" s="29">
        <f>'LPG Gas'!G15</f>
        <v>0</v>
      </c>
      <c r="I18" s="25">
        <f>'Diesel consumption'!C18</f>
        <v>0</v>
      </c>
      <c r="J18" s="25">
        <f>'Diesel consumption'!F18</f>
        <v>0</v>
      </c>
      <c r="K18" s="25">
        <f>'Diesel consumption'!M18</f>
        <v>0</v>
      </c>
    </row>
    <row r="19" spans="1:11" ht="15.75" customHeight="1">
      <c r="A19" s="49">
        <v>12</v>
      </c>
      <c r="B19" s="119">
        <f>TOTAL!M13</f>
        <v>0</v>
      </c>
      <c r="C19" s="125">
        <f>'Room Nights &amp; Food Covers'!C16</f>
        <v>0</v>
      </c>
      <c r="D19" s="25">
        <f>'Powerhouse Daily Performance'!AG15</f>
        <v>0</v>
      </c>
      <c r="E19" s="30">
        <f>Solar!C17</f>
        <v>0</v>
      </c>
      <c r="F19" s="30">
        <f t="shared" si="0"/>
        <v>0</v>
      </c>
      <c r="G19" s="25">
        <f>'Water Plant Daily Performance'!AG15</f>
        <v>0</v>
      </c>
      <c r="H19" s="29">
        <f>'LPG Gas'!G16</f>
        <v>0</v>
      </c>
      <c r="I19" s="25">
        <f>'Diesel consumption'!C19</f>
        <v>0</v>
      </c>
      <c r="J19" s="25">
        <f>'Diesel consumption'!F19</f>
        <v>0</v>
      </c>
      <c r="K19" s="25">
        <f>'Diesel consumption'!M19</f>
        <v>0</v>
      </c>
    </row>
    <row r="20" spans="1:11" ht="15.75" customHeight="1">
      <c r="A20" s="49">
        <v>13</v>
      </c>
      <c r="B20" s="119">
        <f>TOTAL!M14</f>
        <v>0</v>
      </c>
      <c r="C20" s="125">
        <f>'Room Nights &amp; Food Covers'!C17</f>
        <v>0</v>
      </c>
      <c r="D20" s="25">
        <f>'Powerhouse Daily Performance'!AG16</f>
        <v>0</v>
      </c>
      <c r="E20" s="30">
        <f>Solar!C18</f>
        <v>0</v>
      </c>
      <c r="F20" s="30">
        <f t="shared" si="0"/>
        <v>0</v>
      </c>
      <c r="G20" s="25">
        <f>'Water Plant Daily Performance'!AG16</f>
        <v>0</v>
      </c>
      <c r="H20" s="29">
        <f>'LPG Gas'!G17</f>
        <v>0</v>
      </c>
      <c r="I20" s="25">
        <f>'Diesel consumption'!C20</f>
        <v>0</v>
      </c>
      <c r="J20" s="25">
        <f>'Diesel consumption'!F20</f>
        <v>0</v>
      </c>
      <c r="K20" s="25">
        <f>'Diesel consumption'!M20</f>
        <v>0</v>
      </c>
    </row>
    <row r="21" spans="1:11" ht="15.75" customHeight="1">
      <c r="A21" s="49">
        <v>14</v>
      </c>
      <c r="B21" s="119">
        <f>TOTAL!M15</f>
        <v>0</v>
      </c>
      <c r="C21" s="125">
        <f>'Room Nights &amp; Food Covers'!C18</f>
        <v>0</v>
      </c>
      <c r="D21" s="25">
        <f>'Powerhouse Daily Performance'!AG17</f>
        <v>0</v>
      </c>
      <c r="E21" s="30">
        <f>Solar!C19</f>
        <v>0</v>
      </c>
      <c r="F21" s="30">
        <f t="shared" si="0"/>
        <v>0</v>
      </c>
      <c r="G21" s="25">
        <f>'Water Plant Daily Performance'!AG17</f>
        <v>0</v>
      </c>
      <c r="H21" s="29">
        <f>'LPG Gas'!G18</f>
        <v>0</v>
      </c>
      <c r="I21" s="25">
        <f>'Diesel consumption'!C21</f>
        <v>0</v>
      </c>
      <c r="J21" s="25">
        <f>'Diesel consumption'!F21</f>
        <v>0</v>
      </c>
      <c r="K21" s="25">
        <f>'Diesel consumption'!M21</f>
        <v>0</v>
      </c>
    </row>
    <row r="22" spans="1:11" ht="15.75" customHeight="1">
      <c r="A22" s="49">
        <v>15</v>
      </c>
      <c r="B22" s="119">
        <f>TOTAL!M16</f>
        <v>0</v>
      </c>
      <c r="C22" s="125">
        <f>'Room Nights &amp; Food Covers'!C19</f>
        <v>0</v>
      </c>
      <c r="D22" s="25">
        <f>'Powerhouse Daily Performance'!AG18</f>
        <v>0</v>
      </c>
      <c r="E22" s="30">
        <f>Solar!C20</f>
        <v>0</v>
      </c>
      <c r="F22" s="30">
        <f t="shared" si="0"/>
        <v>0</v>
      </c>
      <c r="G22" s="25">
        <f>'Water Plant Daily Performance'!AG18</f>
        <v>0</v>
      </c>
      <c r="H22" s="29">
        <f>'LPG Gas'!G19</f>
        <v>0</v>
      </c>
      <c r="I22" s="25">
        <f>'Diesel consumption'!C22</f>
        <v>0</v>
      </c>
      <c r="J22" s="25">
        <f>'Diesel consumption'!F22</f>
        <v>0</v>
      </c>
      <c r="K22" s="25">
        <f>'Diesel consumption'!M22</f>
        <v>0</v>
      </c>
    </row>
    <row r="23" spans="1:11" ht="15.75" customHeight="1">
      <c r="A23" s="49">
        <v>16</v>
      </c>
      <c r="B23" s="119">
        <f>TOTAL!M17</f>
        <v>0</v>
      </c>
      <c r="C23" s="125">
        <f>'Room Nights &amp; Food Covers'!C20</f>
        <v>0</v>
      </c>
      <c r="D23" s="25">
        <f>'Powerhouse Daily Performance'!AG19</f>
        <v>0</v>
      </c>
      <c r="E23" s="30">
        <f>Solar!C21</f>
        <v>0</v>
      </c>
      <c r="F23" s="30">
        <f t="shared" si="0"/>
        <v>0</v>
      </c>
      <c r="G23" s="25">
        <f>'Water Plant Daily Performance'!AG19</f>
        <v>0</v>
      </c>
      <c r="H23" s="29">
        <f>'LPG Gas'!G20</f>
        <v>0</v>
      </c>
      <c r="I23" s="25">
        <f>'Diesel consumption'!C23</f>
        <v>0</v>
      </c>
      <c r="J23" s="25">
        <f>'Diesel consumption'!F23</f>
        <v>0</v>
      </c>
      <c r="K23" s="25">
        <f>'Diesel consumption'!M23</f>
        <v>0</v>
      </c>
    </row>
    <row r="24" spans="1:11" ht="15.75" customHeight="1">
      <c r="A24" s="49">
        <v>17</v>
      </c>
      <c r="B24" s="119">
        <f>TOTAL!M18</f>
        <v>0</v>
      </c>
      <c r="C24" s="125">
        <f>'Room Nights &amp; Food Covers'!C21</f>
        <v>0</v>
      </c>
      <c r="D24" s="25">
        <f>'Powerhouse Daily Performance'!AG20</f>
        <v>0</v>
      </c>
      <c r="E24" s="30">
        <f>Solar!C22</f>
        <v>0</v>
      </c>
      <c r="F24" s="30">
        <f t="shared" si="0"/>
        <v>0</v>
      </c>
      <c r="G24" s="25">
        <f>'Water Plant Daily Performance'!AG20</f>
        <v>0</v>
      </c>
      <c r="H24" s="29">
        <f>'LPG Gas'!G21</f>
        <v>0</v>
      </c>
      <c r="I24" s="25">
        <f>'Diesel consumption'!C24</f>
        <v>0</v>
      </c>
      <c r="J24" s="25">
        <f>'Diesel consumption'!F24</f>
        <v>0</v>
      </c>
      <c r="K24" s="25">
        <f>'Diesel consumption'!M24</f>
        <v>0</v>
      </c>
    </row>
    <row r="25" spans="1:11" ht="15.75" customHeight="1">
      <c r="A25" s="49">
        <v>18</v>
      </c>
      <c r="B25" s="119">
        <f>TOTAL!M19</f>
        <v>0</v>
      </c>
      <c r="C25" s="125">
        <f>'Room Nights &amp; Food Covers'!C22</f>
        <v>0</v>
      </c>
      <c r="D25" s="25">
        <f>'Powerhouse Daily Performance'!AG21</f>
        <v>0</v>
      </c>
      <c r="E25" s="30">
        <f>Solar!C23</f>
        <v>0</v>
      </c>
      <c r="F25" s="30">
        <f t="shared" si="0"/>
        <v>0</v>
      </c>
      <c r="G25" s="25">
        <f>'Water Plant Daily Performance'!AG21</f>
        <v>0</v>
      </c>
      <c r="H25" s="29">
        <f>'LPG Gas'!G22</f>
        <v>0</v>
      </c>
      <c r="I25" s="25">
        <f>'Diesel consumption'!C25</f>
        <v>0</v>
      </c>
      <c r="J25" s="25">
        <f>'Diesel consumption'!F25</f>
        <v>0</v>
      </c>
      <c r="K25" s="25">
        <f>'Diesel consumption'!M25</f>
        <v>0</v>
      </c>
    </row>
    <row r="26" spans="1:11" ht="15.75" customHeight="1">
      <c r="A26" s="49">
        <v>19</v>
      </c>
      <c r="B26" s="119">
        <f>TOTAL!M20</f>
        <v>0</v>
      </c>
      <c r="C26" s="125">
        <f>'Room Nights &amp; Food Covers'!C23</f>
        <v>0</v>
      </c>
      <c r="D26" s="25">
        <f>'Powerhouse Daily Performance'!AG22</f>
        <v>0</v>
      </c>
      <c r="E26" s="30">
        <f>Solar!C24</f>
        <v>0</v>
      </c>
      <c r="F26" s="30">
        <f t="shared" si="0"/>
        <v>0</v>
      </c>
      <c r="G26" s="25">
        <f>'Water Plant Daily Performance'!AG22</f>
        <v>0</v>
      </c>
      <c r="H26" s="29">
        <f>'LPG Gas'!G23</f>
        <v>0</v>
      </c>
      <c r="I26" s="25">
        <f>'Diesel consumption'!C26</f>
        <v>0</v>
      </c>
      <c r="J26" s="25">
        <f>'Diesel consumption'!F26</f>
        <v>0</v>
      </c>
      <c r="K26" s="25">
        <f>'Diesel consumption'!M26</f>
        <v>0</v>
      </c>
    </row>
    <row r="27" spans="1:11" ht="15.75" customHeight="1">
      <c r="A27" s="49">
        <v>20</v>
      </c>
      <c r="B27" s="119">
        <f>TOTAL!M21</f>
        <v>0</v>
      </c>
      <c r="C27" s="125">
        <f>'Room Nights &amp; Food Covers'!C24</f>
        <v>0</v>
      </c>
      <c r="D27" s="25">
        <f>'Powerhouse Daily Performance'!AG23</f>
        <v>0</v>
      </c>
      <c r="E27" s="30">
        <f>Solar!C25</f>
        <v>0</v>
      </c>
      <c r="F27" s="30">
        <f t="shared" si="0"/>
        <v>0</v>
      </c>
      <c r="G27" s="25">
        <f>'Water Plant Daily Performance'!AG23</f>
        <v>0</v>
      </c>
      <c r="H27" s="29">
        <f>'LPG Gas'!G24</f>
        <v>0</v>
      </c>
      <c r="I27" s="25">
        <f>'Diesel consumption'!C27</f>
        <v>0</v>
      </c>
      <c r="J27" s="25">
        <f>'Diesel consumption'!F27</f>
        <v>0</v>
      </c>
      <c r="K27" s="25">
        <f>'Diesel consumption'!M27</f>
        <v>0</v>
      </c>
    </row>
    <row r="28" spans="1:11" ht="15.75" customHeight="1">
      <c r="A28" s="49">
        <v>21</v>
      </c>
      <c r="B28" s="119">
        <f>TOTAL!M22</f>
        <v>0</v>
      </c>
      <c r="C28" s="125">
        <f>'Room Nights &amp; Food Covers'!C25</f>
        <v>0</v>
      </c>
      <c r="D28" s="25">
        <f>'Powerhouse Daily Performance'!AG24</f>
        <v>0</v>
      </c>
      <c r="E28" s="30">
        <f>Solar!C26</f>
        <v>0</v>
      </c>
      <c r="F28" s="30">
        <f t="shared" si="0"/>
        <v>0</v>
      </c>
      <c r="G28" s="25">
        <f>'Water Plant Daily Performance'!AG24</f>
        <v>0</v>
      </c>
      <c r="H28" s="29">
        <f>'LPG Gas'!G25</f>
        <v>0</v>
      </c>
      <c r="I28" s="25">
        <f>'Diesel consumption'!C28</f>
        <v>0</v>
      </c>
      <c r="J28" s="25">
        <f>'Diesel consumption'!F28</f>
        <v>0</v>
      </c>
      <c r="K28" s="25">
        <f>'Diesel consumption'!M28</f>
        <v>0</v>
      </c>
    </row>
    <row r="29" spans="1:11" ht="15.75" customHeight="1">
      <c r="A29" s="49">
        <v>22</v>
      </c>
      <c r="B29" s="119">
        <f>TOTAL!M23</f>
        <v>0</v>
      </c>
      <c r="C29" s="125">
        <f>'Room Nights &amp; Food Covers'!C26</f>
        <v>0</v>
      </c>
      <c r="D29" s="25">
        <f>'Powerhouse Daily Performance'!AG25</f>
        <v>0</v>
      </c>
      <c r="E29" s="30">
        <f>Solar!C27</f>
        <v>0</v>
      </c>
      <c r="F29" s="30">
        <f t="shared" si="0"/>
        <v>0</v>
      </c>
      <c r="G29" s="25">
        <f>'Water Plant Daily Performance'!AG25</f>
        <v>0</v>
      </c>
      <c r="H29" s="29">
        <f>'LPG Gas'!G26</f>
        <v>0</v>
      </c>
      <c r="I29" s="25">
        <f>'Diesel consumption'!C29</f>
        <v>0</v>
      </c>
      <c r="J29" s="25">
        <f>'Diesel consumption'!F29</f>
        <v>0</v>
      </c>
      <c r="K29" s="25">
        <f>'Diesel consumption'!M29</f>
        <v>0</v>
      </c>
    </row>
    <row r="30" spans="1:11" ht="15.75" customHeight="1">
      <c r="A30" s="49">
        <v>23</v>
      </c>
      <c r="B30" s="119">
        <f>TOTAL!M24</f>
        <v>0</v>
      </c>
      <c r="C30" s="125">
        <f>'Room Nights &amp; Food Covers'!C27</f>
        <v>0</v>
      </c>
      <c r="D30" s="25">
        <f>'Powerhouse Daily Performance'!AG26</f>
        <v>0</v>
      </c>
      <c r="E30" s="30">
        <f>Solar!C28</f>
        <v>0</v>
      </c>
      <c r="F30" s="30">
        <f t="shared" si="0"/>
        <v>0</v>
      </c>
      <c r="G30" s="25">
        <f>'Water Plant Daily Performance'!AG26</f>
        <v>0</v>
      </c>
      <c r="H30" s="29">
        <f>'LPG Gas'!G27</f>
        <v>0</v>
      </c>
      <c r="I30" s="25">
        <f>'Diesel consumption'!C30</f>
        <v>0</v>
      </c>
      <c r="J30" s="25">
        <f>'Diesel consumption'!F30</f>
        <v>0</v>
      </c>
      <c r="K30" s="25">
        <f>'Diesel consumption'!M30</f>
        <v>0</v>
      </c>
    </row>
    <row r="31" spans="1:11" ht="15.75" customHeight="1">
      <c r="A31" s="49">
        <v>24</v>
      </c>
      <c r="B31" s="119">
        <f>TOTAL!M25</f>
        <v>0</v>
      </c>
      <c r="C31" s="125">
        <f>'Room Nights &amp; Food Covers'!C28</f>
        <v>0</v>
      </c>
      <c r="D31" s="25">
        <f>'Powerhouse Daily Performance'!AG27</f>
        <v>0</v>
      </c>
      <c r="E31" s="30">
        <f>Solar!C29</f>
        <v>0</v>
      </c>
      <c r="F31" s="30">
        <f t="shared" si="0"/>
        <v>0</v>
      </c>
      <c r="G31" s="25">
        <f>'Water Plant Daily Performance'!AG27</f>
        <v>0</v>
      </c>
      <c r="H31" s="29">
        <f>'LPG Gas'!G28</f>
        <v>0</v>
      </c>
      <c r="I31" s="25">
        <f>'Diesel consumption'!C31</f>
        <v>0</v>
      </c>
      <c r="J31" s="25">
        <f>'Diesel consumption'!F31</f>
        <v>0</v>
      </c>
      <c r="K31" s="25">
        <f>'Diesel consumption'!M31</f>
        <v>0</v>
      </c>
    </row>
    <row r="32" spans="1:11" ht="15.75" customHeight="1">
      <c r="A32" s="49">
        <v>25</v>
      </c>
      <c r="B32" s="119">
        <f>TOTAL!M26</f>
        <v>0</v>
      </c>
      <c r="C32" s="125">
        <f>'Room Nights &amp; Food Covers'!C29</f>
        <v>0</v>
      </c>
      <c r="D32" s="25">
        <f>'Powerhouse Daily Performance'!AG28</f>
        <v>0</v>
      </c>
      <c r="E32" s="30">
        <f>Solar!C30</f>
        <v>0</v>
      </c>
      <c r="F32" s="30">
        <f t="shared" si="0"/>
        <v>0</v>
      </c>
      <c r="G32" s="25">
        <f>'Water Plant Daily Performance'!AG28</f>
        <v>0</v>
      </c>
      <c r="H32" s="29">
        <f>'LPG Gas'!G29</f>
        <v>0</v>
      </c>
      <c r="I32" s="25">
        <f>'Diesel consumption'!C32</f>
        <v>0</v>
      </c>
      <c r="J32" s="25">
        <f>'Diesel consumption'!F32</f>
        <v>0</v>
      </c>
      <c r="K32" s="25">
        <f>'Diesel consumption'!M32</f>
        <v>0</v>
      </c>
    </row>
    <row r="33" spans="1:11" ht="15.75" customHeight="1">
      <c r="A33" s="49">
        <v>26</v>
      </c>
      <c r="B33" s="119">
        <f>TOTAL!M27</f>
        <v>0</v>
      </c>
      <c r="C33" s="125">
        <f>'Room Nights &amp; Food Covers'!C30</f>
        <v>0</v>
      </c>
      <c r="D33" s="25">
        <f>'Powerhouse Daily Performance'!AG29</f>
        <v>0</v>
      </c>
      <c r="E33" s="30">
        <f>Solar!C31</f>
        <v>0</v>
      </c>
      <c r="F33" s="30">
        <f t="shared" si="0"/>
        <v>0</v>
      </c>
      <c r="G33" s="25">
        <f>'Water Plant Daily Performance'!AG29</f>
        <v>0</v>
      </c>
      <c r="H33" s="29">
        <f>'LPG Gas'!G30</f>
        <v>0</v>
      </c>
      <c r="I33" s="25">
        <f>'Diesel consumption'!C33</f>
        <v>0</v>
      </c>
      <c r="J33" s="25">
        <f>'Diesel consumption'!F33</f>
        <v>0</v>
      </c>
      <c r="K33" s="25">
        <f>'Diesel consumption'!M33</f>
        <v>0</v>
      </c>
    </row>
    <row r="34" spans="1:11" ht="15.75" customHeight="1">
      <c r="A34" s="49">
        <v>27</v>
      </c>
      <c r="B34" s="119">
        <f>TOTAL!M28</f>
        <v>0</v>
      </c>
      <c r="C34" s="125">
        <f>'Room Nights &amp; Food Covers'!C31</f>
        <v>0</v>
      </c>
      <c r="D34" s="25">
        <f>'Powerhouse Daily Performance'!AG30</f>
        <v>0</v>
      </c>
      <c r="E34" s="30">
        <f>Solar!C32</f>
        <v>0</v>
      </c>
      <c r="F34" s="30">
        <f t="shared" si="0"/>
        <v>0</v>
      </c>
      <c r="G34" s="25">
        <f>'Water Plant Daily Performance'!AG30</f>
        <v>0</v>
      </c>
      <c r="H34" s="29">
        <f>'LPG Gas'!G31</f>
        <v>0</v>
      </c>
      <c r="I34" s="25">
        <f>'Diesel consumption'!C34</f>
        <v>0</v>
      </c>
      <c r="J34" s="25">
        <f>'Diesel consumption'!F34</f>
        <v>0</v>
      </c>
      <c r="K34" s="25">
        <f>'Diesel consumption'!M34</f>
        <v>0</v>
      </c>
    </row>
    <row r="35" spans="1:11" ht="15.75" customHeight="1">
      <c r="A35" s="49">
        <v>28</v>
      </c>
      <c r="B35" s="119">
        <f>TOTAL!M29</f>
        <v>0</v>
      </c>
      <c r="C35" s="125">
        <f>'Room Nights &amp; Food Covers'!C32</f>
        <v>0</v>
      </c>
      <c r="D35" s="25">
        <f>'Powerhouse Daily Performance'!AG31</f>
        <v>0</v>
      </c>
      <c r="E35" s="30">
        <f>Solar!C33</f>
        <v>0</v>
      </c>
      <c r="F35" s="30">
        <f t="shared" si="0"/>
        <v>0</v>
      </c>
      <c r="G35" s="25">
        <f>'Water Plant Daily Performance'!AG31</f>
        <v>0</v>
      </c>
      <c r="H35" s="29">
        <f>'LPG Gas'!G32</f>
        <v>0</v>
      </c>
      <c r="I35" s="25">
        <f>'Diesel consumption'!C35</f>
        <v>0</v>
      </c>
      <c r="J35" s="25">
        <f>'Diesel consumption'!F35</f>
        <v>0</v>
      </c>
      <c r="K35" s="25">
        <f>'Diesel consumption'!M35</f>
        <v>0</v>
      </c>
    </row>
    <row r="36" spans="1:11" ht="15.75" customHeight="1">
      <c r="A36" s="49">
        <v>29</v>
      </c>
      <c r="B36" s="119">
        <f>TOTAL!M30</f>
        <v>0</v>
      </c>
      <c r="C36" s="125">
        <f>'Room Nights &amp; Food Covers'!C36</f>
        <v>0</v>
      </c>
      <c r="D36" s="25">
        <f>'Powerhouse Daily Performance'!AG32</f>
        <v>0</v>
      </c>
      <c r="E36" s="30">
        <f>Solar!C34</f>
        <v>0</v>
      </c>
      <c r="F36" s="30">
        <f t="shared" ref="F36:F38" si="1">E36+D36</f>
        <v>0</v>
      </c>
      <c r="G36" s="25">
        <f>'Water Plant Daily Performance'!AG32</f>
        <v>0</v>
      </c>
      <c r="H36" s="29">
        <f>'LPG Gas'!G33</f>
        <v>0</v>
      </c>
      <c r="I36" s="25">
        <f>'Diesel consumption'!C36</f>
        <v>0</v>
      </c>
      <c r="J36" s="25">
        <f>'Diesel consumption'!F36</f>
        <v>0</v>
      </c>
      <c r="K36" s="25">
        <f>'Diesel consumption'!M36</f>
        <v>0</v>
      </c>
    </row>
    <row r="37" spans="1:11" ht="15.75" customHeight="1">
      <c r="A37" s="49">
        <v>30</v>
      </c>
      <c r="B37" s="119">
        <f>TOTAL!M31</f>
        <v>0</v>
      </c>
      <c r="C37" s="125">
        <f>'Room Nights &amp; Food Covers'!C37</f>
        <v>0</v>
      </c>
      <c r="D37" s="25">
        <f>'Powerhouse Daily Performance'!AG33</f>
        <v>0</v>
      </c>
      <c r="E37" s="30">
        <f>Solar!C35</f>
        <v>0</v>
      </c>
      <c r="F37" s="30">
        <f t="shared" si="1"/>
        <v>0</v>
      </c>
      <c r="G37" s="25">
        <f>'Water Plant Daily Performance'!AG33</f>
        <v>0</v>
      </c>
      <c r="H37" s="29">
        <f>'LPG Gas'!G34</f>
        <v>0</v>
      </c>
      <c r="I37" s="25">
        <f>'Diesel consumption'!C37</f>
        <v>0</v>
      </c>
      <c r="J37" s="25">
        <f>'Diesel consumption'!F37</f>
        <v>0</v>
      </c>
      <c r="K37" s="25">
        <f>'Diesel consumption'!M37</f>
        <v>0</v>
      </c>
    </row>
    <row r="38" spans="1:11" ht="15.75" customHeight="1">
      <c r="A38" s="49">
        <v>31</v>
      </c>
      <c r="B38" s="119">
        <f>TOTAL!M32</f>
        <v>0</v>
      </c>
      <c r="C38" s="125">
        <f>'Room Nights &amp; Food Covers'!C38</f>
        <v>0</v>
      </c>
      <c r="D38" s="25">
        <f>'Powerhouse Daily Performance'!AG34</f>
        <v>0</v>
      </c>
      <c r="E38" s="30">
        <f>Solar!C36</f>
        <v>0</v>
      </c>
      <c r="F38" s="30">
        <f t="shared" si="1"/>
        <v>0</v>
      </c>
      <c r="G38" s="25">
        <f>'Water Plant Daily Performance'!AG34</f>
        <v>0</v>
      </c>
      <c r="H38" s="29">
        <f>'LPG Gas'!G35</f>
        <v>0</v>
      </c>
      <c r="I38" s="25">
        <f>'Diesel consumption'!C38</f>
        <v>0</v>
      </c>
      <c r="J38" s="25">
        <f>'Diesel consumption'!F38</f>
        <v>0</v>
      </c>
      <c r="K38" s="25">
        <f>'Diesel consumption'!M38</f>
        <v>0</v>
      </c>
    </row>
    <row r="39" spans="1:11" ht="18.75" customHeight="1" thickBot="1">
      <c r="A39" s="60" t="s">
        <v>91</v>
      </c>
      <c r="B39" s="120"/>
      <c r="C39" s="120"/>
      <c r="D39" s="121">
        <f>'Powerhouse Daily Performance'!AG35</f>
        <v>218265</v>
      </c>
      <c r="E39" s="121">
        <f>SUM(E8:E38)</f>
        <v>21316</v>
      </c>
      <c r="F39" s="121">
        <f t="shared" ref="F39:K39" si="2">SUM(F8:F35)</f>
        <v>239581</v>
      </c>
      <c r="G39" s="122">
        <f>SUM(G8:G38)</f>
        <v>2696</v>
      </c>
      <c r="H39" s="29">
        <f>'LPG Gas'!G36</f>
        <v>0</v>
      </c>
      <c r="I39" s="121">
        <f t="shared" si="2"/>
        <v>61300</v>
      </c>
      <c r="J39" s="121">
        <f t="shared" si="2"/>
        <v>8810</v>
      </c>
      <c r="K39" s="121">
        <f t="shared" si="2"/>
        <v>9600</v>
      </c>
    </row>
    <row r="40" spans="1:11" ht="13.5" thickTop="1">
      <c r="A40" s="60" t="s">
        <v>92</v>
      </c>
      <c r="D40" s="25">
        <f>'Powerhouse Daily Performance'!AG36</f>
        <v>0</v>
      </c>
      <c r="E40" s="30">
        <f>Solar!C38</f>
        <v>0</v>
      </c>
      <c r="F40" s="112">
        <f>F39/A41</f>
        <v>7728.4193548387093</v>
      </c>
      <c r="G40" s="25">
        <f>'Water Plant Daily Performance'!AG36</f>
        <v>0</v>
      </c>
      <c r="H40" s="29">
        <f>'LPG Gas'!G37</f>
        <v>0</v>
      </c>
      <c r="I40" s="112">
        <f>I39/A41</f>
        <v>1977.4193548387098</v>
      </c>
      <c r="J40" s="112">
        <f>J39/A41</f>
        <v>284.19354838709677</v>
      </c>
      <c r="K40" s="112">
        <f>K39/A41</f>
        <v>309.67741935483872</v>
      </c>
    </row>
    <row r="41" spans="1:11">
      <c r="A41" s="123">
        <v>31</v>
      </c>
    </row>
  </sheetData>
  <mergeCells count="3">
    <mergeCell ref="A1:K1"/>
    <mergeCell ref="A4:K4"/>
    <mergeCell ref="A5:K5"/>
  </mergeCells>
  <pageMargins left="0.7" right="0.7" top="0.75" bottom="0.75" header="0.3" footer="0.3"/>
  <pageSetup scale="5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AE7D0-5116-4DEB-8C44-B95E6698BF3D}">
  <sheetPr>
    <tabColor rgb="FF00B050"/>
    <pageSetUpPr fitToPage="1"/>
  </sheetPr>
  <dimension ref="A1:U37"/>
  <sheetViews>
    <sheetView zoomScaleNormal="100" workbookViewId="0">
      <selection activeCell="U14" sqref="U14"/>
    </sheetView>
  </sheetViews>
  <sheetFormatPr defaultRowHeight="12.75"/>
  <cols>
    <col min="2" max="2" width="1.5703125" customWidth="1"/>
    <col min="3" max="3" width="14.85546875" customWidth="1"/>
    <col min="4" max="4" width="13" customWidth="1"/>
    <col min="5" max="5" width="13.85546875" customWidth="1"/>
    <col min="6" max="6" width="5" customWidth="1"/>
    <col min="7" max="7" width="13.7109375" customWidth="1"/>
    <col min="8" max="8" width="12.85546875" customWidth="1"/>
    <col min="9" max="9" width="11.42578125" customWidth="1"/>
    <col min="10" max="10" width="4.28515625" customWidth="1"/>
    <col min="11" max="11" width="14.140625" customWidth="1"/>
    <col min="12" max="12" width="11.7109375" customWidth="1"/>
    <col min="13" max="13" width="12.28515625" customWidth="1"/>
    <col min="14" max="14" width="5.28515625" customWidth="1"/>
    <col min="15" max="15" width="13.28515625" customWidth="1"/>
    <col min="16" max="16" width="11.5703125" customWidth="1"/>
    <col min="17" max="17" width="10.5703125" customWidth="1"/>
    <col min="18" max="18" width="5" customWidth="1"/>
    <col min="19" max="19" width="12.5703125" customWidth="1"/>
    <col min="20" max="20" width="11.7109375" customWidth="1"/>
    <col min="21" max="21" width="13.28515625" customWidth="1"/>
  </cols>
  <sheetData>
    <row r="1" spans="1:21" s="1" customFormat="1">
      <c r="A1" s="300" t="s">
        <v>93</v>
      </c>
      <c r="B1" s="300"/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</row>
    <row r="2" spans="1:21" ht="18.75" customHeight="1">
      <c r="A2" s="300"/>
      <c r="B2" s="300"/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</row>
    <row r="3" spans="1:21" ht="12" customHeight="1" thickBo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ht="15.75" customHeight="1" thickTop="1">
      <c r="A4" s="301" t="s">
        <v>94</v>
      </c>
      <c r="B4" s="5"/>
      <c r="C4" s="303" t="s">
        <v>95</v>
      </c>
      <c r="D4" s="304"/>
      <c r="E4" s="305"/>
      <c r="F4" s="157"/>
      <c r="G4" s="303" t="s">
        <v>96</v>
      </c>
      <c r="H4" s="304"/>
      <c r="I4" s="305"/>
      <c r="J4" s="157"/>
      <c r="K4" s="303" t="s">
        <v>97</v>
      </c>
      <c r="L4" s="304"/>
      <c r="M4" s="305"/>
      <c r="N4" s="157"/>
      <c r="O4" s="303" t="s">
        <v>98</v>
      </c>
      <c r="P4" s="304"/>
      <c r="Q4" s="305"/>
      <c r="R4" s="157"/>
      <c r="S4" s="303" t="s">
        <v>99</v>
      </c>
      <c r="T4" s="304"/>
      <c r="U4" s="305"/>
    </row>
    <row r="5" spans="1:21" ht="26.25" customHeight="1">
      <c r="A5" s="302"/>
      <c r="B5" s="158"/>
      <c r="C5" s="159" t="s">
        <v>100</v>
      </c>
      <c r="D5" s="160" t="s">
        <v>101</v>
      </c>
      <c r="E5" s="161" t="s">
        <v>102</v>
      </c>
      <c r="F5" s="158"/>
      <c r="G5" s="159" t="s">
        <v>100</v>
      </c>
      <c r="H5" s="160" t="s">
        <v>101</v>
      </c>
      <c r="I5" s="161" t="s">
        <v>102</v>
      </c>
      <c r="J5" s="158"/>
      <c r="K5" s="159" t="s">
        <v>100</v>
      </c>
      <c r="L5" s="160" t="s">
        <v>101</v>
      </c>
      <c r="M5" s="161" t="s">
        <v>102</v>
      </c>
      <c r="N5" s="158"/>
      <c r="O5" s="159" t="s">
        <v>100</v>
      </c>
      <c r="P5" s="160" t="s">
        <v>101</v>
      </c>
      <c r="Q5" s="161" t="s">
        <v>102</v>
      </c>
      <c r="R5" s="158"/>
      <c r="S5" s="159" t="s">
        <v>100</v>
      </c>
      <c r="T5" s="160" t="s">
        <v>101</v>
      </c>
      <c r="U5" s="161" t="s">
        <v>102</v>
      </c>
    </row>
    <row r="6" spans="1:21" ht="13.5" thickBot="1">
      <c r="A6" s="162">
        <v>44985</v>
      </c>
      <c r="B6" s="163"/>
      <c r="C6" s="164">
        <v>20933641</v>
      </c>
      <c r="D6" s="165">
        <v>37985</v>
      </c>
      <c r="E6" s="166"/>
      <c r="F6" s="167"/>
      <c r="G6" s="164">
        <v>35323684</v>
      </c>
      <c r="H6" s="165">
        <v>43254</v>
      </c>
      <c r="I6" s="166"/>
      <c r="J6" s="167"/>
      <c r="K6" s="168">
        <v>15890284</v>
      </c>
      <c r="L6" s="165">
        <v>80806</v>
      </c>
      <c r="M6" s="166"/>
      <c r="N6" s="167"/>
      <c r="O6" s="168">
        <v>12942208</v>
      </c>
      <c r="P6" s="165">
        <v>53927</v>
      </c>
      <c r="Q6" s="166"/>
      <c r="R6" s="167"/>
      <c r="S6" s="168">
        <v>21963230</v>
      </c>
      <c r="T6" s="165">
        <v>83260</v>
      </c>
      <c r="U6" s="166"/>
    </row>
    <row r="7" spans="1:21" ht="13.5" thickTop="1">
      <c r="A7" s="169">
        <f>A6+1</f>
        <v>44986</v>
      </c>
      <c r="B7" s="170"/>
      <c r="C7" s="14">
        <v>20938554</v>
      </c>
      <c r="D7" s="6">
        <v>37996</v>
      </c>
      <c r="E7" s="171">
        <v>1520</v>
      </c>
      <c r="F7" s="5"/>
      <c r="G7" s="14">
        <v>35334283</v>
      </c>
      <c r="H7" s="6">
        <v>43268</v>
      </c>
      <c r="I7" s="171">
        <v>3230</v>
      </c>
      <c r="J7" s="5"/>
      <c r="K7" s="9">
        <v>15894495</v>
      </c>
      <c r="L7" s="6">
        <v>80817</v>
      </c>
      <c r="M7" s="171">
        <v>1140</v>
      </c>
      <c r="N7" s="5"/>
      <c r="O7" s="9">
        <v>12944508</v>
      </c>
      <c r="P7" s="6">
        <v>53937</v>
      </c>
      <c r="Q7" s="171">
        <v>720</v>
      </c>
      <c r="R7" s="5"/>
      <c r="S7" s="9">
        <v>21968685</v>
      </c>
      <c r="T7" s="6">
        <v>83272</v>
      </c>
      <c r="U7" s="171">
        <v>1120</v>
      </c>
    </row>
    <row r="8" spans="1:21" ht="13.5" customHeight="1">
      <c r="A8" s="169">
        <f t="shared" ref="A8:A37" si="0">A7+1</f>
        <v>44987</v>
      </c>
      <c r="B8" s="170"/>
      <c r="C8" s="14">
        <v>20944978</v>
      </c>
      <c r="D8" s="6">
        <v>38009</v>
      </c>
      <c r="E8" s="171">
        <v>1830</v>
      </c>
      <c r="F8" s="5"/>
      <c r="G8" s="14">
        <v>35342530</v>
      </c>
      <c r="H8" s="6">
        <v>43278</v>
      </c>
      <c r="I8" s="171">
        <v>2470</v>
      </c>
      <c r="J8" s="5"/>
      <c r="K8" s="9">
        <v>15901152</v>
      </c>
      <c r="L8" s="6">
        <v>80833</v>
      </c>
      <c r="M8" s="171">
        <v>1600</v>
      </c>
      <c r="N8" s="5"/>
      <c r="O8" s="9">
        <v>12946914</v>
      </c>
      <c r="P8" s="6">
        <v>53947</v>
      </c>
      <c r="Q8" s="171">
        <v>610</v>
      </c>
      <c r="R8" s="5"/>
      <c r="S8" s="9">
        <v>21973335</v>
      </c>
      <c r="T8" s="6">
        <v>83282</v>
      </c>
      <c r="U8" s="171">
        <v>1460</v>
      </c>
    </row>
    <row r="9" spans="1:21" ht="13.5" customHeight="1">
      <c r="A9" s="169">
        <f t="shared" si="0"/>
        <v>44988</v>
      </c>
      <c r="B9" s="170"/>
      <c r="C9" s="14">
        <v>20950996</v>
      </c>
      <c r="D9" s="6">
        <v>38022</v>
      </c>
      <c r="E9" s="171">
        <v>2070</v>
      </c>
      <c r="F9" s="5"/>
      <c r="G9" s="14">
        <v>35349682</v>
      </c>
      <c r="H9" s="6">
        <v>43288</v>
      </c>
      <c r="I9" s="171">
        <v>2110</v>
      </c>
      <c r="J9" s="5"/>
      <c r="K9" s="9">
        <v>15906128</v>
      </c>
      <c r="L9" s="6">
        <v>80845</v>
      </c>
      <c r="M9" s="171">
        <v>1320</v>
      </c>
      <c r="N9" s="5"/>
      <c r="O9" s="9">
        <v>12949564</v>
      </c>
      <c r="P9" s="6">
        <v>53958</v>
      </c>
      <c r="Q9" s="171">
        <v>810</v>
      </c>
      <c r="R9" s="5"/>
      <c r="S9" s="9">
        <v>21980586</v>
      </c>
      <c r="T9" s="6">
        <v>83299</v>
      </c>
      <c r="U9" s="171">
        <v>1450</v>
      </c>
    </row>
    <row r="10" spans="1:21" ht="13.5" customHeight="1">
      <c r="A10" s="169">
        <f t="shared" si="0"/>
        <v>44989</v>
      </c>
      <c r="B10" s="170"/>
      <c r="C10" s="14">
        <v>20958688</v>
      </c>
      <c r="D10" s="6">
        <v>38038</v>
      </c>
      <c r="E10" s="171">
        <v>2000</v>
      </c>
      <c r="F10" s="5"/>
      <c r="G10" s="14">
        <v>35356115</v>
      </c>
      <c r="H10" s="6">
        <v>43296</v>
      </c>
      <c r="I10" s="171">
        <v>1920</v>
      </c>
      <c r="J10" s="5"/>
      <c r="K10" s="9">
        <v>15911056</v>
      </c>
      <c r="L10" s="6">
        <v>80856</v>
      </c>
      <c r="M10" s="171">
        <v>1190</v>
      </c>
      <c r="N10" s="5"/>
      <c r="O10" s="9">
        <v>12952507</v>
      </c>
      <c r="P10" s="6">
        <v>53970</v>
      </c>
      <c r="Q10" s="171">
        <v>780</v>
      </c>
      <c r="R10" s="5"/>
      <c r="S10" s="9">
        <v>21985953</v>
      </c>
      <c r="T10" s="6">
        <v>83309</v>
      </c>
      <c r="U10" s="171">
        <v>1480</v>
      </c>
    </row>
    <row r="11" spans="1:21" ht="13.5" customHeight="1">
      <c r="A11" s="169">
        <f t="shared" si="0"/>
        <v>44990</v>
      </c>
      <c r="B11" s="170"/>
      <c r="C11" s="14">
        <v>20960438</v>
      </c>
      <c r="D11" s="6">
        <v>38043</v>
      </c>
      <c r="E11" s="171">
        <v>500</v>
      </c>
      <c r="F11" s="5"/>
      <c r="G11" s="14">
        <v>35361837</v>
      </c>
      <c r="H11" s="6">
        <v>43303</v>
      </c>
      <c r="I11" s="171">
        <v>1600</v>
      </c>
      <c r="J11" s="5"/>
      <c r="K11" s="9">
        <v>15918602</v>
      </c>
      <c r="L11" s="6">
        <v>80873</v>
      </c>
      <c r="M11" s="171">
        <v>1880</v>
      </c>
      <c r="N11" s="5"/>
      <c r="O11" s="9">
        <v>12955764</v>
      </c>
      <c r="P11" s="6">
        <v>53983</v>
      </c>
      <c r="Q11" s="171">
        <v>590</v>
      </c>
      <c r="R11" s="5"/>
      <c r="S11" s="18">
        <v>21994410</v>
      </c>
      <c r="T11" s="6">
        <v>83326</v>
      </c>
      <c r="U11" s="171">
        <v>2300</v>
      </c>
    </row>
    <row r="12" spans="1:21" ht="13.5" customHeight="1">
      <c r="A12" s="169">
        <f t="shared" si="0"/>
        <v>44991</v>
      </c>
      <c r="B12" s="170"/>
      <c r="C12" s="14">
        <v>20960438</v>
      </c>
      <c r="D12" s="6">
        <v>38043</v>
      </c>
      <c r="E12" s="171">
        <v>0</v>
      </c>
      <c r="F12" s="5"/>
      <c r="G12" s="14">
        <v>35378394</v>
      </c>
      <c r="H12" s="6">
        <v>43325</v>
      </c>
      <c r="I12" s="171">
        <v>4820</v>
      </c>
      <c r="J12" s="5"/>
      <c r="K12" s="9">
        <v>15919524</v>
      </c>
      <c r="L12" s="6">
        <v>80876</v>
      </c>
      <c r="M12" s="171">
        <v>250</v>
      </c>
      <c r="N12" s="5"/>
      <c r="O12" s="9">
        <v>12956390</v>
      </c>
      <c r="P12" s="6">
        <v>53987</v>
      </c>
      <c r="Q12" s="171">
        <v>120</v>
      </c>
      <c r="R12" s="5"/>
      <c r="S12" s="9">
        <v>22001912</v>
      </c>
      <c r="T12" s="6">
        <v>83343</v>
      </c>
      <c r="U12" s="171">
        <v>1860</v>
      </c>
    </row>
    <row r="13" spans="1:21" ht="13.5" customHeight="1">
      <c r="A13" s="169">
        <f t="shared" si="0"/>
        <v>44992</v>
      </c>
      <c r="B13" s="170"/>
      <c r="C13" s="14">
        <v>20963821</v>
      </c>
      <c r="D13" s="6">
        <v>38051</v>
      </c>
      <c r="E13" s="171">
        <v>0</v>
      </c>
      <c r="F13" s="5"/>
      <c r="G13" s="14">
        <v>35391216</v>
      </c>
      <c r="H13" s="6">
        <v>43343</v>
      </c>
      <c r="I13" s="171">
        <v>3570</v>
      </c>
      <c r="J13" s="5"/>
      <c r="K13" s="9">
        <v>15925477</v>
      </c>
      <c r="L13" s="6">
        <v>80890</v>
      </c>
      <c r="M13" s="171">
        <v>1890</v>
      </c>
      <c r="N13" s="5"/>
      <c r="O13" s="9">
        <v>12958302</v>
      </c>
      <c r="P13" s="6">
        <v>53995</v>
      </c>
      <c r="Q13" s="171">
        <v>530</v>
      </c>
      <c r="R13" s="5"/>
      <c r="S13" s="9">
        <v>22004061</v>
      </c>
      <c r="T13" s="6">
        <v>83348</v>
      </c>
      <c r="U13" s="171">
        <v>400</v>
      </c>
    </row>
    <row r="14" spans="1:21" ht="13.5" customHeight="1">
      <c r="A14" s="169">
        <f t="shared" si="0"/>
        <v>44993</v>
      </c>
      <c r="B14" s="170"/>
      <c r="C14" s="14">
        <v>20969354</v>
      </c>
      <c r="D14" s="6">
        <v>38063</v>
      </c>
      <c r="E14" s="171">
        <v>3270</v>
      </c>
      <c r="F14" s="5"/>
      <c r="G14" s="14">
        <v>35401008</v>
      </c>
      <c r="H14" s="6">
        <v>43356</v>
      </c>
      <c r="I14" s="171">
        <v>2770</v>
      </c>
      <c r="J14" s="5"/>
      <c r="K14" s="9">
        <v>15933277</v>
      </c>
      <c r="L14" s="6">
        <v>80908</v>
      </c>
      <c r="M14" s="171">
        <v>2000</v>
      </c>
      <c r="N14" s="5"/>
      <c r="O14" s="9">
        <v>12958856</v>
      </c>
      <c r="P14" s="6">
        <v>53998</v>
      </c>
      <c r="Q14" s="171">
        <v>170</v>
      </c>
      <c r="R14" s="5"/>
      <c r="S14" s="9">
        <v>22008817</v>
      </c>
      <c r="T14" s="6">
        <v>83358</v>
      </c>
      <c r="U14" s="171">
        <v>1190</v>
      </c>
    </row>
    <row r="15" spans="1:21" ht="13.5" customHeight="1">
      <c r="A15" s="169">
        <f t="shared" si="0"/>
        <v>44994</v>
      </c>
      <c r="B15" s="170"/>
      <c r="C15" s="14"/>
      <c r="D15" s="6"/>
      <c r="E15" s="171"/>
      <c r="F15" s="5"/>
      <c r="G15" s="14"/>
      <c r="H15" s="6"/>
      <c r="I15" s="171"/>
      <c r="J15" s="5"/>
      <c r="K15" s="9"/>
      <c r="L15" s="6"/>
      <c r="M15" s="171"/>
      <c r="N15" s="5"/>
      <c r="O15" s="9"/>
      <c r="P15" s="6"/>
      <c r="Q15" s="171"/>
      <c r="R15" s="5"/>
      <c r="S15" s="9"/>
      <c r="T15" s="6"/>
      <c r="U15" s="171"/>
    </row>
    <row r="16" spans="1:21" ht="13.5" customHeight="1">
      <c r="A16" s="169">
        <f t="shared" si="0"/>
        <v>44995</v>
      </c>
      <c r="B16" s="170"/>
      <c r="C16" s="14"/>
      <c r="D16" s="6"/>
      <c r="E16" s="171"/>
      <c r="F16" s="5"/>
      <c r="G16" s="14"/>
      <c r="H16" s="6"/>
      <c r="I16" s="171"/>
      <c r="J16" s="5"/>
      <c r="K16" s="9"/>
      <c r="L16" s="6"/>
      <c r="M16" s="171"/>
      <c r="N16" s="5"/>
      <c r="O16" s="9"/>
      <c r="P16" s="6"/>
      <c r="Q16" s="171"/>
      <c r="R16" s="5"/>
      <c r="S16" s="9"/>
      <c r="T16" s="6"/>
      <c r="U16" s="171"/>
    </row>
    <row r="17" spans="1:21" ht="13.5" customHeight="1">
      <c r="A17" s="169">
        <f t="shared" si="0"/>
        <v>44996</v>
      </c>
      <c r="B17" s="170"/>
      <c r="C17" s="14"/>
      <c r="D17" s="6"/>
      <c r="E17" s="171"/>
      <c r="F17" s="5"/>
      <c r="G17" s="14"/>
      <c r="H17" s="6"/>
      <c r="I17" s="171"/>
      <c r="J17" s="5"/>
      <c r="K17" s="9"/>
      <c r="L17" s="6"/>
      <c r="M17" s="171"/>
      <c r="N17" s="5"/>
      <c r="O17" s="9"/>
      <c r="P17" s="6"/>
      <c r="Q17" s="171"/>
      <c r="R17" s="5"/>
      <c r="S17" s="9"/>
      <c r="T17" s="6"/>
      <c r="U17" s="171"/>
    </row>
    <row r="18" spans="1:21" ht="13.5" customHeight="1">
      <c r="A18" s="169">
        <f t="shared" si="0"/>
        <v>44997</v>
      </c>
      <c r="B18" s="170"/>
      <c r="C18" s="14"/>
      <c r="D18" s="6"/>
      <c r="E18" s="171"/>
      <c r="F18" s="5"/>
      <c r="G18" s="14"/>
      <c r="H18" s="6"/>
      <c r="I18" s="171"/>
      <c r="J18" s="5"/>
      <c r="K18" s="9"/>
      <c r="L18" s="6"/>
      <c r="M18" s="171"/>
      <c r="N18" s="5"/>
      <c r="O18" s="9"/>
      <c r="P18" s="6"/>
      <c r="Q18" s="171"/>
      <c r="R18" s="5"/>
      <c r="S18" s="9"/>
      <c r="T18" s="6"/>
      <c r="U18" s="171"/>
    </row>
    <row r="19" spans="1:21" ht="13.5" customHeight="1">
      <c r="A19" s="169">
        <f t="shared" si="0"/>
        <v>44998</v>
      </c>
      <c r="B19" s="170"/>
      <c r="C19" s="14"/>
      <c r="D19" s="6"/>
      <c r="E19" s="171"/>
      <c r="F19" s="5"/>
      <c r="G19" s="14"/>
      <c r="H19" s="6"/>
      <c r="I19" s="171"/>
      <c r="J19" s="5"/>
      <c r="K19" s="9"/>
      <c r="L19" s="6"/>
      <c r="M19" s="171"/>
      <c r="N19" s="5"/>
      <c r="O19" s="9"/>
      <c r="P19" s="6"/>
      <c r="Q19" s="171"/>
      <c r="R19" s="5"/>
      <c r="S19" s="9"/>
      <c r="T19" s="6"/>
      <c r="U19" s="171"/>
    </row>
    <row r="20" spans="1:21" ht="13.5" customHeight="1">
      <c r="A20" s="169">
        <f t="shared" si="0"/>
        <v>44999</v>
      </c>
      <c r="B20" s="170"/>
      <c r="C20" s="14"/>
      <c r="D20" s="6"/>
      <c r="E20" s="171"/>
      <c r="F20" s="5"/>
      <c r="G20" s="14"/>
      <c r="H20" s="6"/>
      <c r="I20" s="171"/>
      <c r="J20" s="5"/>
      <c r="K20" s="9"/>
      <c r="L20" s="6"/>
      <c r="M20" s="171"/>
      <c r="N20" s="5"/>
      <c r="O20" s="9"/>
      <c r="P20" s="6"/>
      <c r="Q20" s="171"/>
      <c r="R20" s="5"/>
      <c r="S20" s="9"/>
      <c r="T20" s="6"/>
      <c r="U20" s="171"/>
    </row>
    <row r="21" spans="1:21" ht="13.5" customHeight="1">
      <c r="A21" s="169">
        <f t="shared" si="0"/>
        <v>45000</v>
      </c>
      <c r="B21" s="170"/>
      <c r="C21" s="14"/>
      <c r="D21" s="6"/>
      <c r="E21" s="171"/>
      <c r="F21" s="5"/>
      <c r="G21" s="14"/>
      <c r="H21" s="6"/>
      <c r="I21" s="171"/>
      <c r="J21" s="5"/>
      <c r="K21" s="9"/>
      <c r="L21" s="6"/>
      <c r="M21" s="171"/>
      <c r="N21" s="5"/>
      <c r="O21" s="9"/>
      <c r="P21" s="6"/>
      <c r="Q21" s="171"/>
      <c r="R21" s="5"/>
      <c r="S21" s="9"/>
      <c r="T21" s="6"/>
      <c r="U21" s="171"/>
    </row>
    <row r="22" spans="1:21" ht="13.5" customHeight="1">
      <c r="A22" s="169">
        <f t="shared" si="0"/>
        <v>45001</v>
      </c>
      <c r="B22" s="170"/>
      <c r="C22" s="14"/>
      <c r="D22" s="6"/>
      <c r="E22" s="171"/>
      <c r="F22" s="5"/>
      <c r="G22" s="14"/>
      <c r="H22" s="6"/>
      <c r="I22" s="171"/>
      <c r="J22" s="5"/>
      <c r="K22" s="9"/>
      <c r="L22" s="6"/>
      <c r="M22" s="171"/>
      <c r="N22" s="5"/>
      <c r="O22" s="9"/>
      <c r="P22" s="6"/>
      <c r="Q22" s="171"/>
      <c r="R22" s="5"/>
      <c r="S22" s="9"/>
      <c r="T22" s="6"/>
      <c r="U22" s="171"/>
    </row>
    <row r="23" spans="1:21" ht="13.5" customHeight="1">
      <c r="A23" s="169">
        <f t="shared" si="0"/>
        <v>45002</v>
      </c>
      <c r="B23" s="170"/>
      <c r="C23" s="14"/>
      <c r="D23" s="6"/>
      <c r="E23" s="171"/>
      <c r="F23" s="5"/>
      <c r="G23" s="14"/>
      <c r="H23" s="6"/>
      <c r="I23" s="171"/>
      <c r="J23" s="5"/>
      <c r="K23" s="9"/>
      <c r="L23" s="6"/>
      <c r="M23" s="171"/>
      <c r="N23" s="5"/>
      <c r="O23" s="9"/>
      <c r="P23" s="6"/>
      <c r="Q23" s="171"/>
      <c r="R23" s="5"/>
      <c r="S23" s="9"/>
      <c r="T23" s="6"/>
      <c r="U23" s="171"/>
    </row>
    <row r="24" spans="1:21" ht="13.5" customHeight="1">
      <c r="A24" s="169">
        <f t="shared" si="0"/>
        <v>45003</v>
      </c>
      <c r="B24" s="170"/>
      <c r="C24" s="14"/>
      <c r="D24" s="6"/>
      <c r="E24" s="171"/>
      <c r="F24" s="5"/>
      <c r="G24" s="14"/>
      <c r="H24" s="6"/>
      <c r="I24" s="171"/>
      <c r="J24" s="5"/>
      <c r="K24" s="9"/>
      <c r="L24" s="6"/>
      <c r="M24" s="171"/>
      <c r="N24" s="5"/>
      <c r="O24" s="18"/>
      <c r="P24" s="6"/>
      <c r="Q24" s="171"/>
      <c r="R24" s="5"/>
      <c r="S24" s="9"/>
      <c r="T24" s="6"/>
      <c r="U24" s="171"/>
    </row>
    <row r="25" spans="1:21" ht="13.5" customHeight="1">
      <c r="A25" s="169">
        <f t="shared" si="0"/>
        <v>45004</v>
      </c>
      <c r="B25" s="170"/>
      <c r="C25" s="14"/>
      <c r="D25" s="6"/>
      <c r="E25" s="171"/>
      <c r="F25" s="5"/>
      <c r="G25" s="14"/>
      <c r="H25" s="6"/>
      <c r="I25" s="171"/>
      <c r="J25" s="5"/>
      <c r="K25" s="9"/>
      <c r="L25" s="6"/>
      <c r="M25" s="171"/>
      <c r="N25" s="5"/>
      <c r="O25" s="9"/>
      <c r="P25" s="6"/>
      <c r="Q25" s="171"/>
      <c r="R25" s="5"/>
      <c r="S25" s="9"/>
      <c r="T25" s="6"/>
      <c r="U25" s="171"/>
    </row>
    <row r="26" spans="1:21" ht="13.5" customHeight="1">
      <c r="A26" s="169">
        <f t="shared" si="0"/>
        <v>45005</v>
      </c>
      <c r="B26" s="170"/>
      <c r="C26" s="14"/>
      <c r="D26" s="6"/>
      <c r="E26" s="171"/>
      <c r="F26" s="5"/>
      <c r="G26" s="14"/>
      <c r="H26" s="6"/>
      <c r="I26" s="171"/>
      <c r="J26" s="5"/>
      <c r="K26" s="9"/>
      <c r="L26" s="6"/>
      <c r="M26" s="171"/>
      <c r="N26" s="5"/>
      <c r="O26" s="9"/>
      <c r="P26" s="6"/>
      <c r="Q26" s="171"/>
      <c r="R26" s="5"/>
      <c r="S26" s="9"/>
      <c r="T26" s="6"/>
      <c r="U26" s="171"/>
    </row>
    <row r="27" spans="1:21" ht="13.5" customHeight="1">
      <c r="A27" s="169">
        <f t="shared" si="0"/>
        <v>45006</v>
      </c>
      <c r="B27" s="170"/>
      <c r="C27" s="14"/>
      <c r="D27" s="6"/>
      <c r="E27" s="171"/>
      <c r="F27" s="5"/>
      <c r="G27" s="14"/>
      <c r="H27" s="6"/>
      <c r="I27" s="171"/>
      <c r="J27" s="5"/>
      <c r="K27" s="9"/>
      <c r="L27" s="6"/>
      <c r="M27" s="171"/>
      <c r="N27" s="5"/>
      <c r="O27" s="9"/>
      <c r="P27" s="6"/>
      <c r="Q27" s="171"/>
      <c r="R27" s="5"/>
      <c r="S27" s="9"/>
      <c r="T27" s="6"/>
      <c r="U27" s="171"/>
    </row>
    <row r="28" spans="1:21" ht="13.5" customHeight="1">
      <c r="A28" s="169">
        <f t="shared" si="0"/>
        <v>45007</v>
      </c>
      <c r="B28" s="170"/>
      <c r="C28" s="14"/>
      <c r="D28" s="6"/>
      <c r="E28" s="171"/>
      <c r="F28" s="5"/>
      <c r="G28" s="14"/>
      <c r="H28" s="6"/>
      <c r="I28" s="171"/>
      <c r="J28" s="5"/>
      <c r="K28" s="9"/>
      <c r="L28" s="6"/>
      <c r="M28" s="171"/>
      <c r="N28" s="5"/>
      <c r="O28" s="9"/>
      <c r="P28" s="6"/>
      <c r="Q28" s="171"/>
      <c r="R28" s="5"/>
      <c r="S28" s="9"/>
      <c r="T28" s="6"/>
      <c r="U28" s="171"/>
    </row>
    <row r="29" spans="1:21" ht="13.5" customHeight="1">
      <c r="A29" s="169">
        <f t="shared" si="0"/>
        <v>45008</v>
      </c>
      <c r="B29" s="170"/>
      <c r="C29" s="14"/>
      <c r="D29" s="6"/>
      <c r="E29" s="171"/>
      <c r="F29" s="5"/>
      <c r="G29" s="14"/>
      <c r="H29" s="6"/>
      <c r="I29" s="171"/>
      <c r="J29" s="5"/>
      <c r="K29" s="9"/>
      <c r="L29" s="6"/>
      <c r="M29" s="171"/>
      <c r="N29" s="5"/>
      <c r="O29" s="9"/>
      <c r="P29" s="6"/>
      <c r="Q29" s="171"/>
      <c r="R29" s="5"/>
      <c r="S29" s="9"/>
      <c r="T29" s="6"/>
      <c r="U29" s="171"/>
    </row>
    <row r="30" spans="1:21" ht="13.5" customHeight="1">
      <c r="A30" s="169">
        <f t="shared" si="0"/>
        <v>45009</v>
      </c>
      <c r="B30" s="170"/>
      <c r="C30" s="14"/>
      <c r="D30" s="6"/>
      <c r="E30" s="171"/>
      <c r="F30" s="5"/>
      <c r="G30" s="14"/>
      <c r="H30" s="6"/>
      <c r="I30" s="171"/>
      <c r="J30" s="5"/>
      <c r="K30" s="9"/>
      <c r="L30" s="6"/>
      <c r="M30" s="171"/>
      <c r="N30" s="5"/>
      <c r="O30" s="9"/>
      <c r="P30" s="6"/>
      <c r="Q30" s="171"/>
      <c r="R30" s="5"/>
      <c r="S30" s="107"/>
      <c r="T30" s="6"/>
      <c r="U30" s="171"/>
    </row>
    <row r="31" spans="1:21" ht="13.5" customHeight="1">
      <c r="A31" s="169">
        <f t="shared" si="0"/>
        <v>45010</v>
      </c>
      <c r="B31" s="170"/>
      <c r="C31" s="20"/>
      <c r="D31" s="6"/>
      <c r="E31" s="171"/>
      <c r="F31" s="5"/>
      <c r="G31" s="14"/>
      <c r="H31" s="6"/>
      <c r="I31" s="171"/>
      <c r="J31" s="5"/>
      <c r="K31" s="9"/>
      <c r="L31" s="6"/>
      <c r="M31" s="171"/>
      <c r="N31" s="5"/>
      <c r="O31" s="9"/>
      <c r="P31" s="6"/>
      <c r="Q31" s="171"/>
      <c r="R31" s="5"/>
      <c r="S31" s="9"/>
      <c r="T31" s="6"/>
      <c r="U31" s="171"/>
    </row>
    <row r="32" spans="1:21" s="3" customFormat="1" ht="13.5" customHeight="1">
      <c r="A32" s="169">
        <f t="shared" si="0"/>
        <v>45011</v>
      </c>
      <c r="B32" s="170"/>
      <c r="C32" s="14"/>
      <c r="D32" s="6"/>
      <c r="E32" s="171"/>
      <c r="F32" s="5"/>
      <c r="G32" s="14"/>
      <c r="H32" s="6"/>
      <c r="I32" s="171"/>
      <c r="J32" s="5"/>
      <c r="K32" s="9"/>
      <c r="L32" s="6"/>
      <c r="M32" s="171"/>
      <c r="N32" s="5"/>
      <c r="O32" s="9"/>
      <c r="P32" s="6"/>
      <c r="Q32" s="171"/>
      <c r="R32" s="5"/>
      <c r="S32" s="9"/>
      <c r="T32" s="6"/>
      <c r="U32" s="171"/>
    </row>
    <row r="33" spans="1:21" ht="13.5" customHeight="1">
      <c r="A33" s="169">
        <f t="shared" si="0"/>
        <v>45012</v>
      </c>
      <c r="B33" s="170"/>
      <c r="C33" s="14"/>
      <c r="D33" s="6"/>
      <c r="E33" s="171"/>
      <c r="F33" s="5"/>
      <c r="G33" s="14"/>
      <c r="H33" s="6"/>
      <c r="I33" s="171"/>
      <c r="J33" s="5"/>
      <c r="K33" s="9"/>
      <c r="L33" s="6"/>
      <c r="M33" s="171"/>
      <c r="N33" s="5"/>
      <c r="O33" s="9"/>
      <c r="P33" s="6"/>
      <c r="Q33" s="171"/>
      <c r="R33" s="5"/>
      <c r="S33" s="9"/>
      <c r="T33" s="6"/>
      <c r="U33" s="171"/>
    </row>
    <row r="34" spans="1:21" ht="12.75" customHeight="1">
      <c r="A34" s="169">
        <f t="shared" si="0"/>
        <v>45013</v>
      </c>
      <c r="B34" s="170"/>
      <c r="C34" s="14"/>
      <c r="D34" s="6"/>
      <c r="E34" s="171"/>
      <c r="F34" s="5"/>
      <c r="G34" s="14"/>
      <c r="H34" s="6"/>
      <c r="I34" s="171"/>
      <c r="J34" s="5"/>
      <c r="K34" s="9"/>
      <c r="L34" s="6"/>
      <c r="M34" s="171"/>
      <c r="N34" s="5"/>
      <c r="O34" s="9"/>
      <c r="P34" s="6"/>
      <c r="Q34" s="171"/>
      <c r="R34" s="5"/>
      <c r="S34" s="9"/>
      <c r="T34" s="6"/>
      <c r="U34" s="171"/>
    </row>
    <row r="35" spans="1:21">
      <c r="A35" s="169">
        <f t="shared" si="0"/>
        <v>45014</v>
      </c>
      <c r="C35" s="14"/>
      <c r="D35" s="6"/>
      <c r="E35" s="171"/>
      <c r="F35" s="5"/>
      <c r="G35" s="14"/>
      <c r="H35" s="6"/>
      <c r="I35" s="171"/>
      <c r="J35" s="5"/>
      <c r="K35" s="9"/>
      <c r="L35" s="6"/>
      <c r="M35" s="171"/>
      <c r="N35" s="5"/>
      <c r="O35" s="9"/>
      <c r="P35" s="6"/>
      <c r="Q35" s="171"/>
      <c r="R35" s="5"/>
      <c r="S35" s="9"/>
      <c r="T35" s="6"/>
      <c r="U35" s="171"/>
    </row>
    <row r="36" spans="1:21">
      <c r="A36" s="169">
        <f t="shared" si="0"/>
        <v>45015</v>
      </c>
      <c r="C36" s="14"/>
      <c r="D36" s="6"/>
      <c r="E36" s="171"/>
      <c r="F36" s="5"/>
      <c r="G36" s="14"/>
      <c r="H36" s="6"/>
      <c r="I36" s="171"/>
      <c r="J36" s="5"/>
      <c r="K36" s="9"/>
      <c r="L36" s="6"/>
      <c r="M36" s="171"/>
      <c r="N36" s="5"/>
      <c r="O36" s="9"/>
      <c r="P36" s="6"/>
      <c r="Q36" s="171"/>
      <c r="R36" s="5"/>
      <c r="S36" s="9"/>
      <c r="T36" s="6"/>
      <c r="U36" s="171"/>
    </row>
    <row r="37" spans="1:21">
      <c r="A37" s="169">
        <f t="shared" si="0"/>
        <v>45016</v>
      </c>
      <c r="C37" s="14"/>
      <c r="D37" s="6"/>
      <c r="E37" s="171"/>
      <c r="F37" s="5"/>
      <c r="G37" s="14"/>
      <c r="H37" s="6"/>
      <c r="I37" s="171"/>
      <c r="J37" s="5"/>
      <c r="K37" s="9"/>
      <c r="L37" s="6"/>
      <c r="M37" s="171"/>
      <c r="N37" s="5"/>
      <c r="O37" s="9"/>
      <c r="P37" s="6"/>
      <c r="Q37" s="171"/>
      <c r="R37" s="5"/>
      <c r="S37" s="9"/>
      <c r="T37" s="6"/>
      <c r="U37" s="171"/>
    </row>
  </sheetData>
  <mergeCells count="7">
    <mergeCell ref="A1:U2"/>
    <mergeCell ref="A4:A5"/>
    <mergeCell ref="C4:E4"/>
    <mergeCell ref="G4:I4"/>
    <mergeCell ref="K4:M4"/>
    <mergeCell ref="O4:Q4"/>
    <mergeCell ref="S4:U4"/>
  </mergeCells>
  <pageMargins left="0.7" right="0.7" top="0.75" bottom="0.75" header="0.3" footer="0.3"/>
  <pageSetup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M38"/>
  <sheetViews>
    <sheetView workbookViewId="0">
      <selection activeCell="L16" sqref="L16"/>
    </sheetView>
  </sheetViews>
  <sheetFormatPr defaultRowHeight="12.75"/>
  <cols>
    <col min="1" max="1" width="10.140625" bestFit="1" customWidth="1"/>
    <col min="2" max="2" width="10.7109375" style="24" customWidth="1"/>
    <col min="3" max="3" width="12.42578125" style="24" customWidth="1"/>
    <col min="4" max="4" width="8.140625" customWidth="1"/>
    <col min="5" max="5" width="12.85546875" customWidth="1"/>
    <col min="6" max="6" width="11.85546875" bestFit="1" customWidth="1"/>
    <col min="8" max="8" width="11.140625" hidden="1" customWidth="1"/>
    <col min="9" max="9" width="0" hidden="1" customWidth="1"/>
    <col min="10" max="11" width="13.28515625" hidden="1" customWidth="1"/>
    <col min="12" max="12" width="15.5703125" customWidth="1"/>
    <col min="13" max="13" width="15" customWidth="1"/>
  </cols>
  <sheetData>
    <row r="1" spans="1:13">
      <c r="A1" s="306" t="s">
        <v>103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</row>
    <row r="2" spans="1:13">
      <c r="A2" s="306"/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</row>
    <row r="3" spans="1:13">
      <c r="A3" s="307" t="s">
        <v>104</v>
      </c>
      <c r="B3" s="308"/>
      <c r="C3" s="309"/>
      <c r="D3" s="148"/>
      <c r="E3" s="318" t="s">
        <v>105</v>
      </c>
      <c r="F3" s="318"/>
      <c r="L3" s="319" t="s">
        <v>106</v>
      </c>
      <c r="M3" s="319"/>
    </row>
    <row r="4" spans="1:13">
      <c r="A4" s="310"/>
      <c r="B4" s="311"/>
      <c r="C4" s="312"/>
      <c r="E4" s="318"/>
      <c r="F4" s="318"/>
      <c r="L4" s="319"/>
      <c r="M4" s="319"/>
    </row>
    <row r="5" spans="1:13" ht="18" customHeight="1">
      <c r="A5" s="313"/>
      <c r="B5" s="314"/>
      <c r="C5" s="315"/>
      <c r="E5" s="318" t="s">
        <v>107</v>
      </c>
      <c r="F5" s="318"/>
      <c r="L5" s="319" t="s">
        <v>107</v>
      </c>
      <c r="M5" s="319"/>
    </row>
    <row r="6" spans="1:13" s="5" customFormat="1" ht="34.5" customHeight="1">
      <c r="A6" s="84" t="s">
        <v>108</v>
      </c>
      <c r="B6" s="84" t="s">
        <v>109</v>
      </c>
      <c r="C6" s="85" t="s">
        <v>110</v>
      </c>
      <c r="E6" s="86" t="s">
        <v>111</v>
      </c>
      <c r="F6" s="87" t="s">
        <v>112</v>
      </c>
      <c r="H6" s="83" t="s">
        <v>113</v>
      </c>
      <c r="J6" s="316" t="s">
        <v>114</v>
      </c>
      <c r="K6" s="317"/>
      <c r="L6" s="234" t="s">
        <v>111</v>
      </c>
      <c r="M6" s="87" t="s">
        <v>112</v>
      </c>
    </row>
    <row r="7" spans="1:13">
      <c r="A7" s="162">
        <f>'All Genset Readings'!A6</f>
        <v>44985</v>
      </c>
      <c r="B7" s="82">
        <v>48722640</v>
      </c>
      <c r="C7" s="235"/>
      <c r="E7" s="6">
        <v>1488590</v>
      </c>
      <c r="F7" s="236"/>
      <c r="H7" s="23">
        <f t="shared" ref="H7:H35" si="0">C7/200</f>
        <v>0</v>
      </c>
      <c r="J7" s="4">
        <f t="shared" ref="J7:J36" si="1">2.68*C7</f>
        <v>0</v>
      </c>
      <c r="K7" s="4">
        <f>J7/1000</f>
        <v>0</v>
      </c>
      <c r="L7" s="6">
        <v>51170</v>
      </c>
      <c r="M7" s="236"/>
    </row>
    <row r="8" spans="1:13">
      <c r="A8" s="169">
        <f>'All Genset Readings'!A7</f>
        <v>44986</v>
      </c>
      <c r="B8" s="82">
        <v>48730390</v>
      </c>
      <c r="C8" s="82">
        <f>MAX(0,B8-B7)</f>
        <v>7750</v>
      </c>
      <c r="E8" s="6">
        <v>1489090</v>
      </c>
      <c r="F8" s="6">
        <f>MAX(0,E8-E7)</f>
        <v>500</v>
      </c>
      <c r="H8" s="23">
        <f t="shared" si="0"/>
        <v>38.75</v>
      </c>
      <c r="J8" s="4">
        <f t="shared" si="1"/>
        <v>20770</v>
      </c>
      <c r="K8" s="4">
        <f>J8/1000</f>
        <v>20.77</v>
      </c>
      <c r="L8" s="6">
        <v>51970</v>
      </c>
      <c r="M8" s="6">
        <f>MAX(0,L8-L7)</f>
        <v>800</v>
      </c>
    </row>
    <row r="9" spans="1:13">
      <c r="A9" s="169">
        <f>'All Genset Readings'!A8</f>
        <v>44987</v>
      </c>
      <c r="B9" s="11">
        <v>48738280</v>
      </c>
      <c r="C9" s="82">
        <f t="shared" ref="C9:C38" si="2">MAX(0,B9-B8)</f>
        <v>7890</v>
      </c>
      <c r="E9" s="6">
        <v>1492530</v>
      </c>
      <c r="F9" s="6">
        <f t="shared" ref="F9:F38" si="3">MAX(0,E9-E8)</f>
        <v>3440</v>
      </c>
      <c r="H9" s="23">
        <f t="shared" si="0"/>
        <v>39.450000000000003</v>
      </c>
      <c r="J9" s="4">
        <f t="shared" si="1"/>
        <v>21145.200000000001</v>
      </c>
      <c r="K9" s="4">
        <f t="shared" ref="K9:K36" si="4">J9/1000</f>
        <v>21.145199999999999</v>
      </c>
      <c r="L9" s="6">
        <v>53720</v>
      </c>
      <c r="M9" s="6">
        <f t="shared" ref="M9:M38" si="5">MAX(0,L9-L8)</f>
        <v>1750</v>
      </c>
    </row>
    <row r="10" spans="1:13">
      <c r="A10" s="169">
        <f>'All Genset Readings'!A9</f>
        <v>44988</v>
      </c>
      <c r="B10" s="11">
        <v>48746060</v>
      </c>
      <c r="C10" s="82">
        <f t="shared" si="2"/>
        <v>7780</v>
      </c>
      <c r="E10" s="6">
        <v>1493170</v>
      </c>
      <c r="F10" s="6">
        <f t="shared" si="3"/>
        <v>640</v>
      </c>
      <c r="H10" s="23">
        <f t="shared" si="0"/>
        <v>38.9</v>
      </c>
      <c r="J10" s="4">
        <f t="shared" si="1"/>
        <v>20850.400000000001</v>
      </c>
      <c r="K10" s="4">
        <f t="shared" si="4"/>
        <v>20.8504</v>
      </c>
      <c r="L10" s="6">
        <v>54460</v>
      </c>
      <c r="M10" s="6">
        <f t="shared" si="5"/>
        <v>740</v>
      </c>
    </row>
    <row r="11" spans="1:13">
      <c r="A11" s="169">
        <f>'All Genset Readings'!A10</f>
        <v>44989</v>
      </c>
      <c r="B11" s="11">
        <v>48753640</v>
      </c>
      <c r="C11" s="82">
        <f t="shared" si="2"/>
        <v>7580</v>
      </c>
      <c r="E11" s="6">
        <v>1495260</v>
      </c>
      <c r="F11" s="6">
        <f t="shared" si="3"/>
        <v>2090</v>
      </c>
      <c r="H11" s="23">
        <f t="shared" si="0"/>
        <v>37.9</v>
      </c>
      <c r="J11" s="4">
        <f t="shared" si="1"/>
        <v>20314.400000000001</v>
      </c>
      <c r="K11" s="4">
        <f t="shared" si="4"/>
        <v>20.314400000000003</v>
      </c>
      <c r="L11" s="6">
        <v>55010</v>
      </c>
      <c r="M11" s="6">
        <f t="shared" si="5"/>
        <v>550</v>
      </c>
    </row>
    <row r="12" spans="1:13">
      <c r="A12" s="169">
        <f>'All Genset Readings'!A11</f>
        <v>44990</v>
      </c>
      <c r="B12" s="11">
        <v>48761000</v>
      </c>
      <c r="C12" s="82">
        <f t="shared" si="2"/>
        <v>7360</v>
      </c>
      <c r="E12" s="6">
        <v>1495260</v>
      </c>
      <c r="F12" s="6">
        <f t="shared" si="3"/>
        <v>0</v>
      </c>
      <c r="H12" s="23">
        <f t="shared" si="0"/>
        <v>36.799999999999997</v>
      </c>
      <c r="J12" s="4">
        <f t="shared" si="1"/>
        <v>19724.800000000003</v>
      </c>
      <c r="K12" s="4">
        <f t="shared" si="4"/>
        <v>19.724800000000002</v>
      </c>
      <c r="L12" s="6">
        <v>56210</v>
      </c>
      <c r="M12" s="6">
        <f t="shared" si="5"/>
        <v>1200</v>
      </c>
    </row>
    <row r="13" spans="1:13">
      <c r="A13" s="169">
        <f>'All Genset Readings'!A12</f>
        <v>44991</v>
      </c>
      <c r="B13" s="11">
        <v>48768070</v>
      </c>
      <c r="C13" s="82">
        <f t="shared" si="2"/>
        <v>7070</v>
      </c>
      <c r="E13" s="6">
        <v>1496900</v>
      </c>
      <c r="F13" s="6">
        <f t="shared" si="3"/>
        <v>1640</v>
      </c>
      <c r="H13" s="23">
        <f t="shared" si="0"/>
        <v>35.35</v>
      </c>
      <c r="J13" s="4">
        <f t="shared" si="1"/>
        <v>18947.600000000002</v>
      </c>
      <c r="K13" s="4">
        <f t="shared" si="4"/>
        <v>18.947600000000001</v>
      </c>
      <c r="L13" s="6">
        <v>58520</v>
      </c>
      <c r="M13" s="6">
        <f t="shared" si="5"/>
        <v>2310</v>
      </c>
    </row>
    <row r="14" spans="1:13">
      <c r="A14" s="169">
        <f>'All Genset Readings'!A13</f>
        <v>44992</v>
      </c>
      <c r="B14" s="11">
        <v>48774480</v>
      </c>
      <c r="C14" s="82">
        <f t="shared" si="2"/>
        <v>6410</v>
      </c>
      <c r="E14" s="6">
        <v>1497400</v>
      </c>
      <c r="F14" s="6">
        <f t="shared" si="3"/>
        <v>500</v>
      </c>
      <c r="H14" s="23">
        <f t="shared" si="0"/>
        <v>32.049999999999997</v>
      </c>
      <c r="J14" s="4">
        <f t="shared" si="1"/>
        <v>17178.8</v>
      </c>
      <c r="K14" s="4">
        <f t="shared" si="4"/>
        <v>17.178799999999999</v>
      </c>
      <c r="L14" s="6">
        <v>59480</v>
      </c>
      <c r="M14" s="6">
        <f t="shared" si="5"/>
        <v>960</v>
      </c>
    </row>
    <row r="15" spans="1:13">
      <c r="A15" s="169">
        <f>'All Genset Readings'!A14</f>
        <v>44993</v>
      </c>
      <c r="B15" s="11">
        <v>48783940</v>
      </c>
      <c r="C15" s="82">
        <f t="shared" si="2"/>
        <v>9460</v>
      </c>
      <c r="E15" s="6">
        <v>1497400</v>
      </c>
      <c r="F15" s="6">
        <f t="shared" si="3"/>
        <v>0</v>
      </c>
      <c r="H15" s="23">
        <f t="shared" si="0"/>
        <v>47.3</v>
      </c>
      <c r="J15" s="4">
        <f t="shared" si="1"/>
        <v>25352.800000000003</v>
      </c>
      <c r="K15" s="4">
        <f t="shared" si="4"/>
        <v>25.352800000000002</v>
      </c>
      <c r="L15" s="6">
        <v>60770</v>
      </c>
      <c r="M15" s="6">
        <f t="shared" si="5"/>
        <v>1290</v>
      </c>
    </row>
    <row r="16" spans="1:13">
      <c r="A16" s="169">
        <f>'All Genset Readings'!A15</f>
        <v>44994</v>
      </c>
      <c r="B16" s="11"/>
      <c r="C16" s="82">
        <f t="shared" si="2"/>
        <v>0</v>
      </c>
      <c r="E16" s="6"/>
      <c r="F16" s="6">
        <f t="shared" si="3"/>
        <v>0</v>
      </c>
      <c r="H16" s="23">
        <f t="shared" si="0"/>
        <v>0</v>
      </c>
      <c r="J16" s="4">
        <f t="shared" si="1"/>
        <v>0</v>
      </c>
      <c r="K16" s="4">
        <f t="shared" si="4"/>
        <v>0</v>
      </c>
      <c r="L16" s="6"/>
      <c r="M16" s="6">
        <f t="shared" si="5"/>
        <v>0</v>
      </c>
    </row>
    <row r="17" spans="1:13">
      <c r="A17" s="169">
        <f>'All Genset Readings'!A16</f>
        <v>44995</v>
      </c>
      <c r="B17" s="11"/>
      <c r="C17" s="82">
        <f t="shared" si="2"/>
        <v>0</v>
      </c>
      <c r="E17" s="6"/>
      <c r="F17" s="6">
        <f t="shared" si="3"/>
        <v>0</v>
      </c>
      <c r="H17" s="23">
        <f t="shared" si="0"/>
        <v>0</v>
      </c>
      <c r="J17" s="4">
        <f t="shared" si="1"/>
        <v>0</v>
      </c>
      <c r="K17" s="4">
        <f t="shared" si="4"/>
        <v>0</v>
      </c>
      <c r="L17" s="6"/>
      <c r="M17" s="6">
        <f t="shared" si="5"/>
        <v>0</v>
      </c>
    </row>
    <row r="18" spans="1:13">
      <c r="A18" s="169">
        <f>'All Genset Readings'!A17</f>
        <v>44996</v>
      </c>
      <c r="B18" s="11"/>
      <c r="C18" s="82">
        <f t="shared" si="2"/>
        <v>0</v>
      </c>
      <c r="E18" s="6"/>
      <c r="F18" s="6">
        <f t="shared" si="3"/>
        <v>0</v>
      </c>
      <c r="H18" s="23">
        <f t="shared" si="0"/>
        <v>0</v>
      </c>
      <c r="J18" s="4">
        <f t="shared" si="1"/>
        <v>0</v>
      </c>
      <c r="K18" s="4">
        <f t="shared" si="4"/>
        <v>0</v>
      </c>
      <c r="L18" s="6"/>
      <c r="M18" s="6">
        <f t="shared" si="5"/>
        <v>0</v>
      </c>
    </row>
    <row r="19" spans="1:13">
      <c r="A19" s="169">
        <f>'All Genset Readings'!A18</f>
        <v>44997</v>
      </c>
      <c r="B19" s="11"/>
      <c r="C19" s="82">
        <f t="shared" si="2"/>
        <v>0</v>
      </c>
      <c r="E19" s="6"/>
      <c r="F19" s="6">
        <f t="shared" si="3"/>
        <v>0</v>
      </c>
      <c r="H19" s="23">
        <f t="shared" si="0"/>
        <v>0</v>
      </c>
      <c r="J19" s="4">
        <f t="shared" si="1"/>
        <v>0</v>
      </c>
      <c r="K19" s="4">
        <f t="shared" si="4"/>
        <v>0</v>
      </c>
      <c r="L19" s="6"/>
      <c r="M19" s="6">
        <f t="shared" si="5"/>
        <v>0</v>
      </c>
    </row>
    <row r="20" spans="1:13">
      <c r="A20" s="169">
        <f>'All Genset Readings'!A19</f>
        <v>44998</v>
      </c>
      <c r="B20" s="11"/>
      <c r="C20" s="82">
        <f t="shared" si="2"/>
        <v>0</v>
      </c>
      <c r="E20" s="6"/>
      <c r="F20" s="6">
        <f t="shared" si="3"/>
        <v>0</v>
      </c>
      <c r="H20" s="23">
        <f t="shared" si="0"/>
        <v>0</v>
      </c>
      <c r="J20" s="4">
        <f t="shared" si="1"/>
        <v>0</v>
      </c>
      <c r="K20" s="4">
        <f t="shared" si="4"/>
        <v>0</v>
      </c>
      <c r="L20" s="6"/>
      <c r="M20" s="6">
        <f t="shared" si="5"/>
        <v>0</v>
      </c>
    </row>
    <row r="21" spans="1:13">
      <c r="A21" s="169">
        <f>'All Genset Readings'!A20</f>
        <v>44999</v>
      </c>
      <c r="B21" s="11"/>
      <c r="C21" s="82">
        <f t="shared" si="2"/>
        <v>0</v>
      </c>
      <c r="E21" s="6"/>
      <c r="F21" s="6">
        <f t="shared" si="3"/>
        <v>0</v>
      </c>
      <c r="H21" s="23">
        <f t="shared" si="0"/>
        <v>0</v>
      </c>
      <c r="J21" s="4">
        <f t="shared" si="1"/>
        <v>0</v>
      </c>
      <c r="K21" s="4">
        <f t="shared" si="4"/>
        <v>0</v>
      </c>
      <c r="L21" s="6"/>
      <c r="M21" s="6">
        <f t="shared" si="5"/>
        <v>0</v>
      </c>
    </row>
    <row r="22" spans="1:13">
      <c r="A22" s="169">
        <f>'All Genset Readings'!A21</f>
        <v>45000</v>
      </c>
      <c r="B22" s="11"/>
      <c r="C22" s="82">
        <f t="shared" si="2"/>
        <v>0</v>
      </c>
      <c r="E22" s="6"/>
      <c r="F22" s="6">
        <f t="shared" si="3"/>
        <v>0</v>
      </c>
      <c r="H22" s="23">
        <f t="shared" si="0"/>
        <v>0</v>
      </c>
      <c r="J22" s="4">
        <f t="shared" si="1"/>
        <v>0</v>
      </c>
      <c r="K22" s="4">
        <f t="shared" si="4"/>
        <v>0</v>
      </c>
      <c r="L22" s="6"/>
      <c r="M22" s="6">
        <f t="shared" si="5"/>
        <v>0</v>
      </c>
    </row>
    <row r="23" spans="1:13">
      <c r="A23" s="169">
        <f>'All Genset Readings'!A22</f>
        <v>45001</v>
      </c>
      <c r="B23" s="11"/>
      <c r="C23" s="82">
        <f t="shared" si="2"/>
        <v>0</v>
      </c>
      <c r="E23" s="6"/>
      <c r="F23" s="6">
        <f t="shared" si="3"/>
        <v>0</v>
      </c>
      <c r="H23" s="23">
        <f t="shared" si="0"/>
        <v>0</v>
      </c>
      <c r="J23" s="4">
        <f t="shared" si="1"/>
        <v>0</v>
      </c>
      <c r="K23" s="4">
        <f t="shared" si="4"/>
        <v>0</v>
      </c>
      <c r="L23" s="6"/>
      <c r="M23" s="6">
        <f t="shared" si="5"/>
        <v>0</v>
      </c>
    </row>
    <row r="24" spans="1:13">
      <c r="A24" s="169">
        <f>'All Genset Readings'!A23</f>
        <v>45002</v>
      </c>
      <c r="B24" s="11"/>
      <c r="C24" s="82">
        <f t="shared" si="2"/>
        <v>0</v>
      </c>
      <c r="E24" s="6"/>
      <c r="F24" s="6">
        <f t="shared" si="3"/>
        <v>0</v>
      </c>
      <c r="H24" s="23">
        <f t="shared" si="0"/>
        <v>0</v>
      </c>
      <c r="J24" s="4">
        <f t="shared" si="1"/>
        <v>0</v>
      </c>
      <c r="K24" s="4">
        <f t="shared" si="4"/>
        <v>0</v>
      </c>
      <c r="L24" s="6"/>
      <c r="M24" s="6">
        <f t="shared" si="5"/>
        <v>0</v>
      </c>
    </row>
    <row r="25" spans="1:13">
      <c r="A25" s="169">
        <f>'All Genset Readings'!A24</f>
        <v>45003</v>
      </c>
      <c r="B25" s="11"/>
      <c r="C25" s="82">
        <f t="shared" si="2"/>
        <v>0</v>
      </c>
      <c r="E25" s="6"/>
      <c r="F25" s="6">
        <f t="shared" si="3"/>
        <v>0</v>
      </c>
      <c r="H25" s="23">
        <f t="shared" si="0"/>
        <v>0</v>
      </c>
      <c r="J25" s="4">
        <f t="shared" si="1"/>
        <v>0</v>
      </c>
      <c r="K25" s="4">
        <f t="shared" si="4"/>
        <v>0</v>
      </c>
      <c r="L25" s="6"/>
      <c r="M25" s="6">
        <f t="shared" si="5"/>
        <v>0</v>
      </c>
    </row>
    <row r="26" spans="1:13">
      <c r="A26" s="169">
        <f>'All Genset Readings'!A25</f>
        <v>45004</v>
      </c>
      <c r="B26" s="11"/>
      <c r="C26" s="82">
        <f t="shared" si="2"/>
        <v>0</v>
      </c>
      <c r="E26" s="6"/>
      <c r="F26" s="6">
        <f t="shared" si="3"/>
        <v>0</v>
      </c>
      <c r="H26" s="23">
        <f t="shared" si="0"/>
        <v>0</v>
      </c>
      <c r="J26" s="4">
        <f t="shared" si="1"/>
        <v>0</v>
      </c>
      <c r="K26" s="4">
        <f t="shared" si="4"/>
        <v>0</v>
      </c>
      <c r="L26" s="6"/>
      <c r="M26" s="6">
        <f t="shared" si="5"/>
        <v>0</v>
      </c>
    </row>
    <row r="27" spans="1:13">
      <c r="A27" s="169">
        <f>'All Genset Readings'!A26</f>
        <v>45005</v>
      </c>
      <c r="B27" s="11"/>
      <c r="C27" s="82">
        <f t="shared" si="2"/>
        <v>0</v>
      </c>
      <c r="E27" s="6"/>
      <c r="F27" s="6">
        <f t="shared" si="3"/>
        <v>0</v>
      </c>
      <c r="H27" s="23">
        <f t="shared" si="0"/>
        <v>0</v>
      </c>
      <c r="J27" s="4">
        <f t="shared" si="1"/>
        <v>0</v>
      </c>
      <c r="K27" s="4">
        <f t="shared" si="4"/>
        <v>0</v>
      </c>
      <c r="L27" s="6"/>
      <c r="M27" s="6">
        <f t="shared" si="5"/>
        <v>0</v>
      </c>
    </row>
    <row r="28" spans="1:13">
      <c r="A28" s="169">
        <f>'All Genset Readings'!A27</f>
        <v>45006</v>
      </c>
      <c r="B28" s="11"/>
      <c r="C28" s="82">
        <f t="shared" si="2"/>
        <v>0</v>
      </c>
      <c r="E28" s="6"/>
      <c r="F28" s="6">
        <f t="shared" si="3"/>
        <v>0</v>
      </c>
      <c r="H28" s="23">
        <f t="shared" si="0"/>
        <v>0</v>
      </c>
      <c r="J28" s="4">
        <f t="shared" si="1"/>
        <v>0</v>
      </c>
      <c r="K28" s="4">
        <f t="shared" si="4"/>
        <v>0</v>
      </c>
      <c r="L28" s="6"/>
      <c r="M28" s="6">
        <f t="shared" si="5"/>
        <v>0</v>
      </c>
    </row>
    <row r="29" spans="1:13">
      <c r="A29" s="169">
        <f>'All Genset Readings'!A28</f>
        <v>45007</v>
      </c>
      <c r="B29" s="11"/>
      <c r="C29" s="82">
        <f t="shared" si="2"/>
        <v>0</v>
      </c>
      <c r="E29" s="6"/>
      <c r="F29" s="6">
        <f t="shared" si="3"/>
        <v>0</v>
      </c>
      <c r="H29" s="23">
        <f t="shared" si="0"/>
        <v>0</v>
      </c>
      <c r="J29" s="4">
        <f t="shared" si="1"/>
        <v>0</v>
      </c>
      <c r="K29" s="4">
        <f t="shared" si="4"/>
        <v>0</v>
      </c>
      <c r="L29" s="6"/>
      <c r="M29" s="6">
        <f t="shared" si="5"/>
        <v>0</v>
      </c>
    </row>
    <row r="30" spans="1:13">
      <c r="A30" s="169">
        <f>'All Genset Readings'!A29</f>
        <v>45008</v>
      </c>
      <c r="B30" s="11"/>
      <c r="C30" s="82">
        <f t="shared" si="2"/>
        <v>0</v>
      </c>
      <c r="E30" s="6"/>
      <c r="F30" s="6">
        <f t="shared" si="3"/>
        <v>0</v>
      </c>
      <c r="H30" s="23">
        <f t="shared" si="0"/>
        <v>0</v>
      </c>
      <c r="J30" s="4">
        <f t="shared" si="1"/>
        <v>0</v>
      </c>
      <c r="K30" s="4">
        <f t="shared" si="4"/>
        <v>0</v>
      </c>
      <c r="L30" s="6"/>
      <c r="M30" s="6">
        <f t="shared" si="5"/>
        <v>0</v>
      </c>
    </row>
    <row r="31" spans="1:13">
      <c r="A31" s="169">
        <f>'All Genset Readings'!A30</f>
        <v>45009</v>
      </c>
      <c r="B31" s="11"/>
      <c r="C31" s="82">
        <f t="shared" si="2"/>
        <v>0</v>
      </c>
      <c r="E31" s="6"/>
      <c r="F31" s="6">
        <f t="shared" si="3"/>
        <v>0</v>
      </c>
      <c r="H31" s="23">
        <f t="shared" si="0"/>
        <v>0</v>
      </c>
      <c r="J31" s="4">
        <f t="shared" si="1"/>
        <v>0</v>
      </c>
      <c r="K31" s="4">
        <f>J31/1000</f>
        <v>0</v>
      </c>
      <c r="L31" s="6"/>
      <c r="M31" s="6">
        <f t="shared" si="5"/>
        <v>0</v>
      </c>
    </row>
    <row r="32" spans="1:13">
      <c r="A32" s="169">
        <f>'All Genset Readings'!A31</f>
        <v>45010</v>
      </c>
      <c r="B32" s="11"/>
      <c r="C32" s="82">
        <f t="shared" si="2"/>
        <v>0</v>
      </c>
      <c r="D32" s="3"/>
      <c r="E32" s="6"/>
      <c r="F32" s="6">
        <f t="shared" si="3"/>
        <v>0</v>
      </c>
      <c r="H32" s="23">
        <f t="shared" si="0"/>
        <v>0</v>
      </c>
      <c r="J32" s="4">
        <f t="shared" si="1"/>
        <v>0</v>
      </c>
      <c r="K32" s="4">
        <f t="shared" si="4"/>
        <v>0</v>
      </c>
      <c r="L32" s="6"/>
      <c r="M32" s="6">
        <f t="shared" si="5"/>
        <v>0</v>
      </c>
    </row>
    <row r="33" spans="1:13">
      <c r="A33" s="169">
        <f>'All Genset Readings'!A32</f>
        <v>45011</v>
      </c>
      <c r="B33" s="11"/>
      <c r="C33" s="82">
        <f t="shared" si="2"/>
        <v>0</v>
      </c>
      <c r="E33" s="6"/>
      <c r="F33" s="6">
        <f t="shared" si="3"/>
        <v>0</v>
      </c>
      <c r="H33" s="23">
        <f t="shared" si="0"/>
        <v>0</v>
      </c>
      <c r="J33" s="4">
        <f t="shared" si="1"/>
        <v>0</v>
      </c>
      <c r="K33" s="4">
        <f t="shared" si="4"/>
        <v>0</v>
      </c>
      <c r="L33" s="6"/>
      <c r="M33" s="6">
        <f t="shared" si="5"/>
        <v>0</v>
      </c>
    </row>
    <row r="34" spans="1:13">
      <c r="A34" s="169">
        <f>'All Genset Readings'!A33</f>
        <v>45012</v>
      </c>
      <c r="B34" s="11"/>
      <c r="C34" s="82">
        <f t="shared" si="2"/>
        <v>0</v>
      </c>
      <c r="E34" s="6"/>
      <c r="F34" s="6">
        <f t="shared" si="3"/>
        <v>0</v>
      </c>
      <c r="H34" s="23">
        <f t="shared" si="0"/>
        <v>0</v>
      </c>
      <c r="J34" s="4">
        <f t="shared" si="1"/>
        <v>0</v>
      </c>
      <c r="K34" s="4">
        <f t="shared" si="4"/>
        <v>0</v>
      </c>
      <c r="L34" s="6"/>
      <c r="M34" s="6">
        <f t="shared" si="5"/>
        <v>0</v>
      </c>
    </row>
    <row r="35" spans="1:13">
      <c r="A35" s="169">
        <f>'All Genset Readings'!A34</f>
        <v>45013</v>
      </c>
      <c r="B35" s="11"/>
      <c r="C35" s="82">
        <f t="shared" si="2"/>
        <v>0</v>
      </c>
      <c r="E35" s="6"/>
      <c r="F35" s="6">
        <f t="shared" si="3"/>
        <v>0</v>
      </c>
      <c r="H35" s="23">
        <f t="shared" si="0"/>
        <v>0</v>
      </c>
      <c r="J35" s="4">
        <f t="shared" si="1"/>
        <v>0</v>
      </c>
      <c r="K35" s="4">
        <f t="shared" si="4"/>
        <v>0</v>
      </c>
      <c r="L35" s="6"/>
      <c r="M35" s="6">
        <f t="shared" si="5"/>
        <v>0</v>
      </c>
    </row>
    <row r="36" spans="1:13">
      <c r="A36" s="169">
        <f>'All Genset Readings'!A35</f>
        <v>45014</v>
      </c>
      <c r="B36" s="11"/>
      <c r="C36" s="82">
        <f t="shared" si="2"/>
        <v>0</v>
      </c>
      <c r="E36" s="6"/>
      <c r="F36" s="6">
        <f t="shared" si="3"/>
        <v>0</v>
      </c>
      <c r="H36" s="23">
        <f>SUM(H7:H35)</f>
        <v>306.5</v>
      </c>
      <c r="J36" s="4">
        <f t="shared" si="1"/>
        <v>0</v>
      </c>
      <c r="K36" s="4">
        <f t="shared" si="4"/>
        <v>0</v>
      </c>
      <c r="L36" s="6"/>
      <c r="M36" s="6">
        <f t="shared" si="5"/>
        <v>0</v>
      </c>
    </row>
    <row r="37" spans="1:13">
      <c r="A37" s="169">
        <f>'All Genset Readings'!A36</f>
        <v>45015</v>
      </c>
      <c r="B37" s="11"/>
      <c r="C37" s="82">
        <f t="shared" si="2"/>
        <v>0</v>
      </c>
      <c r="E37" s="6"/>
      <c r="F37" s="6">
        <f t="shared" si="3"/>
        <v>0</v>
      </c>
      <c r="L37" s="6"/>
      <c r="M37" s="6">
        <f t="shared" si="5"/>
        <v>0</v>
      </c>
    </row>
    <row r="38" spans="1:13">
      <c r="A38" s="169">
        <f>'All Genset Readings'!A37</f>
        <v>45016</v>
      </c>
      <c r="B38" s="11"/>
      <c r="C38" s="82">
        <f t="shared" si="2"/>
        <v>0</v>
      </c>
      <c r="E38" s="6"/>
      <c r="F38" s="6">
        <f t="shared" si="3"/>
        <v>0</v>
      </c>
      <c r="L38" s="6"/>
      <c r="M38" s="6">
        <f t="shared" si="5"/>
        <v>0</v>
      </c>
    </row>
  </sheetData>
  <mergeCells count="7">
    <mergeCell ref="A1:M2"/>
    <mergeCell ref="A3:C5"/>
    <mergeCell ref="J6:K6"/>
    <mergeCell ref="E5:F5"/>
    <mergeCell ref="E3:F4"/>
    <mergeCell ref="L3:M4"/>
    <mergeCell ref="L5:M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J37"/>
  <sheetViews>
    <sheetView showWhiteSpace="0" zoomScaleNormal="100" workbookViewId="0">
      <selection activeCell="B14" sqref="B14"/>
    </sheetView>
  </sheetViews>
  <sheetFormatPr defaultRowHeight="12.75"/>
  <cols>
    <col min="1" max="1" width="13.42578125" style="32" customWidth="1"/>
    <col min="2" max="2" width="17.140625" customWidth="1"/>
    <col min="3" max="3" width="21.42578125" style="2" customWidth="1"/>
    <col min="4" max="4" width="16.28515625" style="24" hidden="1" customWidth="1"/>
    <col min="5" max="5" width="13.28515625" hidden="1" customWidth="1"/>
    <col min="6" max="8" width="0" hidden="1" customWidth="1"/>
    <col min="9" max="9" width="12" hidden="1" customWidth="1"/>
    <col min="10" max="11" width="0" hidden="1" customWidth="1"/>
    <col min="12" max="12" width="8.140625" customWidth="1"/>
  </cols>
  <sheetData>
    <row r="1" spans="1:10" ht="6.75" customHeight="1">
      <c r="A1" s="320" t="s">
        <v>115</v>
      </c>
      <c r="B1" s="320"/>
      <c r="C1" s="320"/>
    </row>
    <row r="2" spans="1:10" ht="12.75" hidden="1" customHeight="1">
      <c r="A2" s="320"/>
      <c r="B2" s="320"/>
      <c r="C2" s="320"/>
    </row>
    <row r="3" spans="1:10" ht="20.25" customHeight="1">
      <c r="A3" s="320"/>
      <c r="B3" s="320"/>
      <c r="C3" s="320"/>
    </row>
    <row r="4" spans="1:10" ht="25.5">
      <c r="A4" s="239" t="s">
        <v>80</v>
      </c>
      <c r="B4" s="89" t="s">
        <v>116</v>
      </c>
      <c r="C4" s="90" t="s">
        <v>117</v>
      </c>
      <c r="D4" s="88" t="s">
        <v>118</v>
      </c>
      <c r="E4" s="88" t="s">
        <v>119</v>
      </c>
    </row>
    <row r="5" spans="1:10">
      <c r="A5" s="162">
        <f>'Diesel consumption'!A7</f>
        <v>44985</v>
      </c>
      <c r="B5" s="238">
        <v>4422588</v>
      </c>
      <c r="C5" s="240"/>
      <c r="D5" s="237"/>
      <c r="E5" s="88"/>
    </row>
    <row r="6" spans="1:10">
      <c r="A6" s="169">
        <f>'Diesel consumption'!A8</f>
        <v>44986</v>
      </c>
      <c r="B6" s="10">
        <v>4425787</v>
      </c>
      <c r="C6" s="12">
        <f>MAX(0,B6-B5)</f>
        <v>3199</v>
      </c>
      <c r="D6" s="97"/>
      <c r="E6" s="94"/>
    </row>
    <row r="7" spans="1:10">
      <c r="A7" s="169">
        <f>'Diesel consumption'!A9</f>
        <v>44987</v>
      </c>
      <c r="B7" s="10">
        <v>4428743</v>
      </c>
      <c r="C7" s="12">
        <f t="shared" ref="C7:C36" si="0">MAX(0,B7-B6)</f>
        <v>2956</v>
      </c>
      <c r="D7" s="97"/>
      <c r="E7" s="94"/>
    </row>
    <row r="8" spans="1:10">
      <c r="A8" s="169">
        <f>'Diesel consumption'!A10</f>
        <v>44988</v>
      </c>
      <c r="B8" s="10">
        <v>4431774</v>
      </c>
      <c r="C8" s="12">
        <f t="shared" si="0"/>
        <v>3031</v>
      </c>
      <c r="D8" s="97"/>
      <c r="E8" s="94"/>
    </row>
    <row r="9" spans="1:10">
      <c r="A9" s="169">
        <f>'Diesel consumption'!A11</f>
        <v>44989</v>
      </c>
      <c r="B9" s="10">
        <v>4434640</v>
      </c>
      <c r="C9" s="12">
        <f t="shared" si="0"/>
        <v>2866</v>
      </c>
      <c r="D9" s="97"/>
      <c r="E9" s="94"/>
    </row>
    <row r="10" spans="1:10">
      <c r="A10" s="169">
        <f>'Diesel consumption'!A12</f>
        <v>44990</v>
      </c>
      <c r="B10" s="10">
        <v>4436736</v>
      </c>
      <c r="C10" s="12">
        <f t="shared" si="0"/>
        <v>2096</v>
      </c>
      <c r="D10" s="97"/>
      <c r="E10" s="94"/>
      <c r="I10" t="s">
        <v>120</v>
      </c>
      <c r="J10" t="s">
        <v>121</v>
      </c>
    </row>
    <row r="11" spans="1:10">
      <c r="A11" s="169">
        <f>'Diesel consumption'!A13</f>
        <v>44991</v>
      </c>
      <c r="B11" s="10">
        <v>4437869</v>
      </c>
      <c r="C11" s="12">
        <f t="shared" si="0"/>
        <v>1133</v>
      </c>
      <c r="D11" s="97"/>
      <c r="E11" s="94"/>
      <c r="I11" s="22" t="s">
        <v>122</v>
      </c>
      <c r="J11" t="s">
        <v>123</v>
      </c>
    </row>
    <row r="12" spans="1:10">
      <c r="A12" s="169">
        <f>'Diesel consumption'!A14</f>
        <v>44992</v>
      </c>
      <c r="B12" s="10">
        <v>4440929</v>
      </c>
      <c r="C12" s="12">
        <f t="shared" si="0"/>
        <v>3060</v>
      </c>
      <c r="D12" s="97"/>
      <c r="E12" s="94"/>
    </row>
    <row r="13" spans="1:10">
      <c r="A13" s="169">
        <f>'Diesel consumption'!A15</f>
        <v>44993</v>
      </c>
      <c r="B13" s="10">
        <v>4443904</v>
      </c>
      <c r="C13" s="12">
        <f t="shared" si="0"/>
        <v>2975</v>
      </c>
      <c r="D13" s="97"/>
      <c r="E13" s="94"/>
    </row>
    <row r="14" spans="1:10">
      <c r="A14" s="169">
        <f>'Diesel consumption'!A16</f>
        <v>44994</v>
      </c>
      <c r="B14" s="10"/>
      <c r="C14" s="12">
        <f t="shared" si="0"/>
        <v>0</v>
      </c>
      <c r="D14" s="13"/>
      <c r="E14" s="94"/>
    </row>
    <row r="15" spans="1:10">
      <c r="A15" s="169">
        <f>'Diesel consumption'!A17</f>
        <v>44995</v>
      </c>
      <c r="B15" s="10"/>
      <c r="C15" s="12">
        <f t="shared" si="0"/>
        <v>0</v>
      </c>
      <c r="D15" s="13"/>
      <c r="E15" s="94"/>
    </row>
    <row r="16" spans="1:10">
      <c r="A16" s="169">
        <f>'Diesel consumption'!A18</f>
        <v>44996</v>
      </c>
      <c r="B16" s="10"/>
      <c r="C16" s="12">
        <f t="shared" si="0"/>
        <v>0</v>
      </c>
      <c r="D16" s="13"/>
      <c r="E16" s="94"/>
    </row>
    <row r="17" spans="1:9">
      <c r="A17" s="169">
        <f>'Diesel consumption'!A19</f>
        <v>44997</v>
      </c>
      <c r="B17" s="10"/>
      <c r="C17" s="12">
        <f t="shared" si="0"/>
        <v>0</v>
      </c>
      <c r="D17" s="13"/>
      <c r="E17" s="94"/>
    </row>
    <row r="18" spans="1:9">
      <c r="A18" s="169">
        <f>'Diesel consumption'!A20</f>
        <v>44998</v>
      </c>
      <c r="B18" s="10"/>
      <c r="C18" s="12">
        <f t="shared" si="0"/>
        <v>0</v>
      </c>
      <c r="D18" s="13"/>
      <c r="E18" s="94"/>
    </row>
    <row r="19" spans="1:9">
      <c r="A19" s="169">
        <f>'Diesel consumption'!A21</f>
        <v>44999</v>
      </c>
      <c r="B19" s="10"/>
      <c r="C19" s="12">
        <f t="shared" si="0"/>
        <v>0</v>
      </c>
      <c r="D19" s="13"/>
      <c r="E19" s="94"/>
    </row>
    <row r="20" spans="1:9">
      <c r="A20" s="169">
        <f>'Diesel consumption'!A22</f>
        <v>45000</v>
      </c>
      <c r="B20" s="10"/>
      <c r="C20" s="12">
        <f t="shared" si="0"/>
        <v>0</v>
      </c>
      <c r="D20" s="13"/>
      <c r="E20" s="94"/>
    </row>
    <row r="21" spans="1:9">
      <c r="A21" s="169">
        <f>'Diesel consumption'!A23</f>
        <v>45001</v>
      </c>
      <c r="B21" s="10"/>
      <c r="C21" s="12">
        <f t="shared" si="0"/>
        <v>0</v>
      </c>
      <c r="D21" s="13"/>
      <c r="E21" s="94"/>
    </row>
    <row r="22" spans="1:9">
      <c r="A22" s="169">
        <f>'Diesel consumption'!A24</f>
        <v>45002</v>
      </c>
      <c r="B22" s="10"/>
      <c r="C22" s="12">
        <f t="shared" si="0"/>
        <v>0</v>
      </c>
      <c r="D22" s="13"/>
      <c r="E22" s="94"/>
    </row>
    <row r="23" spans="1:9">
      <c r="A23" s="169">
        <f>'Diesel consumption'!A25</f>
        <v>45003</v>
      </c>
      <c r="B23" s="10"/>
      <c r="C23" s="12">
        <f t="shared" si="0"/>
        <v>0</v>
      </c>
      <c r="D23" s="13"/>
      <c r="E23" s="94"/>
      <c r="I23" s="3" t="s">
        <v>124</v>
      </c>
    </row>
    <row r="24" spans="1:9">
      <c r="A24" s="169">
        <f>'Diesel consumption'!A26</f>
        <v>45004</v>
      </c>
      <c r="B24" s="10"/>
      <c r="C24" s="12">
        <f t="shared" si="0"/>
        <v>0</v>
      </c>
      <c r="D24" s="13"/>
      <c r="E24" s="94"/>
    </row>
    <row r="25" spans="1:9">
      <c r="A25" s="169">
        <f>'Diesel consumption'!A27</f>
        <v>45005</v>
      </c>
      <c r="B25" s="10"/>
      <c r="C25" s="12">
        <f t="shared" si="0"/>
        <v>0</v>
      </c>
      <c r="D25" s="13"/>
      <c r="E25" s="94"/>
    </row>
    <row r="26" spans="1:9">
      <c r="A26" s="169">
        <f>'Diesel consumption'!A28</f>
        <v>45006</v>
      </c>
      <c r="B26" s="10"/>
      <c r="C26" s="12">
        <f t="shared" si="0"/>
        <v>0</v>
      </c>
      <c r="D26" s="13"/>
      <c r="E26" s="94"/>
    </row>
    <row r="27" spans="1:9">
      <c r="A27" s="169">
        <f>'Diesel consumption'!A29</f>
        <v>45007</v>
      </c>
      <c r="B27" s="10"/>
      <c r="C27" s="12">
        <f t="shared" si="0"/>
        <v>0</v>
      </c>
      <c r="D27" s="13"/>
      <c r="E27" s="94"/>
    </row>
    <row r="28" spans="1:9">
      <c r="A28" s="169">
        <f>'Diesel consumption'!A30</f>
        <v>45008</v>
      </c>
      <c r="B28" s="10"/>
      <c r="C28" s="12">
        <f t="shared" si="0"/>
        <v>0</v>
      </c>
      <c r="D28" s="13"/>
      <c r="E28" s="94"/>
    </row>
    <row r="29" spans="1:9">
      <c r="A29" s="169">
        <f>'Diesel consumption'!A31</f>
        <v>45009</v>
      </c>
      <c r="B29" s="21"/>
      <c r="C29" s="12">
        <f t="shared" si="0"/>
        <v>0</v>
      </c>
      <c r="D29" s="13"/>
      <c r="E29" s="94"/>
    </row>
    <row r="30" spans="1:9">
      <c r="A30" s="169">
        <f>'Diesel consumption'!A32</f>
        <v>45010</v>
      </c>
      <c r="B30" s="10"/>
      <c r="C30" s="12">
        <f t="shared" si="0"/>
        <v>0</v>
      </c>
      <c r="D30" s="13"/>
      <c r="E30" s="94"/>
    </row>
    <row r="31" spans="1:9">
      <c r="A31" s="169">
        <f>'Diesel consumption'!A33</f>
        <v>45011</v>
      </c>
      <c r="B31" s="10"/>
      <c r="C31" s="12">
        <f t="shared" si="0"/>
        <v>0</v>
      </c>
      <c r="D31" s="13"/>
      <c r="E31" s="94"/>
    </row>
    <row r="32" spans="1:9">
      <c r="A32" s="169">
        <f>'Diesel consumption'!A34</f>
        <v>45012</v>
      </c>
      <c r="B32" s="10"/>
      <c r="C32" s="12">
        <f t="shared" si="0"/>
        <v>0</v>
      </c>
      <c r="D32" s="13"/>
      <c r="E32" s="94"/>
    </row>
    <row r="33" spans="1:5">
      <c r="A33" s="169">
        <f>'Diesel consumption'!A35</f>
        <v>45013</v>
      </c>
      <c r="B33" s="10"/>
      <c r="C33" s="12">
        <f t="shared" si="0"/>
        <v>0</v>
      </c>
      <c r="D33" s="13"/>
      <c r="E33" s="94"/>
    </row>
    <row r="34" spans="1:5">
      <c r="A34" s="169">
        <f>'Diesel consumption'!A36</f>
        <v>45014</v>
      </c>
      <c r="B34" s="10"/>
      <c r="C34" s="12">
        <f t="shared" si="0"/>
        <v>0</v>
      </c>
    </row>
    <row r="35" spans="1:5">
      <c r="A35" s="169">
        <f>'Diesel consumption'!A37</f>
        <v>45015</v>
      </c>
      <c r="B35" s="10"/>
      <c r="C35" s="12">
        <f t="shared" si="0"/>
        <v>0</v>
      </c>
    </row>
    <row r="36" spans="1:5">
      <c r="A36" s="169">
        <f>'Diesel consumption'!A38</f>
        <v>45016</v>
      </c>
      <c r="B36" s="10"/>
      <c r="C36" s="12">
        <f t="shared" si="0"/>
        <v>0</v>
      </c>
    </row>
    <row r="37" spans="1:5">
      <c r="A37" s="32" t="s">
        <v>91</v>
      </c>
      <c r="C37" s="2">
        <f>SUM(C6:C36)</f>
        <v>21316</v>
      </c>
    </row>
  </sheetData>
  <mergeCells count="1">
    <mergeCell ref="A1:C3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E45FE-E35C-4FDE-86F7-695FDB027090}">
  <sheetPr>
    <tabColor rgb="FF00B050"/>
  </sheetPr>
  <dimension ref="A1:CF37"/>
  <sheetViews>
    <sheetView zoomScale="90" zoomScaleNormal="90" workbookViewId="0">
      <pane xSplit="1" ySplit="5" topLeftCell="B6" activePane="bottomRight" state="frozen"/>
      <selection pane="bottomRight" activeCell="U14" sqref="U14"/>
      <selection pane="bottomLeft" activeCell="A6" sqref="A6"/>
      <selection pane="topRight" activeCell="B1" sqref="B1"/>
    </sheetView>
  </sheetViews>
  <sheetFormatPr defaultColWidth="9.140625" defaultRowHeight="12.75"/>
  <cols>
    <col min="1" max="1" width="7.140625" style="51" bestFit="1" customWidth="1"/>
    <col min="2" max="2" width="13.5703125" style="51" customWidth="1"/>
    <col min="3" max="3" width="11.42578125" style="51" customWidth="1"/>
    <col min="4" max="4" width="10.5703125" style="51" customWidth="1"/>
    <col min="5" max="5" width="2" style="52" customWidth="1"/>
    <col min="6" max="6" width="5.140625" style="51" hidden="1" customWidth="1"/>
    <col min="7" max="7" width="13.5703125" style="51" customWidth="1"/>
    <col min="8" max="8" width="11.5703125" style="51" customWidth="1"/>
    <col min="9" max="9" width="14" style="51" customWidth="1"/>
    <col min="10" max="10" width="2.85546875" style="52" customWidth="1"/>
    <col min="11" max="11" width="5.42578125" style="51" hidden="1" customWidth="1"/>
    <col min="12" max="13" width="13.5703125" style="51" customWidth="1"/>
    <col min="14" max="14" width="12.140625" style="51" customWidth="1"/>
    <col min="15" max="15" width="2.85546875" style="52" customWidth="1"/>
    <col min="16" max="16" width="5.85546875" style="51" hidden="1" customWidth="1"/>
    <col min="17" max="17" width="13.5703125" style="51" customWidth="1"/>
    <col min="18" max="18" width="10.7109375" style="51" customWidth="1"/>
    <col min="19" max="19" width="11.140625" style="51" customWidth="1"/>
    <col min="20" max="20" width="2.42578125" style="52" customWidth="1"/>
    <col min="21" max="21" width="13.5703125" style="51" customWidth="1"/>
    <col min="22" max="22" width="10.7109375" style="51" customWidth="1"/>
    <col min="23" max="23" width="11.140625" style="51" customWidth="1"/>
    <col min="24" max="24" width="13" style="38" hidden="1" customWidth="1"/>
    <col min="25" max="25" width="8" style="60" hidden="1" customWidth="1"/>
    <col min="26" max="26" width="11.85546875" style="60" hidden="1" customWidth="1"/>
    <col min="27" max="27" width="1.42578125" style="104" customWidth="1"/>
    <col min="28" max="28" width="7.7109375" style="38" customWidth="1"/>
    <col min="29" max="29" width="11.140625" style="60" customWidth="1"/>
    <col min="30" max="30" width="10.140625" style="60" customWidth="1"/>
    <col min="31" max="31" width="10.140625" style="60" hidden="1" customWidth="1"/>
    <col min="32" max="32" width="7.42578125" style="60" hidden="1" customWidth="1"/>
    <col min="33" max="64" width="12.7109375" style="60" customWidth="1"/>
    <col min="65" max="65" width="10.140625" style="60" hidden="1" customWidth="1"/>
    <col min="66" max="66" width="7.42578125" style="60" hidden="1" customWidth="1"/>
    <col min="67" max="73" width="14.7109375" style="60" customWidth="1"/>
    <col min="74" max="74" width="14.7109375" style="38" customWidth="1"/>
    <col min="75" max="91" width="0" style="38" hidden="1" customWidth="1"/>
    <col min="92" max="16384" width="9.140625" style="38"/>
  </cols>
  <sheetData>
    <row r="1" spans="1:84" ht="12.75" customHeight="1">
      <c r="A1" s="321" t="s">
        <v>125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241"/>
      <c r="Y1" s="241"/>
      <c r="Z1" s="99"/>
      <c r="AB1" s="323" t="s">
        <v>126</v>
      </c>
      <c r="AC1" s="323"/>
      <c r="AD1" s="323"/>
      <c r="AE1" s="323"/>
      <c r="AF1" s="323"/>
      <c r="AG1" s="323"/>
      <c r="AH1" s="323"/>
      <c r="AI1" s="323"/>
      <c r="AJ1" s="323"/>
      <c r="AK1" s="323"/>
      <c r="AL1" s="323"/>
      <c r="AM1" s="323"/>
      <c r="AN1" s="323"/>
      <c r="AO1" s="323"/>
      <c r="AP1" s="323"/>
      <c r="AQ1" s="323"/>
      <c r="AR1" s="323"/>
      <c r="AS1" s="323"/>
      <c r="AT1" s="323"/>
      <c r="AU1" s="323"/>
      <c r="AV1" s="323"/>
      <c r="AW1" s="323"/>
      <c r="AX1" s="323"/>
      <c r="AY1" s="323"/>
      <c r="AZ1" s="323"/>
      <c r="BA1" s="323"/>
      <c r="BB1" s="323"/>
      <c r="BC1" s="323"/>
      <c r="BD1" s="323"/>
      <c r="BE1" s="323"/>
      <c r="BF1" s="323"/>
      <c r="BG1" s="323"/>
      <c r="BH1" s="323"/>
      <c r="BI1" s="323"/>
      <c r="BJ1" s="323"/>
      <c r="BK1" s="323"/>
      <c r="BL1" s="323"/>
      <c r="BM1" s="323"/>
      <c r="BN1" s="323"/>
      <c r="BO1" s="323"/>
      <c r="BP1" s="323"/>
      <c r="BQ1" s="323"/>
      <c r="BR1" s="323"/>
      <c r="BS1" s="323"/>
      <c r="BT1" s="323"/>
      <c r="BU1" s="323"/>
      <c r="BV1" s="323"/>
      <c r="BW1" s="323"/>
      <c r="BX1" s="323"/>
      <c r="BY1" s="323"/>
      <c r="BZ1" s="323"/>
      <c r="CA1" s="156"/>
      <c r="CB1" s="156"/>
      <c r="CC1" s="156"/>
      <c r="CD1" s="156"/>
      <c r="CE1" s="156"/>
      <c r="CF1" s="156"/>
    </row>
    <row r="2" spans="1:84" s="39" customFormat="1" ht="24" customHeight="1">
      <c r="A2" s="321"/>
      <c r="B2" s="321"/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241"/>
      <c r="Y2" s="241"/>
      <c r="Z2" s="99"/>
      <c r="AA2" s="105"/>
      <c r="AB2" s="323"/>
      <c r="AC2" s="323"/>
      <c r="AD2" s="323"/>
      <c r="AE2" s="323"/>
      <c r="AF2" s="323"/>
      <c r="AG2" s="323"/>
      <c r="AH2" s="323"/>
      <c r="AI2" s="323"/>
      <c r="AJ2" s="323"/>
      <c r="AK2" s="323"/>
      <c r="AL2" s="323"/>
      <c r="AM2" s="323"/>
      <c r="AN2" s="323"/>
      <c r="AO2" s="323"/>
      <c r="AP2" s="323"/>
      <c r="AQ2" s="323"/>
      <c r="AR2" s="323"/>
      <c r="AS2" s="323"/>
      <c r="AT2" s="323"/>
      <c r="AU2" s="323"/>
      <c r="AV2" s="323"/>
      <c r="AW2" s="323"/>
      <c r="AX2" s="323"/>
      <c r="AY2" s="323"/>
      <c r="AZ2" s="323"/>
      <c r="BA2" s="323"/>
      <c r="BB2" s="323"/>
      <c r="BC2" s="323"/>
      <c r="BD2" s="323"/>
      <c r="BE2" s="323"/>
      <c r="BF2" s="323"/>
      <c r="BG2" s="323"/>
      <c r="BH2" s="323"/>
      <c r="BI2" s="323"/>
      <c r="BJ2" s="323"/>
      <c r="BK2" s="323"/>
      <c r="BL2" s="323"/>
      <c r="BM2" s="323"/>
      <c r="BN2" s="323"/>
      <c r="BO2" s="323"/>
      <c r="BP2" s="323"/>
      <c r="BQ2" s="323"/>
      <c r="BR2" s="323"/>
      <c r="BS2" s="323"/>
      <c r="BT2" s="323"/>
      <c r="BU2" s="323"/>
      <c r="BV2" s="323"/>
      <c r="BW2" s="323"/>
      <c r="BX2" s="323"/>
      <c r="BY2" s="323"/>
      <c r="BZ2" s="323"/>
      <c r="CA2" s="156"/>
      <c r="CB2" s="156"/>
      <c r="CC2" s="156"/>
      <c r="CD2" s="156"/>
      <c r="CE2" s="156"/>
      <c r="CF2" s="156"/>
    </row>
    <row r="3" spans="1:84" s="51" customFormat="1" ht="11.25" customHeight="1" thickBot="1">
      <c r="A3" s="322"/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2"/>
      <c r="Q3" s="322"/>
      <c r="R3" s="322"/>
      <c r="S3" s="322"/>
      <c r="T3" s="322"/>
      <c r="U3" s="322"/>
      <c r="V3" s="322"/>
      <c r="W3" s="322"/>
      <c r="X3" s="242"/>
      <c r="Y3" s="242"/>
      <c r="Z3" s="100"/>
      <c r="AA3" s="106"/>
      <c r="AB3" s="324"/>
      <c r="AC3" s="324"/>
      <c r="AD3" s="324"/>
      <c r="AE3" s="324"/>
      <c r="AF3" s="324"/>
      <c r="AG3" s="324"/>
      <c r="AH3" s="324"/>
      <c r="AI3" s="324"/>
      <c r="AJ3" s="324"/>
      <c r="AK3" s="324"/>
      <c r="AL3" s="324"/>
      <c r="AM3" s="324"/>
      <c r="AN3" s="324"/>
      <c r="AO3" s="324"/>
      <c r="AP3" s="324"/>
      <c r="AQ3" s="324"/>
      <c r="AR3" s="324"/>
      <c r="AS3" s="324"/>
      <c r="AT3" s="324"/>
      <c r="AU3" s="324"/>
      <c r="AV3" s="324"/>
      <c r="AW3" s="324"/>
      <c r="AX3" s="324"/>
      <c r="AY3" s="324"/>
      <c r="AZ3" s="324"/>
      <c r="BA3" s="324"/>
      <c r="BB3" s="324"/>
      <c r="BC3" s="324"/>
      <c r="BD3" s="324"/>
      <c r="BE3" s="324"/>
      <c r="BF3" s="324"/>
      <c r="BG3" s="324"/>
      <c r="BH3" s="324"/>
      <c r="BI3" s="324"/>
      <c r="BJ3" s="324"/>
      <c r="BK3" s="324"/>
      <c r="BL3" s="324"/>
      <c r="BM3" s="324"/>
      <c r="BN3" s="324"/>
      <c r="BO3" s="324"/>
      <c r="BP3" s="324"/>
      <c r="BQ3" s="324"/>
      <c r="BR3" s="324"/>
      <c r="BS3" s="324"/>
      <c r="BT3" s="324"/>
      <c r="BU3" s="324"/>
      <c r="BV3" s="324"/>
      <c r="BW3" s="324"/>
      <c r="BX3" s="324"/>
      <c r="BY3" s="324"/>
      <c r="BZ3" s="324"/>
      <c r="CA3" s="156"/>
      <c r="CB3" s="156"/>
      <c r="CC3" s="156"/>
      <c r="CD3" s="156"/>
      <c r="CE3" s="156"/>
      <c r="CF3" s="156"/>
    </row>
    <row r="4" spans="1:84" ht="28.5" customHeight="1">
      <c r="A4" s="325" t="s">
        <v>127</v>
      </c>
      <c r="B4" s="326"/>
      <c r="C4" s="326"/>
      <c r="D4" s="327"/>
      <c r="E4" s="40"/>
      <c r="F4" s="325" t="s">
        <v>128</v>
      </c>
      <c r="G4" s="326"/>
      <c r="H4" s="326"/>
      <c r="I4" s="327"/>
      <c r="J4" s="40"/>
      <c r="K4" s="325" t="s">
        <v>129</v>
      </c>
      <c r="L4" s="326"/>
      <c r="M4" s="326"/>
      <c r="N4" s="327"/>
      <c r="O4" s="40"/>
      <c r="P4" s="325" t="s">
        <v>130</v>
      </c>
      <c r="Q4" s="326"/>
      <c r="R4" s="326"/>
      <c r="S4" s="327"/>
      <c r="T4" s="40"/>
      <c r="U4" s="325" t="s">
        <v>131</v>
      </c>
      <c r="V4" s="326"/>
      <c r="W4" s="327"/>
      <c r="X4" s="328"/>
      <c r="Y4" s="329"/>
      <c r="Z4" s="101"/>
      <c r="AB4" s="330" t="s">
        <v>132</v>
      </c>
      <c r="AC4" s="331"/>
      <c r="AD4" s="331"/>
      <c r="AE4" s="331"/>
      <c r="AF4" s="332"/>
      <c r="AG4" s="330" t="s">
        <v>133</v>
      </c>
      <c r="AH4" s="331"/>
      <c r="AI4" s="330" t="s">
        <v>134</v>
      </c>
      <c r="AJ4" s="331"/>
      <c r="AK4" s="330" t="s">
        <v>135</v>
      </c>
      <c r="AL4" s="331"/>
      <c r="AM4" s="330" t="s">
        <v>136</v>
      </c>
      <c r="AN4" s="331"/>
      <c r="AO4" s="330" t="s">
        <v>137</v>
      </c>
      <c r="AP4" s="331"/>
      <c r="AQ4" s="330" t="s">
        <v>138</v>
      </c>
      <c r="AR4" s="331"/>
      <c r="AS4" s="330" t="s">
        <v>139</v>
      </c>
      <c r="AT4" s="331"/>
      <c r="AU4" s="330" t="s">
        <v>140</v>
      </c>
      <c r="AV4" s="331"/>
      <c r="AW4" s="330" t="s">
        <v>141</v>
      </c>
      <c r="AX4" s="331"/>
      <c r="AY4" s="330" t="s">
        <v>142</v>
      </c>
      <c r="AZ4" s="331"/>
      <c r="BA4" s="330" t="s">
        <v>143</v>
      </c>
      <c r="BB4" s="331"/>
      <c r="BC4" s="330" t="s">
        <v>144</v>
      </c>
      <c r="BD4" s="331"/>
      <c r="BE4" s="330" t="s">
        <v>145</v>
      </c>
      <c r="BF4" s="331"/>
      <c r="BG4" s="330" t="s">
        <v>146</v>
      </c>
      <c r="BH4" s="331"/>
      <c r="BI4" s="330" t="s">
        <v>147</v>
      </c>
      <c r="BJ4" s="331"/>
      <c r="BK4" s="330" t="s">
        <v>148</v>
      </c>
      <c r="BL4" s="331"/>
      <c r="BM4" s="331"/>
      <c r="BN4" s="332"/>
      <c r="BO4" s="330" t="s">
        <v>149</v>
      </c>
      <c r="BP4" s="331"/>
      <c r="BQ4" s="330" t="s">
        <v>150</v>
      </c>
      <c r="BR4" s="331"/>
      <c r="BS4" s="330" t="s">
        <v>151</v>
      </c>
      <c r="BT4" s="331"/>
      <c r="BU4" s="330" t="s">
        <v>152</v>
      </c>
      <c r="BV4" s="331"/>
      <c r="BW4" s="233"/>
      <c r="BX4" s="333" t="s">
        <v>153</v>
      </c>
      <c r="BY4" s="334"/>
      <c r="BZ4" s="335"/>
      <c r="CA4" s="333" t="s">
        <v>154</v>
      </c>
      <c r="CB4" s="334"/>
      <c r="CC4" s="335"/>
      <c r="CD4" s="333" t="s">
        <v>71</v>
      </c>
      <c r="CE4" s="334"/>
      <c r="CF4" s="335"/>
    </row>
    <row r="5" spans="1:84" ht="36" customHeight="1">
      <c r="A5" s="288" t="s">
        <v>80</v>
      </c>
      <c r="B5" s="289" t="s">
        <v>155</v>
      </c>
      <c r="C5" s="288" t="s">
        <v>156</v>
      </c>
      <c r="D5" s="289" t="s">
        <v>157</v>
      </c>
      <c r="E5" s="289"/>
      <c r="F5" s="288" t="s">
        <v>80</v>
      </c>
      <c r="G5" s="289" t="s">
        <v>158</v>
      </c>
      <c r="H5" s="289" t="s">
        <v>156</v>
      </c>
      <c r="I5" s="289" t="s">
        <v>157</v>
      </c>
      <c r="J5" s="289"/>
      <c r="K5" s="288" t="s">
        <v>80</v>
      </c>
      <c r="L5" s="289" t="s">
        <v>158</v>
      </c>
      <c r="M5" s="288" t="s">
        <v>156</v>
      </c>
      <c r="N5" s="289" t="s">
        <v>157</v>
      </c>
      <c r="O5" s="289"/>
      <c r="P5" s="288" t="s">
        <v>80</v>
      </c>
      <c r="Q5" s="289" t="s">
        <v>158</v>
      </c>
      <c r="R5" s="288" t="s">
        <v>156</v>
      </c>
      <c r="S5" s="289" t="s">
        <v>157</v>
      </c>
      <c r="T5" s="289"/>
      <c r="U5" s="289" t="s">
        <v>158</v>
      </c>
      <c r="V5" s="288" t="s">
        <v>156</v>
      </c>
      <c r="W5" s="289" t="s">
        <v>157</v>
      </c>
      <c r="X5" s="41" t="s">
        <v>159</v>
      </c>
      <c r="Y5" s="98" t="s">
        <v>160</v>
      </c>
      <c r="Z5" s="102" t="s">
        <v>161</v>
      </c>
      <c r="AB5" s="71" t="s">
        <v>80</v>
      </c>
      <c r="AC5" s="70" t="s">
        <v>111</v>
      </c>
      <c r="AD5" s="70" t="s">
        <v>162</v>
      </c>
      <c r="AE5" s="96" t="s">
        <v>163</v>
      </c>
      <c r="AF5" s="95" t="s">
        <v>164</v>
      </c>
      <c r="AG5" s="71" t="s">
        <v>111</v>
      </c>
      <c r="AH5" s="96" t="s">
        <v>162</v>
      </c>
      <c r="AI5" s="71" t="s">
        <v>111</v>
      </c>
      <c r="AJ5" s="96" t="s">
        <v>162</v>
      </c>
      <c r="AK5" s="71" t="s">
        <v>111</v>
      </c>
      <c r="AL5" s="96" t="s">
        <v>162</v>
      </c>
      <c r="AM5" s="71" t="s">
        <v>111</v>
      </c>
      <c r="AN5" s="96" t="s">
        <v>162</v>
      </c>
      <c r="AO5" s="71" t="s">
        <v>111</v>
      </c>
      <c r="AP5" s="96" t="s">
        <v>162</v>
      </c>
      <c r="AQ5" s="71" t="s">
        <v>111</v>
      </c>
      <c r="AR5" s="96" t="s">
        <v>162</v>
      </c>
      <c r="AS5" s="71" t="s">
        <v>111</v>
      </c>
      <c r="AT5" s="96" t="s">
        <v>162</v>
      </c>
      <c r="AU5" s="71" t="s">
        <v>111</v>
      </c>
      <c r="AV5" s="96" t="s">
        <v>162</v>
      </c>
      <c r="AW5" s="71" t="s">
        <v>111</v>
      </c>
      <c r="AX5" s="96" t="s">
        <v>162</v>
      </c>
      <c r="AY5" s="71" t="s">
        <v>111</v>
      </c>
      <c r="AZ5" s="96" t="s">
        <v>165</v>
      </c>
      <c r="BA5" s="71" t="s">
        <v>111</v>
      </c>
      <c r="BB5" s="96" t="s">
        <v>162</v>
      </c>
      <c r="BC5" s="71" t="s">
        <v>111</v>
      </c>
      <c r="BD5" s="96" t="s">
        <v>162</v>
      </c>
      <c r="BE5" s="71" t="s">
        <v>111</v>
      </c>
      <c r="BF5" s="96" t="s">
        <v>162</v>
      </c>
      <c r="BG5" s="71" t="s">
        <v>111</v>
      </c>
      <c r="BH5" s="96" t="s">
        <v>165</v>
      </c>
      <c r="BI5" s="71" t="s">
        <v>111</v>
      </c>
      <c r="BJ5" s="96" t="s">
        <v>162</v>
      </c>
      <c r="BK5" s="71" t="s">
        <v>111</v>
      </c>
      <c r="BL5" s="96" t="s">
        <v>165</v>
      </c>
      <c r="BM5" s="96" t="s">
        <v>163</v>
      </c>
      <c r="BN5" s="72" t="s">
        <v>164</v>
      </c>
      <c r="BO5" s="71" t="s">
        <v>111</v>
      </c>
      <c r="BP5" s="96" t="s">
        <v>162</v>
      </c>
      <c r="BQ5" s="71" t="s">
        <v>111</v>
      </c>
      <c r="BR5" s="96" t="s">
        <v>162</v>
      </c>
      <c r="BS5" s="71" t="s">
        <v>111</v>
      </c>
      <c r="BT5" s="96" t="s">
        <v>165</v>
      </c>
      <c r="BU5" s="71" t="s">
        <v>111</v>
      </c>
      <c r="BV5" s="96" t="s">
        <v>162</v>
      </c>
      <c r="BW5" s="110" t="s">
        <v>162</v>
      </c>
      <c r="BX5" s="108" t="s">
        <v>166</v>
      </c>
      <c r="BY5" s="109" t="s">
        <v>167</v>
      </c>
      <c r="BZ5" s="110" t="s">
        <v>162</v>
      </c>
      <c r="CA5" s="108" t="s">
        <v>166</v>
      </c>
      <c r="CB5" s="109" t="s">
        <v>167</v>
      </c>
      <c r="CC5" s="110" t="s">
        <v>162</v>
      </c>
      <c r="CD5" s="108" t="s">
        <v>166</v>
      </c>
      <c r="CE5" s="109" t="s">
        <v>167</v>
      </c>
      <c r="CF5" s="110" t="s">
        <v>162</v>
      </c>
    </row>
    <row r="6" spans="1:84" s="221" customFormat="1" ht="15" customHeight="1">
      <c r="A6" s="207">
        <f>Solar!A5</f>
        <v>44985</v>
      </c>
      <c r="B6" s="208">
        <v>23742</v>
      </c>
      <c r="C6" s="208">
        <v>2288</v>
      </c>
      <c r="D6" s="209"/>
      <c r="E6" s="210"/>
      <c r="F6" s="211">
        <v>1</v>
      </c>
      <c r="G6" s="212">
        <v>43304</v>
      </c>
      <c r="H6" s="208">
        <v>77933</v>
      </c>
      <c r="I6" s="209"/>
      <c r="J6" s="210"/>
      <c r="K6" s="211">
        <v>1</v>
      </c>
      <c r="L6" s="212">
        <v>857545</v>
      </c>
      <c r="M6" s="212">
        <v>61006</v>
      </c>
      <c r="N6" s="209"/>
      <c r="O6" s="213"/>
      <c r="P6" s="211">
        <v>1</v>
      </c>
      <c r="Q6" s="208">
        <v>3244</v>
      </c>
      <c r="R6" s="208">
        <v>82862</v>
      </c>
      <c r="S6" s="209"/>
      <c r="T6" s="214"/>
      <c r="U6" s="208">
        <v>4610</v>
      </c>
      <c r="V6" s="208"/>
      <c r="W6" s="209"/>
      <c r="X6" s="215" t="e">
        <f>#REF!</f>
        <v>#REF!</v>
      </c>
      <c r="Y6" s="209">
        <v>81</v>
      </c>
      <c r="Z6" s="216" t="e">
        <f>#REF!/Y6</f>
        <v>#REF!</v>
      </c>
      <c r="AA6" s="217"/>
      <c r="AB6" s="270">
        <f>A6</f>
        <v>44985</v>
      </c>
      <c r="AC6" s="283">
        <v>50201</v>
      </c>
      <c r="AD6" s="284"/>
      <c r="AE6" s="283"/>
      <c r="AF6" s="285"/>
      <c r="AG6" s="286">
        <v>11254</v>
      </c>
      <c r="AH6" s="284"/>
      <c r="AI6" s="286">
        <v>10902</v>
      </c>
      <c r="AJ6" s="284"/>
      <c r="AK6" s="286">
        <v>20579</v>
      </c>
      <c r="AL6" s="284"/>
      <c r="AM6" s="286">
        <v>36464</v>
      </c>
      <c r="AN6" s="284"/>
      <c r="AO6" s="286">
        <v>10000</v>
      </c>
      <c r="AP6" s="284"/>
      <c r="AQ6" s="286">
        <v>26995</v>
      </c>
      <c r="AR6" s="293"/>
      <c r="AS6" s="283">
        <v>10985</v>
      </c>
      <c r="AT6" s="284"/>
      <c r="AU6" s="286">
        <v>4333</v>
      </c>
      <c r="AV6" s="284"/>
      <c r="AW6" s="286">
        <v>1908</v>
      </c>
      <c r="AX6" s="293"/>
      <c r="AY6" s="287">
        <v>29569</v>
      </c>
      <c r="AZ6" s="293"/>
      <c r="BA6" s="283">
        <v>3718</v>
      </c>
      <c r="BB6" s="293"/>
      <c r="BC6" s="283">
        <v>88631</v>
      </c>
      <c r="BD6" s="293"/>
      <c r="BE6" s="283">
        <v>27133</v>
      </c>
      <c r="BF6" s="293"/>
      <c r="BG6" s="283">
        <v>12936</v>
      </c>
      <c r="BH6" s="293"/>
      <c r="BI6" s="283">
        <v>20175</v>
      </c>
      <c r="BJ6" s="293"/>
      <c r="BK6" s="283">
        <v>21368</v>
      </c>
      <c r="BL6" s="293"/>
      <c r="BM6" s="292"/>
      <c r="BN6" s="285"/>
      <c r="BO6" s="283">
        <v>10376</v>
      </c>
      <c r="BP6" s="293"/>
      <c r="BQ6" s="283">
        <v>28237</v>
      </c>
      <c r="BR6" s="293"/>
      <c r="BS6" s="283">
        <v>3064</v>
      </c>
      <c r="BT6" s="284"/>
      <c r="BU6" s="287">
        <v>368</v>
      </c>
      <c r="BV6" s="284"/>
      <c r="BW6" s="219" t="e">
        <f>#REF!-#REF!</f>
        <v>#REF!</v>
      </c>
      <c r="BX6" s="220"/>
      <c r="BY6" s="218"/>
      <c r="BZ6" s="219">
        <f>BY6-BX6</f>
        <v>0</v>
      </c>
      <c r="CA6" s="220"/>
      <c r="CB6" s="218"/>
      <c r="CC6" s="219">
        <f>CB6-CA6</f>
        <v>0</v>
      </c>
      <c r="CD6" s="220"/>
      <c r="CE6" s="218"/>
      <c r="CF6" s="219">
        <f>CE6-CD6</f>
        <v>0</v>
      </c>
    </row>
    <row r="7" spans="1:84" ht="15" customHeight="1">
      <c r="A7" s="222">
        <f>Solar!A6</f>
        <v>44986</v>
      </c>
      <c r="B7" s="42">
        <v>23921</v>
      </c>
      <c r="C7" s="42">
        <v>2306</v>
      </c>
      <c r="D7" s="43"/>
      <c r="E7" s="69"/>
      <c r="F7" s="47"/>
      <c r="G7" s="42">
        <v>43304</v>
      </c>
      <c r="H7" s="42">
        <v>77933</v>
      </c>
      <c r="I7" s="43"/>
      <c r="J7" s="69"/>
      <c r="K7" s="47"/>
      <c r="L7" s="42">
        <v>857706</v>
      </c>
      <c r="M7" s="48">
        <v>61022</v>
      </c>
      <c r="N7" s="43"/>
      <c r="O7" s="45"/>
      <c r="P7" s="47"/>
      <c r="Q7" s="42">
        <v>3254</v>
      </c>
      <c r="R7" s="42">
        <v>82863</v>
      </c>
      <c r="S7" s="43"/>
      <c r="T7" s="44"/>
      <c r="U7" s="42">
        <v>4612</v>
      </c>
      <c r="V7" s="42"/>
      <c r="W7" s="43"/>
      <c r="X7" s="46" t="e">
        <f>#REF!</f>
        <v>#REF!</v>
      </c>
      <c r="Y7" s="43">
        <v>81</v>
      </c>
      <c r="Z7" s="103" t="e">
        <f>#REF!/Y7</f>
        <v>#REF!</v>
      </c>
      <c r="AB7" s="271">
        <f>A7</f>
        <v>44986</v>
      </c>
      <c r="AC7" s="272">
        <v>50226</v>
      </c>
      <c r="AD7" s="273">
        <f>MAX(0,AC7-AC6)</f>
        <v>25</v>
      </c>
      <c r="AE7" s="290"/>
      <c r="AF7" s="273"/>
      <c r="AG7" s="272">
        <v>11260</v>
      </c>
      <c r="AH7" s="273">
        <f>MAX(0,AG7-AG6)</f>
        <v>6</v>
      </c>
      <c r="AI7" s="272">
        <v>10911</v>
      </c>
      <c r="AJ7" s="273">
        <f>MAX(0,AI7-AI6)</f>
        <v>9</v>
      </c>
      <c r="AK7" s="272">
        <v>20589</v>
      </c>
      <c r="AL7" s="273">
        <f>MAX(0,AK7-AK6)</f>
        <v>10</v>
      </c>
      <c r="AM7" s="272">
        <v>36470</v>
      </c>
      <c r="AN7" s="273">
        <f>MAX(0,AM7-AM6)</f>
        <v>6</v>
      </c>
      <c r="AO7" s="272">
        <v>10005</v>
      </c>
      <c r="AP7" s="273">
        <f>MAX(0,AO7-AO6)</f>
        <v>5</v>
      </c>
      <c r="AQ7" s="272">
        <v>27002</v>
      </c>
      <c r="AR7" s="273">
        <f>MAX(0,AQ7-AQ6)</f>
        <v>7</v>
      </c>
      <c r="AS7" s="272">
        <v>10993</v>
      </c>
      <c r="AT7" s="273">
        <f>MAX(0,AS7-AS6)</f>
        <v>8</v>
      </c>
      <c r="AU7" s="272">
        <v>4334</v>
      </c>
      <c r="AV7" s="273">
        <f>MAX(0,AU7-AU6)</f>
        <v>1</v>
      </c>
      <c r="AW7" s="272">
        <v>1908</v>
      </c>
      <c r="AX7" s="273">
        <f>MAX(0,AW7-AW6)</f>
        <v>0</v>
      </c>
      <c r="AY7" s="272">
        <v>29572</v>
      </c>
      <c r="AZ7" s="273">
        <f>MAX(0,AY7-AY6)</f>
        <v>3</v>
      </c>
      <c r="BA7" s="272">
        <v>3720</v>
      </c>
      <c r="BB7" s="273">
        <f>MAX(0,BA7-BA6)</f>
        <v>2</v>
      </c>
      <c r="BC7" s="272">
        <v>88659</v>
      </c>
      <c r="BD7" s="273">
        <f>MAX(0,BC7-BC6)</f>
        <v>28</v>
      </c>
      <c r="BE7" s="272">
        <v>27141</v>
      </c>
      <c r="BF7" s="273">
        <f>MAX(0,BE7-BE6)</f>
        <v>8</v>
      </c>
      <c r="BG7" s="272">
        <v>12937</v>
      </c>
      <c r="BH7" s="273">
        <f>MAX(0,BG7-BG6)</f>
        <v>1</v>
      </c>
      <c r="BI7" s="272">
        <v>20183</v>
      </c>
      <c r="BJ7" s="273">
        <f>MAX(0,BI7-BI6)</f>
        <v>8</v>
      </c>
      <c r="BK7" s="272">
        <v>21371</v>
      </c>
      <c r="BL7" s="273">
        <f>MAX(0,BK7-BK6)</f>
        <v>3</v>
      </c>
      <c r="BM7" s="290"/>
      <c r="BN7" s="273"/>
      <c r="BO7" s="272">
        <v>10378</v>
      </c>
      <c r="BP7" s="273">
        <f>MAX(0,BO7-BO6)</f>
        <v>2</v>
      </c>
      <c r="BQ7" s="272">
        <v>28252</v>
      </c>
      <c r="BR7" s="273">
        <f>MAX(0,BQ7-BQ6)</f>
        <v>15</v>
      </c>
      <c r="BS7" s="272">
        <v>3065</v>
      </c>
      <c r="BT7" s="273">
        <f>MAX(0,BS7-BS6)</f>
        <v>1</v>
      </c>
      <c r="BU7" s="276">
        <v>369</v>
      </c>
      <c r="BV7" s="273">
        <f>MAX(0,BU7-BU6)</f>
        <v>1</v>
      </c>
      <c r="BW7" s="73" t="e">
        <f>#REF!-#REF!</f>
        <v>#REF!</v>
      </c>
      <c r="BX7" s="74"/>
      <c r="BY7" s="49"/>
      <c r="BZ7" s="73">
        <f>BY7-BX7</f>
        <v>0</v>
      </c>
      <c r="CA7" s="74"/>
      <c r="CB7" s="49"/>
      <c r="CC7" s="73">
        <f>CB7-CA7</f>
        <v>0</v>
      </c>
      <c r="CD7" s="74"/>
      <c r="CE7" s="49"/>
      <c r="CF7" s="73">
        <f>CE7-CD7</f>
        <v>0</v>
      </c>
    </row>
    <row r="8" spans="1:84" ht="15" customHeight="1">
      <c r="A8" s="222">
        <f>Solar!A7</f>
        <v>44987</v>
      </c>
      <c r="B8" s="48">
        <v>24080</v>
      </c>
      <c r="C8" s="42">
        <v>2322</v>
      </c>
      <c r="D8" s="43"/>
      <c r="E8" s="69"/>
      <c r="F8" s="47"/>
      <c r="G8" s="42">
        <v>43333</v>
      </c>
      <c r="H8" s="42">
        <v>77938</v>
      </c>
      <c r="I8" s="43"/>
      <c r="J8" s="69"/>
      <c r="K8" s="47"/>
      <c r="L8" s="48">
        <v>857857</v>
      </c>
      <c r="M8" s="48">
        <v>61037</v>
      </c>
      <c r="N8" s="43"/>
      <c r="O8" s="45"/>
      <c r="P8" s="47"/>
      <c r="Q8" s="48">
        <v>3256</v>
      </c>
      <c r="R8" s="48">
        <v>82864</v>
      </c>
      <c r="S8" s="43"/>
      <c r="T8" s="44"/>
      <c r="U8" s="48">
        <v>4614</v>
      </c>
      <c r="V8" s="48"/>
      <c r="W8" s="43"/>
      <c r="X8" s="46" t="e">
        <f>#REF!</f>
        <v>#REF!</v>
      </c>
      <c r="Y8" s="49">
        <v>93</v>
      </c>
      <c r="Z8" s="103" t="e">
        <f>#REF!/Y8</f>
        <v>#REF!</v>
      </c>
      <c r="AB8" s="271">
        <f t="shared" ref="AB8:AB37" si="0">A8</f>
        <v>44987</v>
      </c>
      <c r="AC8" s="272">
        <v>50253</v>
      </c>
      <c r="AD8" s="273">
        <f t="shared" ref="AD8:AD37" si="1">MAX(0,AC8-AC7)</f>
        <v>27</v>
      </c>
      <c r="AE8" s="290">
        <f>AD8-AD7</f>
        <v>2</v>
      </c>
      <c r="AF8" s="274"/>
      <c r="AG8" s="275">
        <v>11264</v>
      </c>
      <c r="AH8" s="273">
        <f t="shared" ref="AH8:AH37" si="2">MAX(0,AG8-AG7)</f>
        <v>4</v>
      </c>
      <c r="AI8" s="275">
        <v>10919</v>
      </c>
      <c r="AJ8" s="273">
        <f t="shared" ref="AJ8:AJ37" si="3">MAX(0,AI8-AI7)</f>
        <v>8</v>
      </c>
      <c r="AK8" s="275">
        <v>20600</v>
      </c>
      <c r="AL8" s="273">
        <f t="shared" ref="AL8:AL37" si="4">MAX(0,AK8-AK7)</f>
        <v>11</v>
      </c>
      <c r="AM8" s="275">
        <v>36480</v>
      </c>
      <c r="AN8" s="273">
        <f t="shared" ref="AN8:AN37" si="5">MAX(0,AM8-AM7)</f>
        <v>10</v>
      </c>
      <c r="AO8" s="275">
        <v>10010</v>
      </c>
      <c r="AP8" s="273">
        <f t="shared" ref="AP8:AP37" si="6">MAX(0,AO8-AO7)</f>
        <v>5</v>
      </c>
      <c r="AQ8" s="275">
        <v>27012</v>
      </c>
      <c r="AR8" s="273">
        <f t="shared" ref="AR8:AR37" si="7">MAX(0,AQ8-AQ7)</f>
        <v>10</v>
      </c>
      <c r="AS8" s="275">
        <v>11002</v>
      </c>
      <c r="AT8" s="273">
        <f t="shared" ref="AT8:AT37" si="8">MAX(0,AS8-AS7)</f>
        <v>9</v>
      </c>
      <c r="AU8" s="275">
        <v>4336</v>
      </c>
      <c r="AV8" s="273">
        <f t="shared" ref="AV8:AV37" si="9">MAX(0,AU8-AU7)</f>
        <v>2</v>
      </c>
      <c r="AW8" s="275">
        <v>1914</v>
      </c>
      <c r="AX8" s="273">
        <f t="shared" ref="AX8:AX37" si="10">MAX(0,AW8-AW7)</f>
        <v>6</v>
      </c>
      <c r="AY8" s="276">
        <v>29575</v>
      </c>
      <c r="AZ8" s="273">
        <f t="shared" ref="AZ8:AZ37" si="11">MAX(0,AY8-AY7)</f>
        <v>3</v>
      </c>
      <c r="BA8" s="276">
        <v>3724</v>
      </c>
      <c r="BB8" s="273">
        <f t="shared" ref="BB8:BB37" si="12">MAX(0,BA8-BA7)</f>
        <v>4</v>
      </c>
      <c r="BC8" s="276">
        <v>88685</v>
      </c>
      <c r="BD8" s="273">
        <f t="shared" ref="BD8:BD37" si="13">MAX(0,BC8-BC7)</f>
        <v>26</v>
      </c>
      <c r="BE8" s="276">
        <v>27152</v>
      </c>
      <c r="BF8" s="273">
        <f t="shared" ref="BF8:BF37" si="14">MAX(0,BE8-BE7)</f>
        <v>11</v>
      </c>
      <c r="BG8" s="276">
        <v>12937</v>
      </c>
      <c r="BH8" s="273">
        <f t="shared" ref="BH8:BH37" si="15">MAX(0,BG8-BG7)</f>
        <v>0</v>
      </c>
      <c r="BI8" s="276">
        <v>20194</v>
      </c>
      <c r="BJ8" s="273">
        <f t="shared" ref="BJ8:BJ37" si="16">MAX(0,BI8-BI7)</f>
        <v>11</v>
      </c>
      <c r="BK8" s="276">
        <v>21375</v>
      </c>
      <c r="BL8" s="273">
        <f t="shared" ref="BL8:BL37" si="17">MAX(0,BK8-BK7)</f>
        <v>4</v>
      </c>
      <c r="BM8" s="290"/>
      <c r="BN8" s="273"/>
      <c r="BO8" s="276">
        <v>10384</v>
      </c>
      <c r="BP8" s="273">
        <f t="shared" ref="BP8:BP37" si="18">MAX(0,BO8-BO7)</f>
        <v>6</v>
      </c>
      <c r="BQ8" s="276">
        <v>28270</v>
      </c>
      <c r="BR8" s="273">
        <f t="shared" ref="BR8:BR37" si="19">MAX(0,BQ8-BQ7)</f>
        <v>18</v>
      </c>
      <c r="BS8" s="276">
        <v>3069</v>
      </c>
      <c r="BT8" s="273">
        <f t="shared" ref="BT8:BT37" si="20">MAX(0,BS8-BS7)</f>
        <v>4</v>
      </c>
      <c r="BU8" s="276">
        <v>371</v>
      </c>
      <c r="BV8" s="273">
        <f>MAX(0,BU8-BU7)</f>
        <v>2</v>
      </c>
      <c r="BW8" s="73" t="e">
        <f>#REF!-#REF!</f>
        <v>#REF!</v>
      </c>
      <c r="BX8" s="74">
        <v>23</v>
      </c>
      <c r="BY8" s="49">
        <v>0</v>
      </c>
      <c r="BZ8" s="73">
        <f t="shared" ref="BZ8:BZ34" si="21">BY8-BX8</f>
        <v>-23</v>
      </c>
      <c r="CA8" s="74">
        <v>10</v>
      </c>
      <c r="CB8" s="49">
        <v>0</v>
      </c>
      <c r="CC8" s="73">
        <f t="shared" ref="CC8:CC34" si="22">CB8-CA8</f>
        <v>-10</v>
      </c>
      <c r="CD8" s="74">
        <v>23</v>
      </c>
      <c r="CE8" s="49">
        <v>0</v>
      </c>
      <c r="CF8" s="73">
        <f t="shared" ref="CF8:CF34" si="23">CE8-CD8</f>
        <v>-23</v>
      </c>
    </row>
    <row r="9" spans="1:84" ht="15" customHeight="1">
      <c r="A9" s="222">
        <f>Solar!A8</f>
        <v>44988</v>
      </c>
      <c r="B9" s="48">
        <v>24255</v>
      </c>
      <c r="C9" s="42">
        <v>2339</v>
      </c>
      <c r="D9" s="43"/>
      <c r="E9" s="69"/>
      <c r="F9" s="47"/>
      <c r="G9" s="42">
        <v>43346</v>
      </c>
      <c r="H9" s="42">
        <v>77940</v>
      </c>
      <c r="I9" s="43"/>
      <c r="J9" s="69"/>
      <c r="K9" s="47"/>
      <c r="L9" s="48">
        <v>858007</v>
      </c>
      <c r="M9" s="48">
        <v>61052</v>
      </c>
      <c r="N9" s="43"/>
      <c r="O9" s="45"/>
      <c r="P9" s="47"/>
      <c r="Q9" s="48">
        <v>3256</v>
      </c>
      <c r="R9" s="48">
        <v>82864</v>
      </c>
      <c r="S9" s="43"/>
      <c r="T9" s="44"/>
      <c r="U9" s="48">
        <v>4616</v>
      </c>
      <c r="V9" s="48"/>
      <c r="W9" s="43"/>
      <c r="X9" s="46" t="e">
        <f>#REF!</f>
        <v>#REF!</v>
      </c>
      <c r="Y9" s="49">
        <v>94</v>
      </c>
      <c r="Z9" s="103" t="e">
        <f>#REF!/Y9</f>
        <v>#REF!</v>
      </c>
      <c r="AB9" s="271">
        <f t="shared" si="0"/>
        <v>44988</v>
      </c>
      <c r="AC9" s="272">
        <v>50279</v>
      </c>
      <c r="AD9" s="273">
        <f t="shared" si="1"/>
        <v>26</v>
      </c>
      <c r="AE9" s="290">
        <f>AD9-AD8</f>
        <v>-1</v>
      </c>
      <c r="AF9" s="274"/>
      <c r="AG9" s="275">
        <v>11270</v>
      </c>
      <c r="AH9" s="273">
        <f t="shared" si="2"/>
        <v>6</v>
      </c>
      <c r="AI9" s="275">
        <v>10927</v>
      </c>
      <c r="AJ9" s="273">
        <f t="shared" si="3"/>
        <v>8</v>
      </c>
      <c r="AK9" s="275">
        <v>20612</v>
      </c>
      <c r="AL9" s="273">
        <f t="shared" si="4"/>
        <v>12</v>
      </c>
      <c r="AM9" s="275">
        <v>36486</v>
      </c>
      <c r="AN9" s="273">
        <f t="shared" si="5"/>
        <v>6</v>
      </c>
      <c r="AO9" s="275">
        <v>10016</v>
      </c>
      <c r="AP9" s="273">
        <f t="shared" si="6"/>
        <v>6</v>
      </c>
      <c r="AQ9" s="275">
        <v>27021</v>
      </c>
      <c r="AR9" s="273">
        <f t="shared" si="7"/>
        <v>9</v>
      </c>
      <c r="AS9" s="275">
        <v>11010</v>
      </c>
      <c r="AT9" s="273">
        <f t="shared" si="8"/>
        <v>8</v>
      </c>
      <c r="AU9" s="275">
        <v>4337</v>
      </c>
      <c r="AV9" s="273">
        <f t="shared" si="9"/>
        <v>1</v>
      </c>
      <c r="AW9" s="275">
        <v>1914</v>
      </c>
      <c r="AX9" s="273">
        <f t="shared" si="10"/>
        <v>0</v>
      </c>
      <c r="AY9" s="276">
        <v>29578</v>
      </c>
      <c r="AZ9" s="273">
        <f t="shared" si="11"/>
        <v>3</v>
      </c>
      <c r="BA9" s="276">
        <v>3727</v>
      </c>
      <c r="BB9" s="273">
        <f t="shared" si="12"/>
        <v>3</v>
      </c>
      <c r="BC9" s="276">
        <v>88712</v>
      </c>
      <c r="BD9" s="273">
        <f t="shared" si="13"/>
        <v>27</v>
      </c>
      <c r="BE9" s="276">
        <v>27162</v>
      </c>
      <c r="BF9" s="273">
        <f t="shared" si="14"/>
        <v>10</v>
      </c>
      <c r="BG9" s="276">
        <v>12938</v>
      </c>
      <c r="BH9" s="273">
        <f t="shared" si="15"/>
        <v>1</v>
      </c>
      <c r="BI9" s="276">
        <v>20197</v>
      </c>
      <c r="BJ9" s="273">
        <f t="shared" si="16"/>
        <v>3</v>
      </c>
      <c r="BK9" s="276">
        <v>21378</v>
      </c>
      <c r="BL9" s="273">
        <f t="shared" si="17"/>
        <v>3</v>
      </c>
      <c r="BM9" s="290"/>
      <c r="BN9" s="273"/>
      <c r="BO9" s="276">
        <v>10387</v>
      </c>
      <c r="BP9" s="273">
        <f t="shared" si="18"/>
        <v>3</v>
      </c>
      <c r="BQ9" s="276">
        <v>28299</v>
      </c>
      <c r="BR9" s="273">
        <f t="shared" si="19"/>
        <v>29</v>
      </c>
      <c r="BS9" s="276">
        <v>3071</v>
      </c>
      <c r="BT9" s="273">
        <f t="shared" si="20"/>
        <v>2</v>
      </c>
      <c r="BU9" s="276">
        <v>371</v>
      </c>
      <c r="BV9" s="273">
        <f t="shared" ref="BV8:BV37" si="24">MAX(0,BU9-BU8)</f>
        <v>0</v>
      </c>
      <c r="BW9" s="73" t="e">
        <f>#REF!-#REF!</f>
        <v>#REF!</v>
      </c>
      <c r="BX9" s="74">
        <f t="shared" ref="BX9:BX34" si="25">BY8</f>
        <v>0</v>
      </c>
      <c r="BY9" s="49"/>
      <c r="BZ9" s="73">
        <f t="shared" si="21"/>
        <v>0</v>
      </c>
      <c r="CA9" s="74">
        <f t="shared" ref="CA9:CA34" si="26">CB8</f>
        <v>0</v>
      </c>
      <c r="CB9" s="49"/>
      <c r="CC9" s="73">
        <f t="shared" si="22"/>
        <v>0</v>
      </c>
      <c r="CD9" s="74">
        <f t="shared" ref="CD9:CD34" si="27">CE8</f>
        <v>0</v>
      </c>
      <c r="CE9" s="49"/>
      <c r="CF9" s="73">
        <f t="shared" si="23"/>
        <v>0</v>
      </c>
    </row>
    <row r="10" spans="1:84" ht="15" customHeight="1">
      <c r="A10" s="222">
        <f>Solar!A9</f>
        <v>44989</v>
      </c>
      <c r="B10" s="48">
        <v>24424</v>
      </c>
      <c r="C10" s="42">
        <v>2355</v>
      </c>
      <c r="D10" s="43"/>
      <c r="E10" s="69"/>
      <c r="F10" s="47"/>
      <c r="G10" s="42">
        <v>43346</v>
      </c>
      <c r="H10" s="42">
        <v>77940</v>
      </c>
      <c r="I10" s="43"/>
      <c r="J10" s="69"/>
      <c r="K10" s="47"/>
      <c r="L10" s="48">
        <v>858125</v>
      </c>
      <c r="M10" s="48">
        <v>61064</v>
      </c>
      <c r="N10" s="43"/>
      <c r="O10" s="45"/>
      <c r="P10" s="47"/>
      <c r="Q10" s="48">
        <v>3346</v>
      </c>
      <c r="R10" s="48">
        <v>82877</v>
      </c>
      <c r="S10" s="43"/>
      <c r="T10" s="44"/>
      <c r="U10" s="48">
        <v>4618</v>
      </c>
      <c r="V10" s="48"/>
      <c r="W10" s="43"/>
      <c r="X10" s="46" t="e">
        <f>#REF!</f>
        <v>#REF!</v>
      </c>
      <c r="Y10" s="49">
        <v>98</v>
      </c>
      <c r="Z10" s="103" t="e">
        <f>#REF!/Y10</f>
        <v>#REF!</v>
      </c>
      <c r="AB10" s="271">
        <f t="shared" si="0"/>
        <v>44989</v>
      </c>
      <c r="AC10" s="272">
        <v>50304</v>
      </c>
      <c r="AD10" s="273">
        <f t="shared" si="1"/>
        <v>25</v>
      </c>
      <c r="AE10" s="290">
        <f t="shared" ref="AE10:AE34" si="28">AD10-AD9</f>
        <v>-1</v>
      </c>
      <c r="AF10" s="274"/>
      <c r="AG10" s="275">
        <v>11274</v>
      </c>
      <c r="AH10" s="273">
        <f t="shared" si="2"/>
        <v>4</v>
      </c>
      <c r="AI10" s="275">
        <v>10932</v>
      </c>
      <c r="AJ10" s="273">
        <f t="shared" si="3"/>
        <v>5</v>
      </c>
      <c r="AK10" s="275">
        <v>20621</v>
      </c>
      <c r="AL10" s="273">
        <f t="shared" si="4"/>
        <v>9</v>
      </c>
      <c r="AM10" s="275">
        <v>36495</v>
      </c>
      <c r="AN10" s="273">
        <f t="shared" si="5"/>
        <v>9</v>
      </c>
      <c r="AO10" s="275">
        <v>10022</v>
      </c>
      <c r="AP10" s="273">
        <f t="shared" si="6"/>
        <v>6</v>
      </c>
      <c r="AQ10" s="275">
        <v>27029</v>
      </c>
      <c r="AR10" s="273">
        <f t="shared" si="7"/>
        <v>8</v>
      </c>
      <c r="AS10" s="275">
        <v>11017</v>
      </c>
      <c r="AT10" s="273">
        <f t="shared" si="8"/>
        <v>7</v>
      </c>
      <c r="AU10" s="275">
        <v>4338</v>
      </c>
      <c r="AV10" s="273">
        <f t="shared" si="9"/>
        <v>1</v>
      </c>
      <c r="AW10" s="275">
        <v>1914</v>
      </c>
      <c r="AX10" s="273">
        <f t="shared" si="10"/>
        <v>0</v>
      </c>
      <c r="AY10" s="276">
        <v>29581</v>
      </c>
      <c r="AZ10" s="273">
        <f t="shared" si="11"/>
        <v>3</v>
      </c>
      <c r="BA10" s="276">
        <v>3727</v>
      </c>
      <c r="BB10" s="273">
        <f t="shared" si="12"/>
        <v>0</v>
      </c>
      <c r="BC10" s="276">
        <v>88743</v>
      </c>
      <c r="BD10" s="273">
        <f t="shared" si="13"/>
        <v>31</v>
      </c>
      <c r="BE10" s="276">
        <v>27172</v>
      </c>
      <c r="BF10" s="273">
        <f t="shared" si="14"/>
        <v>10</v>
      </c>
      <c r="BG10" s="276">
        <v>12940</v>
      </c>
      <c r="BH10" s="273">
        <f t="shared" si="15"/>
        <v>2</v>
      </c>
      <c r="BI10" s="276">
        <v>20203</v>
      </c>
      <c r="BJ10" s="273">
        <f t="shared" si="16"/>
        <v>6</v>
      </c>
      <c r="BK10" s="276">
        <v>21381</v>
      </c>
      <c r="BL10" s="273">
        <f t="shared" si="17"/>
        <v>3</v>
      </c>
      <c r="BM10" s="290"/>
      <c r="BN10" s="273"/>
      <c r="BO10" s="276">
        <v>10393</v>
      </c>
      <c r="BP10" s="273">
        <f t="shared" si="18"/>
        <v>6</v>
      </c>
      <c r="BQ10" s="276">
        <v>28304</v>
      </c>
      <c r="BR10" s="273">
        <f t="shared" si="19"/>
        <v>5</v>
      </c>
      <c r="BS10" s="276">
        <v>3074</v>
      </c>
      <c r="BT10" s="273">
        <f t="shared" si="20"/>
        <v>3</v>
      </c>
      <c r="BU10" s="276">
        <v>371</v>
      </c>
      <c r="BV10" s="273">
        <f t="shared" si="24"/>
        <v>0</v>
      </c>
      <c r="BW10" s="73" t="e">
        <f>#REF!-#REF!</f>
        <v>#REF!</v>
      </c>
      <c r="BX10" s="74">
        <f t="shared" si="25"/>
        <v>0</v>
      </c>
      <c r="BY10" s="49"/>
      <c r="BZ10" s="73">
        <f t="shared" si="21"/>
        <v>0</v>
      </c>
      <c r="CA10" s="74">
        <f t="shared" si="26"/>
        <v>0</v>
      </c>
      <c r="CB10" s="49"/>
      <c r="CC10" s="73">
        <f t="shared" si="22"/>
        <v>0</v>
      </c>
      <c r="CD10" s="74">
        <f t="shared" si="27"/>
        <v>0</v>
      </c>
      <c r="CE10" s="49"/>
      <c r="CF10" s="73">
        <f t="shared" si="23"/>
        <v>0</v>
      </c>
    </row>
    <row r="11" spans="1:84" ht="15" customHeight="1">
      <c r="A11" s="222">
        <f>Solar!A10</f>
        <v>44990</v>
      </c>
      <c r="B11" s="48">
        <v>24604</v>
      </c>
      <c r="C11" s="42">
        <v>2373</v>
      </c>
      <c r="D11" s="43"/>
      <c r="E11" s="69"/>
      <c r="F11" s="47"/>
      <c r="G11" s="42">
        <v>43346</v>
      </c>
      <c r="H11" s="42">
        <v>77940</v>
      </c>
      <c r="I11" s="43"/>
      <c r="J11" s="69"/>
      <c r="K11" s="47"/>
      <c r="L11" s="48">
        <v>858229</v>
      </c>
      <c r="M11" s="48">
        <v>61074</v>
      </c>
      <c r="N11" s="43"/>
      <c r="O11" s="45"/>
      <c r="P11" s="47"/>
      <c r="Q11" s="48">
        <v>3360</v>
      </c>
      <c r="R11" s="48">
        <v>82880</v>
      </c>
      <c r="S11" s="43"/>
      <c r="T11" s="44"/>
      <c r="U11" s="48">
        <v>4618</v>
      </c>
      <c r="V11" s="48"/>
      <c r="W11" s="43"/>
      <c r="X11" s="46" t="e">
        <f>#REF!</f>
        <v>#REF!</v>
      </c>
      <c r="Y11" s="49">
        <v>73</v>
      </c>
      <c r="Z11" s="103" t="e">
        <f>#REF!/Y11</f>
        <v>#REF!</v>
      </c>
      <c r="AB11" s="271">
        <f t="shared" si="0"/>
        <v>44990</v>
      </c>
      <c r="AC11" s="272">
        <v>50331</v>
      </c>
      <c r="AD11" s="273">
        <f t="shared" si="1"/>
        <v>27</v>
      </c>
      <c r="AE11" s="290">
        <f t="shared" si="28"/>
        <v>2</v>
      </c>
      <c r="AF11" s="274"/>
      <c r="AG11" s="275">
        <v>11281</v>
      </c>
      <c r="AH11" s="273">
        <f t="shared" si="2"/>
        <v>7</v>
      </c>
      <c r="AI11" s="275">
        <v>10939</v>
      </c>
      <c r="AJ11" s="273">
        <f t="shared" si="3"/>
        <v>7</v>
      </c>
      <c r="AK11" s="275">
        <v>20632</v>
      </c>
      <c r="AL11" s="273">
        <f t="shared" si="4"/>
        <v>11</v>
      </c>
      <c r="AM11" s="275">
        <v>36504</v>
      </c>
      <c r="AN11" s="273">
        <f t="shared" si="5"/>
        <v>9</v>
      </c>
      <c r="AO11" s="275">
        <v>10027</v>
      </c>
      <c r="AP11" s="273">
        <f t="shared" si="6"/>
        <v>5</v>
      </c>
      <c r="AQ11" s="275">
        <v>27037</v>
      </c>
      <c r="AR11" s="273">
        <f t="shared" si="7"/>
        <v>8</v>
      </c>
      <c r="AS11" s="275">
        <v>11020</v>
      </c>
      <c r="AT11" s="273">
        <f t="shared" si="8"/>
        <v>3</v>
      </c>
      <c r="AU11" s="275">
        <v>4339</v>
      </c>
      <c r="AV11" s="273">
        <f t="shared" si="9"/>
        <v>1</v>
      </c>
      <c r="AW11" s="275">
        <v>1914</v>
      </c>
      <c r="AX11" s="273">
        <f t="shared" si="10"/>
        <v>0</v>
      </c>
      <c r="AY11" s="276">
        <v>29590</v>
      </c>
      <c r="AZ11" s="273">
        <f t="shared" si="11"/>
        <v>9</v>
      </c>
      <c r="BA11" s="276">
        <v>3729</v>
      </c>
      <c r="BB11" s="273">
        <f t="shared" si="12"/>
        <v>2</v>
      </c>
      <c r="BC11" s="276">
        <v>88775</v>
      </c>
      <c r="BD11" s="273">
        <f t="shared" si="13"/>
        <v>32</v>
      </c>
      <c r="BE11" s="276">
        <v>27182</v>
      </c>
      <c r="BF11" s="273">
        <f t="shared" si="14"/>
        <v>10</v>
      </c>
      <c r="BG11" s="276">
        <v>12941</v>
      </c>
      <c r="BH11" s="273">
        <f t="shared" si="15"/>
        <v>1</v>
      </c>
      <c r="BI11" s="276">
        <v>20205</v>
      </c>
      <c r="BJ11" s="273">
        <f t="shared" si="16"/>
        <v>2</v>
      </c>
      <c r="BK11" s="276">
        <v>21384</v>
      </c>
      <c r="BL11" s="273">
        <f t="shared" si="17"/>
        <v>3</v>
      </c>
      <c r="BM11" s="290"/>
      <c r="BN11" s="273"/>
      <c r="BO11" s="276">
        <v>10396</v>
      </c>
      <c r="BP11" s="273">
        <f t="shared" si="18"/>
        <v>3</v>
      </c>
      <c r="BQ11" s="276">
        <v>28313</v>
      </c>
      <c r="BR11" s="273">
        <f t="shared" si="19"/>
        <v>9</v>
      </c>
      <c r="BS11" s="276">
        <v>3075</v>
      </c>
      <c r="BT11" s="273">
        <f t="shared" si="20"/>
        <v>1</v>
      </c>
      <c r="BU11" s="276">
        <v>372</v>
      </c>
      <c r="BV11" s="273">
        <f t="shared" si="24"/>
        <v>1</v>
      </c>
      <c r="BW11" s="73" t="e">
        <f>#REF!-#REF!</f>
        <v>#REF!</v>
      </c>
      <c r="BX11" s="74">
        <f t="shared" si="25"/>
        <v>0</v>
      </c>
      <c r="BY11" s="49"/>
      <c r="BZ11" s="73">
        <f t="shared" si="21"/>
        <v>0</v>
      </c>
      <c r="CA11" s="74">
        <f t="shared" si="26"/>
        <v>0</v>
      </c>
      <c r="CB11" s="49"/>
      <c r="CC11" s="73">
        <f t="shared" si="22"/>
        <v>0</v>
      </c>
      <c r="CD11" s="74">
        <f t="shared" si="27"/>
        <v>0</v>
      </c>
      <c r="CE11" s="49"/>
      <c r="CF11" s="73">
        <f t="shared" si="23"/>
        <v>0</v>
      </c>
    </row>
    <row r="12" spans="1:84" ht="15" customHeight="1">
      <c r="A12" s="222">
        <f>Solar!A11</f>
        <v>44991</v>
      </c>
      <c r="B12" s="48">
        <v>24793</v>
      </c>
      <c r="C12" s="42">
        <v>2391</v>
      </c>
      <c r="D12" s="43"/>
      <c r="E12" s="69"/>
      <c r="F12" s="47"/>
      <c r="G12" s="42">
        <v>43346</v>
      </c>
      <c r="H12" s="42">
        <v>77940</v>
      </c>
      <c r="I12" s="43"/>
      <c r="J12" s="69"/>
      <c r="K12" s="47"/>
      <c r="L12" s="48">
        <v>858337</v>
      </c>
      <c r="M12" s="48">
        <v>61086</v>
      </c>
      <c r="N12" s="43"/>
      <c r="O12" s="45"/>
      <c r="P12" s="47"/>
      <c r="Q12" s="48">
        <v>3360</v>
      </c>
      <c r="R12" s="48">
        <v>82880</v>
      </c>
      <c r="S12" s="43"/>
      <c r="T12" s="44"/>
      <c r="U12" s="48">
        <v>4619</v>
      </c>
      <c r="V12" s="48"/>
      <c r="W12" s="43"/>
      <c r="X12" s="46" t="e">
        <f>#REF!</f>
        <v>#REF!</v>
      </c>
      <c r="Y12" s="49">
        <v>81</v>
      </c>
      <c r="Z12" s="103" t="e">
        <f>#REF!/Y12</f>
        <v>#REF!</v>
      </c>
      <c r="AB12" s="271">
        <f t="shared" si="0"/>
        <v>44991</v>
      </c>
      <c r="AC12" s="272">
        <v>50355</v>
      </c>
      <c r="AD12" s="273">
        <f t="shared" si="1"/>
        <v>24</v>
      </c>
      <c r="AE12" s="290">
        <f t="shared" si="28"/>
        <v>-3</v>
      </c>
      <c r="AF12" s="274"/>
      <c r="AG12" s="275">
        <v>11287</v>
      </c>
      <c r="AH12" s="273">
        <f t="shared" si="2"/>
        <v>6</v>
      </c>
      <c r="AI12" s="275">
        <v>10943</v>
      </c>
      <c r="AJ12" s="273">
        <f t="shared" si="3"/>
        <v>4</v>
      </c>
      <c r="AK12" s="275">
        <v>20643</v>
      </c>
      <c r="AL12" s="273">
        <f t="shared" si="4"/>
        <v>11</v>
      </c>
      <c r="AM12" s="275">
        <v>36510</v>
      </c>
      <c r="AN12" s="273">
        <f t="shared" si="5"/>
        <v>6</v>
      </c>
      <c r="AO12" s="275">
        <v>10033</v>
      </c>
      <c r="AP12" s="273">
        <f t="shared" si="6"/>
        <v>6</v>
      </c>
      <c r="AQ12" s="275">
        <v>27045</v>
      </c>
      <c r="AR12" s="273">
        <f t="shared" si="7"/>
        <v>8</v>
      </c>
      <c r="AS12" s="275">
        <v>11023</v>
      </c>
      <c r="AT12" s="273">
        <f t="shared" si="8"/>
        <v>3</v>
      </c>
      <c r="AU12" s="275">
        <v>4340</v>
      </c>
      <c r="AV12" s="273">
        <f t="shared" si="9"/>
        <v>1</v>
      </c>
      <c r="AW12" s="275">
        <v>1915</v>
      </c>
      <c r="AX12" s="273">
        <f t="shared" si="10"/>
        <v>1</v>
      </c>
      <c r="AY12" s="276">
        <v>29592</v>
      </c>
      <c r="AZ12" s="273">
        <f t="shared" si="11"/>
        <v>2</v>
      </c>
      <c r="BA12" s="276">
        <v>3730</v>
      </c>
      <c r="BB12" s="273">
        <f t="shared" si="12"/>
        <v>1</v>
      </c>
      <c r="BC12" s="276">
        <v>88805</v>
      </c>
      <c r="BD12" s="273">
        <f t="shared" si="13"/>
        <v>30</v>
      </c>
      <c r="BE12" s="276">
        <v>27183</v>
      </c>
      <c r="BF12" s="273">
        <f t="shared" si="14"/>
        <v>1</v>
      </c>
      <c r="BG12" s="276">
        <v>12942</v>
      </c>
      <c r="BH12" s="273">
        <f t="shared" si="15"/>
        <v>1</v>
      </c>
      <c r="BI12" s="276">
        <v>20205</v>
      </c>
      <c r="BJ12" s="273">
        <f t="shared" si="16"/>
        <v>0</v>
      </c>
      <c r="BK12" s="276">
        <v>21385</v>
      </c>
      <c r="BL12" s="273">
        <f t="shared" si="17"/>
        <v>1</v>
      </c>
      <c r="BM12" s="290"/>
      <c r="BN12" s="273"/>
      <c r="BO12" s="276">
        <v>10402</v>
      </c>
      <c r="BP12" s="273">
        <f t="shared" si="18"/>
        <v>6</v>
      </c>
      <c r="BQ12" s="276"/>
      <c r="BR12" s="273">
        <f t="shared" si="19"/>
        <v>0</v>
      </c>
      <c r="BS12" s="276">
        <v>3076</v>
      </c>
      <c r="BT12" s="273">
        <f t="shared" si="20"/>
        <v>1</v>
      </c>
      <c r="BU12" s="276">
        <v>372</v>
      </c>
      <c r="BV12" s="273">
        <f t="shared" si="24"/>
        <v>0</v>
      </c>
      <c r="BW12" s="73" t="e">
        <f>#REF!-#REF!</f>
        <v>#REF!</v>
      </c>
      <c r="BX12" s="74">
        <f t="shared" si="25"/>
        <v>0</v>
      </c>
      <c r="BY12" s="49"/>
      <c r="BZ12" s="73">
        <f t="shared" si="21"/>
        <v>0</v>
      </c>
      <c r="CA12" s="74">
        <f t="shared" si="26"/>
        <v>0</v>
      </c>
      <c r="CB12" s="49"/>
      <c r="CC12" s="73">
        <f t="shared" si="22"/>
        <v>0</v>
      </c>
      <c r="CD12" s="74">
        <f t="shared" si="27"/>
        <v>0</v>
      </c>
      <c r="CE12" s="49"/>
      <c r="CF12" s="73">
        <f t="shared" si="23"/>
        <v>0</v>
      </c>
    </row>
    <row r="13" spans="1:84" ht="15" customHeight="1">
      <c r="A13" s="222">
        <f>Solar!A12</f>
        <v>44992</v>
      </c>
      <c r="B13" s="48">
        <v>24941</v>
      </c>
      <c r="C13" s="42">
        <v>2409</v>
      </c>
      <c r="D13" s="43"/>
      <c r="E13" s="69"/>
      <c r="F13" s="47"/>
      <c r="G13" s="42">
        <v>43405</v>
      </c>
      <c r="H13" s="42">
        <v>77951</v>
      </c>
      <c r="I13" s="43"/>
      <c r="J13" s="69"/>
      <c r="K13" s="47"/>
      <c r="L13" s="48">
        <v>858355</v>
      </c>
      <c r="M13" s="48">
        <v>61087</v>
      </c>
      <c r="N13" s="43"/>
      <c r="O13" s="45"/>
      <c r="P13" s="47"/>
      <c r="Q13" s="48">
        <v>3479</v>
      </c>
      <c r="R13" s="48">
        <v>82900</v>
      </c>
      <c r="S13" s="43"/>
      <c r="T13" s="44"/>
      <c r="U13" s="48">
        <v>4620</v>
      </c>
      <c r="V13" s="48"/>
      <c r="W13" s="43"/>
      <c r="X13" s="46" t="e">
        <f>#REF!</f>
        <v>#REF!</v>
      </c>
      <c r="Y13" s="49">
        <v>80</v>
      </c>
      <c r="Z13" s="103" t="e">
        <f>#REF!/Y13</f>
        <v>#REF!</v>
      </c>
      <c r="AB13" s="271">
        <f t="shared" si="0"/>
        <v>44992</v>
      </c>
      <c r="AC13" s="272"/>
      <c r="AD13" s="273">
        <f t="shared" si="1"/>
        <v>0</v>
      </c>
      <c r="AE13" s="290">
        <f t="shared" si="28"/>
        <v>-24</v>
      </c>
      <c r="AF13" s="274"/>
      <c r="AG13" s="275"/>
      <c r="AH13" s="273">
        <f t="shared" si="2"/>
        <v>0</v>
      </c>
      <c r="AI13" s="275"/>
      <c r="AJ13" s="273">
        <f t="shared" si="3"/>
        <v>0</v>
      </c>
      <c r="AK13" s="275"/>
      <c r="AL13" s="273">
        <f t="shared" si="4"/>
        <v>0</v>
      </c>
      <c r="AM13" s="275"/>
      <c r="AN13" s="273">
        <f t="shared" si="5"/>
        <v>0</v>
      </c>
      <c r="AO13" s="275"/>
      <c r="AP13" s="273">
        <f t="shared" si="6"/>
        <v>0</v>
      </c>
      <c r="AQ13" s="275"/>
      <c r="AR13" s="273">
        <f t="shared" si="7"/>
        <v>0</v>
      </c>
      <c r="AS13" s="275"/>
      <c r="AT13" s="273">
        <f t="shared" si="8"/>
        <v>0</v>
      </c>
      <c r="AU13" s="275"/>
      <c r="AV13" s="273">
        <f t="shared" si="9"/>
        <v>0</v>
      </c>
      <c r="AW13" s="275"/>
      <c r="AX13" s="273">
        <f t="shared" si="10"/>
        <v>0</v>
      </c>
      <c r="AY13" s="276"/>
      <c r="AZ13" s="273">
        <f t="shared" si="11"/>
        <v>0</v>
      </c>
      <c r="BA13" s="276"/>
      <c r="BB13" s="273">
        <f t="shared" si="12"/>
        <v>0</v>
      </c>
      <c r="BC13" s="276"/>
      <c r="BD13" s="273">
        <f t="shared" si="13"/>
        <v>0</v>
      </c>
      <c r="BE13" s="276"/>
      <c r="BF13" s="273">
        <f t="shared" si="14"/>
        <v>0</v>
      </c>
      <c r="BG13" s="276"/>
      <c r="BH13" s="273">
        <f t="shared" si="15"/>
        <v>0</v>
      </c>
      <c r="BI13" s="276"/>
      <c r="BJ13" s="273">
        <f t="shared" si="16"/>
        <v>0</v>
      </c>
      <c r="BK13" s="276"/>
      <c r="BL13" s="273">
        <f t="shared" si="17"/>
        <v>0</v>
      </c>
      <c r="BM13" s="290"/>
      <c r="BN13" s="273"/>
      <c r="BO13" s="276"/>
      <c r="BP13" s="273">
        <f t="shared" si="18"/>
        <v>0</v>
      </c>
      <c r="BQ13" s="276"/>
      <c r="BR13" s="273">
        <f t="shared" si="19"/>
        <v>0</v>
      </c>
      <c r="BS13" s="276"/>
      <c r="BT13" s="273">
        <f t="shared" si="20"/>
        <v>0</v>
      </c>
      <c r="BU13" s="276"/>
      <c r="BV13" s="273">
        <f t="shared" si="24"/>
        <v>0</v>
      </c>
      <c r="BW13" s="73" t="e">
        <f>#REF!-#REF!</f>
        <v>#REF!</v>
      </c>
      <c r="BX13" s="74">
        <f t="shared" si="25"/>
        <v>0</v>
      </c>
      <c r="BY13" s="49"/>
      <c r="BZ13" s="73">
        <f t="shared" si="21"/>
        <v>0</v>
      </c>
      <c r="CA13" s="74">
        <f t="shared" si="26"/>
        <v>0</v>
      </c>
      <c r="CB13" s="49"/>
      <c r="CC13" s="73">
        <f t="shared" si="22"/>
        <v>0</v>
      </c>
      <c r="CD13" s="74">
        <f t="shared" si="27"/>
        <v>0</v>
      </c>
      <c r="CE13" s="49"/>
      <c r="CF13" s="73">
        <f t="shared" si="23"/>
        <v>0</v>
      </c>
    </row>
    <row r="14" spans="1:84" ht="15" customHeight="1">
      <c r="A14" s="222">
        <f>Solar!A13</f>
        <v>44993</v>
      </c>
      <c r="B14" s="48">
        <v>25117</v>
      </c>
      <c r="C14" s="42">
        <v>2423</v>
      </c>
      <c r="D14" s="43"/>
      <c r="E14" s="69"/>
      <c r="F14" s="47"/>
      <c r="G14" s="42">
        <v>43434</v>
      </c>
      <c r="H14" s="42">
        <v>77957</v>
      </c>
      <c r="I14" s="43"/>
      <c r="J14" s="69"/>
      <c r="K14" s="47"/>
      <c r="L14" s="48">
        <v>858413</v>
      </c>
      <c r="M14" s="48">
        <v>61393</v>
      </c>
      <c r="N14" s="43"/>
      <c r="O14" s="45"/>
      <c r="P14" s="47"/>
      <c r="Q14" s="48">
        <v>3567</v>
      </c>
      <c r="R14" s="48">
        <v>82915</v>
      </c>
      <c r="S14" s="43"/>
      <c r="T14" s="44"/>
      <c r="U14" s="48">
        <v>4623</v>
      </c>
      <c r="V14" s="48"/>
      <c r="W14" s="43"/>
      <c r="X14" s="46" t="e">
        <f>#REF!</f>
        <v>#REF!</v>
      </c>
      <c r="Y14" s="49">
        <v>46</v>
      </c>
      <c r="Z14" s="103" t="e">
        <f>#REF!/Y14</f>
        <v>#REF!</v>
      </c>
      <c r="AB14" s="271">
        <f t="shared" si="0"/>
        <v>44993</v>
      </c>
      <c r="AC14" s="272"/>
      <c r="AD14" s="273">
        <f t="shared" si="1"/>
        <v>0</v>
      </c>
      <c r="AE14" s="290">
        <f t="shared" si="28"/>
        <v>0</v>
      </c>
      <c r="AF14" s="274"/>
      <c r="AG14" s="275"/>
      <c r="AH14" s="273">
        <f t="shared" si="2"/>
        <v>0</v>
      </c>
      <c r="AI14" s="275"/>
      <c r="AJ14" s="273">
        <f t="shared" si="3"/>
        <v>0</v>
      </c>
      <c r="AK14" s="275"/>
      <c r="AL14" s="273">
        <f t="shared" si="4"/>
        <v>0</v>
      </c>
      <c r="AM14" s="275"/>
      <c r="AN14" s="273">
        <f t="shared" si="5"/>
        <v>0</v>
      </c>
      <c r="AO14" s="275"/>
      <c r="AP14" s="273">
        <f t="shared" si="6"/>
        <v>0</v>
      </c>
      <c r="AQ14" s="275"/>
      <c r="AR14" s="273">
        <f t="shared" si="7"/>
        <v>0</v>
      </c>
      <c r="AS14" s="275"/>
      <c r="AT14" s="273">
        <f t="shared" si="8"/>
        <v>0</v>
      </c>
      <c r="AU14" s="275"/>
      <c r="AV14" s="273">
        <f t="shared" si="9"/>
        <v>0</v>
      </c>
      <c r="AW14" s="275"/>
      <c r="AX14" s="273">
        <f t="shared" si="10"/>
        <v>0</v>
      </c>
      <c r="AY14" s="276"/>
      <c r="AZ14" s="273">
        <f t="shared" si="11"/>
        <v>0</v>
      </c>
      <c r="BA14" s="276"/>
      <c r="BB14" s="273">
        <f t="shared" si="12"/>
        <v>0</v>
      </c>
      <c r="BC14" s="276"/>
      <c r="BD14" s="273">
        <f t="shared" si="13"/>
        <v>0</v>
      </c>
      <c r="BE14" s="276"/>
      <c r="BF14" s="273">
        <f t="shared" si="14"/>
        <v>0</v>
      </c>
      <c r="BG14" s="276"/>
      <c r="BH14" s="273">
        <f t="shared" si="15"/>
        <v>0</v>
      </c>
      <c r="BI14" s="276"/>
      <c r="BJ14" s="273">
        <f t="shared" si="16"/>
        <v>0</v>
      </c>
      <c r="BK14" s="276"/>
      <c r="BL14" s="273">
        <f t="shared" si="17"/>
        <v>0</v>
      </c>
      <c r="BM14" s="290"/>
      <c r="BN14" s="273"/>
      <c r="BO14" s="276"/>
      <c r="BP14" s="273">
        <f t="shared" si="18"/>
        <v>0</v>
      </c>
      <c r="BQ14" s="276"/>
      <c r="BR14" s="273">
        <f t="shared" si="19"/>
        <v>0</v>
      </c>
      <c r="BS14" s="276"/>
      <c r="BT14" s="273">
        <f t="shared" si="20"/>
        <v>0</v>
      </c>
      <c r="BU14" s="276"/>
      <c r="BV14" s="273">
        <f t="shared" si="24"/>
        <v>0</v>
      </c>
      <c r="BW14" s="73" t="e">
        <f>#REF!-#REF!</f>
        <v>#REF!</v>
      </c>
      <c r="BX14" s="74">
        <f t="shared" si="25"/>
        <v>0</v>
      </c>
      <c r="BY14" s="49"/>
      <c r="BZ14" s="73">
        <f t="shared" si="21"/>
        <v>0</v>
      </c>
      <c r="CA14" s="74">
        <f t="shared" si="26"/>
        <v>0</v>
      </c>
      <c r="CB14" s="49"/>
      <c r="CC14" s="73">
        <f t="shared" si="22"/>
        <v>0</v>
      </c>
      <c r="CD14" s="74">
        <f t="shared" si="27"/>
        <v>0</v>
      </c>
      <c r="CE14" s="49"/>
      <c r="CF14" s="73">
        <f t="shared" si="23"/>
        <v>0</v>
      </c>
    </row>
    <row r="15" spans="1:84" ht="15" customHeight="1">
      <c r="A15" s="222">
        <f>Solar!A14</f>
        <v>44994</v>
      </c>
      <c r="B15" s="48"/>
      <c r="C15" s="42"/>
      <c r="D15" s="43"/>
      <c r="E15" s="69"/>
      <c r="F15" s="47"/>
      <c r="G15" s="42"/>
      <c r="H15" s="42"/>
      <c r="I15" s="43"/>
      <c r="J15" s="69"/>
      <c r="K15" s="47"/>
      <c r="L15" s="48"/>
      <c r="M15" s="48"/>
      <c r="N15" s="43"/>
      <c r="O15" s="45"/>
      <c r="P15" s="47"/>
      <c r="Q15" s="48"/>
      <c r="R15" s="48"/>
      <c r="S15" s="43"/>
      <c r="T15" s="44"/>
      <c r="U15" s="48"/>
      <c r="V15" s="48"/>
      <c r="W15" s="43"/>
      <c r="X15" s="46" t="e">
        <f>#REF!</f>
        <v>#REF!</v>
      </c>
      <c r="Y15" s="49">
        <v>36</v>
      </c>
      <c r="Z15" s="103" t="e">
        <f>#REF!/Y15</f>
        <v>#REF!</v>
      </c>
      <c r="AB15" s="271">
        <f t="shared" si="0"/>
        <v>44994</v>
      </c>
      <c r="AC15" s="272"/>
      <c r="AD15" s="273">
        <f t="shared" si="1"/>
        <v>0</v>
      </c>
      <c r="AE15" s="290">
        <f t="shared" si="28"/>
        <v>0</v>
      </c>
      <c r="AF15" s="274"/>
      <c r="AG15" s="275"/>
      <c r="AH15" s="273">
        <f t="shared" si="2"/>
        <v>0</v>
      </c>
      <c r="AI15" s="275"/>
      <c r="AJ15" s="273">
        <f t="shared" si="3"/>
        <v>0</v>
      </c>
      <c r="AK15" s="275"/>
      <c r="AL15" s="273">
        <f t="shared" si="4"/>
        <v>0</v>
      </c>
      <c r="AM15" s="275"/>
      <c r="AN15" s="273">
        <f t="shared" si="5"/>
        <v>0</v>
      </c>
      <c r="AO15" s="275"/>
      <c r="AP15" s="273">
        <f t="shared" si="6"/>
        <v>0</v>
      </c>
      <c r="AQ15" s="275"/>
      <c r="AR15" s="273">
        <f t="shared" si="7"/>
        <v>0</v>
      </c>
      <c r="AS15" s="275"/>
      <c r="AT15" s="273">
        <f t="shared" si="8"/>
        <v>0</v>
      </c>
      <c r="AU15" s="275"/>
      <c r="AV15" s="273">
        <f t="shared" si="9"/>
        <v>0</v>
      </c>
      <c r="AW15" s="275"/>
      <c r="AX15" s="273">
        <f t="shared" si="10"/>
        <v>0</v>
      </c>
      <c r="AY15" s="276"/>
      <c r="AZ15" s="273">
        <f t="shared" si="11"/>
        <v>0</v>
      </c>
      <c r="BA15" s="276"/>
      <c r="BB15" s="273">
        <f t="shared" si="12"/>
        <v>0</v>
      </c>
      <c r="BC15" s="276"/>
      <c r="BD15" s="273">
        <f t="shared" si="13"/>
        <v>0</v>
      </c>
      <c r="BE15" s="276"/>
      <c r="BF15" s="273">
        <f t="shared" si="14"/>
        <v>0</v>
      </c>
      <c r="BG15" s="276"/>
      <c r="BH15" s="273">
        <f t="shared" si="15"/>
        <v>0</v>
      </c>
      <c r="BI15" s="276"/>
      <c r="BJ15" s="273">
        <f t="shared" si="16"/>
        <v>0</v>
      </c>
      <c r="BK15" s="276"/>
      <c r="BL15" s="273">
        <f t="shared" si="17"/>
        <v>0</v>
      </c>
      <c r="BM15" s="290"/>
      <c r="BN15" s="273"/>
      <c r="BO15" s="276"/>
      <c r="BP15" s="273">
        <f t="shared" si="18"/>
        <v>0</v>
      </c>
      <c r="BQ15" s="276"/>
      <c r="BR15" s="273">
        <f t="shared" si="19"/>
        <v>0</v>
      </c>
      <c r="BS15" s="276"/>
      <c r="BT15" s="273">
        <f t="shared" si="20"/>
        <v>0</v>
      </c>
      <c r="BU15" s="276"/>
      <c r="BV15" s="273">
        <f t="shared" si="24"/>
        <v>0</v>
      </c>
      <c r="BW15" s="73" t="e">
        <f>#REF!-#REF!</f>
        <v>#REF!</v>
      </c>
      <c r="BX15" s="74">
        <f t="shared" si="25"/>
        <v>0</v>
      </c>
      <c r="BY15" s="49"/>
      <c r="BZ15" s="73">
        <f t="shared" si="21"/>
        <v>0</v>
      </c>
      <c r="CA15" s="74">
        <f t="shared" si="26"/>
        <v>0</v>
      </c>
      <c r="CB15" s="49"/>
      <c r="CC15" s="73">
        <f t="shared" si="22"/>
        <v>0</v>
      </c>
      <c r="CD15" s="74">
        <f t="shared" si="27"/>
        <v>0</v>
      </c>
      <c r="CE15" s="49"/>
      <c r="CF15" s="73">
        <f t="shared" si="23"/>
        <v>0</v>
      </c>
    </row>
    <row r="16" spans="1:84" ht="15" customHeight="1">
      <c r="A16" s="222">
        <f>Solar!A15</f>
        <v>44995</v>
      </c>
      <c r="B16" s="48"/>
      <c r="C16" s="42"/>
      <c r="D16" s="43"/>
      <c r="E16" s="69"/>
      <c r="F16" s="47"/>
      <c r="G16" s="42"/>
      <c r="H16" s="42"/>
      <c r="I16" s="43"/>
      <c r="J16" s="69"/>
      <c r="K16" s="47"/>
      <c r="L16" s="48"/>
      <c r="M16" s="48"/>
      <c r="N16" s="43"/>
      <c r="O16" s="45"/>
      <c r="P16" s="47"/>
      <c r="Q16" s="48"/>
      <c r="R16" s="48"/>
      <c r="S16" s="43"/>
      <c r="T16" s="44"/>
      <c r="U16" s="48"/>
      <c r="V16" s="48"/>
      <c r="W16" s="43"/>
      <c r="X16" s="46" t="e">
        <f>#REF!</f>
        <v>#REF!</v>
      </c>
      <c r="Y16" s="49">
        <v>37</v>
      </c>
      <c r="Z16" s="103" t="e">
        <f>#REF!/Y16</f>
        <v>#REF!</v>
      </c>
      <c r="AB16" s="271">
        <f t="shared" si="0"/>
        <v>44995</v>
      </c>
      <c r="AC16" s="272"/>
      <c r="AD16" s="273">
        <f t="shared" si="1"/>
        <v>0</v>
      </c>
      <c r="AE16" s="290">
        <f t="shared" si="28"/>
        <v>0</v>
      </c>
      <c r="AF16" s="274"/>
      <c r="AG16" s="275"/>
      <c r="AH16" s="273">
        <f t="shared" si="2"/>
        <v>0</v>
      </c>
      <c r="AI16" s="275"/>
      <c r="AJ16" s="273">
        <f t="shared" si="3"/>
        <v>0</v>
      </c>
      <c r="AK16" s="275"/>
      <c r="AL16" s="273">
        <f t="shared" si="4"/>
        <v>0</v>
      </c>
      <c r="AM16" s="275"/>
      <c r="AN16" s="273">
        <f t="shared" si="5"/>
        <v>0</v>
      </c>
      <c r="AO16" s="275"/>
      <c r="AP16" s="273">
        <f t="shared" si="6"/>
        <v>0</v>
      </c>
      <c r="AQ16" s="275"/>
      <c r="AR16" s="273">
        <f t="shared" si="7"/>
        <v>0</v>
      </c>
      <c r="AS16" s="275"/>
      <c r="AT16" s="273">
        <f t="shared" si="8"/>
        <v>0</v>
      </c>
      <c r="AU16" s="275"/>
      <c r="AV16" s="273">
        <f t="shared" si="9"/>
        <v>0</v>
      </c>
      <c r="AW16" s="275"/>
      <c r="AX16" s="273">
        <f t="shared" si="10"/>
        <v>0</v>
      </c>
      <c r="AY16" s="276"/>
      <c r="AZ16" s="273">
        <f t="shared" si="11"/>
        <v>0</v>
      </c>
      <c r="BA16" s="276"/>
      <c r="BB16" s="273">
        <f t="shared" si="12"/>
        <v>0</v>
      </c>
      <c r="BC16" s="276"/>
      <c r="BD16" s="273">
        <f t="shared" si="13"/>
        <v>0</v>
      </c>
      <c r="BE16" s="276"/>
      <c r="BF16" s="273">
        <f t="shared" si="14"/>
        <v>0</v>
      </c>
      <c r="BG16" s="276"/>
      <c r="BH16" s="273">
        <f t="shared" si="15"/>
        <v>0</v>
      </c>
      <c r="BI16" s="276"/>
      <c r="BJ16" s="273">
        <f t="shared" si="16"/>
        <v>0</v>
      </c>
      <c r="BK16" s="276"/>
      <c r="BL16" s="273">
        <f t="shared" si="17"/>
        <v>0</v>
      </c>
      <c r="BM16" s="290"/>
      <c r="BN16" s="273"/>
      <c r="BO16" s="276"/>
      <c r="BP16" s="273">
        <f t="shared" si="18"/>
        <v>0</v>
      </c>
      <c r="BQ16" s="276"/>
      <c r="BR16" s="273">
        <f t="shared" si="19"/>
        <v>0</v>
      </c>
      <c r="BS16" s="276"/>
      <c r="BT16" s="273">
        <f t="shared" si="20"/>
        <v>0</v>
      </c>
      <c r="BU16" s="276"/>
      <c r="BV16" s="273">
        <f t="shared" si="24"/>
        <v>0</v>
      </c>
      <c r="BW16" s="73" t="e">
        <f>#REF!-#REF!</f>
        <v>#REF!</v>
      </c>
      <c r="BX16" s="74">
        <f t="shared" si="25"/>
        <v>0</v>
      </c>
      <c r="BY16" s="49"/>
      <c r="BZ16" s="73">
        <f t="shared" si="21"/>
        <v>0</v>
      </c>
      <c r="CA16" s="74">
        <f t="shared" si="26"/>
        <v>0</v>
      </c>
      <c r="CB16" s="49"/>
      <c r="CC16" s="73">
        <f t="shared" si="22"/>
        <v>0</v>
      </c>
      <c r="CD16" s="74">
        <f t="shared" si="27"/>
        <v>0</v>
      </c>
      <c r="CE16" s="49"/>
      <c r="CF16" s="73">
        <f t="shared" si="23"/>
        <v>0</v>
      </c>
    </row>
    <row r="17" spans="1:84" ht="15" customHeight="1">
      <c r="A17" s="222">
        <f>Solar!A16</f>
        <v>44996</v>
      </c>
      <c r="B17" s="48"/>
      <c r="C17" s="42"/>
      <c r="D17" s="43"/>
      <c r="E17" s="69"/>
      <c r="F17" s="47"/>
      <c r="G17" s="42"/>
      <c r="H17" s="42"/>
      <c r="I17" s="43"/>
      <c r="J17" s="69"/>
      <c r="K17" s="47"/>
      <c r="L17" s="48"/>
      <c r="M17" s="48"/>
      <c r="N17" s="43"/>
      <c r="O17" s="45"/>
      <c r="P17" s="47"/>
      <c r="Q17" s="48"/>
      <c r="R17" s="48"/>
      <c r="S17" s="43"/>
      <c r="T17" s="44"/>
      <c r="U17" s="48"/>
      <c r="V17" s="48"/>
      <c r="W17" s="43"/>
      <c r="X17" s="46" t="e">
        <f>#REF!</f>
        <v>#REF!</v>
      </c>
      <c r="Y17" s="49">
        <v>51</v>
      </c>
      <c r="Z17" s="103" t="e">
        <f>#REF!/Y17</f>
        <v>#REF!</v>
      </c>
      <c r="AB17" s="271">
        <f t="shared" si="0"/>
        <v>44996</v>
      </c>
      <c r="AC17" s="272"/>
      <c r="AD17" s="273">
        <f t="shared" si="1"/>
        <v>0</v>
      </c>
      <c r="AE17" s="290">
        <f t="shared" si="28"/>
        <v>0</v>
      </c>
      <c r="AF17" s="274"/>
      <c r="AG17" s="275"/>
      <c r="AH17" s="273">
        <f t="shared" si="2"/>
        <v>0</v>
      </c>
      <c r="AI17" s="275"/>
      <c r="AJ17" s="273">
        <f t="shared" si="3"/>
        <v>0</v>
      </c>
      <c r="AK17" s="275"/>
      <c r="AL17" s="273">
        <f t="shared" si="4"/>
        <v>0</v>
      </c>
      <c r="AM17" s="275"/>
      <c r="AN17" s="273">
        <f t="shared" si="5"/>
        <v>0</v>
      </c>
      <c r="AO17" s="275"/>
      <c r="AP17" s="273">
        <f t="shared" si="6"/>
        <v>0</v>
      </c>
      <c r="AQ17" s="275"/>
      <c r="AR17" s="273">
        <f t="shared" si="7"/>
        <v>0</v>
      </c>
      <c r="AS17" s="275"/>
      <c r="AT17" s="273">
        <f t="shared" si="8"/>
        <v>0</v>
      </c>
      <c r="AU17" s="275"/>
      <c r="AV17" s="273">
        <f t="shared" si="9"/>
        <v>0</v>
      </c>
      <c r="AW17" s="275"/>
      <c r="AX17" s="273">
        <f t="shared" si="10"/>
        <v>0</v>
      </c>
      <c r="AY17" s="276"/>
      <c r="AZ17" s="273">
        <f t="shared" si="11"/>
        <v>0</v>
      </c>
      <c r="BA17" s="276"/>
      <c r="BB17" s="273">
        <f t="shared" si="12"/>
        <v>0</v>
      </c>
      <c r="BC17" s="276"/>
      <c r="BD17" s="273">
        <f t="shared" si="13"/>
        <v>0</v>
      </c>
      <c r="BE17" s="276"/>
      <c r="BF17" s="273">
        <f t="shared" si="14"/>
        <v>0</v>
      </c>
      <c r="BG17" s="276"/>
      <c r="BH17" s="273">
        <f t="shared" si="15"/>
        <v>0</v>
      </c>
      <c r="BI17" s="276"/>
      <c r="BJ17" s="273">
        <f t="shared" si="16"/>
        <v>0</v>
      </c>
      <c r="BK17" s="276"/>
      <c r="BL17" s="273">
        <f t="shared" si="17"/>
        <v>0</v>
      </c>
      <c r="BM17" s="290"/>
      <c r="BN17" s="273"/>
      <c r="BO17" s="276"/>
      <c r="BP17" s="273">
        <f t="shared" si="18"/>
        <v>0</v>
      </c>
      <c r="BQ17" s="276"/>
      <c r="BR17" s="273">
        <f t="shared" si="19"/>
        <v>0</v>
      </c>
      <c r="BS17" s="276"/>
      <c r="BT17" s="273">
        <f t="shared" si="20"/>
        <v>0</v>
      </c>
      <c r="BU17" s="276"/>
      <c r="BV17" s="273">
        <f t="shared" si="24"/>
        <v>0</v>
      </c>
      <c r="BW17" s="73" t="e">
        <f>#REF!-#REF!</f>
        <v>#REF!</v>
      </c>
      <c r="BX17" s="74">
        <f t="shared" si="25"/>
        <v>0</v>
      </c>
      <c r="BY17" s="49"/>
      <c r="BZ17" s="73">
        <f t="shared" si="21"/>
        <v>0</v>
      </c>
      <c r="CA17" s="74">
        <f t="shared" si="26"/>
        <v>0</v>
      </c>
      <c r="CB17" s="49"/>
      <c r="CC17" s="73">
        <f t="shared" si="22"/>
        <v>0</v>
      </c>
      <c r="CD17" s="74">
        <f t="shared" si="27"/>
        <v>0</v>
      </c>
      <c r="CE17" s="49"/>
      <c r="CF17" s="73">
        <f t="shared" si="23"/>
        <v>0</v>
      </c>
    </row>
    <row r="18" spans="1:84" ht="15" customHeight="1">
      <c r="A18" s="222">
        <f>Solar!A17</f>
        <v>44997</v>
      </c>
      <c r="B18" s="48"/>
      <c r="C18" s="42"/>
      <c r="D18" s="43"/>
      <c r="E18" s="69"/>
      <c r="F18" s="47"/>
      <c r="G18" s="48"/>
      <c r="H18" s="48"/>
      <c r="I18" s="43"/>
      <c r="J18" s="69"/>
      <c r="K18" s="47"/>
      <c r="L18" s="48"/>
      <c r="M18" s="48"/>
      <c r="N18" s="43"/>
      <c r="O18" s="45"/>
      <c r="P18" s="47"/>
      <c r="Q18" s="48"/>
      <c r="R18" s="48"/>
      <c r="S18" s="43"/>
      <c r="T18" s="44"/>
      <c r="U18" s="48"/>
      <c r="V18" s="48"/>
      <c r="W18" s="43"/>
      <c r="X18" s="46" t="e">
        <f>#REF!</f>
        <v>#REF!</v>
      </c>
      <c r="Y18" s="49">
        <v>54</v>
      </c>
      <c r="Z18" s="103" t="e">
        <f>#REF!/Y18</f>
        <v>#REF!</v>
      </c>
      <c r="AB18" s="271">
        <f t="shared" si="0"/>
        <v>44997</v>
      </c>
      <c r="AC18" s="272"/>
      <c r="AD18" s="273">
        <f t="shared" si="1"/>
        <v>0</v>
      </c>
      <c r="AE18" s="290">
        <f t="shared" si="28"/>
        <v>0</v>
      </c>
      <c r="AF18" s="274"/>
      <c r="AG18" s="275"/>
      <c r="AH18" s="273">
        <f t="shared" si="2"/>
        <v>0</v>
      </c>
      <c r="AI18" s="275"/>
      <c r="AJ18" s="273">
        <f t="shared" si="3"/>
        <v>0</v>
      </c>
      <c r="AK18" s="275"/>
      <c r="AL18" s="273">
        <f t="shared" si="4"/>
        <v>0</v>
      </c>
      <c r="AM18" s="275"/>
      <c r="AN18" s="273">
        <f t="shared" si="5"/>
        <v>0</v>
      </c>
      <c r="AO18" s="275"/>
      <c r="AP18" s="273">
        <f t="shared" si="6"/>
        <v>0</v>
      </c>
      <c r="AQ18" s="275"/>
      <c r="AR18" s="273">
        <f t="shared" si="7"/>
        <v>0</v>
      </c>
      <c r="AS18" s="275"/>
      <c r="AT18" s="273">
        <f t="shared" si="8"/>
        <v>0</v>
      </c>
      <c r="AU18" s="275"/>
      <c r="AV18" s="273">
        <f t="shared" si="9"/>
        <v>0</v>
      </c>
      <c r="AW18" s="275"/>
      <c r="AX18" s="273">
        <f t="shared" si="10"/>
        <v>0</v>
      </c>
      <c r="AY18" s="276"/>
      <c r="AZ18" s="273">
        <f t="shared" si="11"/>
        <v>0</v>
      </c>
      <c r="BA18" s="276"/>
      <c r="BB18" s="273">
        <f t="shared" si="12"/>
        <v>0</v>
      </c>
      <c r="BC18" s="276"/>
      <c r="BD18" s="273">
        <f t="shared" si="13"/>
        <v>0</v>
      </c>
      <c r="BE18" s="276"/>
      <c r="BF18" s="273">
        <f t="shared" si="14"/>
        <v>0</v>
      </c>
      <c r="BG18" s="276"/>
      <c r="BH18" s="273">
        <f t="shared" si="15"/>
        <v>0</v>
      </c>
      <c r="BI18" s="276"/>
      <c r="BJ18" s="273">
        <f t="shared" si="16"/>
        <v>0</v>
      </c>
      <c r="BK18" s="276"/>
      <c r="BL18" s="273">
        <f t="shared" si="17"/>
        <v>0</v>
      </c>
      <c r="BM18" s="290"/>
      <c r="BN18" s="273"/>
      <c r="BO18" s="276"/>
      <c r="BP18" s="273">
        <f t="shared" si="18"/>
        <v>0</v>
      </c>
      <c r="BQ18" s="276"/>
      <c r="BR18" s="273">
        <f t="shared" si="19"/>
        <v>0</v>
      </c>
      <c r="BS18" s="276"/>
      <c r="BT18" s="273">
        <f t="shared" si="20"/>
        <v>0</v>
      </c>
      <c r="BU18" s="276"/>
      <c r="BV18" s="273">
        <f t="shared" si="24"/>
        <v>0</v>
      </c>
      <c r="BW18" s="73" t="e">
        <f>#REF!-#REF!</f>
        <v>#REF!</v>
      </c>
      <c r="BX18" s="74">
        <f t="shared" si="25"/>
        <v>0</v>
      </c>
      <c r="BY18" s="49"/>
      <c r="BZ18" s="73">
        <f t="shared" si="21"/>
        <v>0</v>
      </c>
      <c r="CA18" s="74">
        <f t="shared" si="26"/>
        <v>0</v>
      </c>
      <c r="CB18" s="49"/>
      <c r="CC18" s="73">
        <f t="shared" si="22"/>
        <v>0</v>
      </c>
      <c r="CD18" s="74">
        <f t="shared" si="27"/>
        <v>0</v>
      </c>
      <c r="CE18" s="49"/>
      <c r="CF18" s="73">
        <f t="shared" si="23"/>
        <v>0</v>
      </c>
    </row>
    <row r="19" spans="1:84" ht="15" customHeight="1">
      <c r="A19" s="222">
        <f>Solar!A18</f>
        <v>44998</v>
      </c>
      <c r="B19" s="48"/>
      <c r="C19" s="42"/>
      <c r="D19" s="43"/>
      <c r="E19" s="69"/>
      <c r="F19" s="47"/>
      <c r="G19" s="48"/>
      <c r="H19" s="48"/>
      <c r="I19" s="43"/>
      <c r="J19" s="69"/>
      <c r="K19" s="47"/>
      <c r="L19" s="48"/>
      <c r="M19" s="48"/>
      <c r="N19" s="43"/>
      <c r="O19" s="45"/>
      <c r="P19" s="47"/>
      <c r="Q19" s="48"/>
      <c r="R19" s="48"/>
      <c r="S19" s="43"/>
      <c r="T19" s="44"/>
      <c r="U19" s="48"/>
      <c r="V19" s="48"/>
      <c r="W19" s="43"/>
      <c r="X19" s="46" t="e">
        <f>#REF!</f>
        <v>#REF!</v>
      </c>
      <c r="Y19" s="49">
        <v>48</v>
      </c>
      <c r="Z19" s="103" t="e">
        <f>#REF!/Y19</f>
        <v>#REF!</v>
      </c>
      <c r="AB19" s="271">
        <f t="shared" si="0"/>
        <v>44998</v>
      </c>
      <c r="AC19" s="272"/>
      <c r="AD19" s="273">
        <f t="shared" si="1"/>
        <v>0</v>
      </c>
      <c r="AE19" s="290">
        <f t="shared" si="28"/>
        <v>0</v>
      </c>
      <c r="AF19" s="274"/>
      <c r="AG19" s="275"/>
      <c r="AH19" s="273">
        <f t="shared" si="2"/>
        <v>0</v>
      </c>
      <c r="AI19" s="275"/>
      <c r="AJ19" s="273">
        <f t="shared" si="3"/>
        <v>0</v>
      </c>
      <c r="AK19" s="275"/>
      <c r="AL19" s="273">
        <f t="shared" si="4"/>
        <v>0</v>
      </c>
      <c r="AM19" s="275"/>
      <c r="AN19" s="273">
        <f t="shared" si="5"/>
        <v>0</v>
      </c>
      <c r="AO19" s="275"/>
      <c r="AP19" s="273">
        <f t="shared" si="6"/>
        <v>0</v>
      </c>
      <c r="AQ19" s="275"/>
      <c r="AR19" s="273">
        <f t="shared" si="7"/>
        <v>0</v>
      </c>
      <c r="AS19" s="275"/>
      <c r="AT19" s="273">
        <f t="shared" si="8"/>
        <v>0</v>
      </c>
      <c r="AU19" s="275"/>
      <c r="AV19" s="273">
        <f t="shared" si="9"/>
        <v>0</v>
      </c>
      <c r="AW19" s="275"/>
      <c r="AX19" s="273">
        <f t="shared" si="10"/>
        <v>0</v>
      </c>
      <c r="AY19" s="276"/>
      <c r="AZ19" s="273">
        <f t="shared" si="11"/>
        <v>0</v>
      </c>
      <c r="BA19" s="276"/>
      <c r="BB19" s="273">
        <f t="shared" si="12"/>
        <v>0</v>
      </c>
      <c r="BC19" s="276"/>
      <c r="BD19" s="273">
        <f t="shared" si="13"/>
        <v>0</v>
      </c>
      <c r="BE19" s="276"/>
      <c r="BF19" s="273">
        <f t="shared" si="14"/>
        <v>0</v>
      </c>
      <c r="BG19" s="276"/>
      <c r="BH19" s="273">
        <f t="shared" si="15"/>
        <v>0</v>
      </c>
      <c r="BI19" s="276"/>
      <c r="BJ19" s="273">
        <f t="shared" si="16"/>
        <v>0</v>
      </c>
      <c r="BK19" s="276"/>
      <c r="BL19" s="273">
        <f t="shared" si="17"/>
        <v>0</v>
      </c>
      <c r="BM19" s="290"/>
      <c r="BN19" s="273"/>
      <c r="BO19" s="276"/>
      <c r="BP19" s="273">
        <f t="shared" si="18"/>
        <v>0</v>
      </c>
      <c r="BQ19" s="276"/>
      <c r="BR19" s="273">
        <f t="shared" si="19"/>
        <v>0</v>
      </c>
      <c r="BS19" s="276"/>
      <c r="BT19" s="273">
        <f t="shared" si="20"/>
        <v>0</v>
      </c>
      <c r="BU19" s="276"/>
      <c r="BV19" s="273">
        <f t="shared" si="24"/>
        <v>0</v>
      </c>
      <c r="BW19" s="73" t="e">
        <f>#REF!-#REF!</f>
        <v>#REF!</v>
      </c>
      <c r="BX19" s="74">
        <f t="shared" si="25"/>
        <v>0</v>
      </c>
      <c r="BY19" s="49"/>
      <c r="BZ19" s="73">
        <f t="shared" si="21"/>
        <v>0</v>
      </c>
      <c r="CA19" s="74">
        <f t="shared" si="26"/>
        <v>0</v>
      </c>
      <c r="CB19" s="49"/>
      <c r="CC19" s="73">
        <f t="shared" si="22"/>
        <v>0</v>
      </c>
      <c r="CD19" s="74">
        <f t="shared" si="27"/>
        <v>0</v>
      </c>
      <c r="CE19" s="49"/>
      <c r="CF19" s="73">
        <f t="shared" si="23"/>
        <v>0</v>
      </c>
    </row>
    <row r="20" spans="1:84" ht="15" customHeight="1">
      <c r="A20" s="222">
        <f>Solar!A19</f>
        <v>44999</v>
      </c>
      <c r="B20" s="48"/>
      <c r="C20" s="42"/>
      <c r="D20" s="43"/>
      <c r="E20" s="69"/>
      <c r="F20" s="47"/>
      <c r="G20" s="48"/>
      <c r="H20" s="48"/>
      <c r="I20" s="43"/>
      <c r="J20" s="69"/>
      <c r="K20" s="47"/>
      <c r="L20" s="48"/>
      <c r="M20" s="48"/>
      <c r="N20" s="43"/>
      <c r="O20" s="45"/>
      <c r="P20" s="47"/>
      <c r="Q20" s="48"/>
      <c r="R20" s="48"/>
      <c r="S20" s="43"/>
      <c r="T20" s="44"/>
      <c r="U20" s="48"/>
      <c r="V20" s="48"/>
      <c r="W20" s="43"/>
      <c r="X20" s="46" t="e">
        <f>#REF!</f>
        <v>#REF!</v>
      </c>
      <c r="Y20" s="49">
        <v>59</v>
      </c>
      <c r="Z20" s="103" t="e">
        <f>#REF!/Y20</f>
        <v>#REF!</v>
      </c>
      <c r="AB20" s="271">
        <f t="shared" si="0"/>
        <v>44999</v>
      </c>
      <c r="AC20" s="272"/>
      <c r="AD20" s="273">
        <f t="shared" si="1"/>
        <v>0</v>
      </c>
      <c r="AE20" s="290">
        <f t="shared" si="28"/>
        <v>0</v>
      </c>
      <c r="AF20" s="274"/>
      <c r="AG20" s="275"/>
      <c r="AH20" s="273">
        <f t="shared" si="2"/>
        <v>0</v>
      </c>
      <c r="AI20" s="275"/>
      <c r="AJ20" s="273">
        <f t="shared" si="3"/>
        <v>0</v>
      </c>
      <c r="AK20" s="275"/>
      <c r="AL20" s="273">
        <f t="shared" si="4"/>
        <v>0</v>
      </c>
      <c r="AM20" s="275"/>
      <c r="AN20" s="273">
        <f t="shared" si="5"/>
        <v>0</v>
      </c>
      <c r="AO20" s="275"/>
      <c r="AP20" s="273">
        <f t="shared" si="6"/>
        <v>0</v>
      </c>
      <c r="AQ20" s="275"/>
      <c r="AR20" s="273">
        <f t="shared" si="7"/>
        <v>0</v>
      </c>
      <c r="AS20" s="275"/>
      <c r="AT20" s="273">
        <f t="shared" si="8"/>
        <v>0</v>
      </c>
      <c r="AU20" s="275"/>
      <c r="AV20" s="273">
        <f t="shared" si="9"/>
        <v>0</v>
      </c>
      <c r="AW20" s="275"/>
      <c r="AX20" s="273">
        <f t="shared" si="10"/>
        <v>0</v>
      </c>
      <c r="AY20" s="276"/>
      <c r="AZ20" s="273">
        <f t="shared" si="11"/>
        <v>0</v>
      </c>
      <c r="BA20" s="276"/>
      <c r="BB20" s="273">
        <f t="shared" si="12"/>
        <v>0</v>
      </c>
      <c r="BC20" s="276"/>
      <c r="BD20" s="273">
        <f t="shared" si="13"/>
        <v>0</v>
      </c>
      <c r="BE20" s="276"/>
      <c r="BF20" s="273">
        <f t="shared" si="14"/>
        <v>0</v>
      </c>
      <c r="BG20" s="276"/>
      <c r="BH20" s="273">
        <f t="shared" si="15"/>
        <v>0</v>
      </c>
      <c r="BI20" s="276"/>
      <c r="BJ20" s="273">
        <f t="shared" si="16"/>
        <v>0</v>
      </c>
      <c r="BK20" s="276"/>
      <c r="BL20" s="273">
        <f t="shared" si="17"/>
        <v>0</v>
      </c>
      <c r="BM20" s="290"/>
      <c r="BN20" s="273"/>
      <c r="BO20" s="276"/>
      <c r="BP20" s="273">
        <f t="shared" si="18"/>
        <v>0</v>
      </c>
      <c r="BQ20" s="276"/>
      <c r="BR20" s="273">
        <f t="shared" si="19"/>
        <v>0</v>
      </c>
      <c r="BS20" s="276"/>
      <c r="BT20" s="273">
        <f t="shared" si="20"/>
        <v>0</v>
      </c>
      <c r="BU20" s="276"/>
      <c r="BV20" s="273">
        <f t="shared" si="24"/>
        <v>0</v>
      </c>
      <c r="BW20" s="73" t="e">
        <f>#REF!-#REF!</f>
        <v>#REF!</v>
      </c>
      <c r="BX20" s="74">
        <f t="shared" si="25"/>
        <v>0</v>
      </c>
      <c r="BY20" s="49"/>
      <c r="BZ20" s="73">
        <f t="shared" si="21"/>
        <v>0</v>
      </c>
      <c r="CA20" s="74">
        <f t="shared" si="26"/>
        <v>0</v>
      </c>
      <c r="CB20" s="49"/>
      <c r="CC20" s="73">
        <f t="shared" si="22"/>
        <v>0</v>
      </c>
      <c r="CD20" s="74">
        <f t="shared" si="27"/>
        <v>0</v>
      </c>
      <c r="CE20" s="49"/>
      <c r="CF20" s="73">
        <f t="shared" si="23"/>
        <v>0</v>
      </c>
    </row>
    <row r="21" spans="1:84" ht="15" customHeight="1">
      <c r="A21" s="222">
        <f>Solar!A20</f>
        <v>45000</v>
      </c>
      <c r="B21" s="50"/>
      <c r="C21" s="42"/>
      <c r="D21" s="43"/>
      <c r="E21" s="69"/>
      <c r="F21" s="47"/>
      <c r="G21" s="50"/>
      <c r="H21" s="48"/>
      <c r="I21" s="43"/>
      <c r="J21" s="69"/>
      <c r="K21" s="47"/>
      <c r="L21" s="48"/>
      <c r="M21" s="48"/>
      <c r="N21" s="43"/>
      <c r="O21" s="45"/>
      <c r="P21" s="47"/>
      <c r="Q21" s="48"/>
      <c r="R21" s="48"/>
      <c r="S21" s="43"/>
      <c r="T21" s="44"/>
      <c r="U21" s="48"/>
      <c r="V21" s="48"/>
      <c r="W21" s="43"/>
      <c r="X21" s="46" t="e">
        <f>#REF!</f>
        <v>#REF!</v>
      </c>
      <c r="Y21" s="49">
        <v>63</v>
      </c>
      <c r="Z21" s="103" t="e">
        <f>#REF!/Y21</f>
        <v>#REF!</v>
      </c>
      <c r="AB21" s="271">
        <f t="shared" si="0"/>
        <v>45000</v>
      </c>
      <c r="AC21" s="272"/>
      <c r="AD21" s="273">
        <f t="shared" si="1"/>
        <v>0</v>
      </c>
      <c r="AE21" s="290">
        <f t="shared" si="28"/>
        <v>0</v>
      </c>
      <c r="AF21" s="274"/>
      <c r="AG21" s="275"/>
      <c r="AH21" s="273">
        <f t="shared" si="2"/>
        <v>0</v>
      </c>
      <c r="AI21" s="275"/>
      <c r="AJ21" s="273">
        <f t="shared" si="3"/>
        <v>0</v>
      </c>
      <c r="AK21" s="275"/>
      <c r="AL21" s="273">
        <f t="shared" si="4"/>
        <v>0</v>
      </c>
      <c r="AM21" s="275"/>
      <c r="AN21" s="273">
        <f t="shared" si="5"/>
        <v>0</v>
      </c>
      <c r="AO21" s="275"/>
      <c r="AP21" s="273">
        <f t="shared" si="6"/>
        <v>0</v>
      </c>
      <c r="AQ21" s="275"/>
      <c r="AR21" s="273">
        <f t="shared" si="7"/>
        <v>0</v>
      </c>
      <c r="AS21" s="275"/>
      <c r="AT21" s="273">
        <f t="shared" si="8"/>
        <v>0</v>
      </c>
      <c r="AU21" s="275"/>
      <c r="AV21" s="273">
        <f t="shared" si="9"/>
        <v>0</v>
      </c>
      <c r="AW21" s="275"/>
      <c r="AX21" s="273">
        <f t="shared" si="10"/>
        <v>0</v>
      </c>
      <c r="AY21" s="276"/>
      <c r="AZ21" s="273">
        <f t="shared" si="11"/>
        <v>0</v>
      </c>
      <c r="BA21" s="276"/>
      <c r="BB21" s="273">
        <f t="shared" si="12"/>
        <v>0</v>
      </c>
      <c r="BC21" s="276"/>
      <c r="BD21" s="273">
        <f t="shared" si="13"/>
        <v>0</v>
      </c>
      <c r="BE21" s="276"/>
      <c r="BF21" s="273">
        <f t="shared" si="14"/>
        <v>0</v>
      </c>
      <c r="BG21" s="276"/>
      <c r="BH21" s="273">
        <f t="shared" si="15"/>
        <v>0</v>
      </c>
      <c r="BI21" s="276"/>
      <c r="BJ21" s="273">
        <f t="shared" si="16"/>
        <v>0</v>
      </c>
      <c r="BK21" s="276"/>
      <c r="BL21" s="273">
        <f t="shared" si="17"/>
        <v>0</v>
      </c>
      <c r="BM21" s="290"/>
      <c r="BN21" s="273"/>
      <c r="BO21" s="276"/>
      <c r="BP21" s="273">
        <f t="shared" si="18"/>
        <v>0</v>
      </c>
      <c r="BQ21" s="276"/>
      <c r="BR21" s="273">
        <f t="shared" si="19"/>
        <v>0</v>
      </c>
      <c r="BS21" s="276"/>
      <c r="BT21" s="273">
        <f t="shared" si="20"/>
        <v>0</v>
      </c>
      <c r="BU21" s="276"/>
      <c r="BV21" s="273">
        <f t="shared" si="24"/>
        <v>0</v>
      </c>
      <c r="BW21" s="73" t="e">
        <f>#REF!-#REF!</f>
        <v>#REF!</v>
      </c>
      <c r="BX21" s="74">
        <f t="shared" si="25"/>
        <v>0</v>
      </c>
      <c r="BY21" s="49"/>
      <c r="BZ21" s="73">
        <f t="shared" si="21"/>
        <v>0</v>
      </c>
      <c r="CA21" s="74">
        <f t="shared" si="26"/>
        <v>0</v>
      </c>
      <c r="CB21" s="49"/>
      <c r="CC21" s="73">
        <f t="shared" si="22"/>
        <v>0</v>
      </c>
      <c r="CD21" s="74">
        <f t="shared" si="27"/>
        <v>0</v>
      </c>
      <c r="CE21" s="49"/>
      <c r="CF21" s="73">
        <f t="shared" si="23"/>
        <v>0</v>
      </c>
    </row>
    <row r="22" spans="1:84" ht="15" customHeight="1">
      <c r="A22" s="222">
        <f>Solar!A21</f>
        <v>45001</v>
      </c>
      <c r="B22" s="50"/>
      <c r="C22" s="42"/>
      <c r="D22" s="43"/>
      <c r="E22" s="69"/>
      <c r="F22" s="47"/>
      <c r="G22" s="50"/>
      <c r="H22" s="50"/>
      <c r="I22" s="43"/>
      <c r="J22" s="69"/>
      <c r="K22" s="47"/>
      <c r="L22" s="50"/>
      <c r="M22" s="50"/>
      <c r="N22" s="43"/>
      <c r="O22" s="45"/>
      <c r="P22" s="47"/>
      <c r="Q22" s="50"/>
      <c r="R22" s="50"/>
      <c r="S22" s="43"/>
      <c r="T22" s="44"/>
      <c r="U22" s="50"/>
      <c r="V22" s="50"/>
      <c r="W22" s="43"/>
      <c r="X22" s="46" t="e">
        <f>#REF!</f>
        <v>#REF!</v>
      </c>
      <c r="Y22" s="55">
        <v>62</v>
      </c>
      <c r="Z22" s="103" t="e">
        <f>#REF!/Y22</f>
        <v>#REF!</v>
      </c>
      <c r="AB22" s="271">
        <f t="shared" si="0"/>
        <v>45001</v>
      </c>
      <c r="AC22" s="272"/>
      <c r="AD22" s="273">
        <f t="shared" si="1"/>
        <v>0</v>
      </c>
      <c r="AE22" s="290">
        <f t="shared" si="28"/>
        <v>0</v>
      </c>
      <c r="AF22" s="274"/>
      <c r="AG22" s="275"/>
      <c r="AH22" s="273">
        <f t="shared" si="2"/>
        <v>0</v>
      </c>
      <c r="AI22" s="275"/>
      <c r="AJ22" s="273">
        <f t="shared" si="3"/>
        <v>0</v>
      </c>
      <c r="AK22" s="275"/>
      <c r="AL22" s="273">
        <f t="shared" si="4"/>
        <v>0</v>
      </c>
      <c r="AM22" s="275"/>
      <c r="AN22" s="273">
        <f t="shared" si="5"/>
        <v>0</v>
      </c>
      <c r="AO22" s="275"/>
      <c r="AP22" s="273">
        <f t="shared" si="6"/>
        <v>0</v>
      </c>
      <c r="AQ22" s="275"/>
      <c r="AR22" s="273">
        <f t="shared" si="7"/>
        <v>0</v>
      </c>
      <c r="AS22" s="275"/>
      <c r="AT22" s="273">
        <f t="shared" si="8"/>
        <v>0</v>
      </c>
      <c r="AU22" s="275"/>
      <c r="AV22" s="273">
        <f t="shared" si="9"/>
        <v>0</v>
      </c>
      <c r="AW22" s="275"/>
      <c r="AX22" s="273">
        <f t="shared" si="10"/>
        <v>0</v>
      </c>
      <c r="AY22" s="276"/>
      <c r="AZ22" s="273">
        <f t="shared" si="11"/>
        <v>0</v>
      </c>
      <c r="BA22" s="276"/>
      <c r="BB22" s="273">
        <f t="shared" si="12"/>
        <v>0</v>
      </c>
      <c r="BC22" s="276"/>
      <c r="BD22" s="273">
        <f t="shared" si="13"/>
        <v>0</v>
      </c>
      <c r="BE22" s="276"/>
      <c r="BF22" s="273">
        <f t="shared" si="14"/>
        <v>0</v>
      </c>
      <c r="BG22" s="276"/>
      <c r="BH22" s="273">
        <f t="shared" si="15"/>
        <v>0</v>
      </c>
      <c r="BI22" s="276"/>
      <c r="BJ22" s="273">
        <f t="shared" si="16"/>
        <v>0</v>
      </c>
      <c r="BK22" s="276"/>
      <c r="BL22" s="273">
        <f t="shared" si="17"/>
        <v>0</v>
      </c>
      <c r="BM22" s="290"/>
      <c r="BN22" s="273"/>
      <c r="BO22" s="276"/>
      <c r="BP22" s="273">
        <f t="shared" si="18"/>
        <v>0</v>
      </c>
      <c r="BQ22" s="276"/>
      <c r="BR22" s="273">
        <f t="shared" si="19"/>
        <v>0</v>
      </c>
      <c r="BS22" s="276"/>
      <c r="BT22" s="273">
        <f t="shared" si="20"/>
        <v>0</v>
      </c>
      <c r="BU22" s="276"/>
      <c r="BV22" s="273">
        <f t="shared" si="24"/>
        <v>0</v>
      </c>
      <c r="BW22" s="73" t="e">
        <f>#REF!-#REF!</f>
        <v>#REF!</v>
      </c>
      <c r="BX22" s="74">
        <f t="shared" si="25"/>
        <v>0</v>
      </c>
      <c r="BY22" s="49"/>
      <c r="BZ22" s="73">
        <f t="shared" si="21"/>
        <v>0</v>
      </c>
      <c r="CA22" s="74">
        <f t="shared" si="26"/>
        <v>0</v>
      </c>
      <c r="CB22" s="49"/>
      <c r="CC22" s="73">
        <f t="shared" si="22"/>
        <v>0</v>
      </c>
      <c r="CD22" s="74">
        <f t="shared" si="27"/>
        <v>0</v>
      </c>
      <c r="CE22" s="49"/>
      <c r="CF22" s="73">
        <f t="shared" si="23"/>
        <v>0</v>
      </c>
    </row>
    <row r="23" spans="1:84" ht="15" customHeight="1">
      <c r="A23" s="222">
        <f>Solar!A22</f>
        <v>45002</v>
      </c>
      <c r="B23" s="50"/>
      <c r="C23" s="42"/>
      <c r="D23" s="43"/>
      <c r="E23" s="69"/>
      <c r="F23" s="47"/>
      <c r="G23" s="50"/>
      <c r="H23" s="50"/>
      <c r="I23" s="43"/>
      <c r="J23" s="69"/>
      <c r="K23" s="47"/>
      <c r="L23" s="50"/>
      <c r="M23" s="50"/>
      <c r="N23" s="43"/>
      <c r="O23" s="45"/>
      <c r="P23" s="47"/>
      <c r="Q23" s="50"/>
      <c r="R23" s="50"/>
      <c r="S23" s="43"/>
      <c r="T23" s="44"/>
      <c r="U23" s="50"/>
      <c r="V23" s="50"/>
      <c r="W23" s="43"/>
      <c r="X23" s="46" t="e">
        <f>#REF!</f>
        <v>#REF!</v>
      </c>
      <c r="Y23" s="55">
        <v>47</v>
      </c>
      <c r="Z23" s="103" t="e">
        <f>#REF!/Y23</f>
        <v>#REF!</v>
      </c>
      <c r="AB23" s="271">
        <f t="shared" si="0"/>
        <v>45002</v>
      </c>
      <c r="AC23" s="272"/>
      <c r="AD23" s="273">
        <f t="shared" si="1"/>
        <v>0</v>
      </c>
      <c r="AE23" s="290">
        <f t="shared" si="28"/>
        <v>0</v>
      </c>
      <c r="AF23" s="274"/>
      <c r="AG23" s="275"/>
      <c r="AH23" s="273">
        <f t="shared" si="2"/>
        <v>0</v>
      </c>
      <c r="AI23" s="275"/>
      <c r="AJ23" s="273">
        <f t="shared" si="3"/>
        <v>0</v>
      </c>
      <c r="AK23" s="275"/>
      <c r="AL23" s="273">
        <f t="shared" si="4"/>
        <v>0</v>
      </c>
      <c r="AM23" s="275"/>
      <c r="AN23" s="273">
        <f t="shared" si="5"/>
        <v>0</v>
      </c>
      <c r="AO23" s="275"/>
      <c r="AP23" s="273">
        <f t="shared" si="6"/>
        <v>0</v>
      </c>
      <c r="AQ23" s="275"/>
      <c r="AR23" s="273">
        <f t="shared" si="7"/>
        <v>0</v>
      </c>
      <c r="AS23" s="275"/>
      <c r="AT23" s="273">
        <f t="shared" si="8"/>
        <v>0</v>
      </c>
      <c r="AU23" s="275"/>
      <c r="AV23" s="273">
        <f t="shared" si="9"/>
        <v>0</v>
      </c>
      <c r="AW23" s="275"/>
      <c r="AX23" s="273">
        <f t="shared" si="10"/>
        <v>0</v>
      </c>
      <c r="AY23" s="276"/>
      <c r="AZ23" s="273">
        <f t="shared" si="11"/>
        <v>0</v>
      </c>
      <c r="BA23" s="276"/>
      <c r="BB23" s="273">
        <f t="shared" si="12"/>
        <v>0</v>
      </c>
      <c r="BC23" s="276"/>
      <c r="BD23" s="273">
        <f t="shared" si="13"/>
        <v>0</v>
      </c>
      <c r="BE23" s="276"/>
      <c r="BF23" s="273">
        <f t="shared" si="14"/>
        <v>0</v>
      </c>
      <c r="BG23" s="276"/>
      <c r="BH23" s="273">
        <f t="shared" si="15"/>
        <v>0</v>
      </c>
      <c r="BI23" s="276"/>
      <c r="BJ23" s="273">
        <f t="shared" si="16"/>
        <v>0</v>
      </c>
      <c r="BK23" s="276"/>
      <c r="BL23" s="273">
        <f t="shared" si="17"/>
        <v>0</v>
      </c>
      <c r="BM23" s="290"/>
      <c r="BN23" s="273"/>
      <c r="BO23" s="276"/>
      <c r="BP23" s="273">
        <f t="shared" si="18"/>
        <v>0</v>
      </c>
      <c r="BQ23" s="276"/>
      <c r="BR23" s="273">
        <f t="shared" si="19"/>
        <v>0</v>
      </c>
      <c r="BS23" s="276"/>
      <c r="BT23" s="273">
        <f t="shared" si="20"/>
        <v>0</v>
      </c>
      <c r="BU23" s="276"/>
      <c r="BV23" s="273">
        <f t="shared" si="24"/>
        <v>0</v>
      </c>
      <c r="BW23" s="73" t="e">
        <f>#REF!-#REF!</f>
        <v>#REF!</v>
      </c>
      <c r="BX23" s="74">
        <f t="shared" si="25"/>
        <v>0</v>
      </c>
      <c r="BY23" s="49"/>
      <c r="BZ23" s="73">
        <f t="shared" si="21"/>
        <v>0</v>
      </c>
      <c r="CA23" s="74">
        <f t="shared" si="26"/>
        <v>0</v>
      </c>
      <c r="CB23" s="49"/>
      <c r="CC23" s="73">
        <f t="shared" si="22"/>
        <v>0</v>
      </c>
      <c r="CD23" s="74">
        <f t="shared" si="27"/>
        <v>0</v>
      </c>
      <c r="CE23" s="49"/>
      <c r="CF23" s="73">
        <f t="shared" si="23"/>
        <v>0</v>
      </c>
    </row>
    <row r="24" spans="1:84" ht="15" customHeight="1">
      <c r="A24" s="222">
        <f>Solar!A23</f>
        <v>45003</v>
      </c>
      <c r="B24" s="50"/>
      <c r="C24" s="42"/>
      <c r="D24" s="43"/>
      <c r="E24" s="69"/>
      <c r="F24" s="47"/>
      <c r="G24" s="50"/>
      <c r="H24" s="50"/>
      <c r="I24" s="43"/>
      <c r="J24" s="69"/>
      <c r="K24" s="47"/>
      <c r="L24" s="50"/>
      <c r="M24" s="50"/>
      <c r="N24" s="43"/>
      <c r="O24" s="45"/>
      <c r="P24" s="47"/>
      <c r="Q24" s="50"/>
      <c r="R24" s="50"/>
      <c r="S24" s="43"/>
      <c r="T24" s="44"/>
      <c r="U24" s="50"/>
      <c r="V24" s="50"/>
      <c r="W24" s="43"/>
      <c r="X24" s="46" t="e">
        <f>#REF!</f>
        <v>#REF!</v>
      </c>
      <c r="Y24" s="55">
        <v>46</v>
      </c>
      <c r="Z24" s="103" t="e">
        <f>#REF!/Y24</f>
        <v>#REF!</v>
      </c>
      <c r="AB24" s="271">
        <f t="shared" si="0"/>
        <v>45003</v>
      </c>
      <c r="AC24" s="272"/>
      <c r="AD24" s="273">
        <f t="shared" si="1"/>
        <v>0</v>
      </c>
      <c r="AE24" s="290">
        <f t="shared" si="28"/>
        <v>0</v>
      </c>
      <c r="AF24" s="274"/>
      <c r="AG24" s="275"/>
      <c r="AH24" s="273">
        <f t="shared" si="2"/>
        <v>0</v>
      </c>
      <c r="AI24" s="275"/>
      <c r="AJ24" s="273">
        <f t="shared" si="3"/>
        <v>0</v>
      </c>
      <c r="AK24" s="275"/>
      <c r="AL24" s="273">
        <f t="shared" si="4"/>
        <v>0</v>
      </c>
      <c r="AM24" s="275"/>
      <c r="AN24" s="273">
        <f t="shared" si="5"/>
        <v>0</v>
      </c>
      <c r="AO24" s="275"/>
      <c r="AP24" s="273">
        <f t="shared" si="6"/>
        <v>0</v>
      </c>
      <c r="AQ24" s="275"/>
      <c r="AR24" s="273">
        <f t="shared" si="7"/>
        <v>0</v>
      </c>
      <c r="AS24" s="275"/>
      <c r="AT24" s="273">
        <f t="shared" si="8"/>
        <v>0</v>
      </c>
      <c r="AU24" s="275"/>
      <c r="AV24" s="273">
        <f t="shared" si="9"/>
        <v>0</v>
      </c>
      <c r="AW24" s="275"/>
      <c r="AX24" s="273">
        <f t="shared" si="10"/>
        <v>0</v>
      </c>
      <c r="AY24" s="276"/>
      <c r="AZ24" s="273">
        <f t="shared" si="11"/>
        <v>0</v>
      </c>
      <c r="BA24" s="276"/>
      <c r="BB24" s="273">
        <f t="shared" si="12"/>
        <v>0</v>
      </c>
      <c r="BC24" s="276"/>
      <c r="BD24" s="273">
        <f t="shared" si="13"/>
        <v>0</v>
      </c>
      <c r="BE24" s="276"/>
      <c r="BF24" s="273">
        <f t="shared" si="14"/>
        <v>0</v>
      </c>
      <c r="BG24" s="276"/>
      <c r="BH24" s="273">
        <f t="shared" si="15"/>
        <v>0</v>
      </c>
      <c r="BI24" s="276"/>
      <c r="BJ24" s="273">
        <f t="shared" si="16"/>
        <v>0</v>
      </c>
      <c r="BK24" s="276"/>
      <c r="BL24" s="273">
        <f t="shared" si="17"/>
        <v>0</v>
      </c>
      <c r="BM24" s="290"/>
      <c r="BN24" s="273"/>
      <c r="BO24" s="276"/>
      <c r="BP24" s="273">
        <f t="shared" si="18"/>
        <v>0</v>
      </c>
      <c r="BQ24" s="276"/>
      <c r="BR24" s="273">
        <f t="shared" si="19"/>
        <v>0</v>
      </c>
      <c r="BS24" s="276"/>
      <c r="BT24" s="273">
        <f t="shared" si="20"/>
        <v>0</v>
      </c>
      <c r="BU24" s="276"/>
      <c r="BV24" s="273">
        <f t="shared" si="24"/>
        <v>0</v>
      </c>
      <c r="BW24" s="73" t="e">
        <f>#REF!-#REF!</f>
        <v>#REF!</v>
      </c>
      <c r="BX24" s="74">
        <f t="shared" si="25"/>
        <v>0</v>
      </c>
      <c r="BY24" s="49"/>
      <c r="BZ24" s="73">
        <f t="shared" si="21"/>
        <v>0</v>
      </c>
      <c r="CA24" s="74">
        <f t="shared" si="26"/>
        <v>0</v>
      </c>
      <c r="CB24" s="49"/>
      <c r="CC24" s="73">
        <f t="shared" si="22"/>
        <v>0</v>
      </c>
      <c r="CD24" s="74">
        <f t="shared" si="27"/>
        <v>0</v>
      </c>
      <c r="CE24" s="49"/>
      <c r="CF24" s="73">
        <f t="shared" si="23"/>
        <v>0</v>
      </c>
    </row>
    <row r="25" spans="1:84" ht="15" customHeight="1">
      <c r="A25" s="222">
        <f>Solar!A24</f>
        <v>45004</v>
      </c>
      <c r="B25" s="50"/>
      <c r="C25" s="42"/>
      <c r="D25" s="43"/>
      <c r="E25" s="69"/>
      <c r="F25" s="47"/>
      <c r="G25" s="50"/>
      <c r="H25" s="50"/>
      <c r="I25" s="43"/>
      <c r="J25" s="69"/>
      <c r="K25" s="47"/>
      <c r="L25" s="50"/>
      <c r="M25" s="50"/>
      <c r="N25" s="43"/>
      <c r="O25" s="45"/>
      <c r="P25" s="47"/>
      <c r="Q25" s="50"/>
      <c r="R25" s="50"/>
      <c r="S25" s="43"/>
      <c r="T25" s="44"/>
      <c r="U25" s="50"/>
      <c r="V25" s="50"/>
      <c r="W25" s="43"/>
      <c r="X25" s="46" t="e">
        <f>#REF!</f>
        <v>#REF!</v>
      </c>
      <c r="Y25" s="55"/>
      <c r="Z25" s="103" t="e">
        <f>#REF!/Y25</f>
        <v>#REF!</v>
      </c>
      <c r="AB25" s="271">
        <f t="shared" si="0"/>
        <v>45004</v>
      </c>
      <c r="AC25" s="272"/>
      <c r="AD25" s="273">
        <f t="shared" si="1"/>
        <v>0</v>
      </c>
      <c r="AE25" s="290">
        <f t="shared" si="28"/>
        <v>0</v>
      </c>
      <c r="AF25" s="274"/>
      <c r="AG25" s="275"/>
      <c r="AH25" s="273">
        <f t="shared" si="2"/>
        <v>0</v>
      </c>
      <c r="AI25" s="275"/>
      <c r="AJ25" s="273">
        <f t="shared" si="3"/>
        <v>0</v>
      </c>
      <c r="AK25" s="275"/>
      <c r="AL25" s="273">
        <f t="shared" si="4"/>
        <v>0</v>
      </c>
      <c r="AM25" s="275"/>
      <c r="AN25" s="273">
        <f t="shared" si="5"/>
        <v>0</v>
      </c>
      <c r="AO25" s="275"/>
      <c r="AP25" s="273">
        <f t="shared" si="6"/>
        <v>0</v>
      </c>
      <c r="AQ25" s="275"/>
      <c r="AR25" s="273">
        <f t="shared" si="7"/>
        <v>0</v>
      </c>
      <c r="AS25" s="275"/>
      <c r="AT25" s="273">
        <f t="shared" si="8"/>
        <v>0</v>
      </c>
      <c r="AU25" s="275"/>
      <c r="AV25" s="273">
        <f t="shared" si="9"/>
        <v>0</v>
      </c>
      <c r="AW25" s="275"/>
      <c r="AX25" s="273">
        <f t="shared" si="10"/>
        <v>0</v>
      </c>
      <c r="AY25" s="276"/>
      <c r="AZ25" s="273">
        <f t="shared" si="11"/>
        <v>0</v>
      </c>
      <c r="BA25" s="276"/>
      <c r="BB25" s="273">
        <f t="shared" si="12"/>
        <v>0</v>
      </c>
      <c r="BC25" s="276"/>
      <c r="BD25" s="273">
        <f t="shared" si="13"/>
        <v>0</v>
      </c>
      <c r="BE25" s="276"/>
      <c r="BF25" s="273">
        <f t="shared" si="14"/>
        <v>0</v>
      </c>
      <c r="BG25" s="276"/>
      <c r="BH25" s="273">
        <f t="shared" si="15"/>
        <v>0</v>
      </c>
      <c r="BI25" s="276"/>
      <c r="BJ25" s="273">
        <f t="shared" si="16"/>
        <v>0</v>
      </c>
      <c r="BK25" s="276"/>
      <c r="BL25" s="273">
        <f t="shared" si="17"/>
        <v>0</v>
      </c>
      <c r="BM25" s="290"/>
      <c r="BN25" s="273"/>
      <c r="BO25" s="276"/>
      <c r="BP25" s="273">
        <f t="shared" si="18"/>
        <v>0</v>
      </c>
      <c r="BQ25" s="276"/>
      <c r="BR25" s="273">
        <f t="shared" si="19"/>
        <v>0</v>
      </c>
      <c r="BS25" s="276"/>
      <c r="BT25" s="273">
        <f t="shared" si="20"/>
        <v>0</v>
      </c>
      <c r="BU25" s="276"/>
      <c r="BV25" s="273">
        <f t="shared" si="24"/>
        <v>0</v>
      </c>
      <c r="BW25" s="73" t="e">
        <f>#REF!-#REF!</f>
        <v>#REF!</v>
      </c>
      <c r="BX25" s="74">
        <f t="shared" si="25"/>
        <v>0</v>
      </c>
      <c r="BY25" s="49"/>
      <c r="BZ25" s="73">
        <f t="shared" si="21"/>
        <v>0</v>
      </c>
      <c r="CA25" s="74">
        <f t="shared" si="26"/>
        <v>0</v>
      </c>
      <c r="CB25" s="49"/>
      <c r="CC25" s="73">
        <f t="shared" si="22"/>
        <v>0</v>
      </c>
      <c r="CD25" s="74">
        <f t="shared" si="27"/>
        <v>0</v>
      </c>
      <c r="CE25" s="49"/>
      <c r="CF25" s="73">
        <f t="shared" si="23"/>
        <v>0</v>
      </c>
    </row>
    <row r="26" spans="1:84" ht="15" customHeight="1">
      <c r="A26" s="222">
        <f>Solar!A25</f>
        <v>45005</v>
      </c>
      <c r="B26" s="50"/>
      <c r="C26" s="42"/>
      <c r="D26" s="43"/>
      <c r="E26" s="69"/>
      <c r="F26" s="47"/>
      <c r="G26" s="50"/>
      <c r="H26" s="50"/>
      <c r="I26" s="43"/>
      <c r="J26" s="69"/>
      <c r="K26" s="47"/>
      <c r="L26" s="50"/>
      <c r="M26" s="50"/>
      <c r="N26" s="43"/>
      <c r="O26" s="45"/>
      <c r="P26" s="47"/>
      <c r="Q26" s="50"/>
      <c r="R26" s="50"/>
      <c r="S26" s="43"/>
      <c r="T26" s="44"/>
      <c r="U26" s="50"/>
      <c r="V26" s="50"/>
      <c r="W26" s="43"/>
      <c r="X26" s="46" t="e">
        <f>#REF!</f>
        <v>#REF!</v>
      </c>
      <c r="Y26" s="55"/>
      <c r="Z26" s="103" t="e">
        <f>#REF!/Y26</f>
        <v>#REF!</v>
      </c>
      <c r="AB26" s="271">
        <f t="shared" si="0"/>
        <v>45005</v>
      </c>
      <c r="AC26" s="272"/>
      <c r="AD26" s="273">
        <f t="shared" si="1"/>
        <v>0</v>
      </c>
      <c r="AE26" s="290">
        <f t="shared" si="28"/>
        <v>0</v>
      </c>
      <c r="AF26" s="274"/>
      <c r="AG26" s="275"/>
      <c r="AH26" s="273">
        <f t="shared" si="2"/>
        <v>0</v>
      </c>
      <c r="AI26" s="275"/>
      <c r="AJ26" s="273">
        <f t="shared" si="3"/>
        <v>0</v>
      </c>
      <c r="AK26" s="275"/>
      <c r="AL26" s="273">
        <f t="shared" si="4"/>
        <v>0</v>
      </c>
      <c r="AM26" s="275"/>
      <c r="AN26" s="273">
        <f t="shared" si="5"/>
        <v>0</v>
      </c>
      <c r="AO26" s="275"/>
      <c r="AP26" s="273">
        <f t="shared" si="6"/>
        <v>0</v>
      </c>
      <c r="AQ26" s="275"/>
      <c r="AR26" s="273">
        <f t="shared" si="7"/>
        <v>0</v>
      </c>
      <c r="AS26" s="275"/>
      <c r="AT26" s="273">
        <f t="shared" si="8"/>
        <v>0</v>
      </c>
      <c r="AU26" s="275"/>
      <c r="AV26" s="273">
        <f t="shared" si="9"/>
        <v>0</v>
      </c>
      <c r="AW26" s="275"/>
      <c r="AX26" s="273">
        <f t="shared" si="10"/>
        <v>0</v>
      </c>
      <c r="AY26" s="276"/>
      <c r="AZ26" s="273">
        <f t="shared" si="11"/>
        <v>0</v>
      </c>
      <c r="BA26" s="276"/>
      <c r="BB26" s="273">
        <f t="shared" si="12"/>
        <v>0</v>
      </c>
      <c r="BC26" s="276"/>
      <c r="BD26" s="273">
        <f t="shared" si="13"/>
        <v>0</v>
      </c>
      <c r="BE26" s="276"/>
      <c r="BF26" s="273">
        <f t="shared" si="14"/>
        <v>0</v>
      </c>
      <c r="BG26" s="276"/>
      <c r="BH26" s="273">
        <f t="shared" si="15"/>
        <v>0</v>
      </c>
      <c r="BI26" s="276"/>
      <c r="BJ26" s="273">
        <f t="shared" si="16"/>
        <v>0</v>
      </c>
      <c r="BK26" s="276"/>
      <c r="BL26" s="273">
        <f t="shared" si="17"/>
        <v>0</v>
      </c>
      <c r="BM26" s="290"/>
      <c r="BN26" s="273"/>
      <c r="BO26" s="276"/>
      <c r="BP26" s="273">
        <f t="shared" si="18"/>
        <v>0</v>
      </c>
      <c r="BQ26" s="276"/>
      <c r="BR26" s="273">
        <f t="shared" si="19"/>
        <v>0</v>
      </c>
      <c r="BS26" s="276"/>
      <c r="BT26" s="273">
        <f t="shared" si="20"/>
        <v>0</v>
      </c>
      <c r="BU26" s="276"/>
      <c r="BV26" s="273">
        <f t="shared" si="24"/>
        <v>0</v>
      </c>
      <c r="BW26" s="73" t="e">
        <f>#REF!-#REF!</f>
        <v>#REF!</v>
      </c>
      <c r="BX26" s="74">
        <f t="shared" si="25"/>
        <v>0</v>
      </c>
      <c r="BY26" s="49"/>
      <c r="BZ26" s="73">
        <f t="shared" si="21"/>
        <v>0</v>
      </c>
      <c r="CA26" s="74">
        <f t="shared" si="26"/>
        <v>0</v>
      </c>
      <c r="CB26" s="49"/>
      <c r="CC26" s="73">
        <f t="shared" si="22"/>
        <v>0</v>
      </c>
      <c r="CD26" s="74">
        <f t="shared" si="27"/>
        <v>0</v>
      </c>
      <c r="CE26" s="49"/>
      <c r="CF26" s="73">
        <f t="shared" si="23"/>
        <v>0</v>
      </c>
    </row>
    <row r="27" spans="1:84" ht="15" customHeight="1">
      <c r="A27" s="222">
        <f>Solar!A26</f>
        <v>45006</v>
      </c>
      <c r="B27" s="50"/>
      <c r="C27" s="42"/>
      <c r="D27" s="43"/>
      <c r="E27" s="69"/>
      <c r="F27" s="47"/>
      <c r="G27" s="50"/>
      <c r="H27" s="48"/>
      <c r="I27" s="43"/>
      <c r="J27" s="69"/>
      <c r="K27" s="47"/>
      <c r="L27" s="48"/>
      <c r="M27" s="48"/>
      <c r="N27" s="43"/>
      <c r="O27" s="45"/>
      <c r="P27" s="47"/>
      <c r="Q27" s="48"/>
      <c r="R27" s="48"/>
      <c r="S27" s="43"/>
      <c r="T27" s="44"/>
      <c r="U27" s="48"/>
      <c r="V27" s="48"/>
      <c r="W27" s="43"/>
      <c r="X27" s="46" t="e">
        <f>#REF!</f>
        <v>#REF!</v>
      </c>
      <c r="Y27" s="55"/>
      <c r="Z27" s="103" t="e">
        <f>#REF!/Y27</f>
        <v>#REF!</v>
      </c>
      <c r="AB27" s="271">
        <f t="shared" si="0"/>
        <v>45006</v>
      </c>
      <c r="AC27" s="272"/>
      <c r="AD27" s="273">
        <f t="shared" si="1"/>
        <v>0</v>
      </c>
      <c r="AE27" s="290">
        <f t="shared" si="28"/>
        <v>0</v>
      </c>
      <c r="AF27" s="274"/>
      <c r="AG27" s="275"/>
      <c r="AH27" s="273">
        <f t="shared" si="2"/>
        <v>0</v>
      </c>
      <c r="AI27" s="275"/>
      <c r="AJ27" s="273">
        <f t="shared" si="3"/>
        <v>0</v>
      </c>
      <c r="AK27" s="275"/>
      <c r="AL27" s="273">
        <f t="shared" si="4"/>
        <v>0</v>
      </c>
      <c r="AM27" s="275"/>
      <c r="AN27" s="273">
        <f t="shared" si="5"/>
        <v>0</v>
      </c>
      <c r="AO27" s="275"/>
      <c r="AP27" s="273">
        <f t="shared" si="6"/>
        <v>0</v>
      </c>
      <c r="AQ27" s="275"/>
      <c r="AR27" s="273">
        <f t="shared" si="7"/>
        <v>0</v>
      </c>
      <c r="AS27" s="275"/>
      <c r="AT27" s="273">
        <f t="shared" si="8"/>
        <v>0</v>
      </c>
      <c r="AU27" s="275"/>
      <c r="AV27" s="273">
        <f t="shared" si="9"/>
        <v>0</v>
      </c>
      <c r="AW27" s="275"/>
      <c r="AX27" s="273">
        <f t="shared" si="10"/>
        <v>0</v>
      </c>
      <c r="AY27" s="276"/>
      <c r="AZ27" s="273">
        <f t="shared" si="11"/>
        <v>0</v>
      </c>
      <c r="BA27" s="276"/>
      <c r="BB27" s="273">
        <f t="shared" si="12"/>
        <v>0</v>
      </c>
      <c r="BC27" s="276"/>
      <c r="BD27" s="273">
        <f t="shared" si="13"/>
        <v>0</v>
      </c>
      <c r="BE27" s="276"/>
      <c r="BF27" s="273">
        <f t="shared" si="14"/>
        <v>0</v>
      </c>
      <c r="BG27" s="276"/>
      <c r="BH27" s="273">
        <f t="shared" si="15"/>
        <v>0</v>
      </c>
      <c r="BI27" s="276"/>
      <c r="BJ27" s="273">
        <f t="shared" si="16"/>
        <v>0</v>
      </c>
      <c r="BK27" s="276"/>
      <c r="BL27" s="273">
        <f t="shared" si="17"/>
        <v>0</v>
      </c>
      <c r="BM27" s="290"/>
      <c r="BN27" s="273"/>
      <c r="BO27" s="276"/>
      <c r="BP27" s="273">
        <f t="shared" si="18"/>
        <v>0</v>
      </c>
      <c r="BQ27" s="276"/>
      <c r="BR27" s="273">
        <f t="shared" si="19"/>
        <v>0</v>
      </c>
      <c r="BS27" s="276"/>
      <c r="BT27" s="273">
        <f t="shared" si="20"/>
        <v>0</v>
      </c>
      <c r="BU27" s="276"/>
      <c r="BV27" s="273">
        <f t="shared" si="24"/>
        <v>0</v>
      </c>
      <c r="BW27" s="73" t="e">
        <f>#REF!-#REF!</f>
        <v>#REF!</v>
      </c>
      <c r="BX27" s="74">
        <f t="shared" si="25"/>
        <v>0</v>
      </c>
      <c r="BY27" s="49"/>
      <c r="BZ27" s="73">
        <f t="shared" si="21"/>
        <v>0</v>
      </c>
      <c r="CA27" s="74">
        <f t="shared" si="26"/>
        <v>0</v>
      </c>
      <c r="CB27" s="49"/>
      <c r="CC27" s="73">
        <f t="shared" si="22"/>
        <v>0</v>
      </c>
      <c r="CD27" s="74">
        <f t="shared" si="27"/>
        <v>0</v>
      </c>
      <c r="CE27" s="49"/>
      <c r="CF27" s="73">
        <f t="shared" si="23"/>
        <v>0</v>
      </c>
    </row>
    <row r="28" spans="1:84" ht="15" customHeight="1">
      <c r="A28" s="222">
        <f>Solar!A27</f>
        <v>45007</v>
      </c>
      <c r="B28" s="48"/>
      <c r="C28" s="42"/>
      <c r="D28" s="43"/>
      <c r="E28" s="69"/>
      <c r="F28" s="47"/>
      <c r="G28" s="48"/>
      <c r="H28" s="48"/>
      <c r="I28" s="43"/>
      <c r="J28" s="69"/>
      <c r="K28" s="47"/>
      <c r="L28" s="48"/>
      <c r="M28" s="48"/>
      <c r="N28" s="43"/>
      <c r="O28" s="45"/>
      <c r="P28" s="47"/>
      <c r="Q28" s="48"/>
      <c r="R28" s="48"/>
      <c r="S28" s="43"/>
      <c r="T28" s="44"/>
      <c r="U28" s="48"/>
      <c r="V28" s="48"/>
      <c r="W28" s="43"/>
      <c r="X28" s="46" t="e">
        <f>#REF!</f>
        <v>#REF!</v>
      </c>
      <c r="Y28" s="55"/>
      <c r="Z28" s="103" t="e">
        <f>#REF!/Y28</f>
        <v>#REF!</v>
      </c>
      <c r="AB28" s="271">
        <f t="shared" si="0"/>
        <v>45007</v>
      </c>
      <c r="AC28" s="272"/>
      <c r="AD28" s="273">
        <f t="shared" si="1"/>
        <v>0</v>
      </c>
      <c r="AE28" s="290">
        <f t="shared" si="28"/>
        <v>0</v>
      </c>
      <c r="AF28" s="274"/>
      <c r="AG28" s="275"/>
      <c r="AH28" s="273">
        <f t="shared" si="2"/>
        <v>0</v>
      </c>
      <c r="AI28" s="275"/>
      <c r="AJ28" s="273">
        <f t="shared" si="3"/>
        <v>0</v>
      </c>
      <c r="AK28" s="275"/>
      <c r="AL28" s="273">
        <f t="shared" si="4"/>
        <v>0</v>
      </c>
      <c r="AM28" s="275"/>
      <c r="AN28" s="273">
        <f t="shared" si="5"/>
        <v>0</v>
      </c>
      <c r="AO28" s="275"/>
      <c r="AP28" s="273">
        <f t="shared" si="6"/>
        <v>0</v>
      </c>
      <c r="AQ28" s="275"/>
      <c r="AR28" s="273">
        <f t="shared" si="7"/>
        <v>0</v>
      </c>
      <c r="AS28" s="275"/>
      <c r="AT28" s="273">
        <f t="shared" si="8"/>
        <v>0</v>
      </c>
      <c r="AU28" s="275"/>
      <c r="AV28" s="273">
        <f t="shared" si="9"/>
        <v>0</v>
      </c>
      <c r="AW28" s="275"/>
      <c r="AX28" s="273">
        <f t="shared" si="10"/>
        <v>0</v>
      </c>
      <c r="AY28" s="276"/>
      <c r="AZ28" s="273">
        <f t="shared" si="11"/>
        <v>0</v>
      </c>
      <c r="BA28" s="276"/>
      <c r="BB28" s="273">
        <f t="shared" si="12"/>
        <v>0</v>
      </c>
      <c r="BC28" s="276"/>
      <c r="BD28" s="273">
        <f t="shared" si="13"/>
        <v>0</v>
      </c>
      <c r="BE28" s="276"/>
      <c r="BF28" s="273">
        <f t="shared" si="14"/>
        <v>0</v>
      </c>
      <c r="BG28" s="276"/>
      <c r="BH28" s="273">
        <f t="shared" si="15"/>
        <v>0</v>
      </c>
      <c r="BI28" s="276"/>
      <c r="BJ28" s="273">
        <f t="shared" si="16"/>
        <v>0</v>
      </c>
      <c r="BK28" s="276"/>
      <c r="BL28" s="273">
        <f t="shared" si="17"/>
        <v>0</v>
      </c>
      <c r="BM28" s="290"/>
      <c r="BN28" s="273"/>
      <c r="BO28" s="276"/>
      <c r="BP28" s="273">
        <f t="shared" si="18"/>
        <v>0</v>
      </c>
      <c r="BQ28" s="276"/>
      <c r="BR28" s="273">
        <f t="shared" si="19"/>
        <v>0</v>
      </c>
      <c r="BS28" s="276"/>
      <c r="BT28" s="273">
        <f t="shared" si="20"/>
        <v>0</v>
      </c>
      <c r="BU28" s="276"/>
      <c r="BV28" s="273">
        <f t="shared" si="24"/>
        <v>0</v>
      </c>
      <c r="BW28" s="73" t="e">
        <f>#REF!-#REF!</f>
        <v>#REF!</v>
      </c>
      <c r="BX28" s="74">
        <f t="shared" si="25"/>
        <v>0</v>
      </c>
      <c r="BY28" s="49"/>
      <c r="BZ28" s="73">
        <f t="shared" si="21"/>
        <v>0</v>
      </c>
      <c r="CA28" s="74">
        <f t="shared" si="26"/>
        <v>0</v>
      </c>
      <c r="CB28" s="49"/>
      <c r="CC28" s="73">
        <f t="shared" si="22"/>
        <v>0</v>
      </c>
      <c r="CD28" s="74">
        <f t="shared" si="27"/>
        <v>0</v>
      </c>
      <c r="CE28" s="49"/>
      <c r="CF28" s="73">
        <f t="shared" si="23"/>
        <v>0</v>
      </c>
    </row>
    <row r="29" spans="1:84" ht="15" customHeight="1">
      <c r="A29" s="222">
        <f>Solar!A28</f>
        <v>45008</v>
      </c>
      <c r="B29" s="48"/>
      <c r="C29" s="42"/>
      <c r="D29" s="43"/>
      <c r="E29" s="69"/>
      <c r="F29" s="47"/>
      <c r="G29" s="48"/>
      <c r="H29" s="48"/>
      <c r="I29" s="43"/>
      <c r="J29" s="69"/>
      <c r="K29" s="47"/>
      <c r="L29" s="48"/>
      <c r="M29" s="48"/>
      <c r="N29" s="43"/>
      <c r="O29" s="45"/>
      <c r="P29" s="47"/>
      <c r="Q29" s="48"/>
      <c r="R29" s="48"/>
      <c r="S29" s="43"/>
      <c r="T29" s="44"/>
      <c r="U29" s="48"/>
      <c r="V29" s="48"/>
      <c r="W29" s="43"/>
      <c r="X29" s="46" t="e">
        <f>#REF!</f>
        <v>#REF!</v>
      </c>
      <c r="Y29" s="55"/>
      <c r="Z29" s="103" t="e">
        <f>#REF!/Y29</f>
        <v>#REF!</v>
      </c>
      <c r="AB29" s="271">
        <f t="shared" si="0"/>
        <v>45008</v>
      </c>
      <c r="AC29" s="272"/>
      <c r="AD29" s="273">
        <f t="shared" si="1"/>
        <v>0</v>
      </c>
      <c r="AE29" s="290">
        <f t="shared" si="28"/>
        <v>0</v>
      </c>
      <c r="AF29" s="274"/>
      <c r="AG29" s="275"/>
      <c r="AH29" s="273">
        <f t="shared" si="2"/>
        <v>0</v>
      </c>
      <c r="AI29" s="275"/>
      <c r="AJ29" s="273">
        <f t="shared" si="3"/>
        <v>0</v>
      </c>
      <c r="AK29" s="275"/>
      <c r="AL29" s="273">
        <f t="shared" si="4"/>
        <v>0</v>
      </c>
      <c r="AM29" s="275"/>
      <c r="AN29" s="273">
        <f t="shared" si="5"/>
        <v>0</v>
      </c>
      <c r="AO29" s="275"/>
      <c r="AP29" s="273">
        <f t="shared" si="6"/>
        <v>0</v>
      </c>
      <c r="AQ29" s="275"/>
      <c r="AR29" s="273">
        <f t="shared" si="7"/>
        <v>0</v>
      </c>
      <c r="AS29" s="275"/>
      <c r="AT29" s="273">
        <f t="shared" si="8"/>
        <v>0</v>
      </c>
      <c r="AU29" s="275"/>
      <c r="AV29" s="273">
        <f t="shared" si="9"/>
        <v>0</v>
      </c>
      <c r="AW29" s="275"/>
      <c r="AX29" s="273">
        <f t="shared" si="10"/>
        <v>0</v>
      </c>
      <c r="AY29" s="276"/>
      <c r="AZ29" s="273">
        <f t="shared" si="11"/>
        <v>0</v>
      </c>
      <c r="BA29" s="276"/>
      <c r="BB29" s="273">
        <f t="shared" si="12"/>
        <v>0</v>
      </c>
      <c r="BC29" s="276"/>
      <c r="BD29" s="273">
        <f t="shared" si="13"/>
        <v>0</v>
      </c>
      <c r="BE29" s="276"/>
      <c r="BF29" s="273">
        <f t="shared" si="14"/>
        <v>0</v>
      </c>
      <c r="BG29" s="276"/>
      <c r="BH29" s="273">
        <f t="shared" si="15"/>
        <v>0</v>
      </c>
      <c r="BI29" s="276"/>
      <c r="BJ29" s="273">
        <f t="shared" si="16"/>
        <v>0</v>
      </c>
      <c r="BK29" s="276"/>
      <c r="BL29" s="273">
        <f t="shared" si="17"/>
        <v>0</v>
      </c>
      <c r="BM29" s="290"/>
      <c r="BN29" s="273"/>
      <c r="BO29" s="276"/>
      <c r="BP29" s="273">
        <f t="shared" si="18"/>
        <v>0</v>
      </c>
      <c r="BQ29" s="276"/>
      <c r="BR29" s="273">
        <f t="shared" si="19"/>
        <v>0</v>
      </c>
      <c r="BS29" s="276"/>
      <c r="BT29" s="273">
        <f t="shared" si="20"/>
        <v>0</v>
      </c>
      <c r="BU29" s="276"/>
      <c r="BV29" s="273">
        <f t="shared" si="24"/>
        <v>0</v>
      </c>
      <c r="BW29" s="73" t="e">
        <f>#REF!-#REF!</f>
        <v>#REF!</v>
      </c>
      <c r="BX29" s="74">
        <f t="shared" si="25"/>
        <v>0</v>
      </c>
      <c r="BY29" s="49"/>
      <c r="BZ29" s="73">
        <f t="shared" si="21"/>
        <v>0</v>
      </c>
      <c r="CA29" s="74">
        <f t="shared" si="26"/>
        <v>0</v>
      </c>
      <c r="CB29" s="49"/>
      <c r="CC29" s="73">
        <f t="shared" si="22"/>
        <v>0</v>
      </c>
      <c r="CD29" s="74">
        <f t="shared" si="27"/>
        <v>0</v>
      </c>
      <c r="CE29" s="49"/>
      <c r="CF29" s="73">
        <f t="shared" si="23"/>
        <v>0</v>
      </c>
    </row>
    <row r="30" spans="1:84" ht="14.25" customHeight="1">
      <c r="A30" s="222">
        <f>Solar!A29</f>
        <v>45009</v>
      </c>
      <c r="B30" s="48"/>
      <c r="C30" s="42"/>
      <c r="D30" s="43"/>
      <c r="E30" s="69"/>
      <c r="F30" s="47"/>
      <c r="G30" s="48"/>
      <c r="H30" s="48"/>
      <c r="I30" s="43"/>
      <c r="J30" s="69"/>
      <c r="K30" s="47"/>
      <c r="L30" s="48"/>
      <c r="M30" s="48"/>
      <c r="N30" s="43"/>
      <c r="O30" s="45"/>
      <c r="P30" s="47"/>
      <c r="Q30" s="48"/>
      <c r="R30" s="48"/>
      <c r="S30" s="43"/>
      <c r="T30" s="44"/>
      <c r="U30" s="48"/>
      <c r="V30" s="48"/>
      <c r="W30" s="43"/>
      <c r="X30" s="46" t="e">
        <f>#REF!</f>
        <v>#REF!</v>
      </c>
      <c r="Y30" s="55"/>
      <c r="Z30" s="103" t="e">
        <f>#REF!/Y30</f>
        <v>#REF!</v>
      </c>
      <c r="AB30" s="271">
        <f t="shared" si="0"/>
        <v>45009</v>
      </c>
      <c r="AC30" s="272"/>
      <c r="AD30" s="273">
        <f t="shared" si="1"/>
        <v>0</v>
      </c>
      <c r="AE30" s="290">
        <f t="shared" si="28"/>
        <v>0</v>
      </c>
      <c r="AF30" s="274"/>
      <c r="AG30" s="275"/>
      <c r="AH30" s="273">
        <f t="shared" si="2"/>
        <v>0</v>
      </c>
      <c r="AI30" s="275"/>
      <c r="AJ30" s="273">
        <f t="shared" si="3"/>
        <v>0</v>
      </c>
      <c r="AK30" s="275"/>
      <c r="AL30" s="273">
        <f t="shared" si="4"/>
        <v>0</v>
      </c>
      <c r="AM30" s="275"/>
      <c r="AN30" s="273">
        <f t="shared" si="5"/>
        <v>0</v>
      </c>
      <c r="AO30" s="275"/>
      <c r="AP30" s="273">
        <f t="shared" si="6"/>
        <v>0</v>
      </c>
      <c r="AQ30" s="275"/>
      <c r="AR30" s="273">
        <f t="shared" si="7"/>
        <v>0</v>
      </c>
      <c r="AS30" s="275"/>
      <c r="AT30" s="273">
        <f t="shared" si="8"/>
        <v>0</v>
      </c>
      <c r="AU30" s="275"/>
      <c r="AV30" s="273">
        <f t="shared" si="9"/>
        <v>0</v>
      </c>
      <c r="AW30" s="275"/>
      <c r="AX30" s="273">
        <f t="shared" si="10"/>
        <v>0</v>
      </c>
      <c r="AY30" s="276"/>
      <c r="AZ30" s="273">
        <f t="shared" si="11"/>
        <v>0</v>
      </c>
      <c r="BA30" s="276"/>
      <c r="BB30" s="273">
        <f t="shared" si="12"/>
        <v>0</v>
      </c>
      <c r="BC30" s="276"/>
      <c r="BD30" s="273">
        <f t="shared" si="13"/>
        <v>0</v>
      </c>
      <c r="BE30" s="276"/>
      <c r="BF30" s="273">
        <f t="shared" si="14"/>
        <v>0</v>
      </c>
      <c r="BG30" s="276"/>
      <c r="BH30" s="273">
        <f t="shared" si="15"/>
        <v>0</v>
      </c>
      <c r="BI30" s="276"/>
      <c r="BJ30" s="273">
        <f t="shared" si="16"/>
        <v>0</v>
      </c>
      <c r="BK30" s="276"/>
      <c r="BL30" s="273">
        <f t="shared" si="17"/>
        <v>0</v>
      </c>
      <c r="BM30" s="290"/>
      <c r="BN30" s="273"/>
      <c r="BO30" s="276"/>
      <c r="BP30" s="273">
        <f t="shared" si="18"/>
        <v>0</v>
      </c>
      <c r="BQ30" s="276"/>
      <c r="BR30" s="273">
        <f t="shared" si="19"/>
        <v>0</v>
      </c>
      <c r="BS30" s="276"/>
      <c r="BT30" s="273">
        <f t="shared" si="20"/>
        <v>0</v>
      </c>
      <c r="BU30" s="276"/>
      <c r="BV30" s="273">
        <f t="shared" si="24"/>
        <v>0</v>
      </c>
      <c r="BW30" s="73" t="e">
        <f>#REF!-#REF!</f>
        <v>#REF!</v>
      </c>
      <c r="BX30" s="74">
        <f t="shared" si="25"/>
        <v>0</v>
      </c>
      <c r="BY30" s="49"/>
      <c r="BZ30" s="73">
        <f t="shared" si="21"/>
        <v>0</v>
      </c>
      <c r="CA30" s="74">
        <f t="shared" si="26"/>
        <v>0</v>
      </c>
      <c r="CB30" s="49"/>
      <c r="CC30" s="73">
        <f t="shared" si="22"/>
        <v>0</v>
      </c>
      <c r="CD30" s="74">
        <f t="shared" si="27"/>
        <v>0</v>
      </c>
      <c r="CE30" s="49"/>
      <c r="CF30" s="73">
        <f t="shared" si="23"/>
        <v>0</v>
      </c>
    </row>
    <row r="31" spans="1:84" ht="15" customHeight="1">
      <c r="A31" s="222">
        <f>Solar!A30</f>
        <v>45010</v>
      </c>
      <c r="B31" s="50"/>
      <c r="C31" s="50"/>
      <c r="D31" s="43"/>
      <c r="E31" s="69"/>
      <c r="F31" s="47"/>
      <c r="G31" s="50"/>
      <c r="H31" s="50"/>
      <c r="I31" s="43"/>
      <c r="J31" s="69"/>
      <c r="K31" s="47"/>
      <c r="L31" s="50"/>
      <c r="M31" s="50"/>
      <c r="N31" s="43"/>
      <c r="O31" s="45"/>
      <c r="P31" s="47"/>
      <c r="Q31" s="50"/>
      <c r="R31" s="50"/>
      <c r="S31" s="43"/>
      <c r="T31" s="44"/>
      <c r="U31" s="50"/>
      <c r="V31" s="50"/>
      <c r="W31" s="43"/>
      <c r="X31" s="46" t="e">
        <f>#REF!</f>
        <v>#REF!</v>
      </c>
      <c r="Y31" s="55"/>
      <c r="Z31" s="103" t="e">
        <f>#REF!/Y31</f>
        <v>#REF!</v>
      </c>
      <c r="AB31" s="271">
        <f t="shared" si="0"/>
        <v>45010</v>
      </c>
      <c r="AC31" s="272"/>
      <c r="AD31" s="273">
        <f t="shared" si="1"/>
        <v>0</v>
      </c>
      <c r="AE31" s="290">
        <f t="shared" si="28"/>
        <v>0</v>
      </c>
      <c r="AF31" s="274"/>
      <c r="AG31" s="275"/>
      <c r="AH31" s="273">
        <f t="shared" si="2"/>
        <v>0</v>
      </c>
      <c r="AI31" s="275"/>
      <c r="AJ31" s="273">
        <f t="shared" si="3"/>
        <v>0</v>
      </c>
      <c r="AK31" s="275"/>
      <c r="AL31" s="273">
        <f t="shared" si="4"/>
        <v>0</v>
      </c>
      <c r="AM31" s="275"/>
      <c r="AN31" s="273">
        <f t="shared" si="5"/>
        <v>0</v>
      </c>
      <c r="AO31" s="275"/>
      <c r="AP31" s="273">
        <f t="shared" si="6"/>
        <v>0</v>
      </c>
      <c r="AQ31" s="275"/>
      <c r="AR31" s="273">
        <f t="shared" si="7"/>
        <v>0</v>
      </c>
      <c r="AS31" s="275"/>
      <c r="AT31" s="273">
        <f t="shared" si="8"/>
        <v>0</v>
      </c>
      <c r="AU31" s="275"/>
      <c r="AV31" s="273">
        <f t="shared" si="9"/>
        <v>0</v>
      </c>
      <c r="AW31" s="275"/>
      <c r="AX31" s="273">
        <f t="shared" si="10"/>
        <v>0</v>
      </c>
      <c r="AY31" s="276"/>
      <c r="AZ31" s="273">
        <f t="shared" si="11"/>
        <v>0</v>
      </c>
      <c r="BA31" s="276"/>
      <c r="BB31" s="273">
        <f t="shared" si="12"/>
        <v>0</v>
      </c>
      <c r="BC31" s="276"/>
      <c r="BD31" s="273">
        <f t="shared" si="13"/>
        <v>0</v>
      </c>
      <c r="BE31" s="276"/>
      <c r="BF31" s="273">
        <f t="shared" si="14"/>
        <v>0</v>
      </c>
      <c r="BG31" s="276"/>
      <c r="BH31" s="273">
        <f t="shared" si="15"/>
        <v>0</v>
      </c>
      <c r="BI31" s="276"/>
      <c r="BJ31" s="273">
        <f t="shared" si="16"/>
        <v>0</v>
      </c>
      <c r="BK31" s="276"/>
      <c r="BL31" s="273">
        <f t="shared" si="17"/>
        <v>0</v>
      </c>
      <c r="BM31" s="290"/>
      <c r="BN31" s="273"/>
      <c r="BO31" s="276"/>
      <c r="BP31" s="273">
        <f t="shared" si="18"/>
        <v>0</v>
      </c>
      <c r="BQ31" s="276"/>
      <c r="BR31" s="273">
        <f t="shared" si="19"/>
        <v>0</v>
      </c>
      <c r="BS31" s="276"/>
      <c r="BT31" s="273">
        <f t="shared" si="20"/>
        <v>0</v>
      </c>
      <c r="BU31" s="276"/>
      <c r="BV31" s="273">
        <f t="shared" si="24"/>
        <v>0</v>
      </c>
      <c r="BW31" s="73" t="e">
        <f>#REF!-#REF!</f>
        <v>#REF!</v>
      </c>
      <c r="BX31" s="74">
        <f t="shared" si="25"/>
        <v>0</v>
      </c>
      <c r="BY31" s="49"/>
      <c r="BZ31" s="73">
        <f t="shared" si="21"/>
        <v>0</v>
      </c>
      <c r="CA31" s="74">
        <f t="shared" si="26"/>
        <v>0</v>
      </c>
      <c r="CB31" s="49"/>
      <c r="CC31" s="73">
        <f t="shared" si="22"/>
        <v>0</v>
      </c>
      <c r="CD31" s="74">
        <f t="shared" si="27"/>
        <v>0</v>
      </c>
      <c r="CE31" s="49"/>
      <c r="CF31" s="73">
        <f t="shared" si="23"/>
        <v>0</v>
      </c>
    </row>
    <row r="32" spans="1:84" ht="15" customHeight="1">
      <c r="A32" s="222">
        <f>Solar!A31</f>
        <v>45011</v>
      </c>
      <c r="B32" s="48"/>
      <c r="C32" s="48"/>
      <c r="D32" s="43"/>
      <c r="E32" s="69"/>
      <c r="F32" s="47"/>
      <c r="G32" s="48"/>
      <c r="H32" s="48"/>
      <c r="I32" s="43"/>
      <c r="J32" s="69"/>
      <c r="K32" s="47"/>
      <c r="L32" s="48"/>
      <c r="M32" s="48"/>
      <c r="N32" s="43"/>
      <c r="O32" s="45"/>
      <c r="P32" s="47"/>
      <c r="Q32" s="48"/>
      <c r="R32" s="48"/>
      <c r="S32" s="43"/>
      <c r="T32" s="44"/>
      <c r="U32" s="48"/>
      <c r="V32" s="48"/>
      <c r="W32" s="43"/>
      <c r="X32" s="46" t="e">
        <f>#REF!</f>
        <v>#REF!</v>
      </c>
      <c r="Y32" s="55"/>
      <c r="Z32" s="103" t="e">
        <f>#REF!/Y32</f>
        <v>#REF!</v>
      </c>
      <c r="AB32" s="271">
        <f t="shared" si="0"/>
        <v>45011</v>
      </c>
      <c r="AC32" s="272"/>
      <c r="AD32" s="273">
        <f t="shared" si="1"/>
        <v>0</v>
      </c>
      <c r="AE32" s="290">
        <f t="shared" si="28"/>
        <v>0</v>
      </c>
      <c r="AF32" s="274"/>
      <c r="AG32" s="275"/>
      <c r="AH32" s="273">
        <f t="shared" si="2"/>
        <v>0</v>
      </c>
      <c r="AI32" s="275"/>
      <c r="AJ32" s="273">
        <f t="shared" si="3"/>
        <v>0</v>
      </c>
      <c r="AK32" s="275"/>
      <c r="AL32" s="273">
        <f t="shared" si="4"/>
        <v>0</v>
      </c>
      <c r="AM32" s="275"/>
      <c r="AN32" s="273">
        <f t="shared" si="5"/>
        <v>0</v>
      </c>
      <c r="AO32" s="275"/>
      <c r="AP32" s="273">
        <f t="shared" si="6"/>
        <v>0</v>
      </c>
      <c r="AQ32" s="275"/>
      <c r="AR32" s="273">
        <f t="shared" si="7"/>
        <v>0</v>
      </c>
      <c r="AS32" s="275"/>
      <c r="AT32" s="273">
        <f t="shared" si="8"/>
        <v>0</v>
      </c>
      <c r="AU32" s="275"/>
      <c r="AV32" s="273">
        <f t="shared" si="9"/>
        <v>0</v>
      </c>
      <c r="AW32" s="275"/>
      <c r="AX32" s="273">
        <f t="shared" si="10"/>
        <v>0</v>
      </c>
      <c r="AY32" s="276"/>
      <c r="AZ32" s="273">
        <f t="shared" si="11"/>
        <v>0</v>
      </c>
      <c r="BA32" s="276"/>
      <c r="BB32" s="273">
        <f t="shared" si="12"/>
        <v>0</v>
      </c>
      <c r="BC32" s="276"/>
      <c r="BD32" s="273">
        <f t="shared" si="13"/>
        <v>0</v>
      </c>
      <c r="BE32" s="276"/>
      <c r="BF32" s="273">
        <f t="shared" si="14"/>
        <v>0</v>
      </c>
      <c r="BG32" s="276"/>
      <c r="BH32" s="273">
        <f t="shared" si="15"/>
        <v>0</v>
      </c>
      <c r="BI32" s="276"/>
      <c r="BJ32" s="273">
        <f t="shared" si="16"/>
        <v>0</v>
      </c>
      <c r="BK32" s="276"/>
      <c r="BL32" s="273">
        <f t="shared" si="17"/>
        <v>0</v>
      </c>
      <c r="BM32" s="290"/>
      <c r="BN32" s="273"/>
      <c r="BO32" s="276"/>
      <c r="BP32" s="273">
        <f t="shared" si="18"/>
        <v>0</v>
      </c>
      <c r="BQ32" s="276"/>
      <c r="BR32" s="273">
        <f t="shared" si="19"/>
        <v>0</v>
      </c>
      <c r="BS32" s="276"/>
      <c r="BT32" s="273">
        <f t="shared" si="20"/>
        <v>0</v>
      </c>
      <c r="BU32" s="276"/>
      <c r="BV32" s="273">
        <f t="shared" si="24"/>
        <v>0</v>
      </c>
      <c r="BW32" s="73" t="e">
        <f>#REF!-#REF!</f>
        <v>#REF!</v>
      </c>
      <c r="BX32" s="74">
        <f t="shared" si="25"/>
        <v>0</v>
      </c>
      <c r="BY32" s="49"/>
      <c r="BZ32" s="73">
        <f t="shared" si="21"/>
        <v>0</v>
      </c>
      <c r="CA32" s="74">
        <f t="shared" si="26"/>
        <v>0</v>
      </c>
      <c r="CB32" s="49"/>
      <c r="CC32" s="73">
        <f t="shared" si="22"/>
        <v>0</v>
      </c>
      <c r="CD32" s="74">
        <f t="shared" si="27"/>
        <v>0</v>
      </c>
      <c r="CE32" s="49"/>
      <c r="CF32" s="73">
        <f t="shared" si="23"/>
        <v>0</v>
      </c>
    </row>
    <row r="33" spans="1:84" ht="15" customHeight="1">
      <c r="A33" s="222">
        <f>Solar!A32</f>
        <v>45012</v>
      </c>
      <c r="B33" s="48"/>
      <c r="C33" s="48"/>
      <c r="D33" s="43"/>
      <c r="E33" s="69"/>
      <c r="F33" s="47"/>
      <c r="G33" s="48"/>
      <c r="H33" s="48"/>
      <c r="I33" s="43"/>
      <c r="J33" s="69"/>
      <c r="K33" s="47"/>
      <c r="L33" s="48"/>
      <c r="M33" s="48"/>
      <c r="N33" s="43"/>
      <c r="O33" s="45"/>
      <c r="P33" s="47"/>
      <c r="Q33" s="48"/>
      <c r="R33" s="48"/>
      <c r="S33" s="43"/>
      <c r="T33" s="44"/>
      <c r="U33" s="48"/>
      <c r="V33" s="48"/>
      <c r="W33" s="43"/>
      <c r="X33" s="46" t="e">
        <f>#REF!</f>
        <v>#REF!</v>
      </c>
      <c r="Y33" s="55"/>
      <c r="Z33" s="103" t="e">
        <f>#REF!/Y33</f>
        <v>#REF!</v>
      </c>
      <c r="AB33" s="271">
        <f t="shared" si="0"/>
        <v>45012</v>
      </c>
      <c r="AC33" s="272"/>
      <c r="AD33" s="273">
        <f t="shared" si="1"/>
        <v>0</v>
      </c>
      <c r="AE33" s="290">
        <f t="shared" si="28"/>
        <v>0</v>
      </c>
      <c r="AF33" s="274"/>
      <c r="AG33" s="275"/>
      <c r="AH33" s="273">
        <f t="shared" si="2"/>
        <v>0</v>
      </c>
      <c r="AI33" s="275"/>
      <c r="AJ33" s="273">
        <f t="shared" si="3"/>
        <v>0</v>
      </c>
      <c r="AK33" s="275"/>
      <c r="AL33" s="273">
        <f t="shared" si="4"/>
        <v>0</v>
      </c>
      <c r="AM33" s="275"/>
      <c r="AN33" s="273">
        <f t="shared" si="5"/>
        <v>0</v>
      </c>
      <c r="AO33" s="275"/>
      <c r="AP33" s="273">
        <f t="shared" si="6"/>
        <v>0</v>
      </c>
      <c r="AQ33" s="275"/>
      <c r="AR33" s="273">
        <f t="shared" si="7"/>
        <v>0</v>
      </c>
      <c r="AS33" s="275"/>
      <c r="AT33" s="273">
        <f t="shared" si="8"/>
        <v>0</v>
      </c>
      <c r="AU33" s="275"/>
      <c r="AV33" s="273">
        <f t="shared" si="9"/>
        <v>0</v>
      </c>
      <c r="AW33" s="275"/>
      <c r="AX33" s="273">
        <f t="shared" si="10"/>
        <v>0</v>
      </c>
      <c r="AY33" s="276"/>
      <c r="AZ33" s="273">
        <f t="shared" si="11"/>
        <v>0</v>
      </c>
      <c r="BA33" s="276"/>
      <c r="BB33" s="273">
        <f t="shared" si="12"/>
        <v>0</v>
      </c>
      <c r="BC33" s="276"/>
      <c r="BD33" s="273">
        <f t="shared" si="13"/>
        <v>0</v>
      </c>
      <c r="BE33" s="276"/>
      <c r="BF33" s="273">
        <f t="shared" si="14"/>
        <v>0</v>
      </c>
      <c r="BG33" s="276"/>
      <c r="BH33" s="273">
        <f t="shared" si="15"/>
        <v>0</v>
      </c>
      <c r="BI33" s="276"/>
      <c r="BJ33" s="273">
        <f t="shared" si="16"/>
        <v>0</v>
      </c>
      <c r="BK33" s="276"/>
      <c r="BL33" s="273">
        <f t="shared" si="17"/>
        <v>0</v>
      </c>
      <c r="BM33" s="290"/>
      <c r="BN33" s="273"/>
      <c r="BO33" s="276"/>
      <c r="BP33" s="273">
        <f t="shared" si="18"/>
        <v>0</v>
      </c>
      <c r="BQ33" s="276"/>
      <c r="BR33" s="273">
        <f t="shared" si="19"/>
        <v>0</v>
      </c>
      <c r="BS33" s="276"/>
      <c r="BT33" s="273">
        <f t="shared" si="20"/>
        <v>0</v>
      </c>
      <c r="BU33" s="276"/>
      <c r="BV33" s="273">
        <f t="shared" si="24"/>
        <v>0</v>
      </c>
      <c r="BW33" s="73" t="e">
        <f>#REF!-#REF!</f>
        <v>#REF!</v>
      </c>
      <c r="BX33" s="74">
        <f t="shared" si="25"/>
        <v>0</v>
      </c>
      <c r="BY33" s="49"/>
      <c r="BZ33" s="73">
        <f t="shared" si="21"/>
        <v>0</v>
      </c>
      <c r="CA33" s="74">
        <f t="shared" si="26"/>
        <v>0</v>
      </c>
      <c r="CB33" s="49"/>
      <c r="CC33" s="73">
        <f t="shared" si="22"/>
        <v>0</v>
      </c>
      <c r="CD33" s="74">
        <f t="shared" si="27"/>
        <v>0</v>
      </c>
      <c r="CE33" s="49"/>
      <c r="CF33" s="73">
        <f t="shared" si="23"/>
        <v>0</v>
      </c>
    </row>
    <row r="34" spans="1:84" ht="15" customHeight="1">
      <c r="A34" s="222">
        <f>Solar!A33</f>
        <v>45013</v>
      </c>
      <c r="B34" s="48"/>
      <c r="C34" s="48"/>
      <c r="D34" s="43"/>
      <c r="E34" s="69"/>
      <c r="F34" s="47"/>
      <c r="G34" s="48"/>
      <c r="H34" s="48"/>
      <c r="I34" s="43"/>
      <c r="J34" s="69"/>
      <c r="K34" s="47"/>
      <c r="L34" s="48"/>
      <c r="M34" s="48"/>
      <c r="N34" s="43"/>
      <c r="O34" s="45"/>
      <c r="P34" s="47"/>
      <c r="Q34" s="48"/>
      <c r="R34" s="48"/>
      <c r="S34" s="43"/>
      <c r="T34" s="44"/>
      <c r="U34" s="48"/>
      <c r="V34" s="48"/>
      <c r="W34" s="43"/>
      <c r="X34" s="46" t="e">
        <f>#REF!</f>
        <v>#REF!</v>
      </c>
      <c r="Y34" s="55"/>
      <c r="Z34" s="103" t="e">
        <f>#REF!/Y34</f>
        <v>#REF!</v>
      </c>
      <c r="AB34" s="271">
        <f t="shared" si="0"/>
        <v>45013</v>
      </c>
      <c r="AC34" s="272"/>
      <c r="AD34" s="273">
        <f t="shared" si="1"/>
        <v>0</v>
      </c>
      <c r="AE34" s="290">
        <f t="shared" si="28"/>
        <v>0</v>
      </c>
      <c r="AF34" s="274"/>
      <c r="AG34" s="275"/>
      <c r="AH34" s="273">
        <f t="shared" si="2"/>
        <v>0</v>
      </c>
      <c r="AI34" s="275"/>
      <c r="AJ34" s="273">
        <f t="shared" si="3"/>
        <v>0</v>
      </c>
      <c r="AK34" s="275"/>
      <c r="AL34" s="273">
        <f t="shared" si="4"/>
        <v>0</v>
      </c>
      <c r="AM34" s="275"/>
      <c r="AN34" s="273">
        <f t="shared" si="5"/>
        <v>0</v>
      </c>
      <c r="AO34" s="275"/>
      <c r="AP34" s="273">
        <f t="shared" si="6"/>
        <v>0</v>
      </c>
      <c r="AQ34" s="275"/>
      <c r="AR34" s="273">
        <f t="shared" si="7"/>
        <v>0</v>
      </c>
      <c r="AS34" s="275"/>
      <c r="AT34" s="273">
        <f t="shared" si="8"/>
        <v>0</v>
      </c>
      <c r="AU34" s="275"/>
      <c r="AV34" s="273">
        <f t="shared" si="9"/>
        <v>0</v>
      </c>
      <c r="AW34" s="275"/>
      <c r="AX34" s="273">
        <f t="shared" si="10"/>
        <v>0</v>
      </c>
      <c r="AY34" s="276"/>
      <c r="AZ34" s="273">
        <f t="shared" si="11"/>
        <v>0</v>
      </c>
      <c r="BA34" s="276"/>
      <c r="BB34" s="273">
        <f t="shared" si="12"/>
        <v>0</v>
      </c>
      <c r="BC34" s="276"/>
      <c r="BD34" s="273">
        <f t="shared" si="13"/>
        <v>0</v>
      </c>
      <c r="BE34" s="276"/>
      <c r="BF34" s="273">
        <f t="shared" si="14"/>
        <v>0</v>
      </c>
      <c r="BG34" s="276"/>
      <c r="BH34" s="273">
        <f t="shared" si="15"/>
        <v>0</v>
      </c>
      <c r="BI34" s="276"/>
      <c r="BJ34" s="273">
        <f t="shared" si="16"/>
        <v>0</v>
      </c>
      <c r="BK34" s="276"/>
      <c r="BL34" s="273">
        <f t="shared" si="17"/>
        <v>0</v>
      </c>
      <c r="BM34" s="290"/>
      <c r="BN34" s="273"/>
      <c r="BO34" s="276"/>
      <c r="BP34" s="273">
        <f t="shared" si="18"/>
        <v>0</v>
      </c>
      <c r="BQ34" s="276"/>
      <c r="BR34" s="273">
        <f t="shared" si="19"/>
        <v>0</v>
      </c>
      <c r="BS34" s="276"/>
      <c r="BT34" s="273">
        <f t="shared" si="20"/>
        <v>0</v>
      </c>
      <c r="BU34" s="276"/>
      <c r="BV34" s="273">
        <f t="shared" si="24"/>
        <v>0</v>
      </c>
      <c r="BW34" s="73" t="e">
        <f>#REF!-#REF!</f>
        <v>#REF!</v>
      </c>
      <c r="BX34" s="74">
        <f t="shared" si="25"/>
        <v>0</v>
      </c>
      <c r="BY34" s="49"/>
      <c r="BZ34" s="73">
        <f t="shared" si="21"/>
        <v>0</v>
      </c>
      <c r="CA34" s="74">
        <f t="shared" si="26"/>
        <v>0</v>
      </c>
      <c r="CB34" s="49"/>
      <c r="CC34" s="73">
        <f t="shared" si="22"/>
        <v>0</v>
      </c>
      <c r="CD34" s="74">
        <f t="shared" si="27"/>
        <v>0</v>
      </c>
      <c r="CE34" s="49"/>
      <c r="CF34" s="73">
        <f t="shared" si="23"/>
        <v>0</v>
      </c>
    </row>
    <row r="35" spans="1:84" ht="15">
      <c r="A35" s="222">
        <f>Solar!A34</f>
        <v>45014</v>
      </c>
      <c r="B35" s="48"/>
      <c r="C35" s="48"/>
      <c r="D35" s="43"/>
      <c r="E35" s="69"/>
      <c r="F35" s="47"/>
      <c r="G35" s="48"/>
      <c r="H35" s="48"/>
      <c r="I35" s="43"/>
      <c r="J35" s="69"/>
      <c r="K35" s="47"/>
      <c r="L35" s="48"/>
      <c r="M35" s="48"/>
      <c r="N35" s="43"/>
      <c r="O35" s="45"/>
      <c r="P35" s="47"/>
      <c r="Q35" s="48"/>
      <c r="R35" s="48"/>
      <c r="S35" s="43"/>
      <c r="T35" s="44"/>
      <c r="U35" s="48"/>
      <c r="V35" s="48"/>
      <c r="W35" s="43"/>
      <c r="X35" s="46" t="e">
        <f>#REF!</f>
        <v>#REF!</v>
      </c>
      <c r="Y35" s="55"/>
      <c r="Z35" s="103" t="e">
        <f>#REF!/Y35</f>
        <v>#REF!</v>
      </c>
      <c r="AB35" s="271">
        <f t="shared" si="0"/>
        <v>45014</v>
      </c>
      <c r="AC35" s="272"/>
      <c r="AD35" s="273">
        <f t="shared" si="1"/>
        <v>0</v>
      </c>
      <c r="AE35" s="290">
        <f t="shared" ref="AE35:AE37" si="29">AD35-AD34</f>
        <v>0</v>
      </c>
      <c r="AF35" s="274"/>
      <c r="AG35" s="275"/>
      <c r="AH35" s="273">
        <f t="shared" si="2"/>
        <v>0</v>
      </c>
      <c r="AI35" s="275"/>
      <c r="AJ35" s="273">
        <f t="shared" si="3"/>
        <v>0</v>
      </c>
      <c r="AK35" s="275"/>
      <c r="AL35" s="273">
        <f t="shared" si="4"/>
        <v>0</v>
      </c>
      <c r="AM35" s="275"/>
      <c r="AN35" s="273">
        <f t="shared" si="5"/>
        <v>0</v>
      </c>
      <c r="AO35" s="275"/>
      <c r="AP35" s="273">
        <f t="shared" si="6"/>
        <v>0</v>
      </c>
      <c r="AQ35" s="275"/>
      <c r="AR35" s="273">
        <f t="shared" si="7"/>
        <v>0</v>
      </c>
      <c r="AS35" s="275"/>
      <c r="AT35" s="273">
        <f t="shared" si="8"/>
        <v>0</v>
      </c>
      <c r="AU35" s="275"/>
      <c r="AV35" s="273">
        <f t="shared" si="9"/>
        <v>0</v>
      </c>
      <c r="AW35" s="275"/>
      <c r="AX35" s="273">
        <f t="shared" si="10"/>
        <v>0</v>
      </c>
      <c r="AY35" s="276"/>
      <c r="AZ35" s="273">
        <f t="shared" si="11"/>
        <v>0</v>
      </c>
      <c r="BA35" s="276"/>
      <c r="BB35" s="273">
        <f t="shared" si="12"/>
        <v>0</v>
      </c>
      <c r="BC35" s="276"/>
      <c r="BD35" s="273">
        <f t="shared" si="13"/>
        <v>0</v>
      </c>
      <c r="BE35" s="276"/>
      <c r="BF35" s="273">
        <f t="shared" si="14"/>
        <v>0</v>
      </c>
      <c r="BG35" s="276"/>
      <c r="BH35" s="273">
        <f t="shared" si="15"/>
        <v>0</v>
      </c>
      <c r="BI35" s="276"/>
      <c r="BJ35" s="273">
        <f t="shared" si="16"/>
        <v>0</v>
      </c>
      <c r="BK35" s="276"/>
      <c r="BL35" s="273">
        <f t="shared" si="17"/>
        <v>0</v>
      </c>
      <c r="BM35" s="290"/>
      <c r="BN35" s="273"/>
      <c r="BO35" s="276"/>
      <c r="BP35" s="273">
        <f t="shared" si="18"/>
        <v>0</v>
      </c>
      <c r="BQ35" s="276"/>
      <c r="BR35" s="273">
        <f t="shared" si="19"/>
        <v>0</v>
      </c>
      <c r="BS35" s="276"/>
      <c r="BT35" s="273">
        <f t="shared" si="20"/>
        <v>0</v>
      </c>
      <c r="BU35" s="276"/>
      <c r="BV35" s="273">
        <f t="shared" si="24"/>
        <v>0</v>
      </c>
    </row>
    <row r="36" spans="1:84" ht="15">
      <c r="A36" s="222">
        <f>Solar!A35</f>
        <v>45015</v>
      </c>
      <c r="B36" s="48"/>
      <c r="C36" s="48"/>
      <c r="D36" s="43"/>
      <c r="E36" s="69"/>
      <c r="F36" s="47"/>
      <c r="G36" s="48"/>
      <c r="H36" s="48"/>
      <c r="I36" s="43"/>
      <c r="J36" s="69"/>
      <c r="K36" s="47"/>
      <c r="L36" s="48"/>
      <c r="M36" s="48"/>
      <c r="N36" s="43"/>
      <c r="O36" s="45"/>
      <c r="P36" s="47"/>
      <c r="Q36" s="48"/>
      <c r="R36" s="48"/>
      <c r="S36" s="43"/>
      <c r="T36" s="44"/>
      <c r="U36" s="48"/>
      <c r="V36" s="48"/>
      <c r="W36" s="43"/>
      <c r="X36" s="46" t="e">
        <f>#REF!</f>
        <v>#REF!</v>
      </c>
      <c r="Y36" s="55"/>
      <c r="Z36" s="103" t="e">
        <f>#REF!/Y36</f>
        <v>#REF!</v>
      </c>
      <c r="AB36" s="271">
        <f t="shared" si="0"/>
        <v>45015</v>
      </c>
      <c r="AC36" s="272"/>
      <c r="AD36" s="273">
        <f t="shared" si="1"/>
        <v>0</v>
      </c>
      <c r="AE36" s="290">
        <f t="shared" si="29"/>
        <v>0</v>
      </c>
      <c r="AF36" s="274"/>
      <c r="AG36" s="275"/>
      <c r="AH36" s="273">
        <f t="shared" si="2"/>
        <v>0</v>
      </c>
      <c r="AI36" s="275"/>
      <c r="AJ36" s="273">
        <f t="shared" si="3"/>
        <v>0</v>
      </c>
      <c r="AK36" s="275"/>
      <c r="AL36" s="273">
        <f t="shared" si="4"/>
        <v>0</v>
      </c>
      <c r="AM36" s="275"/>
      <c r="AN36" s="273">
        <f t="shared" si="5"/>
        <v>0</v>
      </c>
      <c r="AO36" s="275"/>
      <c r="AP36" s="273">
        <f t="shared" si="6"/>
        <v>0</v>
      </c>
      <c r="AQ36" s="275"/>
      <c r="AR36" s="273">
        <f t="shared" si="7"/>
        <v>0</v>
      </c>
      <c r="AS36" s="275"/>
      <c r="AT36" s="273">
        <f t="shared" si="8"/>
        <v>0</v>
      </c>
      <c r="AU36" s="275"/>
      <c r="AV36" s="273">
        <f t="shared" si="9"/>
        <v>0</v>
      </c>
      <c r="AW36" s="275"/>
      <c r="AX36" s="273">
        <f t="shared" si="10"/>
        <v>0</v>
      </c>
      <c r="AY36" s="276"/>
      <c r="AZ36" s="273">
        <f t="shared" si="11"/>
        <v>0</v>
      </c>
      <c r="BA36" s="276"/>
      <c r="BB36" s="273">
        <f t="shared" si="12"/>
        <v>0</v>
      </c>
      <c r="BC36" s="276"/>
      <c r="BD36" s="273">
        <f t="shared" si="13"/>
        <v>0</v>
      </c>
      <c r="BE36" s="276"/>
      <c r="BF36" s="273">
        <f t="shared" si="14"/>
        <v>0</v>
      </c>
      <c r="BG36" s="276"/>
      <c r="BH36" s="273">
        <f t="shared" si="15"/>
        <v>0</v>
      </c>
      <c r="BI36" s="276"/>
      <c r="BJ36" s="273">
        <f t="shared" si="16"/>
        <v>0</v>
      </c>
      <c r="BK36" s="276"/>
      <c r="BL36" s="273">
        <f t="shared" si="17"/>
        <v>0</v>
      </c>
      <c r="BM36" s="290"/>
      <c r="BN36" s="273"/>
      <c r="BO36" s="276"/>
      <c r="BP36" s="273">
        <f t="shared" si="18"/>
        <v>0</v>
      </c>
      <c r="BQ36" s="276"/>
      <c r="BR36" s="273">
        <f t="shared" si="19"/>
        <v>0</v>
      </c>
      <c r="BS36" s="276"/>
      <c r="BT36" s="273">
        <f t="shared" si="20"/>
        <v>0</v>
      </c>
      <c r="BU36" s="276"/>
      <c r="BV36" s="273">
        <f t="shared" si="24"/>
        <v>0</v>
      </c>
    </row>
    <row r="37" spans="1:84" ht="15">
      <c r="A37" s="222">
        <f>Solar!A36</f>
        <v>45016</v>
      </c>
      <c r="B37" s="48"/>
      <c r="C37" s="48"/>
      <c r="D37" s="43"/>
      <c r="E37" s="69"/>
      <c r="F37" s="47"/>
      <c r="G37" s="48"/>
      <c r="H37" s="48"/>
      <c r="I37" s="43"/>
      <c r="J37" s="69"/>
      <c r="K37" s="47"/>
      <c r="L37" s="48"/>
      <c r="M37" s="48"/>
      <c r="N37" s="43"/>
      <c r="O37" s="45"/>
      <c r="P37" s="47"/>
      <c r="Q37" s="48"/>
      <c r="R37" s="48"/>
      <c r="S37" s="43"/>
      <c r="T37" s="44"/>
      <c r="U37" s="48"/>
      <c r="V37" s="48"/>
      <c r="W37" s="43"/>
      <c r="X37" s="46" t="e">
        <f>#REF!</f>
        <v>#REF!</v>
      </c>
      <c r="Y37" s="55"/>
      <c r="Z37" s="103" t="e">
        <f>#REF!/Y37</f>
        <v>#REF!</v>
      </c>
      <c r="AB37" s="277">
        <f t="shared" si="0"/>
        <v>45016</v>
      </c>
      <c r="AC37" s="278"/>
      <c r="AD37" s="282">
        <f t="shared" si="1"/>
        <v>0</v>
      </c>
      <c r="AE37" s="291">
        <f t="shared" si="29"/>
        <v>0</v>
      </c>
      <c r="AF37" s="279"/>
      <c r="AG37" s="280"/>
      <c r="AH37" s="282">
        <f t="shared" si="2"/>
        <v>0</v>
      </c>
      <c r="AI37" s="280"/>
      <c r="AJ37" s="282">
        <f t="shared" si="3"/>
        <v>0</v>
      </c>
      <c r="AK37" s="280"/>
      <c r="AL37" s="282">
        <f t="shared" si="4"/>
        <v>0</v>
      </c>
      <c r="AM37" s="280"/>
      <c r="AN37" s="282">
        <f t="shared" si="5"/>
        <v>0</v>
      </c>
      <c r="AO37" s="280"/>
      <c r="AP37" s="282">
        <f t="shared" si="6"/>
        <v>0</v>
      </c>
      <c r="AQ37" s="280"/>
      <c r="AR37" s="282">
        <f t="shared" si="7"/>
        <v>0</v>
      </c>
      <c r="AS37" s="280"/>
      <c r="AT37" s="282">
        <f t="shared" si="8"/>
        <v>0</v>
      </c>
      <c r="AU37" s="280"/>
      <c r="AV37" s="282">
        <f t="shared" si="9"/>
        <v>0</v>
      </c>
      <c r="AW37" s="280"/>
      <c r="AX37" s="282">
        <f t="shared" si="10"/>
        <v>0</v>
      </c>
      <c r="AY37" s="281"/>
      <c r="AZ37" s="282">
        <f t="shared" si="11"/>
        <v>0</v>
      </c>
      <c r="BA37" s="281"/>
      <c r="BB37" s="282">
        <f t="shared" si="12"/>
        <v>0</v>
      </c>
      <c r="BC37" s="281"/>
      <c r="BD37" s="282">
        <f t="shared" si="13"/>
        <v>0</v>
      </c>
      <c r="BE37" s="281"/>
      <c r="BF37" s="282">
        <f t="shared" si="14"/>
        <v>0</v>
      </c>
      <c r="BG37" s="281"/>
      <c r="BH37" s="282">
        <f t="shared" si="15"/>
        <v>0</v>
      </c>
      <c r="BI37" s="281"/>
      <c r="BJ37" s="282">
        <f t="shared" si="16"/>
        <v>0</v>
      </c>
      <c r="BK37" s="281"/>
      <c r="BL37" s="282">
        <f t="shared" si="17"/>
        <v>0</v>
      </c>
      <c r="BM37" s="291"/>
      <c r="BN37" s="282"/>
      <c r="BO37" s="281"/>
      <c r="BP37" s="282">
        <f t="shared" si="18"/>
        <v>0</v>
      </c>
      <c r="BQ37" s="281"/>
      <c r="BR37" s="282">
        <f t="shared" si="19"/>
        <v>0</v>
      </c>
      <c r="BS37" s="281"/>
      <c r="BT37" s="282">
        <f t="shared" si="20"/>
        <v>0</v>
      </c>
      <c r="BU37" s="281"/>
      <c r="BV37" s="282">
        <f t="shared" si="24"/>
        <v>0</v>
      </c>
    </row>
  </sheetData>
  <mergeCells count="33">
    <mergeCell ref="CA4:CC4"/>
    <mergeCell ref="CD4:CF4"/>
    <mergeCell ref="BO4:BP4"/>
    <mergeCell ref="BQ4:BR4"/>
    <mergeCell ref="BS4:BT4"/>
    <mergeCell ref="BU4:BV4"/>
    <mergeCell ref="BX4:BZ4"/>
    <mergeCell ref="BA4:BB4"/>
    <mergeCell ref="BE4:BF4"/>
    <mergeCell ref="BG4:BH4"/>
    <mergeCell ref="BI4:BJ4"/>
    <mergeCell ref="BK4:BN4"/>
    <mergeCell ref="AQ4:AR4"/>
    <mergeCell ref="AS4:AT4"/>
    <mergeCell ref="AU4:AV4"/>
    <mergeCell ref="AW4:AX4"/>
    <mergeCell ref="AY4:AZ4"/>
    <mergeCell ref="A1:W2"/>
    <mergeCell ref="A3:W3"/>
    <mergeCell ref="AB1:BZ3"/>
    <mergeCell ref="A4:D4"/>
    <mergeCell ref="F4:I4"/>
    <mergeCell ref="K4:N4"/>
    <mergeCell ref="P4:S4"/>
    <mergeCell ref="U4:W4"/>
    <mergeCell ref="X4:Y4"/>
    <mergeCell ref="AB4:AF4"/>
    <mergeCell ref="BC4:BD4"/>
    <mergeCell ref="AG4:AH4"/>
    <mergeCell ref="AI4:AJ4"/>
    <mergeCell ref="AK4:AL4"/>
    <mergeCell ref="AM4:AN4"/>
    <mergeCell ref="AO4:AP4"/>
  </mergeCells>
  <conditionalFormatting sqref="AF6">
    <cfRule type="cellIs" dxfId="48" priority="114" operator="greaterThan">
      <formula>31</formula>
    </cfRule>
  </conditionalFormatting>
  <conditionalFormatting sqref="AH6">
    <cfRule type="cellIs" dxfId="47" priority="113" operator="greaterThan">
      <formula>6</formula>
    </cfRule>
  </conditionalFormatting>
  <conditionalFormatting sqref="AZ6">
    <cfRule type="cellIs" dxfId="46" priority="112" operator="greaterThan">
      <formula>4.5</formula>
    </cfRule>
  </conditionalFormatting>
  <conditionalFormatting sqref="BB6">
    <cfRule type="cellIs" dxfId="45" priority="111" operator="greaterThan">
      <formula>2.5</formula>
    </cfRule>
  </conditionalFormatting>
  <conditionalFormatting sqref="BD6">
    <cfRule type="cellIs" dxfId="44" priority="110" operator="greaterThan">
      <formula>30</formula>
    </cfRule>
  </conditionalFormatting>
  <conditionalFormatting sqref="BF6">
    <cfRule type="cellIs" dxfId="43" priority="109" operator="greaterThan">
      <formula>3</formula>
    </cfRule>
  </conditionalFormatting>
  <conditionalFormatting sqref="BH6">
    <cfRule type="cellIs" dxfId="42" priority="108" operator="greaterThan">
      <formula>1</formula>
    </cfRule>
  </conditionalFormatting>
  <conditionalFormatting sqref="BJ6">
    <cfRule type="cellIs" dxfId="41" priority="107" operator="greaterThan">
      <formula>5</formula>
    </cfRule>
  </conditionalFormatting>
  <conditionalFormatting sqref="BL6">
    <cfRule type="cellIs" dxfId="40" priority="106" operator="greaterThan">
      <formula>4</formula>
    </cfRule>
  </conditionalFormatting>
  <conditionalFormatting sqref="BP6">
    <cfRule type="cellIs" dxfId="39" priority="105" operator="greaterThan">
      <formula>2</formula>
    </cfRule>
  </conditionalFormatting>
  <conditionalFormatting sqref="BR6">
    <cfRule type="cellIs" dxfId="38" priority="104" operator="greaterThan">
      <formula>20</formula>
    </cfRule>
  </conditionalFormatting>
  <conditionalFormatting sqref="BT6">
    <cfRule type="cellIs" dxfId="37" priority="103" operator="greaterThan">
      <formula>2.3</formula>
    </cfRule>
  </conditionalFormatting>
  <conditionalFormatting sqref="BV6">
    <cfRule type="cellIs" dxfId="36" priority="102" operator="greaterThan">
      <formula>2</formula>
    </cfRule>
  </conditionalFormatting>
  <conditionalFormatting sqref="BN6">
    <cfRule type="cellIs" dxfId="35" priority="91" operator="greaterThan">
      <formula>31</formula>
    </cfRule>
  </conditionalFormatting>
  <conditionalFormatting sqref="AJ6">
    <cfRule type="cellIs" dxfId="34" priority="86" operator="greaterThan">
      <formula>10</formula>
    </cfRule>
  </conditionalFormatting>
  <conditionalFormatting sqref="AN6">
    <cfRule type="cellIs" dxfId="33" priority="84" operator="greaterThan">
      <formula>8</formula>
    </cfRule>
  </conditionalFormatting>
  <conditionalFormatting sqref="AF7:AF37">
    <cfRule type="cellIs" dxfId="32" priority="63" operator="greaterThan">
      <formula>31</formula>
    </cfRule>
  </conditionalFormatting>
  <conditionalFormatting sqref="AP6 AR6">
    <cfRule type="cellIs" dxfId="31" priority="82" operator="greaterThan">
      <formula>10</formula>
    </cfRule>
  </conditionalFormatting>
  <conditionalFormatting sqref="AV6">
    <cfRule type="cellIs" dxfId="30" priority="80" operator="greaterThan">
      <formula>2</formula>
    </cfRule>
  </conditionalFormatting>
  <conditionalFormatting sqref="AX6">
    <cfRule type="cellIs" dxfId="29" priority="78" operator="greaterThan">
      <formula>1</formula>
    </cfRule>
  </conditionalFormatting>
  <conditionalFormatting sqref="AD6">
    <cfRule type="cellIs" dxfId="28" priority="75" operator="greaterThanOrEqual">
      <formula>28</formula>
    </cfRule>
  </conditionalFormatting>
  <conditionalFormatting sqref="AL6">
    <cfRule type="cellIs" dxfId="27" priority="74" operator="greaterThanOrEqual">
      <formula>13</formula>
    </cfRule>
  </conditionalFormatting>
  <conditionalFormatting sqref="AT6">
    <cfRule type="cellIs" dxfId="26" priority="73" operator="greaterThanOrEqual">
      <formula>6</formula>
    </cfRule>
  </conditionalFormatting>
  <conditionalFormatting sqref="BW6 BW8:BW34">
    <cfRule type="cellIs" dxfId="25" priority="72" operator="greaterThan">
      <formula>4</formula>
    </cfRule>
  </conditionalFormatting>
  <conditionalFormatting sqref="BZ6 CC6 CF6 CF8:CF34 CC8:CC34 BZ8:BZ34">
    <cfRule type="cellIs" dxfId="24" priority="71" operator="greaterThan">
      <formula>4</formula>
    </cfRule>
  </conditionalFormatting>
  <conditionalFormatting sqref="BN7:BN37">
    <cfRule type="cellIs" dxfId="23" priority="44" operator="greaterThan">
      <formula>31</formula>
    </cfRule>
  </conditionalFormatting>
  <conditionalFormatting sqref="BW7">
    <cfRule type="cellIs" dxfId="22" priority="65" operator="greaterThan">
      <formula>4</formula>
    </cfRule>
  </conditionalFormatting>
  <conditionalFormatting sqref="BZ7 CC7 CF7">
    <cfRule type="cellIs" dxfId="21" priority="64" operator="greaterThan">
      <formula>4</formula>
    </cfRule>
  </conditionalFormatting>
  <conditionalFormatting sqref="AD7:AD37">
    <cfRule type="cellIs" dxfId="20" priority="29" operator="greaterThanOrEqual">
      <formula>28</formula>
    </cfRule>
  </conditionalFormatting>
  <conditionalFormatting sqref="BJ7:BJ37">
    <cfRule type="cellIs" dxfId="19" priority="6" operator="greaterThanOrEqual">
      <formula>28</formula>
    </cfRule>
  </conditionalFormatting>
  <conditionalFormatting sqref="BL7:BL37">
    <cfRule type="cellIs" dxfId="18" priority="5" operator="greaterThanOrEqual">
      <formula>28</formula>
    </cfRule>
  </conditionalFormatting>
  <conditionalFormatting sqref="BV7:BV37">
    <cfRule type="cellIs" dxfId="17" priority="1" operator="greaterThanOrEqual">
      <formula>28</formula>
    </cfRule>
  </conditionalFormatting>
  <conditionalFormatting sqref="AH7:AH37">
    <cfRule type="cellIs" dxfId="16" priority="20" operator="greaterThanOrEqual">
      <formula>28</formula>
    </cfRule>
  </conditionalFormatting>
  <conditionalFormatting sqref="AJ7:AJ37">
    <cfRule type="cellIs" dxfId="15" priority="19" operator="greaterThanOrEqual">
      <formula>28</formula>
    </cfRule>
  </conditionalFormatting>
  <conditionalFormatting sqref="AL7:AL37">
    <cfRule type="cellIs" dxfId="14" priority="18" operator="greaterThanOrEqual">
      <formula>28</formula>
    </cfRule>
  </conditionalFormatting>
  <conditionalFormatting sqref="AN7:AN37">
    <cfRule type="cellIs" dxfId="13" priority="17" operator="greaterThanOrEqual">
      <formula>28</formula>
    </cfRule>
  </conditionalFormatting>
  <conditionalFormatting sqref="AP7:AP37">
    <cfRule type="cellIs" dxfId="12" priority="16" operator="greaterThanOrEqual">
      <formula>28</formula>
    </cfRule>
  </conditionalFormatting>
  <conditionalFormatting sqref="AR7:AR37">
    <cfRule type="cellIs" dxfId="11" priority="15" operator="greaterThanOrEqual">
      <formula>28</formula>
    </cfRule>
  </conditionalFormatting>
  <conditionalFormatting sqref="AT7:AT37">
    <cfRule type="cellIs" dxfId="10" priority="14" operator="greaterThanOrEqual">
      <formula>28</formula>
    </cfRule>
  </conditionalFormatting>
  <conditionalFormatting sqref="AV7:AV37">
    <cfRule type="cellIs" dxfId="9" priority="13" operator="greaterThanOrEqual">
      <formula>28</formula>
    </cfRule>
  </conditionalFormatting>
  <conditionalFormatting sqref="AX7:AX37">
    <cfRule type="cellIs" dxfId="8" priority="12" operator="greaterThanOrEqual">
      <formula>28</formula>
    </cfRule>
  </conditionalFormatting>
  <conditionalFormatting sqref="AZ7:AZ37">
    <cfRule type="cellIs" dxfId="7" priority="11" operator="greaterThanOrEqual">
      <formula>28</formula>
    </cfRule>
  </conditionalFormatting>
  <conditionalFormatting sqref="BB7:BB37">
    <cfRule type="cellIs" dxfId="6" priority="10" operator="greaterThanOrEqual">
      <formula>28</formula>
    </cfRule>
  </conditionalFormatting>
  <conditionalFormatting sqref="BD7:BD37">
    <cfRule type="cellIs" dxfId="5" priority="9" operator="greaterThanOrEqual">
      <formula>28</formula>
    </cfRule>
  </conditionalFormatting>
  <conditionalFormatting sqref="BF7:BF37">
    <cfRule type="cellIs" dxfId="4" priority="8" operator="greaterThanOrEqual">
      <formula>28</formula>
    </cfRule>
  </conditionalFormatting>
  <conditionalFormatting sqref="BH7:BH37">
    <cfRule type="cellIs" dxfId="3" priority="7" operator="greaterThanOrEqual">
      <formula>28</formula>
    </cfRule>
  </conditionalFormatting>
  <conditionalFormatting sqref="BP7:BP37">
    <cfRule type="cellIs" dxfId="2" priority="4" operator="greaterThanOrEqual">
      <formula>28</formula>
    </cfRule>
  </conditionalFormatting>
  <conditionalFormatting sqref="BR7:BR37">
    <cfRule type="cellIs" dxfId="1" priority="3" operator="greaterThanOrEqual">
      <formula>28</formula>
    </cfRule>
  </conditionalFormatting>
  <conditionalFormatting sqref="BT7:BT37">
    <cfRule type="cellIs" dxfId="0" priority="2" operator="greaterThanOrEqual">
      <formula>28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AKE36"/>
  <sheetViews>
    <sheetView zoomScale="92" zoomScaleNormal="92" workbookViewId="0">
      <pane xSplit="1" ySplit="4" topLeftCell="B5" activePane="bottomRight" state="frozen"/>
      <selection pane="bottomRight" activeCell="BF14" sqref="BF14"/>
      <selection pane="bottomLeft" activeCell="A5" sqref="A5"/>
      <selection pane="topRight" activeCell="C1" sqref="C1"/>
    </sheetView>
  </sheetViews>
  <sheetFormatPr defaultColWidth="15.7109375" defaultRowHeight="12.75"/>
  <cols>
    <col min="2" max="3" width="15.7109375" style="5"/>
    <col min="4" max="4" width="17.5703125" style="5" customWidth="1"/>
    <col min="5" max="5" width="15.7109375" style="5"/>
    <col min="6" max="6" width="18" style="5" customWidth="1"/>
    <col min="8" max="8" width="17.7109375" style="5" customWidth="1"/>
    <col min="10" max="10" width="15.7109375" style="5"/>
    <col min="12" max="12" width="15.7109375" style="5"/>
    <col min="14" max="14" width="15.7109375" style="5"/>
    <col min="16" max="16" width="15.7109375" style="5"/>
    <col min="18" max="18" width="15.7109375" style="5"/>
    <col min="20" max="20" width="15.7109375" style="5"/>
    <col min="22" max="22" width="15.7109375" style="5"/>
    <col min="24" max="24" width="15.7109375" style="5"/>
    <col min="26" max="26" width="15.7109375" style="5"/>
    <col min="28" max="28" width="15.7109375" style="5"/>
    <col min="30" max="30" width="15.7109375" style="5"/>
    <col min="32" max="32" width="15.7109375" style="5"/>
    <col min="34" max="34" width="15.7109375" style="5"/>
    <col min="38" max="38" width="17.42578125" customWidth="1"/>
    <col min="60" max="60" width="15.7109375" style="92"/>
  </cols>
  <sheetData>
    <row r="1" spans="1:60" s="1" customFormat="1" ht="23.25" customHeight="1">
      <c r="A1" s="343" t="s">
        <v>168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  <c r="AB1" s="343"/>
      <c r="AC1" s="343"/>
      <c r="AD1" s="343"/>
      <c r="AE1" s="343"/>
      <c r="AF1" s="343"/>
      <c r="AG1" s="343"/>
      <c r="AH1" s="343"/>
      <c r="AI1" s="343"/>
      <c r="AJ1" s="343"/>
      <c r="AK1" s="343"/>
      <c r="AL1" s="343"/>
      <c r="AM1" s="343"/>
      <c r="AN1" s="343"/>
      <c r="AO1" s="343"/>
      <c r="AP1" s="343"/>
      <c r="AQ1" s="343"/>
      <c r="AR1" s="343"/>
      <c r="AS1" s="343"/>
      <c r="AT1" s="343"/>
      <c r="AU1" s="343"/>
      <c r="AV1" s="343"/>
      <c r="AW1" s="343"/>
      <c r="AX1" s="343"/>
      <c r="AY1" s="343"/>
      <c r="AZ1" s="343"/>
      <c r="BA1" s="343"/>
      <c r="BB1" s="343"/>
      <c r="BC1" s="343"/>
      <c r="BD1" s="343"/>
      <c r="BE1" s="343"/>
      <c r="BF1" s="343"/>
      <c r="BG1" s="343"/>
      <c r="BH1" s="91"/>
    </row>
    <row r="2" spans="1:60" ht="23.25" customHeight="1" thickBot="1">
      <c r="A2" s="344"/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4"/>
      <c r="AO2" s="344"/>
      <c r="AP2" s="344"/>
      <c r="AQ2" s="344"/>
      <c r="AR2" s="344"/>
      <c r="AS2" s="344"/>
      <c r="AT2" s="344"/>
      <c r="AU2" s="344"/>
      <c r="AV2" s="344"/>
      <c r="AW2" s="344"/>
      <c r="AX2" s="344"/>
      <c r="AY2" s="344"/>
      <c r="AZ2" s="344"/>
      <c r="BA2" s="344"/>
      <c r="BB2" s="344"/>
      <c r="BC2" s="344"/>
      <c r="BD2" s="344"/>
      <c r="BE2" s="344"/>
      <c r="BF2" s="344"/>
      <c r="BG2" s="344"/>
    </row>
    <row r="3" spans="1:60" s="17" customFormat="1" ht="28.5" customHeight="1" thickBot="1">
      <c r="A3" s="345" t="s">
        <v>80</v>
      </c>
      <c r="B3" s="347" t="s">
        <v>169</v>
      </c>
      <c r="C3" s="348"/>
      <c r="D3" s="348" t="s">
        <v>24</v>
      </c>
      <c r="E3" s="348"/>
      <c r="F3" s="340" t="s">
        <v>25</v>
      </c>
      <c r="G3" s="340"/>
      <c r="H3" s="337" t="s">
        <v>26</v>
      </c>
      <c r="I3" s="337"/>
      <c r="J3" s="336" t="s">
        <v>27</v>
      </c>
      <c r="K3" s="336"/>
      <c r="L3" s="337" t="s">
        <v>28</v>
      </c>
      <c r="M3" s="337"/>
      <c r="N3" s="336" t="s">
        <v>29</v>
      </c>
      <c r="O3" s="336"/>
      <c r="P3" s="337" t="s">
        <v>30</v>
      </c>
      <c r="Q3" s="337"/>
      <c r="R3" s="340" t="s">
        <v>31</v>
      </c>
      <c r="S3" s="340"/>
      <c r="T3" s="337" t="s">
        <v>32</v>
      </c>
      <c r="U3" s="337"/>
      <c r="V3" s="336" t="s">
        <v>170</v>
      </c>
      <c r="W3" s="336"/>
      <c r="X3" s="337" t="s">
        <v>34</v>
      </c>
      <c r="Y3" s="337"/>
      <c r="Z3" s="336" t="s">
        <v>35</v>
      </c>
      <c r="AA3" s="336"/>
      <c r="AB3" s="337" t="s">
        <v>36</v>
      </c>
      <c r="AC3" s="337"/>
      <c r="AD3" s="336" t="s">
        <v>37</v>
      </c>
      <c r="AE3" s="336"/>
      <c r="AF3" s="338" t="s">
        <v>38</v>
      </c>
      <c r="AG3" s="338"/>
      <c r="AH3" s="340" t="s">
        <v>39</v>
      </c>
      <c r="AI3" s="340"/>
      <c r="AJ3" s="342" t="s">
        <v>40</v>
      </c>
      <c r="AK3" s="342"/>
      <c r="AL3" s="341" t="s">
        <v>41</v>
      </c>
      <c r="AM3" s="341"/>
      <c r="AN3" s="342" t="s">
        <v>42</v>
      </c>
      <c r="AO3" s="342"/>
      <c r="AP3" s="341" t="s">
        <v>43</v>
      </c>
      <c r="AQ3" s="341"/>
      <c r="AR3" s="342" t="s">
        <v>44</v>
      </c>
      <c r="AS3" s="342"/>
      <c r="AT3" s="341" t="s">
        <v>45</v>
      </c>
      <c r="AU3" s="341"/>
      <c r="AV3" s="342" t="s">
        <v>46</v>
      </c>
      <c r="AW3" s="342"/>
      <c r="AX3" s="341" t="s">
        <v>47</v>
      </c>
      <c r="AY3" s="341"/>
      <c r="AZ3" s="342" t="s">
        <v>48</v>
      </c>
      <c r="BA3" s="342"/>
      <c r="BB3" s="341" t="s">
        <v>49</v>
      </c>
      <c r="BC3" s="341"/>
      <c r="BD3" s="342" t="s">
        <v>50</v>
      </c>
      <c r="BE3" s="342"/>
      <c r="BF3" s="341" t="s">
        <v>51</v>
      </c>
      <c r="BG3" s="341"/>
      <c r="BH3" s="339"/>
    </row>
    <row r="4" spans="1:60" s="17" customFormat="1" ht="26.25" customHeight="1" thickBot="1">
      <c r="A4" s="346"/>
      <c r="B4" s="79" t="s">
        <v>111</v>
      </c>
      <c r="C4" s="16" t="s">
        <v>171</v>
      </c>
      <c r="D4" s="79" t="s">
        <v>111</v>
      </c>
      <c r="E4" s="16" t="s">
        <v>171</v>
      </c>
      <c r="F4" s="247" t="s">
        <v>111</v>
      </c>
      <c r="G4" s="249" t="s">
        <v>171</v>
      </c>
      <c r="H4" s="248" t="s">
        <v>111</v>
      </c>
      <c r="I4" s="250" t="s">
        <v>171</v>
      </c>
      <c r="J4" s="247" t="s">
        <v>111</v>
      </c>
      <c r="K4" s="249" t="s">
        <v>171</v>
      </c>
      <c r="L4" s="248" t="s">
        <v>111</v>
      </c>
      <c r="M4" s="250" t="s">
        <v>171</v>
      </c>
      <c r="N4" s="247" t="s">
        <v>111</v>
      </c>
      <c r="O4" s="249" t="s">
        <v>171</v>
      </c>
      <c r="P4" s="248" t="s">
        <v>111</v>
      </c>
      <c r="Q4" s="250" t="s">
        <v>171</v>
      </c>
      <c r="R4" s="247" t="s">
        <v>111</v>
      </c>
      <c r="S4" s="249" t="s">
        <v>171</v>
      </c>
      <c r="T4" s="248" t="s">
        <v>111</v>
      </c>
      <c r="U4" s="250" t="s">
        <v>171</v>
      </c>
      <c r="V4" s="247" t="s">
        <v>111</v>
      </c>
      <c r="W4" s="249" t="s">
        <v>171</v>
      </c>
      <c r="X4" s="248" t="s">
        <v>111</v>
      </c>
      <c r="Y4" s="250" t="s">
        <v>171</v>
      </c>
      <c r="Z4" s="247" t="s">
        <v>111</v>
      </c>
      <c r="AA4" s="249" t="s">
        <v>171</v>
      </c>
      <c r="AB4" s="248" t="s">
        <v>111</v>
      </c>
      <c r="AC4" s="250" t="s">
        <v>171</v>
      </c>
      <c r="AD4" s="247" t="s">
        <v>111</v>
      </c>
      <c r="AE4" s="249" t="s">
        <v>171</v>
      </c>
      <c r="AF4" s="248" t="s">
        <v>111</v>
      </c>
      <c r="AG4" s="250" t="s">
        <v>171</v>
      </c>
      <c r="AH4" s="247" t="s">
        <v>111</v>
      </c>
      <c r="AI4" s="249" t="s">
        <v>171</v>
      </c>
      <c r="AJ4" s="19" t="s">
        <v>111</v>
      </c>
      <c r="AK4" s="81" t="s">
        <v>172</v>
      </c>
      <c r="AL4" s="151" t="s">
        <v>111</v>
      </c>
      <c r="AM4" s="152" t="s">
        <v>171</v>
      </c>
      <c r="AN4" s="19" t="s">
        <v>111</v>
      </c>
      <c r="AO4" s="81" t="s">
        <v>171</v>
      </c>
      <c r="AP4" s="151" t="s">
        <v>111</v>
      </c>
      <c r="AQ4" s="152" t="s">
        <v>171</v>
      </c>
      <c r="AR4" s="19" t="s">
        <v>111</v>
      </c>
      <c r="AS4" s="81" t="s">
        <v>171</v>
      </c>
      <c r="AT4" s="151" t="s">
        <v>111</v>
      </c>
      <c r="AU4" s="152" t="s">
        <v>171</v>
      </c>
      <c r="AV4" s="19" t="s">
        <v>111</v>
      </c>
      <c r="AW4" s="81" t="s">
        <v>171</v>
      </c>
      <c r="AX4" s="151" t="s">
        <v>111</v>
      </c>
      <c r="AY4" s="152" t="s">
        <v>171</v>
      </c>
      <c r="AZ4" s="19" t="s">
        <v>111</v>
      </c>
      <c r="BA4" s="81" t="s">
        <v>171</v>
      </c>
      <c r="BB4" s="151" t="s">
        <v>111</v>
      </c>
      <c r="BC4" s="152" t="s">
        <v>171</v>
      </c>
      <c r="BD4" s="19" t="s">
        <v>111</v>
      </c>
      <c r="BE4" s="81" t="s">
        <v>171</v>
      </c>
      <c r="BF4" s="151" t="s">
        <v>111</v>
      </c>
      <c r="BG4" s="152" t="s">
        <v>171</v>
      </c>
      <c r="BH4" s="339"/>
    </row>
    <row r="5" spans="1:60" s="17" customFormat="1" ht="17.25" customHeight="1">
      <c r="A5" s="246">
        <f>Water!A6</f>
        <v>44985</v>
      </c>
      <c r="B5" s="251">
        <v>27650868</v>
      </c>
      <c r="C5" s="252"/>
      <c r="D5" s="253">
        <v>25609648</v>
      </c>
      <c r="E5" s="252"/>
      <c r="F5" s="254">
        <v>93856126</v>
      </c>
      <c r="G5" s="252"/>
      <c r="H5" s="255">
        <v>3421600</v>
      </c>
      <c r="I5" s="252"/>
      <c r="J5" s="254">
        <v>4574804</v>
      </c>
      <c r="K5" s="252"/>
      <c r="L5" s="256">
        <v>2968600</v>
      </c>
      <c r="M5" s="252"/>
      <c r="N5" s="254">
        <v>1161658</v>
      </c>
      <c r="O5" s="252"/>
      <c r="P5" s="255">
        <v>1202200</v>
      </c>
      <c r="Q5" s="252"/>
      <c r="R5" s="254">
        <v>2722500</v>
      </c>
      <c r="S5" s="252"/>
      <c r="T5" s="255">
        <v>72135</v>
      </c>
      <c r="U5" s="252"/>
      <c r="V5" s="254">
        <v>1055800</v>
      </c>
      <c r="W5" s="252"/>
      <c r="X5" s="255">
        <v>1116100</v>
      </c>
      <c r="Y5" s="252"/>
      <c r="Z5" s="254">
        <v>1673900</v>
      </c>
      <c r="AA5" s="252"/>
      <c r="AB5" s="255">
        <v>156610</v>
      </c>
      <c r="AC5" s="252"/>
      <c r="AD5" s="254">
        <v>643530</v>
      </c>
      <c r="AE5" s="252"/>
      <c r="AF5" s="255">
        <v>1256900</v>
      </c>
      <c r="AG5" s="252"/>
      <c r="AH5" s="254">
        <v>418690</v>
      </c>
      <c r="AI5" s="252"/>
      <c r="AJ5" s="257">
        <v>960560</v>
      </c>
      <c r="AK5" s="252"/>
      <c r="AL5" s="258">
        <v>802830</v>
      </c>
      <c r="AM5" s="252"/>
      <c r="AN5" s="254">
        <v>657450</v>
      </c>
      <c r="AO5" s="252"/>
      <c r="AP5" s="258">
        <v>1099600</v>
      </c>
      <c r="AQ5" s="252"/>
      <c r="AR5" s="254">
        <v>843600</v>
      </c>
      <c r="AS5" s="252"/>
      <c r="AT5" s="258">
        <v>720690</v>
      </c>
      <c r="AU5" s="252"/>
      <c r="AV5" s="254">
        <v>391890</v>
      </c>
      <c r="AW5" s="252"/>
      <c r="AX5" s="258">
        <v>133650</v>
      </c>
      <c r="AY5" s="252"/>
      <c r="AZ5" s="254">
        <v>866330</v>
      </c>
      <c r="BA5" s="252"/>
      <c r="BB5" s="258">
        <v>272050</v>
      </c>
      <c r="BC5" s="252"/>
      <c r="BD5" s="254">
        <v>314270</v>
      </c>
      <c r="BE5" s="252"/>
      <c r="BF5" s="258">
        <v>504030</v>
      </c>
      <c r="BG5" s="259"/>
      <c r="BH5" s="243"/>
    </row>
    <row r="6" spans="1:60" s="3" customFormat="1">
      <c r="A6" s="244">
        <f>Water!A7</f>
        <v>44986</v>
      </c>
      <c r="B6" s="80">
        <v>27655372</v>
      </c>
      <c r="C6" s="76">
        <f>MAX(0,B6-B5)</f>
        <v>4504</v>
      </c>
      <c r="D6" s="75">
        <v>25614421</v>
      </c>
      <c r="E6" s="75">
        <f>MAX(0,D6-D5)</f>
        <v>4773</v>
      </c>
      <c r="F6" s="77">
        <v>93867769</v>
      </c>
      <c r="G6" s="78">
        <f>MAX(0,F6-F5)</f>
        <v>11643</v>
      </c>
      <c r="H6" s="149">
        <v>3423900</v>
      </c>
      <c r="I6" s="150">
        <f>MAX(0,H6-H5)</f>
        <v>2300</v>
      </c>
      <c r="J6" s="77">
        <v>4577743</v>
      </c>
      <c r="K6" s="78">
        <f>MAX(0,J6-J5)</f>
        <v>2939</v>
      </c>
      <c r="L6" s="149">
        <v>2970200</v>
      </c>
      <c r="M6" s="150">
        <f>MAX(0,L6-L5)</f>
        <v>1600</v>
      </c>
      <c r="N6" s="77">
        <v>1162091</v>
      </c>
      <c r="O6" s="78">
        <f>MAX(0,N6-N5)</f>
        <v>433</v>
      </c>
      <c r="P6" s="149">
        <v>1202900</v>
      </c>
      <c r="Q6" s="150">
        <f>MAX(0,P6-P5)</f>
        <v>700</v>
      </c>
      <c r="R6" s="77">
        <v>2724200</v>
      </c>
      <c r="S6" s="78">
        <f>MAX(0,R6-R5)</f>
        <v>1700</v>
      </c>
      <c r="T6" s="149">
        <v>72591</v>
      </c>
      <c r="U6" s="150">
        <f>MAX(0,T6-T5)</f>
        <v>456</v>
      </c>
      <c r="V6" s="77">
        <v>1056200</v>
      </c>
      <c r="W6" s="78">
        <f>MAX(0,V6-V5)</f>
        <v>400</v>
      </c>
      <c r="X6" s="149">
        <v>1116400</v>
      </c>
      <c r="Y6" s="150">
        <f>MAX(0,X6-X5)</f>
        <v>300</v>
      </c>
      <c r="Z6" s="77">
        <v>1674500</v>
      </c>
      <c r="AA6" s="78">
        <f>MAX(0,Z6-Z5)</f>
        <v>600</v>
      </c>
      <c r="AB6" s="149">
        <v>156750</v>
      </c>
      <c r="AC6" s="150">
        <f>MAX(0,AB6-AB5)</f>
        <v>140</v>
      </c>
      <c r="AD6" s="77">
        <v>643910</v>
      </c>
      <c r="AE6" s="78">
        <f>MAX(0,AD6-AD5)</f>
        <v>380</v>
      </c>
      <c r="AF6" s="149">
        <v>1258100</v>
      </c>
      <c r="AG6" s="150">
        <f>MAX(0,AF6-AF5)</f>
        <v>1200</v>
      </c>
      <c r="AH6" s="77">
        <v>419120</v>
      </c>
      <c r="AI6" s="78">
        <f>MAX(0,AH6-AH5)</f>
        <v>430</v>
      </c>
      <c r="AJ6" s="78">
        <v>961700</v>
      </c>
      <c r="AK6" s="78">
        <f>MAX(0,AJ6-AJ5)</f>
        <v>1140</v>
      </c>
      <c r="AL6" s="153">
        <v>803780</v>
      </c>
      <c r="AM6" s="154">
        <f>MAX(0,AL6-AL5)</f>
        <v>950</v>
      </c>
      <c r="AN6" s="77">
        <v>658170</v>
      </c>
      <c r="AO6" s="78">
        <f>MAX(0,AN6-AN5)</f>
        <v>720</v>
      </c>
      <c r="AP6" s="153">
        <v>1100700</v>
      </c>
      <c r="AQ6" s="154">
        <f>MAX(0,AP6-AP5)</f>
        <v>1100</v>
      </c>
      <c r="AR6" s="77">
        <v>844670</v>
      </c>
      <c r="AS6" s="78">
        <f>MAX(0,AR6-AR5)</f>
        <v>1070</v>
      </c>
      <c r="AT6" s="153">
        <v>721330</v>
      </c>
      <c r="AU6" s="154">
        <f>MAX(0,AT6-AT5)</f>
        <v>640</v>
      </c>
      <c r="AV6" s="77">
        <v>392250</v>
      </c>
      <c r="AW6" s="78">
        <f>MAX(0,AV6-AV5)</f>
        <v>360</v>
      </c>
      <c r="AX6" s="153">
        <v>133800</v>
      </c>
      <c r="AY6" s="154">
        <f>MAX(0,AX6-AX5)</f>
        <v>150</v>
      </c>
      <c r="AZ6" s="77">
        <v>867380</v>
      </c>
      <c r="BA6" s="78">
        <f>MAX(0,AZ6-AZ5)</f>
        <v>1050</v>
      </c>
      <c r="BB6" s="153">
        <v>272320</v>
      </c>
      <c r="BC6" s="154">
        <f>MAX(0,BB6-BB5)</f>
        <v>270</v>
      </c>
      <c r="BD6" s="77">
        <v>314670</v>
      </c>
      <c r="BE6" s="78">
        <f>MAX(0,BD6-BD5)</f>
        <v>400</v>
      </c>
      <c r="BF6" s="153">
        <v>504520</v>
      </c>
      <c r="BG6" s="260">
        <f>MAX(0,BF6-BF5)</f>
        <v>490</v>
      </c>
      <c r="BH6" s="93"/>
    </row>
    <row r="7" spans="1:60" s="3" customFormat="1" ht="13.5" customHeight="1">
      <c r="A7" s="244">
        <f>Water!A8</f>
        <v>44987</v>
      </c>
      <c r="B7" s="80">
        <v>27659814</v>
      </c>
      <c r="C7" s="76">
        <f t="shared" ref="C7:C36" si="0">MAX(0,B7-B6)</f>
        <v>4442</v>
      </c>
      <c r="D7" s="75">
        <v>25619306</v>
      </c>
      <c r="E7" s="75">
        <f t="shared" ref="E7:G36" si="1">MAX(0,D7-D6)</f>
        <v>4885</v>
      </c>
      <c r="F7" s="77">
        <v>93880269</v>
      </c>
      <c r="G7" s="78">
        <f t="shared" ref="G7:G36" si="2">MAX(0,F7-F6)</f>
        <v>12500</v>
      </c>
      <c r="H7" s="149">
        <v>3426300</v>
      </c>
      <c r="I7" s="150">
        <f t="shared" ref="I7:I36" si="3">MAX(0,H7-H6)</f>
        <v>2400</v>
      </c>
      <c r="J7" s="77">
        <v>4580731</v>
      </c>
      <c r="K7" s="78">
        <f t="shared" ref="K7:K36" si="4">MAX(0,J7-J6)</f>
        <v>2988</v>
      </c>
      <c r="L7" s="149">
        <v>2972100</v>
      </c>
      <c r="M7" s="150">
        <f t="shared" ref="M7:M36" si="5">MAX(0,L7-L6)</f>
        <v>1900</v>
      </c>
      <c r="N7" s="77">
        <v>1162553</v>
      </c>
      <c r="O7" s="78">
        <f t="shared" ref="O7:O36" si="6">MAX(0,N7-N6)</f>
        <v>462</v>
      </c>
      <c r="P7" s="149">
        <v>1203600</v>
      </c>
      <c r="Q7" s="150">
        <f t="shared" ref="Q7:Q36" si="7">MAX(0,P7-P6)</f>
        <v>700</v>
      </c>
      <c r="R7" s="77">
        <v>2726000</v>
      </c>
      <c r="S7" s="78">
        <f t="shared" ref="S7:S36" si="8">MAX(0,R7-R6)</f>
        <v>1800</v>
      </c>
      <c r="T7" s="149">
        <v>73074</v>
      </c>
      <c r="U7" s="150">
        <f t="shared" ref="U7:U36" si="9">MAX(0,T7-T6)</f>
        <v>483</v>
      </c>
      <c r="V7" s="77">
        <v>1056600</v>
      </c>
      <c r="W7" s="78">
        <f t="shared" ref="W7:W36" si="10">MAX(0,V7-V6)</f>
        <v>400</v>
      </c>
      <c r="X7" s="149">
        <v>1116800</v>
      </c>
      <c r="Y7" s="150">
        <f t="shared" ref="Y7:Y36" si="11">MAX(0,X7-X6)</f>
        <v>400</v>
      </c>
      <c r="Z7" s="77">
        <v>1675200</v>
      </c>
      <c r="AA7" s="78">
        <f t="shared" ref="AA7:AA36" si="12">MAX(0,Z7-Z6)</f>
        <v>700</v>
      </c>
      <c r="AB7" s="149">
        <v>156910</v>
      </c>
      <c r="AC7" s="150">
        <f t="shared" ref="AC7:AC36" si="13">MAX(0,AB7-AB6)</f>
        <v>160</v>
      </c>
      <c r="AD7" s="77">
        <v>644300</v>
      </c>
      <c r="AE7" s="78">
        <f t="shared" ref="AE7:AE36" si="14">MAX(0,AD7-AD6)</f>
        <v>390</v>
      </c>
      <c r="AF7" s="149">
        <v>1259300</v>
      </c>
      <c r="AG7" s="150">
        <f t="shared" ref="AG7:AG36" si="15">MAX(0,AF7-AF6)</f>
        <v>1200</v>
      </c>
      <c r="AH7" s="77">
        <v>419550</v>
      </c>
      <c r="AI7" s="78">
        <f t="shared" ref="AI7:AI36" si="16">MAX(0,AH7-AH6)</f>
        <v>430</v>
      </c>
      <c r="AJ7" s="78">
        <v>962900</v>
      </c>
      <c r="AK7" s="78">
        <f t="shared" ref="AK7:AK36" si="17">MAX(0,AJ7-AJ6)</f>
        <v>1200</v>
      </c>
      <c r="AL7" s="153">
        <v>804730</v>
      </c>
      <c r="AM7" s="154">
        <f t="shared" ref="AM7:AM36" si="18">MAX(0,AL7-AL6)</f>
        <v>950</v>
      </c>
      <c r="AN7" s="77">
        <v>658990</v>
      </c>
      <c r="AO7" s="78">
        <f t="shared" ref="AO7:AO36" si="19">MAX(0,AN7-AN6)</f>
        <v>820</v>
      </c>
      <c r="AP7" s="153">
        <v>1101700</v>
      </c>
      <c r="AQ7" s="154">
        <f t="shared" ref="AQ7:AQ36" si="20">MAX(0,AP7-AP6)</f>
        <v>1000</v>
      </c>
      <c r="AR7" s="77">
        <v>845640</v>
      </c>
      <c r="AS7" s="78">
        <f t="shared" ref="AS7:AS36" si="21">MAX(0,AR7-AR6)</f>
        <v>970</v>
      </c>
      <c r="AT7" s="153">
        <v>721970</v>
      </c>
      <c r="AU7" s="154">
        <f t="shared" ref="AU7:AU36" si="22">MAX(0,AT7-AT6)</f>
        <v>640</v>
      </c>
      <c r="AV7" s="77">
        <v>392600</v>
      </c>
      <c r="AW7" s="78">
        <f t="shared" ref="AW7:AW36" si="23">MAX(0,AV7-AV6)</f>
        <v>350</v>
      </c>
      <c r="AX7" s="153">
        <v>133950</v>
      </c>
      <c r="AY7" s="154">
        <f t="shared" ref="AY7:AY36" si="24">MAX(0,AX7-AX6)</f>
        <v>150</v>
      </c>
      <c r="AZ7" s="77">
        <v>868410</v>
      </c>
      <c r="BA7" s="78">
        <f t="shared" ref="BA7:BA36" si="25">MAX(0,AZ7-AZ6)</f>
        <v>1030</v>
      </c>
      <c r="BB7" s="153">
        <v>272580</v>
      </c>
      <c r="BC7" s="154">
        <f t="shared" ref="BC7:BC36" si="26">MAX(0,BB7-BB6)</f>
        <v>260</v>
      </c>
      <c r="BD7" s="77">
        <v>315110</v>
      </c>
      <c r="BE7" s="78">
        <f t="shared" ref="BE7:BE36" si="27">MAX(0,BD7-BD6)</f>
        <v>440</v>
      </c>
      <c r="BF7" s="153">
        <v>505020</v>
      </c>
      <c r="BG7" s="260">
        <f t="shared" ref="BG7:BG36" si="28">MAX(0,BF7-BF6)</f>
        <v>500</v>
      </c>
      <c r="BH7" s="93"/>
    </row>
    <row r="8" spans="1:60" s="3" customFormat="1" ht="13.5" customHeight="1">
      <c r="A8" s="244">
        <f>Water!A9</f>
        <v>44988</v>
      </c>
      <c r="B8" s="80">
        <v>27664200</v>
      </c>
      <c r="C8" s="76">
        <f t="shared" si="0"/>
        <v>4386</v>
      </c>
      <c r="D8" s="75">
        <v>25624009</v>
      </c>
      <c r="E8" s="75">
        <f t="shared" si="1"/>
        <v>4703</v>
      </c>
      <c r="F8" s="77">
        <v>93892604</v>
      </c>
      <c r="G8" s="78">
        <f t="shared" si="2"/>
        <v>12335</v>
      </c>
      <c r="H8" s="149">
        <v>3428800</v>
      </c>
      <c r="I8" s="150">
        <f t="shared" si="3"/>
        <v>2500</v>
      </c>
      <c r="J8" s="77">
        <v>4583692</v>
      </c>
      <c r="K8" s="78">
        <f t="shared" si="4"/>
        <v>2961</v>
      </c>
      <c r="L8" s="149">
        <v>2973800</v>
      </c>
      <c r="M8" s="150">
        <f t="shared" si="5"/>
        <v>1700</v>
      </c>
      <c r="N8" s="77">
        <v>1163043</v>
      </c>
      <c r="O8" s="78">
        <f t="shared" si="6"/>
        <v>490</v>
      </c>
      <c r="P8" s="149">
        <v>1204300</v>
      </c>
      <c r="Q8" s="150">
        <f t="shared" si="7"/>
        <v>700</v>
      </c>
      <c r="R8" s="77">
        <v>2727900</v>
      </c>
      <c r="S8" s="78">
        <f t="shared" si="8"/>
        <v>1900</v>
      </c>
      <c r="T8" s="149">
        <v>73591</v>
      </c>
      <c r="U8" s="150">
        <f t="shared" si="9"/>
        <v>517</v>
      </c>
      <c r="V8" s="77">
        <v>1057000</v>
      </c>
      <c r="W8" s="78">
        <f t="shared" si="10"/>
        <v>400</v>
      </c>
      <c r="X8" s="149">
        <v>1117000</v>
      </c>
      <c r="Y8" s="150">
        <f t="shared" si="11"/>
        <v>200</v>
      </c>
      <c r="Z8" s="77">
        <v>1675900</v>
      </c>
      <c r="AA8" s="78">
        <f t="shared" si="12"/>
        <v>700</v>
      </c>
      <c r="AB8" s="149">
        <v>157080</v>
      </c>
      <c r="AC8" s="150">
        <f t="shared" si="13"/>
        <v>170</v>
      </c>
      <c r="AD8" s="77">
        <v>644760</v>
      </c>
      <c r="AE8" s="78">
        <f t="shared" si="14"/>
        <v>460</v>
      </c>
      <c r="AF8" s="149">
        <v>1260400</v>
      </c>
      <c r="AG8" s="150">
        <f t="shared" si="15"/>
        <v>1100</v>
      </c>
      <c r="AH8" s="77">
        <v>420060</v>
      </c>
      <c r="AI8" s="78">
        <f t="shared" si="16"/>
        <v>510</v>
      </c>
      <c r="AJ8" s="78">
        <v>964150</v>
      </c>
      <c r="AK8" s="78">
        <f t="shared" si="17"/>
        <v>1250</v>
      </c>
      <c r="AL8" s="153">
        <v>805750</v>
      </c>
      <c r="AM8" s="154">
        <f t="shared" si="18"/>
        <v>1020</v>
      </c>
      <c r="AN8" s="77">
        <v>659720</v>
      </c>
      <c r="AO8" s="78">
        <f t="shared" si="19"/>
        <v>730</v>
      </c>
      <c r="AP8" s="153">
        <v>1102700</v>
      </c>
      <c r="AQ8" s="154">
        <f t="shared" si="20"/>
        <v>1000</v>
      </c>
      <c r="AR8" s="77">
        <v>846460</v>
      </c>
      <c r="AS8" s="78">
        <f t="shared" si="21"/>
        <v>820</v>
      </c>
      <c r="AT8" s="153">
        <v>722640</v>
      </c>
      <c r="AU8" s="154">
        <f t="shared" si="22"/>
        <v>670</v>
      </c>
      <c r="AV8" s="77">
        <v>392940</v>
      </c>
      <c r="AW8" s="78">
        <f t="shared" si="23"/>
        <v>340</v>
      </c>
      <c r="AX8" s="153">
        <v>134100</v>
      </c>
      <c r="AY8" s="154">
        <f t="shared" si="24"/>
        <v>150</v>
      </c>
      <c r="AZ8" s="77">
        <v>869470</v>
      </c>
      <c r="BA8" s="78">
        <f t="shared" si="25"/>
        <v>1060</v>
      </c>
      <c r="BB8" s="153">
        <v>272860</v>
      </c>
      <c r="BC8" s="154">
        <f t="shared" si="26"/>
        <v>280</v>
      </c>
      <c r="BD8" s="77">
        <v>315540</v>
      </c>
      <c r="BE8" s="78">
        <f t="shared" si="27"/>
        <v>430</v>
      </c>
      <c r="BF8" s="153">
        <v>505480</v>
      </c>
      <c r="BG8" s="260">
        <f t="shared" si="28"/>
        <v>460</v>
      </c>
      <c r="BH8" s="93"/>
    </row>
    <row r="9" spans="1:60" s="3" customFormat="1" ht="13.5" customHeight="1">
      <c r="A9" s="244">
        <f>Water!A10</f>
        <v>44989</v>
      </c>
      <c r="B9" s="80">
        <v>27668411</v>
      </c>
      <c r="C9" s="76">
        <f t="shared" si="0"/>
        <v>4211</v>
      </c>
      <c r="D9" s="75">
        <v>25628502</v>
      </c>
      <c r="E9" s="75">
        <f t="shared" si="1"/>
        <v>4493</v>
      </c>
      <c r="F9" s="77">
        <v>93904944</v>
      </c>
      <c r="G9" s="78">
        <f t="shared" si="2"/>
        <v>12340</v>
      </c>
      <c r="H9" s="149">
        <v>3431300</v>
      </c>
      <c r="I9" s="150">
        <f t="shared" si="3"/>
        <v>2500</v>
      </c>
      <c r="J9" s="77">
        <v>4586487</v>
      </c>
      <c r="K9" s="78">
        <f t="shared" si="4"/>
        <v>2795</v>
      </c>
      <c r="L9" s="149">
        <v>2975600</v>
      </c>
      <c r="M9" s="150">
        <f t="shared" si="5"/>
        <v>1800</v>
      </c>
      <c r="N9" s="77">
        <v>1163498</v>
      </c>
      <c r="O9" s="78">
        <f t="shared" si="6"/>
        <v>455</v>
      </c>
      <c r="P9" s="149">
        <v>1205000</v>
      </c>
      <c r="Q9" s="150">
        <f t="shared" si="7"/>
        <v>700</v>
      </c>
      <c r="R9" s="77">
        <v>2729700</v>
      </c>
      <c r="S9" s="78">
        <f t="shared" si="8"/>
        <v>1800</v>
      </c>
      <c r="T9" s="149">
        <v>74080</v>
      </c>
      <c r="U9" s="150">
        <f t="shared" si="9"/>
        <v>489</v>
      </c>
      <c r="V9" s="77">
        <v>1057400</v>
      </c>
      <c r="W9" s="78">
        <f t="shared" si="10"/>
        <v>400</v>
      </c>
      <c r="X9" s="149">
        <v>1117400</v>
      </c>
      <c r="Y9" s="150">
        <f t="shared" si="11"/>
        <v>400</v>
      </c>
      <c r="Z9" s="77">
        <v>1676500</v>
      </c>
      <c r="AA9" s="78">
        <f t="shared" si="12"/>
        <v>600</v>
      </c>
      <c r="AB9" s="149">
        <v>157250</v>
      </c>
      <c r="AC9" s="150">
        <f t="shared" si="13"/>
        <v>170</v>
      </c>
      <c r="AD9" s="77">
        <v>645190</v>
      </c>
      <c r="AE9" s="78">
        <f t="shared" si="14"/>
        <v>430</v>
      </c>
      <c r="AF9" s="149">
        <v>1261600</v>
      </c>
      <c r="AG9" s="150">
        <f t="shared" si="15"/>
        <v>1200</v>
      </c>
      <c r="AH9" s="77">
        <v>420500</v>
      </c>
      <c r="AI9" s="78">
        <f t="shared" si="16"/>
        <v>440</v>
      </c>
      <c r="AJ9" s="78">
        <v>965170</v>
      </c>
      <c r="AK9" s="78">
        <f t="shared" si="17"/>
        <v>1020</v>
      </c>
      <c r="AL9" s="153">
        <v>806700</v>
      </c>
      <c r="AM9" s="154">
        <f t="shared" si="18"/>
        <v>950</v>
      </c>
      <c r="AN9" s="77">
        <v>660360</v>
      </c>
      <c r="AO9" s="78">
        <f t="shared" si="19"/>
        <v>640</v>
      </c>
      <c r="AP9" s="153">
        <v>1103600</v>
      </c>
      <c r="AQ9" s="154">
        <f t="shared" si="20"/>
        <v>900</v>
      </c>
      <c r="AR9" s="77">
        <v>847310</v>
      </c>
      <c r="AS9" s="78">
        <f t="shared" si="21"/>
        <v>850</v>
      </c>
      <c r="AT9" s="153">
        <v>723320</v>
      </c>
      <c r="AU9" s="154">
        <f t="shared" si="22"/>
        <v>680</v>
      </c>
      <c r="AV9" s="77">
        <v>393290</v>
      </c>
      <c r="AW9" s="78">
        <f t="shared" si="23"/>
        <v>350</v>
      </c>
      <c r="AX9" s="153">
        <v>134220</v>
      </c>
      <c r="AY9" s="154">
        <f t="shared" si="24"/>
        <v>120</v>
      </c>
      <c r="AZ9" s="77">
        <v>870450</v>
      </c>
      <c r="BA9" s="78">
        <f t="shared" si="25"/>
        <v>980</v>
      </c>
      <c r="BB9" s="153">
        <v>273110</v>
      </c>
      <c r="BC9" s="154">
        <f t="shared" si="26"/>
        <v>250</v>
      </c>
      <c r="BD9" s="77">
        <v>315950</v>
      </c>
      <c r="BE9" s="78">
        <f t="shared" si="27"/>
        <v>410</v>
      </c>
      <c r="BF9" s="153">
        <v>505940</v>
      </c>
      <c r="BG9" s="260">
        <f t="shared" si="28"/>
        <v>460</v>
      </c>
      <c r="BH9" s="93"/>
    </row>
    <row r="10" spans="1:60" s="3" customFormat="1" ht="13.5" customHeight="1">
      <c r="A10" s="244">
        <f>Water!A11</f>
        <v>44990</v>
      </c>
      <c r="B10" s="80">
        <v>27672550</v>
      </c>
      <c r="C10" s="76">
        <f t="shared" si="0"/>
        <v>4139</v>
      </c>
      <c r="D10" s="75">
        <v>25632675</v>
      </c>
      <c r="E10" s="75">
        <f t="shared" si="1"/>
        <v>4173</v>
      </c>
      <c r="F10" s="77">
        <v>93916833</v>
      </c>
      <c r="G10" s="78">
        <f t="shared" si="2"/>
        <v>11889</v>
      </c>
      <c r="H10" s="149">
        <v>3433600</v>
      </c>
      <c r="I10" s="150">
        <f t="shared" si="3"/>
        <v>2300</v>
      </c>
      <c r="J10" s="77">
        <v>4589253</v>
      </c>
      <c r="K10" s="78">
        <f t="shared" si="4"/>
        <v>2766</v>
      </c>
      <c r="L10" s="149">
        <v>2977100</v>
      </c>
      <c r="M10" s="150">
        <f t="shared" si="5"/>
        <v>1500</v>
      </c>
      <c r="N10" s="77">
        <v>1163980</v>
      </c>
      <c r="O10" s="78">
        <f t="shared" si="6"/>
        <v>482</v>
      </c>
      <c r="P10" s="149">
        <v>1205600</v>
      </c>
      <c r="Q10" s="150">
        <f t="shared" si="7"/>
        <v>600</v>
      </c>
      <c r="R10" s="77">
        <v>2731800</v>
      </c>
      <c r="S10" s="78">
        <f t="shared" si="8"/>
        <v>2100</v>
      </c>
      <c r="T10" s="149">
        <v>74520</v>
      </c>
      <c r="U10" s="150">
        <f t="shared" si="9"/>
        <v>440</v>
      </c>
      <c r="V10" s="77">
        <v>1057900</v>
      </c>
      <c r="W10" s="78">
        <f t="shared" si="10"/>
        <v>500</v>
      </c>
      <c r="X10" s="149">
        <v>1117700</v>
      </c>
      <c r="Y10" s="150">
        <f t="shared" si="11"/>
        <v>300</v>
      </c>
      <c r="Z10" s="77">
        <v>1677100</v>
      </c>
      <c r="AA10" s="78">
        <f t="shared" si="12"/>
        <v>600</v>
      </c>
      <c r="AB10" s="149">
        <v>157410</v>
      </c>
      <c r="AC10" s="150">
        <f t="shared" si="13"/>
        <v>160</v>
      </c>
      <c r="AD10" s="77">
        <v>645600</v>
      </c>
      <c r="AE10" s="78">
        <f t="shared" si="14"/>
        <v>410</v>
      </c>
      <c r="AF10" s="149">
        <v>1262700</v>
      </c>
      <c r="AG10" s="150">
        <f t="shared" si="15"/>
        <v>1100</v>
      </c>
      <c r="AH10" s="77">
        <v>420940</v>
      </c>
      <c r="AI10" s="78">
        <f t="shared" si="16"/>
        <v>440</v>
      </c>
      <c r="AJ10" s="78">
        <v>966120</v>
      </c>
      <c r="AK10" s="78">
        <f t="shared" si="17"/>
        <v>950</v>
      </c>
      <c r="AL10" s="153">
        <v>807630</v>
      </c>
      <c r="AM10" s="154">
        <f t="shared" si="18"/>
        <v>930</v>
      </c>
      <c r="AN10" s="77">
        <v>661060</v>
      </c>
      <c r="AO10" s="78">
        <f t="shared" si="19"/>
        <v>700</v>
      </c>
      <c r="AP10" s="153">
        <v>1104500</v>
      </c>
      <c r="AQ10" s="154">
        <f t="shared" si="20"/>
        <v>900</v>
      </c>
      <c r="AR10" s="77">
        <v>848180</v>
      </c>
      <c r="AS10" s="78">
        <f t="shared" si="21"/>
        <v>870</v>
      </c>
      <c r="AT10" s="153">
        <v>724070</v>
      </c>
      <c r="AU10" s="154">
        <f t="shared" si="22"/>
        <v>750</v>
      </c>
      <c r="AV10" s="77">
        <v>393640</v>
      </c>
      <c r="AW10" s="78">
        <f t="shared" si="23"/>
        <v>350</v>
      </c>
      <c r="AX10" s="153">
        <v>134360</v>
      </c>
      <c r="AY10" s="154">
        <f t="shared" si="24"/>
        <v>140</v>
      </c>
      <c r="AZ10" s="77">
        <v>871580</v>
      </c>
      <c r="BA10" s="78">
        <f t="shared" si="25"/>
        <v>1130</v>
      </c>
      <c r="BB10" s="153">
        <v>273390</v>
      </c>
      <c r="BC10" s="154">
        <f t="shared" si="26"/>
        <v>280</v>
      </c>
      <c r="BD10" s="77">
        <v>316410</v>
      </c>
      <c r="BE10" s="78">
        <f t="shared" si="27"/>
        <v>460</v>
      </c>
      <c r="BF10" s="153">
        <v>506400</v>
      </c>
      <c r="BG10" s="260">
        <f t="shared" si="28"/>
        <v>460</v>
      </c>
      <c r="BH10" s="93"/>
    </row>
    <row r="11" spans="1:60" s="3" customFormat="1" ht="13.5" customHeight="1">
      <c r="A11" s="244">
        <f>Water!A12</f>
        <v>44991</v>
      </c>
      <c r="B11" s="80">
        <v>27676367</v>
      </c>
      <c r="C11" s="76">
        <f t="shared" si="0"/>
        <v>3817</v>
      </c>
      <c r="D11" s="75">
        <v>25636077</v>
      </c>
      <c r="E11" s="75">
        <f t="shared" si="1"/>
        <v>3402</v>
      </c>
      <c r="F11" s="77">
        <v>93929018</v>
      </c>
      <c r="G11" s="78">
        <f t="shared" si="2"/>
        <v>12185</v>
      </c>
      <c r="H11" s="149">
        <v>3435800</v>
      </c>
      <c r="I11" s="150">
        <f t="shared" si="3"/>
        <v>2200</v>
      </c>
      <c r="J11" s="77">
        <v>4591932</v>
      </c>
      <c r="K11" s="78">
        <f t="shared" si="4"/>
        <v>2679</v>
      </c>
      <c r="L11" s="149">
        <v>2978600</v>
      </c>
      <c r="M11" s="150">
        <f t="shared" si="5"/>
        <v>1500</v>
      </c>
      <c r="N11" s="77">
        <v>1164458</v>
      </c>
      <c r="O11" s="78">
        <f t="shared" si="6"/>
        <v>478</v>
      </c>
      <c r="P11" s="149">
        <v>1206200</v>
      </c>
      <c r="Q11" s="150">
        <f t="shared" si="7"/>
        <v>600</v>
      </c>
      <c r="R11" s="77">
        <v>2733900</v>
      </c>
      <c r="S11" s="78">
        <f t="shared" si="8"/>
        <v>2100</v>
      </c>
      <c r="T11" s="149">
        <v>75013</v>
      </c>
      <c r="U11" s="150">
        <f t="shared" si="9"/>
        <v>493</v>
      </c>
      <c r="V11" s="77">
        <v>1058300</v>
      </c>
      <c r="W11" s="78">
        <f t="shared" si="10"/>
        <v>400</v>
      </c>
      <c r="X11" s="149">
        <v>1118000</v>
      </c>
      <c r="Y11" s="150">
        <f t="shared" si="11"/>
        <v>300</v>
      </c>
      <c r="Z11" s="77">
        <v>1677800</v>
      </c>
      <c r="AA11" s="78">
        <f t="shared" si="12"/>
        <v>700</v>
      </c>
      <c r="AB11" s="149">
        <v>157580</v>
      </c>
      <c r="AC11" s="150">
        <f t="shared" si="13"/>
        <v>170</v>
      </c>
      <c r="AD11" s="77">
        <v>646080</v>
      </c>
      <c r="AE11" s="78">
        <f t="shared" si="14"/>
        <v>480</v>
      </c>
      <c r="AF11" s="149">
        <v>1263800</v>
      </c>
      <c r="AG11" s="150">
        <f t="shared" si="15"/>
        <v>1100</v>
      </c>
      <c r="AH11" s="77">
        <v>421320</v>
      </c>
      <c r="AI11" s="78">
        <f t="shared" si="16"/>
        <v>380</v>
      </c>
      <c r="AJ11" s="78">
        <v>966750</v>
      </c>
      <c r="AK11" s="78">
        <f t="shared" si="17"/>
        <v>630</v>
      </c>
      <c r="AL11" s="153">
        <v>808270</v>
      </c>
      <c r="AM11" s="154">
        <f t="shared" si="18"/>
        <v>640</v>
      </c>
      <c r="AN11" s="77">
        <v>661480</v>
      </c>
      <c r="AO11" s="78">
        <f t="shared" si="19"/>
        <v>420</v>
      </c>
      <c r="AP11" s="153">
        <v>1105200</v>
      </c>
      <c r="AQ11" s="154">
        <f t="shared" si="20"/>
        <v>700</v>
      </c>
      <c r="AR11" s="77">
        <v>848730</v>
      </c>
      <c r="AS11" s="78">
        <f t="shared" si="21"/>
        <v>550</v>
      </c>
      <c r="AT11" s="153">
        <v>724560</v>
      </c>
      <c r="AU11" s="154">
        <f t="shared" si="22"/>
        <v>490</v>
      </c>
      <c r="AV11" s="77">
        <v>393940</v>
      </c>
      <c r="AW11" s="78">
        <f t="shared" si="23"/>
        <v>300</v>
      </c>
      <c r="AX11" s="153">
        <v>134470</v>
      </c>
      <c r="AY11" s="154">
        <f t="shared" si="24"/>
        <v>110</v>
      </c>
      <c r="AZ11" s="77">
        <v>872510</v>
      </c>
      <c r="BA11" s="78">
        <f t="shared" si="25"/>
        <v>930</v>
      </c>
      <c r="BB11" s="153">
        <v>273640</v>
      </c>
      <c r="BC11" s="154">
        <f t="shared" si="26"/>
        <v>250</v>
      </c>
      <c r="BD11" s="77">
        <v>316800</v>
      </c>
      <c r="BE11" s="78">
        <f t="shared" si="27"/>
        <v>390</v>
      </c>
      <c r="BF11" s="153">
        <v>506880</v>
      </c>
      <c r="BG11" s="260">
        <f t="shared" si="28"/>
        <v>480</v>
      </c>
      <c r="BH11" s="93"/>
    </row>
    <row r="12" spans="1:60" s="3" customFormat="1" ht="13.5" customHeight="1">
      <c r="A12" s="244">
        <f>Water!A13</f>
        <v>44992</v>
      </c>
      <c r="B12" s="80">
        <v>27680362</v>
      </c>
      <c r="C12" s="76">
        <f t="shared" si="0"/>
        <v>3995</v>
      </c>
      <c r="D12" s="75">
        <v>25640516</v>
      </c>
      <c r="E12" s="75">
        <f t="shared" si="1"/>
        <v>4439</v>
      </c>
      <c r="F12" s="77">
        <v>93940289</v>
      </c>
      <c r="G12" s="78">
        <f t="shared" si="2"/>
        <v>11271</v>
      </c>
      <c r="H12" s="149">
        <v>3438100</v>
      </c>
      <c r="I12" s="150">
        <f t="shared" si="3"/>
        <v>2300</v>
      </c>
      <c r="J12" s="77">
        <v>4594729</v>
      </c>
      <c r="K12" s="78">
        <f t="shared" si="4"/>
        <v>2797</v>
      </c>
      <c r="L12" s="149">
        <v>2980400</v>
      </c>
      <c r="M12" s="150">
        <f t="shared" si="5"/>
        <v>1800</v>
      </c>
      <c r="N12" s="77">
        <v>1164884</v>
      </c>
      <c r="O12" s="78">
        <f t="shared" si="6"/>
        <v>426</v>
      </c>
      <c r="P12" s="149">
        <v>1206900</v>
      </c>
      <c r="Q12" s="150">
        <f t="shared" si="7"/>
        <v>700</v>
      </c>
      <c r="R12" s="77">
        <v>2735900</v>
      </c>
      <c r="S12" s="78">
        <f t="shared" si="8"/>
        <v>2000</v>
      </c>
      <c r="T12" s="149">
        <v>75458</v>
      </c>
      <c r="U12" s="150">
        <f t="shared" si="9"/>
        <v>445</v>
      </c>
      <c r="V12" s="77">
        <v>1058600</v>
      </c>
      <c r="W12" s="78">
        <f t="shared" si="10"/>
        <v>300</v>
      </c>
      <c r="X12" s="149">
        <v>1118300</v>
      </c>
      <c r="Y12" s="150">
        <f t="shared" si="11"/>
        <v>300</v>
      </c>
      <c r="Z12" s="77">
        <v>1678300</v>
      </c>
      <c r="AA12" s="78">
        <f t="shared" si="12"/>
        <v>500</v>
      </c>
      <c r="AB12" s="149">
        <v>157710</v>
      </c>
      <c r="AC12" s="150">
        <f t="shared" si="13"/>
        <v>130</v>
      </c>
      <c r="AD12" s="77">
        <v>646450</v>
      </c>
      <c r="AE12" s="78">
        <f t="shared" si="14"/>
        <v>370</v>
      </c>
      <c r="AF12" s="149">
        <v>1265000</v>
      </c>
      <c r="AG12" s="150">
        <f t="shared" si="15"/>
        <v>1200</v>
      </c>
      <c r="AH12" s="77">
        <v>421800</v>
      </c>
      <c r="AI12" s="78">
        <f t="shared" si="16"/>
        <v>480</v>
      </c>
      <c r="AJ12" s="78">
        <v>967670</v>
      </c>
      <c r="AK12" s="78">
        <f t="shared" si="17"/>
        <v>920</v>
      </c>
      <c r="AL12" s="153">
        <v>809130</v>
      </c>
      <c r="AM12" s="154">
        <f t="shared" si="18"/>
        <v>860</v>
      </c>
      <c r="AN12" s="77">
        <v>662200</v>
      </c>
      <c r="AO12" s="78">
        <f t="shared" si="19"/>
        <v>720</v>
      </c>
      <c r="AP12" s="153">
        <v>1106300</v>
      </c>
      <c r="AQ12" s="154">
        <f t="shared" si="20"/>
        <v>1100</v>
      </c>
      <c r="AR12" s="77">
        <v>849480</v>
      </c>
      <c r="AS12" s="78">
        <f t="shared" si="21"/>
        <v>750</v>
      </c>
      <c r="AT12" s="153">
        <v>725250</v>
      </c>
      <c r="AU12" s="154">
        <f t="shared" si="22"/>
        <v>690</v>
      </c>
      <c r="AV12" s="77">
        <v>394230</v>
      </c>
      <c r="AW12" s="78">
        <f t="shared" si="23"/>
        <v>290</v>
      </c>
      <c r="AX12" s="153">
        <v>134620</v>
      </c>
      <c r="AY12" s="154">
        <f t="shared" si="24"/>
        <v>150</v>
      </c>
      <c r="AZ12" s="77">
        <v>873480</v>
      </c>
      <c r="BA12" s="78">
        <f t="shared" si="25"/>
        <v>970</v>
      </c>
      <c r="BB12" s="153">
        <v>273900</v>
      </c>
      <c r="BC12" s="154">
        <f t="shared" si="26"/>
        <v>260</v>
      </c>
      <c r="BD12" s="77">
        <v>317220</v>
      </c>
      <c r="BE12" s="78">
        <f t="shared" si="27"/>
        <v>420</v>
      </c>
      <c r="BF12" s="153">
        <v>507350</v>
      </c>
      <c r="BG12" s="260">
        <f t="shared" si="28"/>
        <v>470</v>
      </c>
      <c r="BH12" s="93"/>
    </row>
    <row r="13" spans="1:60" s="3" customFormat="1" ht="13.5" customHeight="1">
      <c r="A13" s="244">
        <f>Water!A14</f>
        <v>44993</v>
      </c>
      <c r="B13" s="80">
        <v>27684850</v>
      </c>
      <c r="C13" s="76">
        <f t="shared" si="0"/>
        <v>4488</v>
      </c>
      <c r="D13" s="75">
        <v>25645633</v>
      </c>
      <c r="E13" s="75">
        <f t="shared" si="1"/>
        <v>5117</v>
      </c>
      <c r="F13" s="77">
        <v>93952701</v>
      </c>
      <c r="G13" s="78">
        <f t="shared" si="2"/>
        <v>12412</v>
      </c>
      <c r="H13" s="149">
        <v>3440500</v>
      </c>
      <c r="I13" s="150">
        <f t="shared" si="3"/>
        <v>2400</v>
      </c>
      <c r="J13" s="77">
        <v>4597567</v>
      </c>
      <c r="K13" s="78">
        <f t="shared" si="4"/>
        <v>2838</v>
      </c>
      <c r="L13" s="149">
        <v>2982300</v>
      </c>
      <c r="M13" s="150">
        <f t="shared" si="5"/>
        <v>1900</v>
      </c>
      <c r="N13" s="77">
        <v>1165372</v>
      </c>
      <c r="O13" s="78">
        <f t="shared" si="6"/>
        <v>488</v>
      </c>
      <c r="P13" s="149">
        <v>1207500</v>
      </c>
      <c r="Q13" s="150">
        <f t="shared" si="7"/>
        <v>600</v>
      </c>
      <c r="R13" s="77">
        <v>2737800</v>
      </c>
      <c r="S13" s="78">
        <f t="shared" si="8"/>
        <v>1900</v>
      </c>
      <c r="T13" s="149">
        <v>76005</v>
      </c>
      <c r="U13" s="150">
        <f t="shared" si="9"/>
        <v>547</v>
      </c>
      <c r="V13" s="77">
        <v>1059000</v>
      </c>
      <c r="W13" s="78">
        <f t="shared" si="10"/>
        <v>400</v>
      </c>
      <c r="X13" s="149">
        <v>1118600</v>
      </c>
      <c r="Y13" s="150">
        <f t="shared" si="11"/>
        <v>300</v>
      </c>
      <c r="Z13" s="77">
        <v>1679000</v>
      </c>
      <c r="AA13" s="78">
        <f t="shared" si="12"/>
        <v>700</v>
      </c>
      <c r="AB13" s="149">
        <v>157870</v>
      </c>
      <c r="AC13" s="150">
        <f t="shared" si="13"/>
        <v>160</v>
      </c>
      <c r="AD13" s="77">
        <v>646840</v>
      </c>
      <c r="AE13" s="78">
        <f t="shared" si="14"/>
        <v>390</v>
      </c>
      <c r="AF13" s="149">
        <v>1266200</v>
      </c>
      <c r="AG13" s="150">
        <f t="shared" si="15"/>
        <v>1200</v>
      </c>
      <c r="AH13" s="77">
        <v>422290</v>
      </c>
      <c r="AI13" s="78">
        <f t="shared" si="16"/>
        <v>490</v>
      </c>
      <c r="AJ13" s="78">
        <v>968940</v>
      </c>
      <c r="AK13" s="78">
        <f t="shared" si="17"/>
        <v>1270</v>
      </c>
      <c r="AL13" s="153">
        <v>810250</v>
      </c>
      <c r="AM13" s="154">
        <f t="shared" si="18"/>
        <v>1120</v>
      </c>
      <c r="AN13" s="77">
        <v>663240</v>
      </c>
      <c r="AO13" s="78">
        <f t="shared" si="19"/>
        <v>1040</v>
      </c>
      <c r="AP13" s="153">
        <v>1107500</v>
      </c>
      <c r="AQ13" s="154">
        <f t="shared" si="20"/>
        <v>1200</v>
      </c>
      <c r="AR13" s="77">
        <v>850380</v>
      </c>
      <c r="AS13" s="78">
        <f t="shared" si="21"/>
        <v>900</v>
      </c>
      <c r="AT13" s="153">
        <v>726010</v>
      </c>
      <c r="AU13" s="154">
        <f t="shared" si="22"/>
        <v>760</v>
      </c>
      <c r="AV13" s="77">
        <v>394480</v>
      </c>
      <c r="AW13" s="78">
        <f t="shared" si="23"/>
        <v>250</v>
      </c>
      <c r="AX13" s="153">
        <v>134750</v>
      </c>
      <c r="AY13" s="154">
        <f t="shared" si="24"/>
        <v>130</v>
      </c>
      <c r="AZ13" s="77">
        <v>874570</v>
      </c>
      <c r="BA13" s="78">
        <f t="shared" si="25"/>
        <v>1090</v>
      </c>
      <c r="BB13" s="153">
        <v>274180</v>
      </c>
      <c r="BC13" s="154">
        <f t="shared" si="26"/>
        <v>280</v>
      </c>
      <c r="BD13" s="77">
        <v>317660</v>
      </c>
      <c r="BE13" s="78">
        <f t="shared" si="27"/>
        <v>440</v>
      </c>
      <c r="BF13" s="153">
        <v>507840</v>
      </c>
      <c r="BG13" s="260">
        <f t="shared" si="28"/>
        <v>490</v>
      </c>
      <c r="BH13" s="93"/>
    </row>
    <row r="14" spans="1:60" s="3" customFormat="1" ht="13.5" customHeight="1">
      <c r="A14" s="244">
        <f>Water!A15</f>
        <v>44994</v>
      </c>
      <c r="B14" s="80"/>
      <c r="C14" s="76">
        <f t="shared" si="0"/>
        <v>0</v>
      </c>
      <c r="D14" s="75"/>
      <c r="E14" s="75">
        <f t="shared" si="1"/>
        <v>0</v>
      </c>
      <c r="F14" s="77"/>
      <c r="G14" s="78">
        <f t="shared" si="2"/>
        <v>0</v>
      </c>
      <c r="H14" s="149"/>
      <c r="I14" s="150">
        <f t="shared" si="3"/>
        <v>0</v>
      </c>
      <c r="J14" s="77"/>
      <c r="K14" s="78">
        <f t="shared" si="4"/>
        <v>0</v>
      </c>
      <c r="L14" s="149"/>
      <c r="M14" s="150">
        <f t="shared" si="5"/>
        <v>0</v>
      </c>
      <c r="N14" s="77"/>
      <c r="O14" s="78">
        <f t="shared" si="6"/>
        <v>0</v>
      </c>
      <c r="P14" s="149"/>
      <c r="Q14" s="150">
        <f t="shared" si="7"/>
        <v>0</v>
      </c>
      <c r="R14" s="77"/>
      <c r="S14" s="78">
        <f t="shared" si="8"/>
        <v>0</v>
      </c>
      <c r="T14" s="149"/>
      <c r="U14" s="150">
        <f t="shared" si="9"/>
        <v>0</v>
      </c>
      <c r="V14" s="77"/>
      <c r="W14" s="78">
        <f t="shared" si="10"/>
        <v>0</v>
      </c>
      <c r="X14" s="149"/>
      <c r="Y14" s="150">
        <f t="shared" si="11"/>
        <v>0</v>
      </c>
      <c r="Z14" s="77"/>
      <c r="AA14" s="78">
        <f t="shared" si="12"/>
        <v>0</v>
      </c>
      <c r="AB14" s="149"/>
      <c r="AC14" s="150">
        <f t="shared" si="13"/>
        <v>0</v>
      </c>
      <c r="AD14" s="77"/>
      <c r="AE14" s="78">
        <f t="shared" si="14"/>
        <v>0</v>
      </c>
      <c r="AF14" s="149"/>
      <c r="AG14" s="150">
        <f t="shared" si="15"/>
        <v>0</v>
      </c>
      <c r="AH14" s="77"/>
      <c r="AI14" s="78">
        <f t="shared" si="16"/>
        <v>0</v>
      </c>
      <c r="AJ14" s="78"/>
      <c r="AK14" s="78">
        <f t="shared" si="17"/>
        <v>0</v>
      </c>
      <c r="AL14" s="153"/>
      <c r="AM14" s="154">
        <f t="shared" si="18"/>
        <v>0</v>
      </c>
      <c r="AN14" s="77"/>
      <c r="AO14" s="78">
        <f t="shared" si="19"/>
        <v>0</v>
      </c>
      <c r="AP14" s="153"/>
      <c r="AQ14" s="154">
        <f t="shared" si="20"/>
        <v>0</v>
      </c>
      <c r="AR14" s="77"/>
      <c r="AS14" s="78">
        <f t="shared" si="21"/>
        <v>0</v>
      </c>
      <c r="AT14" s="153"/>
      <c r="AU14" s="154">
        <f t="shared" si="22"/>
        <v>0</v>
      </c>
      <c r="AV14" s="77"/>
      <c r="AW14" s="78">
        <f t="shared" si="23"/>
        <v>0</v>
      </c>
      <c r="AX14" s="153"/>
      <c r="AY14" s="154">
        <f t="shared" si="24"/>
        <v>0</v>
      </c>
      <c r="AZ14" s="77"/>
      <c r="BA14" s="78">
        <f t="shared" si="25"/>
        <v>0</v>
      </c>
      <c r="BB14" s="153"/>
      <c r="BC14" s="154">
        <f t="shared" si="26"/>
        <v>0</v>
      </c>
      <c r="BD14" s="77"/>
      <c r="BE14" s="78">
        <f t="shared" si="27"/>
        <v>0</v>
      </c>
      <c r="BF14" s="153"/>
      <c r="BG14" s="260">
        <f t="shared" si="28"/>
        <v>0</v>
      </c>
      <c r="BH14" s="93"/>
    </row>
    <row r="15" spans="1:60" s="3" customFormat="1" ht="13.5" customHeight="1">
      <c r="A15" s="244">
        <f>Water!A16</f>
        <v>44995</v>
      </c>
      <c r="B15" s="80"/>
      <c r="C15" s="76">
        <f t="shared" si="0"/>
        <v>0</v>
      </c>
      <c r="D15" s="75"/>
      <c r="E15" s="75">
        <f t="shared" si="1"/>
        <v>0</v>
      </c>
      <c r="F15" s="77"/>
      <c r="G15" s="78">
        <f t="shared" si="2"/>
        <v>0</v>
      </c>
      <c r="H15" s="149"/>
      <c r="I15" s="150">
        <f t="shared" si="3"/>
        <v>0</v>
      </c>
      <c r="J15" s="77"/>
      <c r="K15" s="78">
        <f t="shared" si="4"/>
        <v>0</v>
      </c>
      <c r="L15" s="149"/>
      <c r="M15" s="150">
        <f t="shared" si="5"/>
        <v>0</v>
      </c>
      <c r="N15" s="77"/>
      <c r="O15" s="78">
        <f t="shared" si="6"/>
        <v>0</v>
      </c>
      <c r="P15" s="149"/>
      <c r="Q15" s="150">
        <f t="shared" si="7"/>
        <v>0</v>
      </c>
      <c r="R15" s="77"/>
      <c r="S15" s="78">
        <f t="shared" si="8"/>
        <v>0</v>
      </c>
      <c r="T15" s="149"/>
      <c r="U15" s="150">
        <f t="shared" si="9"/>
        <v>0</v>
      </c>
      <c r="V15" s="77"/>
      <c r="W15" s="78">
        <f t="shared" si="10"/>
        <v>0</v>
      </c>
      <c r="X15" s="149"/>
      <c r="Y15" s="150">
        <f t="shared" si="11"/>
        <v>0</v>
      </c>
      <c r="Z15" s="77"/>
      <c r="AA15" s="78">
        <f t="shared" si="12"/>
        <v>0</v>
      </c>
      <c r="AB15" s="149"/>
      <c r="AC15" s="150">
        <f t="shared" si="13"/>
        <v>0</v>
      </c>
      <c r="AD15" s="77"/>
      <c r="AE15" s="78">
        <f t="shared" si="14"/>
        <v>0</v>
      </c>
      <c r="AF15" s="149"/>
      <c r="AG15" s="150">
        <f t="shared" si="15"/>
        <v>0</v>
      </c>
      <c r="AH15" s="77"/>
      <c r="AI15" s="78">
        <f t="shared" si="16"/>
        <v>0</v>
      </c>
      <c r="AJ15" s="78"/>
      <c r="AK15" s="78">
        <f t="shared" si="17"/>
        <v>0</v>
      </c>
      <c r="AL15" s="153"/>
      <c r="AM15" s="154">
        <f t="shared" si="18"/>
        <v>0</v>
      </c>
      <c r="AN15" s="77"/>
      <c r="AO15" s="78">
        <f t="shared" si="19"/>
        <v>0</v>
      </c>
      <c r="AP15" s="153"/>
      <c r="AQ15" s="154">
        <f t="shared" si="20"/>
        <v>0</v>
      </c>
      <c r="AR15" s="77"/>
      <c r="AS15" s="78">
        <f t="shared" si="21"/>
        <v>0</v>
      </c>
      <c r="AT15" s="153"/>
      <c r="AU15" s="154">
        <f t="shared" si="22"/>
        <v>0</v>
      </c>
      <c r="AV15" s="77"/>
      <c r="AW15" s="78">
        <f t="shared" si="23"/>
        <v>0</v>
      </c>
      <c r="AX15" s="153"/>
      <c r="AY15" s="154">
        <f t="shared" si="24"/>
        <v>0</v>
      </c>
      <c r="AZ15" s="77"/>
      <c r="BA15" s="78">
        <f t="shared" si="25"/>
        <v>0</v>
      </c>
      <c r="BB15" s="153"/>
      <c r="BC15" s="154">
        <f t="shared" si="26"/>
        <v>0</v>
      </c>
      <c r="BD15" s="77"/>
      <c r="BE15" s="78">
        <f t="shared" si="27"/>
        <v>0</v>
      </c>
      <c r="BF15" s="153"/>
      <c r="BG15" s="260">
        <f t="shared" si="28"/>
        <v>0</v>
      </c>
      <c r="BH15" s="93"/>
    </row>
    <row r="16" spans="1:60" s="3" customFormat="1" ht="13.5" customHeight="1">
      <c r="A16" s="244">
        <f>Water!A17</f>
        <v>44996</v>
      </c>
      <c r="B16" s="80"/>
      <c r="C16" s="76">
        <f t="shared" si="0"/>
        <v>0</v>
      </c>
      <c r="D16" s="75"/>
      <c r="E16" s="75">
        <f t="shared" si="1"/>
        <v>0</v>
      </c>
      <c r="F16" s="77"/>
      <c r="G16" s="78">
        <f t="shared" si="2"/>
        <v>0</v>
      </c>
      <c r="H16" s="149"/>
      <c r="I16" s="150">
        <f t="shared" si="3"/>
        <v>0</v>
      </c>
      <c r="J16" s="77"/>
      <c r="K16" s="78">
        <f t="shared" si="4"/>
        <v>0</v>
      </c>
      <c r="L16" s="149"/>
      <c r="M16" s="150">
        <f t="shared" si="5"/>
        <v>0</v>
      </c>
      <c r="N16" s="77"/>
      <c r="O16" s="78">
        <f t="shared" si="6"/>
        <v>0</v>
      </c>
      <c r="P16" s="149"/>
      <c r="Q16" s="150">
        <f t="shared" si="7"/>
        <v>0</v>
      </c>
      <c r="R16" s="77"/>
      <c r="S16" s="78">
        <f t="shared" si="8"/>
        <v>0</v>
      </c>
      <c r="T16" s="149"/>
      <c r="U16" s="150">
        <f t="shared" si="9"/>
        <v>0</v>
      </c>
      <c r="V16" s="77"/>
      <c r="W16" s="78">
        <f t="shared" si="10"/>
        <v>0</v>
      </c>
      <c r="X16" s="149"/>
      <c r="Y16" s="150">
        <f t="shared" si="11"/>
        <v>0</v>
      </c>
      <c r="Z16" s="77"/>
      <c r="AA16" s="78">
        <f t="shared" si="12"/>
        <v>0</v>
      </c>
      <c r="AB16" s="149"/>
      <c r="AC16" s="150">
        <f t="shared" si="13"/>
        <v>0</v>
      </c>
      <c r="AD16" s="77"/>
      <c r="AE16" s="78">
        <f t="shared" si="14"/>
        <v>0</v>
      </c>
      <c r="AF16" s="149"/>
      <c r="AG16" s="150">
        <f t="shared" si="15"/>
        <v>0</v>
      </c>
      <c r="AH16" s="77"/>
      <c r="AI16" s="78">
        <f t="shared" si="16"/>
        <v>0</v>
      </c>
      <c r="AJ16" s="78"/>
      <c r="AK16" s="78">
        <f t="shared" si="17"/>
        <v>0</v>
      </c>
      <c r="AL16" s="153"/>
      <c r="AM16" s="154">
        <f t="shared" si="18"/>
        <v>0</v>
      </c>
      <c r="AN16" s="77"/>
      <c r="AO16" s="78">
        <f t="shared" si="19"/>
        <v>0</v>
      </c>
      <c r="AP16" s="153"/>
      <c r="AQ16" s="154">
        <f t="shared" si="20"/>
        <v>0</v>
      </c>
      <c r="AR16" s="77"/>
      <c r="AS16" s="78">
        <f t="shared" si="21"/>
        <v>0</v>
      </c>
      <c r="AT16" s="153"/>
      <c r="AU16" s="154">
        <f t="shared" si="22"/>
        <v>0</v>
      </c>
      <c r="AV16" s="77"/>
      <c r="AW16" s="78">
        <f t="shared" si="23"/>
        <v>0</v>
      </c>
      <c r="AX16" s="153"/>
      <c r="AY16" s="154">
        <f t="shared" si="24"/>
        <v>0</v>
      </c>
      <c r="AZ16" s="77"/>
      <c r="BA16" s="78">
        <f t="shared" si="25"/>
        <v>0</v>
      </c>
      <c r="BB16" s="153"/>
      <c r="BC16" s="154">
        <f t="shared" si="26"/>
        <v>0</v>
      </c>
      <c r="BD16" s="77"/>
      <c r="BE16" s="78">
        <f t="shared" si="27"/>
        <v>0</v>
      </c>
      <c r="BF16" s="153"/>
      <c r="BG16" s="260">
        <f t="shared" si="28"/>
        <v>0</v>
      </c>
      <c r="BH16" s="93"/>
    </row>
    <row r="17" spans="1:967" s="3" customFormat="1" ht="13.5" customHeight="1">
      <c r="A17" s="244">
        <f>Water!A18</f>
        <v>44997</v>
      </c>
      <c r="B17" s="80"/>
      <c r="C17" s="76">
        <f t="shared" si="0"/>
        <v>0</v>
      </c>
      <c r="D17" s="75"/>
      <c r="E17" s="75">
        <f t="shared" si="1"/>
        <v>0</v>
      </c>
      <c r="F17" s="77"/>
      <c r="G17" s="78">
        <f t="shared" si="2"/>
        <v>0</v>
      </c>
      <c r="H17" s="149"/>
      <c r="I17" s="150">
        <f t="shared" si="3"/>
        <v>0</v>
      </c>
      <c r="J17" s="77"/>
      <c r="K17" s="78">
        <f t="shared" si="4"/>
        <v>0</v>
      </c>
      <c r="L17" s="149"/>
      <c r="M17" s="150">
        <f t="shared" si="5"/>
        <v>0</v>
      </c>
      <c r="N17" s="77"/>
      <c r="O17" s="78">
        <f t="shared" si="6"/>
        <v>0</v>
      </c>
      <c r="P17" s="149"/>
      <c r="Q17" s="150">
        <f t="shared" si="7"/>
        <v>0</v>
      </c>
      <c r="R17" s="77"/>
      <c r="S17" s="78">
        <f t="shared" si="8"/>
        <v>0</v>
      </c>
      <c r="T17" s="149"/>
      <c r="U17" s="150">
        <f t="shared" si="9"/>
        <v>0</v>
      </c>
      <c r="V17" s="77"/>
      <c r="W17" s="78">
        <f t="shared" si="10"/>
        <v>0</v>
      </c>
      <c r="X17" s="149"/>
      <c r="Y17" s="150">
        <f t="shared" si="11"/>
        <v>0</v>
      </c>
      <c r="Z17" s="77"/>
      <c r="AA17" s="78">
        <f t="shared" si="12"/>
        <v>0</v>
      </c>
      <c r="AB17" s="149"/>
      <c r="AC17" s="150">
        <f t="shared" si="13"/>
        <v>0</v>
      </c>
      <c r="AD17" s="77"/>
      <c r="AE17" s="78">
        <f t="shared" si="14"/>
        <v>0</v>
      </c>
      <c r="AF17" s="149"/>
      <c r="AG17" s="150">
        <f t="shared" si="15"/>
        <v>0</v>
      </c>
      <c r="AH17" s="77"/>
      <c r="AI17" s="78">
        <f t="shared" si="16"/>
        <v>0</v>
      </c>
      <c r="AJ17" s="78"/>
      <c r="AK17" s="78">
        <f t="shared" si="17"/>
        <v>0</v>
      </c>
      <c r="AL17" s="153"/>
      <c r="AM17" s="154">
        <f t="shared" si="18"/>
        <v>0</v>
      </c>
      <c r="AN17" s="77"/>
      <c r="AO17" s="78">
        <f t="shared" si="19"/>
        <v>0</v>
      </c>
      <c r="AP17" s="153"/>
      <c r="AQ17" s="154">
        <f t="shared" si="20"/>
        <v>0</v>
      </c>
      <c r="AR17" s="77"/>
      <c r="AS17" s="78">
        <f t="shared" si="21"/>
        <v>0</v>
      </c>
      <c r="AT17" s="153"/>
      <c r="AU17" s="154">
        <f t="shared" si="22"/>
        <v>0</v>
      </c>
      <c r="AV17" s="77"/>
      <c r="AW17" s="78">
        <f t="shared" si="23"/>
        <v>0</v>
      </c>
      <c r="AX17" s="153"/>
      <c r="AY17" s="154">
        <f t="shared" si="24"/>
        <v>0</v>
      </c>
      <c r="AZ17" s="77"/>
      <c r="BA17" s="78">
        <f t="shared" si="25"/>
        <v>0</v>
      </c>
      <c r="BB17" s="153"/>
      <c r="BC17" s="154">
        <f t="shared" si="26"/>
        <v>0</v>
      </c>
      <c r="BD17" s="77"/>
      <c r="BE17" s="78">
        <f t="shared" si="27"/>
        <v>0</v>
      </c>
      <c r="BF17" s="153"/>
      <c r="BG17" s="260">
        <f t="shared" si="28"/>
        <v>0</v>
      </c>
      <c r="BH17" s="93"/>
    </row>
    <row r="18" spans="1:967" s="3" customFormat="1" ht="13.5" customHeight="1">
      <c r="A18" s="244">
        <f>Water!A19</f>
        <v>44998</v>
      </c>
      <c r="B18" s="80"/>
      <c r="C18" s="76">
        <f t="shared" si="0"/>
        <v>0</v>
      </c>
      <c r="D18" s="75"/>
      <c r="E18" s="75">
        <f t="shared" si="1"/>
        <v>0</v>
      </c>
      <c r="F18" s="77"/>
      <c r="G18" s="78">
        <f t="shared" si="2"/>
        <v>0</v>
      </c>
      <c r="H18" s="149"/>
      <c r="I18" s="150">
        <f t="shared" si="3"/>
        <v>0</v>
      </c>
      <c r="J18" s="77"/>
      <c r="K18" s="78">
        <f t="shared" si="4"/>
        <v>0</v>
      </c>
      <c r="L18" s="149"/>
      <c r="M18" s="150">
        <f t="shared" si="5"/>
        <v>0</v>
      </c>
      <c r="N18" s="77"/>
      <c r="O18" s="78">
        <f t="shared" si="6"/>
        <v>0</v>
      </c>
      <c r="P18" s="149"/>
      <c r="Q18" s="150">
        <f t="shared" si="7"/>
        <v>0</v>
      </c>
      <c r="R18" s="77"/>
      <c r="S18" s="78">
        <f t="shared" si="8"/>
        <v>0</v>
      </c>
      <c r="T18" s="149"/>
      <c r="U18" s="150">
        <f t="shared" si="9"/>
        <v>0</v>
      </c>
      <c r="V18" s="77"/>
      <c r="W18" s="78">
        <f t="shared" si="10"/>
        <v>0</v>
      </c>
      <c r="X18" s="149"/>
      <c r="Y18" s="150">
        <f t="shared" si="11"/>
        <v>0</v>
      </c>
      <c r="Z18" s="77"/>
      <c r="AA18" s="78">
        <f t="shared" si="12"/>
        <v>0</v>
      </c>
      <c r="AB18" s="149"/>
      <c r="AC18" s="150">
        <f t="shared" si="13"/>
        <v>0</v>
      </c>
      <c r="AD18" s="77"/>
      <c r="AE18" s="78">
        <f t="shared" si="14"/>
        <v>0</v>
      </c>
      <c r="AF18" s="149"/>
      <c r="AG18" s="150">
        <f t="shared" si="15"/>
        <v>0</v>
      </c>
      <c r="AH18" s="77"/>
      <c r="AI18" s="78">
        <f t="shared" si="16"/>
        <v>0</v>
      </c>
      <c r="AJ18" s="78"/>
      <c r="AK18" s="78">
        <f t="shared" si="17"/>
        <v>0</v>
      </c>
      <c r="AL18" s="153"/>
      <c r="AM18" s="154">
        <f t="shared" si="18"/>
        <v>0</v>
      </c>
      <c r="AN18" s="77"/>
      <c r="AO18" s="78">
        <f t="shared" si="19"/>
        <v>0</v>
      </c>
      <c r="AP18" s="153"/>
      <c r="AQ18" s="154">
        <f t="shared" si="20"/>
        <v>0</v>
      </c>
      <c r="AR18" s="77"/>
      <c r="AS18" s="78">
        <f t="shared" si="21"/>
        <v>0</v>
      </c>
      <c r="AT18" s="153"/>
      <c r="AU18" s="154">
        <f t="shared" si="22"/>
        <v>0</v>
      </c>
      <c r="AV18" s="77"/>
      <c r="AW18" s="78">
        <f t="shared" si="23"/>
        <v>0</v>
      </c>
      <c r="AX18" s="153"/>
      <c r="AY18" s="154">
        <f t="shared" si="24"/>
        <v>0</v>
      </c>
      <c r="AZ18" s="77"/>
      <c r="BA18" s="78">
        <f t="shared" si="25"/>
        <v>0</v>
      </c>
      <c r="BB18" s="153"/>
      <c r="BC18" s="154">
        <f t="shared" si="26"/>
        <v>0</v>
      </c>
      <c r="BD18" s="77"/>
      <c r="BE18" s="78">
        <f t="shared" si="27"/>
        <v>0</v>
      </c>
      <c r="BF18" s="153"/>
      <c r="BG18" s="260">
        <f t="shared" si="28"/>
        <v>0</v>
      </c>
      <c r="BH18" s="93"/>
    </row>
    <row r="19" spans="1:967" s="3" customFormat="1" ht="13.5" customHeight="1">
      <c r="A19" s="244">
        <f>Water!A20</f>
        <v>44999</v>
      </c>
      <c r="B19" s="80"/>
      <c r="C19" s="76">
        <f t="shared" si="0"/>
        <v>0</v>
      </c>
      <c r="D19" s="75"/>
      <c r="E19" s="75">
        <f t="shared" si="1"/>
        <v>0</v>
      </c>
      <c r="F19" s="77"/>
      <c r="G19" s="78">
        <f t="shared" si="2"/>
        <v>0</v>
      </c>
      <c r="H19" s="149"/>
      <c r="I19" s="150">
        <f t="shared" si="3"/>
        <v>0</v>
      </c>
      <c r="J19" s="77"/>
      <c r="K19" s="78">
        <f t="shared" si="4"/>
        <v>0</v>
      </c>
      <c r="L19" s="149"/>
      <c r="M19" s="150">
        <f t="shared" si="5"/>
        <v>0</v>
      </c>
      <c r="N19" s="77"/>
      <c r="O19" s="78">
        <f t="shared" si="6"/>
        <v>0</v>
      </c>
      <c r="P19" s="149"/>
      <c r="Q19" s="150">
        <f t="shared" si="7"/>
        <v>0</v>
      </c>
      <c r="R19" s="77"/>
      <c r="S19" s="78">
        <f t="shared" si="8"/>
        <v>0</v>
      </c>
      <c r="T19" s="149"/>
      <c r="U19" s="150">
        <f t="shared" si="9"/>
        <v>0</v>
      </c>
      <c r="V19" s="77"/>
      <c r="W19" s="78">
        <f t="shared" si="10"/>
        <v>0</v>
      </c>
      <c r="X19" s="149"/>
      <c r="Y19" s="150">
        <f t="shared" si="11"/>
        <v>0</v>
      </c>
      <c r="Z19" s="77"/>
      <c r="AA19" s="78">
        <f t="shared" si="12"/>
        <v>0</v>
      </c>
      <c r="AB19" s="149"/>
      <c r="AC19" s="150">
        <f t="shared" si="13"/>
        <v>0</v>
      </c>
      <c r="AD19" s="77"/>
      <c r="AE19" s="78">
        <f t="shared" si="14"/>
        <v>0</v>
      </c>
      <c r="AF19" s="149"/>
      <c r="AG19" s="150">
        <f t="shared" si="15"/>
        <v>0</v>
      </c>
      <c r="AH19" s="77"/>
      <c r="AI19" s="78">
        <f t="shared" si="16"/>
        <v>0</v>
      </c>
      <c r="AJ19" s="78"/>
      <c r="AK19" s="78">
        <f t="shared" si="17"/>
        <v>0</v>
      </c>
      <c r="AL19" s="153"/>
      <c r="AM19" s="154">
        <f t="shared" si="18"/>
        <v>0</v>
      </c>
      <c r="AN19" s="77"/>
      <c r="AO19" s="78">
        <f t="shared" si="19"/>
        <v>0</v>
      </c>
      <c r="AP19" s="153"/>
      <c r="AQ19" s="154">
        <f t="shared" si="20"/>
        <v>0</v>
      </c>
      <c r="AR19" s="77"/>
      <c r="AS19" s="78">
        <f t="shared" si="21"/>
        <v>0</v>
      </c>
      <c r="AT19" s="153"/>
      <c r="AU19" s="154">
        <f t="shared" si="22"/>
        <v>0</v>
      </c>
      <c r="AV19" s="77"/>
      <c r="AW19" s="78">
        <f t="shared" si="23"/>
        <v>0</v>
      </c>
      <c r="AX19" s="153"/>
      <c r="AY19" s="154">
        <f t="shared" si="24"/>
        <v>0</v>
      </c>
      <c r="AZ19" s="77"/>
      <c r="BA19" s="78">
        <f t="shared" si="25"/>
        <v>0</v>
      </c>
      <c r="BB19" s="153"/>
      <c r="BC19" s="154">
        <f t="shared" si="26"/>
        <v>0</v>
      </c>
      <c r="BD19" s="77"/>
      <c r="BE19" s="78">
        <f t="shared" si="27"/>
        <v>0</v>
      </c>
      <c r="BF19" s="153"/>
      <c r="BG19" s="260">
        <f t="shared" si="28"/>
        <v>0</v>
      </c>
      <c r="BH19" s="93"/>
    </row>
    <row r="20" spans="1:967" s="3" customFormat="1" ht="13.5" customHeight="1">
      <c r="A20" s="244">
        <f>Water!A21</f>
        <v>45000</v>
      </c>
      <c r="B20" s="80"/>
      <c r="C20" s="76">
        <f t="shared" si="0"/>
        <v>0</v>
      </c>
      <c r="D20" s="75"/>
      <c r="E20" s="75">
        <f t="shared" si="1"/>
        <v>0</v>
      </c>
      <c r="F20" s="77"/>
      <c r="G20" s="78">
        <f t="shared" si="2"/>
        <v>0</v>
      </c>
      <c r="H20" s="149"/>
      <c r="I20" s="150">
        <f t="shared" si="3"/>
        <v>0</v>
      </c>
      <c r="J20" s="77"/>
      <c r="K20" s="78">
        <f t="shared" si="4"/>
        <v>0</v>
      </c>
      <c r="L20" s="149"/>
      <c r="M20" s="150">
        <f t="shared" si="5"/>
        <v>0</v>
      </c>
      <c r="N20" s="77"/>
      <c r="O20" s="78">
        <f t="shared" si="6"/>
        <v>0</v>
      </c>
      <c r="P20" s="149"/>
      <c r="Q20" s="150">
        <f t="shared" si="7"/>
        <v>0</v>
      </c>
      <c r="R20" s="77"/>
      <c r="S20" s="78">
        <f t="shared" si="8"/>
        <v>0</v>
      </c>
      <c r="T20" s="149"/>
      <c r="U20" s="150">
        <f t="shared" si="9"/>
        <v>0</v>
      </c>
      <c r="V20" s="77"/>
      <c r="W20" s="78">
        <f t="shared" si="10"/>
        <v>0</v>
      </c>
      <c r="X20" s="149"/>
      <c r="Y20" s="150">
        <f t="shared" si="11"/>
        <v>0</v>
      </c>
      <c r="Z20" s="77"/>
      <c r="AA20" s="78">
        <f t="shared" si="12"/>
        <v>0</v>
      </c>
      <c r="AB20" s="149"/>
      <c r="AC20" s="150">
        <f t="shared" si="13"/>
        <v>0</v>
      </c>
      <c r="AD20" s="77"/>
      <c r="AE20" s="78">
        <f t="shared" si="14"/>
        <v>0</v>
      </c>
      <c r="AF20" s="149"/>
      <c r="AG20" s="150">
        <f t="shared" si="15"/>
        <v>0</v>
      </c>
      <c r="AH20" s="77"/>
      <c r="AI20" s="78">
        <f t="shared" si="16"/>
        <v>0</v>
      </c>
      <c r="AJ20" s="78"/>
      <c r="AK20" s="78">
        <f t="shared" si="17"/>
        <v>0</v>
      </c>
      <c r="AL20" s="153"/>
      <c r="AM20" s="154">
        <f t="shared" si="18"/>
        <v>0</v>
      </c>
      <c r="AN20" s="77"/>
      <c r="AO20" s="78">
        <f t="shared" si="19"/>
        <v>0</v>
      </c>
      <c r="AP20" s="153"/>
      <c r="AQ20" s="154">
        <f t="shared" si="20"/>
        <v>0</v>
      </c>
      <c r="AR20" s="77"/>
      <c r="AS20" s="78">
        <f t="shared" si="21"/>
        <v>0</v>
      </c>
      <c r="AT20" s="153"/>
      <c r="AU20" s="154">
        <f t="shared" si="22"/>
        <v>0</v>
      </c>
      <c r="AV20" s="77"/>
      <c r="AW20" s="78">
        <f t="shared" si="23"/>
        <v>0</v>
      </c>
      <c r="AX20" s="153"/>
      <c r="AY20" s="154">
        <f t="shared" si="24"/>
        <v>0</v>
      </c>
      <c r="AZ20" s="77"/>
      <c r="BA20" s="78">
        <f t="shared" si="25"/>
        <v>0</v>
      </c>
      <c r="BB20" s="153"/>
      <c r="BC20" s="154">
        <f t="shared" si="26"/>
        <v>0</v>
      </c>
      <c r="BD20" s="77"/>
      <c r="BE20" s="78">
        <f t="shared" si="27"/>
        <v>0</v>
      </c>
      <c r="BF20" s="153"/>
      <c r="BG20" s="260">
        <f t="shared" si="28"/>
        <v>0</v>
      </c>
      <c r="BH20" s="93"/>
    </row>
    <row r="21" spans="1:967" s="3" customFormat="1" ht="13.5" customHeight="1">
      <c r="A21" s="244">
        <f>Water!A22</f>
        <v>45001</v>
      </c>
      <c r="B21" s="80"/>
      <c r="C21" s="76">
        <f t="shared" si="0"/>
        <v>0</v>
      </c>
      <c r="D21" s="75"/>
      <c r="E21" s="75">
        <f t="shared" si="1"/>
        <v>0</v>
      </c>
      <c r="F21" s="77"/>
      <c r="G21" s="78">
        <f t="shared" si="2"/>
        <v>0</v>
      </c>
      <c r="H21" s="149"/>
      <c r="I21" s="150">
        <f t="shared" si="3"/>
        <v>0</v>
      </c>
      <c r="J21" s="77"/>
      <c r="K21" s="78">
        <f t="shared" si="4"/>
        <v>0</v>
      </c>
      <c r="L21" s="149"/>
      <c r="M21" s="150">
        <f t="shared" si="5"/>
        <v>0</v>
      </c>
      <c r="N21" s="77"/>
      <c r="O21" s="78">
        <f t="shared" si="6"/>
        <v>0</v>
      </c>
      <c r="P21" s="149"/>
      <c r="Q21" s="150">
        <f t="shared" si="7"/>
        <v>0</v>
      </c>
      <c r="R21" s="77"/>
      <c r="S21" s="78">
        <f t="shared" si="8"/>
        <v>0</v>
      </c>
      <c r="T21" s="149"/>
      <c r="U21" s="150">
        <f t="shared" si="9"/>
        <v>0</v>
      </c>
      <c r="V21" s="77"/>
      <c r="W21" s="78">
        <f t="shared" si="10"/>
        <v>0</v>
      </c>
      <c r="X21" s="149"/>
      <c r="Y21" s="150">
        <f t="shared" si="11"/>
        <v>0</v>
      </c>
      <c r="Z21" s="77"/>
      <c r="AA21" s="78">
        <f t="shared" si="12"/>
        <v>0</v>
      </c>
      <c r="AB21" s="149"/>
      <c r="AC21" s="150">
        <f t="shared" si="13"/>
        <v>0</v>
      </c>
      <c r="AD21" s="77"/>
      <c r="AE21" s="78">
        <f t="shared" si="14"/>
        <v>0</v>
      </c>
      <c r="AF21" s="149"/>
      <c r="AG21" s="150">
        <f t="shared" si="15"/>
        <v>0</v>
      </c>
      <c r="AH21" s="77"/>
      <c r="AI21" s="78">
        <f t="shared" si="16"/>
        <v>0</v>
      </c>
      <c r="AJ21" s="78"/>
      <c r="AK21" s="78">
        <f t="shared" si="17"/>
        <v>0</v>
      </c>
      <c r="AL21" s="153"/>
      <c r="AM21" s="154">
        <f t="shared" si="18"/>
        <v>0</v>
      </c>
      <c r="AN21" s="77"/>
      <c r="AO21" s="78">
        <f t="shared" si="19"/>
        <v>0</v>
      </c>
      <c r="AP21" s="153"/>
      <c r="AQ21" s="154">
        <f t="shared" si="20"/>
        <v>0</v>
      </c>
      <c r="AR21" s="77"/>
      <c r="AS21" s="78">
        <f t="shared" si="21"/>
        <v>0</v>
      </c>
      <c r="AT21" s="153"/>
      <c r="AU21" s="154">
        <f t="shared" si="22"/>
        <v>0</v>
      </c>
      <c r="AV21" s="77"/>
      <c r="AW21" s="78">
        <f t="shared" si="23"/>
        <v>0</v>
      </c>
      <c r="AX21" s="153"/>
      <c r="AY21" s="154">
        <f t="shared" si="24"/>
        <v>0</v>
      </c>
      <c r="AZ21" s="77"/>
      <c r="BA21" s="78">
        <f t="shared" si="25"/>
        <v>0</v>
      </c>
      <c r="BB21" s="153"/>
      <c r="BC21" s="154">
        <f t="shared" si="26"/>
        <v>0</v>
      </c>
      <c r="BD21" s="77"/>
      <c r="BE21" s="78">
        <f t="shared" si="27"/>
        <v>0</v>
      </c>
      <c r="BF21" s="153"/>
      <c r="BG21" s="260">
        <f t="shared" si="28"/>
        <v>0</v>
      </c>
      <c r="BH21" s="93"/>
    </row>
    <row r="22" spans="1:967" s="3" customFormat="1" ht="13.5" customHeight="1">
      <c r="A22" s="244">
        <f>Water!A23</f>
        <v>45002</v>
      </c>
      <c r="B22" s="80"/>
      <c r="C22" s="76">
        <f t="shared" si="0"/>
        <v>0</v>
      </c>
      <c r="D22" s="75"/>
      <c r="E22" s="75">
        <f t="shared" si="1"/>
        <v>0</v>
      </c>
      <c r="F22" s="77"/>
      <c r="G22" s="78">
        <f t="shared" si="2"/>
        <v>0</v>
      </c>
      <c r="H22" s="149"/>
      <c r="I22" s="150">
        <f t="shared" si="3"/>
        <v>0</v>
      </c>
      <c r="J22" s="77"/>
      <c r="K22" s="78">
        <f t="shared" si="4"/>
        <v>0</v>
      </c>
      <c r="L22" s="149"/>
      <c r="M22" s="150">
        <f t="shared" si="5"/>
        <v>0</v>
      </c>
      <c r="N22" s="77"/>
      <c r="O22" s="78">
        <f t="shared" si="6"/>
        <v>0</v>
      </c>
      <c r="P22" s="149"/>
      <c r="Q22" s="150">
        <f t="shared" si="7"/>
        <v>0</v>
      </c>
      <c r="R22" s="77"/>
      <c r="S22" s="78">
        <f t="shared" si="8"/>
        <v>0</v>
      </c>
      <c r="T22" s="149"/>
      <c r="U22" s="150">
        <f t="shared" si="9"/>
        <v>0</v>
      </c>
      <c r="V22" s="77"/>
      <c r="W22" s="78">
        <f t="shared" si="10"/>
        <v>0</v>
      </c>
      <c r="X22" s="149"/>
      <c r="Y22" s="150">
        <f t="shared" si="11"/>
        <v>0</v>
      </c>
      <c r="Z22" s="77"/>
      <c r="AA22" s="78">
        <f t="shared" si="12"/>
        <v>0</v>
      </c>
      <c r="AB22" s="149"/>
      <c r="AC22" s="150">
        <f t="shared" si="13"/>
        <v>0</v>
      </c>
      <c r="AD22" s="77"/>
      <c r="AE22" s="78">
        <f t="shared" si="14"/>
        <v>0</v>
      </c>
      <c r="AF22" s="149"/>
      <c r="AG22" s="150">
        <f t="shared" si="15"/>
        <v>0</v>
      </c>
      <c r="AH22" s="77"/>
      <c r="AI22" s="78">
        <f t="shared" si="16"/>
        <v>0</v>
      </c>
      <c r="AJ22" s="78"/>
      <c r="AK22" s="78">
        <f t="shared" si="17"/>
        <v>0</v>
      </c>
      <c r="AL22" s="153"/>
      <c r="AM22" s="154">
        <f t="shared" si="18"/>
        <v>0</v>
      </c>
      <c r="AN22" s="77"/>
      <c r="AO22" s="78">
        <f t="shared" si="19"/>
        <v>0</v>
      </c>
      <c r="AP22" s="153"/>
      <c r="AQ22" s="154">
        <f t="shared" si="20"/>
        <v>0</v>
      </c>
      <c r="AR22" s="77"/>
      <c r="AS22" s="78">
        <f t="shared" si="21"/>
        <v>0</v>
      </c>
      <c r="AT22" s="153"/>
      <c r="AU22" s="154">
        <f t="shared" si="22"/>
        <v>0</v>
      </c>
      <c r="AV22" s="77"/>
      <c r="AW22" s="78">
        <f t="shared" si="23"/>
        <v>0</v>
      </c>
      <c r="AX22" s="153"/>
      <c r="AY22" s="154">
        <f t="shared" si="24"/>
        <v>0</v>
      </c>
      <c r="AZ22" s="77"/>
      <c r="BA22" s="78">
        <f t="shared" si="25"/>
        <v>0</v>
      </c>
      <c r="BB22" s="153"/>
      <c r="BC22" s="154">
        <f t="shared" si="26"/>
        <v>0</v>
      </c>
      <c r="BD22" s="77"/>
      <c r="BE22" s="78">
        <f t="shared" si="27"/>
        <v>0</v>
      </c>
      <c r="BF22" s="153"/>
      <c r="BG22" s="260">
        <f t="shared" si="28"/>
        <v>0</v>
      </c>
      <c r="BH22" s="93"/>
    </row>
    <row r="23" spans="1:967" s="3" customFormat="1" ht="13.5" customHeight="1">
      <c r="A23" s="244">
        <f>Water!A24</f>
        <v>45003</v>
      </c>
      <c r="B23" s="80"/>
      <c r="C23" s="76">
        <f t="shared" si="0"/>
        <v>0</v>
      </c>
      <c r="D23" s="75"/>
      <c r="E23" s="75">
        <f t="shared" si="1"/>
        <v>0</v>
      </c>
      <c r="F23" s="77"/>
      <c r="G23" s="78">
        <f t="shared" si="2"/>
        <v>0</v>
      </c>
      <c r="H23" s="149"/>
      <c r="I23" s="150">
        <f t="shared" si="3"/>
        <v>0</v>
      </c>
      <c r="J23" s="77"/>
      <c r="K23" s="78">
        <f t="shared" si="4"/>
        <v>0</v>
      </c>
      <c r="L23" s="149"/>
      <c r="M23" s="150">
        <f t="shared" si="5"/>
        <v>0</v>
      </c>
      <c r="N23" s="77"/>
      <c r="O23" s="78">
        <f t="shared" si="6"/>
        <v>0</v>
      </c>
      <c r="P23" s="149"/>
      <c r="Q23" s="150">
        <f t="shared" si="7"/>
        <v>0</v>
      </c>
      <c r="R23" s="77"/>
      <c r="S23" s="78">
        <f t="shared" si="8"/>
        <v>0</v>
      </c>
      <c r="T23" s="149"/>
      <c r="U23" s="150">
        <f t="shared" si="9"/>
        <v>0</v>
      </c>
      <c r="V23" s="77"/>
      <c r="W23" s="78">
        <f t="shared" si="10"/>
        <v>0</v>
      </c>
      <c r="X23" s="149"/>
      <c r="Y23" s="150">
        <f t="shared" si="11"/>
        <v>0</v>
      </c>
      <c r="Z23" s="77"/>
      <c r="AA23" s="78">
        <f t="shared" si="12"/>
        <v>0</v>
      </c>
      <c r="AB23" s="149"/>
      <c r="AC23" s="150">
        <f t="shared" si="13"/>
        <v>0</v>
      </c>
      <c r="AD23" s="77"/>
      <c r="AE23" s="78">
        <f t="shared" si="14"/>
        <v>0</v>
      </c>
      <c r="AF23" s="149"/>
      <c r="AG23" s="150">
        <f t="shared" si="15"/>
        <v>0</v>
      </c>
      <c r="AH23" s="77"/>
      <c r="AI23" s="78">
        <f t="shared" si="16"/>
        <v>0</v>
      </c>
      <c r="AJ23" s="78"/>
      <c r="AK23" s="78">
        <f t="shared" si="17"/>
        <v>0</v>
      </c>
      <c r="AL23" s="153"/>
      <c r="AM23" s="154">
        <f t="shared" si="18"/>
        <v>0</v>
      </c>
      <c r="AN23" s="77"/>
      <c r="AO23" s="78">
        <f t="shared" si="19"/>
        <v>0</v>
      </c>
      <c r="AP23" s="153"/>
      <c r="AQ23" s="154">
        <f t="shared" si="20"/>
        <v>0</v>
      </c>
      <c r="AR23" s="77"/>
      <c r="AS23" s="78">
        <f t="shared" si="21"/>
        <v>0</v>
      </c>
      <c r="AT23" s="153"/>
      <c r="AU23" s="154">
        <f t="shared" si="22"/>
        <v>0</v>
      </c>
      <c r="AV23" s="77"/>
      <c r="AW23" s="78">
        <f t="shared" si="23"/>
        <v>0</v>
      </c>
      <c r="AX23" s="153"/>
      <c r="AY23" s="154">
        <f t="shared" si="24"/>
        <v>0</v>
      </c>
      <c r="AZ23" s="77"/>
      <c r="BA23" s="78">
        <f t="shared" si="25"/>
        <v>0</v>
      </c>
      <c r="BB23" s="153"/>
      <c r="BC23" s="154">
        <f t="shared" si="26"/>
        <v>0</v>
      </c>
      <c r="BD23" s="77"/>
      <c r="BE23" s="78">
        <f t="shared" si="27"/>
        <v>0</v>
      </c>
      <c r="BF23" s="153"/>
      <c r="BG23" s="260">
        <f t="shared" si="28"/>
        <v>0</v>
      </c>
      <c r="BH23" s="93"/>
    </row>
    <row r="24" spans="1:967" s="3" customFormat="1" ht="13.5" customHeight="1">
      <c r="A24" s="244">
        <f>Water!A25</f>
        <v>45004</v>
      </c>
      <c r="B24" s="80"/>
      <c r="C24" s="76">
        <f t="shared" si="0"/>
        <v>0</v>
      </c>
      <c r="D24" s="75"/>
      <c r="E24" s="75">
        <f t="shared" si="1"/>
        <v>0</v>
      </c>
      <c r="F24" s="77"/>
      <c r="G24" s="78">
        <f t="shared" si="2"/>
        <v>0</v>
      </c>
      <c r="H24" s="149"/>
      <c r="I24" s="150">
        <f t="shared" si="3"/>
        <v>0</v>
      </c>
      <c r="J24" s="77"/>
      <c r="K24" s="78">
        <f t="shared" si="4"/>
        <v>0</v>
      </c>
      <c r="L24" s="149"/>
      <c r="M24" s="150">
        <f t="shared" si="5"/>
        <v>0</v>
      </c>
      <c r="N24" s="77"/>
      <c r="O24" s="78">
        <f t="shared" si="6"/>
        <v>0</v>
      </c>
      <c r="P24" s="149"/>
      <c r="Q24" s="150">
        <f t="shared" si="7"/>
        <v>0</v>
      </c>
      <c r="R24" s="77"/>
      <c r="S24" s="78">
        <f t="shared" si="8"/>
        <v>0</v>
      </c>
      <c r="T24" s="149"/>
      <c r="U24" s="150">
        <f t="shared" si="9"/>
        <v>0</v>
      </c>
      <c r="V24" s="77"/>
      <c r="W24" s="78">
        <f t="shared" si="10"/>
        <v>0</v>
      </c>
      <c r="X24" s="149"/>
      <c r="Y24" s="150">
        <f t="shared" si="11"/>
        <v>0</v>
      </c>
      <c r="Z24" s="77"/>
      <c r="AA24" s="78">
        <f t="shared" si="12"/>
        <v>0</v>
      </c>
      <c r="AB24" s="149"/>
      <c r="AC24" s="150">
        <f t="shared" si="13"/>
        <v>0</v>
      </c>
      <c r="AD24" s="77"/>
      <c r="AE24" s="78">
        <f t="shared" si="14"/>
        <v>0</v>
      </c>
      <c r="AF24" s="149"/>
      <c r="AG24" s="150">
        <f t="shared" si="15"/>
        <v>0</v>
      </c>
      <c r="AH24" s="77"/>
      <c r="AI24" s="78">
        <f t="shared" si="16"/>
        <v>0</v>
      </c>
      <c r="AJ24" s="78"/>
      <c r="AK24" s="78">
        <f t="shared" si="17"/>
        <v>0</v>
      </c>
      <c r="AL24" s="153"/>
      <c r="AM24" s="154">
        <f t="shared" si="18"/>
        <v>0</v>
      </c>
      <c r="AN24" s="77"/>
      <c r="AO24" s="78">
        <f t="shared" si="19"/>
        <v>0</v>
      </c>
      <c r="AP24" s="153"/>
      <c r="AQ24" s="154">
        <f t="shared" si="20"/>
        <v>0</v>
      </c>
      <c r="AR24" s="77"/>
      <c r="AS24" s="78">
        <f t="shared" si="21"/>
        <v>0</v>
      </c>
      <c r="AT24" s="153"/>
      <c r="AU24" s="154">
        <f t="shared" si="22"/>
        <v>0</v>
      </c>
      <c r="AV24" s="77"/>
      <c r="AW24" s="78">
        <f t="shared" si="23"/>
        <v>0</v>
      </c>
      <c r="AX24" s="153"/>
      <c r="AY24" s="154">
        <f t="shared" si="24"/>
        <v>0</v>
      </c>
      <c r="AZ24" s="77"/>
      <c r="BA24" s="78">
        <f t="shared" si="25"/>
        <v>0</v>
      </c>
      <c r="BB24" s="153"/>
      <c r="BC24" s="154">
        <f t="shared" si="26"/>
        <v>0</v>
      </c>
      <c r="BD24" s="77"/>
      <c r="BE24" s="78">
        <f t="shared" si="27"/>
        <v>0</v>
      </c>
      <c r="BF24" s="153"/>
      <c r="BG24" s="260">
        <f t="shared" si="28"/>
        <v>0</v>
      </c>
      <c r="BH24" s="93"/>
    </row>
    <row r="25" spans="1:967" s="3" customFormat="1" ht="13.5" customHeight="1">
      <c r="A25" s="244">
        <f>Water!A26</f>
        <v>45005</v>
      </c>
      <c r="B25" s="80"/>
      <c r="C25" s="76">
        <f t="shared" si="0"/>
        <v>0</v>
      </c>
      <c r="D25" s="75"/>
      <c r="E25" s="75">
        <f t="shared" si="1"/>
        <v>0</v>
      </c>
      <c r="F25" s="77"/>
      <c r="G25" s="78">
        <f t="shared" si="2"/>
        <v>0</v>
      </c>
      <c r="H25" s="149"/>
      <c r="I25" s="150">
        <f t="shared" si="3"/>
        <v>0</v>
      </c>
      <c r="J25" s="77"/>
      <c r="K25" s="78">
        <f t="shared" si="4"/>
        <v>0</v>
      </c>
      <c r="L25" s="149"/>
      <c r="M25" s="150">
        <f t="shared" si="5"/>
        <v>0</v>
      </c>
      <c r="N25" s="77"/>
      <c r="O25" s="78">
        <f t="shared" si="6"/>
        <v>0</v>
      </c>
      <c r="P25" s="149"/>
      <c r="Q25" s="150">
        <f t="shared" si="7"/>
        <v>0</v>
      </c>
      <c r="R25" s="77"/>
      <c r="S25" s="78">
        <f t="shared" si="8"/>
        <v>0</v>
      </c>
      <c r="T25" s="149"/>
      <c r="U25" s="150">
        <f t="shared" si="9"/>
        <v>0</v>
      </c>
      <c r="V25" s="77"/>
      <c r="W25" s="78">
        <f t="shared" si="10"/>
        <v>0</v>
      </c>
      <c r="X25" s="149"/>
      <c r="Y25" s="150">
        <f t="shared" si="11"/>
        <v>0</v>
      </c>
      <c r="Z25" s="77"/>
      <c r="AA25" s="78">
        <f t="shared" si="12"/>
        <v>0</v>
      </c>
      <c r="AB25" s="149"/>
      <c r="AC25" s="150">
        <f t="shared" si="13"/>
        <v>0</v>
      </c>
      <c r="AD25" s="77"/>
      <c r="AE25" s="78">
        <f t="shared" si="14"/>
        <v>0</v>
      </c>
      <c r="AF25" s="149"/>
      <c r="AG25" s="150">
        <f t="shared" si="15"/>
        <v>0</v>
      </c>
      <c r="AH25" s="77"/>
      <c r="AI25" s="78">
        <f t="shared" si="16"/>
        <v>0</v>
      </c>
      <c r="AJ25" s="78"/>
      <c r="AK25" s="78">
        <f t="shared" si="17"/>
        <v>0</v>
      </c>
      <c r="AL25" s="153"/>
      <c r="AM25" s="154">
        <f t="shared" si="18"/>
        <v>0</v>
      </c>
      <c r="AN25" s="77"/>
      <c r="AO25" s="78">
        <f t="shared" si="19"/>
        <v>0</v>
      </c>
      <c r="AP25" s="153"/>
      <c r="AQ25" s="154">
        <f t="shared" si="20"/>
        <v>0</v>
      </c>
      <c r="AR25" s="77"/>
      <c r="AS25" s="78">
        <f t="shared" si="21"/>
        <v>0</v>
      </c>
      <c r="AT25" s="153"/>
      <c r="AU25" s="154">
        <f t="shared" si="22"/>
        <v>0</v>
      </c>
      <c r="AV25" s="77"/>
      <c r="AW25" s="78">
        <f t="shared" si="23"/>
        <v>0</v>
      </c>
      <c r="AX25" s="153"/>
      <c r="AY25" s="154">
        <f t="shared" si="24"/>
        <v>0</v>
      </c>
      <c r="AZ25" s="77"/>
      <c r="BA25" s="78">
        <f t="shared" si="25"/>
        <v>0</v>
      </c>
      <c r="BB25" s="153"/>
      <c r="BC25" s="154">
        <f t="shared" si="26"/>
        <v>0</v>
      </c>
      <c r="BD25" s="77"/>
      <c r="BE25" s="78">
        <f t="shared" si="27"/>
        <v>0</v>
      </c>
      <c r="BF25" s="153"/>
      <c r="BG25" s="260">
        <f t="shared" si="28"/>
        <v>0</v>
      </c>
      <c r="BH25" s="93"/>
    </row>
    <row r="26" spans="1:967" s="3" customFormat="1" ht="13.5" customHeight="1">
      <c r="A26" s="244">
        <f>Water!A27</f>
        <v>45006</v>
      </c>
      <c r="B26" s="80"/>
      <c r="C26" s="76">
        <f t="shared" si="0"/>
        <v>0</v>
      </c>
      <c r="D26" s="75"/>
      <c r="E26" s="75">
        <f t="shared" si="1"/>
        <v>0</v>
      </c>
      <c r="F26" s="77"/>
      <c r="G26" s="78">
        <f t="shared" si="2"/>
        <v>0</v>
      </c>
      <c r="H26" s="149"/>
      <c r="I26" s="150">
        <f t="shared" si="3"/>
        <v>0</v>
      </c>
      <c r="J26" s="77"/>
      <c r="K26" s="78">
        <f t="shared" si="4"/>
        <v>0</v>
      </c>
      <c r="L26" s="149"/>
      <c r="M26" s="150">
        <f t="shared" si="5"/>
        <v>0</v>
      </c>
      <c r="N26" s="77"/>
      <c r="O26" s="78">
        <f t="shared" si="6"/>
        <v>0</v>
      </c>
      <c r="P26" s="149"/>
      <c r="Q26" s="150">
        <f t="shared" si="7"/>
        <v>0</v>
      </c>
      <c r="R26" s="77"/>
      <c r="S26" s="78">
        <f t="shared" si="8"/>
        <v>0</v>
      </c>
      <c r="T26" s="149"/>
      <c r="U26" s="150">
        <f t="shared" si="9"/>
        <v>0</v>
      </c>
      <c r="V26" s="77"/>
      <c r="W26" s="78">
        <f t="shared" si="10"/>
        <v>0</v>
      </c>
      <c r="X26" s="149"/>
      <c r="Y26" s="150">
        <f t="shared" si="11"/>
        <v>0</v>
      </c>
      <c r="Z26" s="77"/>
      <c r="AA26" s="78">
        <f t="shared" si="12"/>
        <v>0</v>
      </c>
      <c r="AB26" s="149"/>
      <c r="AC26" s="150">
        <f t="shared" si="13"/>
        <v>0</v>
      </c>
      <c r="AD26" s="77"/>
      <c r="AE26" s="78">
        <f t="shared" si="14"/>
        <v>0</v>
      </c>
      <c r="AF26" s="149"/>
      <c r="AG26" s="150">
        <f t="shared" si="15"/>
        <v>0</v>
      </c>
      <c r="AH26" s="77"/>
      <c r="AI26" s="78">
        <f t="shared" si="16"/>
        <v>0</v>
      </c>
      <c r="AJ26" s="78"/>
      <c r="AK26" s="78">
        <f t="shared" si="17"/>
        <v>0</v>
      </c>
      <c r="AL26" s="153"/>
      <c r="AM26" s="154">
        <f t="shared" si="18"/>
        <v>0</v>
      </c>
      <c r="AN26" s="77"/>
      <c r="AO26" s="78">
        <f t="shared" si="19"/>
        <v>0</v>
      </c>
      <c r="AP26" s="153"/>
      <c r="AQ26" s="154">
        <f t="shared" si="20"/>
        <v>0</v>
      </c>
      <c r="AR26" s="77"/>
      <c r="AS26" s="78">
        <f t="shared" si="21"/>
        <v>0</v>
      </c>
      <c r="AT26" s="153"/>
      <c r="AU26" s="154">
        <f t="shared" si="22"/>
        <v>0</v>
      </c>
      <c r="AV26" s="77"/>
      <c r="AW26" s="78">
        <f t="shared" si="23"/>
        <v>0</v>
      </c>
      <c r="AX26" s="153"/>
      <c r="AY26" s="154">
        <f t="shared" si="24"/>
        <v>0</v>
      </c>
      <c r="AZ26" s="77"/>
      <c r="BA26" s="78">
        <f t="shared" si="25"/>
        <v>0</v>
      </c>
      <c r="BB26" s="153"/>
      <c r="BC26" s="154">
        <f t="shared" si="26"/>
        <v>0</v>
      </c>
      <c r="BD26" s="77"/>
      <c r="BE26" s="78">
        <f t="shared" si="27"/>
        <v>0</v>
      </c>
      <c r="BF26" s="153"/>
      <c r="BG26" s="260">
        <f t="shared" si="28"/>
        <v>0</v>
      </c>
      <c r="BH26" s="93"/>
    </row>
    <row r="27" spans="1:967" s="3" customFormat="1" ht="13.5" customHeight="1">
      <c r="A27" s="244">
        <f>Water!A28</f>
        <v>45007</v>
      </c>
      <c r="B27" s="80"/>
      <c r="C27" s="76">
        <f t="shared" si="0"/>
        <v>0</v>
      </c>
      <c r="D27" s="75"/>
      <c r="E27" s="75">
        <f t="shared" si="1"/>
        <v>0</v>
      </c>
      <c r="F27" s="77"/>
      <c r="G27" s="78">
        <f t="shared" si="2"/>
        <v>0</v>
      </c>
      <c r="H27" s="149"/>
      <c r="I27" s="150">
        <f t="shared" si="3"/>
        <v>0</v>
      </c>
      <c r="J27" s="77"/>
      <c r="K27" s="78">
        <f t="shared" si="4"/>
        <v>0</v>
      </c>
      <c r="L27" s="149"/>
      <c r="M27" s="150">
        <f t="shared" si="5"/>
        <v>0</v>
      </c>
      <c r="N27" s="77"/>
      <c r="O27" s="78">
        <f t="shared" si="6"/>
        <v>0</v>
      </c>
      <c r="P27" s="149"/>
      <c r="Q27" s="150">
        <f t="shared" si="7"/>
        <v>0</v>
      </c>
      <c r="R27" s="77"/>
      <c r="S27" s="78">
        <f t="shared" si="8"/>
        <v>0</v>
      </c>
      <c r="T27" s="149"/>
      <c r="U27" s="150">
        <f t="shared" si="9"/>
        <v>0</v>
      </c>
      <c r="V27" s="77"/>
      <c r="W27" s="78">
        <f t="shared" si="10"/>
        <v>0</v>
      </c>
      <c r="X27" s="149"/>
      <c r="Y27" s="150">
        <f t="shared" si="11"/>
        <v>0</v>
      </c>
      <c r="Z27" s="77"/>
      <c r="AA27" s="78">
        <f t="shared" si="12"/>
        <v>0</v>
      </c>
      <c r="AB27" s="149"/>
      <c r="AC27" s="150">
        <f t="shared" si="13"/>
        <v>0</v>
      </c>
      <c r="AD27" s="77"/>
      <c r="AE27" s="78">
        <f t="shared" si="14"/>
        <v>0</v>
      </c>
      <c r="AF27" s="149"/>
      <c r="AG27" s="150">
        <f t="shared" si="15"/>
        <v>0</v>
      </c>
      <c r="AH27" s="77"/>
      <c r="AI27" s="78">
        <f t="shared" si="16"/>
        <v>0</v>
      </c>
      <c r="AJ27" s="78"/>
      <c r="AK27" s="78">
        <f t="shared" si="17"/>
        <v>0</v>
      </c>
      <c r="AL27" s="153"/>
      <c r="AM27" s="154">
        <f t="shared" si="18"/>
        <v>0</v>
      </c>
      <c r="AN27" s="77"/>
      <c r="AO27" s="78">
        <f t="shared" si="19"/>
        <v>0</v>
      </c>
      <c r="AP27" s="153"/>
      <c r="AQ27" s="154">
        <f t="shared" si="20"/>
        <v>0</v>
      </c>
      <c r="AR27" s="77"/>
      <c r="AS27" s="78">
        <f t="shared" si="21"/>
        <v>0</v>
      </c>
      <c r="AT27" s="153"/>
      <c r="AU27" s="154">
        <f t="shared" si="22"/>
        <v>0</v>
      </c>
      <c r="AV27" s="77"/>
      <c r="AW27" s="78">
        <f t="shared" si="23"/>
        <v>0</v>
      </c>
      <c r="AX27" s="153"/>
      <c r="AY27" s="154">
        <f t="shared" si="24"/>
        <v>0</v>
      </c>
      <c r="AZ27" s="77"/>
      <c r="BA27" s="78">
        <f t="shared" si="25"/>
        <v>0</v>
      </c>
      <c r="BB27" s="153"/>
      <c r="BC27" s="154">
        <f t="shared" si="26"/>
        <v>0</v>
      </c>
      <c r="BD27" s="77"/>
      <c r="BE27" s="78">
        <f t="shared" si="27"/>
        <v>0</v>
      </c>
      <c r="BF27" s="153"/>
      <c r="BG27" s="260">
        <f t="shared" si="28"/>
        <v>0</v>
      </c>
      <c r="BH27" s="93"/>
    </row>
    <row r="28" spans="1:967" s="3" customFormat="1" ht="13.5" customHeight="1">
      <c r="A28" s="244">
        <f>Water!A29</f>
        <v>45008</v>
      </c>
      <c r="B28" s="80"/>
      <c r="C28" s="76">
        <f t="shared" si="0"/>
        <v>0</v>
      </c>
      <c r="D28" s="75"/>
      <c r="E28" s="75">
        <f t="shared" si="1"/>
        <v>0</v>
      </c>
      <c r="F28" s="77"/>
      <c r="G28" s="78">
        <f t="shared" si="2"/>
        <v>0</v>
      </c>
      <c r="H28" s="149"/>
      <c r="I28" s="150">
        <f t="shared" si="3"/>
        <v>0</v>
      </c>
      <c r="J28" s="77"/>
      <c r="K28" s="78">
        <f t="shared" si="4"/>
        <v>0</v>
      </c>
      <c r="L28" s="149"/>
      <c r="M28" s="150">
        <f t="shared" si="5"/>
        <v>0</v>
      </c>
      <c r="N28" s="77"/>
      <c r="O28" s="78">
        <f t="shared" si="6"/>
        <v>0</v>
      </c>
      <c r="P28" s="149"/>
      <c r="Q28" s="150">
        <f t="shared" si="7"/>
        <v>0</v>
      </c>
      <c r="R28" s="77"/>
      <c r="S28" s="78">
        <f t="shared" si="8"/>
        <v>0</v>
      </c>
      <c r="T28" s="149"/>
      <c r="U28" s="150">
        <f t="shared" si="9"/>
        <v>0</v>
      </c>
      <c r="V28" s="77"/>
      <c r="W28" s="78">
        <f t="shared" si="10"/>
        <v>0</v>
      </c>
      <c r="X28" s="149"/>
      <c r="Y28" s="150">
        <f t="shared" si="11"/>
        <v>0</v>
      </c>
      <c r="Z28" s="77"/>
      <c r="AA28" s="78">
        <f t="shared" si="12"/>
        <v>0</v>
      </c>
      <c r="AB28" s="149"/>
      <c r="AC28" s="150">
        <f t="shared" si="13"/>
        <v>0</v>
      </c>
      <c r="AD28" s="77"/>
      <c r="AE28" s="78">
        <f t="shared" si="14"/>
        <v>0</v>
      </c>
      <c r="AF28" s="149"/>
      <c r="AG28" s="150">
        <f t="shared" si="15"/>
        <v>0</v>
      </c>
      <c r="AH28" s="77"/>
      <c r="AI28" s="78">
        <f t="shared" si="16"/>
        <v>0</v>
      </c>
      <c r="AJ28" s="78"/>
      <c r="AK28" s="78">
        <f t="shared" si="17"/>
        <v>0</v>
      </c>
      <c r="AL28" s="153"/>
      <c r="AM28" s="154">
        <f t="shared" si="18"/>
        <v>0</v>
      </c>
      <c r="AN28" s="77"/>
      <c r="AO28" s="78">
        <f t="shared" si="19"/>
        <v>0</v>
      </c>
      <c r="AP28" s="153"/>
      <c r="AQ28" s="154">
        <f t="shared" si="20"/>
        <v>0</v>
      </c>
      <c r="AR28" s="77"/>
      <c r="AS28" s="78">
        <f t="shared" si="21"/>
        <v>0</v>
      </c>
      <c r="AT28" s="153"/>
      <c r="AU28" s="154">
        <f t="shared" si="22"/>
        <v>0</v>
      </c>
      <c r="AV28" s="77"/>
      <c r="AW28" s="78">
        <f t="shared" si="23"/>
        <v>0</v>
      </c>
      <c r="AX28" s="153"/>
      <c r="AY28" s="154">
        <f t="shared" si="24"/>
        <v>0</v>
      </c>
      <c r="AZ28" s="77"/>
      <c r="BA28" s="78">
        <f t="shared" si="25"/>
        <v>0</v>
      </c>
      <c r="BB28" s="153"/>
      <c r="BC28" s="154">
        <f t="shared" si="26"/>
        <v>0</v>
      </c>
      <c r="BD28" s="77"/>
      <c r="BE28" s="78">
        <f t="shared" si="27"/>
        <v>0</v>
      </c>
      <c r="BF28" s="153"/>
      <c r="BG28" s="260">
        <f t="shared" si="28"/>
        <v>0</v>
      </c>
      <c r="BH28" s="93"/>
    </row>
    <row r="29" spans="1:967" s="15" customFormat="1" ht="13.5" customHeight="1">
      <c r="A29" s="244">
        <f>Water!A30</f>
        <v>45009</v>
      </c>
      <c r="B29" s="80"/>
      <c r="C29" s="76">
        <f t="shared" si="0"/>
        <v>0</v>
      </c>
      <c r="D29" s="75"/>
      <c r="E29" s="75">
        <f t="shared" si="1"/>
        <v>0</v>
      </c>
      <c r="F29" s="77"/>
      <c r="G29" s="78">
        <f t="shared" si="2"/>
        <v>0</v>
      </c>
      <c r="H29" s="149"/>
      <c r="I29" s="150">
        <f t="shared" si="3"/>
        <v>0</v>
      </c>
      <c r="J29" s="77"/>
      <c r="K29" s="78">
        <f t="shared" si="4"/>
        <v>0</v>
      </c>
      <c r="L29" s="149"/>
      <c r="M29" s="150">
        <f t="shared" si="5"/>
        <v>0</v>
      </c>
      <c r="N29" s="77"/>
      <c r="O29" s="78">
        <f t="shared" si="6"/>
        <v>0</v>
      </c>
      <c r="P29" s="149"/>
      <c r="Q29" s="150">
        <f t="shared" si="7"/>
        <v>0</v>
      </c>
      <c r="R29" s="77"/>
      <c r="S29" s="78">
        <f t="shared" si="8"/>
        <v>0</v>
      </c>
      <c r="T29" s="149"/>
      <c r="U29" s="150">
        <f t="shared" si="9"/>
        <v>0</v>
      </c>
      <c r="V29" s="77"/>
      <c r="W29" s="78">
        <f t="shared" si="10"/>
        <v>0</v>
      </c>
      <c r="X29" s="149"/>
      <c r="Y29" s="150">
        <f t="shared" si="11"/>
        <v>0</v>
      </c>
      <c r="Z29" s="77"/>
      <c r="AA29" s="78">
        <f t="shared" si="12"/>
        <v>0</v>
      </c>
      <c r="AB29" s="149"/>
      <c r="AC29" s="150">
        <f t="shared" si="13"/>
        <v>0</v>
      </c>
      <c r="AD29" s="77"/>
      <c r="AE29" s="78">
        <f t="shared" si="14"/>
        <v>0</v>
      </c>
      <c r="AF29" s="149"/>
      <c r="AG29" s="150">
        <f t="shared" si="15"/>
        <v>0</v>
      </c>
      <c r="AH29" s="77"/>
      <c r="AI29" s="78">
        <f t="shared" si="16"/>
        <v>0</v>
      </c>
      <c r="AJ29" s="78"/>
      <c r="AK29" s="78">
        <f t="shared" si="17"/>
        <v>0</v>
      </c>
      <c r="AL29" s="153"/>
      <c r="AM29" s="154">
        <f t="shared" si="18"/>
        <v>0</v>
      </c>
      <c r="AN29" s="77"/>
      <c r="AO29" s="78">
        <f t="shared" si="19"/>
        <v>0</v>
      </c>
      <c r="AP29" s="153"/>
      <c r="AQ29" s="154">
        <f t="shared" si="20"/>
        <v>0</v>
      </c>
      <c r="AR29" s="77"/>
      <c r="AS29" s="78">
        <f t="shared" si="21"/>
        <v>0</v>
      </c>
      <c r="AT29" s="153"/>
      <c r="AU29" s="154">
        <f t="shared" si="22"/>
        <v>0</v>
      </c>
      <c r="AV29" s="77"/>
      <c r="AW29" s="78">
        <f t="shared" si="23"/>
        <v>0</v>
      </c>
      <c r="AX29" s="153"/>
      <c r="AY29" s="154">
        <f t="shared" si="24"/>
        <v>0</v>
      </c>
      <c r="AZ29" s="77"/>
      <c r="BA29" s="78">
        <f t="shared" si="25"/>
        <v>0</v>
      </c>
      <c r="BB29" s="153"/>
      <c r="BC29" s="154">
        <f t="shared" si="26"/>
        <v>0</v>
      </c>
      <c r="BD29" s="77"/>
      <c r="BE29" s="78">
        <f t="shared" si="27"/>
        <v>0</v>
      </c>
      <c r="BF29" s="153"/>
      <c r="BG29" s="260">
        <f t="shared" si="28"/>
        <v>0</v>
      </c>
      <c r="BH29" s="93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  <c r="NV29" s="8"/>
      <c r="NW29" s="8"/>
      <c r="NX29" s="8"/>
      <c r="NY29" s="8"/>
      <c r="NZ29" s="8"/>
      <c r="OA29" s="8"/>
      <c r="OB29" s="8"/>
      <c r="OC29" s="8"/>
      <c r="OD29" s="8"/>
      <c r="OE29" s="8"/>
      <c r="OF29" s="8"/>
      <c r="OG29" s="8"/>
      <c r="OH29" s="8"/>
      <c r="OI29" s="8"/>
      <c r="OJ29" s="8"/>
      <c r="OK29" s="8"/>
      <c r="OL29" s="8"/>
      <c r="OM29" s="8"/>
      <c r="ON29" s="8"/>
      <c r="OO29" s="8"/>
      <c r="OP29" s="8"/>
      <c r="OQ29" s="8"/>
      <c r="OR29" s="8"/>
      <c r="OS29" s="8"/>
      <c r="OT29" s="8"/>
      <c r="OU29" s="8"/>
      <c r="OV29" s="8"/>
      <c r="OW29" s="8"/>
      <c r="OX29" s="8"/>
      <c r="OY29" s="8"/>
      <c r="OZ29" s="8"/>
      <c r="PA29" s="8"/>
      <c r="PB29" s="8"/>
      <c r="PC29" s="8"/>
      <c r="PD29" s="8"/>
      <c r="PE29" s="8"/>
      <c r="PF29" s="8"/>
      <c r="PG29" s="8"/>
      <c r="PH29" s="8"/>
      <c r="PI29" s="8"/>
      <c r="PJ29" s="8"/>
      <c r="PK29" s="8"/>
      <c r="PL29" s="8"/>
      <c r="PM29" s="8"/>
      <c r="PN29" s="8"/>
      <c r="PO29" s="8"/>
      <c r="PP29" s="8"/>
      <c r="PQ29" s="8"/>
      <c r="PR29" s="8"/>
      <c r="PS29" s="8"/>
      <c r="PT29" s="8"/>
      <c r="PU29" s="8"/>
      <c r="PV29" s="8"/>
      <c r="PW29" s="8"/>
      <c r="PX29" s="8"/>
      <c r="PY29" s="8"/>
      <c r="PZ29" s="8"/>
      <c r="QA29" s="8"/>
      <c r="QB29" s="8"/>
      <c r="QC29" s="8"/>
      <c r="QD29" s="8"/>
      <c r="QE29" s="8"/>
      <c r="QF29" s="8"/>
      <c r="QG29" s="8"/>
      <c r="QH29" s="8"/>
      <c r="QI29" s="8"/>
      <c r="QJ29" s="8"/>
      <c r="QK29" s="8"/>
      <c r="QL29" s="8"/>
      <c r="QM29" s="8"/>
      <c r="QN29" s="8"/>
      <c r="QO29" s="8"/>
      <c r="QP29" s="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8"/>
      <c r="RC29" s="8"/>
      <c r="RD29" s="8"/>
      <c r="RE29" s="8"/>
      <c r="RF29" s="8"/>
      <c r="RG29" s="8"/>
      <c r="RH29" s="8"/>
      <c r="RI29" s="8"/>
      <c r="RJ29" s="8"/>
      <c r="RK29" s="8"/>
      <c r="RL29" s="8"/>
      <c r="RM29" s="8"/>
      <c r="RN29" s="8"/>
      <c r="RO29" s="8"/>
      <c r="RP29" s="8"/>
      <c r="RQ29" s="8"/>
      <c r="RR29" s="8"/>
      <c r="RS29" s="8"/>
      <c r="RT29" s="8"/>
      <c r="RU29" s="8"/>
      <c r="RV29" s="8"/>
      <c r="RW29" s="8"/>
      <c r="RX29" s="8"/>
      <c r="RY29" s="8"/>
      <c r="RZ29" s="8"/>
      <c r="SA29" s="8"/>
      <c r="SB29" s="8"/>
      <c r="SC29" s="8"/>
      <c r="SD29" s="8"/>
      <c r="SE29" s="8"/>
      <c r="SF29" s="8"/>
      <c r="SG29" s="8"/>
      <c r="SH29" s="8"/>
      <c r="SI29" s="8"/>
      <c r="SJ29" s="8"/>
      <c r="SK29" s="8"/>
      <c r="SL29" s="8"/>
      <c r="SM29" s="8"/>
      <c r="SN29" s="8"/>
      <c r="SO29" s="8"/>
      <c r="SP29" s="8"/>
      <c r="SQ29" s="8"/>
      <c r="SR29" s="8"/>
      <c r="SS29" s="8"/>
      <c r="ST29" s="8"/>
      <c r="SU29" s="8"/>
      <c r="SV29" s="8"/>
      <c r="SW29" s="8"/>
      <c r="SX29" s="8"/>
      <c r="SY29" s="8"/>
      <c r="SZ29" s="8"/>
      <c r="TA29" s="8"/>
      <c r="TB29" s="8"/>
      <c r="TC29" s="8"/>
      <c r="TD29" s="8"/>
      <c r="TE29" s="8"/>
      <c r="TF29" s="8"/>
      <c r="TG29" s="8"/>
      <c r="TH29" s="8"/>
      <c r="TI29" s="8"/>
      <c r="TJ29" s="8"/>
      <c r="TK29" s="8"/>
      <c r="TL29" s="8"/>
      <c r="TM29" s="8"/>
      <c r="TN29" s="8"/>
      <c r="TO29" s="8"/>
      <c r="TP29" s="8"/>
      <c r="TQ29" s="8"/>
      <c r="TR29" s="8"/>
      <c r="TS29" s="8"/>
      <c r="TT29" s="8"/>
      <c r="TU29" s="8"/>
      <c r="TV29" s="8"/>
      <c r="TW29" s="8"/>
      <c r="TX29" s="8"/>
      <c r="TY29" s="8"/>
      <c r="TZ29" s="8"/>
      <c r="UA29" s="8"/>
      <c r="UB29" s="8"/>
      <c r="UC29" s="8"/>
      <c r="UD29" s="8"/>
      <c r="UE29" s="8"/>
      <c r="UF29" s="8"/>
      <c r="UG29" s="8"/>
      <c r="UH29" s="8"/>
      <c r="UI29" s="8"/>
      <c r="UJ29" s="8"/>
      <c r="UK29" s="8"/>
      <c r="UL29" s="8"/>
      <c r="UM29" s="8"/>
      <c r="UN29" s="8"/>
      <c r="UO29" s="8"/>
      <c r="UP29" s="8"/>
      <c r="UQ29" s="8"/>
      <c r="UR29" s="8"/>
      <c r="US29" s="8"/>
      <c r="UT29" s="8"/>
      <c r="UU29" s="8"/>
      <c r="UV29" s="8"/>
      <c r="UW29" s="8"/>
      <c r="UX29" s="8"/>
      <c r="UY29" s="8"/>
      <c r="UZ29" s="8"/>
      <c r="VA29" s="8"/>
      <c r="VB29" s="8"/>
      <c r="VC29" s="8"/>
      <c r="VD29" s="8"/>
      <c r="VE29" s="8"/>
      <c r="VF29" s="8"/>
      <c r="VG29" s="8"/>
      <c r="VH29" s="8"/>
      <c r="VI29" s="8"/>
      <c r="VJ29" s="8"/>
      <c r="VK29" s="8"/>
      <c r="VL29" s="8"/>
      <c r="VM29" s="8"/>
      <c r="VN29" s="8"/>
      <c r="VO29" s="8"/>
      <c r="VP29" s="8"/>
      <c r="VQ29" s="8"/>
      <c r="VR29" s="8"/>
      <c r="VS29" s="8"/>
      <c r="VT29" s="8"/>
      <c r="VU29" s="8"/>
      <c r="VV29" s="8"/>
      <c r="VW29" s="8"/>
      <c r="VX29" s="8"/>
      <c r="VY29" s="8"/>
      <c r="VZ29" s="8"/>
      <c r="WA29" s="8"/>
      <c r="WB29" s="8"/>
      <c r="WC29" s="8"/>
      <c r="WD29" s="8"/>
      <c r="WE29" s="8"/>
      <c r="WF29" s="8"/>
      <c r="WG29" s="8"/>
      <c r="WH29" s="8"/>
      <c r="WI29" s="8"/>
      <c r="WJ29" s="8"/>
      <c r="WK29" s="8"/>
      <c r="WL29" s="8"/>
      <c r="WM29" s="8"/>
      <c r="WN29" s="8"/>
      <c r="WO29" s="8"/>
      <c r="WP29" s="8"/>
      <c r="WQ29" s="8"/>
      <c r="WR29" s="8"/>
      <c r="WS29" s="8"/>
      <c r="WT29" s="8"/>
      <c r="WU29" s="8"/>
      <c r="WV29" s="8"/>
      <c r="WW29" s="8"/>
      <c r="WX29" s="8"/>
      <c r="WY29" s="8"/>
      <c r="WZ29" s="8"/>
      <c r="XA29" s="8"/>
      <c r="XB29" s="8"/>
      <c r="XC29" s="8"/>
      <c r="XD29" s="8"/>
      <c r="XE29" s="8"/>
      <c r="XF29" s="8"/>
      <c r="XG29" s="8"/>
      <c r="XH29" s="8"/>
      <c r="XI29" s="8"/>
      <c r="XJ29" s="8"/>
      <c r="XK29" s="8"/>
      <c r="XL29" s="8"/>
      <c r="XM29" s="8"/>
      <c r="XN29" s="8"/>
      <c r="XO29" s="8"/>
      <c r="XP29" s="8"/>
      <c r="XQ29" s="8"/>
      <c r="XR29" s="8"/>
      <c r="XS29" s="8"/>
      <c r="XT29" s="8"/>
      <c r="XU29" s="8"/>
      <c r="XV29" s="8"/>
      <c r="XW29" s="8"/>
      <c r="XX29" s="8"/>
      <c r="XY29" s="8"/>
      <c r="XZ29" s="8"/>
      <c r="YA29" s="8"/>
      <c r="YB29" s="8"/>
      <c r="YC29" s="8"/>
      <c r="YD29" s="8"/>
      <c r="YE29" s="8"/>
      <c r="YF29" s="8"/>
      <c r="YG29" s="8"/>
      <c r="YH29" s="8"/>
      <c r="YI29" s="8"/>
      <c r="YJ29" s="8"/>
      <c r="YK29" s="8"/>
      <c r="YL29" s="8"/>
      <c r="YM29" s="8"/>
      <c r="YN29" s="8"/>
      <c r="YO29" s="8"/>
      <c r="YP29" s="8"/>
      <c r="YQ29" s="8"/>
      <c r="YR29" s="8"/>
      <c r="YS29" s="8"/>
      <c r="YT29" s="8"/>
      <c r="YU29" s="8"/>
      <c r="YV29" s="8"/>
      <c r="YW29" s="8"/>
      <c r="YX29" s="8"/>
      <c r="YY29" s="8"/>
      <c r="YZ29" s="8"/>
      <c r="ZA29" s="8"/>
      <c r="ZB29" s="8"/>
      <c r="ZC29" s="8"/>
      <c r="ZD29" s="8"/>
      <c r="ZE29" s="8"/>
      <c r="ZF29" s="8"/>
      <c r="ZG29" s="8"/>
      <c r="ZH29" s="8"/>
      <c r="ZI29" s="8"/>
      <c r="ZJ29" s="8"/>
      <c r="ZK29" s="8"/>
      <c r="ZL29" s="8"/>
      <c r="ZM29" s="8"/>
      <c r="ZN29" s="8"/>
      <c r="ZO29" s="8"/>
      <c r="ZP29" s="8"/>
      <c r="ZQ29" s="8"/>
      <c r="ZR29" s="8"/>
      <c r="ZS29" s="8"/>
      <c r="ZT29" s="8"/>
      <c r="ZU29" s="8"/>
      <c r="ZV29" s="8"/>
      <c r="ZW29" s="8"/>
      <c r="ZX29" s="8"/>
      <c r="ZY29" s="8"/>
      <c r="ZZ29" s="8"/>
      <c r="AAA29" s="8"/>
      <c r="AAB29" s="8"/>
      <c r="AAC29" s="8"/>
      <c r="AAD29" s="8"/>
      <c r="AAE29" s="8"/>
      <c r="AAF29" s="8"/>
      <c r="AAG29" s="8"/>
      <c r="AAH29" s="8"/>
      <c r="AAI29" s="8"/>
      <c r="AAJ29" s="8"/>
      <c r="AAK29" s="8"/>
      <c r="AAL29" s="8"/>
      <c r="AAM29" s="8"/>
      <c r="AAN29" s="8"/>
      <c r="AAO29" s="8"/>
      <c r="AAP29" s="8"/>
      <c r="AAQ29" s="8"/>
      <c r="AAR29" s="8"/>
      <c r="AAS29" s="8"/>
      <c r="AAT29" s="8"/>
      <c r="AAU29" s="8"/>
      <c r="AAV29" s="8"/>
      <c r="AAW29" s="8"/>
      <c r="AAX29" s="8"/>
      <c r="AAY29" s="8"/>
      <c r="AAZ29" s="8"/>
      <c r="ABA29" s="8"/>
      <c r="ABB29" s="8"/>
      <c r="ABC29" s="8"/>
      <c r="ABD29" s="8"/>
      <c r="ABE29" s="8"/>
      <c r="ABF29" s="8"/>
      <c r="ABG29" s="8"/>
      <c r="ABH29" s="8"/>
      <c r="ABI29" s="8"/>
      <c r="ABJ29" s="8"/>
      <c r="ABK29" s="8"/>
      <c r="ABL29" s="8"/>
      <c r="ABM29" s="8"/>
      <c r="ABN29" s="8"/>
      <c r="ABO29" s="8"/>
      <c r="ABP29" s="8"/>
      <c r="ABQ29" s="8"/>
      <c r="ABR29" s="8"/>
      <c r="ABS29" s="8"/>
      <c r="ABT29" s="8"/>
      <c r="ABU29" s="8"/>
      <c r="ABV29" s="8"/>
      <c r="ABW29" s="8"/>
      <c r="ABX29" s="8"/>
      <c r="ABY29" s="8"/>
      <c r="ABZ29" s="8"/>
      <c r="ACA29" s="8"/>
      <c r="ACB29" s="8"/>
      <c r="ACC29" s="8"/>
      <c r="ACD29" s="8"/>
      <c r="ACE29" s="8"/>
      <c r="ACF29" s="8"/>
      <c r="ACG29" s="8"/>
      <c r="ACH29" s="8"/>
      <c r="ACI29" s="8"/>
      <c r="ACJ29" s="8"/>
      <c r="ACK29" s="8"/>
      <c r="ACL29" s="8"/>
      <c r="ACM29" s="8"/>
      <c r="ACN29" s="8"/>
      <c r="ACO29" s="8"/>
      <c r="ACP29" s="8"/>
      <c r="ACQ29" s="8"/>
      <c r="ACR29" s="8"/>
      <c r="ACS29" s="8"/>
      <c r="ACT29" s="8"/>
      <c r="ACU29" s="8"/>
      <c r="ACV29" s="8"/>
      <c r="ACW29" s="8"/>
      <c r="ACX29" s="8"/>
      <c r="ACY29" s="8"/>
      <c r="ACZ29" s="8"/>
      <c r="ADA29" s="8"/>
      <c r="ADB29" s="8"/>
      <c r="ADC29" s="8"/>
      <c r="ADD29" s="8"/>
      <c r="ADE29" s="8"/>
      <c r="ADF29" s="8"/>
      <c r="ADG29" s="8"/>
      <c r="ADH29" s="8"/>
      <c r="ADI29" s="8"/>
      <c r="ADJ29" s="8"/>
      <c r="ADK29" s="8"/>
      <c r="ADL29" s="8"/>
      <c r="ADM29" s="8"/>
      <c r="ADN29" s="8"/>
      <c r="ADO29" s="8"/>
      <c r="ADP29" s="8"/>
      <c r="ADQ29" s="8"/>
      <c r="ADR29" s="8"/>
      <c r="ADS29" s="8"/>
      <c r="ADT29" s="8"/>
      <c r="ADU29" s="8"/>
      <c r="ADV29" s="8"/>
      <c r="ADW29" s="8"/>
      <c r="ADX29" s="8"/>
      <c r="ADY29" s="8"/>
      <c r="ADZ29" s="8"/>
      <c r="AEA29" s="8"/>
      <c r="AEB29" s="8"/>
      <c r="AEC29" s="8"/>
      <c r="AED29" s="8"/>
      <c r="AEE29" s="8"/>
      <c r="AEF29" s="8"/>
      <c r="AEG29" s="8"/>
      <c r="AEH29" s="8"/>
      <c r="AEI29" s="8"/>
      <c r="AEJ29" s="8"/>
      <c r="AEK29" s="8"/>
      <c r="AEL29" s="8"/>
      <c r="AEM29" s="8"/>
      <c r="AEN29" s="8"/>
      <c r="AEO29" s="8"/>
      <c r="AEP29" s="8"/>
      <c r="AEQ29" s="8"/>
      <c r="AER29" s="8"/>
      <c r="AES29" s="8"/>
      <c r="AET29" s="8"/>
      <c r="AEU29" s="8"/>
      <c r="AEV29" s="8"/>
      <c r="AEW29" s="8"/>
      <c r="AEX29" s="8"/>
      <c r="AEY29" s="8"/>
      <c r="AEZ29" s="8"/>
      <c r="AFA29" s="8"/>
      <c r="AFB29" s="8"/>
      <c r="AFC29" s="8"/>
      <c r="AFD29" s="8"/>
      <c r="AFE29" s="8"/>
      <c r="AFF29" s="8"/>
      <c r="AFG29" s="8"/>
      <c r="AFH29" s="8"/>
      <c r="AFI29" s="8"/>
      <c r="AFJ29" s="8"/>
      <c r="AFK29" s="8"/>
      <c r="AFL29" s="8"/>
      <c r="AFM29" s="8"/>
      <c r="AFN29" s="8"/>
      <c r="AFO29" s="8"/>
      <c r="AFP29" s="8"/>
      <c r="AFQ29" s="8"/>
      <c r="AFR29" s="8"/>
      <c r="AFS29" s="8"/>
      <c r="AFT29" s="8"/>
      <c r="AFU29" s="8"/>
      <c r="AFV29" s="8"/>
      <c r="AFW29" s="8"/>
      <c r="AFX29" s="8"/>
      <c r="AFY29" s="8"/>
      <c r="AFZ29" s="8"/>
      <c r="AGA29" s="8"/>
      <c r="AGB29" s="8"/>
      <c r="AGC29" s="8"/>
      <c r="AGD29" s="8"/>
      <c r="AGE29" s="8"/>
      <c r="AGF29" s="8"/>
      <c r="AGG29" s="8"/>
      <c r="AGH29" s="8"/>
      <c r="AGI29" s="8"/>
      <c r="AGJ29" s="8"/>
      <c r="AGK29" s="8"/>
      <c r="AGL29" s="8"/>
      <c r="AGM29" s="8"/>
      <c r="AGN29" s="8"/>
      <c r="AGO29" s="8"/>
      <c r="AGP29" s="8"/>
      <c r="AGQ29" s="8"/>
      <c r="AGR29" s="8"/>
      <c r="AGS29" s="8"/>
      <c r="AGT29" s="8"/>
      <c r="AGU29" s="8"/>
      <c r="AGV29" s="8"/>
      <c r="AGW29" s="8"/>
      <c r="AGX29" s="8"/>
      <c r="AGY29" s="8"/>
      <c r="AGZ29" s="8"/>
      <c r="AHA29" s="8"/>
      <c r="AHB29" s="8"/>
      <c r="AHC29" s="8"/>
      <c r="AHD29" s="8"/>
      <c r="AHE29" s="8"/>
      <c r="AHF29" s="8"/>
      <c r="AHG29" s="8"/>
      <c r="AHH29" s="8"/>
      <c r="AHI29" s="8"/>
      <c r="AHJ29" s="8"/>
      <c r="AHK29" s="8"/>
      <c r="AHL29" s="8"/>
      <c r="AHM29" s="8"/>
      <c r="AHN29" s="8"/>
      <c r="AHO29" s="8"/>
      <c r="AHP29" s="8"/>
      <c r="AHQ29" s="8"/>
      <c r="AHR29" s="8"/>
      <c r="AHS29" s="8"/>
      <c r="AHT29" s="8"/>
      <c r="AHU29" s="8"/>
      <c r="AHV29" s="8"/>
      <c r="AHW29" s="8"/>
      <c r="AHX29" s="8"/>
      <c r="AHY29" s="8"/>
      <c r="AHZ29" s="8"/>
      <c r="AIA29" s="8"/>
      <c r="AIB29" s="8"/>
      <c r="AIC29" s="8"/>
      <c r="AID29" s="8"/>
      <c r="AIE29" s="8"/>
      <c r="AIF29" s="8"/>
      <c r="AIG29" s="8"/>
      <c r="AIH29" s="8"/>
      <c r="AII29" s="8"/>
      <c r="AIJ29" s="8"/>
      <c r="AIK29" s="8"/>
      <c r="AIL29" s="8"/>
      <c r="AIM29" s="8"/>
      <c r="AIN29" s="8"/>
      <c r="AIO29" s="8"/>
      <c r="AIP29" s="8"/>
      <c r="AIQ29" s="8"/>
      <c r="AIR29" s="8"/>
      <c r="AIS29" s="8"/>
      <c r="AIT29" s="8"/>
      <c r="AIU29" s="8"/>
      <c r="AIV29" s="8"/>
      <c r="AIW29" s="8"/>
      <c r="AIX29" s="8"/>
      <c r="AIY29" s="8"/>
      <c r="AIZ29" s="8"/>
      <c r="AJA29" s="8"/>
      <c r="AJB29" s="8"/>
      <c r="AJC29" s="8"/>
      <c r="AJD29" s="8"/>
      <c r="AJE29" s="8"/>
      <c r="AJF29" s="8"/>
      <c r="AJG29" s="8"/>
      <c r="AJH29" s="8"/>
      <c r="AJI29" s="8"/>
      <c r="AJJ29" s="8"/>
      <c r="AJK29" s="8"/>
      <c r="AJL29" s="8"/>
      <c r="AJM29" s="8"/>
      <c r="AJN29" s="8"/>
      <c r="AJO29" s="8"/>
      <c r="AJP29" s="8"/>
      <c r="AJQ29" s="8"/>
      <c r="AJR29" s="8"/>
      <c r="AJS29" s="8"/>
      <c r="AJT29" s="8"/>
      <c r="AJU29" s="8"/>
      <c r="AJV29" s="8"/>
      <c r="AJW29" s="8"/>
      <c r="AJX29" s="8"/>
      <c r="AJY29" s="8"/>
      <c r="AJZ29" s="8"/>
      <c r="AKA29" s="8"/>
      <c r="AKB29" s="8"/>
      <c r="AKC29" s="8"/>
      <c r="AKD29" s="8"/>
      <c r="AKE29" s="8"/>
    </row>
    <row r="30" spans="1:967" s="3" customFormat="1" ht="13.5" customHeight="1">
      <c r="A30" s="244">
        <f>Water!A31</f>
        <v>45010</v>
      </c>
      <c r="B30" s="80"/>
      <c r="C30" s="76">
        <f t="shared" si="0"/>
        <v>0</v>
      </c>
      <c r="D30" s="75"/>
      <c r="E30" s="75">
        <f t="shared" si="1"/>
        <v>0</v>
      </c>
      <c r="F30" s="77"/>
      <c r="G30" s="78">
        <f t="shared" si="2"/>
        <v>0</v>
      </c>
      <c r="H30" s="149"/>
      <c r="I30" s="150">
        <f t="shared" si="3"/>
        <v>0</v>
      </c>
      <c r="J30" s="77"/>
      <c r="K30" s="78">
        <f t="shared" si="4"/>
        <v>0</v>
      </c>
      <c r="L30" s="149"/>
      <c r="M30" s="150">
        <f t="shared" si="5"/>
        <v>0</v>
      </c>
      <c r="N30" s="77"/>
      <c r="O30" s="78">
        <f t="shared" si="6"/>
        <v>0</v>
      </c>
      <c r="P30" s="149"/>
      <c r="Q30" s="150">
        <f t="shared" si="7"/>
        <v>0</v>
      </c>
      <c r="R30" s="77"/>
      <c r="S30" s="78">
        <f t="shared" si="8"/>
        <v>0</v>
      </c>
      <c r="T30" s="149"/>
      <c r="U30" s="150">
        <f t="shared" si="9"/>
        <v>0</v>
      </c>
      <c r="V30" s="77"/>
      <c r="W30" s="78">
        <f t="shared" si="10"/>
        <v>0</v>
      </c>
      <c r="X30" s="149"/>
      <c r="Y30" s="150">
        <f t="shared" si="11"/>
        <v>0</v>
      </c>
      <c r="Z30" s="77"/>
      <c r="AA30" s="78">
        <f t="shared" si="12"/>
        <v>0</v>
      </c>
      <c r="AB30" s="149"/>
      <c r="AC30" s="150">
        <f t="shared" si="13"/>
        <v>0</v>
      </c>
      <c r="AD30" s="77"/>
      <c r="AE30" s="78">
        <f t="shared" si="14"/>
        <v>0</v>
      </c>
      <c r="AF30" s="149"/>
      <c r="AG30" s="150">
        <f t="shared" si="15"/>
        <v>0</v>
      </c>
      <c r="AH30" s="77"/>
      <c r="AI30" s="78">
        <f t="shared" si="16"/>
        <v>0</v>
      </c>
      <c r="AJ30" s="78"/>
      <c r="AK30" s="78">
        <f t="shared" si="17"/>
        <v>0</v>
      </c>
      <c r="AL30" s="153"/>
      <c r="AM30" s="154">
        <f t="shared" si="18"/>
        <v>0</v>
      </c>
      <c r="AN30" s="77"/>
      <c r="AO30" s="78">
        <f t="shared" si="19"/>
        <v>0</v>
      </c>
      <c r="AP30" s="153"/>
      <c r="AQ30" s="154">
        <f t="shared" si="20"/>
        <v>0</v>
      </c>
      <c r="AR30" s="77"/>
      <c r="AS30" s="78">
        <f t="shared" si="21"/>
        <v>0</v>
      </c>
      <c r="AT30" s="153"/>
      <c r="AU30" s="154">
        <f t="shared" si="22"/>
        <v>0</v>
      </c>
      <c r="AV30" s="77"/>
      <c r="AW30" s="78">
        <f t="shared" si="23"/>
        <v>0</v>
      </c>
      <c r="AX30" s="153"/>
      <c r="AY30" s="154">
        <f t="shared" si="24"/>
        <v>0</v>
      </c>
      <c r="AZ30" s="77"/>
      <c r="BA30" s="78">
        <f t="shared" si="25"/>
        <v>0</v>
      </c>
      <c r="BB30" s="153"/>
      <c r="BC30" s="154">
        <f t="shared" si="26"/>
        <v>0</v>
      </c>
      <c r="BD30" s="77"/>
      <c r="BE30" s="78">
        <f t="shared" si="27"/>
        <v>0</v>
      </c>
      <c r="BF30" s="153"/>
      <c r="BG30" s="260">
        <f t="shared" si="28"/>
        <v>0</v>
      </c>
      <c r="BH30" s="93"/>
    </row>
    <row r="31" spans="1:967" s="3" customFormat="1" ht="13.5" customHeight="1">
      <c r="A31" s="244">
        <f>Water!A32</f>
        <v>45011</v>
      </c>
      <c r="B31" s="80"/>
      <c r="C31" s="76">
        <f t="shared" si="0"/>
        <v>0</v>
      </c>
      <c r="D31" s="75"/>
      <c r="E31" s="75">
        <f t="shared" si="1"/>
        <v>0</v>
      </c>
      <c r="F31" s="77"/>
      <c r="G31" s="78">
        <f t="shared" si="2"/>
        <v>0</v>
      </c>
      <c r="H31" s="149"/>
      <c r="I31" s="150">
        <f t="shared" si="3"/>
        <v>0</v>
      </c>
      <c r="J31" s="77"/>
      <c r="K31" s="78">
        <f t="shared" si="4"/>
        <v>0</v>
      </c>
      <c r="L31" s="149"/>
      <c r="M31" s="150">
        <f t="shared" si="5"/>
        <v>0</v>
      </c>
      <c r="N31" s="77"/>
      <c r="O31" s="78">
        <f t="shared" si="6"/>
        <v>0</v>
      </c>
      <c r="P31" s="149"/>
      <c r="Q31" s="150">
        <f t="shared" si="7"/>
        <v>0</v>
      </c>
      <c r="R31" s="77"/>
      <c r="S31" s="78">
        <f t="shared" si="8"/>
        <v>0</v>
      </c>
      <c r="T31" s="149"/>
      <c r="U31" s="150">
        <f t="shared" si="9"/>
        <v>0</v>
      </c>
      <c r="V31" s="77"/>
      <c r="W31" s="78">
        <f t="shared" si="10"/>
        <v>0</v>
      </c>
      <c r="X31" s="149"/>
      <c r="Y31" s="150">
        <f t="shared" si="11"/>
        <v>0</v>
      </c>
      <c r="Z31" s="77"/>
      <c r="AA31" s="78">
        <f t="shared" si="12"/>
        <v>0</v>
      </c>
      <c r="AB31" s="149"/>
      <c r="AC31" s="150">
        <f t="shared" si="13"/>
        <v>0</v>
      </c>
      <c r="AD31" s="77"/>
      <c r="AE31" s="78">
        <f t="shared" si="14"/>
        <v>0</v>
      </c>
      <c r="AF31" s="149"/>
      <c r="AG31" s="150">
        <f t="shared" si="15"/>
        <v>0</v>
      </c>
      <c r="AH31" s="77"/>
      <c r="AI31" s="78">
        <f t="shared" si="16"/>
        <v>0</v>
      </c>
      <c r="AJ31" s="78"/>
      <c r="AK31" s="78">
        <f t="shared" si="17"/>
        <v>0</v>
      </c>
      <c r="AL31" s="153"/>
      <c r="AM31" s="154">
        <f t="shared" si="18"/>
        <v>0</v>
      </c>
      <c r="AN31" s="77"/>
      <c r="AO31" s="78">
        <f t="shared" si="19"/>
        <v>0</v>
      </c>
      <c r="AP31" s="153"/>
      <c r="AQ31" s="154">
        <f t="shared" si="20"/>
        <v>0</v>
      </c>
      <c r="AR31" s="77"/>
      <c r="AS31" s="78">
        <f t="shared" si="21"/>
        <v>0</v>
      </c>
      <c r="AT31" s="153"/>
      <c r="AU31" s="154">
        <f t="shared" si="22"/>
        <v>0</v>
      </c>
      <c r="AV31" s="77"/>
      <c r="AW31" s="78">
        <f t="shared" si="23"/>
        <v>0</v>
      </c>
      <c r="AX31" s="153"/>
      <c r="AY31" s="154">
        <f t="shared" si="24"/>
        <v>0</v>
      </c>
      <c r="AZ31" s="77"/>
      <c r="BA31" s="78">
        <f t="shared" si="25"/>
        <v>0</v>
      </c>
      <c r="BB31" s="153"/>
      <c r="BC31" s="154">
        <f t="shared" si="26"/>
        <v>0</v>
      </c>
      <c r="BD31" s="77"/>
      <c r="BE31" s="78">
        <f t="shared" si="27"/>
        <v>0</v>
      </c>
      <c r="BF31" s="153"/>
      <c r="BG31" s="260">
        <f t="shared" si="28"/>
        <v>0</v>
      </c>
      <c r="BH31" s="93"/>
    </row>
    <row r="32" spans="1:967" s="3" customFormat="1" ht="13.5" customHeight="1">
      <c r="A32" s="244">
        <f>Water!A33</f>
        <v>45012</v>
      </c>
      <c r="B32" s="80"/>
      <c r="C32" s="76">
        <f t="shared" si="0"/>
        <v>0</v>
      </c>
      <c r="D32" s="75"/>
      <c r="E32" s="75">
        <f t="shared" si="1"/>
        <v>0</v>
      </c>
      <c r="F32" s="77"/>
      <c r="G32" s="78">
        <f t="shared" si="2"/>
        <v>0</v>
      </c>
      <c r="H32" s="149"/>
      <c r="I32" s="150">
        <f t="shared" si="3"/>
        <v>0</v>
      </c>
      <c r="J32" s="77"/>
      <c r="K32" s="78">
        <f t="shared" si="4"/>
        <v>0</v>
      </c>
      <c r="L32" s="149"/>
      <c r="M32" s="150">
        <f t="shared" si="5"/>
        <v>0</v>
      </c>
      <c r="N32" s="77"/>
      <c r="O32" s="78">
        <f t="shared" si="6"/>
        <v>0</v>
      </c>
      <c r="P32" s="149"/>
      <c r="Q32" s="150">
        <f t="shared" si="7"/>
        <v>0</v>
      </c>
      <c r="R32" s="77"/>
      <c r="S32" s="78">
        <f t="shared" si="8"/>
        <v>0</v>
      </c>
      <c r="T32" s="149"/>
      <c r="U32" s="150">
        <f t="shared" si="9"/>
        <v>0</v>
      </c>
      <c r="V32" s="77"/>
      <c r="W32" s="78">
        <f t="shared" si="10"/>
        <v>0</v>
      </c>
      <c r="X32" s="149"/>
      <c r="Y32" s="150">
        <f t="shared" si="11"/>
        <v>0</v>
      </c>
      <c r="Z32" s="77"/>
      <c r="AA32" s="78">
        <f t="shared" si="12"/>
        <v>0</v>
      </c>
      <c r="AB32" s="149"/>
      <c r="AC32" s="150">
        <f t="shared" si="13"/>
        <v>0</v>
      </c>
      <c r="AD32" s="77"/>
      <c r="AE32" s="78">
        <f t="shared" si="14"/>
        <v>0</v>
      </c>
      <c r="AF32" s="149"/>
      <c r="AG32" s="150">
        <f t="shared" si="15"/>
        <v>0</v>
      </c>
      <c r="AH32" s="77"/>
      <c r="AI32" s="78">
        <f t="shared" si="16"/>
        <v>0</v>
      </c>
      <c r="AJ32" s="78"/>
      <c r="AK32" s="78">
        <f t="shared" si="17"/>
        <v>0</v>
      </c>
      <c r="AL32" s="153"/>
      <c r="AM32" s="154">
        <f t="shared" si="18"/>
        <v>0</v>
      </c>
      <c r="AN32" s="77"/>
      <c r="AO32" s="78">
        <f t="shared" si="19"/>
        <v>0</v>
      </c>
      <c r="AP32" s="153"/>
      <c r="AQ32" s="154">
        <f t="shared" si="20"/>
        <v>0</v>
      </c>
      <c r="AR32" s="77"/>
      <c r="AS32" s="78">
        <f t="shared" si="21"/>
        <v>0</v>
      </c>
      <c r="AT32" s="153"/>
      <c r="AU32" s="154">
        <f t="shared" si="22"/>
        <v>0</v>
      </c>
      <c r="AV32" s="77"/>
      <c r="AW32" s="78">
        <f t="shared" si="23"/>
        <v>0</v>
      </c>
      <c r="AX32" s="153"/>
      <c r="AY32" s="154">
        <f t="shared" si="24"/>
        <v>0</v>
      </c>
      <c r="AZ32" s="77"/>
      <c r="BA32" s="78">
        <f t="shared" si="25"/>
        <v>0</v>
      </c>
      <c r="BB32" s="153"/>
      <c r="BC32" s="154">
        <f t="shared" si="26"/>
        <v>0</v>
      </c>
      <c r="BD32" s="77"/>
      <c r="BE32" s="78">
        <f t="shared" si="27"/>
        <v>0</v>
      </c>
      <c r="BF32" s="153"/>
      <c r="BG32" s="260">
        <f t="shared" si="28"/>
        <v>0</v>
      </c>
      <c r="BH32" s="93"/>
    </row>
    <row r="33" spans="1:60" s="3" customFormat="1" ht="13.5" customHeight="1">
      <c r="A33" s="244">
        <f>Water!A34</f>
        <v>45013</v>
      </c>
      <c r="B33" s="80"/>
      <c r="C33" s="76">
        <f t="shared" si="0"/>
        <v>0</v>
      </c>
      <c r="D33" s="75"/>
      <c r="E33" s="75">
        <f t="shared" si="1"/>
        <v>0</v>
      </c>
      <c r="F33" s="77"/>
      <c r="G33" s="78">
        <f t="shared" si="2"/>
        <v>0</v>
      </c>
      <c r="H33" s="149"/>
      <c r="I33" s="150">
        <f t="shared" si="3"/>
        <v>0</v>
      </c>
      <c r="J33" s="77"/>
      <c r="K33" s="78">
        <f t="shared" si="4"/>
        <v>0</v>
      </c>
      <c r="L33" s="149"/>
      <c r="M33" s="150">
        <f t="shared" si="5"/>
        <v>0</v>
      </c>
      <c r="N33" s="77"/>
      <c r="O33" s="78">
        <f t="shared" si="6"/>
        <v>0</v>
      </c>
      <c r="P33" s="149"/>
      <c r="Q33" s="150">
        <f t="shared" si="7"/>
        <v>0</v>
      </c>
      <c r="R33" s="77"/>
      <c r="S33" s="78">
        <f t="shared" si="8"/>
        <v>0</v>
      </c>
      <c r="T33" s="149"/>
      <c r="U33" s="150">
        <f t="shared" si="9"/>
        <v>0</v>
      </c>
      <c r="V33" s="77"/>
      <c r="W33" s="78">
        <f t="shared" si="10"/>
        <v>0</v>
      </c>
      <c r="X33" s="149"/>
      <c r="Y33" s="150">
        <f t="shared" si="11"/>
        <v>0</v>
      </c>
      <c r="Z33" s="77"/>
      <c r="AA33" s="78">
        <f t="shared" si="12"/>
        <v>0</v>
      </c>
      <c r="AB33" s="149"/>
      <c r="AC33" s="150">
        <f t="shared" si="13"/>
        <v>0</v>
      </c>
      <c r="AD33" s="77"/>
      <c r="AE33" s="78">
        <f t="shared" si="14"/>
        <v>0</v>
      </c>
      <c r="AF33" s="149"/>
      <c r="AG33" s="150">
        <f t="shared" si="15"/>
        <v>0</v>
      </c>
      <c r="AH33" s="77"/>
      <c r="AI33" s="78">
        <f t="shared" si="16"/>
        <v>0</v>
      </c>
      <c r="AJ33" s="78"/>
      <c r="AK33" s="78">
        <f t="shared" si="17"/>
        <v>0</v>
      </c>
      <c r="AL33" s="153"/>
      <c r="AM33" s="154">
        <f t="shared" si="18"/>
        <v>0</v>
      </c>
      <c r="AN33" s="77"/>
      <c r="AO33" s="78">
        <f t="shared" si="19"/>
        <v>0</v>
      </c>
      <c r="AP33" s="153"/>
      <c r="AQ33" s="154">
        <f t="shared" si="20"/>
        <v>0</v>
      </c>
      <c r="AR33" s="77"/>
      <c r="AS33" s="78">
        <f t="shared" si="21"/>
        <v>0</v>
      </c>
      <c r="AT33" s="153"/>
      <c r="AU33" s="154">
        <f t="shared" si="22"/>
        <v>0</v>
      </c>
      <c r="AV33" s="77"/>
      <c r="AW33" s="78">
        <f t="shared" si="23"/>
        <v>0</v>
      </c>
      <c r="AX33" s="153"/>
      <c r="AY33" s="154">
        <f t="shared" si="24"/>
        <v>0</v>
      </c>
      <c r="AZ33" s="77"/>
      <c r="BA33" s="78">
        <f t="shared" si="25"/>
        <v>0</v>
      </c>
      <c r="BB33" s="153"/>
      <c r="BC33" s="154">
        <f t="shared" si="26"/>
        <v>0</v>
      </c>
      <c r="BD33" s="77"/>
      <c r="BE33" s="78">
        <f t="shared" si="27"/>
        <v>0</v>
      </c>
      <c r="BF33" s="153"/>
      <c r="BG33" s="260">
        <f t="shared" si="28"/>
        <v>0</v>
      </c>
      <c r="BH33" s="93"/>
    </row>
    <row r="34" spans="1:60" s="3" customFormat="1">
      <c r="A34" s="244">
        <f>Water!A35</f>
        <v>45014</v>
      </c>
      <c r="B34" s="80"/>
      <c r="C34" s="76">
        <f t="shared" si="0"/>
        <v>0</v>
      </c>
      <c r="D34" s="75"/>
      <c r="E34" s="75">
        <f t="shared" si="1"/>
        <v>0</v>
      </c>
      <c r="F34" s="77"/>
      <c r="G34" s="78">
        <f t="shared" si="2"/>
        <v>0</v>
      </c>
      <c r="H34" s="149"/>
      <c r="I34" s="150">
        <f t="shared" si="3"/>
        <v>0</v>
      </c>
      <c r="J34" s="77"/>
      <c r="K34" s="78">
        <f t="shared" si="4"/>
        <v>0</v>
      </c>
      <c r="L34" s="149"/>
      <c r="M34" s="150">
        <f t="shared" si="5"/>
        <v>0</v>
      </c>
      <c r="N34" s="77"/>
      <c r="O34" s="78">
        <f t="shared" si="6"/>
        <v>0</v>
      </c>
      <c r="P34" s="149"/>
      <c r="Q34" s="150">
        <f t="shared" si="7"/>
        <v>0</v>
      </c>
      <c r="R34" s="77"/>
      <c r="S34" s="78">
        <f t="shared" si="8"/>
        <v>0</v>
      </c>
      <c r="T34" s="149"/>
      <c r="U34" s="150">
        <f t="shared" si="9"/>
        <v>0</v>
      </c>
      <c r="V34" s="77"/>
      <c r="W34" s="78">
        <f t="shared" si="10"/>
        <v>0</v>
      </c>
      <c r="X34" s="149"/>
      <c r="Y34" s="150">
        <f t="shared" si="11"/>
        <v>0</v>
      </c>
      <c r="Z34" s="77"/>
      <c r="AA34" s="78">
        <f t="shared" si="12"/>
        <v>0</v>
      </c>
      <c r="AB34" s="149"/>
      <c r="AC34" s="150">
        <f t="shared" si="13"/>
        <v>0</v>
      </c>
      <c r="AD34" s="77"/>
      <c r="AE34" s="78">
        <f t="shared" si="14"/>
        <v>0</v>
      </c>
      <c r="AF34" s="149"/>
      <c r="AG34" s="150">
        <f t="shared" si="15"/>
        <v>0</v>
      </c>
      <c r="AH34" s="77"/>
      <c r="AI34" s="78">
        <f t="shared" si="16"/>
        <v>0</v>
      </c>
      <c r="AJ34" s="78"/>
      <c r="AK34" s="78">
        <f t="shared" si="17"/>
        <v>0</v>
      </c>
      <c r="AL34" s="153"/>
      <c r="AM34" s="154">
        <f t="shared" si="18"/>
        <v>0</v>
      </c>
      <c r="AN34" s="77"/>
      <c r="AO34" s="78">
        <f t="shared" si="19"/>
        <v>0</v>
      </c>
      <c r="AP34" s="153"/>
      <c r="AQ34" s="154">
        <f t="shared" si="20"/>
        <v>0</v>
      </c>
      <c r="AR34" s="77"/>
      <c r="AS34" s="78">
        <f t="shared" si="21"/>
        <v>0</v>
      </c>
      <c r="AT34" s="153"/>
      <c r="AU34" s="154">
        <f t="shared" si="22"/>
        <v>0</v>
      </c>
      <c r="AV34" s="77"/>
      <c r="AW34" s="78">
        <f t="shared" si="23"/>
        <v>0</v>
      </c>
      <c r="AX34" s="153"/>
      <c r="AY34" s="154">
        <f t="shared" si="24"/>
        <v>0</v>
      </c>
      <c r="AZ34" s="77"/>
      <c r="BA34" s="78">
        <f t="shared" si="25"/>
        <v>0</v>
      </c>
      <c r="BB34" s="153"/>
      <c r="BC34" s="154">
        <f t="shared" si="26"/>
        <v>0</v>
      </c>
      <c r="BD34" s="77"/>
      <c r="BE34" s="78">
        <f t="shared" si="27"/>
        <v>0</v>
      </c>
      <c r="BF34" s="153"/>
      <c r="BG34" s="260">
        <f t="shared" si="28"/>
        <v>0</v>
      </c>
      <c r="BH34" s="93"/>
    </row>
    <row r="35" spans="1:60">
      <c r="A35" s="244">
        <f>Water!A36</f>
        <v>45015</v>
      </c>
      <c r="B35" s="80"/>
      <c r="C35" s="76">
        <f t="shared" si="0"/>
        <v>0</v>
      </c>
      <c r="D35" s="75"/>
      <c r="E35" s="75">
        <f t="shared" si="1"/>
        <v>0</v>
      </c>
      <c r="F35" s="77"/>
      <c r="G35" s="78">
        <f t="shared" si="2"/>
        <v>0</v>
      </c>
      <c r="H35" s="149"/>
      <c r="I35" s="150">
        <f t="shared" si="3"/>
        <v>0</v>
      </c>
      <c r="J35" s="77"/>
      <c r="K35" s="78">
        <f t="shared" si="4"/>
        <v>0</v>
      </c>
      <c r="L35" s="149"/>
      <c r="M35" s="150">
        <f t="shared" si="5"/>
        <v>0</v>
      </c>
      <c r="N35" s="77"/>
      <c r="O35" s="78">
        <f t="shared" si="6"/>
        <v>0</v>
      </c>
      <c r="P35" s="149"/>
      <c r="Q35" s="150">
        <f t="shared" si="7"/>
        <v>0</v>
      </c>
      <c r="R35" s="77"/>
      <c r="S35" s="78">
        <f t="shared" si="8"/>
        <v>0</v>
      </c>
      <c r="T35" s="149"/>
      <c r="U35" s="150">
        <f t="shared" si="9"/>
        <v>0</v>
      </c>
      <c r="V35" s="77"/>
      <c r="W35" s="78">
        <f t="shared" si="10"/>
        <v>0</v>
      </c>
      <c r="X35" s="149"/>
      <c r="Y35" s="150">
        <f t="shared" si="11"/>
        <v>0</v>
      </c>
      <c r="Z35" s="77"/>
      <c r="AA35" s="78">
        <f t="shared" si="12"/>
        <v>0</v>
      </c>
      <c r="AB35" s="149"/>
      <c r="AC35" s="150">
        <f t="shared" si="13"/>
        <v>0</v>
      </c>
      <c r="AD35" s="77"/>
      <c r="AE35" s="78">
        <f t="shared" si="14"/>
        <v>0</v>
      </c>
      <c r="AF35" s="149"/>
      <c r="AG35" s="150">
        <f t="shared" si="15"/>
        <v>0</v>
      </c>
      <c r="AH35" s="77"/>
      <c r="AI35" s="78">
        <f t="shared" si="16"/>
        <v>0</v>
      </c>
      <c r="AJ35" s="78"/>
      <c r="AK35" s="78">
        <f t="shared" si="17"/>
        <v>0</v>
      </c>
      <c r="AL35" s="153"/>
      <c r="AM35" s="154">
        <f t="shared" si="18"/>
        <v>0</v>
      </c>
      <c r="AN35" s="77"/>
      <c r="AO35" s="78">
        <f t="shared" si="19"/>
        <v>0</v>
      </c>
      <c r="AP35" s="153"/>
      <c r="AQ35" s="154">
        <f t="shared" si="20"/>
        <v>0</v>
      </c>
      <c r="AR35" s="77"/>
      <c r="AS35" s="78">
        <f t="shared" si="21"/>
        <v>0</v>
      </c>
      <c r="AT35" s="153"/>
      <c r="AU35" s="154">
        <f t="shared" si="22"/>
        <v>0</v>
      </c>
      <c r="AV35" s="77"/>
      <c r="AW35" s="78">
        <f t="shared" si="23"/>
        <v>0</v>
      </c>
      <c r="AX35" s="153"/>
      <c r="AY35" s="154">
        <f t="shared" si="24"/>
        <v>0</v>
      </c>
      <c r="AZ35" s="77"/>
      <c r="BA35" s="78">
        <f t="shared" si="25"/>
        <v>0</v>
      </c>
      <c r="BB35" s="153"/>
      <c r="BC35" s="154">
        <f t="shared" si="26"/>
        <v>0</v>
      </c>
      <c r="BD35" s="77"/>
      <c r="BE35" s="78">
        <f t="shared" si="27"/>
        <v>0</v>
      </c>
      <c r="BF35" s="153"/>
      <c r="BG35" s="260">
        <f t="shared" si="28"/>
        <v>0</v>
      </c>
    </row>
    <row r="36" spans="1:60">
      <c r="A36" s="245">
        <f>Water!A37</f>
        <v>45016</v>
      </c>
      <c r="B36" s="261"/>
      <c r="C36" s="262">
        <f t="shared" si="0"/>
        <v>0</v>
      </c>
      <c r="D36" s="263"/>
      <c r="E36" s="263">
        <f t="shared" si="1"/>
        <v>0</v>
      </c>
      <c r="F36" s="155"/>
      <c r="G36" s="264">
        <f t="shared" si="2"/>
        <v>0</v>
      </c>
      <c r="H36" s="265"/>
      <c r="I36" s="266">
        <f t="shared" si="3"/>
        <v>0</v>
      </c>
      <c r="J36" s="155"/>
      <c r="K36" s="264">
        <f t="shared" si="4"/>
        <v>0</v>
      </c>
      <c r="L36" s="265"/>
      <c r="M36" s="266">
        <f t="shared" si="5"/>
        <v>0</v>
      </c>
      <c r="N36" s="155"/>
      <c r="O36" s="264">
        <f t="shared" si="6"/>
        <v>0</v>
      </c>
      <c r="P36" s="265"/>
      <c r="Q36" s="266">
        <f t="shared" si="7"/>
        <v>0</v>
      </c>
      <c r="R36" s="155"/>
      <c r="S36" s="264">
        <f t="shared" si="8"/>
        <v>0</v>
      </c>
      <c r="T36" s="265"/>
      <c r="U36" s="266">
        <f t="shared" si="9"/>
        <v>0</v>
      </c>
      <c r="V36" s="155"/>
      <c r="W36" s="264">
        <f t="shared" si="10"/>
        <v>0</v>
      </c>
      <c r="X36" s="265"/>
      <c r="Y36" s="266">
        <f t="shared" si="11"/>
        <v>0</v>
      </c>
      <c r="Z36" s="155"/>
      <c r="AA36" s="264">
        <f t="shared" si="12"/>
        <v>0</v>
      </c>
      <c r="AB36" s="265"/>
      <c r="AC36" s="266">
        <f t="shared" si="13"/>
        <v>0</v>
      </c>
      <c r="AD36" s="155"/>
      <c r="AE36" s="264">
        <f t="shared" si="14"/>
        <v>0</v>
      </c>
      <c r="AF36" s="265"/>
      <c r="AG36" s="266">
        <f t="shared" si="15"/>
        <v>0</v>
      </c>
      <c r="AH36" s="155"/>
      <c r="AI36" s="264">
        <f t="shared" si="16"/>
        <v>0</v>
      </c>
      <c r="AJ36" s="264"/>
      <c r="AK36" s="264">
        <f t="shared" si="17"/>
        <v>0</v>
      </c>
      <c r="AL36" s="267"/>
      <c r="AM36" s="268">
        <f t="shared" si="18"/>
        <v>0</v>
      </c>
      <c r="AN36" s="155"/>
      <c r="AO36" s="264">
        <f t="shared" si="19"/>
        <v>0</v>
      </c>
      <c r="AP36" s="267"/>
      <c r="AQ36" s="268">
        <f t="shared" si="20"/>
        <v>0</v>
      </c>
      <c r="AR36" s="155"/>
      <c r="AS36" s="78">
        <f t="shared" si="21"/>
        <v>0</v>
      </c>
      <c r="AT36" s="267"/>
      <c r="AU36" s="268">
        <f t="shared" si="22"/>
        <v>0</v>
      </c>
      <c r="AV36" s="155"/>
      <c r="AW36" s="264">
        <f t="shared" si="23"/>
        <v>0</v>
      </c>
      <c r="AX36" s="267"/>
      <c r="AY36" s="268">
        <f t="shared" si="24"/>
        <v>0</v>
      </c>
      <c r="AZ36" s="155"/>
      <c r="BA36" s="264">
        <f t="shared" si="25"/>
        <v>0</v>
      </c>
      <c r="BB36" s="267"/>
      <c r="BC36" s="268">
        <f t="shared" si="26"/>
        <v>0</v>
      </c>
      <c r="BD36" s="155"/>
      <c r="BE36" s="264">
        <f t="shared" si="27"/>
        <v>0</v>
      </c>
      <c r="BF36" s="267"/>
      <c r="BG36" s="269">
        <f t="shared" si="28"/>
        <v>0</v>
      </c>
    </row>
  </sheetData>
  <mergeCells count="32">
    <mergeCell ref="A1:BG2"/>
    <mergeCell ref="A3:A4"/>
    <mergeCell ref="AT3:AU3"/>
    <mergeCell ref="AV3:AW3"/>
    <mergeCell ref="AX3:AY3"/>
    <mergeCell ref="AJ3:AK3"/>
    <mergeCell ref="AL3:AM3"/>
    <mergeCell ref="AN3:AO3"/>
    <mergeCell ref="AP3:AQ3"/>
    <mergeCell ref="AZ3:BA3"/>
    <mergeCell ref="B3:C3"/>
    <mergeCell ref="D3:E3"/>
    <mergeCell ref="F3:G3"/>
    <mergeCell ref="AH3:AI3"/>
    <mergeCell ref="J3:K3"/>
    <mergeCell ref="L3:M3"/>
    <mergeCell ref="N3:O3"/>
    <mergeCell ref="P3:Q3"/>
    <mergeCell ref="AF3:AG3"/>
    <mergeCell ref="H3:I3"/>
    <mergeCell ref="BH3:BH4"/>
    <mergeCell ref="R3:S3"/>
    <mergeCell ref="T3:U3"/>
    <mergeCell ref="V3:W3"/>
    <mergeCell ref="Z3:AA3"/>
    <mergeCell ref="X3:Y3"/>
    <mergeCell ref="BB3:BC3"/>
    <mergeCell ref="BD3:BE3"/>
    <mergeCell ref="AB3:AC3"/>
    <mergeCell ref="BF3:BG3"/>
    <mergeCell ref="AD3:AE3"/>
    <mergeCell ref="AR3:AS3"/>
  </mergeCells>
  <pageMargins left="0.7" right="0.7" top="0.75" bottom="0.75" header="0.3" footer="0.3"/>
  <pageSetup scale="74" orientation="landscape" r:id="rId1"/>
  <colBreaks count="1" manualBreakCount="1">
    <brk id="15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24D6-1284-4B5E-A685-801BBDBB4EB6}">
  <sheetPr>
    <tabColor theme="8" tint="-0.249977111117893"/>
  </sheetPr>
  <dimension ref="A1:D36"/>
  <sheetViews>
    <sheetView workbookViewId="0">
      <selection activeCell="J18" sqref="J18"/>
    </sheetView>
  </sheetViews>
  <sheetFormatPr defaultRowHeight="15"/>
  <cols>
    <col min="1" max="1" width="14" style="61" customWidth="1"/>
    <col min="2" max="2" width="13" style="68" customWidth="1"/>
    <col min="3" max="3" width="10.7109375" customWidth="1"/>
    <col min="4" max="4" width="13" style="68" customWidth="1"/>
  </cols>
  <sheetData>
    <row r="1" spans="1:4" ht="15" customHeight="1">
      <c r="A1" s="349" t="s">
        <v>173</v>
      </c>
      <c r="B1" s="349"/>
      <c r="C1" s="349"/>
      <c r="D1" s="349"/>
    </row>
    <row r="2" spans="1:4" ht="15" customHeight="1">
      <c r="A2" s="349"/>
      <c r="B2" s="349"/>
      <c r="C2" s="349"/>
      <c r="D2" s="349"/>
    </row>
    <row r="3" spans="1:4" ht="30.75">
      <c r="A3" s="62" t="s">
        <v>108</v>
      </c>
      <c r="B3" s="67" t="s">
        <v>77</v>
      </c>
      <c r="C3" s="117" t="s">
        <v>82</v>
      </c>
      <c r="D3" s="67" t="s">
        <v>78</v>
      </c>
    </row>
    <row r="4" spans="1:4" hidden="1">
      <c r="A4" s="63">
        <v>45291</v>
      </c>
      <c r="B4" s="64"/>
      <c r="C4" s="146"/>
      <c r="D4" s="64"/>
    </row>
    <row r="5" spans="1:4">
      <c r="A5" s="65">
        <f>'FEEDER Consumption '!A6</f>
        <v>44986</v>
      </c>
      <c r="B5" s="66">
        <v>57</v>
      </c>
      <c r="C5" s="147">
        <v>123</v>
      </c>
      <c r="D5" s="66">
        <v>334</v>
      </c>
    </row>
    <row r="6" spans="1:4">
      <c r="A6" s="65">
        <f>'FEEDER Consumption '!A7</f>
        <v>44987</v>
      </c>
      <c r="B6" s="66">
        <v>57</v>
      </c>
      <c r="C6" s="147">
        <v>125</v>
      </c>
      <c r="D6" s="66">
        <v>360</v>
      </c>
    </row>
    <row r="7" spans="1:4">
      <c r="A7" s="65">
        <f>'FEEDER Consumption '!A8</f>
        <v>44988</v>
      </c>
      <c r="B7" s="66">
        <v>58</v>
      </c>
      <c r="C7" s="147">
        <v>128</v>
      </c>
      <c r="D7" s="66">
        <v>355</v>
      </c>
    </row>
    <row r="8" spans="1:4">
      <c r="A8" s="65">
        <f>'FEEDER Consumption '!A9</f>
        <v>44989</v>
      </c>
      <c r="B8" s="66">
        <v>59</v>
      </c>
      <c r="C8" s="147">
        <v>124</v>
      </c>
      <c r="D8" s="66">
        <v>358</v>
      </c>
    </row>
    <row r="9" spans="1:4">
      <c r="A9" s="65">
        <f>'FEEDER Consumption '!A10</f>
        <v>44990</v>
      </c>
      <c r="B9" s="66">
        <v>56</v>
      </c>
      <c r="C9" s="147">
        <v>126</v>
      </c>
      <c r="D9" s="66">
        <v>344</v>
      </c>
    </row>
    <row r="10" spans="1:4">
      <c r="A10" s="65">
        <f>'FEEDER Consumption '!A11</f>
        <v>44991</v>
      </c>
      <c r="B10" s="66">
        <v>63</v>
      </c>
      <c r="C10" s="147">
        <v>135</v>
      </c>
      <c r="D10" s="66">
        <v>393</v>
      </c>
    </row>
    <row r="11" spans="1:4">
      <c r="A11" s="65">
        <f>'FEEDER Consumption '!A12</f>
        <v>44992</v>
      </c>
      <c r="B11" s="66">
        <v>61</v>
      </c>
      <c r="C11" s="147">
        <v>139</v>
      </c>
      <c r="D11" s="66">
        <v>363</v>
      </c>
    </row>
    <row r="12" spans="1:4">
      <c r="A12" s="65">
        <f>'FEEDER Consumption '!A13</f>
        <v>44993</v>
      </c>
      <c r="B12" s="66"/>
      <c r="C12" s="147"/>
      <c r="D12" s="66"/>
    </row>
    <row r="13" spans="1:4">
      <c r="A13" s="65">
        <f>'FEEDER Consumption '!A14</f>
        <v>44994</v>
      </c>
      <c r="B13" s="66"/>
      <c r="C13" s="147"/>
      <c r="D13" s="66"/>
    </row>
    <row r="14" spans="1:4">
      <c r="A14" s="65">
        <f>'FEEDER Consumption '!A15</f>
        <v>44995</v>
      </c>
      <c r="B14" s="295"/>
      <c r="C14" s="147"/>
      <c r="D14" s="66"/>
    </row>
    <row r="15" spans="1:4">
      <c r="A15" s="65">
        <f>'FEEDER Consumption '!A16</f>
        <v>44996</v>
      </c>
      <c r="B15" s="295"/>
      <c r="C15" s="147"/>
      <c r="D15" s="295"/>
    </row>
    <row r="16" spans="1:4">
      <c r="A16" s="65">
        <f>'FEEDER Consumption '!A17</f>
        <v>44997</v>
      </c>
      <c r="B16" s="295"/>
      <c r="C16" s="147"/>
      <c r="D16" s="295"/>
    </row>
    <row r="17" spans="1:4">
      <c r="A17" s="65">
        <f>'FEEDER Consumption '!A18</f>
        <v>44998</v>
      </c>
      <c r="B17" s="295"/>
      <c r="C17" s="147"/>
      <c r="D17" s="295"/>
    </row>
    <row r="18" spans="1:4">
      <c r="A18" s="65">
        <f>'FEEDER Consumption '!A19</f>
        <v>44999</v>
      </c>
      <c r="B18" s="295"/>
      <c r="C18" s="147"/>
      <c r="D18" s="295"/>
    </row>
    <row r="19" spans="1:4">
      <c r="A19" s="65">
        <f>'FEEDER Consumption '!A20</f>
        <v>45000</v>
      </c>
      <c r="B19" s="295"/>
      <c r="C19" s="147"/>
      <c r="D19" s="295"/>
    </row>
    <row r="20" spans="1:4">
      <c r="A20" s="65">
        <f>'FEEDER Consumption '!A21</f>
        <v>45001</v>
      </c>
      <c r="B20" s="295"/>
      <c r="C20" s="147"/>
      <c r="D20" s="295"/>
    </row>
    <row r="21" spans="1:4">
      <c r="A21" s="65">
        <f>'FEEDER Consumption '!A22</f>
        <v>45002</v>
      </c>
      <c r="B21" s="295"/>
      <c r="C21" s="147"/>
      <c r="D21" s="295"/>
    </row>
    <row r="22" spans="1:4">
      <c r="A22" s="65">
        <f>'FEEDER Consumption '!A23</f>
        <v>45003</v>
      </c>
      <c r="B22" s="295"/>
      <c r="C22" s="147"/>
      <c r="D22" s="295"/>
    </row>
    <row r="23" spans="1:4">
      <c r="A23" s="65">
        <f>'FEEDER Consumption '!A24</f>
        <v>45004</v>
      </c>
      <c r="B23" s="295"/>
      <c r="C23" s="147"/>
      <c r="D23" s="295"/>
    </row>
    <row r="24" spans="1:4">
      <c r="A24" s="65">
        <f>'FEEDER Consumption '!A25</f>
        <v>45005</v>
      </c>
      <c r="B24" s="295"/>
      <c r="C24" s="147"/>
      <c r="D24" s="295"/>
    </row>
    <row r="25" spans="1:4">
      <c r="A25" s="65">
        <f>'FEEDER Consumption '!A26</f>
        <v>45006</v>
      </c>
      <c r="B25" s="295"/>
      <c r="C25" s="147"/>
      <c r="D25" s="295"/>
    </row>
    <row r="26" spans="1:4">
      <c r="A26" s="65">
        <f>'FEEDER Consumption '!A27</f>
        <v>45007</v>
      </c>
      <c r="B26" s="295"/>
      <c r="C26" s="147"/>
      <c r="D26" s="295"/>
    </row>
    <row r="27" spans="1:4">
      <c r="A27" s="65">
        <f>'FEEDER Consumption '!A28</f>
        <v>45008</v>
      </c>
      <c r="B27" s="295"/>
      <c r="C27" s="147"/>
      <c r="D27" s="295"/>
    </row>
    <row r="28" spans="1:4">
      <c r="A28" s="65">
        <f>'FEEDER Consumption '!A29</f>
        <v>45009</v>
      </c>
      <c r="B28" s="295"/>
      <c r="C28" s="147"/>
      <c r="D28" s="295"/>
    </row>
    <row r="29" spans="1:4">
      <c r="A29" s="65">
        <f>'FEEDER Consumption '!A30</f>
        <v>45010</v>
      </c>
      <c r="B29" s="295"/>
      <c r="C29" s="147"/>
      <c r="D29" s="295"/>
    </row>
    <row r="30" spans="1:4">
      <c r="A30" s="65">
        <f>'FEEDER Consumption '!A31</f>
        <v>45011</v>
      </c>
      <c r="B30" s="295"/>
      <c r="C30" s="147"/>
      <c r="D30" s="295"/>
    </row>
    <row r="31" spans="1:4">
      <c r="A31" s="65">
        <f>'FEEDER Consumption '!A32</f>
        <v>45012</v>
      </c>
      <c r="B31" s="295"/>
      <c r="C31" s="147"/>
      <c r="D31" s="295"/>
    </row>
    <row r="32" spans="1:4">
      <c r="A32" s="65">
        <f>'FEEDER Consumption '!A33</f>
        <v>45013</v>
      </c>
      <c r="B32" s="295"/>
      <c r="C32" s="147"/>
      <c r="D32" s="295"/>
    </row>
    <row r="33" spans="1:4">
      <c r="A33" s="65">
        <f>'FEEDER Consumption '!A34</f>
        <v>45014</v>
      </c>
      <c r="B33" s="295"/>
      <c r="C33" s="147"/>
      <c r="D33" s="295"/>
    </row>
    <row r="34" spans="1:4">
      <c r="A34" s="65">
        <f>'FEEDER Consumption '!A35</f>
        <v>45015</v>
      </c>
      <c r="B34" s="295"/>
      <c r="C34" s="147"/>
      <c r="D34" s="295"/>
    </row>
    <row r="35" spans="1:4">
      <c r="A35" s="65">
        <f>'FEEDER Consumption '!A36</f>
        <v>45016</v>
      </c>
      <c r="B35" s="295"/>
      <c r="C35" s="147"/>
      <c r="D35" s="295"/>
    </row>
    <row r="36" spans="1:4">
      <c r="D36" s="68">
        <f>SUM(D5:D32)</f>
        <v>2507</v>
      </c>
    </row>
  </sheetData>
  <mergeCells count="1">
    <mergeCell ref="A1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 tint="-0.249977111117893"/>
    <pageSetUpPr fitToPage="1"/>
  </sheetPr>
  <dimension ref="A1:S36"/>
  <sheetViews>
    <sheetView topLeftCell="A2" zoomScale="90" zoomScaleNormal="90" workbookViewId="0">
      <selection activeCell="E13" sqref="E13"/>
    </sheetView>
  </sheetViews>
  <sheetFormatPr defaultColWidth="9.140625" defaultRowHeight="12.75"/>
  <cols>
    <col min="1" max="1" width="12.85546875" style="60" customWidth="1"/>
    <col min="2" max="2" width="17.7109375" style="51" customWidth="1"/>
    <col min="3" max="3" width="15.7109375" style="51" customWidth="1"/>
    <col min="4" max="6" width="16.140625" style="51" customWidth="1"/>
    <col min="7" max="7" width="14.5703125" style="51" customWidth="1"/>
    <col min="8" max="16384" width="9.140625" style="38"/>
  </cols>
  <sheetData>
    <row r="1" spans="1:19" s="39" customFormat="1">
      <c r="A1" s="350" t="s">
        <v>174</v>
      </c>
      <c r="B1" s="350"/>
      <c r="C1" s="350"/>
      <c r="D1" s="350"/>
      <c r="E1" s="350"/>
      <c r="F1" s="350"/>
      <c r="G1" s="350"/>
    </row>
    <row r="2" spans="1:19" ht="24.75" customHeight="1">
      <c r="A2" s="350"/>
      <c r="B2" s="350"/>
      <c r="C2" s="350"/>
      <c r="D2" s="350"/>
      <c r="E2" s="350"/>
      <c r="F2" s="350"/>
      <c r="G2" s="350"/>
    </row>
    <row r="3" spans="1:19" ht="26.25" customHeight="1">
      <c r="A3" s="351"/>
      <c r="B3" s="351"/>
      <c r="C3" s="351"/>
      <c r="D3" s="351"/>
      <c r="E3" s="351"/>
      <c r="F3" s="351"/>
      <c r="G3" s="351"/>
    </row>
    <row r="4" spans="1:19" ht="42" customHeight="1">
      <c r="A4" s="53" t="s">
        <v>80</v>
      </c>
      <c r="B4" s="54" t="s">
        <v>175</v>
      </c>
      <c r="C4" s="54" t="s">
        <v>176</v>
      </c>
      <c r="D4" s="54" t="s">
        <v>177</v>
      </c>
      <c r="E4" s="54" t="s">
        <v>178</v>
      </c>
      <c r="F4" s="54" t="s">
        <v>91</v>
      </c>
      <c r="G4" s="54" t="s">
        <v>179</v>
      </c>
    </row>
    <row r="5" spans="1:19" ht="21.75" customHeight="1">
      <c r="A5" s="294">
        <f>'Room Nights &amp; Food Covers'!A5</f>
        <v>44986</v>
      </c>
      <c r="B5" s="47">
        <v>2</v>
      </c>
      <c r="C5" s="47">
        <v>0</v>
      </c>
      <c r="D5" s="47">
        <v>1</v>
      </c>
      <c r="E5" s="26">
        <v>2</v>
      </c>
      <c r="F5" s="56">
        <f>SUM(B5:E5)</f>
        <v>5</v>
      </c>
      <c r="G5" s="57">
        <f>F5*45</f>
        <v>225</v>
      </c>
    </row>
    <row r="6" spans="1:19" ht="21.75" customHeight="1">
      <c r="A6" s="294">
        <f>'Room Nights &amp; Food Covers'!A6</f>
        <v>44987</v>
      </c>
      <c r="B6" s="47">
        <v>2</v>
      </c>
      <c r="C6" s="47">
        <v>0</v>
      </c>
      <c r="D6" s="47">
        <v>1</v>
      </c>
      <c r="E6" s="26">
        <v>2</v>
      </c>
      <c r="F6" s="56">
        <f t="shared" ref="F6:F32" si="0">SUM(B6:E6)</f>
        <v>5</v>
      </c>
      <c r="G6" s="57">
        <f t="shared" ref="G6:G32" si="1">F6*45</f>
        <v>225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spans="1:19" ht="21.75" customHeight="1">
      <c r="A7" s="294">
        <f>'Room Nights &amp; Food Covers'!A7</f>
        <v>44988</v>
      </c>
      <c r="B7" s="47">
        <v>1</v>
      </c>
      <c r="C7" s="47">
        <v>2</v>
      </c>
      <c r="D7" s="47">
        <v>2</v>
      </c>
      <c r="E7" s="26">
        <v>2</v>
      </c>
      <c r="F7" s="56">
        <f t="shared" si="0"/>
        <v>7</v>
      </c>
      <c r="G7" s="57">
        <f t="shared" si="1"/>
        <v>315</v>
      </c>
    </row>
    <row r="8" spans="1:19" ht="21.75" customHeight="1">
      <c r="A8" s="294">
        <f>'Room Nights &amp; Food Covers'!A8</f>
        <v>44989</v>
      </c>
      <c r="B8" s="47">
        <v>2</v>
      </c>
      <c r="C8" s="47">
        <v>0</v>
      </c>
      <c r="D8" s="47">
        <v>1</v>
      </c>
      <c r="E8" s="26">
        <v>3</v>
      </c>
      <c r="F8" s="56">
        <f t="shared" si="0"/>
        <v>6</v>
      </c>
      <c r="G8" s="57">
        <f t="shared" si="1"/>
        <v>270</v>
      </c>
    </row>
    <row r="9" spans="1:19" ht="21.75" customHeight="1">
      <c r="A9" s="294">
        <f>'Room Nights &amp; Food Covers'!A9</f>
        <v>44990</v>
      </c>
      <c r="B9" s="47">
        <v>2</v>
      </c>
      <c r="C9" s="47">
        <v>1</v>
      </c>
      <c r="D9" s="47">
        <v>1</v>
      </c>
      <c r="E9" s="26">
        <v>2</v>
      </c>
      <c r="F9" s="56">
        <f t="shared" si="0"/>
        <v>6</v>
      </c>
      <c r="G9" s="57">
        <f t="shared" si="1"/>
        <v>270</v>
      </c>
    </row>
    <row r="10" spans="1:19" ht="21.75" customHeight="1">
      <c r="A10" s="294">
        <f>'Room Nights &amp; Food Covers'!A10</f>
        <v>44991</v>
      </c>
      <c r="B10" s="47">
        <v>1</v>
      </c>
      <c r="C10" s="47">
        <v>0</v>
      </c>
      <c r="D10" s="47">
        <v>1</v>
      </c>
      <c r="E10" s="26">
        <v>2</v>
      </c>
      <c r="F10" s="56">
        <f t="shared" si="0"/>
        <v>4</v>
      </c>
      <c r="G10" s="57">
        <f t="shared" si="1"/>
        <v>180</v>
      </c>
    </row>
    <row r="11" spans="1:19" ht="21.75" customHeight="1">
      <c r="A11" s="294">
        <f>'Room Nights &amp; Food Covers'!A11</f>
        <v>44992</v>
      </c>
      <c r="B11" s="47">
        <v>2</v>
      </c>
      <c r="C11" s="47">
        <v>1</v>
      </c>
      <c r="D11" s="47">
        <v>2</v>
      </c>
      <c r="E11" s="26">
        <v>2</v>
      </c>
      <c r="F11" s="56">
        <f t="shared" si="0"/>
        <v>7</v>
      </c>
      <c r="G11" s="57">
        <f t="shared" si="1"/>
        <v>315</v>
      </c>
    </row>
    <row r="12" spans="1:19" ht="21.75" customHeight="1">
      <c r="A12" s="294">
        <f>'Room Nights &amp; Food Covers'!A12</f>
        <v>44993</v>
      </c>
      <c r="B12" s="47">
        <v>1</v>
      </c>
      <c r="C12" s="47">
        <v>0</v>
      </c>
      <c r="D12" s="47">
        <v>0</v>
      </c>
      <c r="E12" s="26">
        <v>2</v>
      </c>
      <c r="F12" s="56">
        <f t="shared" si="0"/>
        <v>3</v>
      </c>
      <c r="G12" s="57">
        <f t="shared" si="1"/>
        <v>135</v>
      </c>
    </row>
    <row r="13" spans="1:19" ht="21.75" customHeight="1">
      <c r="A13" s="294">
        <f>'Room Nights &amp; Food Covers'!A13</f>
        <v>44994</v>
      </c>
      <c r="B13" s="47"/>
      <c r="C13" s="47"/>
      <c r="D13" s="47"/>
      <c r="E13" s="26"/>
      <c r="F13" s="56">
        <f t="shared" si="0"/>
        <v>0</v>
      </c>
      <c r="G13" s="57">
        <f t="shared" si="1"/>
        <v>0</v>
      </c>
    </row>
    <row r="14" spans="1:19" ht="21.75" customHeight="1">
      <c r="A14" s="294">
        <f>'Room Nights &amp; Food Covers'!A14</f>
        <v>44995</v>
      </c>
      <c r="B14" s="47"/>
      <c r="C14" s="47"/>
      <c r="D14" s="47"/>
      <c r="E14" s="26"/>
      <c r="F14" s="56">
        <f t="shared" si="0"/>
        <v>0</v>
      </c>
      <c r="G14" s="57">
        <f t="shared" si="1"/>
        <v>0</v>
      </c>
    </row>
    <row r="15" spans="1:19" ht="21.75" customHeight="1">
      <c r="A15" s="294">
        <f>'Room Nights &amp; Food Covers'!A15</f>
        <v>44996</v>
      </c>
      <c r="B15" s="47"/>
      <c r="C15" s="47"/>
      <c r="D15" s="47"/>
      <c r="E15" s="26"/>
      <c r="F15" s="56">
        <f t="shared" si="0"/>
        <v>0</v>
      </c>
      <c r="G15" s="57">
        <f t="shared" si="1"/>
        <v>0</v>
      </c>
    </row>
    <row r="16" spans="1:19" ht="21.75" customHeight="1">
      <c r="A16" s="294">
        <f>'Room Nights &amp; Food Covers'!A16</f>
        <v>44997</v>
      </c>
      <c r="B16" s="47"/>
      <c r="C16" s="47"/>
      <c r="D16" s="47"/>
      <c r="E16" s="26"/>
      <c r="F16" s="56">
        <f t="shared" si="0"/>
        <v>0</v>
      </c>
      <c r="G16" s="57">
        <f t="shared" si="1"/>
        <v>0</v>
      </c>
    </row>
    <row r="17" spans="1:7" ht="21.75" customHeight="1">
      <c r="A17" s="294">
        <f>'Room Nights &amp; Food Covers'!A17</f>
        <v>44998</v>
      </c>
      <c r="B17" s="47"/>
      <c r="C17" s="47"/>
      <c r="D17" s="47"/>
      <c r="E17" s="26"/>
      <c r="F17" s="56">
        <f t="shared" si="0"/>
        <v>0</v>
      </c>
      <c r="G17" s="57">
        <f t="shared" si="1"/>
        <v>0</v>
      </c>
    </row>
    <row r="18" spans="1:7" ht="21.75" customHeight="1">
      <c r="A18" s="294">
        <f>'Room Nights &amp; Food Covers'!A18</f>
        <v>44999</v>
      </c>
      <c r="B18" s="47"/>
      <c r="C18" s="47"/>
      <c r="D18" s="47"/>
      <c r="E18" s="26"/>
      <c r="F18" s="56">
        <f t="shared" si="0"/>
        <v>0</v>
      </c>
      <c r="G18" s="57">
        <f t="shared" si="1"/>
        <v>0</v>
      </c>
    </row>
    <row r="19" spans="1:7" ht="21.75" customHeight="1">
      <c r="A19" s="294">
        <f>'Room Nights &amp; Food Covers'!A19</f>
        <v>45000</v>
      </c>
      <c r="B19" s="47"/>
      <c r="C19" s="47"/>
      <c r="D19" s="47"/>
      <c r="E19" s="26"/>
      <c r="F19" s="56">
        <f t="shared" si="0"/>
        <v>0</v>
      </c>
      <c r="G19" s="57">
        <f t="shared" si="1"/>
        <v>0</v>
      </c>
    </row>
    <row r="20" spans="1:7" ht="21.75" customHeight="1">
      <c r="A20" s="294">
        <f>'Room Nights &amp; Food Covers'!A20</f>
        <v>45001</v>
      </c>
      <c r="B20" s="47"/>
      <c r="C20" s="47"/>
      <c r="D20" s="47"/>
      <c r="E20" s="26"/>
      <c r="F20" s="56">
        <f t="shared" si="0"/>
        <v>0</v>
      </c>
      <c r="G20" s="57">
        <f t="shared" si="1"/>
        <v>0</v>
      </c>
    </row>
    <row r="21" spans="1:7" ht="21.75" customHeight="1">
      <c r="A21" s="294">
        <f>'Room Nights &amp; Food Covers'!A21</f>
        <v>45002</v>
      </c>
      <c r="B21" s="47"/>
      <c r="C21" s="47"/>
      <c r="D21" s="47"/>
      <c r="E21" s="26"/>
      <c r="F21" s="56">
        <f t="shared" si="0"/>
        <v>0</v>
      </c>
      <c r="G21" s="57">
        <f t="shared" si="1"/>
        <v>0</v>
      </c>
    </row>
    <row r="22" spans="1:7" ht="21.75" customHeight="1">
      <c r="A22" s="294">
        <f>'Room Nights &amp; Food Covers'!A22</f>
        <v>45003</v>
      </c>
      <c r="B22" s="47"/>
      <c r="C22" s="47"/>
      <c r="D22" s="47"/>
      <c r="E22" s="26"/>
      <c r="F22" s="56">
        <f t="shared" si="0"/>
        <v>0</v>
      </c>
      <c r="G22" s="57">
        <f t="shared" si="1"/>
        <v>0</v>
      </c>
    </row>
    <row r="23" spans="1:7" ht="21.75" customHeight="1">
      <c r="A23" s="294">
        <f>'Room Nights &amp; Food Covers'!A23</f>
        <v>45004</v>
      </c>
      <c r="B23" s="47"/>
      <c r="C23" s="47"/>
      <c r="D23" s="47"/>
      <c r="E23" s="26"/>
      <c r="F23" s="56">
        <f t="shared" si="0"/>
        <v>0</v>
      </c>
      <c r="G23" s="57">
        <f t="shared" si="1"/>
        <v>0</v>
      </c>
    </row>
    <row r="24" spans="1:7" ht="21.75" customHeight="1">
      <c r="A24" s="294">
        <f>'Room Nights &amp; Food Covers'!A24</f>
        <v>45005</v>
      </c>
      <c r="B24" s="47"/>
      <c r="C24" s="47"/>
      <c r="D24" s="47"/>
      <c r="E24" s="26"/>
      <c r="F24" s="56">
        <f t="shared" si="0"/>
        <v>0</v>
      </c>
      <c r="G24" s="57">
        <f t="shared" si="1"/>
        <v>0</v>
      </c>
    </row>
    <row r="25" spans="1:7" ht="21.75" customHeight="1">
      <c r="A25" s="294">
        <f>'Room Nights &amp; Food Covers'!A25</f>
        <v>45006</v>
      </c>
      <c r="B25" s="47"/>
      <c r="C25" s="47"/>
      <c r="D25" s="47"/>
      <c r="E25" s="26"/>
      <c r="F25" s="56">
        <f t="shared" si="0"/>
        <v>0</v>
      </c>
      <c r="G25" s="57">
        <f t="shared" si="1"/>
        <v>0</v>
      </c>
    </row>
    <row r="26" spans="1:7" ht="21.75" customHeight="1">
      <c r="A26" s="294">
        <f>'Room Nights &amp; Food Covers'!A26</f>
        <v>45007</v>
      </c>
      <c r="B26" s="47"/>
      <c r="C26" s="47"/>
      <c r="D26" s="47"/>
      <c r="E26" s="26"/>
      <c r="F26" s="56">
        <f t="shared" si="0"/>
        <v>0</v>
      </c>
      <c r="G26" s="57">
        <f t="shared" si="1"/>
        <v>0</v>
      </c>
    </row>
    <row r="27" spans="1:7" ht="21.75" customHeight="1">
      <c r="A27" s="294">
        <f>'Room Nights &amp; Food Covers'!A27</f>
        <v>45008</v>
      </c>
      <c r="B27" s="47"/>
      <c r="C27" s="47"/>
      <c r="D27" s="47"/>
      <c r="E27" s="26"/>
      <c r="F27" s="56">
        <f t="shared" si="0"/>
        <v>0</v>
      </c>
      <c r="G27" s="57">
        <f t="shared" si="1"/>
        <v>0</v>
      </c>
    </row>
    <row r="28" spans="1:7" ht="21.75" customHeight="1">
      <c r="A28" s="294">
        <f>'Room Nights &amp; Food Covers'!A28</f>
        <v>45009</v>
      </c>
      <c r="B28" s="47"/>
      <c r="C28" s="47"/>
      <c r="D28" s="47"/>
      <c r="E28" s="26"/>
      <c r="F28" s="56">
        <f t="shared" si="0"/>
        <v>0</v>
      </c>
      <c r="G28" s="57">
        <f t="shared" si="1"/>
        <v>0</v>
      </c>
    </row>
    <row r="29" spans="1:7" ht="21.75" customHeight="1">
      <c r="A29" s="294">
        <f>'Room Nights &amp; Food Covers'!A29</f>
        <v>45010</v>
      </c>
      <c r="B29" s="47"/>
      <c r="C29" s="47"/>
      <c r="D29" s="47"/>
      <c r="E29" s="26"/>
      <c r="F29" s="56">
        <f t="shared" si="0"/>
        <v>0</v>
      </c>
      <c r="G29" s="57">
        <f t="shared" si="1"/>
        <v>0</v>
      </c>
    </row>
    <row r="30" spans="1:7" ht="21.75" customHeight="1">
      <c r="A30" s="294">
        <f>'Room Nights &amp; Food Covers'!A30</f>
        <v>45011</v>
      </c>
      <c r="B30" s="47"/>
      <c r="C30" s="47"/>
      <c r="D30" s="47"/>
      <c r="E30" s="26"/>
      <c r="F30" s="56">
        <f t="shared" si="0"/>
        <v>0</v>
      </c>
      <c r="G30" s="57">
        <f t="shared" si="1"/>
        <v>0</v>
      </c>
    </row>
    <row r="31" spans="1:7" ht="21.75" customHeight="1">
      <c r="A31" s="294">
        <f>'Room Nights &amp; Food Covers'!A31</f>
        <v>45012</v>
      </c>
      <c r="B31" s="47"/>
      <c r="C31" s="47"/>
      <c r="D31" s="47"/>
      <c r="E31" s="26"/>
      <c r="F31" s="56">
        <f t="shared" si="0"/>
        <v>0</v>
      </c>
      <c r="G31" s="57">
        <f t="shared" si="1"/>
        <v>0</v>
      </c>
    </row>
    <row r="32" spans="1:7" ht="21.75" customHeight="1">
      <c r="A32" s="294">
        <f>'Room Nights &amp; Food Covers'!A32</f>
        <v>45013</v>
      </c>
      <c r="B32" s="47"/>
      <c r="C32" s="47"/>
      <c r="D32" s="47"/>
      <c r="E32" s="26"/>
      <c r="F32" s="56">
        <f t="shared" si="0"/>
        <v>0</v>
      </c>
      <c r="G32" s="57">
        <f t="shared" si="1"/>
        <v>0</v>
      </c>
    </row>
    <row r="33" spans="1:7" ht="21.75" customHeight="1">
      <c r="A33" s="294">
        <f>'Room Nights &amp; Food Covers'!A33</f>
        <v>45014</v>
      </c>
      <c r="B33" s="47"/>
      <c r="C33" s="47"/>
      <c r="D33" s="47"/>
      <c r="E33" s="26"/>
      <c r="F33" s="56">
        <f t="shared" ref="F33:F35" si="2">SUM(B33:E33)</f>
        <v>0</v>
      </c>
      <c r="G33" s="57">
        <f t="shared" ref="G33:G35" si="3">F33*45</f>
        <v>0</v>
      </c>
    </row>
    <row r="34" spans="1:7" ht="21.75" customHeight="1">
      <c r="A34" s="294">
        <f>'Room Nights &amp; Food Covers'!A34</f>
        <v>45015</v>
      </c>
      <c r="B34" s="47"/>
      <c r="C34" s="47"/>
      <c r="D34" s="47"/>
      <c r="E34" s="26"/>
      <c r="F34" s="56">
        <f t="shared" si="2"/>
        <v>0</v>
      </c>
      <c r="G34" s="57">
        <f t="shared" si="3"/>
        <v>0</v>
      </c>
    </row>
    <row r="35" spans="1:7" ht="21.75" customHeight="1">
      <c r="A35" s="294">
        <f>'Room Nights &amp; Food Covers'!A35</f>
        <v>45016</v>
      </c>
      <c r="B35" s="47"/>
      <c r="C35" s="47"/>
      <c r="D35" s="47"/>
      <c r="E35" s="26"/>
      <c r="F35" s="56">
        <f t="shared" si="2"/>
        <v>0</v>
      </c>
      <c r="G35" s="57">
        <f t="shared" si="3"/>
        <v>0</v>
      </c>
    </row>
    <row r="36" spans="1:7" ht="21" customHeight="1">
      <c r="A36" s="294">
        <f>'Room Nights &amp; Food Covers'!A36</f>
        <v>0</v>
      </c>
      <c r="B36" s="57"/>
      <c r="C36" s="57"/>
      <c r="D36" s="58"/>
      <c r="E36" s="58"/>
      <c r="F36" s="59"/>
      <c r="G36" s="57"/>
    </row>
  </sheetData>
  <mergeCells count="1">
    <mergeCell ref="A1:G3"/>
  </mergeCells>
  <printOptions horizontalCentered="1"/>
  <pageMargins left="0.7" right="0.7" top="0.75" bottom="0.75" header="0.3" footer="0.3"/>
  <pageSetup scale="85" orientation="portrait" r:id="rId1"/>
  <colBreaks count="1" manualBreakCount="1">
    <brk id="7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0C812-7268-4FE7-A0CA-2EC56DB6197C}">
  <sheetPr>
    <tabColor rgb="FFFF0000"/>
  </sheetPr>
  <dimension ref="B1:AK36"/>
  <sheetViews>
    <sheetView zoomScale="91" zoomScaleNormal="91" workbookViewId="0">
      <pane xSplit="2" ySplit="3" topLeftCell="C4" activePane="bottomRight" state="frozen"/>
      <selection pane="bottomRight" activeCell="C5" sqref="C5"/>
      <selection pane="bottomLeft" activeCell="A3" sqref="A3"/>
      <selection pane="topRight" activeCell="C1" sqref="C1"/>
    </sheetView>
  </sheetViews>
  <sheetFormatPr defaultColWidth="9.140625" defaultRowHeight="15"/>
  <cols>
    <col min="1" max="1" width="3.85546875" style="172" customWidth="1"/>
    <col min="2" max="2" width="8.5703125" style="172" bestFit="1" customWidth="1"/>
    <col min="3" max="3" width="12.85546875" style="172" customWidth="1"/>
    <col min="4" max="4" width="9.42578125" style="172" customWidth="1"/>
    <col min="5" max="5" width="13.42578125" style="172" customWidth="1"/>
    <col min="6" max="7" width="9.42578125" style="172" customWidth="1"/>
    <col min="8" max="8" width="4.85546875" style="172" customWidth="1"/>
    <col min="9" max="9" width="12.42578125" style="172" customWidth="1"/>
    <col min="10" max="10" width="9.42578125" style="172" customWidth="1"/>
    <col min="11" max="11" width="12.140625" style="172" customWidth="1"/>
    <col min="12" max="13" width="9.42578125" style="172" customWidth="1"/>
    <col min="14" max="14" width="4.28515625" style="172" customWidth="1"/>
    <col min="15" max="15" width="10.5703125" style="172" bestFit="1" customWidth="1"/>
    <col min="16" max="19" width="9.42578125" style="172" customWidth="1"/>
    <col min="20" max="20" width="4.28515625" style="172" customWidth="1"/>
    <col min="21" max="21" width="13.85546875" style="172" bestFit="1" customWidth="1"/>
    <col min="22" max="22" width="9.42578125" style="172" customWidth="1"/>
    <col min="23" max="23" width="11.7109375" style="172" customWidth="1"/>
    <col min="24" max="25" width="9.42578125" style="172" customWidth="1"/>
    <col min="26" max="26" width="3.42578125" style="172" customWidth="1"/>
    <col min="27" max="27" width="12.28515625" style="172" customWidth="1"/>
    <col min="28" max="28" width="9.42578125" style="172" customWidth="1"/>
    <col min="29" max="29" width="11.7109375" style="172" customWidth="1"/>
    <col min="30" max="31" width="9.42578125" style="172" customWidth="1"/>
    <col min="32" max="32" width="3.5703125" style="172" customWidth="1"/>
    <col min="33" max="33" width="14.28515625" style="172" customWidth="1"/>
    <col min="34" max="34" width="11.28515625" style="172" customWidth="1"/>
    <col min="35" max="35" width="12.7109375" style="172" customWidth="1"/>
    <col min="36" max="37" width="9.42578125" style="172" customWidth="1"/>
    <col min="38" max="38" width="1.7109375" style="172" customWidth="1"/>
    <col min="39" max="16384" width="9.140625" style="172"/>
  </cols>
  <sheetData>
    <row r="1" spans="2:37" ht="41.25" customHeight="1" thickBot="1">
      <c r="B1" s="353" t="s">
        <v>180</v>
      </c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353"/>
      <c r="O1" s="353"/>
      <c r="P1" s="353"/>
      <c r="Q1" s="353"/>
      <c r="R1" s="353"/>
      <c r="S1" s="353"/>
      <c r="T1" s="353"/>
      <c r="U1" s="353"/>
      <c r="V1" s="353"/>
      <c r="W1" s="353"/>
      <c r="X1" s="353"/>
      <c r="Y1" s="353"/>
      <c r="Z1" s="353"/>
      <c r="AA1" s="353"/>
      <c r="AB1" s="353"/>
      <c r="AC1" s="353"/>
      <c r="AD1" s="353"/>
      <c r="AE1" s="353"/>
      <c r="AF1" s="353"/>
      <c r="AG1" s="353"/>
      <c r="AH1" s="353"/>
      <c r="AI1" s="353"/>
      <c r="AJ1" s="353"/>
      <c r="AK1" s="353"/>
    </row>
    <row r="2" spans="2:37" ht="16.5" thickTop="1">
      <c r="B2" s="354" t="s">
        <v>94</v>
      </c>
      <c r="C2" s="173" t="s">
        <v>181</v>
      </c>
      <c r="D2" s="173"/>
      <c r="E2" s="173"/>
      <c r="F2" s="173"/>
      <c r="G2" s="205"/>
      <c r="H2" s="174"/>
      <c r="I2" s="356" t="s">
        <v>182</v>
      </c>
      <c r="J2" s="357"/>
      <c r="K2" s="357"/>
      <c r="L2" s="357"/>
      <c r="M2" s="358"/>
      <c r="N2" s="174"/>
      <c r="O2" s="356" t="s">
        <v>183</v>
      </c>
      <c r="P2" s="357"/>
      <c r="Q2" s="357"/>
      <c r="R2" s="357"/>
      <c r="S2" s="358"/>
      <c r="T2" s="175"/>
      <c r="U2" s="359" t="s">
        <v>184</v>
      </c>
      <c r="V2" s="357"/>
      <c r="W2" s="360"/>
      <c r="X2" s="360"/>
      <c r="Y2" s="360"/>
      <c r="Z2" s="175"/>
      <c r="AA2" s="356" t="s">
        <v>185</v>
      </c>
      <c r="AB2" s="357"/>
      <c r="AC2" s="357"/>
      <c r="AD2" s="357"/>
      <c r="AE2" s="358"/>
      <c r="AF2" s="175"/>
      <c r="AG2" s="361" t="s">
        <v>186</v>
      </c>
      <c r="AH2" s="362"/>
      <c r="AI2" s="363"/>
      <c r="AJ2" s="363"/>
      <c r="AK2" s="363"/>
    </row>
    <row r="3" spans="2:37" s="178" customFormat="1" ht="30">
      <c r="B3" s="355"/>
      <c r="C3" s="176" t="s">
        <v>100</v>
      </c>
      <c r="D3" s="176" t="s">
        <v>101</v>
      </c>
      <c r="E3" s="176" t="s">
        <v>187</v>
      </c>
      <c r="F3" s="176" t="s">
        <v>188</v>
      </c>
      <c r="G3" s="180" t="s">
        <v>189</v>
      </c>
      <c r="I3" s="179" t="s">
        <v>100</v>
      </c>
      <c r="J3" s="176" t="s">
        <v>101</v>
      </c>
      <c r="K3" s="176" t="s">
        <v>187</v>
      </c>
      <c r="L3" s="176" t="s">
        <v>188</v>
      </c>
      <c r="M3" s="180" t="s">
        <v>189</v>
      </c>
      <c r="O3" s="179" t="s">
        <v>100</v>
      </c>
      <c r="P3" s="176" t="s">
        <v>101</v>
      </c>
      <c r="Q3" s="176" t="s">
        <v>187</v>
      </c>
      <c r="R3" s="176" t="s">
        <v>188</v>
      </c>
      <c r="S3" s="180" t="s">
        <v>189</v>
      </c>
      <c r="T3" s="175"/>
      <c r="U3" s="181" t="s">
        <v>100</v>
      </c>
      <c r="V3" s="182" t="s">
        <v>101</v>
      </c>
      <c r="W3" s="183" t="s">
        <v>187</v>
      </c>
      <c r="X3" s="177" t="s">
        <v>188</v>
      </c>
      <c r="Y3" s="177" t="s">
        <v>189</v>
      </c>
      <c r="Z3" s="184"/>
      <c r="AA3" s="179" t="s">
        <v>100</v>
      </c>
      <c r="AB3" s="176" t="s">
        <v>101</v>
      </c>
      <c r="AC3" s="176" t="s">
        <v>187</v>
      </c>
      <c r="AD3" s="176" t="s">
        <v>188</v>
      </c>
      <c r="AE3" s="180" t="s">
        <v>189</v>
      </c>
      <c r="AF3" s="184"/>
      <c r="AG3" s="185" t="s">
        <v>100</v>
      </c>
      <c r="AH3" s="186" t="s">
        <v>101</v>
      </c>
      <c r="AI3" s="187" t="s">
        <v>187</v>
      </c>
      <c r="AJ3" s="187" t="s">
        <v>188</v>
      </c>
      <c r="AK3" s="187" t="s">
        <v>189</v>
      </c>
    </row>
    <row r="4" spans="2:37" ht="15.75">
      <c r="B4" s="188">
        <v>44621</v>
      </c>
      <c r="C4" s="191">
        <f>MAX(0,'All Genset Readings'!C7-'All Genset Readings'!C6)</f>
        <v>4913</v>
      </c>
      <c r="D4" s="191">
        <f>MAX(0,'All Genset Readings'!D7-'All Genset Readings'!D6)</f>
        <v>11</v>
      </c>
      <c r="E4" s="191">
        <f>'All Genset Readings'!E7</f>
        <v>1520</v>
      </c>
      <c r="F4" s="191">
        <f t="shared" ref="F4:F35" si="0">C4/D4</f>
        <v>446.63636363636363</v>
      </c>
      <c r="G4" s="193">
        <f t="shared" ref="G4:G35" si="1">C4/E4</f>
        <v>3.2322368421052632</v>
      </c>
      <c r="I4" s="190">
        <f>MAX(0,'All Genset Readings'!G7-'All Genset Readings'!G6)</f>
        <v>10599</v>
      </c>
      <c r="J4" s="190">
        <f>MAX(0,'All Genset Readings'!H7-'All Genset Readings'!H6)</f>
        <v>14</v>
      </c>
      <c r="K4" s="190">
        <f>'All Genset Readings'!I7</f>
        <v>3230</v>
      </c>
      <c r="L4" s="192">
        <f t="shared" ref="L4:L35" si="2">I4/J4</f>
        <v>757.07142857142856</v>
      </c>
      <c r="M4" s="193">
        <f t="shared" ref="M4:M35" si="3">I4/K4</f>
        <v>3.2814241486068112</v>
      </c>
      <c r="O4" s="190">
        <f>MAX(0,'All Genset Readings'!K7-'All Genset Readings'!K6)</f>
        <v>4211</v>
      </c>
      <c r="P4" s="190">
        <f>MAX(0,'All Genset Readings'!L7-'All Genset Readings'!L6)</f>
        <v>11</v>
      </c>
      <c r="Q4" s="190">
        <f>'All Genset Readings'!M7</f>
        <v>1140</v>
      </c>
      <c r="R4" s="192">
        <f t="shared" ref="R4:R35" si="4">O4/P4</f>
        <v>382.81818181818181</v>
      </c>
      <c r="S4" s="193">
        <f t="shared" ref="S4:S35" si="5">O4/Q4</f>
        <v>3.6938596491228068</v>
      </c>
      <c r="T4" s="175"/>
      <c r="U4" s="194">
        <f>MAX(0,'All Genset Readings'!O7-'All Genset Readings'!O6)</f>
        <v>2300</v>
      </c>
      <c r="V4" s="194">
        <f>MAX(0,'All Genset Readings'!P7-'All Genset Readings'!P6)</f>
        <v>10</v>
      </c>
      <c r="W4" s="194">
        <f>'All Genset Readings'!Q7</f>
        <v>720</v>
      </c>
      <c r="X4" s="189">
        <f t="shared" ref="X4:X35" si="6">U4/V4</f>
        <v>230</v>
      </c>
      <c r="Y4" s="189">
        <f t="shared" ref="Y4:Y35" si="7">U4/W4</f>
        <v>3.1944444444444446</v>
      </c>
      <c r="Z4" s="195"/>
      <c r="AA4" s="190">
        <f>MAX(0,'All Genset Readings'!S7-'All Genset Readings'!S6)</f>
        <v>5455</v>
      </c>
      <c r="AB4" s="190">
        <f>MAX(0,'All Genset Readings'!T7-'All Genset Readings'!T6)</f>
        <v>12</v>
      </c>
      <c r="AC4" s="190">
        <f>'All Genset Readings'!U7</f>
        <v>1120</v>
      </c>
      <c r="AD4" s="192">
        <f t="shared" ref="AD4:AD35" si="8">AA4/AB4</f>
        <v>454.58333333333331</v>
      </c>
      <c r="AE4" s="193">
        <f t="shared" ref="AE4:AE35" si="9">AA4/AC4</f>
        <v>4.8705357142857144</v>
      </c>
      <c r="AF4" s="195"/>
      <c r="AG4" s="196">
        <f t="shared" ref="AG4:AI31" si="10">C4+I4+O4+U4+AA4</f>
        <v>27478</v>
      </c>
      <c r="AH4" s="191">
        <f t="shared" si="10"/>
        <v>58</v>
      </c>
      <c r="AI4" s="194">
        <f>E4+K4+Q4+W4+AC4</f>
        <v>7730</v>
      </c>
      <c r="AJ4" s="189">
        <f t="shared" ref="AJ4:AJ35" si="11">AG4/AH4</f>
        <v>473.75862068965517</v>
      </c>
      <c r="AK4" s="189">
        <f t="shared" ref="AK4:AK35" si="12">AG4/AI4</f>
        <v>3.5547218628719275</v>
      </c>
    </row>
    <row r="5" spans="2:37" ht="15.75">
      <c r="B5" s="188">
        <v>44622</v>
      </c>
      <c r="C5" s="191">
        <f>MAX(0,'All Genset Readings'!C8-'All Genset Readings'!C7)</f>
        <v>6424</v>
      </c>
      <c r="D5" s="191">
        <f>MAX(0,'All Genset Readings'!D8-'All Genset Readings'!D7)</f>
        <v>13</v>
      </c>
      <c r="E5" s="191">
        <f>'All Genset Readings'!E8</f>
        <v>1830</v>
      </c>
      <c r="F5" s="191">
        <f t="shared" si="0"/>
        <v>494.15384615384613</v>
      </c>
      <c r="G5" s="193">
        <f t="shared" si="1"/>
        <v>3.5103825136612024</v>
      </c>
      <c r="I5" s="190">
        <f>MAX(0,'All Genset Readings'!G8-'All Genset Readings'!G7)</f>
        <v>8247</v>
      </c>
      <c r="J5" s="190">
        <f>MAX(0,'All Genset Readings'!H8-'All Genset Readings'!H7)</f>
        <v>10</v>
      </c>
      <c r="K5" s="190">
        <f>'All Genset Readings'!I8</f>
        <v>2470</v>
      </c>
      <c r="L5" s="192">
        <f t="shared" si="2"/>
        <v>824.7</v>
      </c>
      <c r="M5" s="193">
        <f t="shared" si="3"/>
        <v>3.3388663967611336</v>
      </c>
      <c r="O5" s="190">
        <f>MAX(0,'All Genset Readings'!K8-'All Genset Readings'!K7)</f>
        <v>6657</v>
      </c>
      <c r="P5" s="190">
        <f>MAX(0,'All Genset Readings'!L8-'All Genset Readings'!L7)</f>
        <v>16</v>
      </c>
      <c r="Q5" s="190">
        <f>'All Genset Readings'!M8</f>
        <v>1600</v>
      </c>
      <c r="R5" s="192">
        <f t="shared" si="4"/>
        <v>416.0625</v>
      </c>
      <c r="S5" s="193">
        <f t="shared" si="5"/>
        <v>4.1606249999999996</v>
      </c>
      <c r="T5" s="175"/>
      <c r="U5" s="194">
        <f>MAX(0,'All Genset Readings'!O8-'All Genset Readings'!O7)</f>
        <v>2406</v>
      </c>
      <c r="V5" s="194">
        <f>MAX(0,'All Genset Readings'!P8-'All Genset Readings'!P7)</f>
        <v>10</v>
      </c>
      <c r="W5" s="194">
        <f>'All Genset Readings'!Q8</f>
        <v>610</v>
      </c>
      <c r="X5" s="189">
        <f t="shared" si="6"/>
        <v>240.6</v>
      </c>
      <c r="Y5" s="189">
        <f t="shared" si="7"/>
        <v>3.944262295081967</v>
      </c>
      <c r="Z5" s="195"/>
      <c r="AA5" s="190">
        <f>MAX(0,'All Genset Readings'!S8-'All Genset Readings'!S7)</f>
        <v>4650</v>
      </c>
      <c r="AB5" s="190">
        <f>MAX(0,'All Genset Readings'!T8-'All Genset Readings'!T7)</f>
        <v>10</v>
      </c>
      <c r="AC5" s="190">
        <f>'All Genset Readings'!U8</f>
        <v>1460</v>
      </c>
      <c r="AD5" s="192">
        <f t="shared" si="8"/>
        <v>465</v>
      </c>
      <c r="AE5" s="193">
        <f t="shared" si="9"/>
        <v>3.1849315068493151</v>
      </c>
      <c r="AF5" s="195"/>
      <c r="AG5" s="196">
        <f t="shared" si="10"/>
        <v>28384</v>
      </c>
      <c r="AH5" s="191">
        <f t="shared" si="10"/>
        <v>59</v>
      </c>
      <c r="AI5" s="194">
        <f t="shared" si="10"/>
        <v>7970</v>
      </c>
      <c r="AJ5" s="189">
        <f t="shared" si="11"/>
        <v>481.08474576271186</v>
      </c>
      <c r="AK5" s="189">
        <f t="shared" si="12"/>
        <v>3.5613550815558344</v>
      </c>
    </row>
    <row r="6" spans="2:37" ht="15.75">
      <c r="B6" s="188">
        <v>44623</v>
      </c>
      <c r="C6" s="191">
        <f>MAX(0,'All Genset Readings'!C9-'All Genset Readings'!C8)</f>
        <v>6018</v>
      </c>
      <c r="D6" s="191">
        <f>MAX(0,'All Genset Readings'!D9-'All Genset Readings'!D8)</f>
        <v>13</v>
      </c>
      <c r="E6" s="191">
        <f>'All Genset Readings'!E9</f>
        <v>2070</v>
      </c>
      <c r="F6" s="191">
        <f t="shared" si="0"/>
        <v>462.92307692307691</v>
      </c>
      <c r="G6" s="193">
        <f t="shared" si="1"/>
        <v>2.9072463768115941</v>
      </c>
      <c r="I6" s="190">
        <f>MAX(0,'All Genset Readings'!G9-'All Genset Readings'!G8)</f>
        <v>7152</v>
      </c>
      <c r="J6" s="190">
        <f>MAX(0,'All Genset Readings'!H9-'All Genset Readings'!H8)</f>
        <v>10</v>
      </c>
      <c r="K6" s="190">
        <f>'All Genset Readings'!I9</f>
        <v>2110</v>
      </c>
      <c r="L6" s="192">
        <f t="shared" si="2"/>
        <v>715.2</v>
      </c>
      <c r="M6" s="193">
        <f t="shared" si="3"/>
        <v>3.3895734597156397</v>
      </c>
      <c r="O6" s="190">
        <f>MAX(0,'All Genset Readings'!K9-'All Genset Readings'!K8)</f>
        <v>4976</v>
      </c>
      <c r="P6" s="190">
        <f>MAX(0,'All Genset Readings'!L9-'All Genset Readings'!L8)</f>
        <v>12</v>
      </c>
      <c r="Q6" s="190">
        <f>'All Genset Readings'!M9</f>
        <v>1320</v>
      </c>
      <c r="R6" s="192">
        <f t="shared" si="4"/>
        <v>414.66666666666669</v>
      </c>
      <c r="S6" s="193">
        <f t="shared" si="5"/>
        <v>3.7696969696969695</v>
      </c>
      <c r="T6" s="175"/>
      <c r="U6" s="194">
        <f>MAX(0,'All Genset Readings'!O9-'All Genset Readings'!O8)</f>
        <v>2650</v>
      </c>
      <c r="V6" s="194">
        <f>MAX(0,'All Genset Readings'!P9-'All Genset Readings'!P8)</f>
        <v>11</v>
      </c>
      <c r="W6" s="194">
        <f>'All Genset Readings'!Q9</f>
        <v>810</v>
      </c>
      <c r="X6" s="189">
        <f t="shared" si="6"/>
        <v>240.90909090909091</v>
      </c>
      <c r="Y6" s="189">
        <f t="shared" si="7"/>
        <v>3.2716049382716048</v>
      </c>
      <c r="Z6" s="195"/>
      <c r="AA6" s="190">
        <f>MAX(0,'All Genset Readings'!S9-'All Genset Readings'!S8)</f>
        <v>7251</v>
      </c>
      <c r="AB6" s="190">
        <f>MAX(0,'All Genset Readings'!T9-'All Genset Readings'!T8)</f>
        <v>17</v>
      </c>
      <c r="AC6" s="190">
        <f>'All Genset Readings'!U9</f>
        <v>1450</v>
      </c>
      <c r="AD6" s="192">
        <f t="shared" si="8"/>
        <v>426.52941176470586</v>
      </c>
      <c r="AE6" s="193">
        <f t="shared" si="9"/>
        <v>5.0006896551724136</v>
      </c>
      <c r="AF6" s="195"/>
      <c r="AG6" s="196">
        <f t="shared" si="10"/>
        <v>28047</v>
      </c>
      <c r="AH6" s="191">
        <f t="shared" si="10"/>
        <v>63</v>
      </c>
      <c r="AI6" s="194">
        <f t="shared" si="10"/>
        <v>7760</v>
      </c>
      <c r="AJ6" s="189">
        <f t="shared" si="11"/>
        <v>445.1904761904762</v>
      </c>
      <c r="AK6" s="189">
        <f t="shared" si="12"/>
        <v>3.61430412371134</v>
      </c>
    </row>
    <row r="7" spans="2:37" ht="15.75">
      <c r="B7" s="188">
        <v>44624</v>
      </c>
      <c r="C7" s="191">
        <f>MAX(0,'All Genset Readings'!C10-'All Genset Readings'!C9)</f>
        <v>7692</v>
      </c>
      <c r="D7" s="191">
        <f>MAX(0,'All Genset Readings'!D10-'All Genset Readings'!D9)</f>
        <v>16</v>
      </c>
      <c r="E7" s="191">
        <f>'All Genset Readings'!E10</f>
        <v>2000</v>
      </c>
      <c r="F7" s="191">
        <f t="shared" si="0"/>
        <v>480.75</v>
      </c>
      <c r="G7" s="193">
        <f t="shared" si="1"/>
        <v>3.8460000000000001</v>
      </c>
      <c r="I7" s="190">
        <f>MAX(0,'All Genset Readings'!G10-'All Genset Readings'!G9)</f>
        <v>6433</v>
      </c>
      <c r="J7" s="190">
        <f>MAX(0,'All Genset Readings'!H10-'All Genset Readings'!H9)</f>
        <v>8</v>
      </c>
      <c r="K7" s="190">
        <f>'All Genset Readings'!I10</f>
        <v>1920</v>
      </c>
      <c r="L7" s="192">
        <f t="shared" si="2"/>
        <v>804.125</v>
      </c>
      <c r="M7" s="193">
        <f t="shared" si="3"/>
        <v>3.3505208333333334</v>
      </c>
      <c r="O7" s="190">
        <f>MAX(0,'All Genset Readings'!K10-'All Genset Readings'!K9)</f>
        <v>4928</v>
      </c>
      <c r="P7" s="190">
        <f>MAX(0,'All Genset Readings'!L10-'All Genset Readings'!L9)</f>
        <v>11</v>
      </c>
      <c r="Q7" s="190">
        <f>'All Genset Readings'!M10</f>
        <v>1190</v>
      </c>
      <c r="R7" s="192">
        <f t="shared" si="4"/>
        <v>448</v>
      </c>
      <c r="S7" s="193">
        <f t="shared" si="5"/>
        <v>4.1411764705882357</v>
      </c>
      <c r="T7" s="175"/>
      <c r="U7" s="194">
        <f>MAX(0,'All Genset Readings'!O10-'All Genset Readings'!O9)</f>
        <v>2943</v>
      </c>
      <c r="V7" s="194">
        <f>MAX(0,'All Genset Readings'!P10-'All Genset Readings'!P9)</f>
        <v>12</v>
      </c>
      <c r="W7" s="194">
        <f>'All Genset Readings'!Q10</f>
        <v>780</v>
      </c>
      <c r="X7" s="189">
        <f t="shared" si="6"/>
        <v>245.25</v>
      </c>
      <c r="Y7" s="189">
        <f t="shared" si="7"/>
        <v>3.773076923076923</v>
      </c>
      <c r="Z7" s="195"/>
      <c r="AA7" s="190">
        <f>MAX(0,'All Genset Readings'!S10-'All Genset Readings'!S9)</f>
        <v>5367</v>
      </c>
      <c r="AB7" s="190">
        <f>MAX(0,'All Genset Readings'!T10-'All Genset Readings'!T9)</f>
        <v>10</v>
      </c>
      <c r="AC7" s="190">
        <f>'All Genset Readings'!U10</f>
        <v>1480</v>
      </c>
      <c r="AD7" s="192">
        <f t="shared" si="8"/>
        <v>536.70000000000005</v>
      </c>
      <c r="AE7" s="193">
        <f t="shared" si="9"/>
        <v>3.6263513513513512</v>
      </c>
      <c r="AF7" s="195"/>
      <c r="AG7" s="196">
        <f>C7+I7+O7+U7+AA7</f>
        <v>27363</v>
      </c>
      <c r="AH7" s="191">
        <f t="shared" si="10"/>
        <v>57</v>
      </c>
      <c r="AI7" s="194">
        <f t="shared" si="10"/>
        <v>7370</v>
      </c>
      <c r="AJ7" s="189">
        <f t="shared" si="11"/>
        <v>480.05263157894734</v>
      </c>
      <c r="AK7" s="189">
        <f t="shared" si="12"/>
        <v>3.7127544097693352</v>
      </c>
    </row>
    <row r="8" spans="2:37" ht="15.75">
      <c r="B8" s="188">
        <v>44625</v>
      </c>
      <c r="C8" s="191">
        <f>MAX(0,'All Genset Readings'!C11-'All Genset Readings'!C10)</f>
        <v>1750</v>
      </c>
      <c r="D8" s="191">
        <f>MAX(0,'All Genset Readings'!D11-'All Genset Readings'!D10)</f>
        <v>5</v>
      </c>
      <c r="E8" s="191">
        <f>'All Genset Readings'!E11</f>
        <v>500</v>
      </c>
      <c r="F8" s="191">
        <f t="shared" si="0"/>
        <v>350</v>
      </c>
      <c r="G8" s="193">
        <f t="shared" si="1"/>
        <v>3.5</v>
      </c>
      <c r="I8" s="190">
        <f>MAX(0,'All Genset Readings'!G11-'All Genset Readings'!G10)</f>
        <v>5722</v>
      </c>
      <c r="J8" s="190">
        <f>MAX(0,'All Genset Readings'!H11-'All Genset Readings'!H10)</f>
        <v>7</v>
      </c>
      <c r="K8" s="190">
        <f>'All Genset Readings'!I11</f>
        <v>1600</v>
      </c>
      <c r="L8" s="192">
        <f t="shared" si="2"/>
        <v>817.42857142857144</v>
      </c>
      <c r="M8" s="193">
        <f t="shared" si="3"/>
        <v>3.5762499999999999</v>
      </c>
      <c r="O8" s="190">
        <f>MAX(0,'All Genset Readings'!K11-'All Genset Readings'!K10)</f>
        <v>7546</v>
      </c>
      <c r="P8" s="190">
        <f>MAX(0,'All Genset Readings'!L11-'All Genset Readings'!L10)</f>
        <v>17</v>
      </c>
      <c r="Q8" s="190">
        <f>'All Genset Readings'!M11</f>
        <v>1880</v>
      </c>
      <c r="R8" s="192">
        <f t="shared" si="4"/>
        <v>443.88235294117646</v>
      </c>
      <c r="S8" s="193">
        <f t="shared" si="5"/>
        <v>4.0138297872340427</v>
      </c>
      <c r="T8" s="175"/>
      <c r="U8" s="194">
        <f>MAX(0,'All Genset Readings'!O11-'All Genset Readings'!O10)</f>
        <v>3257</v>
      </c>
      <c r="V8" s="194">
        <f>MAX(0,'All Genset Readings'!P11-'All Genset Readings'!P10)</f>
        <v>13</v>
      </c>
      <c r="W8" s="194">
        <f>'All Genset Readings'!Q11</f>
        <v>590</v>
      </c>
      <c r="X8" s="189">
        <f t="shared" si="6"/>
        <v>250.53846153846155</v>
      </c>
      <c r="Y8" s="189">
        <f t="shared" si="7"/>
        <v>5.5203389830508476</v>
      </c>
      <c r="Z8" s="195"/>
      <c r="AA8" s="190">
        <f>MAX(0,'All Genset Readings'!S11-'All Genset Readings'!S10)</f>
        <v>8457</v>
      </c>
      <c r="AB8" s="190">
        <f>MAX(0,'All Genset Readings'!T11-'All Genset Readings'!T10)</f>
        <v>17</v>
      </c>
      <c r="AC8" s="190">
        <f>'All Genset Readings'!U11</f>
        <v>2300</v>
      </c>
      <c r="AD8" s="192">
        <f t="shared" si="8"/>
        <v>497.47058823529414</v>
      </c>
      <c r="AE8" s="193">
        <f t="shared" si="9"/>
        <v>3.6769565217391302</v>
      </c>
      <c r="AF8" s="195"/>
      <c r="AG8" s="196">
        <f t="shared" si="10"/>
        <v>26732</v>
      </c>
      <c r="AH8" s="191">
        <f t="shared" si="10"/>
        <v>59</v>
      </c>
      <c r="AI8" s="194">
        <f t="shared" si="10"/>
        <v>6870</v>
      </c>
      <c r="AJ8" s="189">
        <f t="shared" si="11"/>
        <v>453.08474576271186</v>
      </c>
      <c r="AK8" s="189">
        <f t="shared" si="12"/>
        <v>3.8911208151382826</v>
      </c>
    </row>
    <row r="9" spans="2:37" ht="15.75">
      <c r="B9" s="188">
        <v>44626</v>
      </c>
      <c r="C9" s="191">
        <f>MAX(0,'All Genset Readings'!C12-'All Genset Readings'!C11)</f>
        <v>0</v>
      </c>
      <c r="D9" s="191">
        <f>MAX(0,'All Genset Readings'!D12-'All Genset Readings'!D11)</f>
        <v>0</v>
      </c>
      <c r="E9" s="191">
        <f>'All Genset Readings'!E12</f>
        <v>0</v>
      </c>
      <c r="F9" s="191" t="e">
        <f t="shared" si="0"/>
        <v>#DIV/0!</v>
      </c>
      <c r="G9" s="193" t="e">
        <f t="shared" si="1"/>
        <v>#DIV/0!</v>
      </c>
      <c r="I9" s="190">
        <f>MAX(0,'All Genset Readings'!G12-'All Genset Readings'!G11)</f>
        <v>16557</v>
      </c>
      <c r="J9" s="190">
        <f>MAX(0,'All Genset Readings'!H12-'All Genset Readings'!H11)</f>
        <v>22</v>
      </c>
      <c r="K9" s="190">
        <f>'All Genset Readings'!I12</f>
        <v>4820</v>
      </c>
      <c r="L9" s="192">
        <f t="shared" si="2"/>
        <v>752.59090909090912</v>
      </c>
      <c r="M9" s="193">
        <f t="shared" si="3"/>
        <v>3.4350622406639002</v>
      </c>
      <c r="O9" s="190">
        <f>MAX(0,'All Genset Readings'!K12-'All Genset Readings'!K11)</f>
        <v>922</v>
      </c>
      <c r="P9" s="190">
        <f>MAX(0,'All Genset Readings'!L12-'All Genset Readings'!L11)</f>
        <v>3</v>
      </c>
      <c r="Q9" s="190">
        <f>'All Genset Readings'!M12</f>
        <v>250</v>
      </c>
      <c r="R9" s="192">
        <f t="shared" si="4"/>
        <v>307.33333333333331</v>
      </c>
      <c r="S9" s="193">
        <f t="shared" si="5"/>
        <v>3.6880000000000002</v>
      </c>
      <c r="T9" s="175"/>
      <c r="U9" s="194">
        <f>MAX(0,'All Genset Readings'!O12-'All Genset Readings'!O11)</f>
        <v>626</v>
      </c>
      <c r="V9" s="194">
        <f>MAX(0,'All Genset Readings'!P12-'All Genset Readings'!P11)</f>
        <v>4</v>
      </c>
      <c r="W9" s="194">
        <f>'All Genset Readings'!Q12</f>
        <v>120</v>
      </c>
      <c r="X9" s="189">
        <f t="shared" si="6"/>
        <v>156.5</v>
      </c>
      <c r="Y9" s="189">
        <f t="shared" si="7"/>
        <v>5.2166666666666668</v>
      </c>
      <c r="Z9" s="195"/>
      <c r="AA9" s="190">
        <f>MAX(0,'All Genset Readings'!S12-'All Genset Readings'!S11)</f>
        <v>7502</v>
      </c>
      <c r="AB9" s="190">
        <f>MAX(0,'All Genset Readings'!T12-'All Genset Readings'!T11)</f>
        <v>17</v>
      </c>
      <c r="AC9" s="190">
        <f>'All Genset Readings'!U12</f>
        <v>1860</v>
      </c>
      <c r="AD9" s="192">
        <f t="shared" si="8"/>
        <v>441.29411764705884</v>
      </c>
      <c r="AE9" s="193">
        <f t="shared" si="9"/>
        <v>4.0333333333333332</v>
      </c>
      <c r="AF9" s="195"/>
      <c r="AG9" s="196">
        <f t="shared" si="10"/>
        <v>25607</v>
      </c>
      <c r="AH9" s="191">
        <f t="shared" si="10"/>
        <v>46</v>
      </c>
      <c r="AI9" s="194">
        <f t="shared" si="10"/>
        <v>7050</v>
      </c>
      <c r="AJ9" s="189">
        <f t="shared" si="11"/>
        <v>556.67391304347825</v>
      </c>
      <c r="AK9" s="189">
        <f t="shared" si="12"/>
        <v>3.6321985815602837</v>
      </c>
    </row>
    <row r="10" spans="2:37" ht="15.75">
      <c r="B10" s="188">
        <v>44627</v>
      </c>
      <c r="C10" s="191">
        <f>MAX(0,'All Genset Readings'!C13-'All Genset Readings'!C12)</f>
        <v>3383</v>
      </c>
      <c r="D10" s="191">
        <f>MAX(0,'All Genset Readings'!D13-'All Genset Readings'!D12)</f>
        <v>8</v>
      </c>
      <c r="E10" s="191">
        <f>'All Genset Readings'!E13</f>
        <v>0</v>
      </c>
      <c r="F10" s="191">
        <f t="shared" si="0"/>
        <v>422.875</v>
      </c>
      <c r="G10" s="193" t="e">
        <f t="shared" si="1"/>
        <v>#DIV/0!</v>
      </c>
      <c r="I10" s="190">
        <f>MAX(0,'All Genset Readings'!G13-'All Genset Readings'!G12)</f>
        <v>12822</v>
      </c>
      <c r="J10" s="190">
        <f>MAX(0,'All Genset Readings'!H13-'All Genset Readings'!H12)</f>
        <v>18</v>
      </c>
      <c r="K10" s="190">
        <f>'All Genset Readings'!I13</f>
        <v>3570</v>
      </c>
      <c r="L10" s="192">
        <f t="shared" si="2"/>
        <v>712.33333333333337</v>
      </c>
      <c r="M10" s="193">
        <f t="shared" si="3"/>
        <v>3.5915966386554623</v>
      </c>
      <c r="O10" s="190">
        <f>MAX(0,'All Genset Readings'!K13-'All Genset Readings'!K12)</f>
        <v>5953</v>
      </c>
      <c r="P10" s="190">
        <f>MAX(0,'All Genset Readings'!L13-'All Genset Readings'!L12)</f>
        <v>14</v>
      </c>
      <c r="Q10" s="190">
        <f>'All Genset Readings'!M13</f>
        <v>1890</v>
      </c>
      <c r="R10" s="192">
        <f t="shared" si="4"/>
        <v>425.21428571428572</v>
      </c>
      <c r="S10" s="193">
        <f t="shared" si="5"/>
        <v>3.1497354497354499</v>
      </c>
      <c r="T10" s="175"/>
      <c r="U10" s="194">
        <f>MAX(0,'All Genset Readings'!O13-'All Genset Readings'!O12)</f>
        <v>1912</v>
      </c>
      <c r="V10" s="194">
        <f>MAX(0,'All Genset Readings'!P13-'All Genset Readings'!P12)</f>
        <v>8</v>
      </c>
      <c r="W10" s="194">
        <f>'All Genset Readings'!Q13</f>
        <v>530</v>
      </c>
      <c r="X10" s="189">
        <f t="shared" si="6"/>
        <v>239</v>
      </c>
      <c r="Y10" s="189">
        <f t="shared" si="7"/>
        <v>3.6075471698113208</v>
      </c>
      <c r="Z10" s="195"/>
      <c r="AA10" s="190">
        <f>MAX(0,'All Genset Readings'!S13-'All Genset Readings'!S12)</f>
        <v>2149</v>
      </c>
      <c r="AB10" s="190">
        <f>MAX(0,'All Genset Readings'!T13-'All Genset Readings'!T12)</f>
        <v>5</v>
      </c>
      <c r="AC10" s="190">
        <f>'All Genset Readings'!U13</f>
        <v>400</v>
      </c>
      <c r="AD10" s="192">
        <f t="shared" si="8"/>
        <v>429.8</v>
      </c>
      <c r="AE10" s="193">
        <f t="shared" si="9"/>
        <v>5.3724999999999996</v>
      </c>
      <c r="AF10" s="195"/>
      <c r="AG10" s="196">
        <f t="shared" si="10"/>
        <v>26219</v>
      </c>
      <c r="AH10" s="191">
        <f t="shared" si="10"/>
        <v>53</v>
      </c>
      <c r="AI10" s="194">
        <f t="shared" si="10"/>
        <v>6390</v>
      </c>
      <c r="AJ10" s="189">
        <f t="shared" si="11"/>
        <v>494.69811320754718</v>
      </c>
      <c r="AK10" s="189">
        <f t="shared" si="12"/>
        <v>4.1031298904538342</v>
      </c>
    </row>
    <row r="11" spans="2:37" ht="15.75">
      <c r="B11" s="188">
        <v>44628</v>
      </c>
      <c r="C11" s="191">
        <f>MAX(0,'All Genset Readings'!C14-'All Genset Readings'!C13)</f>
        <v>5533</v>
      </c>
      <c r="D11" s="191">
        <f>MAX(0,'All Genset Readings'!D14-'All Genset Readings'!D13)</f>
        <v>12</v>
      </c>
      <c r="E11" s="191">
        <f>'All Genset Readings'!E14</f>
        <v>3270</v>
      </c>
      <c r="F11" s="191">
        <f t="shared" si="0"/>
        <v>461.08333333333331</v>
      </c>
      <c r="G11" s="193">
        <f t="shared" si="1"/>
        <v>1.6920489296636085</v>
      </c>
      <c r="I11" s="190">
        <f>MAX(0,'All Genset Readings'!G14-'All Genset Readings'!G13)</f>
        <v>9792</v>
      </c>
      <c r="J11" s="190">
        <f>MAX(0,'All Genset Readings'!H14-'All Genset Readings'!H13)</f>
        <v>13</v>
      </c>
      <c r="K11" s="190">
        <f>'All Genset Readings'!I14</f>
        <v>2770</v>
      </c>
      <c r="L11" s="192">
        <f t="shared" si="2"/>
        <v>753.23076923076928</v>
      </c>
      <c r="M11" s="193">
        <f t="shared" si="3"/>
        <v>3.5350180505415163</v>
      </c>
      <c r="O11" s="190">
        <f>MAX(0,'All Genset Readings'!K14-'All Genset Readings'!K13)</f>
        <v>7800</v>
      </c>
      <c r="P11" s="190">
        <f>MAX(0,'All Genset Readings'!L14-'All Genset Readings'!L13)</f>
        <v>18</v>
      </c>
      <c r="Q11" s="190">
        <f>'All Genset Readings'!M14</f>
        <v>2000</v>
      </c>
      <c r="R11" s="192">
        <f t="shared" si="4"/>
        <v>433.33333333333331</v>
      </c>
      <c r="S11" s="193">
        <f t="shared" si="5"/>
        <v>3.9</v>
      </c>
      <c r="T11" s="175"/>
      <c r="U11" s="194">
        <f>MAX(0,'All Genset Readings'!O14-'All Genset Readings'!O13)</f>
        <v>554</v>
      </c>
      <c r="V11" s="194">
        <f>MAX(0,'All Genset Readings'!P14-'All Genset Readings'!P13)</f>
        <v>3</v>
      </c>
      <c r="W11" s="194">
        <f>'All Genset Readings'!Q14</f>
        <v>170</v>
      </c>
      <c r="X11" s="189">
        <f t="shared" si="6"/>
        <v>184.66666666666666</v>
      </c>
      <c r="Y11" s="189">
        <f t="shared" si="7"/>
        <v>3.2588235294117647</v>
      </c>
      <c r="Z11" s="195"/>
      <c r="AA11" s="190">
        <f>MAX(0,'All Genset Readings'!S14-'All Genset Readings'!S13)</f>
        <v>4756</v>
      </c>
      <c r="AB11" s="190">
        <f>MAX(0,'All Genset Readings'!T14-'All Genset Readings'!T13)</f>
        <v>10</v>
      </c>
      <c r="AC11" s="190">
        <f>'All Genset Readings'!U14</f>
        <v>1190</v>
      </c>
      <c r="AD11" s="192">
        <f t="shared" si="8"/>
        <v>475.6</v>
      </c>
      <c r="AE11" s="193">
        <f t="shared" si="9"/>
        <v>3.9966386554621849</v>
      </c>
      <c r="AF11" s="195"/>
      <c r="AG11" s="196">
        <f t="shared" si="10"/>
        <v>28435</v>
      </c>
      <c r="AH11" s="191">
        <f t="shared" si="10"/>
        <v>56</v>
      </c>
      <c r="AI11" s="194">
        <f t="shared" si="10"/>
        <v>9400</v>
      </c>
      <c r="AJ11" s="189">
        <f t="shared" si="11"/>
        <v>507.76785714285717</v>
      </c>
      <c r="AK11" s="189">
        <f t="shared" si="12"/>
        <v>3.0249999999999999</v>
      </c>
    </row>
    <row r="12" spans="2:37" ht="15.75">
      <c r="B12" s="188">
        <v>44629</v>
      </c>
      <c r="C12" s="191">
        <f>MAX(0,'All Genset Readings'!C15-'All Genset Readings'!C14)</f>
        <v>0</v>
      </c>
      <c r="D12" s="191">
        <f>MAX(0,'All Genset Readings'!D15-'All Genset Readings'!D14)</f>
        <v>0</v>
      </c>
      <c r="E12" s="191">
        <f>'All Genset Readings'!E15</f>
        <v>0</v>
      </c>
      <c r="F12" s="191" t="e">
        <f t="shared" si="0"/>
        <v>#DIV/0!</v>
      </c>
      <c r="G12" s="193" t="e">
        <f t="shared" si="1"/>
        <v>#DIV/0!</v>
      </c>
      <c r="I12" s="190">
        <f>MAX(0,'All Genset Readings'!G15-'All Genset Readings'!G14)</f>
        <v>0</v>
      </c>
      <c r="J12" s="190">
        <f>MAX(0,'All Genset Readings'!H15-'All Genset Readings'!H14)</f>
        <v>0</v>
      </c>
      <c r="K12" s="190">
        <f>'All Genset Readings'!I15</f>
        <v>0</v>
      </c>
      <c r="L12" s="192" t="e">
        <f t="shared" si="2"/>
        <v>#DIV/0!</v>
      </c>
      <c r="M12" s="193" t="e">
        <f t="shared" si="3"/>
        <v>#DIV/0!</v>
      </c>
      <c r="O12" s="190">
        <f>MAX(0,'All Genset Readings'!K15-'All Genset Readings'!K14)</f>
        <v>0</v>
      </c>
      <c r="P12" s="190">
        <f>MAX(0,'All Genset Readings'!L15-'All Genset Readings'!L14)</f>
        <v>0</v>
      </c>
      <c r="Q12" s="190">
        <f>'All Genset Readings'!M15</f>
        <v>0</v>
      </c>
      <c r="R12" s="192" t="e">
        <f t="shared" si="4"/>
        <v>#DIV/0!</v>
      </c>
      <c r="S12" s="193" t="e">
        <f t="shared" si="5"/>
        <v>#DIV/0!</v>
      </c>
      <c r="T12" s="175"/>
      <c r="U12" s="194">
        <f>MAX(0,'All Genset Readings'!O15-'All Genset Readings'!O14)</f>
        <v>0</v>
      </c>
      <c r="V12" s="194">
        <f>MAX(0,'All Genset Readings'!P15-'All Genset Readings'!P14)</f>
        <v>0</v>
      </c>
      <c r="W12" s="194">
        <f>'All Genset Readings'!Q15</f>
        <v>0</v>
      </c>
      <c r="X12" s="189" t="e">
        <f t="shared" si="6"/>
        <v>#DIV/0!</v>
      </c>
      <c r="Y12" s="189" t="e">
        <f t="shared" si="7"/>
        <v>#DIV/0!</v>
      </c>
      <c r="Z12" s="195"/>
      <c r="AA12" s="190">
        <f>MAX(0,'All Genset Readings'!S15-'All Genset Readings'!S14)</f>
        <v>0</v>
      </c>
      <c r="AB12" s="190">
        <f>MAX(0,'All Genset Readings'!T15-'All Genset Readings'!T14)</f>
        <v>0</v>
      </c>
      <c r="AC12" s="190">
        <f>'All Genset Readings'!U15</f>
        <v>0</v>
      </c>
      <c r="AD12" s="192" t="e">
        <f t="shared" si="8"/>
        <v>#DIV/0!</v>
      </c>
      <c r="AE12" s="193" t="e">
        <f t="shared" si="9"/>
        <v>#DIV/0!</v>
      </c>
      <c r="AF12" s="195"/>
      <c r="AG12" s="196">
        <f t="shared" si="10"/>
        <v>0</v>
      </c>
      <c r="AH12" s="191">
        <f t="shared" si="10"/>
        <v>0</v>
      </c>
      <c r="AI12" s="194">
        <f t="shared" si="10"/>
        <v>0</v>
      </c>
      <c r="AJ12" s="189" t="e">
        <f t="shared" si="11"/>
        <v>#DIV/0!</v>
      </c>
      <c r="AK12" s="189" t="e">
        <f t="shared" si="12"/>
        <v>#DIV/0!</v>
      </c>
    </row>
    <row r="13" spans="2:37" ht="15.75">
      <c r="B13" s="188">
        <v>44630</v>
      </c>
      <c r="C13" s="191">
        <f>MAX(0,'All Genset Readings'!C16-'All Genset Readings'!C15)</f>
        <v>0</v>
      </c>
      <c r="D13" s="191">
        <f>MAX(0,'All Genset Readings'!D16-'All Genset Readings'!D15)</f>
        <v>0</v>
      </c>
      <c r="E13" s="191">
        <f>'All Genset Readings'!E16</f>
        <v>0</v>
      </c>
      <c r="F13" s="191" t="e">
        <f t="shared" si="0"/>
        <v>#DIV/0!</v>
      </c>
      <c r="G13" s="193" t="e">
        <f t="shared" si="1"/>
        <v>#DIV/0!</v>
      </c>
      <c r="I13" s="190">
        <f>MAX(0,'All Genset Readings'!G16-'All Genset Readings'!G15)</f>
        <v>0</v>
      </c>
      <c r="J13" s="190">
        <f>MAX(0,'All Genset Readings'!H16-'All Genset Readings'!H15)</f>
        <v>0</v>
      </c>
      <c r="K13" s="190">
        <f>'All Genset Readings'!I16</f>
        <v>0</v>
      </c>
      <c r="L13" s="192" t="e">
        <f t="shared" si="2"/>
        <v>#DIV/0!</v>
      </c>
      <c r="M13" s="193" t="e">
        <f t="shared" si="3"/>
        <v>#DIV/0!</v>
      </c>
      <c r="O13" s="190">
        <f>MAX(0,'All Genset Readings'!K16-'All Genset Readings'!K15)</f>
        <v>0</v>
      </c>
      <c r="P13" s="190">
        <f>MAX(0,'All Genset Readings'!L16-'All Genset Readings'!L15)</f>
        <v>0</v>
      </c>
      <c r="Q13" s="190">
        <f>'All Genset Readings'!M16</f>
        <v>0</v>
      </c>
      <c r="R13" s="192" t="e">
        <f t="shared" si="4"/>
        <v>#DIV/0!</v>
      </c>
      <c r="S13" s="193" t="e">
        <f t="shared" si="5"/>
        <v>#DIV/0!</v>
      </c>
      <c r="T13" s="175"/>
      <c r="U13" s="194">
        <f>MAX(0,'All Genset Readings'!O16-'All Genset Readings'!O15)</f>
        <v>0</v>
      </c>
      <c r="V13" s="194">
        <f>MAX(0,'All Genset Readings'!P16-'All Genset Readings'!P15)</f>
        <v>0</v>
      </c>
      <c r="W13" s="194">
        <f>'All Genset Readings'!Q16</f>
        <v>0</v>
      </c>
      <c r="X13" s="189" t="e">
        <f t="shared" si="6"/>
        <v>#DIV/0!</v>
      </c>
      <c r="Y13" s="189" t="e">
        <f t="shared" si="7"/>
        <v>#DIV/0!</v>
      </c>
      <c r="Z13" s="195"/>
      <c r="AA13" s="190">
        <f>MAX(0,'All Genset Readings'!S16-'All Genset Readings'!S15)</f>
        <v>0</v>
      </c>
      <c r="AB13" s="190">
        <f>MAX(0,'All Genset Readings'!T16-'All Genset Readings'!T15)</f>
        <v>0</v>
      </c>
      <c r="AC13" s="190">
        <f>'All Genset Readings'!U16</f>
        <v>0</v>
      </c>
      <c r="AD13" s="192" t="e">
        <f t="shared" si="8"/>
        <v>#DIV/0!</v>
      </c>
      <c r="AE13" s="193" t="e">
        <f t="shared" si="9"/>
        <v>#DIV/0!</v>
      </c>
      <c r="AF13" s="195"/>
      <c r="AG13" s="196">
        <f t="shared" si="10"/>
        <v>0</v>
      </c>
      <c r="AH13" s="191">
        <f t="shared" si="10"/>
        <v>0</v>
      </c>
      <c r="AI13" s="194">
        <f t="shared" si="10"/>
        <v>0</v>
      </c>
      <c r="AJ13" s="189" t="e">
        <f t="shared" si="11"/>
        <v>#DIV/0!</v>
      </c>
      <c r="AK13" s="189" t="e">
        <f t="shared" si="12"/>
        <v>#DIV/0!</v>
      </c>
    </row>
    <row r="14" spans="2:37" ht="15.75">
      <c r="B14" s="188">
        <v>44631</v>
      </c>
      <c r="C14" s="191">
        <f>MAX(0,'All Genset Readings'!C17-'All Genset Readings'!C16)</f>
        <v>0</v>
      </c>
      <c r="D14" s="191">
        <f>MAX(0,'All Genset Readings'!D17-'All Genset Readings'!D16)</f>
        <v>0</v>
      </c>
      <c r="E14" s="191">
        <f>'All Genset Readings'!E17</f>
        <v>0</v>
      </c>
      <c r="F14" s="191" t="e">
        <f t="shared" si="0"/>
        <v>#DIV/0!</v>
      </c>
      <c r="G14" s="193" t="e">
        <f t="shared" si="1"/>
        <v>#DIV/0!</v>
      </c>
      <c r="I14" s="190">
        <f>MAX(0,'All Genset Readings'!G17-'All Genset Readings'!G16)</f>
        <v>0</v>
      </c>
      <c r="J14" s="190">
        <f>MAX(0,'All Genset Readings'!H17-'All Genset Readings'!H16)</f>
        <v>0</v>
      </c>
      <c r="K14" s="190">
        <f>'All Genset Readings'!I17</f>
        <v>0</v>
      </c>
      <c r="L14" s="192" t="e">
        <f t="shared" si="2"/>
        <v>#DIV/0!</v>
      </c>
      <c r="M14" s="193" t="e">
        <f t="shared" si="3"/>
        <v>#DIV/0!</v>
      </c>
      <c r="O14" s="190">
        <f>MAX(0,'All Genset Readings'!K17-'All Genset Readings'!K16)</f>
        <v>0</v>
      </c>
      <c r="P14" s="190">
        <f>MAX(0,'All Genset Readings'!L17-'All Genset Readings'!L16)</f>
        <v>0</v>
      </c>
      <c r="Q14" s="190">
        <f>'All Genset Readings'!M17</f>
        <v>0</v>
      </c>
      <c r="R14" s="192" t="e">
        <f t="shared" si="4"/>
        <v>#DIV/0!</v>
      </c>
      <c r="S14" s="193" t="e">
        <f t="shared" si="5"/>
        <v>#DIV/0!</v>
      </c>
      <c r="T14" s="175"/>
      <c r="U14" s="194">
        <f>MAX(0,'All Genset Readings'!O17-'All Genset Readings'!O16)</f>
        <v>0</v>
      </c>
      <c r="V14" s="194">
        <f>MAX(0,'All Genset Readings'!P17-'All Genset Readings'!P16)</f>
        <v>0</v>
      </c>
      <c r="W14" s="194">
        <f>'All Genset Readings'!Q17</f>
        <v>0</v>
      </c>
      <c r="X14" s="189" t="e">
        <f t="shared" si="6"/>
        <v>#DIV/0!</v>
      </c>
      <c r="Y14" s="189" t="e">
        <f t="shared" si="7"/>
        <v>#DIV/0!</v>
      </c>
      <c r="Z14" s="195"/>
      <c r="AA14" s="190">
        <f>MAX(0,'All Genset Readings'!S17-'All Genset Readings'!S16)</f>
        <v>0</v>
      </c>
      <c r="AB14" s="190">
        <f>MAX(0,'All Genset Readings'!T17-'All Genset Readings'!T16)</f>
        <v>0</v>
      </c>
      <c r="AC14" s="190">
        <f>'All Genset Readings'!U17</f>
        <v>0</v>
      </c>
      <c r="AD14" s="192" t="e">
        <f t="shared" si="8"/>
        <v>#DIV/0!</v>
      </c>
      <c r="AE14" s="193" t="e">
        <f t="shared" si="9"/>
        <v>#DIV/0!</v>
      </c>
      <c r="AF14" s="195"/>
      <c r="AG14" s="196">
        <f t="shared" si="10"/>
        <v>0</v>
      </c>
      <c r="AH14" s="191">
        <f t="shared" si="10"/>
        <v>0</v>
      </c>
      <c r="AI14" s="194">
        <f t="shared" si="10"/>
        <v>0</v>
      </c>
      <c r="AJ14" s="189" t="e">
        <f t="shared" si="11"/>
        <v>#DIV/0!</v>
      </c>
      <c r="AK14" s="189" t="e">
        <f t="shared" si="12"/>
        <v>#DIV/0!</v>
      </c>
    </row>
    <row r="15" spans="2:37" ht="15.75">
      <c r="B15" s="188">
        <v>44632</v>
      </c>
      <c r="C15" s="191">
        <f>MAX(0,'All Genset Readings'!C18-'All Genset Readings'!C17)</f>
        <v>0</v>
      </c>
      <c r="D15" s="191">
        <f>MAX(0,'All Genset Readings'!D18-'All Genset Readings'!D17)</f>
        <v>0</v>
      </c>
      <c r="E15" s="191">
        <f>'All Genset Readings'!E18</f>
        <v>0</v>
      </c>
      <c r="F15" s="191" t="e">
        <f t="shared" si="0"/>
        <v>#DIV/0!</v>
      </c>
      <c r="G15" s="193" t="e">
        <f t="shared" si="1"/>
        <v>#DIV/0!</v>
      </c>
      <c r="I15" s="190">
        <f>MAX(0,'All Genset Readings'!G18-'All Genset Readings'!G17)</f>
        <v>0</v>
      </c>
      <c r="J15" s="190">
        <f>MAX(0,'All Genset Readings'!H18-'All Genset Readings'!H17)</f>
        <v>0</v>
      </c>
      <c r="K15" s="190">
        <f>'All Genset Readings'!I18</f>
        <v>0</v>
      </c>
      <c r="L15" s="192" t="e">
        <f t="shared" si="2"/>
        <v>#DIV/0!</v>
      </c>
      <c r="M15" s="193" t="e">
        <f t="shared" si="3"/>
        <v>#DIV/0!</v>
      </c>
      <c r="O15" s="190">
        <f>MAX(0,'All Genset Readings'!K18-'All Genset Readings'!K17)</f>
        <v>0</v>
      </c>
      <c r="P15" s="190">
        <f>MAX(0,'All Genset Readings'!L18-'All Genset Readings'!L17)</f>
        <v>0</v>
      </c>
      <c r="Q15" s="190">
        <f>'All Genset Readings'!M18</f>
        <v>0</v>
      </c>
      <c r="R15" s="192" t="e">
        <f t="shared" si="4"/>
        <v>#DIV/0!</v>
      </c>
      <c r="S15" s="193" t="e">
        <f t="shared" si="5"/>
        <v>#DIV/0!</v>
      </c>
      <c r="T15" s="175"/>
      <c r="U15" s="194">
        <f>MAX(0,'All Genset Readings'!O18-'All Genset Readings'!O17)</f>
        <v>0</v>
      </c>
      <c r="V15" s="194">
        <f>MAX(0,'All Genset Readings'!P18-'All Genset Readings'!P17)</f>
        <v>0</v>
      </c>
      <c r="W15" s="194">
        <f>'All Genset Readings'!Q18</f>
        <v>0</v>
      </c>
      <c r="X15" s="189" t="e">
        <f t="shared" si="6"/>
        <v>#DIV/0!</v>
      </c>
      <c r="Y15" s="189" t="e">
        <f t="shared" si="7"/>
        <v>#DIV/0!</v>
      </c>
      <c r="Z15" s="195"/>
      <c r="AA15" s="190">
        <f>MAX(0,'All Genset Readings'!S18-'All Genset Readings'!S17)</f>
        <v>0</v>
      </c>
      <c r="AB15" s="190">
        <f>MAX(0,'All Genset Readings'!T18-'All Genset Readings'!T17)</f>
        <v>0</v>
      </c>
      <c r="AC15" s="190">
        <f>'All Genset Readings'!U18</f>
        <v>0</v>
      </c>
      <c r="AD15" s="192" t="e">
        <f t="shared" si="8"/>
        <v>#DIV/0!</v>
      </c>
      <c r="AE15" s="193" t="e">
        <f t="shared" si="9"/>
        <v>#DIV/0!</v>
      </c>
      <c r="AF15" s="195"/>
      <c r="AG15" s="196">
        <f t="shared" si="10"/>
        <v>0</v>
      </c>
      <c r="AH15" s="191">
        <f t="shared" si="10"/>
        <v>0</v>
      </c>
      <c r="AI15" s="194">
        <f t="shared" si="10"/>
        <v>0</v>
      </c>
      <c r="AJ15" s="189" t="e">
        <f t="shared" si="11"/>
        <v>#DIV/0!</v>
      </c>
      <c r="AK15" s="189" t="e">
        <f t="shared" si="12"/>
        <v>#DIV/0!</v>
      </c>
    </row>
    <row r="16" spans="2:37" ht="15.75">
      <c r="B16" s="188">
        <v>44633</v>
      </c>
      <c r="C16" s="191">
        <f>MAX(0,'All Genset Readings'!C19-'All Genset Readings'!C18)</f>
        <v>0</v>
      </c>
      <c r="D16" s="191">
        <f>MAX(0,'All Genset Readings'!D19-'All Genset Readings'!D18)</f>
        <v>0</v>
      </c>
      <c r="E16" s="191">
        <f>'All Genset Readings'!E19</f>
        <v>0</v>
      </c>
      <c r="F16" s="191" t="e">
        <f t="shared" si="0"/>
        <v>#DIV/0!</v>
      </c>
      <c r="G16" s="193" t="e">
        <f t="shared" si="1"/>
        <v>#DIV/0!</v>
      </c>
      <c r="I16" s="190">
        <f>MAX(0,'All Genset Readings'!G19-'All Genset Readings'!G18)</f>
        <v>0</v>
      </c>
      <c r="J16" s="190">
        <f>MAX(0,'All Genset Readings'!H19-'All Genset Readings'!H18)</f>
        <v>0</v>
      </c>
      <c r="K16" s="190">
        <f>'All Genset Readings'!I19</f>
        <v>0</v>
      </c>
      <c r="L16" s="192" t="e">
        <f t="shared" si="2"/>
        <v>#DIV/0!</v>
      </c>
      <c r="M16" s="193" t="e">
        <f t="shared" si="3"/>
        <v>#DIV/0!</v>
      </c>
      <c r="O16" s="190">
        <f>MAX(0,'All Genset Readings'!K19-'All Genset Readings'!K18)</f>
        <v>0</v>
      </c>
      <c r="P16" s="190">
        <f>MAX(0,'All Genset Readings'!L19-'All Genset Readings'!L18)</f>
        <v>0</v>
      </c>
      <c r="Q16" s="190">
        <f>'All Genset Readings'!M19</f>
        <v>0</v>
      </c>
      <c r="R16" s="192" t="e">
        <f t="shared" si="4"/>
        <v>#DIV/0!</v>
      </c>
      <c r="S16" s="193" t="e">
        <f t="shared" si="5"/>
        <v>#DIV/0!</v>
      </c>
      <c r="T16" s="175"/>
      <c r="U16" s="194">
        <f>MAX(0,'All Genset Readings'!O19-'All Genset Readings'!O18)</f>
        <v>0</v>
      </c>
      <c r="V16" s="194">
        <f>MAX(0,'All Genset Readings'!P19-'All Genset Readings'!P18)</f>
        <v>0</v>
      </c>
      <c r="W16" s="194">
        <f>'All Genset Readings'!Q19</f>
        <v>0</v>
      </c>
      <c r="X16" s="189" t="e">
        <f t="shared" si="6"/>
        <v>#DIV/0!</v>
      </c>
      <c r="Y16" s="189" t="e">
        <f t="shared" si="7"/>
        <v>#DIV/0!</v>
      </c>
      <c r="Z16" s="195"/>
      <c r="AA16" s="190">
        <f>MAX(0,'All Genset Readings'!S19-'All Genset Readings'!S18)</f>
        <v>0</v>
      </c>
      <c r="AB16" s="190">
        <f>MAX(0,'All Genset Readings'!T19-'All Genset Readings'!T18)</f>
        <v>0</v>
      </c>
      <c r="AC16" s="190">
        <f>'All Genset Readings'!U19</f>
        <v>0</v>
      </c>
      <c r="AD16" s="192" t="e">
        <f t="shared" si="8"/>
        <v>#DIV/0!</v>
      </c>
      <c r="AE16" s="193" t="e">
        <f t="shared" si="9"/>
        <v>#DIV/0!</v>
      </c>
      <c r="AF16" s="195"/>
      <c r="AG16" s="196">
        <f t="shared" si="10"/>
        <v>0</v>
      </c>
      <c r="AH16" s="191">
        <f t="shared" si="10"/>
        <v>0</v>
      </c>
      <c r="AI16" s="194">
        <f t="shared" si="10"/>
        <v>0</v>
      </c>
      <c r="AJ16" s="189" t="e">
        <f t="shared" si="11"/>
        <v>#DIV/0!</v>
      </c>
      <c r="AK16" s="189" t="e">
        <f t="shared" si="12"/>
        <v>#DIV/0!</v>
      </c>
    </row>
    <row r="17" spans="2:37" ht="15.75">
      <c r="B17" s="188">
        <v>44634</v>
      </c>
      <c r="C17" s="191">
        <f>MAX(0,'All Genset Readings'!C20-'All Genset Readings'!C19)</f>
        <v>0</v>
      </c>
      <c r="D17" s="191">
        <f>MAX(0,'All Genset Readings'!D20-'All Genset Readings'!D19)</f>
        <v>0</v>
      </c>
      <c r="E17" s="191">
        <f>'All Genset Readings'!E20</f>
        <v>0</v>
      </c>
      <c r="F17" s="191" t="e">
        <f t="shared" si="0"/>
        <v>#DIV/0!</v>
      </c>
      <c r="G17" s="193" t="e">
        <f t="shared" si="1"/>
        <v>#DIV/0!</v>
      </c>
      <c r="I17" s="190">
        <f>MAX(0,'All Genset Readings'!G20-'All Genset Readings'!G19)</f>
        <v>0</v>
      </c>
      <c r="J17" s="190">
        <f>MAX(0,'All Genset Readings'!H20-'All Genset Readings'!H19)</f>
        <v>0</v>
      </c>
      <c r="K17" s="190">
        <f>'All Genset Readings'!I20</f>
        <v>0</v>
      </c>
      <c r="L17" s="192" t="e">
        <f t="shared" si="2"/>
        <v>#DIV/0!</v>
      </c>
      <c r="M17" s="193" t="e">
        <f t="shared" si="3"/>
        <v>#DIV/0!</v>
      </c>
      <c r="O17" s="190">
        <f>MAX(0,'All Genset Readings'!K20-'All Genset Readings'!K19)</f>
        <v>0</v>
      </c>
      <c r="P17" s="190">
        <f>MAX(0,'All Genset Readings'!L20-'All Genset Readings'!L19)</f>
        <v>0</v>
      </c>
      <c r="Q17" s="190">
        <f>'All Genset Readings'!M20</f>
        <v>0</v>
      </c>
      <c r="R17" s="192" t="e">
        <f t="shared" si="4"/>
        <v>#DIV/0!</v>
      </c>
      <c r="S17" s="193" t="e">
        <f t="shared" si="5"/>
        <v>#DIV/0!</v>
      </c>
      <c r="T17" s="175"/>
      <c r="U17" s="194">
        <f>MAX(0,'All Genset Readings'!O20-'All Genset Readings'!O19)</f>
        <v>0</v>
      </c>
      <c r="V17" s="194">
        <f>MAX(0,'All Genset Readings'!P20-'All Genset Readings'!P19)</f>
        <v>0</v>
      </c>
      <c r="W17" s="194">
        <f>'All Genset Readings'!Q20</f>
        <v>0</v>
      </c>
      <c r="X17" s="189" t="e">
        <f t="shared" si="6"/>
        <v>#DIV/0!</v>
      </c>
      <c r="Y17" s="189" t="e">
        <f t="shared" si="7"/>
        <v>#DIV/0!</v>
      </c>
      <c r="Z17" s="195"/>
      <c r="AA17" s="190">
        <f>MAX(0,'All Genset Readings'!S20-'All Genset Readings'!S19)</f>
        <v>0</v>
      </c>
      <c r="AB17" s="190">
        <f>MAX(0,'All Genset Readings'!T20-'All Genset Readings'!T19)</f>
        <v>0</v>
      </c>
      <c r="AC17" s="190">
        <f>'All Genset Readings'!U20</f>
        <v>0</v>
      </c>
      <c r="AD17" s="192" t="e">
        <f t="shared" si="8"/>
        <v>#DIV/0!</v>
      </c>
      <c r="AE17" s="193" t="e">
        <f t="shared" si="9"/>
        <v>#DIV/0!</v>
      </c>
      <c r="AF17" s="195"/>
      <c r="AG17" s="196">
        <f t="shared" si="10"/>
        <v>0</v>
      </c>
      <c r="AH17" s="191">
        <f t="shared" si="10"/>
        <v>0</v>
      </c>
      <c r="AI17" s="194">
        <f t="shared" si="10"/>
        <v>0</v>
      </c>
      <c r="AJ17" s="189" t="e">
        <f t="shared" si="11"/>
        <v>#DIV/0!</v>
      </c>
      <c r="AK17" s="189" t="e">
        <f t="shared" si="12"/>
        <v>#DIV/0!</v>
      </c>
    </row>
    <row r="18" spans="2:37" ht="15.75">
      <c r="B18" s="188">
        <v>44635</v>
      </c>
      <c r="C18" s="191">
        <f>MAX(0,'All Genset Readings'!C21-'All Genset Readings'!C20)</f>
        <v>0</v>
      </c>
      <c r="D18" s="191">
        <f>MAX(0,'All Genset Readings'!D21-'All Genset Readings'!D20)</f>
        <v>0</v>
      </c>
      <c r="E18" s="191">
        <f>'All Genset Readings'!E21</f>
        <v>0</v>
      </c>
      <c r="F18" s="191" t="e">
        <f t="shared" si="0"/>
        <v>#DIV/0!</v>
      </c>
      <c r="G18" s="193" t="e">
        <f t="shared" si="1"/>
        <v>#DIV/0!</v>
      </c>
      <c r="I18" s="190">
        <f>MAX(0,'All Genset Readings'!G21-'All Genset Readings'!G20)</f>
        <v>0</v>
      </c>
      <c r="J18" s="190">
        <f>MAX(0,'All Genset Readings'!H21-'All Genset Readings'!H20)</f>
        <v>0</v>
      </c>
      <c r="K18" s="190">
        <f>'All Genset Readings'!I21</f>
        <v>0</v>
      </c>
      <c r="L18" s="192" t="e">
        <f t="shared" si="2"/>
        <v>#DIV/0!</v>
      </c>
      <c r="M18" s="193" t="e">
        <f t="shared" si="3"/>
        <v>#DIV/0!</v>
      </c>
      <c r="O18" s="190">
        <f>MAX(0,'All Genset Readings'!K21-'All Genset Readings'!K20)</f>
        <v>0</v>
      </c>
      <c r="P18" s="190">
        <f>MAX(0,'All Genset Readings'!L21-'All Genset Readings'!L20)</f>
        <v>0</v>
      </c>
      <c r="Q18" s="190">
        <f>'All Genset Readings'!M21</f>
        <v>0</v>
      </c>
      <c r="R18" s="192" t="e">
        <f t="shared" si="4"/>
        <v>#DIV/0!</v>
      </c>
      <c r="S18" s="193" t="e">
        <f t="shared" si="5"/>
        <v>#DIV/0!</v>
      </c>
      <c r="T18" s="175"/>
      <c r="U18" s="194">
        <f>MAX(0,'All Genset Readings'!O21-'All Genset Readings'!O20)</f>
        <v>0</v>
      </c>
      <c r="V18" s="194">
        <f>MAX(0,'All Genset Readings'!P21-'All Genset Readings'!P20)</f>
        <v>0</v>
      </c>
      <c r="W18" s="194">
        <f>'All Genset Readings'!Q21</f>
        <v>0</v>
      </c>
      <c r="X18" s="189" t="e">
        <f t="shared" si="6"/>
        <v>#DIV/0!</v>
      </c>
      <c r="Y18" s="189" t="e">
        <f t="shared" si="7"/>
        <v>#DIV/0!</v>
      </c>
      <c r="Z18" s="195"/>
      <c r="AA18" s="190">
        <f>MAX(0,'All Genset Readings'!S21-'All Genset Readings'!S20)</f>
        <v>0</v>
      </c>
      <c r="AB18" s="190">
        <f>MAX(0,'All Genset Readings'!T21-'All Genset Readings'!T20)</f>
        <v>0</v>
      </c>
      <c r="AC18" s="190">
        <f>'All Genset Readings'!U21</f>
        <v>0</v>
      </c>
      <c r="AD18" s="192" t="e">
        <f t="shared" si="8"/>
        <v>#DIV/0!</v>
      </c>
      <c r="AE18" s="193" t="e">
        <f t="shared" si="9"/>
        <v>#DIV/0!</v>
      </c>
      <c r="AF18" s="195"/>
      <c r="AG18" s="196">
        <f t="shared" si="10"/>
        <v>0</v>
      </c>
      <c r="AH18" s="191">
        <f t="shared" si="10"/>
        <v>0</v>
      </c>
      <c r="AI18" s="194">
        <f t="shared" si="10"/>
        <v>0</v>
      </c>
      <c r="AJ18" s="189" t="e">
        <f t="shared" si="11"/>
        <v>#DIV/0!</v>
      </c>
      <c r="AK18" s="189" t="e">
        <f t="shared" si="12"/>
        <v>#DIV/0!</v>
      </c>
    </row>
    <row r="19" spans="2:37" ht="15.75">
      <c r="B19" s="188">
        <v>44636</v>
      </c>
      <c r="C19" s="191">
        <f>MAX(0,'All Genset Readings'!C22-'All Genset Readings'!C21)</f>
        <v>0</v>
      </c>
      <c r="D19" s="191">
        <f>MAX(0,'All Genset Readings'!D22-'All Genset Readings'!D21)</f>
        <v>0</v>
      </c>
      <c r="E19" s="191">
        <f>'All Genset Readings'!E22</f>
        <v>0</v>
      </c>
      <c r="F19" s="191" t="e">
        <f t="shared" si="0"/>
        <v>#DIV/0!</v>
      </c>
      <c r="G19" s="193" t="e">
        <f t="shared" si="1"/>
        <v>#DIV/0!</v>
      </c>
      <c r="I19" s="190">
        <f>MAX(0,'All Genset Readings'!G22-'All Genset Readings'!G21)</f>
        <v>0</v>
      </c>
      <c r="J19" s="190">
        <f>MAX(0,'All Genset Readings'!H22-'All Genset Readings'!H21)</f>
        <v>0</v>
      </c>
      <c r="K19" s="190">
        <f>'All Genset Readings'!I22</f>
        <v>0</v>
      </c>
      <c r="L19" s="192" t="e">
        <f t="shared" si="2"/>
        <v>#DIV/0!</v>
      </c>
      <c r="M19" s="193" t="e">
        <f t="shared" si="3"/>
        <v>#DIV/0!</v>
      </c>
      <c r="O19" s="190">
        <f>MAX(0,'All Genset Readings'!K22-'All Genset Readings'!K21)</f>
        <v>0</v>
      </c>
      <c r="P19" s="190">
        <f>MAX(0,'All Genset Readings'!L22-'All Genset Readings'!L21)</f>
        <v>0</v>
      </c>
      <c r="Q19" s="190">
        <f>'All Genset Readings'!M22</f>
        <v>0</v>
      </c>
      <c r="R19" s="192" t="e">
        <f t="shared" si="4"/>
        <v>#DIV/0!</v>
      </c>
      <c r="S19" s="193" t="e">
        <f t="shared" si="5"/>
        <v>#DIV/0!</v>
      </c>
      <c r="T19" s="175"/>
      <c r="U19" s="194">
        <f>MAX(0,'All Genset Readings'!O22-'All Genset Readings'!O21)</f>
        <v>0</v>
      </c>
      <c r="V19" s="194">
        <f>MAX(0,'All Genset Readings'!P22-'All Genset Readings'!P21)</f>
        <v>0</v>
      </c>
      <c r="W19" s="194">
        <f>'All Genset Readings'!Q22</f>
        <v>0</v>
      </c>
      <c r="X19" s="189" t="e">
        <f t="shared" si="6"/>
        <v>#DIV/0!</v>
      </c>
      <c r="Y19" s="189" t="e">
        <f t="shared" si="7"/>
        <v>#DIV/0!</v>
      </c>
      <c r="Z19" s="195"/>
      <c r="AA19" s="190">
        <f>MAX(0,'All Genset Readings'!S22-'All Genset Readings'!S21)</f>
        <v>0</v>
      </c>
      <c r="AB19" s="190">
        <f>MAX(0,'All Genset Readings'!T22-'All Genset Readings'!T21)</f>
        <v>0</v>
      </c>
      <c r="AC19" s="190">
        <f>'All Genset Readings'!U22</f>
        <v>0</v>
      </c>
      <c r="AD19" s="192" t="e">
        <f t="shared" si="8"/>
        <v>#DIV/0!</v>
      </c>
      <c r="AE19" s="193" t="e">
        <f t="shared" si="9"/>
        <v>#DIV/0!</v>
      </c>
      <c r="AF19" s="195"/>
      <c r="AG19" s="196">
        <f t="shared" si="10"/>
        <v>0</v>
      </c>
      <c r="AH19" s="191">
        <f t="shared" si="10"/>
        <v>0</v>
      </c>
      <c r="AI19" s="194">
        <f t="shared" si="10"/>
        <v>0</v>
      </c>
      <c r="AJ19" s="189" t="e">
        <f t="shared" si="11"/>
        <v>#DIV/0!</v>
      </c>
      <c r="AK19" s="189" t="e">
        <f t="shared" si="12"/>
        <v>#DIV/0!</v>
      </c>
    </row>
    <row r="20" spans="2:37" ht="15.75">
      <c r="B20" s="188">
        <v>44637</v>
      </c>
      <c r="C20" s="191">
        <f>MAX(0,'All Genset Readings'!C23-'All Genset Readings'!C22)</f>
        <v>0</v>
      </c>
      <c r="D20" s="191">
        <f>MAX(0,'All Genset Readings'!D23-'All Genset Readings'!D22)</f>
        <v>0</v>
      </c>
      <c r="E20" s="191">
        <f>'All Genset Readings'!E23</f>
        <v>0</v>
      </c>
      <c r="F20" s="191" t="e">
        <f t="shared" si="0"/>
        <v>#DIV/0!</v>
      </c>
      <c r="G20" s="193" t="e">
        <f t="shared" si="1"/>
        <v>#DIV/0!</v>
      </c>
      <c r="I20" s="190">
        <f>MAX(0,'All Genset Readings'!G23-'All Genset Readings'!G22)</f>
        <v>0</v>
      </c>
      <c r="J20" s="190">
        <f>MAX(0,'All Genset Readings'!H23-'All Genset Readings'!H22)</f>
        <v>0</v>
      </c>
      <c r="K20" s="190">
        <f>'All Genset Readings'!I23</f>
        <v>0</v>
      </c>
      <c r="L20" s="192" t="e">
        <f t="shared" si="2"/>
        <v>#DIV/0!</v>
      </c>
      <c r="M20" s="193" t="e">
        <f t="shared" si="3"/>
        <v>#DIV/0!</v>
      </c>
      <c r="O20" s="190">
        <f>MAX(0,'All Genset Readings'!K23-'All Genset Readings'!K22)</f>
        <v>0</v>
      </c>
      <c r="P20" s="190">
        <f>MAX(0,'All Genset Readings'!L23-'All Genset Readings'!L22)</f>
        <v>0</v>
      </c>
      <c r="Q20" s="190">
        <f>'All Genset Readings'!M23</f>
        <v>0</v>
      </c>
      <c r="R20" s="192" t="e">
        <f t="shared" si="4"/>
        <v>#DIV/0!</v>
      </c>
      <c r="S20" s="193" t="e">
        <f t="shared" si="5"/>
        <v>#DIV/0!</v>
      </c>
      <c r="T20" s="175"/>
      <c r="U20" s="194">
        <f>MAX(0,'All Genset Readings'!O23-'All Genset Readings'!O22)</f>
        <v>0</v>
      </c>
      <c r="V20" s="194">
        <f>MAX(0,'All Genset Readings'!P23-'All Genset Readings'!P22)</f>
        <v>0</v>
      </c>
      <c r="W20" s="194">
        <f>'All Genset Readings'!Q23</f>
        <v>0</v>
      </c>
      <c r="X20" s="189" t="e">
        <f t="shared" si="6"/>
        <v>#DIV/0!</v>
      </c>
      <c r="Y20" s="189" t="e">
        <f t="shared" si="7"/>
        <v>#DIV/0!</v>
      </c>
      <c r="Z20" s="195"/>
      <c r="AA20" s="190">
        <f>MAX(0,'All Genset Readings'!S23-'All Genset Readings'!S22)</f>
        <v>0</v>
      </c>
      <c r="AB20" s="190">
        <f>MAX(0,'All Genset Readings'!T23-'All Genset Readings'!T22)</f>
        <v>0</v>
      </c>
      <c r="AC20" s="190">
        <f>'All Genset Readings'!U23</f>
        <v>0</v>
      </c>
      <c r="AD20" s="192" t="e">
        <f t="shared" si="8"/>
        <v>#DIV/0!</v>
      </c>
      <c r="AE20" s="193" t="e">
        <f t="shared" si="9"/>
        <v>#DIV/0!</v>
      </c>
      <c r="AF20" s="195"/>
      <c r="AG20" s="196">
        <f t="shared" si="10"/>
        <v>0</v>
      </c>
      <c r="AH20" s="191">
        <f t="shared" si="10"/>
        <v>0</v>
      </c>
      <c r="AI20" s="194">
        <f t="shared" si="10"/>
        <v>0</v>
      </c>
      <c r="AJ20" s="189" t="e">
        <f t="shared" si="11"/>
        <v>#DIV/0!</v>
      </c>
      <c r="AK20" s="189" t="e">
        <f t="shared" si="12"/>
        <v>#DIV/0!</v>
      </c>
    </row>
    <row r="21" spans="2:37" ht="15.75">
      <c r="B21" s="188">
        <v>44638</v>
      </c>
      <c r="C21" s="191">
        <f>MAX(0,'All Genset Readings'!C24-'All Genset Readings'!C23)</f>
        <v>0</v>
      </c>
      <c r="D21" s="191">
        <f>MAX(0,'All Genset Readings'!D24-'All Genset Readings'!D23)</f>
        <v>0</v>
      </c>
      <c r="E21" s="191">
        <f>'All Genset Readings'!E24</f>
        <v>0</v>
      </c>
      <c r="F21" s="191" t="e">
        <f t="shared" si="0"/>
        <v>#DIV/0!</v>
      </c>
      <c r="G21" s="193" t="e">
        <f t="shared" si="1"/>
        <v>#DIV/0!</v>
      </c>
      <c r="I21" s="190">
        <f>MAX(0,'All Genset Readings'!G24-'All Genset Readings'!G23)</f>
        <v>0</v>
      </c>
      <c r="J21" s="190">
        <f>MAX(0,'All Genset Readings'!H24-'All Genset Readings'!H23)</f>
        <v>0</v>
      </c>
      <c r="K21" s="190">
        <f>'All Genset Readings'!I24</f>
        <v>0</v>
      </c>
      <c r="L21" s="192" t="e">
        <f t="shared" si="2"/>
        <v>#DIV/0!</v>
      </c>
      <c r="M21" s="193" t="e">
        <f t="shared" si="3"/>
        <v>#DIV/0!</v>
      </c>
      <c r="O21" s="190">
        <f>MAX(0,'All Genset Readings'!K24-'All Genset Readings'!K23)</f>
        <v>0</v>
      </c>
      <c r="P21" s="190">
        <f>MAX(0,'All Genset Readings'!L24-'All Genset Readings'!L23)</f>
        <v>0</v>
      </c>
      <c r="Q21" s="190">
        <f>'All Genset Readings'!M24</f>
        <v>0</v>
      </c>
      <c r="R21" s="192" t="e">
        <f t="shared" si="4"/>
        <v>#DIV/0!</v>
      </c>
      <c r="S21" s="193" t="e">
        <f t="shared" si="5"/>
        <v>#DIV/0!</v>
      </c>
      <c r="T21" s="175"/>
      <c r="U21" s="194">
        <f>MAX(0,'All Genset Readings'!O24-'All Genset Readings'!O23)</f>
        <v>0</v>
      </c>
      <c r="V21" s="194">
        <f>MAX(0,'All Genset Readings'!P24-'All Genset Readings'!P23)</f>
        <v>0</v>
      </c>
      <c r="W21" s="194">
        <f>'All Genset Readings'!Q24</f>
        <v>0</v>
      </c>
      <c r="X21" s="189" t="e">
        <f t="shared" si="6"/>
        <v>#DIV/0!</v>
      </c>
      <c r="Y21" s="189" t="e">
        <f t="shared" si="7"/>
        <v>#DIV/0!</v>
      </c>
      <c r="Z21" s="195"/>
      <c r="AA21" s="190">
        <f>MAX(0,'All Genset Readings'!S24-'All Genset Readings'!S23)</f>
        <v>0</v>
      </c>
      <c r="AB21" s="190">
        <f>MAX(0,'All Genset Readings'!T24-'All Genset Readings'!T23)</f>
        <v>0</v>
      </c>
      <c r="AC21" s="190">
        <f>'All Genset Readings'!U24</f>
        <v>0</v>
      </c>
      <c r="AD21" s="192" t="e">
        <f t="shared" si="8"/>
        <v>#DIV/0!</v>
      </c>
      <c r="AE21" s="193" t="e">
        <f t="shared" si="9"/>
        <v>#DIV/0!</v>
      </c>
      <c r="AF21" s="195"/>
      <c r="AG21" s="196">
        <f t="shared" si="10"/>
        <v>0</v>
      </c>
      <c r="AH21" s="191">
        <f t="shared" si="10"/>
        <v>0</v>
      </c>
      <c r="AI21" s="194">
        <f t="shared" si="10"/>
        <v>0</v>
      </c>
      <c r="AJ21" s="189" t="e">
        <f t="shared" si="11"/>
        <v>#DIV/0!</v>
      </c>
      <c r="AK21" s="189" t="e">
        <f t="shared" si="12"/>
        <v>#DIV/0!</v>
      </c>
    </row>
    <row r="22" spans="2:37" ht="15.75">
      <c r="B22" s="188">
        <v>44639</v>
      </c>
      <c r="C22" s="191">
        <f>MAX(0,'All Genset Readings'!C25-'All Genset Readings'!C24)</f>
        <v>0</v>
      </c>
      <c r="D22" s="191">
        <f>MAX(0,'All Genset Readings'!D25-'All Genset Readings'!D24)</f>
        <v>0</v>
      </c>
      <c r="E22" s="191">
        <f>'All Genset Readings'!E25</f>
        <v>0</v>
      </c>
      <c r="F22" s="191" t="e">
        <f t="shared" si="0"/>
        <v>#DIV/0!</v>
      </c>
      <c r="G22" s="193" t="e">
        <f t="shared" si="1"/>
        <v>#DIV/0!</v>
      </c>
      <c r="I22" s="190">
        <f>MAX(0,'All Genset Readings'!G25-'All Genset Readings'!G24)</f>
        <v>0</v>
      </c>
      <c r="J22" s="190">
        <f>MAX(0,'All Genset Readings'!H25-'All Genset Readings'!H24)</f>
        <v>0</v>
      </c>
      <c r="K22" s="190">
        <f>'All Genset Readings'!I25</f>
        <v>0</v>
      </c>
      <c r="L22" s="192" t="e">
        <f t="shared" si="2"/>
        <v>#DIV/0!</v>
      </c>
      <c r="M22" s="193" t="e">
        <f t="shared" si="3"/>
        <v>#DIV/0!</v>
      </c>
      <c r="O22" s="190">
        <f>MAX(0,'All Genset Readings'!K25-'All Genset Readings'!K24)</f>
        <v>0</v>
      </c>
      <c r="P22" s="190">
        <f>MAX(0,'All Genset Readings'!L25-'All Genset Readings'!L24)</f>
        <v>0</v>
      </c>
      <c r="Q22" s="190">
        <f>'All Genset Readings'!M25</f>
        <v>0</v>
      </c>
      <c r="R22" s="192" t="e">
        <f t="shared" si="4"/>
        <v>#DIV/0!</v>
      </c>
      <c r="S22" s="193" t="e">
        <f t="shared" si="5"/>
        <v>#DIV/0!</v>
      </c>
      <c r="T22" s="175"/>
      <c r="U22" s="194">
        <f>MAX(0,'All Genset Readings'!O25-'All Genset Readings'!O24)</f>
        <v>0</v>
      </c>
      <c r="V22" s="194">
        <f>MAX(0,'All Genset Readings'!P25-'All Genset Readings'!P24)</f>
        <v>0</v>
      </c>
      <c r="W22" s="194">
        <f>'All Genset Readings'!Q25</f>
        <v>0</v>
      </c>
      <c r="X22" s="189" t="e">
        <f t="shared" si="6"/>
        <v>#DIV/0!</v>
      </c>
      <c r="Y22" s="189" t="e">
        <f t="shared" si="7"/>
        <v>#DIV/0!</v>
      </c>
      <c r="Z22" s="195"/>
      <c r="AA22" s="190">
        <f>MAX(0,'All Genset Readings'!S25-'All Genset Readings'!S24)</f>
        <v>0</v>
      </c>
      <c r="AB22" s="190">
        <f>MAX(0,'All Genset Readings'!T25-'All Genset Readings'!T24)</f>
        <v>0</v>
      </c>
      <c r="AC22" s="190">
        <f>'All Genset Readings'!U25</f>
        <v>0</v>
      </c>
      <c r="AD22" s="192" t="e">
        <f t="shared" si="8"/>
        <v>#DIV/0!</v>
      </c>
      <c r="AE22" s="193" t="e">
        <f t="shared" si="9"/>
        <v>#DIV/0!</v>
      </c>
      <c r="AF22" s="195"/>
      <c r="AG22" s="196">
        <f t="shared" si="10"/>
        <v>0</v>
      </c>
      <c r="AH22" s="191">
        <f t="shared" si="10"/>
        <v>0</v>
      </c>
      <c r="AI22" s="194">
        <f t="shared" si="10"/>
        <v>0</v>
      </c>
      <c r="AJ22" s="189" t="e">
        <f t="shared" si="11"/>
        <v>#DIV/0!</v>
      </c>
      <c r="AK22" s="189" t="e">
        <f t="shared" si="12"/>
        <v>#DIV/0!</v>
      </c>
    </row>
    <row r="23" spans="2:37" ht="15.75">
      <c r="B23" s="188">
        <v>44640</v>
      </c>
      <c r="C23" s="191">
        <f>MAX(0,'All Genset Readings'!C26-'All Genset Readings'!C25)</f>
        <v>0</v>
      </c>
      <c r="D23" s="191">
        <f>MAX(0,'All Genset Readings'!D26-'All Genset Readings'!D25)</f>
        <v>0</v>
      </c>
      <c r="E23" s="191">
        <f>'All Genset Readings'!E26</f>
        <v>0</v>
      </c>
      <c r="F23" s="191" t="e">
        <f t="shared" si="0"/>
        <v>#DIV/0!</v>
      </c>
      <c r="G23" s="193" t="e">
        <f t="shared" si="1"/>
        <v>#DIV/0!</v>
      </c>
      <c r="I23" s="190">
        <f>MAX(0,'All Genset Readings'!G26-'All Genset Readings'!G25)</f>
        <v>0</v>
      </c>
      <c r="J23" s="190">
        <f>MAX(0,'All Genset Readings'!H26-'All Genset Readings'!H25)</f>
        <v>0</v>
      </c>
      <c r="K23" s="190">
        <f>'All Genset Readings'!I26</f>
        <v>0</v>
      </c>
      <c r="L23" s="192" t="e">
        <f t="shared" si="2"/>
        <v>#DIV/0!</v>
      </c>
      <c r="M23" s="193" t="e">
        <f t="shared" si="3"/>
        <v>#DIV/0!</v>
      </c>
      <c r="O23" s="190">
        <f>MAX(0,'All Genset Readings'!K26-'All Genset Readings'!K25)</f>
        <v>0</v>
      </c>
      <c r="P23" s="190">
        <f>MAX(0,'All Genset Readings'!L26-'All Genset Readings'!L25)</f>
        <v>0</v>
      </c>
      <c r="Q23" s="190">
        <f>'All Genset Readings'!M26</f>
        <v>0</v>
      </c>
      <c r="R23" s="192" t="e">
        <f t="shared" si="4"/>
        <v>#DIV/0!</v>
      </c>
      <c r="S23" s="193" t="e">
        <f t="shared" si="5"/>
        <v>#DIV/0!</v>
      </c>
      <c r="T23" s="175"/>
      <c r="U23" s="194">
        <f>MAX(0,'All Genset Readings'!O26-'All Genset Readings'!O25)</f>
        <v>0</v>
      </c>
      <c r="V23" s="194">
        <f>MAX(0,'All Genset Readings'!P26-'All Genset Readings'!P25)</f>
        <v>0</v>
      </c>
      <c r="W23" s="194">
        <f>'All Genset Readings'!Q26</f>
        <v>0</v>
      </c>
      <c r="X23" s="189" t="e">
        <f t="shared" si="6"/>
        <v>#DIV/0!</v>
      </c>
      <c r="Y23" s="189" t="e">
        <f t="shared" si="7"/>
        <v>#DIV/0!</v>
      </c>
      <c r="Z23" s="195"/>
      <c r="AA23" s="190">
        <f>MAX(0,'All Genset Readings'!S26-'All Genset Readings'!S25)</f>
        <v>0</v>
      </c>
      <c r="AB23" s="190">
        <f>MAX(0,'All Genset Readings'!T26-'All Genset Readings'!T25)</f>
        <v>0</v>
      </c>
      <c r="AC23" s="190">
        <f>'All Genset Readings'!U26</f>
        <v>0</v>
      </c>
      <c r="AD23" s="192" t="e">
        <f t="shared" si="8"/>
        <v>#DIV/0!</v>
      </c>
      <c r="AE23" s="193" t="e">
        <f t="shared" si="9"/>
        <v>#DIV/0!</v>
      </c>
      <c r="AF23" s="195"/>
      <c r="AG23" s="196">
        <f t="shared" si="10"/>
        <v>0</v>
      </c>
      <c r="AH23" s="191">
        <f t="shared" si="10"/>
        <v>0</v>
      </c>
      <c r="AI23" s="194">
        <f t="shared" si="10"/>
        <v>0</v>
      </c>
      <c r="AJ23" s="189" t="e">
        <f t="shared" si="11"/>
        <v>#DIV/0!</v>
      </c>
      <c r="AK23" s="189" t="e">
        <f t="shared" si="12"/>
        <v>#DIV/0!</v>
      </c>
    </row>
    <row r="24" spans="2:37" ht="15.75">
      <c r="B24" s="188">
        <v>44641</v>
      </c>
      <c r="C24" s="191">
        <f>MAX(0,'All Genset Readings'!C27-'All Genset Readings'!C26)</f>
        <v>0</v>
      </c>
      <c r="D24" s="191">
        <f>MAX(0,'All Genset Readings'!D27-'All Genset Readings'!D26)</f>
        <v>0</v>
      </c>
      <c r="E24" s="191">
        <f>'All Genset Readings'!E27</f>
        <v>0</v>
      </c>
      <c r="F24" s="191" t="e">
        <f t="shared" si="0"/>
        <v>#DIV/0!</v>
      </c>
      <c r="G24" s="193" t="e">
        <f t="shared" si="1"/>
        <v>#DIV/0!</v>
      </c>
      <c r="I24" s="190">
        <f>MAX(0,'All Genset Readings'!G27-'All Genset Readings'!G26)</f>
        <v>0</v>
      </c>
      <c r="J24" s="190">
        <f>MAX(0,'All Genset Readings'!H27-'All Genset Readings'!H26)</f>
        <v>0</v>
      </c>
      <c r="K24" s="190">
        <f>'All Genset Readings'!I27</f>
        <v>0</v>
      </c>
      <c r="L24" s="192" t="e">
        <f t="shared" si="2"/>
        <v>#DIV/0!</v>
      </c>
      <c r="M24" s="193" t="e">
        <f t="shared" si="3"/>
        <v>#DIV/0!</v>
      </c>
      <c r="O24" s="190">
        <f>MAX(0,'All Genset Readings'!K27-'All Genset Readings'!K26)</f>
        <v>0</v>
      </c>
      <c r="P24" s="190">
        <f>MAX(0,'All Genset Readings'!L27-'All Genset Readings'!L26)</f>
        <v>0</v>
      </c>
      <c r="Q24" s="190">
        <f>'All Genset Readings'!M27</f>
        <v>0</v>
      </c>
      <c r="R24" s="192" t="e">
        <f t="shared" si="4"/>
        <v>#DIV/0!</v>
      </c>
      <c r="S24" s="193" t="e">
        <f t="shared" si="5"/>
        <v>#DIV/0!</v>
      </c>
      <c r="T24" s="175"/>
      <c r="U24" s="194">
        <f>MAX(0,'All Genset Readings'!O27-'All Genset Readings'!O26)</f>
        <v>0</v>
      </c>
      <c r="V24" s="194">
        <f>MAX(0,'All Genset Readings'!P27-'All Genset Readings'!P26)</f>
        <v>0</v>
      </c>
      <c r="W24" s="194">
        <f>'All Genset Readings'!Q27</f>
        <v>0</v>
      </c>
      <c r="X24" s="189" t="e">
        <f t="shared" si="6"/>
        <v>#DIV/0!</v>
      </c>
      <c r="Y24" s="189" t="e">
        <f t="shared" si="7"/>
        <v>#DIV/0!</v>
      </c>
      <c r="Z24" s="195"/>
      <c r="AA24" s="190">
        <f>MAX(0,'All Genset Readings'!S27-'All Genset Readings'!S26)</f>
        <v>0</v>
      </c>
      <c r="AB24" s="190">
        <f>MAX(0,'All Genset Readings'!T27-'All Genset Readings'!T26)</f>
        <v>0</v>
      </c>
      <c r="AC24" s="190">
        <f>'All Genset Readings'!U27</f>
        <v>0</v>
      </c>
      <c r="AD24" s="192" t="e">
        <f t="shared" si="8"/>
        <v>#DIV/0!</v>
      </c>
      <c r="AE24" s="193" t="e">
        <f t="shared" si="9"/>
        <v>#DIV/0!</v>
      </c>
      <c r="AF24" s="195"/>
      <c r="AG24" s="196">
        <f t="shared" si="10"/>
        <v>0</v>
      </c>
      <c r="AH24" s="191">
        <f t="shared" si="10"/>
        <v>0</v>
      </c>
      <c r="AI24" s="194">
        <f t="shared" si="10"/>
        <v>0</v>
      </c>
      <c r="AJ24" s="189" t="e">
        <f t="shared" si="11"/>
        <v>#DIV/0!</v>
      </c>
      <c r="AK24" s="189" t="e">
        <f t="shared" si="12"/>
        <v>#DIV/0!</v>
      </c>
    </row>
    <row r="25" spans="2:37" ht="15.75">
      <c r="B25" s="188">
        <v>44642</v>
      </c>
      <c r="C25" s="191">
        <f>MAX(0,'All Genset Readings'!C28-'All Genset Readings'!C27)</f>
        <v>0</v>
      </c>
      <c r="D25" s="191">
        <f>MAX(0,'All Genset Readings'!D28-'All Genset Readings'!D27)</f>
        <v>0</v>
      </c>
      <c r="E25" s="191">
        <f>'All Genset Readings'!E28</f>
        <v>0</v>
      </c>
      <c r="F25" s="191" t="e">
        <f t="shared" si="0"/>
        <v>#DIV/0!</v>
      </c>
      <c r="G25" s="193" t="e">
        <f t="shared" si="1"/>
        <v>#DIV/0!</v>
      </c>
      <c r="I25" s="190">
        <f>MAX(0,'All Genset Readings'!G28-'All Genset Readings'!G27)</f>
        <v>0</v>
      </c>
      <c r="J25" s="190">
        <f>MAX(0,'All Genset Readings'!H28-'All Genset Readings'!H27)</f>
        <v>0</v>
      </c>
      <c r="K25" s="190">
        <f>'All Genset Readings'!I28</f>
        <v>0</v>
      </c>
      <c r="L25" s="192" t="e">
        <f t="shared" si="2"/>
        <v>#DIV/0!</v>
      </c>
      <c r="M25" s="193" t="e">
        <f t="shared" si="3"/>
        <v>#DIV/0!</v>
      </c>
      <c r="O25" s="190">
        <f>MAX(0,'All Genset Readings'!K28-'All Genset Readings'!K27)</f>
        <v>0</v>
      </c>
      <c r="P25" s="190">
        <f>MAX(0,'All Genset Readings'!L28-'All Genset Readings'!L27)</f>
        <v>0</v>
      </c>
      <c r="Q25" s="190">
        <f>'All Genset Readings'!M28</f>
        <v>0</v>
      </c>
      <c r="R25" s="192" t="e">
        <f t="shared" si="4"/>
        <v>#DIV/0!</v>
      </c>
      <c r="S25" s="193" t="e">
        <f t="shared" si="5"/>
        <v>#DIV/0!</v>
      </c>
      <c r="T25" s="175"/>
      <c r="U25" s="194">
        <f>MAX(0,'All Genset Readings'!O28-'All Genset Readings'!O27)</f>
        <v>0</v>
      </c>
      <c r="V25" s="194">
        <f>MAX(0,'All Genset Readings'!P28-'All Genset Readings'!P27)</f>
        <v>0</v>
      </c>
      <c r="W25" s="194">
        <f>'All Genset Readings'!Q28</f>
        <v>0</v>
      </c>
      <c r="X25" s="189" t="e">
        <f t="shared" si="6"/>
        <v>#DIV/0!</v>
      </c>
      <c r="Y25" s="189" t="e">
        <f t="shared" si="7"/>
        <v>#DIV/0!</v>
      </c>
      <c r="Z25" s="195"/>
      <c r="AA25" s="190">
        <f>MAX(0,'All Genset Readings'!S28-'All Genset Readings'!S27)</f>
        <v>0</v>
      </c>
      <c r="AB25" s="190">
        <f>MAX(0,'All Genset Readings'!T28-'All Genset Readings'!T27)</f>
        <v>0</v>
      </c>
      <c r="AC25" s="190">
        <f>'All Genset Readings'!U28</f>
        <v>0</v>
      </c>
      <c r="AD25" s="192" t="e">
        <f t="shared" si="8"/>
        <v>#DIV/0!</v>
      </c>
      <c r="AE25" s="193" t="e">
        <f t="shared" si="9"/>
        <v>#DIV/0!</v>
      </c>
      <c r="AF25" s="195"/>
      <c r="AG25" s="196">
        <f t="shared" si="10"/>
        <v>0</v>
      </c>
      <c r="AH25" s="191">
        <f t="shared" si="10"/>
        <v>0</v>
      </c>
      <c r="AI25" s="194">
        <f t="shared" si="10"/>
        <v>0</v>
      </c>
      <c r="AJ25" s="189" t="e">
        <f t="shared" si="11"/>
        <v>#DIV/0!</v>
      </c>
      <c r="AK25" s="189" t="e">
        <f t="shared" si="12"/>
        <v>#DIV/0!</v>
      </c>
    </row>
    <row r="26" spans="2:37" ht="15.75">
      <c r="B26" s="188">
        <v>44643</v>
      </c>
      <c r="C26" s="191">
        <f>MAX(0,'All Genset Readings'!C29-'All Genset Readings'!C28)</f>
        <v>0</v>
      </c>
      <c r="D26" s="191">
        <f>MAX(0,'All Genset Readings'!D29-'All Genset Readings'!D28)</f>
        <v>0</v>
      </c>
      <c r="E26" s="191">
        <f>'All Genset Readings'!E29</f>
        <v>0</v>
      </c>
      <c r="F26" s="191" t="e">
        <f t="shared" si="0"/>
        <v>#DIV/0!</v>
      </c>
      <c r="G26" s="193" t="e">
        <f t="shared" si="1"/>
        <v>#DIV/0!</v>
      </c>
      <c r="I26" s="190">
        <f>MAX(0,'All Genset Readings'!G29-'All Genset Readings'!G28)</f>
        <v>0</v>
      </c>
      <c r="J26" s="190">
        <f>MAX(0,'All Genset Readings'!H29-'All Genset Readings'!H28)</f>
        <v>0</v>
      </c>
      <c r="K26" s="190">
        <f>'All Genset Readings'!I29</f>
        <v>0</v>
      </c>
      <c r="L26" s="192" t="e">
        <f t="shared" si="2"/>
        <v>#DIV/0!</v>
      </c>
      <c r="M26" s="193" t="e">
        <f t="shared" si="3"/>
        <v>#DIV/0!</v>
      </c>
      <c r="O26" s="190">
        <f>MAX(0,'All Genset Readings'!K29-'All Genset Readings'!K28)</f>
        <v>0</v>
      </c>
      <c r="P26" s="190">
        <f>MAX(0,'All Genset Readings'!L29-'All Genset Readings'!L28)</f>
        <v>0</v>
      </c>
      <c r="Q26" s="190">
        <f>'All Genset Readings'!M29</f>
        <v>0</v>
      </c>
      <c r="R26" s="192" t="e">
        <f t="shared" si="4"/>
        <v>#DIV/0!</v>
      </c>
      <c r="S26" s="193" t="e">
        <f t="shared" si="5"/>
        <v>#DIV/0!</v>
      </c>
      <c r="T26" s="175"/>
      <c r="U26" s="194">
        <f>MAX(0,'All Genset Readings'!O29-'All Genset Readings'!O28)</f>
        <v>0</v>
      </c>
      <c r="V26" s="194">
        <f>MAX(0,'All Genset Readings'!P29-'All Genset Readings'!P28)</f>
        <v>0</v>
      </c>
      <c r="W26" s="194">
        <f>'All Genset Readings'!Q29</f>
        <v>0</v>
      </c>
      <c r="X26" s="189" t="e">
        <f t="shared" si="6"/>
        <v>#DIV/0!</v>
      </c>
      <c r="Y26" s="189" t="e">
        <f t="shared" si="7"/>
        <v>#DIV/0!</v>
      </c>
      <c r="Z26" s="195"/>
      <c r="AA26" s="190">
        <f>MAX(0,'All Genset Readings'!S29-'All Genset Readings'!S28)</f>
        <v>0</v>
      </c>
      <c r="AB26" s="190">
        <f>MAX(0,'All Genset Readings'!T29-'All Genset Readings'!T28)</f>
        <v>0</v>
      </c>
      <c r="AC26" s="190">
        <f>'All Genset Readings'!U29</f>
        <v>0</v>
      </c>
      <c r="AD26" s="192" t="e">
        <f t="shared" si="8"/>
        <v>#DIV/0!</v>
      </c>
      <c r="AE26" s="193" t="e">
        <f t="shared" si="9"/>
        <v>#DIV/0!</v>
      </c>
      <c r="AF26" s="195"/>
      <c r="AG26" s="196">
        <f t="shared" si="10"/>
        <v>0</v>
      </c>
      <c r="AH26" s="191">
        <f t="shared" si="10"/>
        <v>0</v>
      </c>
      <c r="AI26" s="194">
        <f t="shared" si="10"/>
        <v>0</v>
      </c>
      <c r="AJ26" s="189" t="e">
        <f t="shared" si="11"/>
        <v>#DIV/0!</v>
      </c>
      <c r="AK26" s="189" t="e">
        <f t="shared" si="12"/>
        <v>#DIV/0!</v>
      </c>
    </row>
    <row r="27" spans="2:37" ht="15.75">
      <c r="B27" s="188">
        <v>44644</v>
      </c>
      <c r="C27" s="191">
        <f>MAX(0,'All Genset Readings'!C30-'All Genset Readings'!C29)</f>
        <v>0</v>
      </c>
      <c r="D27" s="191">
        <f>MAX(0,'All Genset Readings'!D30-'All Genset Readings'!D29)</f>
        <v>0</v>
      </c>
      <c r="E27" s="191">
        <f>'All Genset Readings'!E30</f>
        <v>0</v>
      </c>
      <c r="F27" s="191" t="e">
        <f t="shared" si="0"/>
        <v>#DIV/0!</v>
      </c>
      <c r="G27" s="193" t="e">
        <f t="shared" si="1"/>
        <v>#DIV/0!</v>
      </c>
      <c r="I27" s="190">
        <f>MAX(0,'All Genset Readings'!G30-'All Genset Readings'!G29)</f>
        <v>0</v>
      </c>
      <c r="J27" s="190">
        <f>MAX(0,'All Genset Readings'!H30-'All Genset Readings'!H29)</f>
        <v>0</v>
      </c>
      <c r="K27" s="190">
        <f>'All Genset Readings'!I30</f>
        <v>0</v>
      </c>
      <c r="L27" s="192" t="e">
        <f t="shared" si="2"/>
        <v>#DIV/0!</v>
      </c>
      <c r="M27" s="193" t="e">
        <f t="shared" si="3"/>
        <v>#DIV/0!</v>
      </c>
      <c r="O27" s="190">
        <f>MAX(0,'All Genset Readings'!K30-'All Genset Readings'!K29)</f>
        <v>0</v>
      </c>
      <c r="P27" s="190">
        <f>MAX(0,'All Genset Readings'!L30-'All Genset Readings'!L29)</f>
        <v>0</v>
      </c>
      <c r="Q27" s="190">
        <f>'All Genset Readings'!M30</f>
        <v>0</v>
      </c>
      <c r="R27" s="192" t="e">
        <f t="shared" si="4"/>
        <v>#DIV/0!</v>
      </c>
      <c r="S27" s="193" t="e">
        <f t="shared" si="5"/>
        <v>#DIV/0!</v>
      </c>
      <c r="T27" s="175"/>
      <c r="U27" s="194">
        <f>MAX(0,'All Genset Readings'!O30-'All Genset Readings'!O29)</f>
        <v>0</v>
      </c>
      <c r="V27" s="194">
        <f>MAX(0,'All Genset Readings'!P30-'All Genset Readings'!P29)</f>
        <v>0</v>
      </c>
      <c r="W27" s="194">
        <f>'All Genset Readings'!Q30</f>
        <v>0</v>
      </c>
      <c r="X27" s="189" t="e">
        <f t="shared" si="6"/>
        <v>#DIV/0!</v>
      </c>
      <c r="Y27" s="189" t="e">
        <f t="shared" si="7"/>
        <v>#DIV/0!</v>
      </c>
      <c r="Z27" s="195"/>
      <c r="AA27" s="190">
        <f>MAX(0,'All Genset Readings'!S30-'All Genset Readings'!S29)</f>
        <v>0</v>
      </c>
      <c r="AB27" s="190">
        <f>MAX(0,'All Genset Readings'!T30-'All Genset Readings'!T29)</f>
        <v>0</v>
      </c>
      <c r="AC27" s="190">
        <f>'All Genset Readings'!U30</f>
        <v>0</v>
      </c>
      <c r="AD27" s="192" t="e">
        <f t="shared" si="8"/>
        <v>#DIV/0!</v>
      </c>
      <c r="AE27" s="193" t="e">
        <f t="shared" si="9"/>
        <v>#DIV/0!</v>
      </c>
      <c r="AF27" s="195"/>
      <c r="AG27" s="196">
        <f t="shared" si="10"/>
        <v>0</v>
      </c>
      <c r="AH27" s="191">
        <f t="shared" si="10"/>
        <v>0</v>
      </c>
      <c r="AI27" s="194">
        <f t="shared" si="10"/>
        <v>0</v>
      </c>
      <c r="AJ27" s="189" t="e">
        <f t="shared" si="11"/>
        <v>#DIV/0!</v>
      </c>
      <c r="AK27" s="189" t="e">
        <f t="shared" si="12"/>
        <v>#DIV/0!</v>
      </c>
    </row>
    <row r="28" spans="2:37" ht="15.75">
      <c r="B28" s="188">
        <v>44645</v>
      </c>
      <c r="C28" s="191">
        <f>MAX(0,'All Genset Readings'!C31-'All Genset Readings'!C30)</f>
        <v>0</v>
      </c>
      <c r="D28" s="191">
        <f>MAX(0,'All Genset Readings'!D31-'All Genset Readings'!D30)</f>
        <v>0</v>
      </c>
      <c r="E28" s="191">
        <f>'All Genset Readings'!E31</f>
        <v>0</v>
      </c>
      <c r="F28" s="191" t="e">
        <f t="shared" si="0"/>
        <v>#DIV/0!</v>
      </c>
      <c r="G28" s="193" t="e">
        <f t="shared" si="1"/>
        <v>#DIV/0!</v>
      </c>
      <c r="I28" s="190">
        <f>MAX(0,'All Genset Readings'!G31-'All Genset Readings'!G30)</f>
        <v>0</v>
      </c>
      <c r="J28" s="190">
        <f>MAX(0,'All Genset Readings'!H31-'All Genset Readings'!H30)</f>
        <v>0</v>
      </c>
      <c r="K28" s="190">
        <f>'All Genset Readings'!I31</f>
        <v>0</v>
      </c>
      <c r="L28" s="192" t="e">
        <f t="shared" si="2"/>
        <v>#DIV/0!</v>
      </c>
      <c r="M28" s="193" t="e">
        <f t="shared" si="3"/>
        <v>#DIV/0!</v>
      </c>
      <c r="O28" s="190">
        <f>MAX(0,'All Genset Readings'!K31-'All Genset Readings'!K30)</f>
        <v>0</v>
      </c>
      <c r="P28" s="190">
        <f>MAX(0,'All Genset Readings'!L31-'All Genset Readings'!L30)</f>
        <v>0</v>
      </c>
      <c r="Q28" s="190">
        <f>'All Genset Readings'!M31</f>
        <v>0</v>
      </c>
      <c r="R28" s="192" t="e">
        <f t="shared" si="4"/>
        <v>#DIV/0!</v>
      </c>
      <c r="S28" s="193" t="e">
        <f t="shared" si="5"/>
        <v>#DIV/0!</v>
      </c>
      <c r="T28" s="175"/>
      <c r="U28" s="194">
        <f>MAX(0,'All Genset Readings'!O31-'All Genset Readings'!O30)</f>
        <v>0</v>
      </c>
      <c r="V28" s="194">
        <f>MAX(0,'All Genset Readings'!P31-'All Genset Readings'!P30)</f>
        <v>0</v>
      </c>
      <c r="W28" s="194">
        <f>'All Genset Readings'!Q31</f>
        <v>0</v>
      </c>
      <c r="X28" s="189" t="e">
        <f t="shared" si="6"/>
        <v>#DIV/0!</v>
      </c>
      <c r="Y28" s="189" t="e">
        <f t="shared" si="7"/>
        <v>#DIV/0!</v>
      </c>
      <c r="Z28" s="195"/>
      <c r="AA28" s="190">
        <f>MAX(0,'All Genset Readings'!S31-'All Genset Readings'!S30)</f>
        <v>0</v>
      </c>
      <c r="AB28" s="190">
        <f>MAX(0,'All Genset Readings'!T31-'All Genset Readings'!T30)</f>
        <v>0</v>
      </c>
      <c r="AC28" s="190">
        <f>'All Genset Readings'!U31</f>
        <v>0</v>
      </c>
      <c r="AD28" s="192" t="e">
        <f t="shared" si="8"/>
        <v>#DIV/0!</v>
      </c>
      <c r="AE28" s="193" t="e">
        <f t="shared" si="9"/>
        <v>#DIV/0!</v>
      </c>
      <c r="AF28" s="195"/>
      <c r="AG28" s="196">
        <f t="shared" si="10"/>
        <v>0</v>
      </c>
      <c r="AH28" s="191">
        <f t="shared" si="10"/>
        <v>0</v>
      </c>
      <c r="AI28" s="194">
        <f t="shared" si="10"/>
        <v>0</v>
      </c>
      <c r="AJ28" s="189" t="e">
        <f t="shared" si="11"/>
        <v>#DIV/0!</v>
      </c>
      <c r="AK28" s="189" t="e">
        <f t="shared" si="12"/>
        <v>#DIV/0!</v>
      </c>
    </row>
    <row r="29" spans="2:37" ht="15.75">
      <c r="B29" s="188">
        <v>44646</v>
      </c>
      <c r="C29" s="191">
        <f>MAX(0,'All Genset Readings'!C32-'All Genset Readings'!C31)</f>
        <v>0</v>
      </c>
      <c r="D29" s="191">
        <f>MAX(0,'All Genset Readings'!D32-'All Genset Readings'!D31)</f>
        <v>0</v>
      </c>
      <c r="E29" s="191">
        <f>'All Genset Readings'!E32</f>
        <v>0</v>
      </c>
      <c r="F29" s="191" t="e">
        <f t="shared" si="0"/>
        <v>#DIV/0!</v>
      </c>
      <c r="G29" s="193" t="e">
        <f t="shared" si="1"/>
        <v>#DIV/0!</v>
      </c>
      <c r="I29" s="190">
        <f>MAX(0,'All Genset Readings'!G32-'All Genset Readings'!G31)</f>
        <v>0</v>
      </c>
      <c r="J29" s="190">
        <f>MAX(0,'All Genset Readings'!H32-'All Genset Readings'!H31)</f>
        <v>0</v>
      </c>
      <c r="K29" s="190">
        <f>'All Genset Readings'!I32</f>
        <v>0</v>
      </c>
      <c r="L29" s="192" t="e">
        <f t="shared" si="2"/>
        <v>#DIV/0!</v>
      </c>
      <c r="M29" s="193" t="e">
        <f t="shared" si="3"/>
        <v>#DIV/0!</v>
      </c>
      <c r="O29" s="190">
        <f>MAX(0,'All Genset Readings'!K32-'All Genset Readings'!K31)</f>
        <v>0</v>
      </c>
      <c r="P29" s="190">
        <f>MAX(0,'All Genset Readings'!L32-'All Genset Readings'!L31)</f>
        <v>0</v>
      </c>
      <c r="Q29" s="190">
        <f>'All Genset Readings'!M32</f>
        <v>0</v>
      </c>
      <c r="R29" s="192" t="e">
        <f t="shared" si="4"/>
        <v>#DIV/0!</v>
      </c>
      <c r="S29" s="193" t="e">
        <f t="shared" si="5"/>
        <v>#DIV/0!</v>
      </c>
      <c r="T29" s="175"/>
      <c r="U29" s="194">
        <f>MAX(0,'All Genset Readings'!O32-'All Genset Readings'!O31)</f>
        <v>0</v>
      </c>
      <c r="V29" s="194">
        <f>MAX(0,'All Genset Readings'!P32-'All Genset Readings'!P31)</f>
        <v>0</v>
      </c>
      <c r="W29" s="194">
        <f>'All Genset Readings'!Q32</f>
        <v>0</v>
      </c>
      <c r="X29" s="189" t="e">
        <f t="shared" si="6"/>
        <v>#DIV/0!</v>
      </c>
      <c r="Y29" s="189" t="e">
        <f t="shared" si="7"/>
        <v>#DIV/0!</v>
      </c>
      <c r="Z29" s="195"/>
      <c r="AA29" s="190">
        <f>MAX(0,'All Genset Readings'!S32-'All Genset Readings'!S31)</f>
        <v>0</v>
      </c>
      <c r="AB29" s="190">
        <f>MAX(0,'All Genset Readings'!T32-'All Genset Readings'!T31)</f>
        <v>0</v>
      </c>
      <c r="AC29" s="190">
        <f>'All Genset Readings'!U32</f>
        <v>0</v>
      </c>
      <c r="AD29" s="192" t="e">
        <f t="shared" si="8"/>
        <v>#DIV/0!</v>
      </c>
      <c r="AE29" s="193" t="e">
        <f t="shared" si="9"/>
        <v>#DIV/0!</v>
      </c>
      <c r="AF29" s="195"/>
      <c r="AG29" s="196">
        <f t="shared" si="10"/>
        <v>0</v>
      </c>
      <c r="AH29" s="191">
        <f t="shared" si="10"/>
        <v>0</v>
      </c>
      <c r="AI29" s="194">
        <f t="shared" si="10"/>
        <v>0</v>
      </c>
      <c r="AJ29" s="189" t="e">
        <f t="shared" si="11"/>
        <v>#DIV/0!</v>
      </c>
      <c r="AK29" s="189" t="e">
        <f t="shared" si="12"/>
        <v>#DIV/0!</v>
      </c>
    </row>
    <row r="30" spans="2:37" ht="15.75">
      <c r="B30" s="188">
        <v>44647</v>
      </c>
      <c r="C30" s="191">
        <f>MAX(0,'All Genset Readings'!C33-'All Genset Readings'!C32)</f>
        <v>0</v>
      </c>
      <c r="D30" s="191">
        <f>MAX(0,'All Genset Readings'!D33-'All Genset Readings'!D32)</f>
        <v>0</v>
      </c>
      <c r="E30" s="191">
        <f>'All Genset Readings'!E33</f>
        <v>0</v>
      </c>
      <c r="F30" s="191" t="e">
        <f t="shared" si="0"/>
        <v>#DIV/0!</v>
      </c>
      <c r="G30" s="193" t="e">
        <f t="shared" si="1"/>
        <v>#DIV/0!</v>
      </c>
      <c r="I30" s="190">
        <f>MAX(0,'All Genset Readings'!G33-'All Genset Readings'!G32)</f>
        <v>0</v>
      </c>
      <c r="J30" s="190">
        <f>MAX(0,'All Genset Readings'!H33-'All Genset Readings'!H32)</f>
        <v>0</v>
      </c>
      <c r="K30" s="190">
        <f>'All Genset Readings'!I33</f>
        <v>0</v>
      </c>
      <c r="L30" s="192" t="e">
        <f t="shared" si="2"/>
        <v>#DIV/0!</v>
      </c>
      <c r="M30" s="193" t="e">
        <f t="shared" si="3"/>
        <v>#DIV/0!</v>
      </c>
      <c r="O30" s="190">
        <f>MAX(0,'All Genset Readings'!K33-'All Genset Readings'!K32)</f>
        <v>0</v>
      </c>
      <c r="P30" s="190">
        <f>MAX(0,'All Genset Readings'!L33-'All Genset Readings'!L32)</f>
        <v>0</v>
      </c>
      <c r="Q30" s="190">
        <f>'All Genset Readings'!M33</f>
        <v>0</v>
      </c>
      <c r="R30" s="192" t="e">
        <f t="shared" si="4"/>
        <v>#DIV/0!</v>
      </c>
      <c r="S30" s="193" t="e">
        <f t="shared" si="5"/>
        <v>#DIV/0!</v>
      </c>
      <c r="T30" s="175"/>
      <c r="U30" s="194">
        <f>MAX(0,'All Genset Readings'!O33-'All Genset Readings'!O32)</f>
        <v>0</v>
      </c>
      <c r="V30" s="194">
        <f>MAX(0,'All Genset Readings'!P33-'All Genset Readings'!P32)</f>
        <v>0</v>
      </c>
      <c r="W30" s="194">
        <f>'All Genset Readings'!Q33</f>
        <v>0</v>
      </c>
      <c r="X30" s="189" t="e">
        <f t="shared" si="6"/>
        <v>#DIV/0!</v>
      </c>
      <c r="Y30" s="189" t="e">
        <f t="shared" si="7"/>
        <v>#DIV/0!</v>
      </c>
      <c r="Z30" s="195"/>
      <c r="AA30" s="190">
        <f>MAX(0,'All Genset Readings'!S33-'All Genset Readings'!S32)</f>
        <v>0</v>
      </c>
      <c r="AB30" s="190">
        <f>MAX(0,'All Genset Readings'!T33-'All Genset Readings'!T32)</f>
        <v>0</v>
      </c>
      <c r="AC30" s="190">
        <f>'All Genset Readings'!U33</f>
        <v>0</v>
      </c>
      <c r="AD30" s="192" t="e">
        <f t="shared" si="8"/>
        <v>#DIV/0!</v>
      </c>
      <c r="AE30" s="193" t="e">
        <f t="shared" si="9"/>
        <v>#DIV/0!</v>
      </c>
      <c r="AF30" s="195"/>
      <c r="AG30" s="196">
        <f t="shared" si="10"/>
        <v>0</v>
      </c>
      <c r="AH30" s="191">
        <f t="shared" si="10"/>
        <v>0</v>
      </c>
      <c r="AI30" s="194">
        <f t="shared" si="10"/>
        <v>0</v>
      </c>
      <c r="AJ30" s="189" t="e">
        <f t="shared" si="11"/>
        <v>#DIV/0!</v>
      </c>
      <c r="AK30" s="189" t="e">
        <f t="shared" si="12"/>
        <v>#DIV/0!</v>
      </c>
    </row>
    <row r="31" spans="2:37" ht="15.75">
      <c r="B31" s="188">
        <v>44648</v>
      </c>
      <c r="C31" s="191">
        <f>MAX(0,'All Genset Readings'!C34-'All Genset Readings'!C33)</f>
        <v>0</v>
      </c>
      <c r="D31" s="191">
        <f>MAX(0,'All Genset Readings'!D34-'All Genset Readings'!D33)</f>
        <v>0</v>
      </c>
      <c r="E31" s="191">
        <f>'All Genset Readings'!E34</f>
        <v>0</v>
      </c>
      <c r="F31" s="191" t="e">
        <f t="shared" si="0"/>
        <v>#DIV/0!</v>
      </c>
      <c r="G31" s="193" t="e">
        <f t="shared" si="1"/>
        <v>#DIV/0!</v>
      </c>
      <c r="I31" s="190">
        <f>MAX(0,'All Genset Readings'!G34-'All Genset Readings'!G33)</f>
        <v>0</v>
      </c>
      <c r="J31" s="190">
        <f>MAX(0,'All Genset Readings'!H34-'All Genset Readings'!H33)</f>
        <v>0</v>
      </c>
      <c r="K31" s="190">
        <f>'All Genset Readings'!I34</f>
        <v>0</v>
      </c>
      <c r="L31" s="192" t="e">
        <f t="shared" si="2"/>
        <v>#DIV/0!</v>
      </c>
      <c r="M31" s="193" t="e">
        <f t="shared" si="3"/>
        <v>#DIV/0!</v>
      </c>
      <c r="O31" s="190">
        <f>MAX(0,'All Genset Readings'!K34-'All Genset Readings'!K33)</f>
        <v>0</v>
      </c>
      <c r="P31" s="190">
        <f>MAX(0,'All Genset Readings'!L34-'All Genset Readings'!L33)</f>
        <v>0</v>
      </c>
      <c r="Q31" s="190">
        <f>'All Genset Readings'!M34</f>
        <v>0</v>
      </c>
      <c r="R31" s="192" t="e">
        <f t="shared" si="4"/>
        <v>#DIV/0!</v>
      </c>
      <c r="S31" s="193" t="e">
        <f t="shared" si="5"/>
        <v>#DIV/0!</v>
      </c>
      <c r="T31" s="175"/>
      <c r="U31" s="194">
        <f>MAX(0,'All Genset Readings'!O34-'All Genset Readings'!O33)</f>
        <v>0</v>
      </c>
      <c r="V31" s="194">
        <f>MAX(0,'All Genset Readings'!P34-'All Genset Readings'!P33)</f>
        <v>0</v>
      </c>
      <c r="W31" s="194">
        <f>'All Genset Readings'!Q34</f>
        <v>0</v>
      </c>
      <c r="X31" s="189" t="e">
        <f t="shared" si="6"/>
        <v>#DIV/0!</v>
      </c>
      <c r="Y31" s="189" t="e">
        <f t="shared" si="7"/>
        <v>#DIV/0!</v>
      </c>
      <c r="Z31" s="195"/>
      <c r="AA31" s="190">
        <f>MAX(0,'All Genset Readings'!S34-'All Genset Readings'!S33)</f>
        <v>0</v>
      </c>
      <c r="AB31" s="190">
        <f>MAX(0,'All Genset Readings'!T34-'All Genset Readings'!T33)</f>
        <v>0</v>
      </c>
      <c r="AC31" s="190">
        <f>'All Genset Readings'!U34</f>
        <v>0</v>
      </c>
      <c r="AD31" s="192" t="e">
        <f t="shared" si="8"/>
        <v>#DIV/0!</v>
      </c>
      <c r="AE31" s="193" t="e">
        <f t="shared" si="9"/>
        <v>#DIV/0!</v>
      </c>
      <c r="AF31" s="195"/>
      <c r="AG31" s="196">
        <f t="shared" si="10"/>
        <v>0</v>
      </c>
      <c r="AH31" s="191">
        <f t="shared" si="10"/>
        <v>0</v>
      </c>
      <c r="AI31" s="194">
        <f t="shared" si="10"/>
        <v>0</v>
      </c>
      <c r="AJ31" s="189" t="e">
        <f t="shared" si="11"/>
        <v>#DIV/0!</v>
      </c>
      <c r="AK31" s="189" t="e">
        <f t="shared" si="12"/>
        <v>#DIV/0!</v>
      </c>
    </row>
    <row r="32" spans="2:37" ht="15.75">
      <c r="B32" s="188">
        <v>44649</v>
      </c>
      <c r="C32" s="191">
        <f>MAX(0,'All Genset Readings'!C35-'All Genset Readings'!C34)</f>
        <v>0</v>
      </c>
      <c r="D32" s="191">
        <f>MAX(0,'All Genset Readings'!D35-'All Genset Readings'!D34)</f>
        <v>0</v>
      </c>
      <c r="E32" s="191">
        <f>'All Genset Readings'!E35</f>
        <v>0</v>
      </c>
      <c r="F32" s="191" t="e">
        <f t="shared" ref="F32:F34" si="13">C32/D32</f>
        <v>#DIV/0!</v>
      </c>
      <c r="G32" s="193" t="e">
        <f t="shared" ref="G32:G34" si="14">C32/E32</f>
        <v>#DIV/0!</v>
      </c>
      <c r="I32" s="190">
        <f>MAX(0,'All Genset Readings'!G35-'All Genset Readings'!G34)</f>
        <v>0</v>
      </c>
      <c r="J32" s="190">
        <f>MAX(0,'All Genset Readings'!H35-'All Genset Readings'!H34)</f>
        <v>0</v>
      </c>
      <c r="K32" s="190">
        <f>'All Genset Readings'!I35</f>
        <v>0</v>
      </c>
      <c r="L32" s="192" t="e">
        <f t="shared" ref="L32:L34" si="15">I32/J32</f>
        <v>#DIV/0!</v>
      </c>
      <c r="M32" s="193" t="e">
        <f t="shared" ref="M32:M34" si="16">I32/K32</f>
        <v>#DIV/0!</v>
      </c>
      <c r="O32" s="190">
        <f>MAX(0,'All Genset Readings'!K35-'All Genset Readings'!K34)</f>
        <v>0</v>
      </c>
      <c r="P32" s="190">
        <f>MAX(0,'All Genset Readings'!L35-'All Genset Readings'!L34)</f>
        <v>0</v>
      </c>
      <c r="Q32" s="190">
        <f>'All Genset Readings'!M35</f>
        <v>0</v>
      </c>
      <c r="R32" s="192" t="e">
        <f t="shared" ref="R32:R34" si="17">O32/P32</f>
        <v>#DIV/0!</v>
      </c>
      <c r="S32" s="193" t="e">
        <f t="shared" ref="S32:S34" si="18">O32/Q32</f>
        <v>#DIV/0!</v>
      </c>
      <c r="T32" s="175"/>
      <c r="U32" s="194">
        <f>MAX(0,'All Genset Readings'!O35-'All Genset Readings'!O34)</f>
        <v>0</v>
      </c>
      <c r="V32" s="194">
        <f>MAX(0,'All Genset Readings'!P35-'All Genset Readings'!P34)</f>
        <v>0</v>
      </c>
      <c r="W32" s="194">
        <f>'All Genset Readings'!Q35</f>
        <v>0</v>
      </c>
      <c r="X32" s="189" t="e">
        <f t="shared" ref="X32:X34" si="19">U32/V32</f>
        <v>#DIV/0!</v>
      </c>
      <c r="Y32" s="189" t="e">
        <f t="shared" ref="Y32:Y34" si="20">U32/W32</f>
        <v>#DIV/0!</v>
      </c>
      <c r="Z32" s="195"/>
      <c r="AA32" s="190">
        <f>MAX(0,'All Genset Readings'!S35-'All Genset Readings'!S34)</f>
        <v>0</v>
      </c>
      <c r="AB32" s="190">
        <f>MAX(0,'All Genset Readings'!T35-'All Genset Readings'!T34)</f>
        <v>0</v>
      </c>
      <c r="AC32" s="190">
        <f>'All Genset Readings'!U35</f>
        <v>0</v>
      </c>
      <c r="AD32" s="192" t="e">
        <f t="shared" ref="AD32:AD34" si="21">AA32/AB32</f>
        <v>#DIV/0!</v>
      </c>
      <c r="AE32" s="193" t="e">
        <f t="shared" ref="AE32:AE34" si="22">AA32/AC32</f>
        <v>#DIV/0!</v>
      </c>
      <c r="AF32" s="195"/>
      <c r="AG32" s="196">
        <f t="shared" ref="AG32:AG34" si="23">C32+I32+O32+U32+AA32</f>
        <v>0</v>
      </c>
      <c r="AH32" s="191">
        <f t="shared" ref="AH32:AH34" si="24">D32+J32+P32+V32+AB32</f>
        <v>0</v>
      </c>
      <c r="AI32" s="194">
        <f t="shared" ref="AI32:AI34" si="25">E32+K32+Q32+W32+AC32</f>
        <v>0</v>
      </c>
      <c r="AJ32" s="189" t="e">
        <f t="shared" ref="AJ32:AJ34" si="26">AG32/AH32</f>
        <v>#DIV/0!</v>
      </c>
      <c r="AK32" s="189" t="e">
        <f t="shared" ref="AK32:AK34" si="27">AG32/AI32</f>
        <v>#DIV/0!</v>
      </c>
    </row>
    <row r="33" spans="2:37" ht="15.75">
      <c r="B33" s="188">
        <v>44650</v>
      </c>
      <c r="C33" s="191">
        <f>MAX(0,'All Genset Readings'!C36-'All Genset Readings'!C35)</f>
        <v>0</v>
      </c>
      <c r="D33" s="191">
        <f>MAX(0,'All Genset Readings'!D36-'All Genset Readings'!D35)</f>
        <v>0</v>
      </c>
      <c r="E33" s="191">
        <f>'All Genset Readings'!E36</f>
        <v>0</v>
      </c>
      <c r="F33" s="191" t="e">
        <f t="shared" si="13"/>
        <v>#DIV/0!</v>
      </c>
      <c r="G33" s="193" t="e">
        <f t="shared" si="14"/>
        <v>#DIV/0!</v>
      </c>
      <c r="I33" s="190">
        <f>MAX(0,'All Genset Readings'!G36-'All Genset Readings'!G35)</f>
        <v>0</v>
      </c>
      <c r="J33" s="190">
        <f>MAX(0,'All Genset Readings'!H36-'All Genset Readings'!H35)</f>
        <v>0</v>
      </c>
      <c r="K33" s="190">
        <f>'All Genset Readings'!I36</f>
        <v>0</v>
      </c>
      <c r="L33" s="192" t="e">
        <f t="shared" si="15"/>
        <v>#DIV/0!</v>
      </c>
      <c r="M33" s="193" t="e">
        <f t="shared" si="16"/>
        <v>#DIV/0!</v>
      </c>
      <c r="O33" s="190">
        <f>MAX(0,'All Genset Readings'!K36-'All Genset Readings'!K35)</f>
        <v>0</v>
      </c>
      <c r="P33" s="190">
        <f>MAX(0,'All Genset Readings'!L36-'All Genset Readings'!L35)</f>
        <v>0</v>
      </c>
      <c r="Q33" s="190">
        <f>'All Genset Readings'!M36</f>
        <v>0</v>
      </c>
      <c r="R33" s="192" t="e">
        <f t="shared" si="17"/>
        <v>#DIV/0!</v>
      </c>
      <c r="S33" s="193" t="e">
        <f t="shared" si="18"/>
        <v>#DIV/0!</v>
      </c>
      <c r="T33" s="175"/>
      <c r="U33" s="194">
        <f>MAX(0,'All Genset Readings'!O36-'All Genset Readings'!O35)</f>
        <v>0</v>
      </c>
      <c r="V33" s="194">
        <f>MAX(0,'All Genset Readings'!P36-'All Genset Readings'!P35)</f>
        <v>0</v>
      </c>
      <c r="W33" s="194">
        <f>'All Genset Readings'!Q36</f>
        <v>0</v>
      </c>
      <c r="X33" s="189" t="e">
        <f t="shared" si="19"/>
        <v>#DIV/0!</v>
      </c>
      <c r="Y33" s="189" t="e">
        <f t="shared" si="20"/>
        <v>#DIV/0!</v>
      </c>
      <c r="Z33" s="195"/>
      <c r="AA33" s="190">
        <f>MAX(0,'All Genset Readings'!S36-'All Genset Readings'!S35)</f>
        <v>0</v>
      </c>
      <c r="AB33" s="190">
        <f>MAX(0,'All Genset Readings'!T36-'All Genset Readings'!T35)</f>
        <v>0</v>
      </c>
      <c r="AC33" s="190">
        <f>'All Genset Readings'!U36</f>
        <v>0</v>
      </c>
      <c r="AD33" s="192" t="e">
        <f t="shared" si="21"/>
        <v>#DIV/0!</v>
      </c>
      <c r="AE33" s="193" t="e">
        <f t="shared" si="22"/>
        <v>#DIV/0!</v>
      </c>
      <c r="AF33" s="195"/>
      <c r="AG33" s="196">
        <f t="shared" si="23"/>
        <v>0</v>
      </c>
      <c r="AH33" s="191">
        <f t="shared" si="24"/>
        <v>0</v>
      </c>
      <c r="AI33" s="194">
        <f t="shared" si="25"/>
        <v>0</v>
      </c>
      <c r="AJ33" s="189" t="e">
        <f t="shared" si="26"/>
        <v>#DIV/0!</v>
      </c>
      <c r="AK33" s="189" t="e">
        <f t="shared" si="27"/>
        <v>#DIV/0!</v>
      </c>
    </row>
    <row r="34" spans="2:37" ht="15.75">
      <c r="B34" s="188">
        <v>44651</v>
      </c>
      <c r="C34" s="191">
        <f>MAX(0,'All Genset Readings'!C37-'All Genset Readings'!C36)</f>
        <v>0</v>
      </c>
      <c r="D34" s="191">
        <f>MAX(0,'All Genset Readings'!D37-'All Genset Readings'!D36)</f>
        <v>0</v>
      </c>
      <c r="E34" s="191">
        <f>'All Genset Readings'!E37</f>
        <v>0</v>
      </c>
      <c r="F34" s="191" t="e">
        <f t="shared" si="13"/>
        <v>#DIV/0!</v>
      </c>
      <c r="G34" s="193" t="e">
        <f t="shared" si="14"/>
        <v>#DIV/0!</v>
      </c>
      <c r="I34" s="190">
        <f>MAX(0,'All Genset Readings'!G37-'All Genset Readings'!G36)</f>
        <v>0</v>
      </c>
      <c r="J34" s="190">
        <f>MAX(0,'All Genset Readings'!H37-'All Genset Readings'!H36)</f>
        <v>0</v>
      </c>
      <c r="K34" s="190">
        <f>'All Genset Readings'!I37</f>
        <v>0</v>
      </c>
      <c r="L34" s="192" t="e">
        <f t="shared" si="15"/>
        <v>#DIV/0!</v>
      </c>
      <c r="M34" s="193" t="e">
        <f t="shared" si="16"/>
        <v>#DIV/0!</v>
      </c>
      <c r="O34" s="190">
        <f>MAX(0,'All Genset Readings'!K37-'All Genset Readings'!K36)</f>
        <v>0</v>
      </c>
      <c r="P34" s="190">
        <f>MAX(0,'All Genset Readings'!L37-'All Genset Readings'!L36)</f>
        <v>0</v>
      </c>
      <c r="Q34" s="190">
        <f>'All Genset Readings'!M37</f>
        <v>0</v>
      </c>
      <c r="R34" s="192" t="e">
        <f t="shared" si="17"/>
        <v>#DIV/0!</v>
      </c>
      <c r="S34" s="193" t="e">
        <f t="shared" si="18"/>
        <v>#DIV/0!</v>
      </c>
      <c r="T34" s="175"/>
      <c r="U34" s="194">
        <f>MAX(0,'All Genset Readings'!O37-'All Genset Readings'!O36)</f>
        <v>0</v>
      </c>
      <c r="V34" s="194">
        <f>MAX(0,'All Genset Readings'!P37-'All Genset Readings'!P36)</f>
        <v>0</v>
      </c>
      <c r="W34" s="194">
        <f>'All Genset Readings'!Q37</f>
        <v>0</v>
      </c>
      <c r="X34" s="189" t="e">
        <f t="shared" si="19"/>
        <v>#DIV/0!</v>
      </c>
      <c r="Y34" s="189" t="e">
        <f t="shared" si="20"/>
        <v>#DIV/0!</v>
      </c>
      <c r="Z34" s="195"/>
      <c r="AA34" s="190">
        <f>MAX(0,'All Genset Readings'!S37-'All Genset Readings'!S36)</f>
        <v>0</v>
      </c>
      <c r="AB34" s="190">
        <f>MAX(0,'All Genset Readings'!T37-'All Genset Readings'!T36)</f>
        <v>0</v>
      </c>
      <c r="AC34" s="190">
        <f>'All Genset Readings'!U37</f>
        <v>0</v>
      </c>
      <c r="AD34" s="192" t="e">
        <f t="shared" si="21"/>
        <v>#DIV/0!</v>
      </c>
      <c r="AE34" s="193" t="e">
        <f t="shared" si="22"/>
        <v>#DIV/0!</v>
      </c>
      <c r="AF34" s="195"/>
      <c r="AG34" s="196">
        <f t="shared" si="23"/>
        <v>0</v>
      </c>
      <c r="AH34" s="191">
        <f t="shared" si="24"/>
        <v>0</v>
      </c>
      <c r="AI34" s="194">
        <f t="shared" si="25"/>
        <v>0</v>
      </c>
      <c r="AJ34" s="189" t="e">
        <f t="shared" si="26"/>
        <v>#DIV/0!</v>
      </c>
      <c r="AK34" s="189" t="e">
        <f t="shared" si="27"/>
        <v>#DIV/0!</v>
      </c>
    </row>
    <row r="35" spans="2:37" s="199" customFormat="1" ht="16.5" thickBot="1">
      <c r="B35" s="197" t="s">
        <v>91</v>
      </c>
      <c r="C35" s="201">
        <f>SUM(C4:C31)</f>
        <v>35713</v>
      </c>
      <c r="D35" s="201">
        <f>SUM(D4:D31)</f>
        <v>78</v>
      </c>
      <c r="E35" s="201">
        <f>SUM(E4:E31)</f>
        <v>11190</v>
      </c>
      <c r="F35" s="206">
        <f t="shared" si="0"/>
        <v>457.85897435897436</v>
      </c>
      <c r="G35" s="202">
        <f t="shared" si="1"/>
        <v>3.1915102770330654</v>
      </c>
      <c r="I35" s="200">
        <f>SUM(I4:I31)</f>
        <v>77324</v>
      </c>
      <c r="J35" s="201">
        <f>SUM(J4:J31)</f>
        <v>102</v>
      </c>
      <c r="K35" s="201">
        <f>SUM(K4:K31)</f>
        <v>22490</v>
      </c>
      <c r="L35" s="201">
        <f t="shared" si="2"/>
        <v>758.07843137254906</v>
      </c>
      <c r="M35" s="202">
        <f t="shared" si="3"/>
        <v>3.438150289017341</v>
      </c>
      <c r="O35" s="200">
        <f>SUMIF($O$4:$O$31,"&gt;0")</f>
        <v>42993</v>
      </c>
      <c r="P35" s="201">
        <f>SUMIF($P$4:$P$31,"&gt;0")</f>
        <v>102</v>
      </c>
      <c r="Q35" s="201">
        <f>SUM(Q4:Q31)</f>
        <v>11270</v>
      </c>
      <c r="R35" s="201">
        <f t="shared" si="4"/>
        <v>421.5</v>
      </c>
      <c r="S35" s="202">
        <f t="shared" si="5"/>
        <v>3.8148181011535049</v>
      </c>
      <c r="T35" s="175"/>
      <c r="U35" s="198">
        <f>SUM(U4:U31)</f>
        <v>16648</v>
      </c>
      <c r="V35" s="198">
        <f>SUM(V4:V31)</f>
        <v>71</v>
      </c>
      <c r="W35" s="198">
        <f>SUM(W4:W31)</f>
        <v>4330</v>
      </c>
      <c r="X35" s="198">
        <f t="shared" si="6"/>
        <v>234.47887323943661</v>
      </c>
      <c r="Y35" s="198">
        <f t="shared" si="7"/>
        <v>3.8448036951501154</v>
      </c>
      <c r="Z35" s="203"/>
      <c r="AA35" s="200">
        <f>SUM(AA4:AA31)</f>
        <v>45587</v>
      </c>
      <c r="AB35" s="201">
        <f>SUM(AB4:AB31)</f>
        <v>98</v>
      </c>
      <c r="AC35" s="201">
        <f>SUM(AC4:AC31)</f>
        <v>11260</v>
      </c>
      <c r="AD35" s="201">
        <f t="shared" si="8"/>
        <v>465.17346938775512</v>
      </c>
      <c r="AE35" s="202">
        <f t="shared" si="9"/>
        <v>4.0485790408525757</v>
      </c>
      <c r="AF35" s="203"/>
      <c r="AG35" s="198">
        <f>SUM(AG4:AG31)</f>
        <v>218265</v>
      </c>
      <c r="AH35" s="198">
        <f>SUM(AH4:AH31)</f>
        <v>451</v>
      </c>
      <c r="AI35" s="198">
        <f>SUM(AI4:AI31)</f>
        <v>60540</v>
      </c>
      <c r="AJ35" s="198">
        <f t="shared" si="11"/>
        <v>483.95787139689577</v>
      </c>
      <c r="AK35" s="198">
        <f t="shared" si="12"/>
        <v>3.6053022794846381</v>
      </c>
    </row>
    <row r="36" spans="2:37" ht="15.75" thickTop="1">
      <c r="I36" s="204"/>
      <c r="J36" s="204"/>
      <c r="K36" s="204"/>
      <c r="L36" s="204"/>
      <c r="M36" s="204"/>
      <c r="AG36" s="352"/>
      <c r="AH36" s="352"/>
      <c r="AI36" s="352"/>
    </row>
  </sheetData>
  <mergeCells count="8">
    <mergeCell ref="AG36:AI36"/>
    <mergeCell ref="B1:AK1"/>
    <mergeCell ref="B2:B3"/>
    <mergeCell ref="I2:M2"/>
    <mergeCell ref="O2:S2"/>
    <mergeCell ref="U2:Y2"/>
    <mergeCell ref="AA2:AE2"/>
    <mergeCell ref="AG2:AK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3B65-1A4A-4A0F-9797-5BC754EF4CD5}">
  <sheetPr>
    <tabColor rgb="FFFF0000"/>
  </sheetPr>
  <dimension ref="B1:AK34"/>
  <sheetViews>
    <sheetView zoomScale="85" zoomScaleNormal="85" workbookViewId="0">
      <pane xSplit="2" ySplit="3" topLeftCell="I4" activePane="bottomRight" state="frozen"/>
      <selection pane="bottomRight" activeCell="J16" sqref="J16"/>
      <selection pane="bottomLeft" activeCell="A4" sqref="A4"/>
      <selection pane="topRight" activeCell="C1" sqref="C1"/>
    </sheetView>
  </sheetViews>
  <sheetFormatPr defaultColWidth="9.140625" defaultRowHeight="15"/>
  <cols>
    <col min="1" max="1" width="4.5703125" style="223" customWidth="1"/>
    <col min="2" max="2" width="8.140625" style="223" customWidth="1"/>
    <col min="3" max="4" width="9.28515625" style="223" bestFit="1" customWidth="1"/>
    <col min="5" max="5" width="11.5703125" style="223" customWidth="1"/>
    <col min="6" max="6" width="11.140625" style="223" customWidth="1"/>
    <col min="7" max="7" width="9.28515625" style="223" bestFit="1" customWidth="1"/>
    <col min="8" max="8" width="1.7109375" style="223" customWidth="1"/>
    <col min="9" max="9" width="11.28515625" style="223" bestFit="1" customWidth="1"/>
    <col min="10" max="10" width="9.28515625" style="223" bestFit="1" customWidth="1"/>
    <col min="11" max="11" width="12.42578125" style="223" customWidth="1"/>
    <col min="12" max="13" width="9.28515625" style="223" bestFit="1" customWidth="1"/>
    <col min="14" max="14" width="1.28515625" style="223" customWidth="1"/>
    <col min="15" max="15" width="11.28515625" style="223" bestFit="1" customWidth="1"/>
    <col min="16" max="16" width="9.28515625" style="223" bestFit="1" customWidth="1"/>
    <col min="17" max="17" width="10.28515625" style="223" bestFit="1" customWidth="1"/>
    <col min="18" max="19" width="9.28515625" style="223" bestFit="1" customWidth="1"/>
    <col min="20" max="20" width="1.28515625" style="223" customWidth="1"/>
    <col min="21" max="21" width="10.7109375" style="223" customWidth="1"/>
    <col min="22" max="22" width="9.28515625" style="223" bestFit="1" customWidth="1"/>
    <col min="23" max="23" width="11.28515625" style="223" customWidth="1"/>
    <col min="24" max="25" width="9.28515625" style="223" bestFit="1" customWidth="1"/>
    <col min="26" max="26" width="1.140625" style="223" customWidth="1"/>
    <col min="27" max="31" width="9.28515625" style="223" bestFit="1" customWidth="1"/>
    <col min="32" max="32" width="1.42578125" style="223" customWidth="1"/>
    <col min="33" max="33" width="11.28515625" style="223" bestFit="1" customWidth="1"/>
    <col min="34" max="35" width="10.28515625" style="223" bestFit="1" customWidth="1"/>
    <col min="36" max="36" width="8" style="223" bestFit="1" customWidth="1"/>
    <col min="37" max="37" width="8.42578125" style="223" bestFit="1" customWidth="1"/>
    <col min="38" max="16384" width="9.140625" style="223"/>
  </cols>
  <sheetData>
    <row r="1" spans="2:37" ht="31.5" customHeight="1">
      <c r="B1" s="364" t="s">
        <v>190</v>
      </c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4"/>
      <c r="T1" s="364"/>
      <c r="U1" s="364"/>
      <c r="V1" s="364"/>
      <c r="W1" s="364"/>
      <c r="X1" s="364"/>
      <c r="Y1" s="364"/>
      <c r="Z1" s="364"/>
      <c r="AA1" s="364"/>
      <c r="AB1" s="364"/>
      <c r="AC1" s="364"/>
      <c r="AD1" s="364"/>
      <c r="AE1" s="364"/>
      <c r="AF1" s="364"/>
      <c r="AG1" s="364"/>
      <c r="AH1" s="364"/>
      <c r="AI1" s="364"/>
      <c r="AJ1" s="364"/>
      <c r="AK1" s="364"/>
    </row>
    <row r="2" spans="2:37" ht="21">
      <c r="B2" s="365" t="s">
        <v>94</v>
      </c>
      <c r="C2" s="367" t="s">
        <v>127</v>
      </c>
      <c r="D2" s="367"/>
      <c r="E2" s="367"/>
      <c r="F2" s="367"/>
      <c r="G2" s="367"/>
      <c r="H2" s="224"/>
      <c r="I2" s="367" t="s">
        <v>128</v>
      </c>
      <c r="J2" s="367"/>
      <c r="K2" s="367"/>
      <c r="L2" s="367"/>
      <c r="M2" s="367"/>
      <c r="N2" s="225"/>
      <c r="O2" s="367" t="s">
        <v>129</v>
      </c>
      <c r="P2" s="367"/>
      <c r="Q2" s="367"/>
      <c r="R2" s="367"/>
      <c r="S2" s="367"/>
      <c r="U2" s="367" t="s">
        <v>130</v>
      </c>
      <c r="V2" s="367"/>
      <c r="W2" s="367"/>
      <c r="X2" s="367"/>
      <c r="Y2" s="367"/>
      <c r="AA2" s="368" t="s">
        <v>131</v>
      </c>
      <c r="AB2" s="369"/>
      <c r="AC2" s="369"/>
      <c r="AD2" s="369"/>
      <c r="AE2" s="369"/>
      <c r="AG2" s="370" t="s">
        <v>191</v>
      </c>
      <c r="AH2" s="370"/>
      <c r="AI2" s="370"/>
      <c r="AJ2" s="370"/>
      <c r="AK2" s="370"/>
    </row>
    <row r="3" spans="2:37" ht="60">
      <c r="B3" s="366"/>
      <c r="C3" s="226" t="s">
        <v>155</v>
      </c>
      <c r="D3" s="226" t="s">
        <v>101</v>
      </c>
      <c r="E3" s="226" t="s">
        <v>192</v>
      </c>
      <c r="F3" s="227" t="s">
        <v>193</v>
      </c>
      <c r="G3" s="227" t="s">
        <v>194</v>
      </c>
      <c r="H3" s="228"/>
      <c r="I3" s="226" t="s">
        <v>155</v>
      </c>
      <c r="J3" s="226" t="s">
        <v>101</v>
      </c>
      <c r="K3" s="226" t="s">
        <v>192</v>
      </c>
      <c r="L3" s="227" t="s">
        <v>193</v>
      </c>
      <c r="M3" s="227" t="s">
        <v>194</v>
      </c>
      <c r="N3" s="228"/>
      <c r="O3" s="226" t="s">
        <v>155</v>
      </c>
      <c r="P3" s="226" t="s">
        <v>101</v>
      </c>
      <c r="Q3" s="226" t="s">
        <v>192</v>
      </c>
      <c r="R3" s="227" t="s">
        <v>193</v>
      </c>
      <c r="S3" s="227" t="s">
        <v>194</v>
      </c>
      <c r="U3" s="226" t="s">
        <v>155</v>
      </c>
      <c r="V3" s="226" t="s">
        <v>101</v>
      </c>
      <c r="W3" s="226" t="s">
        <v>192</v>
      </c>
      <c r="X3" s="227" t="s">
        <v>193</v>
      </c>
      <c r="Y3" s="227" t="s">
        <v>194</v>
      </c>
      <c r="AA3" s="226" t="s">
        <v>155</v>
      </c>
      <c r="AB3" s="226" t="s">
        <v>101</v>
      </c>
      <c r="AC3" s="226" t="s">
        <v>192</v>
      </c>
      <c r="AD3" s="227" t="s">
        <v>193</v>
      </c>
      <c r="AE3" s="227" t="s">
        <v>194</v>
      </c>
      <c r="AG3" s="226" t="s">
        <v>155</v>
      </c>
      <c r="AH3" s="226" t="s">
        <v>101</v>
      </c>
      <c r="AI3" s="226" t="s">
        <v>192</v>
      </c>
      <c r="AJ3" s="227" t="s">
        <v>193</v>
      </c>
      <c r="AK3" s="227" t="s">
        <v>194</v>
      </c>
    </row>
    <row r="4" spans="2:37">
      <c r="B4" s="229">
        <v>44986</v>
      </c>
      <c r="C4" s="230">
        <f>MAX(0,Water!B7-Water!B6)</f>
        <v>179</v>
      </c>
      <c r="D4" s="230">
        <f>MAX(0,Water!C7-Water!C6)</f>
        <v>18</v>
      </c>
      <c r="E4" s="230">
        <f>MAX(0,Water!D7-Water!D6)</f>
        <v>0</v>
      </c>
      <c r="F4" s="231">
        <f>C4/D4</f>
        <v>9.9444444444444446</v>
      </c>
      <c r="G4" s="231">
        <f>E4/C4</f>
        <v>0</v>
      </c>
      <c r="I4" s="230">
        <f>MAX(0,Water!G7-Water!G6)</f>
        <v>0</v>
      </c>
      <c r="J4" s="230">
        <f>MAX(0,Water!H7-Water!H6)</f>
        <v>0</v>
      </c>
      <c r="K4" s="230">
        <f>MAX(0,Water!I7-Water!I6)</f>
        <v>0</v>
      </c>
      <c r="L4" s="231" t="e">
        <f>I4/J4</f>
        <v>#DIV/0!</v>
      </c>
      <c r="M4" s="231" t="e">
        <f>K4/I4</f>
        <v>#DIV/0!</v>
      </c>
      <c r="O4" s="230">
        <f>MAX(0,Water!L7-Water!L6)</f>
        <v>161</v>
      </c>
      <c r="P4" s="230">
        <f>MAX(0,Water!M7-Water!M6)</f>
        <v>16</v>
      </c>
      <c r="Q4" s="230">
        <f>MAX(0,Water!N7-Water!N6)</f>
        <v>0</v>
      </c>
      <c r="R4" s="231">
        <f>O4/P4</f>
        <v>10.0625</v>
      </c>
      <c r="S4" s="231">
        <f>Q4/O4</f>
        <v>0</v>
      </c>
      <c r="U4" s="230">
        <f>MAX(0,Water!Q7-Water!Q6)</f>
        <v>10</v>
      </c>
      <c r="V4" s="230">
        <f>MAX(0,Water!R7-Water!R6)</f>
        <v>1</v>
      </c>
      <c r="W4" s="230">
        <f>MAX(0,Water!S7-Water!S6)</f>
        <v>0</v>
      </c>
      <c r="X4" s="231">
        <f>U4/V4</f>
        <v>10</v>
      </c>
      <c r="Y4" s="231">
        <f>W4/U4</f>
        <v>0</v>
      </c>
      <c r="AA4" s="230">
        <f>MAX(0,Water!U7-Water!U6)</f>
        <v>2</v>
      </c>
      <c r="AB4" s="230">
        <f>MAX(0,Water!V7-Water!V6)</f>
        <v>0</v>
      </c>
      <c r="AC4" s="230">
        <f>MAX(0,Water!W7-Water!W6)</f>
        <v>0</v>
      </c>
      <c r="AD4" s="231" t="e">
        <f>AA4/AB4</f>
        <v>#DIV/0!</v>
      </c>
      <c r="AE4" s="231">
        <f>AC4/AA4</f>
        <v>0</v>
      </c>
      <c r="AG4" s="230">
        <f>C4+I4+O4+U4</f>
        <v>350</v>
      </c>
      <c r="AH4" s="230">
        <f>D4+J4+P4+V4</f>
        <v>35</v>
      </c>
      <c r="AI4" s="230">
        <f>E4+K4+Q4+W4</f>
        <v>0</v>
      </c>
      <c r="AJ4" s="231">
        <f>AG4/AH4</f>
        <v>10</v>
      </c>
      <c r="AK4" s="231">
        <f>AI4/AG4</f>
        <v>0</v>
      </c>
    </row>
    <row r="5" spans="2:37">
      <c r="B5" s="229">
        <v>44987</v>
      </c>
      <c r="C5" s="230">
        <f>MAX(0,Water!B8-Water!B7)</f>
        <v>159</v>
      </c>
      <c r="D5" s="230">
        <f>MAX(0,Water!C8-Water!C7)</f>
        <v>16</v>
      </c>
      <c r="E5" s="230">
        <f>MAX(0,Water!D8-Water!D7)</f>
        <v>0</v>
      </c>
      <c r="F5" s="231">
        <f t="shared" ref="F5:F31" si="0">C5/D5</f>
        <v>9.9375</v>
      </c>
      <c r="G5" s="231">
        <f t="shared" ref="G5:G31" si="1">E5/C5</f>
        <v>0</v>
      </c>
      <c r="I5" s="230">
        <f>MAX(0,Water!G8-Water!G7)</f>
        <v>29</v>
      </c>
      <c r="J5" s="230">
        <f>MAX(0,Water!H8-Water!H7)</f>
        <v>5</v>
      </c>
      <c r="K5" s="230">
        <f>MAX(0,Water!I8-Water!I7)</f>
        <v>0</v>
      </c>
      <c r="L5" s="231">
        <f t="shared" ref="L5:L31" si="2">I5/J5</f>
        <v>5.8</v>
      </c>
      <c r="M5" s="231">
        <f t="shared" ref="M5:M7" si="3">K5/I5</f>
        <v>0</v>
      </c>
      <c r="O5" s="230">
        <f>MAX(0,Water!L8-Water!L7)</f>
        <v>151</v>
      </c>
      <c r="P5" s="230">
        <f>MAX(0,Water!M8-Water!M7)</f>
        <v>15</v>
      </c>
      <c r="Q5" s="230">
        <f>MAX(0,Water!N8-Water!N7)</f>
        <v>0</v>
      </c>
      <c r="R5" s="231">
        <f t="shared" ref="R5:R31" si="4">O5/P5</f>
        <v>10.066666666666666</v>
      </c>
      <c r="S5" s="231">
        <f t="shared" ref="S5:S31" si="5">Q5/O5</f>
        <v>0</v>
      </c>
      <c r="U5" s="230">
        <f>MAX(0,Water!Q8-Water!Q7)</f>
        <v>2</v>
      </c>
      <c r="V5" s="230">
        <f>MAX(0,Water!R8-Water!R7)</f>
        <v>1</v>
      </c>
      <c r="W5" s="230">
        <f>MAX(0,Water!S8-Water!S7)</f>
        <v>0</v>
      </c>
      <c r="X5" s="231">
        <f t="shared" ref="X5:X31" si="6">U5/V5</f>
        <v>2</v>
      </c>
      <c r="Y5" s="231">
        <f t="shared" ref="Y5:Y31" si="7">W5/U5</f>
        <v>0</v>
      </c>
      <c r="AA5" s="230">
        <f>MAX(0,Water!U8-Water!U7)</f>
        <v>2</v>
      </c>
      <c r="AB5" s="230">
        <f>MAX(0,Water!V8-Water!V7)</f>
        <v>0</v>
      </c>
      <c r="AC5" s="230">
        <f>MAX(0,Water!W8-Water!W7)</f>
        <v>0</v>
      </c>
      <c r="AD5" s="231" t="e">
        <f t="shared" ref="AD5:AD31" si="8">AA5/AB5</f>
        <v>#DIV/0!</v>
      </c>
      <c r="AE5" s="231">
        <f t="shared" ref="AE5:AE31" si="9">AC5/AA5</f>
        <v>0</v>
      </c>
      <c r="AG5" s="230">
        <f>C5+I5+O5+U5</f>
        <v>341</v>
      </c>
      <c r="AH5" s="230">
        <f t="shared" ref="AH5:AI31" si="10">D5+J5+P5+V5</f>
        <v>37</v>
      </c>
      <c r="AI5" s="230">
        <f t="shared" si="10"/>
        <v>0</v>
      </c>
      <c r="AJ5" s="231">
        <f t="shared" ref="AJ5:AJ31" si="11">AG5/AH5</f>
        <v>9.2162162162162158</v>
      </c>
      <c r="AK5" s="231">
        <f t="shared" ref="AK5:AK31" si="12">AI5/AG5</f>
        <v>0</v>
      </c>
    </row>
    <row r="6" spans="2:37">
      <c r="B6" s="229">
        <v>44988</v>
      </c>
      <c r="C6" s="230">
        <f>MAX(0,Water!B9-Water!B8)</f>
        <v>175</v>
      </c>
      <c r="D6" s="230">
        <f>MAX(0,Water!C9-Water!C8)</f>
        <v>17</v>
      </c>
      <c r="E6" s="230">
        <f>MAX(0,Water!D9-Water!D8)</f>
        <v>0</v>
      </c>
      <c r="F6" s="231">
        <f t="shared" si="0"/>
        <v>10.294117647058824</v>
      </c>
      <c r="G6" s="231">
        <f t="shared" si="1"/>
        <v>0</v>
      </c>
      <c r="I6" s="230">
        <f>MAX(0,Water!G9-Water!G8)</f>
        <v>13</v>
      </c>
      <c r="J6" s="230">
        <f>MAX(0,Water!H9-Water!H8)</f>
        <v>2</v>
      </c>
      <c r="K6" s="230">
        <f>MAX(0,Water!I9-Water!I8)</f>
        <v>0</v>
      </c>
      <c r="L6" s="231">
        <f t="shared" si="2"/>
        <v>6.5</v>
      </c>
      <c r="M6" s="231">
        <f t="shared" si="3"/>
        <v>0</v>
      </c>
      <c r="O6" s="230">
        <f>MAX(0,Water!L9-Water!L8)</f>
        <v>150</v>
      </c>
      <c r="P6" s="230">
        <f>MAX(0,Water!M9-Water!M8)</f>
        <v>15</v>
      </c>
      <c r="Q6" s="230">
        <f>MAX(0,Water!N9-Water!N8)</f>
        <v>0</v>
      </c>
      <c r="R6" s="231">
        <f t="shared" si="4"/>
        <v>10</v>
      </c>
      <c r="S6" s="231">
        <f t="shared" si="5"/>
        <v>0</v>
      </c>
      <c r="U6" s="230">
        <f>MAX(0,Water!Q9-Water!Q8)</f>
        <v>0</v>
      </c>
      <c r="V6" s="230">
        <f>MAX(0,Water!R9-Water!R8)</f>
        <v>0</v>
      </c>
      <c r="W6" s="230">
        <f>MAX(0,Water!S9-Water!S8)</f>
        <v>0</v>
      </c>
      <c r="X6" s="231" t="e">
        <f t="shared" si="6"/>
        <v>#DIV/0!</v>
      </c>
      <c r="Y6" s="231" t="e">
        <f t="shared" si="7"/>
        <v>#DIV/0!</v>
      </c>
      <c r="AA6" s="230">
        <f>MAX(0,Water!U9-Water!U8)</f>
        <v>2</v>
      </c>
      <c r="AB6" s="230">
        <f>MAX(0,Water!V9-Water!V8)</f>
        <v>0</v>
      </c>
      <c r="AC6" s="230">
        <f>MAX(0,Water!W9-Water!W8)</f>
        <v>0</v>
      </c>
      <c r="AD6" s="231" t="e">
        <f t="shared" si="8"/>
        <v>#DIV/0!</v>
      </c>
      <c r="AE6" s="231">
        <f t="shared" si="9"/>
        <v>0</v>
      </c>
      <c r="AG6" s="230">
        <f t="shared" ref="AG6:AG31" si="13">C6+I6+O6+U6</f>
        <v>338</v>
      </c>
      <c r="AH6" s="230">
        <f t="shared" si="10"/>
        <v>34</v>
      </c>
      <c r="AI6" s="230">
        <f t="shared" si="10"/>
        <v>0</v>
      </c>
      <c r="AJ6" s="231">
        <f t="shared" si="11"/>
        <v>9.9411764705882355</v>
      </c>
      <c r="AK6" s="231">
        <f t="shared" si="12"/>
        <v>0</v>
      </c>
    </row>
    <row r="7" spans="2:37">
      <c r="B7" s="229">
        <v>44989</v>
      </c>
      <c r="C7" s="230">
        <f>MAX(0,Water!B10-Water!B9)</f>
        <v>169</v>
      </c>
      <c r="D7" s="230">
        <f>MAX(0,Water!C10-Water!C9)</f>
        <v>16</v>
      </c>
      <c r="E7" s="230">
        <f>MAX(0,Water!D10-Water!D9)</f>
        <v>0</v>
      </c>
      <c r="F7" s="231">
        <f t="shared" si="0"/>
        <v>10.5625</v>
      </c>
      <c r="G7" s="231">
        <f t="shared" si="1"/>
        <v>0</v>
      </c>
      <c r="I7" s="230">
        <f>MAX(0,Water!G10-Water!G9)</f>
        <v>0</v>
      </c>
      <c r="J7" s="230">
        <f>MAX(0,Water!H10-Water!H9)</f>
        <v>0</v>
      </c>
      <c r="K7" s="230">
        <f>MAX(0,Water!I10-Water!I9)</f>
        <v>0</v>
      </c>
      <c r="L7" s="231" t="e">
        <f t="shared" si="2"/>
        <v>#DIV/0!</v>
      </c>
      <c r="M7" s="231" t="e">
        <f t="shared" si="3"/>
        <v>#DIV/0!</v>
      </c>
      <c r="O7" s="230">
        <f>MAX(0,Water!L10-Water!L9)</f>
        <v>118</v>
      </c>
      <c r="P7" s="230">
        <f>MAX(0,Water!M10-Water!M9)</f>
        <v>12</v>
      </c>
      <c r="Q7" s="230">
        <f>MAX(0,Water!N10-Water!N9)</f>
        <v>0</v>
      </c>
      <c r="R7" s="231">
        <f t="shared" si="4"/>
        <v>9.8333333333333339</v>
      </c>
      <c r="S7" s="231">
        <f t="shared" si="5"/>
        <v>0</v>
      </c>
      <c r="U7" s="230">
        <f>MAX(0,Water!Q10-Water!Q9)</f>
        <v>90</v>
      </c>
      <c r="V7" s="230">
        <f>MAX(0,Water!R10-Water!R9)</f>
        <v>13</v>
      </c>
      <c r="W7" s="230">
        <f>MAX(0,Water!S10-Water!S9)</f>
        <v>0</v>
      </c>
      <c r="X7" s="231">
        <f t="shared" si="6"/>
        <v>6.9230769230769234</v>
      </c>
      <c r="Y7" s="231">
        <f t="shared" si="7"/>
        <v>0</v>
      </c>
      <c r="AA7" s="230">
        <f>MAX(0,Water!U10-Water!U9)</f>
        <v>2</v>
      </c>
      <c r="AB7" s="230">
        <f>MAX(0,Water!V10-Water!V9)</f>
        <v>0</v>
      </c>
      <c r="AC7" s="230">
        <f>MAX(0,Water!W10-Water!W9)</f>
        <v>0</v>
      </c>
      <c r="AD7" s="231" t="e">
        <f t="shared" si="8"/>
        <v>#DIV/0!</v>
      </c>
      <c r="AE7" s="231">
        <f t="shared" si="9"/>
        <v>0</v>
      </c>
      <c r="AG7" s="230">
        <f>C7+I7+O7+U7</f>
        <v>377</v>
      </c>
      <c r="AH7" s="230">
        <f t="shared" si="10"/>
        <v>41</v>
      </c>
      <c r="AI7" s="230">
        <f t="shared" si="10"/>
        <v>0</v>
      </c>
      <c r="AJ7" s="231">
        <f t="shared" si="11"/>
        <v>9.1951219512195124</v>
      </c>
      <c r="AK7" s="231">
        <f t="shared" si="12"/>
        <v>0</v>
      </c>
    </row>
    <row r="8" spans="2:37">
      <c r="B8" s="229">
        <v>44990</v>
      </c>
      <c r="C8" s="230">
        <f>MAX(0,Water!B11-Water!B10)</f>
        <v>180</v>
      </c>
      <c r="D8" s="230">
        <f>MAX(0,Water!C11-Water!C10)</f>
        <v>18</v>
      </c>
      <c r="E8" s="230">
        <f>MAX(0,Water!D11-Water!D10)</f>
        <v>0</v>
      </c>
      <c r="F8" s="231">
        <f t="shared" si="0"/>
        <v>10</v>
      </c>
      <c r="G8" s="231">
        <f t="shared" si="1"/>
        <v>0</v>
      </c>
      <c r="I8" s="230">
        <f>MAX(0,Water!G11-Water!G10)</f>
        <v>0</v>
      </c>
      <c r="J8" s="230">
        <f>MAX(0,Water!H11-Water!H10)</f>
        <v>0</v>
      </c>
      <c r="K8" s="230">
        <f>MAX(0,Water!I11-Water!I10)</f>
        <v>0</v>
      </c>
      <c r="L8" s="231" t="e">
        <f t="shared" si="2"/>
        <v>#DIV/0!</v>
      </c>
      <c r="M8" s="231" t="e">
        <f t="shared" ref="M5:M31" si="14">K8/I8</f>
        <v>#DIV/0!</v>
      </c>
      <c r="O8" s="230">
        <f>MAX(0,Water!L11-Water!L10)</f>
        <v>104</v>
      </c>
      <c r="P8" s="230">
        <f>MAX(0,Water!M11-Water!M10)</f>
        <v>10</v>
      </c>
      <c r="Q8" s="230">
        <f>MAX(0,Water!N11-Water!N10)</f>
        <v>0</v>
      </c>
      <c r="R8" s="231">
        <f t="shared" si="4"/>
        <v>10.4</v>
      </c>
      <c r="S8" s="231">
        <f t="shared" si="5"/>
        <v>0</v>
      </c>
      <c r="U8" s="230">
        <f>MAX(0,Water!Q11-Water!Q10)</f>
        <v>14</v>
      </c>
      <c r="V8" s="230">
        <f>MAX(0,Water!R11-Water!R10)</f>
        <v>3</v>
      </c>
      <c r="W8" s="230">
        <f>MAX(0,Water!S11-Water!S10)</f>
        <v>0</v>
      </c>
      <c r="X8" s="231">
        <f t="shared" si="6"/>
        <v>4.666666666666667</v>
      </c>
      <c r="Y8" s="231">
        <f t="shared" si="7"/>
        <v>0</v>
      </c>
      <c r="AA8" s="230">
        <f>MAX(0,Water!U11-Water!U10)</f>
        <v>0</v>
      </c>
      <c r="AB8" s="230">
        <f>MAX(0,Water!V11-Water!V10)</f>
        <v>0</v>
      </c>
      <c r="AC8" s="230">
        <f>MAX(0,Water!W11-Water!W10)</f>
        <v>0</v>
      </c>
      <c r="AD8" s="231" t="e">
        <f t="shared" si="8"/>
        <v>#DIV/0!</v>
      </c>
      <c r="AE8" s="231" t="e">
        <f t="shared" si="9"/>
        <v>#DIV/0!</v>
      </c>
      <c r="AG8" s="230">
        <f t="shared" si="13"/>
        <v>298</v>
      </c>
      <c r="AH8" s="230">
        <f t="shared" si="10"/>
        <v>31</v>
      </c>
      <c r="AI8" s="230">
        <f t="shared" si="10"/>
        <v>0</v>
      </c>
      <c r="AJ8" s="231">
        <f t="shared" si="11"/>
        <v>9.612903225806452</v>
      </c>
      <c r="AK8" s="231">
        <f t="shared" si="12"/>
        <v>0</v>
      </c>
    </row>
    <row r="9" spans="2:37">
      <c r="B9" s="229">
        <v>44991</v>
      </c>
      <c r="C9" s="230">
        <f>MAX(0,Water!B12-Water!B11)</f>
        <v>189</v>
      </c>
      <c r="D9" s="230">
        <f>MAX(0,Water!C12-Water!C11)</f>
        <v>18</v>
      </c>
      <c r="E9" s="230">
        <f>MAX(0,Water!D12-Water!D11)</f>
        <v>0</v>
      </c>
      <c r="F9" s="231">
        <f t="shared" si="0"/>
        <v>10.5</v>
      </c>
      <c r="G9" s="231">
        <f t="shared" si="1"/>
        <v>0</v>
      </c>
      <c r="I9" s="230">
        <f>MAX(0,Water!G12-Water!G11)</f>
        <v>0</v>
      </c>
      <c r="J9" s="230">
        <f>MAX(0,Water!H12-Water!H11)</f>
        <v>0</v>
      </c>
      <c r="K9" s="230">
        <f>MAX(0,Water!I12-Water!I11)</f>
        <v>0</v>
      </c>
      <c r="L9" s="231" t="e">
        <f t="shared" si="2"/>
        <v>#DIV/0!</v>
      </c>
      <c r="M9" s="231" t="e">
        <f t="shared" si="14"/>
        <v>#DIV/0!</v>
      </c>
      <c r="O9" s="230">
        <f>MAX(0,Water!L12-Water!L11)</f>
        <v>108</v>
      </c>
      <c r="P9" s="230">
        <f>MAX(0,Water!M12-Water!M11)</f>
        <v>12</v>
      </c>
      <c r="Q9" s="230">
        <f>MAX(0,Water!N12-Water!N11)</f>
        <v>0</v>
      </c>
      <c r="R9" s="231">
        <f t="shared" si="4"/>
        <v>9</v>
      </c>
      <c r="S9" s="231">
        <f t="shared" si="5"/>
        <v>0</v>
      </c>
      <c r="U9" s="230">
        <f>MAX(0,Water!Q12-Water!Q11)</f>
        <v>0</v>
      </c>
      <c r="V9" s="230">
        <f>MAX(0,Water!R12-Water!R11)</f>
        <v>0</v>
      </c>
      <c r="W9" s="230">
        <f>MAX(0,Water!S12-Water!S11)</f>
        <v>0</v>
      </c>
      <c r="X9" s="231" t="e">
        <f t="shared" si="6"/>
        <v>#DIV/0!</v>
      </c>
      <c r="Y9" s="231" t="e">
        <f t="shared" si="7"/>
        <v>#DIV/0!</v>
      </c>
      <c r="AA9" s="230">
        <f>MAX(0,Water!U12-Water!U11)</f>
        <v>1</v>
      </c>
      <c r="AB9" s="230">
        <f>MAX(0,Water!V12-Water!V11)</f>
        <v>0</v>
      </c>
      <c r="AC9" s="230">
        <f>MAX(0,Water!W12-Water!W11)</f>
        <v>0</v>
      </c>
      <c r="AD9" s="231" t="e">
        <f t="shared" si="8"/>
        <v>#DIV/0!</v>
      </c>
      <c r="AE9" s="231">
        <f t="shared" si="9"/>
        <v>0</v>
      </c>
      <c r="AG9" s="230">
        <f t="shared" si="13"/>
        <v>297</v>
      </c>
      <c r="AH9" s="230">
        <f t="shared" si="10"/>
        <v>30</v>
      </c>
      <c r="AI9" s="230">
        <f t="shared" si="10"/>
        <v>0</v>
      </c>
      <c r="AJ9" s="231">
        <f t="shared" si="11"/>
        <v>9.9</v>
      </c>
      <c r="AK9" s="231">
        <f t="shared" si="12"/>
        <v>0</v>
      </c>
    </row>
    <row r="10" spans="2:37">
      <c r="B10" s="229">
        <v>44992</v>
      </c>
      <c r="C10" s="230">
        <f>MAX(0,Water!B13-Water!B12)</f>
        <v>148</v>
      </c>
      <c r="D10" s="230">
        <f>MAX(0,Water!C13-Water!C12)</f>
        <v>18</v>
      </c>
      <c r="E10" s="230">
        <f>MAX(0,Water!D13-Water!D12)</f>
        <v>0</v>
      </c>
      <c r="F10" s="231">
        <f t="shared" si="0"/>
        <v>8.2222222222222214</v>
      </c>
      <c r="G10" s="231">
        <f t="shared" si="1"/>
        <v>0</v>
      </c>
      <c r="I10" s="230">
        <f>MAX(0,Water!G13-Water!G12)</f>
        <v>59</v>
      </c>
      <c r="J10" s="230">
        <f>MAX(0,Water!H13-Water!H12)</f>
        <v>11</v>
      </c>
      <c r="K10" s="230">
        <f>MAX(0,Water!I13-Water!I12)</f>
        <v>0</v>
      </c>
      <c r="L10" s="231">
        <f t="shared" si="2"/>
        <v>5.3636363636363633</v>
      </c>
      <c r="M10" s="231">
        <f t="shared" si="14"/>
        <v>0</v>
      </c>
      <c r="O10" s="230">
        <f>MAX(0,Water!L13-Water!L12)</f>
        <v>18</v>
      </c>
      <c r="P10" s="230">
        <f>MAX(0,Water!M13-Water!M12)</f>
        <v>1</v>
      </c>
      <c r="Q10" s="230">
        <f>MAX(0,Water!N13-Water!N12)</f>
        <v>0</v>
      </c>
      <c r="R10" s="231">
        <f t="shared" si="4"/>
        <v>18</v>
      </c>
      <c r="S10" s="231">
        <f t="shared" si="5"/>
        <v>0</v>
      </c>
      <c r="U10" s="230">
        <f>MAX(0,Water!Q13-Water!Q12)</f>
        <v>119</v>
      </c>
      <c r="V10" s="230">
        <f>MAX(0,Water!R13-Water!R12)</f>
        <v>20</v>
      </c>
      <c r="W10" s="230">
        <f>MAX(0,Water!S13-Water!S12)</f>
        <v>0</v>
      </c>
      <c r="X10" s="231">
        <f t="shared" si="6"/>
        <v>5.95</v>
      </c>
      <c r="Y10" s="231">
        <f t="shared" si="7"/>
        <v>0</v>
      </c>
      <c r="AA10" s="230">
        <f>MAX(0,Water!U13-Water!U12)</f>
        <v>1</v>
      </c>
      <c r="AB10" s="230">
        <f>MAX(0,Water!V13-Water!V12)</f>
        <v>0</v>
      </c>
      <c r="AC10" s="230">
        <f>MAX(0,Water!W13-Water!W12)</f>
        <v>0</v>
      </c>
      <c r="AD10" s="231" t="e">
        <f t="shared" si="8"/>
        <v>#DIV/0!</v>
      </c>
      <c r="AE10" s="231">
        <f t="shared" si="9"/>
        <v>0</v>
      </c>
      <c r="AG10" s="230">
        <f t="shared" si="13"/>
        <v>344</v>
      </c>
      <c r="AH10" s="230">
        <f t="shared" si="10"/>
        <v>50</v>
      </c>
      <c r="AI10" s="230">
        <f t="shared" si="10"/>
        <v>0</v>
      </c>
      <c r="AJ10" s="231">
        <f t="shared" si="11"/>
        <v>6.88</v>
      </c>
      <c r="AK10" s="231">
        <f t="shared" si="12"/>
        <v>0</v>
      </c>
    </row>
    <row r="11" spans="2:37">
      <c r="B11" s="229">
        <v>44993</v>
      </c>
      <c r="C11" s="230">
        <f>MAX(0,Water!B14-Water!B13)</f>
        <v>176</v>
      </c>
      <c r="D11" s="230">
        <f>MAX(0,Water!C14-Water!C13)</f>
        <v>14</v>
      </c>
      <c r="E11" s="230">
        <f>MAX(0,Water!D14-Water!D13)</f>
        <v>0</v>
      </c>
      <c r="F11" s="231">
        <f t="shared" si="0"/>
        <v>12.571428571428571</v>
      </c>
      <c r="G11" s="231">
        <f t="shared" si="1"/>
        <v>0</v>
      </c>
      <c r="I11" s="230">
        <f>MAX(0,Water!G14-Water!G13)</f>
        <v>29</v>
      </c>
      <c r="J11" s="230">
        <f>MAX(0,Water!H14-Water!H13)</f>
        <v>6</v>
      </c>
      <c r="K11" s="230">
        <f>MAX(0,Water!I14-Water!I13)</f>
        <v>0</v>
      </c>
      <c r="L11" s="231">
        <f t="shared" si="2"/>
        <v>4.833333333333333</v>
      </c>
      <c r="M11" s="231">
        <f t="shared" si="14"/>
        <v>0</v>
      </c>
      <c r="O11" s="230">
        <f>MAX(0,Water!L14-Water!L13)</f>
        <v>58</v>
      </c>
      <c r="P11" s="230">
        <f>MAX(0,Water!M14-Water!M13)</f>
        <v>306</v>
      </c>
      <c r="Q11" s="230">
        <f>MAX(0,Water!N14-Water!N13)</f>
        <v>0</v>
      </c>
      <c r="R11" s="231">
        <f t="shared" si="4"/>
        <v>0.18954248366013071</v>
      </c>
      <c r="S11" s="231">
        <f t="shared" si="5"/>
        <v>0</v>
      </c>
      <c r="U11" s="230">
        <f>MAX(0,Water!Q14-Water!Q13)</f>
        <v>88</v>
      </c>
      <c r="V11" s="230">
        <f>MAX(0,Water!R14-Water!R13)</f>
        <v>15</v>
      </c>
      <c r="W11" s="230">
        <f>MAX(0,Water!S14-Water!S13)</f>
        <v>0</v>
      </c>
      <c r="X11" s="231">
        <f t="shared" si="6"/>
        <v>5.8666666666666663</v>
      </c>
      <c r="Y11" s="231">
        <f t="shared" si="7"/>
        <v>0</v>
      </c>
      <c r="AA11" s="230">
        <f>MAX(0,Water!U14-Water!U13)</f>
        <v>3</v>
      </c>
      <c r="AB11" s="230">
        <f>MAX(0,Water!V14-Water!V13)</f>
        <v>0</v>
      </c>
      <c r="AC11" s="230">
        <f>MAX(0,Water!W14-Water!W13)</f>
        <v>0</v>
      </c>
      <c r="AD11" s="231" t="e">
        <f t="shared" si="8"/>
        <v>#DIV/0!</v>
      </c>
      <c r="AE11" s="231">
        <f t="shared" si="9"/>
        <v>0</v>
      </c>
      <c r="AG11" s="230">
        <f t="shared" si="13"/>
        <v>351</v>
      </c>
      <c r="AH11" s="230">
        <f t="shared" si="10"/>
        <v>341</v>
      </c>
      <c r="AI11" s="230">
        <f t="shared" si="10"/>
        <v>0</v>
      </c>
      <c r="AJ11" s="231">
        <f t="shared" si="11"/>
        <v>1.0293255131964809</v>
      </c>
      <c r="AK11" s="231">
        <f t="shared" si="12"/>
        <v>0</v>
      </c>
    </row>
    <row r="12" spans="2:37">
      <c r="B12" s="229">
        <v>44994</v>
      </c>
      <c r="C12" s="230">
        <f>MAX(0,Water!B15-Water!B14)</f>
        <v>0</v>
      </c>
      <c r="D12" s="230">
        <f>MAX(0,Water!C15-Water!C14)</f>
        <v>0</v>
      </c>
      <c r="E12" s="230">
        <f>MAX(0,Water!D15-Water!D14)</f>
        <v>0</v>
      </c>
      <c r="F12" s="231" t="e">
        <f t="shared" si="0"/>
        <v>#DIV/0!</v>
      </c>
      <c r="G12" s="231" t="e">
        <f t="shared" si="1"/>
        <v>#DIV/0!</v>
      </c>
      <c r="I12" s="230">
        <f>MAX(0,Water!G15-Water!G14)</f>
        <v>0</v>
      </c>
      <c r="J12" s="230">
        <f>MAX(0,Water!H15-Water!H14)</f>
        <v>0</v>
      </c>
      <c r="K12" s="230">
        <f>MAX(0,Water!I15-Water!I14)</f>
        <v>0</v>
      </c>
      <c r="L12" s="231" t="e">
        <f t="shared" si="2"/>
        <v>#DIV/0!</v>
      </c>
      <c r="M12" s="231" t="e">
        <f t="shared" si="14"/>
        <v>#DIV/0!</v>
      </c>
      <c r="O12" s="230">
        <f>MAX(0,Water!L15-Water!L14)</f>
        <v>0</v>
      </c>
      <c r="P12" s="230">
        <f>MAX(0,Water!M15-Water!M14)</f>
        <v>0</v>
      </c>
      <c r="Q12" s="230">
        <f>MAX(0,Water!N15-Water!N14)</f>
        <v>0</v>
      </c>
      <c r="R12" s="231" t="e">
        <f t="shared" si="4"/>
        <v>#DIV/0!</v>
      </c>
      <c r="S12" s="231" t="e">
        <f t="shared" si="5"/>
        <v>#DIV/0!</v>
      </c>
      <c r="U12" s="230">
        <f>MAX(0,Water!Q15-Water!Q14)</f>
        <v>0</v>
      </c>
      <c r="V12" s="230">
        <f>MAX(0,Water!R15-Water!R14)</f>
        <v>0</v>
      </c>
      <c r="W12" s="230">
        <f>MAX(0,Water!S15-Water!S14)</f>
        <v>0</v>
      </c>
      <c r="X12" s="231" t="e">
        <f t="shared" si="6"/>
        <v>#DIV/0!</v>
      </c>
      <c r="Y12" s="231" t="e">
        <f t="shared" si="7"/>
        <v>#DIV/0!</v>
      </c>
      <c r="AA12" s="230">
        <f>MAX(0,Water!U15-Water!U14)</f>
        <v>0</v>
      </c>
      <c r="AB12" s="230">
        <f>MAX(0,Water!V15-Water!V14)</f>
        <v>0</v>
      </c>
      <c r="AC12" s="230">
        <f>MAX(0,Water!W15-Water!W14)</f>
        <v>0</v>
      </c>
      <c r="AD12" s="231" t="e">
        <f t="shared" si="8"/>
        <v>#DIV/0!</v>
      </c>
      <c r="AE12" s="231" t="e">
        <f t="shared" si="9"/>
        <v>#DIV/0!</v>
      </c>
      <c r="AG12" s="230">
        <f t="shared" si="13"/>
        <v>0</v>
      </c>
      <c r="AH12" s="230">
        <f t="shared" si="10"/>
        <v>0</v>
      </c>
      <c r="AI12" s="230">
        <f t="shared" si="10"/>
        <v>0</v>
      </c>
      <c r="AJ12" s="231" t="e">
        <f t="shared" si="11"/>
        <v>#DIV/0!</v>
      </c>
      <c r="AK12" s="231" t="e">
        <f t="shared" si="12"/>
        <v>#DIV/0!</v>
      </c>
    </row>
    <row r="13" spans="2:37">
      <c r="B13" s="229">
        <v>44995</v>
      </c>
      <c r="C13" s="230">
        <f>MAX(0,Water!B16-Water!B15)</f>
        <v>0</v>
      </c>
      <c r="D13" s="230">
        <f>MAX(0,Water!C16-Water!C15)</f>
        <v>0</v>
      </c>
      <c r="E13" s="230">
        <f>MAX(0,Water!D16-Water!D15)</f>
        <v>0</v>
      </c>
      <c r="F13" s="231" t="e">
        <f t="shared" si="0"/>
        <v>#DIV/0!</v>
      </c>
      <c r="G13" s="231" t="e">
        <f t="shared" si="1"/>
        <v>#DIV/0!</v>
      </c>
      <c r="I13" s="230">
        <f>MAX(0,Water!G16-Water!G15)</f>
        <v>0</v>
      </c>
      <c r="J13" s="230">
        <f>MAX(0,Water!H16-Water!H15)</f>
        <v>0</v>
      </c>
      <c r="K13" s="230">
        <f>MAX(0,Water!I16-Water!I15)</f>
        <v>0</v>
      </c>
      <c r="L13" s="231" t="e">
        <f t="shared" si="2"/>
        <v>#DIV/0!</v>
      </c>
      <c r="M13" s="231" t="e">
        <f t="shared" si="14"/>
        <v>#DIV/0!</v>
      </c>
      <c r="O13" s="230">
        <f>MAX(0,Water!L16-Water!L15)</f>
        <v>0</v>
      </c>
      <c r="P13" s="230">
        <f>MAX(0,Water!M16-Water!M15)</f>
        <v>0</v>
      </c>
      <c r="Q13" s="230">
        <f>MAX(0,Water!N16-Water!N15)</f>
        <v>0</v>
      </c>
      <c r="R13" s="231" t="e">
        <f t="shared" si="4"/>
        <v>#DIV/0!</v>
      </c>
      <c r="S13" s="231" t="e">
        <f t="shared" si="5"/>
        <v>#DIV/0!</v>
      </c>
      <c r="U13" s="230">
        <f>MAX(0,Water!Q16-Water!Q15)</f>
        <v>0</v>
      </c>
      <c r="V13" s="230">
        <f>MAX(0,Water!R16-Water!R15)</f>
        <v>0</v>
      </c>
      <c r="W13" s="230">
        <f>MAX(0,Water!S16-Water!S15)</f>
        <v>0</v>
      </c>
      <c r="X13" s="231" t="e">
        <f t="shared" si="6"/>
        <v>#DIV/0!</v>
      </c>
      <c r="Y13" s="231" t="e">
        <f t="shared" si="7"/>
        <v>#DIV/0!</v>
      </c>
      <c r="AA13" s="230">
        <f>MAX(0,Water!U16-Water!U15)</f>
        <v>0</v>
      </c>
      <c r="AB13" s="230">
        <f>MAX(0,Water!V16-Water!V15)</f>
        <v>0</v>
      </c>
      <c r="AC13" s="230">
        <f>MAX(0,Water!W16-Water!W15)</f>
        <v>0</v>
      </c>
      <c r="AD13" s="231" t="e">
        <f t="shared" si="8"/>
        <v>#DIV/0!</v>
      </c>
      <c r="AE13" s="231" t="e">
        <f t="shared" si="9"/>
        <v>#DIV/0!</v>
      </c>
      <c r="AG13" s="230">
        <f t="shared" si="13"/>
        <v>0</v>
      </c>
      <c r="AH13" s="230">
        <f t="shared" si="10"/>
        <v>0</v>
      </c>
      <c r="AI13" s="230">
        <f t="shared" si="10"/>
        <v>0</v>
      </c>
      <c r="AJ13" s="231" t="e">
        <f t="shared" si="11"/>
        <v>#DIV/0!</v>
      </c>
      <c r="AK13" s="231" t="e">
        <f t="shared" si="12"/>
        <v>#DIV/0!</v>
      </c>
    </row>
    <row r="14" spans="2:37">
      <c r="B14" s="229">
        <v>44996</v>
      </c>
      <c r="C14" s="230">
        <f>MAX(0,Water!B17-Water!B16)</f>
        <v>0</v>
      </c>
      <c r="D14" s="230">
        <f>MAX(0,Water!C17-Water!C16)</f>
        <v>0</v>
      </c>
      <c r="E14" s="230">
        <f>MAX(0,Water!D17-Water!D16)</f>
        <v>0</v>
      </c>
      <c r="F14" s="231" t="e">
        <f t="shared" si="0"/>
        <v>#DIV/0!</v>
      </c>
      <c r="G14" s="231" t="e">
        <f t="shared" si="1"/>
        <v>#DIV/0!</v>
      </c>
      <c r="I14" s="230">
        <f>MAX(0,Water!G17-Water!G16)</f>
        <v>0</v>
      </c>
      <c r="J14" s="230">
        <f>MAX(0,Water!H17-Water!H16)</f>
        <v>0</v>
      </c>
      <c r="K14" s="230">
        <f>MAX(0,Water!I17-Water!I16)</f>
        <v>0</v>
      </c>
      <c r="L14" s="231" t="e">
        <f t="shared" si="2"/>
        <v>#DIV/0!</v>
      </c>
      <c r="M14" s="231" t="e">
        <f t="shared" si="14"/>
        <v>#DIV/0!</v>
      </c>
      <c r="O14" s="230">
        <f>MAX(0,Water!L17-Water!L16)</f>
        <v>0</v>
      </c>
      <c r="P14" s="230">
        <f>MAX(0,Water!M17-Water!M16)</f>
        <v>0</v>
      </c>
      <c r="Q14" s="230">
        <f>MAX(0,Water!N17-Water!N16)</f>
        <v>0</v>
      </c>
      <c r="R14" s="231" t="e">
        <f t="shared" si="4"/>
        <v>#DIV/0!</v>
      </c>
      <c r="S14" s="231" t="e">
        <f t="shared" si="5"/>
        <v>#DIV/0!</v>
      </c>
      <c r="U14" s="230">
        <f>MAX(0,Water!Q17-Water!Q16)</f>
        <v>0</v>
      </c>
      <c r="V14" s="230">
        <f>MAX(0,Water!R17-Water!R16)</f>
        <v>0</v>
      </c>
      <c r="W14" s="230">
        <f>MAX(0,Water!S17-Water!S16)</f>
        <v>0</v>
      </c>
      <c r="X14" s="231" t="e">
        <f t="shared" si="6"/>
        <v>#DIV/0!</v>
      </c>
      <c r="Y14" s="231" t="e">
        <f t="shared" si="7"/>
        <v>#DIV/0!</v>
      </c>
      <c r="AA14" s="230">
        <f>MAX(0,Water!U17-Water!U16)</f>
        <v>0</v>
      </c>
      <c r="AB14" s="230">
        <f>MAX(0,Water!V17-Water!V16)</f>
        <v>0</v>
      </c>
      <c r="AC14" s="230">
        <f>MAX(0,Water!W17-Water!W16)</f>
        <v>0</v>
      </c>
      <c r="AD14" s="231" t="e">
        <f t="shared" si="8"/>
        <v>#DIV/0!</v>
      </c>
      <c r="AE14" s="231" t="e">
        <f t="shared" si="9"/>
        <v>#DIV/0!</v>
      </c>
      <c r="AG14" s="230">
        <f t="shared" si="13"/>
        <v>0</v>
      </c>
      <c r="AH14" s="230">
        <f t="shared" si="10"/>
        <v>0</v>
      </c>
      <c r="AI14" s="230">
        <f t="shared" si="10"/>
        <v>0</v>
      </c>
      <c r="AJ14" s="231" t="e">
        <f t="shared" si="11"/>
        <v>#DIV/0!</v>
      </c>
      <c r="AK14" s="231" t="e">
        <f t="shared" si="12"/>
        <v>#DIV/0!</v>
      </c>
    </row>
    <row r="15" spans="2:37">
      <c r="B15" s="229">
        <v>44997</v>
      </c>
      <c r="C15" s="230">
        <f>MAX(0,Water!B18-Water!B17)</f>
        <v>0</v>
      </c>
      <c r="D15" s="230">
        <f>MAX(0,Water!C18-Water!C17)</f>
        <v>0</v>
      </c>
      <c r="E15" s="230">
        <f>MAX(0,Water!D18-Water!D17)</f>
        <v>0</v>
      </c>
      <c r="F15" s="231" t="e">
        <f t="shared" si="0"/>
        <v>#DIV/0!</v>
      </c>
      <c r="G15" s="231" t="e">
        <f t="shared" si="1"/>
        <v>#DIV/0!</v>
      </c>
      <c r="I15" s="230">
        <f>MAX(0,Water!G18-Water!G17)</f>
        <v>0</v>
      </c>
      <c r="J15" s="230">
        <f>MAX(0,Water!H18-Water!H17)</f>
        <v>0</v>
      </c>
      <c r="K15" s="230">
        <f>MAX(0,Water!I18-Water!I17)</f>
        <v>0</v>
      </c>
      <c r="L15" s="231" t="e">
        <f t="shared" si="2"/>
        <v>#DIV/0!</v>
      </c>
      <c r="M15" s="231" t="e">
        <f t="shared" si="14"/>
        <v>#DIV/0!</v>
      </c>
      <c r="O15" s="230">
        <f>MAX(0,Water!L18-Water!L17)</f>
        <v>0</v>
      </c>
      <c r="P15" s="230">
        <f>MAX(0,Water!M18-Water!M17)</f>
        <v>0</v>
      </c>
      <c r="Q15" s="230">
        <f>MAX(0,Water!N18-Water!N17)</f>
        <v>0</v>
      </c>
      <c r="R15" s="231" t="e">
        <f t="shared" si="4"/>
        <v>#DIV/0!</v>
      </c>
      <c r="S15" s="231" t="e">
        <f t="shared" si="5"/>
        <v>#DIV/0!</v>
      </c>
      <c r="U15" s="230">
        <f>MAX(0,Water!Q18-Water!Q17)</f>
        <v>0</v>
      </c>
      <c r="V15" s="230">
        <f>MAX(0,Water!R18-Water!R17)</f>
        <v>0</v>
      </c>
      <c r="W15" s="230">
        <f>MAX(0,Water!S18-Water!S17)</f>
        <v>0</v>
      </c>
      <c r="X15" s="231" t="e">
        <f t="shared" si="6"/>
        <v>#DIV/0!</v>
      </c>
      <c r="Y15" s="231" t="e">
        <f t="shared" si="7"/>
        <v>#DIV/0!</v>
      </c>
      <c r="AA15" s="230">
        <f>MAX(0,Water!U18-Water!U17)</f>
        <v>0</v>
      </c>
      <c r="AB15" s="230">
        <f>MAX(0,Water!V18-Water!V17)</f>
        <v>0</v>
      </c>
      <c r="AC15" s="230">
        <f>MAX(0,Water!W18-Water!W17)</f>
        <v>0</v>
      </c>
      <c r="AD15" s="231" t="e">
        <f t="shared" si="8"/>
        <v>#DIV/0!</v>
      </c>
      <c r="AE15" s="231" t="e">
        <f t="shared" si="9"/>
        <v>#DIV/0!</v>
      </c>
      <c r="AG15" s="230">
        <f t="shared" si="13"/>
        <v>0</v>
      </c>
      <c r="AH15" s="230">
        <f t="shared" si="10"/>
        <v>0</v>
      </c>
      <c r="AI15" s="230">
        <f t="shared" si="10"/>
        <v>0</v>
      </c>
      <c r="AJ15" s="231" t="e">
        <f t="shared" si="11"/>
        <v>#DIV/0!</v>
      </c>
      <c r="AK15" s="231" t="e">
        <f t="shared" si="12"/>
        <v>#DIV/0!</v>
      </c>
    </row>
    <row r="16" spans="2:37">
      <c r="B16" s="229">
        <v>44998</v>
      </c>
      <c r="C16" s="230">
        <f>MAX(0,Water!B19-Water!B18)</f>
        <v>0</v>
      </c>
      <c r="D16" s="230">
        <f>MAX(0,Water!C19-Water!C18)</f>
        <v>0</v>
      </c>
      <c r="E16" s="230">
        <f>MAX(0,Water!D19-Water!D18)</f>
        <v>0</v>
      </c>
      <c r="F16" s="231" t="e">
        <f t="shared" si="0"/>
        <v>#DIV/0!</v>
      </c>
      <c r="G16" s="231" t="e">
        <f t="shared" si="1"/>
        <v>#DIV/0!</v>
      </c>
      <c r="I16" s="230">
        <f>MAX(0,Water!G19-Water!G18)</f>
        <v>0</v>
      </c>
      <c r="J16" s="230">
        <f>MAX(0,Water!H19-Water!H18)</f>
        <v>0</v>
      </c>
      <c r="K16" s="230">
        <f>MAX(0,Water!I19-Water!I18)</f>
        <v>0</v>
      </c>
      <c r="L16" s="231" t="e">
        <f t="shared" si="2"/>
        <v>#DIV/0!</v>
      </c>
      <c r="M16" s="231" t="e">
        <f t="shared" si="14"/>
        <v>#DIV/0!</v>
      </c>
      <c r="O16" s="230">
        <f>MAX(0,Water!L19-Water!L18)</f>
        <v>0</v>
      </c>
      <c r="P16" s="230">
        <f>MAX(0,Water!M19-Water!M18)</f>
        <v>0</v>
      </c>
      <c r="Q16" s="230">
        <f>MAX(0,Water!N19-Water!N18)</f>
        <v>0</v>
      </c>
      <c r="R16" s="231" t="e">
        <f t="shared" si="4"/>
        <v>#DIV/0!</v>
      </c>
      <c r="S16" s="231" t="e">
        <f t="shared" si="5"/>
        <v>#DIV/0!</v>
      </c>
      <c r="U16" s="230">
        <f>MAX(0,Water!Q19-Water!Q18)</f>
        <v>0</v>
      </c>
      <c r="V16" s="230">
        <f>MAX(0,Water!R19-Water!R18)</f>
        <v>0</v>
      </c>
      <c r="W16" s="230">
        <f>MAX(0,Water!S19-Water!S18)</f>
        <v>0</v>
      </c>
      <c r="X16" s="231" t="e">
        <f t="shared" si="6"/>
        <v>#DIV/0!</v>
      </c>
      <c r="Y16" s="231" t="e">
        <f t="shared" si="7"/>
        <v>#DIV/0!</v>
      </c>
      <c r="AA16" s="230">
        <f>MAX(0,Water!U19-Water!U18)</f>
        <v>0</v>
      </c>
      <c r="AB16" s="230">
        <f>MAX(0,Water!V19-Water!V18)</f>
        <v>0</v>
      </c>
      <c r="AC16" s="230">
        <f>MAX(0,Water!W19-Water!W18)</f>
        <v>0</v>
      </c>
      <c r="AD16" s="231" t="e">
        <f t="shared" si="8"/>
        <v>#DIV/0!</v>
      </c>
      <c r="AE16" s="231" t="e">
        <f t="shared" si="9"/>
        <v>#DIV/0!</v>
      </c>
      <c r="AG16" s="230">
        <f t="shared" si="13"/>
        <v>0</v>
      </c>
      <c r="AH16" s="230">
        <f t="shared" si="10"/>
        <v>0</v>
      </c>
      <c r="AI16" s="230">
        <f t="shared" si="10"/>
        <v>0</v>
      </c>
      <c r="AJ16" s="231" t="e">
        <f t="shared" si="11"/>
        <v>#DIV/0!</v>
      </c>
      <c r="AK16" s="231" t="e">
        <f t="shared" si="12"/>
        <v>#DIV/0!</v>
      </c>
    </row>
    <row r="17" spans="2:37">
      <c r="B17" s="229">
        <v>44999</v>
      </c>
      <c r="C17" s="230">
        <f>MAX(0,Water!B20-Water!B19)</f>
        <v>0</v>
      </c>
      <c r="D17" s="230">
        <f>MAX(0,Water!C20-Water!C19)</f>
        <v>0</v>
      </c>
      <c r="E17" s="230">
        <f>MAX(0,Water!D20-Water!D19)</f>
        <v>0</v>
      </c>
      <c r="F17" s="231" t="e">
        <f t="shared" si="0"/>
        <v>#DIV/0!</v>
      </c>
      <c r="G17" s="231" t="e">
        <f t="shared" si="1"/>
        <v>#DIV/0!</v>
      </c>
      <c r="I17" s="230">
        <f>MAX(0,Water!G20-Water!G19)</f>
        <v>0</v>
      </c>
      <c r="J17" s="230">
        <f>MAX(0,Water!H20-Water!H19)</f>
        <v>0</v>
      </c>
      <c r="K17" s="230">
        <f>MAX(0,Water!I20-Water!I19)</f>
        <v>0</v>
      </c>
      <c r="L17" s="231" t="e">
        <f t="shared" si="2"/>
        <v>#DIV/0!</v>
      </c>
      <c r="M17" s="231" t="e">
        <f t="shared" si="14"/>
        <v>#DIV/0!</v>
      </c>
      <c r="O17" s="230">
        <f>MAX(0,Water!L20-Water!L19)</f>
        <v>0</v>
      </c>
      <c r="P17" s="230">
        <f>MAX(0,Water!M20-Water!M19)</f>
        <v>0</v>
      </c>
      <c r="Q17" s="230">
        <f>MAX(0,Water!N20-Water!N19)</f>
        <v>0</v>
      </c>
      <c r="R17" s="231" t="e">
        <f t="shared" si="4"/>
        <v>#DIV/0!</v>
      </c>
      <c r="S17" s="231" t="e">
        <f t="shared" si="5"/>
        <v>#DIV/0!</v>
      </c>
      <c r="U17" s="230">
        <f>MAX(0,Water!Q20-Water!Q19)</f>
        <v>0</v>
      </c>
      <c r="V17" s="230">
        <f>MAX(0,Water!R20-Water!R19)</f>
        <v>0</v>
      </c>
      <c r="W17" s="230">
        <f>MAX(0,Water!S20-Water!S19)</f>
        <v>0</v>
      </c>
      <c r="X17" s="231" t="e">
        <f t="shared" si="6"/>
        <v>#DIV/0!</v>
      </c>
      <c r="Y17" s="231" t="e">
        <f t="shared" si="7"/>
        <v>#DIV/0!</v>
      </c>
      <c r="AA17" s="230">
        <f>MAX(0,Water!U20-Water!U19)</f>
        <v>0</v>
      </c>
      <c r="AB17" s="230">
        <f>MAX(0,Water!V20-Water!V19)</f>
        <v>0</v>
      </c>
      <c r="AC17" s="230">
        <f>MAX(0,Water!W20-Water!W19)</f>
        <v>0</v>
      </c>
      <c r="AD17" s="231" t="e">
        <f t="shared" si="8"/>
        <v>#DIV/0!</v>
      </c>
      <c r="AE17" s="231" t="e">
        <f t="shared" si="9"/>
        <v>#DIV/0!</v>
      </c>
      <c r="AG17" s="230">
        <f t="shared" si="13"/>
        <v>0</v>
      </c>
      <c r="AH17" s="230">
        <f t="shared" si="10"/>
        <v>0</v>
      </c>
      <c r="AI17" s="230">
        <f t="shared" si="10"/>
        <v>0</v>
      </c>
      <c r="AJ17" s="231" t="e">
        <f t="shared" si="11"/>
        <v>#DIV/0!</v>
      </c>
      <c r="AK17" s="231" t="e">
        <f t="shared" si="12"/>
        <v>#DIV/0!</v>
      </c>
    </row>
    <row r="18" spans="2:37">
      <c r="B18" s="229">
        <v>45000</v>
      </c>
      <c r="C18" s="230">
        <f>MAX(0,Water!B21-Water!B20)</f>
        <v>0</v>
      </c>
      <c r="D18" s="230">
        <f>MAX(0,Water!C21-Water!C20)</f>
        <v>0</v>
      </c>
      <c r="E18" s="230">
        <f>MAX(0,Water!D21-Water!D20)</f>
        <v>0</v>
      </c>
      <c r="F18" s="231" t="e">
        <f t="shared" si="0"/>
        <v>#DIV/0!</v>
      </c>
      <c r="G18" s="231" t="e">
        <f t="shared" si="1"/>
        <v>#DIV/0!</v>
      </c>
      <c r="I18" s="230">
        <f>MAX(0,Water!G21-Water!G20)</f>
        <v>0</v>
      </c>
      <c r="J18" s="230">
        <f>MAX(0,Water!H21-Water!H20)</f>
        <v>0</v>
      </c>
      <c r="K18" s="230">
        <f>MAX(0,Water!I21-Water!I20)</f>
        <v>0</v>
      </c>
      <c r="L18" s="231" t="e">
        <f t="shared" si="2"/>
        <v>#DIV/0!</v>
      </c>
      <c r="M18" s="231" t="e">
        <f t="shared" si="14"/>
        <v>#DIV/0!</v>
      </c>
      <c r="O18" s="230">
        <f>MAX(0,Water!L21-Water!L20)</f>
        <v>0</v>
      </c>
      <c r="P18" s="230">
        <f>MAX(0,Water!M21-Water!M20)</f>
        <v>0</v>
      </c>
      <c r="Q18" s="230">
        <f>MAX(0,Water!N21-Water!N20)</f>
        <v>0</v>
      </c>
      <c r="R18" s="231" t="e">
        <f t="shared" si="4"/>
        <v>#DIV/0!</v>
      </c>
      <c r="S18" s="231" t="e">
        <f t="shared" si="5"/>
        <v>#DIV/0!</v>
      </c>
      <c r="U18" s="230">
        <f>MAX(0,Water!Q21-Water!Q20)</f>
        <v>0</v>
      </c>
      <c r="V18" s="230">
        <f>MAX(0,Water!R21-Water!R20)</f>
        <v>0</v>
      </c>
      <c r="W18" s="230">
        <f>MAX(0,Water!S21-Water!S20)</f>
        <v>0</v>
      </c>
      <c r="X18" s="231" t="e">
        <f t="shared" si="6"/>
        <v>#DIV/0!</v>
      </c>
      <c r="Y18" s="231" t="e">
        <f t="shared" si="7"/>
        <v>#DIV/0!</v>
      </c>
      <c r="AA18" s="230">
        <f>MAX(0,Water!U21-Water!U20)</f>
        <v>0</v>
      </c>
      <c r="AB18" s="230">
        <f>MAX(0,Water!V21-Water!V20)</f>
        <v>0</v>
      </c>
      <c r="AC18" s="230">
        <f>MAX(0,Water!W21-Water!W20)</f>
        <v>0</v>
      </c>
      <c r="AD18" s="231" t="e">
        <f t="shared" si="8"/>
        <v>#DIV/0!</v>
      </c>
      <c r="AE18" s="231" t="e">
        <f t="shared" si="9"/>
        <v>#DIV/0!</v>
      </c>
      <c r="AG18" s="230">
        <f t="shared" si="13"/>
        <v>0</v>
      </c>
      <c r="AH18" s="230">
        <f t="shared" si="10"/>
        <v>0</v>
      </c>
      <c r="AI18" s="230">
        <f t="shared" si="10"/>
        <v>0</v>
      </c>
      <c r="AJ18" s="231" t="e">
        <f t="shared" si="11"/>
        <v>#DIV/0!</v>
      </c>
      <c r="AK18" s="231" t="e">
        <f t="shared" si="12"/>
        <v>#DIV/0!</v>
      </c>
    </row>
    <row r="19" spans="2:37">
      <c r="B19" s="229">
        <v>45001</v>
      </c>
      <c r="C19" s="230">
        <f>MAX(0,Water!B22-Water!B21)</f>
        <v>0</v>
      </c>
      <c r="D19" s="230">
        <f>MAX(0,Water!C22-Water!C21)</f>
        <v>0</v>
      </c>
      <c r="E19" s="230">
        <f>MAX(0,Water!D22-Water!D21)</f>
        <v>0</v>
      </c>
      <c r="F19" s="231" t="e">
        <f t="shared" si="0"/>
        <v>#DIV/0!</v>
      </c>
      <c r="G19" s="231" t="e">
        <f t="shared" si="1"/>
        <v>#DIV/0!</v>
      </c>
      <c r="I19" s="230">
        <f>MAX(0,Water!G22-Water!G21)</f>
        <v>0</v>
      </c>
      <c r="J19" s="230">
        <f>MAX(0,Water!H22-Water!H21)</f>
        <v>0</v>
      </c>
      <c r="K19" s="230">
        <f>MAX(0,Water!I22-Water!I21)</f>
        <v>0</v>
      </c>
      <c r="L19" s="231" t="e">
        <f t="shared" si="2"/>
        <v>#DIV/0!</v>
      </c>
      <c r="M19" s="231" t="e">
        <f t="shared" si="14"/>
        <v>#DIV/0!</v>
      </c>
      <c r="O19" s="230">
        <f>MAX(0,Water!L22-Water!L21)</f>
        <v>0</v>
      </c>
      <c r="P19" s="230">
        <f>MAX(0,Water!M22-Water!M21)</f>
        <v>0</v>
      </c>
      <c r="Q19" s="230">
        <f>MAX(0,Water!N22-Water!N21)</f>
        <v>0</v>
      </c>
      <c r="R19" s="231" t="e">
        <f t="shared" si="4"/>
        <v>#DIV/0!</v>
      </c>
      <c r="S19" s="231" t="e">
        <f t="shared" si="5"/>
        <v>#DIV/0!</v>
      </c>
      <c r="U19" s="230">
        <f>MAX(0,Water!Q22-Water!Q21)</f>
        <v>0</v>
      </c>
      <c r="V19" s="230">
        <f>MAX(0,Water!R22-Water!R21)</f>
        <v>0</v>
      </c>
      <c r="W19" s="230">
        <f>MAX(0,Water!S22-Water!S21)</f>
        <v>0</v>
      </c>
      <c r="X19" s="231" t="e">
        <f t="shared" si="6"/>
        <v>#DIV/0!</v>
      </c>
      <c r="Y19" s="231" t="e">
        <f t="shared" si="7"/>
        <v>#DIV/0!</v>
      </c>
      <c r="AA19" s="230">
        <f>MAX(0,Water!U22-Water!U21)</f>
        <v>0</v>
      </c>
      <c r="AB19" s="230">
        <f>MAX(0,Water!V22-Water!V21)</f>
        <v>0</v>
      </c>
      <c r="AC19" s="230">
        <f>MAX(0,Water!W22-Water!W21)</f>
        <v>0</v>
      </c>
      <c r="AD19" s="231" t="e">
        <f t="shared" si="8"/>
        <v>#DIV/0!</v>
      </c>
      <c r="AE19" s="231" t="e">
        <f t="shared" si="9"/>
        <v>#DIV/0!</v>
      </c>
      <c r="AG19" s="230">
        <f t="shared" si="13"/>
        <v>0</v>
      </c>
      <c r="AH19" s="230">
        <f t="shared" si="10"/>
        <v>0</v>
      </c>
      <c r="AI19" s="230">
        <f t="shared" si="10"/>
        <v>0</v>
      </c>
      <c r="AJ19" s="231" t="e">
        <f t="shared" si="11"/>
        <v>#DIV/0!</v>
      </c>
      <c r="AK19" s="231" t="e">
        <f t="shared" si="12"/>
        <v>#DIV/0!</v>
      </c>
    </row>
    <row r="20" spans="2:37">
      <c r="B20" s="229">
        <v>45002</v>
      </c>
      <c r="C20" s="230">
        <f>MAX(0,Water!B23-Water!B22)</f>
        <v>0</v>
      </c>
      <c r="D20" s="230">
        <f>MAX(0,Water!C23-Water!C22)</f>
        <v>0</v>
      </c>
      <c r="E20" s="230">
        <f>MAX(0,Water!D23-Water!D22)</f>
        <v>0</v>
      </c>
      <c r="F20" s="231" t="e">
        <f t="shared" si="0"/>
        <v>#DIV/0!</v>
      </c>
      <c r="G20" s="231" t="e">
        <f t="shared" si="1"/>
        <v>#DIV/0!</v>
      </c>
      <c r="I20" s="230">
        <f>MAX(0,Water!G23-Water!G22)</f>
        <v>0</v>
      </c>
      <c r="J20" s="230">
        <f>MAX(0,Water!H23-Water!H22)</f>
        <v>0</v>
      </c>
      <c r="K20" s="230">
        <f>MAX(0,Water!I23-Water!I22)</f>
        <v>0</v>
      </c>
      <c r="L20" s="231" t="e">
        <f t="shared" si="2"/>
        <v>#DIV/0!</v>
      </c>
      <c r="M20" s="231" t="e">
        <f t="shared" si="14"/>
        <v>#DIV/0!</v>
      </c>
      <c r="O20" s="230">
        <f>MAX(0,Water!L23-Water!L22)</f>
        <v>0</v>
      </c>
      <c r="P20" s="230">
        <f>MAX(0,Water!M23-Water!M22)</f>
        <v>0</v>
      </c>
      <c r="Q20" s="230">
        <f>MAX(0,Water!N23-Water!N22)</f>
        <v>0</v>
      </c>
      <c r="R20" s="231" t="e">
        <f t="shared" si="4"/>
        <v>#DIV/0!</v>
      </c>
      <c r="S20" s="231" t="e">
        <f t="shared" si="5"/>
        <v>#DIV/0!</v>
      </c>
      <c r="U20" s="230">
        <f>MAX(0,Water!Q23-Water!Q22)</f>
        <v>0</v>
      </c>
      <c r="V20" s="230">
        <f>MAX(0,Water!R23-Water!R22)</f>
        <v>0</v>
      </c>
      <c r="W20" s="230">
        <f>MAX(0,Water!S23-Water!S22)</f>
        <v>0</v>
      </c>
      <c r="X20" s="231" t="e">
        <f t="shared" si="6"/>
        <v>#DIV/0!</v>
      </c>
      <c r="Y20" s="231" t="e">
        <f t="shared" si="7"/>
        <v>#DIV/0!</v>
      </c>
      <c r="AA20" s="230">
        <f>MAX(0,Water!U23-Water!U22)</f>
        <v>0</v>
      </c>
      <c r="AB20" s="230">
        <f>MAX(0,Water!V23-Water!V22)</f>
        <v>0</v>
      </c>
      <c r="AC20" s="230">
        <f>MAX(0,Water!W23-Water!W22)</f>
        <v>0</v>
      </c>
      <c r="AD20" s="231" t="e">
        <f t="shared" si="8"/>
        <v>#DIV/0!</v>
      </c>
      <c r="AE20" s="231" t="e">
        <f t="shared" si="9"/>
        <v>#DIV/0!</v>
      </c>
      <c r="AG20" s="230">
        <f t="shared" si="13"/>
        <v>0</v>
      </c>
      <c r="AH20" s="230">
        <f t="shared" si="10"/>
        <v>0</v>
      </c>
      <c r="AI20" s="230">
        <f t="shared" si="10"/>
        <v>0</v>
      </c>
      <c r="AJ20" s="231" t="e">
        <f t="shared" si="11"/>
        <v>#DIV/0!</v>
      </c>
      <c r="AK20" s="231" t="e">
        <f t="shared" si="12"/>
        <v>#DIV/0!</v>
      </c>
    </row>
    <row r="21" spans="2:37">
      <c r="B21" s="229">
        <v>45003</v>
      </c>
      <c r="C21" s="230">
        <f>MAX(0,Water!B24-Water!B23)</f>
        <v>0</v>
      </c>
      <c r="D21" s="230">
        <f>MAX(0,Water!C24-Water!C23)</f>
        <v>0</v>
      </c>
      <c r="E21" s="230">
        <f>MAX(0,Water!D24-Water!D23)</f>
        <v>0</v>
      </c>
      <c r="F21" s="231" t="e">
        <f t="shared" si="0"/>
        <v>#DIV/0!</v>
      </c>
      <c r="G21" s="231" t="e">
        <f t="shared" si="1"/>
        <v>#DIV/0!</v>
      </c>
      <c r="I21" s="230">
        <f>MAX(0,Water!G24-Water!G23)</f>
        <v>0</v>
      </c>
      <c r="J21" s="230">
        <f>MAX(0,Water!H24-Water!H23)</f>
        <v>0</v>
      </c>
      <c r="K21" s="230">
        <f>MAX(0,Water!I24-Water!I23)</f>
        <v>0</v>
      </c>
      <c r="L21" s="231" t="e">
        <f t="shared" si="2"/>
        <v>#DIV/0!</v>
      </c>
      <c r="M21" s="231" t="e">
        <f t="shared" si="14"/>
        <v>#DIV/0!</v>
      </c>
      <c r="O21" s="230">
        <f>MAX(0,Water!L24-Water!L23)</f>
        <v>0</v>
      </c>
      <c r="P21" s="230">
        <f>MAX(0,Water!M24-Water!M23)</f>
        <v>0</v>
      </c>
      <c r="Q21" s="230">
        <f>MAX(0,Water!N24-Water!N23)</f>
        <v>0</v>
      </c>
      <c r="R21" s="231" t="e">
        <f t="shared" si="4"/>
        <v>#DIV/0!</v>
      </c>
      <c r="S21" s="231" t="e">
        <f t="shared" si="5"/>
        <v>#DIV/0!</v>
      </c>
      <c r="U21" s="230">
        <f>MAX(0,Water!Q24-Water!Q23)</f>
        <v>0</v>
      </c>
      <c r="V21" s="230">
        <f>MAX(0,Water!R24-Water!R23)</f>
        <v>0</v>
      </c>
      <c r="W21" s="230">
        <f>MAX(0,Water!S24-Water!S23)</f>
        <v>0</v>
      </c>
      <c r="X21" s="231" t="e">
        <f t="shared" si="6"/>
        <v>#DIV/0!</v>
      </c>
      <c r="Y21" s="231" t="e">
        <f t="shared" si="7"/>
        <v>#DIV/0!</v>
      </c>
      <c r="AA21" s="230">
        <f>MAX(0,Water!U24-Water!U23)</f>
        <v>0</v>
      </c>
      <c r="AB21" s="230">
        <f>MAX(0,Water!V24-Water!V23)</f>
        <v>0</v>
      </c>
      <c r="AC21" s="230">
        <f>MAX(0,Water!W24-Water!W23)</f>
        <v>0</v>
      </c>
      <c r="AD21" s="231" t="e">
        <f t="shared" si="8"/>
        <v>#DIV/0!</v>
      </c>
      <c r="AE21" s="231" t="e">
        <f t="shared" si="9"/>
        <v>#DIV/0!</v>
      </c>
      <c r="AG21" s="230">
        <f t="shared" si="13"/>
        <v>0</v>
      </c>
      <c r="AH21" s="230">
        <f t="shared" si="10"/>
        <v>0</v>
      </c>
      <c r="AI21" s="230">
        <f t="shared" si="10"/>
        <v>0</v>
      </c>
      <c r="AJ21" s="231" t="e">
        <f t="shared" si="11"/>
        <v>#DIV/0!</v>
      </c>
      <c r="AK21" s="231" t="e">
        <f t="shared" si="12"/>
        <v>#DIV/0!</v>
      </c>
    </row>
    <row r="22" spans="2:37">
      <c r="B22" s="229">
        <v>45004</v>
      </c>
      <c r="C22" s="230">
        <f>MAX(0,Water!B25-Water!B24)</f>
        <v>0</v>
      </c>
      <c r="D22" s="230">
        <f>MAX(0,Water!C25-Water!C24)</f>
        <v>0</v>
      </c>
      <c r="E22" s="230">
        <f>MAX(0,Water!D25-Water!D24)</f>
        <v>0</v>
      </c>
      <c r="F22" s="231" t="e">
        <f t="shared" si="0"/>
        <v>#DIV/0!</v>
      </c>
      <c r="G22" s="231" t="e">
        <f t="shared" si="1"/>
        <v>#DIV/0!</v>
      </c>
      <c r="I22" s="230">
        <f>MAX(0,Water!G25-Water!G24)</f>
        <v>0</v>
      </c>
      <c r="J22" s="230">
        <f>MAX(0,Water!H25-Water!H24)</f>
        <v>0</v>
      </c>
      <c r="K22" s="230">
        <f>MAX(0,Water!I25-Water!I24)</f>
        <v>0</v>
      </c>
      <c r="L22" s="231" t="e">
        <f t="shared" si="2"/>
        <v>#DIV/0!</v>
      </c>
      <c r="M22" s="231" t="e">
        <f t="shared" si="14"/>
        <v>#DIV/0!</v>
      </c>
      <c r="O22" s="230">
        <f>MAX(0,Water!L25-Water!L24)</f>
        <v>0</v>
      </c>
      <c r="P22" s="230">
        <f>MAX(0,Water!M25-Water!M24)</f>
        <v>0</v>
      </c>
      <c r="Q22" s="230">
        <f>MAX(0,Water!N25-Water!N24)</f>
        <v>0</v>
      </c>
      <c r="R22" s="231" t="e">
        <f t="shared" si="4"/>
        <v>#DIV/0!</v>
      </c>
      <c r="S22" s="231" t="e">
        <f t="shared" si="5"/>
        <v>#DIV/0!</v>
      </c>
      <c r="U22" s="230">
        <f>MAX(0,Water!Q25-Water!Q24)</f>
        <v>0</v>
      </c>
      <c r="V22" s="230">
        <f>MAX(0,Water!R25-Water!R24)</f>
        <v>0</v>
      </c>
      <c r="W22" s="230">
        <f>MAX(0,Water!S25-Water!S24)</f>
        <v>0</v>
      </c>
      <c r="X22" s="231" t="e">
        <f t="shared" si="6"/>
        <v>#DIV/0!</v>
      </c>
      <c r="Y22" s="231" t="e">
        <f t="shared" si="7"/>
        <v>#DIV/0!</v>
      </c>
      <c r="AA22" s="230">
        <f>MAX(0,Water!U25-Water!U24)</f>
        <v>0</v>
      </c>
      <c r="AB22" s="230">
        <f>MAX(0,Water!V25-Water!V24)</f>
        <v>0</v>
      </c>
      <c r="AC22" s="230">
        <f>MAX(0,Water!W25-Water!W24)</f>
        <v>0</v>
      </c>
      <c r="AD22" s="231" t="e">
        <f t="shared" si="8"/>
        <v>#DIV/0!</v>
      </c>
      <c r="AE22" s="231" t="e">
        <f t="shared" si="9"/>
        <v>#DIV/0!</v>
      </c>
      <c r="AG22" s="230">
        <f t="shared" si="13"/>
        <v>0</v>
      </c>
      <c r="AH22" s="230">
        <f t="shared" si="10"/>
        <v>0</v>
      </c>
      <c r="AI22" s="230">
        <f t="shared" si="10"/>
        <v>0</v>
      </c>
      <c r="AJ22" s="231" t="e">
        <f t="shared" si="11"/>
        <v>#DIV/0!</v>
      </c>
      <c r="AK22" s="231" t="e">
        <f t="shared" si="12"/>
        <v>#DIV/0!</v>
      </c>
    </row>
    <row r="23" spans="2:37">
      <c r="B23" s="229">
        <v>45005</v>
      </c>
      <c r="C23" s="230">
        <f>MAX(0,Water!B26-Water!B25)</f>
        <v>0</v>
      </c>
      <c r="D23" s="230">
        <f>MAX(0,Water!C26-Water!C25)</f>
        <v>0</v>
      </c>
      <c r="E23" s="230">
        <f>MAX(0,Water!D26-Water!D25)</f>
        <v>0</v>
      </c>
      <c r="F23" s="231" t="e">
        <f t="shared" si="0"/>
        <v>#DIV/0!</v>
      </c>
      <c r="G23" s="231" t="e">
        <f t="shared" si="1"/>
        <v>#DIV/0!</v>
      </c>
      <c r="I23" s="230">
        <f>MAX(0,Water!G26-Water!G25)</f>
        <v>0</v>
      </c>
      <c r="J23" s="230">
        <f>MAX(0,Water!H26-Water!H25)</f>
        <v>0</v>
      </c>
      <c r="K23" s="230">
        <f>MAX(0,Water!I26-Water!I25)</f>
        <v>0</v>
      </c>
      <c r="L23" s="231" t="e">
        <f t="shared" si="2"/>
        <v>#DIV/0!</v>
      </c>
      <c r="M23" s="231" t="e">
        <f t="shared" si="14"/>
        <v>#DIV/0!</v>
      </c>
      <c r="O23" s="230">
        <f>MAX(0,Water!L26-Water!L25)</f>
        <v>0</v>
      </c>
      <c r="P23" s="230">
        <f>MAX(0,Water!M26-Water!M25)</f>
        <v>0</v>
      </c>
      <c r="Q23" s="230">
        <f>MAX(0,Water!N26-Water!N25)</f>
        <v>0</v>
      </c>
      <c r="R23" s="231" t="e">
        <f t="shared" si="4"/>
        <v>#DIV/0!</v>
      </c>
      <c r="S23" s="231" t="e">
        <f t="shared" si="5"/>
        <v>#DIV/0!</v>
      </c>
      <c r="U23" s="230">
        <f>MAX(0,Water!Q26-Water!Q25)</f>
        <v>0</v>
      </c>
      <c r="V23" s="230">
        <f>MAX(0,Water!R26-Water!R25)</f>
        <v>0</v>
      </c>
      <c r="W23" s="230">
        <f>MAX(0,Water!S26-Water!S25)</f>
        <v>0</v>
      </c>
      <c r="X23" s="231" t="e">
        <f t="shared" si="6"/>
        <v>#DIV/0!</v>
      </c>
      <c r="Y23" s="231" t="e">
        <f t="shared" si="7"/>
        <v>#DIV/0!</v>
      </c>
      <c r="AA23" s="230">
        <f>MAX(0,Water!U26-Water!U25)</f>
        <v>0</v>
      </c>
      <c r="AB23" s="230">
        <f>MAX(0,Water!V26-Water!V25)</f>
        <v>0</v>
      </c>
      <c r="AC23" s="230">
        <f>MAX(0,Water!W26-Water!W25)</f>
        <v>0</v>
      </c>
      <c r="AD23" s="231" t="e">
        <f t="shared" si="8"/>
        <v>#DIV/0!</v>
      </c>
      <c r="AE23" s="231" t="e">
        <f t="shared" si="9"/>
        <v>#DIV/0!</v>
      </c>
      <c r="AG23" s="230">
        <f t="shared" si="13"/>
        <v>0</v>
      </c>
      <c r="AH23" s="230">
        <f t="shared" si="10"/>
        <v>0</v>
      </c>
      <c r="AI23" s="230">
        <f t="shared" si="10"/>
        <v>0</v>
      </c>
      <c r="AJ23" s="231" t="e">
        <f t="shared" si="11"/>
        <v>#DIV/0!</v>
      </c>
      <c r="AK23" s="231" t="e">
        <f t="shared" si="12"/>
        <v>#DIV/0!</v>
      </c>
    </row>
    <row r="24" spans="2:37">
      <c r="B24" s="229">
        <v>45006</v>
      </c>
      <c r="C24" s="230">
        <f>MAX(0,Water!B27-Water!B26)</f>
        <v>0</v>
      </c>
      <c r="D24" s="230">
        <f>MAX(0,Water!C27-Water!C26)</f>
        <v>0</v>
      </c>
      <c r="E24" s="230">
        <f>MAX(0,Water!D27-Water!D26)</f>
        <v>0</v>
      </c>
      <c r="F24" s="231" t="e">
        <f t="shared" si="0"/>
        <v>#DIV/0!</v>
      </c>
      <c r="G24" s="231" t="e">
        <f t="shared" si="1"/>
        <v>#DIV/0!</v>
      </c>
      <c r="I24" s="230">
        <f>MAX(0,Water!G27-Water!G26)</f>
        <v>0</v>
      </c>
      <c r="J24" s="230">
        <f>MAX(0,Water!H27-Water!H26)</f>
        <v>0</v>
      </c>
      <c r="K24" s="230">
        <f>MAX(0,Water!I27-Water!I26)</f>
        <v>0</v>
      </c>
      <c r="L24" s="231" t="e">
        <f t="shared" si="2"/>
        <v>#DIV/0!</v>
      </c>
      <c r="M24" s="231" t="e">
        <f t="shared" si="14"/>
        <v>#DIV/0!</v>
      </c>
      <c r="O24" s="230">
        <f>MAX(0,Water!L27-Water!L26)</f>
        <v>0</v>
      </c>
      <c r="P24" s="230">
        <f>MAX(0,Water!M27-Water!M26)</f>
        <v>0</v>
      </c>
      <c r="Q24" s="230">
        <f>MAX(0,Water!N27-Water!N26)</f>
        <v>0</v>
      </c>
      <c r="R24" s="231" t="e">
        <f t="shared" si="4"/>
        <v>#DIV/0!</v>
      </c>
      <c r="S24" s="231" t="e">
        <f t="shared" si="5"/>
        <v>#DIV/0!</v>
      </c>
      <c r="U24" s="230">
        <f>MAX(0,Water!Q27-Water!Q26)</f>
        <v>0</v>
      </c>
      <c r="V24" s="230">
        <f>MAX(0,Water!R27-Water!R26)</f>
        <v>0</v>
      </c>
      <c r="W24" s="230">
        <f>MAX(0,Water!S27-Water!S26)</f>
        <v>0</v>
      </c>
      <c r="X24" s="231" t="e">
        <f t="shared" si="6"/>
        <v>#DIV/0!</v>
      </c>
      <c r="Y24" s="231" t="e">
        <f t="shared" si="7"/>
        <v>#DIV/0!</v>
      </c>
      <c r="AA24" s="230">
        <f>MAX(0,Water!U27-Water!U26)</f>
        <v>0</v>
      </c>
      <c r="AB24" s="230">
        <f>MAX(0,Water!V27-Water!V26)</f>
        <v>0</v>
      </c>
      <c r="AC24" s="230">
        <f>MAX(0,Water!W27-Water!W26)</f>
        <v>0</v>
      </c>
      <c r="AD24" s="231" t="e">
        <f t="shared" si="8"/>
        <v>#DIV/0!</v>
      </c>
      <c r="AE24" s="231" t="e">
        <f t="shared" si="9"/>
        <v>#DIV/0!</v>
      </c>
      <c r="AG24" s="230">
        <f t="shared" si="13"/>
        <v>0</v>
      </c>
      <c r="AH24" s="230">
        <f t="shared" si="10"/>
        <v>0</v>
      </c>
      <c r="AI24" s="230">
        <f t="shared" si="10"/>
        <v>0</v>
      </c>
      <c r="AJ24" s="231" t="e">
        <f t="shared" si="11"/>
        <v>#DIV/0!</v>
      </c>
      <c r="AK24" s="231" t="e">
        <f t="shared" si="12"/>
        <v>#DIV/0!</v>
      </c>
    </row>
    <row r="25" spans="2:37">
      <c r="B25" s="229">
        <v>45007</v>
      </c>
      <c r="C25" s="230">
        <f>MAX(0,Water!B28-Water!B27)</f>
        <v>0</v>
      </c>
      <c r="D25" s="230">
        <f>MAX(0,Water!C28-Water!C27)</f>
        <v>0</v>
      </c>
      <c r="E25" s="230">
        <f>MAX(0,Water!D28-Water!D27)</f>
        <v>0</v>
      </c>
      <c r="F25" s="231" t="e">
        <f t="shared" si="0"/>
        <v>#DIV/0!</v>
      </c>
      <c r="G25" s="231" t="e">
        <f t="shared" si="1"/>
        <v>#DIV/0!</v>
      </c>
      <c r="I25" s="230">
        <f>MAX(0,Water!G28-Water!G27)</f>
        <v>0</v>
      </c>
      <c r="J25" s="230">
        <f>MAX(0,Water!H28-Water!H27)</f>
        <v>0</v>
      </c>
      <c r="K25" s="230">
        <f>MAX(0,Water!I28-Water!I27)</f>
        <v>0</v>
      </c>
      <c r="L25" s="231" t="e">
        <f t="shared" si="2"/>
        <v>#DIV/0!</v>
      </c>
      <c r="M25" s="231" t="e">
        <f t="shared" si="14"/>
        <v>#DIV/0!</v>
      </c>
      <c r="O25" s="230">
        <f>MAX(0,Water!L28-Water!L27)</f>
        <v>0</v>
      </c>
      <c r="P25" s="230">
        <f>MAX(0,Water!M28-Water!M27)</f>
        <v>0</v>
      </c>
      <c r="Q25" s="230">
        <f>MAX(0,Water!N28-Water!N27)</f>
        <v>0</v>
      </c>
      <c r="R25" s="231" t="e">
        <f t="shared" si="4"/>
        <v>#DIV/0!</v>
      </c>
      <c r="S25" s="231" t="e">
        <f t="shared" si="5"/>
        <v>#DIV/0!</v>
      </c>
      <c r="U25" s="230">
        <f>MAX(0,Water!Q28-Water!Q27)</f>
        <v>0</v>
      </c>
      <c r="V25" s="230">
        <f>MAX(0,Water!R28-Water!R27)</f>
        <v>0</v>
      </c>
      <c r="W25" s="230">
        <f>MAX(0,Water!S28-Water!S27)</f>
        <v>0</v>
      </c>
      <c r="X25" s="231" t="e">
        <f t="shared" si="6"/>
        <v>#DIV/0!</v>
      </c>
      <c r="Y25" s="231" t="e">
        <f t="shared" si="7"/>
        <v>#DIV/0!</v>
      </c>
      <c r="AA25" s="230">
        <f>MAX(0,Water!U28-Water!U27)</f>
        <v>0</v>
      </c>
      <c r="AB25" s="230">
        <f>MAX(0,Water!V28-Water!V27)</f>
        <v>0</v>
      </c>
      <c r="AC25" s="230">
        <f>MAX(0,Water!W28-Water!W27)</f>
        <v>0</v>
      </c>
      <c r="AD25" s="231" t="e">
        <f t="shared" si="8"/>
        <v>#DIV/0!</v>
      </c>
      <c r="AE25" s="231" t="e">
        <f t="shared" si="9"/>
        <v>#DIV/0!</v>
      </c>
      <c r="AG25" s="230">
        <f t="shared" si="13"/>
        <v>0</v>
      </c>
      <c r="AH25" s="230">
        <f t="shared" si="10"/>
        <v>0</v>
      </c>
      <c r="AI25" s="230">
        <f t="shared" si="10"/>
        <v>0</v>
      </c>
      <c r="AJ25" s="231" t="e">
        <f t="shared" si="11"/>
        <v>#DIV/0!</v>
      </c>
      <c r="AK25" s="231" t="e">
        <f t="shared" si="12"/>
        <v>#DIV/0!</v>
      </c>
    </row>
    <row r="26" spans="2:37">
      <c r="B26" s="229">
        <v>45008</v>
      </c>
      <c r="C26" s="230">
        <f>MAX(0,Water!B29-Water!B28)</f>
        <v>0</v>
      </c>
      <c r="D26" s="230">
        <f>MAX(0,Water!C29-Water!C28)</f>
        <v>0</v>
      </c>
      <c r="E26" s="230">
        <f>MAX(0,Water!D29-Water!D28)</f>
        <v>0</v>
      </c>
      <c r="F26" s="231" t="e">
        <f t="shared" si="0"/>
        <v>#DIV/0!</v>
      </c>
      <c r="G26" s="231" t="e">
        <f t="shared" si="1"/>
        <v>#DIV/0!</v>
      </c>
      <c r="I26" s="230">
        <f>MAX(0,Water!G29-Water!G28)</f>
        <v>0</v>
      </c>
      <c r="J26" s="230">
        <f>MAX(0,Water!H29-Water!H28)</f>
        <v>0</v>
      </c>
      <c r="K26" s="230">
        <f>MAX(0,Water!I29-Water!I28)</f>
        <v>0</v>
      </c>
      <c r="L26" s="231" t="e">
        <f t="shared" si="2"/>
        <v>#DIV/0!</v>
      </c>
      <c r="M26" s="231" t="e">
        <f t="shared" si="14"/>
        <v>#DIV/0!</v>
      </c>
      <c r="O26" s="230">
        <f>MAX(0,Water!L29-Water!L28)</f>
        <v>0</v>
      </c>
      <c r="P26" s="230">
        <f>MAX(0,Water!M29-Water!M28)</f>
        <v>0</v>
      </c>
      <c r="Q26" s="230">
        <f>MAX(0,Water!N29-Water!N28)</f>
        <v>0</v>
      </c>
      <c r="R26" s="231" t="e">
        <f t="shared" si="4"/>
        <v>#DIV/0!</v>
      </c>
      <c r="S26" s="231" t="e">
        <f t="shared" si="5"/>
        <v>#DIV/0!</v>
      </c>
      <c r="U26" s="230">
        <f>MAX(0,Water!Q29-Water!Q28)</f>
        <v>0</v>
      </c>
      <c r="V26" s="230">
        <f>MAX(0,Water!R29-Water!R28)</f>
        <v>0</v>
      </c>
      <c r="W26" s="230">
        <f>MAX(0,Water!S29-Water!S28)</f>
        <v>0</v>
      </c>
      <c r="X26" s="231" t="e">
        <f t="shared" si="6"/>
        <v>#DIV/0!</v>
      </c>
      <c r="Y26" s="231" t="e">
        <f t="shared" si="7"/>
        <v>#DIV/0!</v>
      </c>
      <c r="AA26" s="230">
        <f>MAX(0,Water!U29-Water!U28)</f>
        <v>0</v>
      </c>
      <c r="AB26" s="230">
        <f>MAX(0,Water!V29-Water!V28)</f>
        <v>0</v>
      </c>
      <c r="AC26" s="230">
        <f>MAX(0,Water!W29-Water!W28)</f>
        <v>0</v>
      </c>
      <c r="AD26" s="231" t="e">
        <f t="shared" si="8"/>
        <v>#DIV/0!</v>
      </c>
      <c r="AE26" s="231" t="e">
        <f t="shared" si="9"/>
        <v>#DIV/0!</v>
      </c>
      <c r="AG26" s="230">
        <f t="shared" si="13"/>
        <v>0</v>
      </c>
      <c r="AH26" s="230">
        <f t="shared" si="10"/>
        <v>0</v>
      </c>
      <c r="AI26" s="230">
        <f t="shared" si="10"/>
        <v>0</v>
      </c>
      <c r="AJ26" s="231" t="e">
        <f t="shared" si="11"/>
        <v>#DIV/0!</v>
      </c>
      <c r="AK26" s="231" t="e">
        <f t="shared" si="12"/>
        <v>#DIV/0!</v>
      </c>
    </row>
    <row r="27" spans="2:37">
      <c r="B27" s="229">
        <v>45009</v>
      </c>
      <c r="C27" s="230">
        <f>MAX(0,Water!B30-Water!B29)</f>
        <v>0</v>
      </c>
      <c r="D27" s="230">
        <f>MAX(0,Water!C30-Water!C29)</f>
        <v>0</v>
      </c>
      <c r="E27" s="230">
        <f>MAX(0,Water!D30-Water!D29)</f>
        <v>0</v>
      </c>
      <c r="F27" s="231" t="e">
        <f t="shared" si="0"/>
        <v>#DIV/0!</v>
      </c>
      <c r="G27" s="231" t="e">
        <f t="shared" si="1"/>
        <v>#DIV/0!</v>
      </c>
      <c r="I27" s="230">
        <f>MAX(0,Water!G30-Water!G29)</f>
        <v>0</v>
      </c>
      <c r="J27" s="230">
        <f>MAX(0,Water!H30-Water!H29)</f>
        <v>0</v>
      </c>
      <c r="K27" s="230">
        <f>MAX(0,Water!I30-Water!I29)</f>
        <v>0</v>
      </c>
      <c r="L27" s="231" t="e">
        <f t="shared" si="2"/>
        <v>#DIV/0!</v>
      </c>
      <c r="M27" s="231" t="e">
        <f t="shared" si="14"/>
        <v>#DIV/0!</v>
      </c>
      <c r="O27" s="230">
        <f>MAX(0,Water!L30-Water!L29)</f>
        <v>0</v>
      </c>
      <c r="P27" s="230">
        <f>MAX(0,Water!M30-Water!M29)</f>
        <v>0</v>
      </c>
      <c r="Q27" s="230">
        <f>MAX(0,Water!N30-Water!N29)</f>
        <v>0</v>
      </c>
      <c r="R27" s="231" t="e">
        <f t="shared" si="4"/>
        <v>#DIV/0!</v>
      </c>
      <c r="S27" s="231" t="e">
        <f t="shared" si="5"/>
        <v>#DIV/0!</v>
      </c>
      <c r="U27" s="230">
        <f>MAX(0,Water!Q30-Water!Q29)</f>
        <v>0</v>
      </c>
      <c r="V27" s="230">
        <f>MAX(0,Water!R30-Water!R29)</f>
        <v>0</v>
      </c>
      <c r="W27" s="230">
        <f>MAX(0,Water!S30-Water!S29)</f>
        <v>0</v>
      </c>
      <c r="X27" s="231" t="e">
        <f t="shared" si="6"/>
        <v>#DIV/0!</v>
      </c>
      <c r="Y27" s="231" t="e">
        <f t="shared" si="7"/>
        <v>#DIV/0!</v>
      </c>
      <c r="AA27" s="230">
        <f>MAX(0,Water!U30-Water!U29)</f>
        <v>0</v>
      </c>
      <c r="AB27" s="230">
        <f>MAX(0,Water!V30-Water!V29)</f>
        <v>0</v>
      </c>
      <c r="AC27" s="230">
        <f>MAX(0,Water!W30-Water!W29)</f>
        <v>0</v>
      </c>
      <c r="AD27" s="231" t="e">
        <f t="shared" si="8"/>
        <v>#DIV/0!</v>
      </c>
      <c r="AE27" s="231" t="e">
        <f t="shared" si="9"/>
        <v>#DIV/0!</v>
      </c>
      <c r="AG27" s="230">
        <f t="shared" si="13"/>
        <v>0</v>
      </c>
      <c r="AH27" s="230">
        <f t="shared" si="10"/>
        <v>0</v>
      </c>
      <c r="AI27" s="230">
        <f t="shared" si="10"/>
        <v>0</v>
      </c>
      <c r="AJ27" s="231" t="e">
        <f t="shared" si="11"/>
        <v>#DIV/0!</v>
      </c>
      <c r="AK27" s="231" t="e">
        <f t="shared" si="12"/>
        <v>#DIV/0!</v>
      </c>
    </row>
    <row r="28" spans="2:37">
      <c r="B28" s="229">
        <v>45010</v>
      </c>
      <c r="C28" s="230">
        <f>MAX(0,Water!B31-Water!B30)</f>
        <v>0</v>
      </c>
      <c r="D28" s="230">
        <f>MAX(0,Water!C31-Water!C30)</f>
        <v>0</v>
      </c>
      <c r="E28" s="230">
        <f>MAX(0,Water!D31-Water!D30)</f>
        <v>0</v>
      </c>
      <c r="F28" s="231" t="e">
        <f t="shared" si="0"/>
        <v>#DIV/0!</v>
      </c>
      <c r="G28" s="231" t="e">
        <f t="shared" si="1"/>
        <v>#DIV/0!</v>
      </c>
      <c r="I28" s="230">
        <f>MAX(0,Water!G31-Water!G30)</f>
        <v>0</v>
      </c>
      <c r="J28" s="230">
        <f>MAX(0,Water!H31-Water!H30)</f>
        <v>0</v>
      </c>
      <c r="K28" s="230">
        <f>MAX(0,Water!I31-Water!I30)</f>
        <v>0</v>
      </c>
      <c r="L28" s="231" t="e">
        <f t="shared" si="2"/>
        <v>#DIV/0!</v>
      </c>
      <c r="M28" s="231" t="e">
        <f t="shared" si="14"/>
        <v>#DIV/0!</v>
      </c>
      <c r="O28" s="230">
        <f>MAX(0,Water!L31-Water!L30)</f>
        <v>0</v>
      </c>
      <c r="P28" s="230">
        <f>MAX(0,Water!M31-Water!M30)</f>
        <v>0</v>
      </c>
      <c r="Q28" s="230">
        <f>MAX(0,Water!N31-Water!N30)</f>
        <v>0</v>
      </c>
      <c r="R28" s="231" t="e">
        <f t="shared" si="4"/>
        <v>#DIV/0!</v>
      </c>
      <c r="S28" s="231" t="e">
        <f t="shared" si="5"/>
        <v>#DIV/0!</v>
      </c>
      <c r="U28" s="230">
        <f>MAX(0,Water!Q31-Water!Q30)</f>
        <v>0</v>
      </c>
      <c r="V28" s="230">
        <f>MAX(0,Water!R31-Water!R30)</f>
        <v>0</v>
      </c>
      <c r="W28" s="230">
        <f>MAX(0,Water!S31-Water!S30)</f>
        <v>0</v>
      </c>
      <c r="X28" s="231" t="e">
        <f t="shared" si="6"/>
        <v>#DIV/0!</v>
      </c>
      <c r="Y28" s="231" t="e">
        <f t="shared" si="7"/>
        <v>#DIV/0!</v>
      </c>
      <c r="AA28" s="230">
        <f>MAX(0,Water!U31-Water!U30)</f>
        <v>0</v>
      </c>
      <c r="AB28" s="230">
        <f>MAX(0,Water!V31-Water!V30)</f>
        <v>0</v>
      </c>
      <c r="AC28" s="230">
        <f>MAX(0,Water!W31-Water!W30)</f>
        <v>0</v>
      </c>
      <c r="AD28" s="231" t="e">
        <f t="shared" si="8"/>
        <v>#DIV/0!</v>
      </c>
      <c r="AE28" s="231" t="e">
        <f t="shared" si="9"/>
        <v>#DIV/0!</v>
      </c>
      <c r="AG28" s="230">
        <f t="shared" si="13"/>
        <v>0</v>
      </c>
      <c r="AH28" s="230">
        <f t="shared" si="10"/>
        <v>0</v>
      </c>
      <c r="AI28" s="230">
        <f t="shared" si="10"/>
        <v>0</v>
      </c>
      <c r="AJ28" s="231" t="e">
        <f t="shared" si="11"/>
        <v>#DIV/0!</v>
      </c>
      <c r="AK28" s="231" t="e">
        <f t="shared" si="12"/>
        <v>#DIV/0!</v>
      </c>
    </row>
    <row r="29" spans="2:37">
      <c r="B29" s="229">
        <v>45011</v>
      </c>
      <c r="C29" s="230">
        <f>MAX(0,Water!B32-Water!B31)</f>
        <v>0</v>
      </c>
      <c r="D29" s="230">
        <f>MAX(0,Water!C32-Water!C31)</f>
        <v>0</v>
      </c>
      <c r="E29" s="230">
        <f>MAX(0,Water!D32-Water!D31)</f>
        <v>0</v>
      </c>
      <c r="F29" s="231" t="e">
        <f t="shared" si="0"/>
        <v>#DIV/0!</v>
      </c>
      <c r="G29" s="231" t="e">
        <f t="shared" si="1"/>
        <v>#DIV/0!</v>
      </c>
      <c r="I29" s="230">
        <f>MAX(0,Water!G32-Water!G31)</f>
        <v>0</v>
      </c>
      <c r="J29" s="230">
        <f>MAX(0,Water!H32-Water!H31)</f>
        <v>0</v>
      </c>
      <c r="K29" s="230">
        <f>MAX(0,Water!I32-Water!I31)</f>
        <v>0</v>
      </c>
      <c r="L29" s="231" t="e">
        <f t="shared" si="2"/>
        <v>#DIV/0!</v>
      </c>
      <c r="M29" s="231" t="e">
        <f t="shared" si="14"/>
        <v>#DIV/0!</v>
      </c>
      <c r="O29" s="230">
        <f>MAX(0,Water!L32-Water!L31)</f>
        <v>0</v>
      </c>
      <c r="P29" s="230">
        <f>MAX(0,Water!M32-Water!M31)</f>
        <v>0</v>
      </c>
      <c r="Q29" s="230">
        <f>MAX(0,Water!N32-Water!N31)</f>
        <v>0</v>
      </c>
      <c r="R29" s="231" t="e">
        <f t="shared" si="4"/>
        <v>#DIV/0!</v>
      </c>
      <c r="S29" s="231" t="e">
        <f t="shared" si="5"/>
        <v>#DIV/0!</v>
      </c>
      <c r="U29" s="230">
        <f>MAX(0,Water!Q32-Water!Q31)</f>
        <v>0</v>
      </c>
      <c r="V29" s="230">
        <f>MAX(0,Water!R32-Water!R31)</f>
        <v>0</v>
      </c>
      <c r="W29" s="230">
        <f>MAX(0,Water!S32-Water!S31)</f>
        <v>0</v>
      </c>
      <c r="X29" s="231" t="e">
        <f t="shared" si="6"/>
        <v>#DIV/0!</v>
      </c>
      <c r="Y29" s="231" t="e">
        <f t="shared" si="7"/>
        <v>#DIV/0!</v>
      </c>
      <c r="AA29" s="230">
        <f>MAX(0,Water!U32-Water!U31)</f>
        <v>0</v>
      </c>
      <c r="AB29" s="230">
        <f>MAX(0,Water!V32-Water!V31)</f>
        <v>0</v>
      </c>
      <c r="AC29" s="230">
        <f>MAX(0,Water!W32-Water!W31)</f>
        <v>0</v>
      </c>
      <c r="AD29" s="231" t="e">
        <f t="shared" si="8"/>
        <v>#DIV/0!</v>
      </c>
      <c r="AE29" s="231" t="e">
        <f t="shared" si="9"/>
        <v>#DIV/0!</v>
      </c>
      <c r="AG29" s="230">
        <f t="shared" si="13"/>
        <v>0</v>
      </c>
      <c r="AH29" s="230">
        <f t="shared" si="10"/>
        <v>0</v>
      </c>
      <c r="AI29" s="230">
        <f t="shared" si="10"/>
        <v>0</v>
      </c>
      <c r="AJ29" s="231" t="e">
        <f t="shared" si="11"/>
        <v>#DIV/0!</v>
      </c>
      <c r="AK29" s="231" t="e">
        <f t="shared" si="12"/>
        <v>#DIV/0!</v>
      </c>
    </row>
    <row r="30" spans="2:37">
      <c r="B30" s="229">
        <v>45012</v>
      </c>
      <c r="C30" s="230">
        <f>MAX(0,Water!B33-Water!B32)</f>
        <v>0</v>
      </c>
      <c r="D30" s="230">
        <f>MAX(0,Water!C33-Water!C32)</f>
        <v>0</v>
      </c>
      <c r="E30" s="230">
        <f>MAX(0,Water!D33-Water!D32)</f>
        <v>0</v>
      </c>
      <c r="F30" s="231" t="e">
        <f t="shared" si="0"/>
        <v>#DIV/0!</v>
      </c>
      <c r="G30" s="231" t="e">
        <f t="shared" si="1"/>
        <v>#DIV/0!</v>
      </c>
      <c r="I30" s="230">
        <f>MAX(0,Water!G33-Water!G32)</f>
        <v>0</v>
      </c>
      <c r="J30" s="230">
        <f>MAX(0,Water!H33-Water!H32)</f>
        <v>0</v>
      </c>
      <c r="K30" s="230">
        <f>MAX(0,Water!I33-Water!I32)</f>
        <v>0</v>
      </c>
      <c r="L30" s="231" t="e">
        <f t="shared" si="2"/>
        <v>#DIV/0!</v>
      </c>
      <c r="M30" s="231" t="e">
        <f t="shared" si="14"/>
        <v>#DIV/0!</v>
      </c>
      <c r="O30" s="230">
        <f>MAX(0,Water!L33-Water!L32)</f>
        <v>0</v>
      </c>
      <c r="P30" s="230">
        <f>MAX(0,Water!M33-Water!M32)</f>
        <v>0</v>
      </c>
      <c r="Q30" s="230">
        <f>MAX(0,Water!N33-Water!N32)</f>
        <v>0</v>
      </c>
      <c r="R30" s="231" t="e">
        <f t="shared" si="4"/>
        <v>#DIV/0!</v>
      </c>
      <c r="S30" s="231" t="e">
        <f t="shared" si="5"/>
        <v>#DIV/0!</v>
      </c>
      <c r="U30" s="230">
        <f>MAX(0,Water!Q33-Water!Q32)</f>
        <v>0</v>
      </c>
      <c r="V30" s="230">
        <f>MAX(0,Water!R33-Water!R32)</f>
        <v>0</v>
      </c>
      <c r="W30" s="230">
        <f>MAX(0,Water!S33-Water!S32)</f>
        <v>0</v>
      </c>
      <c r="X30" s="231" t="e">
        <f t="shared" si="6"/>
        <v>#DIV/0!</v>
      </c>
      <c r="Y30" s="231" t="e">
        <f t="shared" si="7"/>
        <v>#DIV/0!</v>
      </c>
      <c r="AA30" s="230">
        <f>MAX(0,Water!U33-Water!U32)</f>
        <v>0</v>
      </c>
      <c r="AB30" s="230">
        <f>MAX(0,Water!V33-Water!V32)</f>
        <v>0</v>
      </c>
      <c r="AC30" s="230">
        <f>MAX(0,Water!W33-Water!W32)</f>
        <v>0</v>
      </c>
      <c r="AD30" s="231" t="e">
        <f t="shared" si="8"/>
        <v>#DIV/0!</v>
      </c>
      <c r="AE30" s="231" t="e">
        <f t="shared" si="9"/>
        <v>#DIV/0!</v>
      </c>
      <c r="AG30" s="230">
        <f t="shared" si="13"/>
        <v>0</v>
      </c>
      <c r="AH30" s="230">
        <f t="shared" si="10"/>
        <v>0</v>
      </c>
      <c r="AI30" s="230">
        <f t="shared" si="10"/>
        <v>0</v>
      </c>
      <c r="AJ30" s="231" t="e">
        <f t="shared" si="11"/>
        <v>#DIV/0!</v>
      </c>
      <c r="AK30" s="231" t="e">
        <f t="shared" si="12"/>
        <v>#DIV/0!</v>
      </c>
    </row>
    <row r="31" spans="2:37">
      <c r="B31" s="229">
        <v>45013</v>
      </c>
      <c r="C31" s="230">
        <f>MAX(0,Water!B34-Water!B33)</f>
        <v>0</v>
      </c>
      <c r="D31" s="230">
        <f>MAX(0,Water!C34-Water!C33)</f>
        <v>0</v>
      </c>
      <c r="E31" s="230">
        <f>MAX(0,Water!D34-Water!D33)</f>
        <v>0</v>
      </c>
      <c r="F31" s="231" t="e">
        <f t="shared" si="0"/>
        <v>#DIV/0!</v>
      </c>
      <c r="G31" s="231" t="e">
        <f t="shared" si="1"/>
        <v>#DIV/0!</v>
      </c>
      <c r="I31" s="230">
        <f>MAX(0,Water!G34-Water!G33)</f>
        <v>0</v>
      </c>
      <c r="J31" s="230">
        <f>MAX(0,Water!H34-Water!H33)</f>
        <v>0</v>
      </c>
      <c r="K31" s="230">
        <f>MAX(0,Water!I34-Water!I33)</f>
        <v>0</v>
      </c>
      <c r="L31" s="231" t="e">
        <f t="shared" si="2"/>
        <v>#DIV/0!</v>
      </c>
      <c r="M31" s="231" t="e">
        <f t="shared" si="14"/>
        <v>#DIV/0!</v>
      </c>
      <c r="O31" s="230">
        <f>MAX(0,Water!L34-Water!L33)</f>
        <v>0</v>
      </c>
      <c r="P31" s="230">
        <f>MAX(0,Water!M34-Water!M33)</f>
        <v>0</v>
      </c>
      <c r="Q31" s="230">
        <f>MAX(0,Water!N34-Water!N33)</f>
        <v>0</v>
      </c>
      <c r="R31" s="231" t="e">
        <f t="shared" si="4"/>
        <v>#DIV/0!</v>
      </c>
      <c r="S31" s="231" t="e">
        <f t="shared" si="5"/>
        <v>#DIV/0!</v>
      </c>
      <c r="U31" s="230">
        <f>MAX(0,Water!Q34-Water!Q33)</f>
        <v>0</v>
      </c>
      <c r="V31" s="230">
        <f>MAX(0,Water!R34-Water!R33)</f>
        <v>0</v>
      </c>
      <c r="W31" s="230">
        <f>MAX(0,Water!S34-Water!S33)</f>
        <v>0</v>
      </c>
      <c r="X31" s="231" t="e">
        <f t="shared" si="6"/>
        <v>#DIV/0!</v>
      </c>
      <c r="Y31" s="231" t="e">
        <f t="shared" si="7"/>
        <v>#DIV/0!</v>
      </c>
      <c r="AA31" s="230">
        <f>MAX(0,Water!U34-Water!U33)</f>
        <v>0</v>
      </c>
      <c r="AB31" s="230">
        <f>MAX(0,Water!V34-Water!V33)</f>
        <v>0</v>
      </c>
      <c r="AC31" s="230">
        <f>MAX(0,Water!W34-Water!W33)</f>
        <v>0</v>
      </c>
      <c r="AD31" s="231" t="e">
        <f t="shared" si="8"/>
        <v>#DIV/0!</v>
      </c>
      <c r="AE31" s="231" t="e">
        <f t="shared" si="9"/>
        <v>#DIV/0!</v>
      </c>
      <c r="AG31" s="230">
        <f t="shared" si="13"/>
        <v>0</v>
      </c>
      <c r="AH31" s="230">
        <f t="shared" si="10"/>
        <v>0</v>
      </c>
      <c r="AI31" s="230">
        <f t="shared" si="10"/>
        <v>0</v>
      </c>
      <c r="AJ31" s="231" t="e">
        <f t="shared" si="11"/>
        <v>#DIV/0!</v>
      </c>
      <c r="AK31" s="231" t="e">
        <f t="shared" si="12"/>
        <v>#DIV/0!</v>
      </c>
    </row>
    <row r="32" spans="2:37" s="232" customFormat="1" ht="18.75" customHeight="1">
      <c r="B32" s="229">
        <v>45014</v>
      </c>
      <c r="C32" s="230">
        <f>MAX(0,Water!B35-Water!B34)</f>
        <v>0</v>
      </c>
      <c r="D32" s="230">
        <f>MAX(0,Water!C35-Water!C34)</f>
        <v>0</v>
      </c>
      <c r="E32" s="230">
        <f>MAX(0,Water!D35-Water!D34)</f>
        <v>0</v>
      </c>
      <c r="F32" s="231" t="e">
        <f t="shared" ref="F32:F34" si="15">C32/D32</f>
        <v>#DIV/0!</v>
      </c>
      <c r="G32" s="231" t="e">
        <f t="shared" ref="G32:G34" si="16">E32/C32</f>
        <v>#DIV/0!</v>
      </c>
      <c r="H32" s="223"/>
      <c r="I32" s="230">
        <f>MAX(0,Water!G35-Water!G34)</f>
        <v>0</v>
      </c>
      <c r="J32" s="230">
        <f>MAX(0,Water!H35-Water!H34)</f>
        <v>0</v>
      </c>
      <c r="K32" s="230">
        <f>MAX(0,Water!I35-Water!I34)</f>
        <v>0</v>
      </c>
      <c r="L32" s="231" t="e">
        <f t="shared" ref="L32:L34" si="17">I32/J32</f>
        <v>#DIV/0!</v>
      </c>
      <c r="M32" s="231" t="e">
        <f t="shared" ref="M32:M34" si="18">K32/I32</f>
        <v>#DIV/0!</v>
      </c>
      <c r="N32" s="223"/>
      <c r="O32" s="230">
        <f>MAX(0,Water!L35-Water!L34)</f>
        <v>0</v>
      </c>
      <c r="P32" s="230">
        <f>MAX(0,Water!M35-Water!M34)</f>
        <v>0</v>
      </c>
      <c r="Q32" s="230">
        <f>MAX(0,Water!N35-Water!N34)</f>
        <v>0</v>
      </c>
      <c r="R32" s="231" t="e">
        <f t="shared" ref="R32:R34" si="19">O32/P32</f>
        <v>#DIV/0!</v>
      </c>
      <c r="S32" s="231" t="e">
        <f t="shared" ref="S32:S34" si="20">Q32/O32</f>
        <v>#DIV/0!</v>
      </c>
      <c r="T32" s="223"/>
      <c r="U32" s="230">
        <f>MAX(0,Water!Q35-Water!Q34)</f>
        <v>0</v>
      </c>
      <c r="V32" s="230">
        <f>MAX(0,Water!R35-Water!R34)</f>
        <v>0</v>
      </c>
      <c r="W32" s="230">
        <f>MAX(0,Water!S35-Water!S34)</f>
        <v>0</v>
      </c>
      <c r="X32" s="231" t="e">
        <f t="shared" ref="X32:X34" si="21">U32/V32</f>
        <v>#DIV/0!</v>
      </c>
      <c r="Y32" s="231" t="e">
        <f t="shared" ref="Y32:Y34" si="22">W32/U32</f>
        <v>#DIV/0!</v>
      </c>
      <c r="Z32" s="223"/>
      <c r="AA32" s="230">
        <f>MAX(0,Water!U35-Water!U34)</f>
        <v>0</v>
      </c>
      <c r="AB32" s="230">
        <f>MAX(0,Water!V35-Water!V34)</f>
        <v>0</v>
      </c>
      <c r="AC32" s="230">
        <f>MAX(0,Water!W35-Water!W34)</f>
        <v>0</v>
      </c>
      <c r="AD32" s="231" t="e">
        <f t="shared" ref="AD32:AD34" si="23">AA32/AB32</f>
        <v>#DIV/0!</v>
      </c>
      <c r="AE32" s="231" t="e">
        <f t="shared" ref="AE32:AE34" si="24">AC32/AA32</f>
        <v>#DIV/0!</v>
      </c>
      <c r="AF32" s="223"/>
      <c r="AG32" s="230">
        <f t="shared" ref="AG32:AG34" si="25">C32+I32+O32+U32</f>
        <v>0</v>
      </c>
      <c r="AH32" s="230">
        <f t="shared" ref="AH32:AH34" si="26">D32+J32+P32+V32</f>
        <v>0</v>
      </c>
      <c r="AI32" s="230">
        <f t="shared" ref="AI32:AI34" si="27">E32+K32+Q32+W32</f>
        <v>0</v>
      </c>
      <c r="AJ32" s="231" t="e">
        <f t="shared" ref="AJ32:AJ34" si="28">AG32/AH32</f>
        <v>#DIV/0!</v>
      </c>
      <c r="AK32" s="231" t="e">
        <f t="shared" ref="AK32:AK34" si="29">AI32/AG32</f>
        <v>#DIV/0!</v>
      </c>
    </row>
    <row r="33" spans="2:37">
      <c r="B33" s="229">
        <v>45015</v>
      </c>
      <c r="C33" s="230">
        <f>MAX(0,Water!B36-Water!B35)</f>
        <v>0</v>
      </c>
      <c r="D33" s="230">
        <f>MAX(0,Water!C36-Water!C35)</f>
        <v>0</v>
      </c>
      <c r="E33" s="230">
        <f>MAX(0,Water!D36-Water!D35)</f>
        <v>0</v>
      </c>
      <c r="F33" s="231" t="e">
        <f t="shared" si="15"/>
        <v>#DIV/0!</v>
      </c>
      <c r="G33" s="231" t="e">
        <f t="shared" si="16"/>
        <v>#DIV/0!</v>
      </c>
      <c r="I33" s="230">
        <f>MAX(0,Water!G36-Water!G35)</f>
        <v>0</v>
      </c>
      <c r="J33" s="230">
        <f>MAX(0,Water!H36-Water!H35)</f>
        <v>0</v>
      </c>
      <c r="K33" s="230">
        <f>MAX(0,Water!I36-Water!I35)</f>
        <v>0</v>
      </c>
      <c r="L33" s="231" t="e">
        <f t="shared" si="17"/>
        <v>#DIV/0!</v>
      </c>
      <c r="M33" s="231" t="e">
        <f t="shared" si="18"/>
        <v>#DIV/0!</v>
      </c>
      <c r="O33" s="230">
        <f>MAX(0,Water!L36-Water!L35)</f>
        <v>0</v>
      </c>
      <c r="P33" s="230">
        <f>MAX(0,Water!M36-Water!M35)</f>
        <v>0</v>
      </c>
      <c r="Q33" s="230">
        <f>MAX(0,Water!N36-Water!N35)</f>
        <v>0</v>
      </c>
      <c r="R33" s="231" t="e">
        <f t="shared" si="19"/>
        <v>#DIV/0!</v>
      </c>
      <c r="S33" s="231" t="e">
        <f t="shared" si="20"/>
        <v>#DIV/0!</v>
      </c>
      <c r="U33" s="230">
        <f>MAX(0,Water!Q36-Water!Q35)</f>
        <v>0</v>
      </c>
      <c r="V33" s="230">
        <f>MAX(0,Water!R36-Water!R35)</f>
        <v>0</v>
      </c>
      <c r="W33" s="230">
        <f>MAX(0,Water!S36-Water!S35)</f>
        <v>0</v>
      </c>
      <c r="X33" s="231" t="e">
        <f t="shared" si="21"/>
        <v>#DIV/0!</v>
      </c>
      <c r="Y33" s="231" t="e">
        <f t="shared" si="22"/>
        <v>#DIV/0!</v>
      </c>
      <c r="AA33" s="230">
        <f>MAX(0,Water!U36-Water!U35)</f>
        <v>0</v>
      </c>
      <c r="AB33" s="230">
        <f>MAX(0,Water!V36-Water!V35)</f>
        <v>0</v>
      </c>
      <c r="AC33" s="230">
        <f>MAX(0,Water!W36-Water!W35)</f>
        <v>0</v>
      </c>
      <c r="AD33" s="231" t="e">
        <f t="shared" si="23"/>
        <v>#DIV/0!</v>
      </c>
      <c r="AE33" s="231" t="e">
        <f t="shared" si="24"/>
        <v>#DIV/0!</v>
      </c>
      <c r="AG33" s="230">
        <f t="shared" si="25"/>
        <v>0</v>
      </c>
      <c r="AH33" s="230">
        <f t="shared" si="26"/>
        <v>0</v>
      </c>
      <c r="AI33" s="230">
        <f t="shared" si="27"/>
        <v>0</v>
      </c>
      <c r="AJ33" s="231" t="e">
        <f t="shared" si="28"/>
        <v>#DIV/0!</v>
      </c>
      <c r="AK33" s="231" t="e">
        <f t="shared" si="29"/>
        <v>#DIV/0!</v>
      </c>
    </row>
    <row r="34" spans="2:37">
      <c r="B34" s="229">
        <v>45016</v>
      </c>
      <c r="C34" s="230">
        <f>MAX(0,Water!B37-Water!B36)</f>
        <v>0</v>
      </c>
      <c r="D34" s="230">
        <f>MAX(0,Water!C37-Water!C36)</f>
        <v>0</v>
      </c>
      <c r="E34" s="230">
        <f>MAX(0,Water!D37-Water!D36)</f>
        <v>0</v>
      </c>
      <c r="F34" s="231" t="e">
        <f t="shared" si="15"/>
        <v>#DIV/0!</v>
      </c>
      <c r="G34" s="231" t="e">
        <f t="shared" si="16"/>
        <v>#DIV/0!</v>
      </c>
      <c r="I34" s="230">
        <f>MAX(0,Water!G37-Water!G36)</f>
        <v>0</v>
      </c>
      <c r="J34" s="230">
        <f>MAX(0,Water!H37-Water!H36)</f>
        <v>0</v>
      </c>
      <c r="K34" s="230">
        <f>MAX(0,Water!I37-Water!I36)</f>
        <v>0</v>
      </c>
      <c r="L34" s="231" t="e">
        <f t="shared" si="17"/>
        <v>#DIV/0!</v>
      </c>
      <c r="M34" s="231" t="e">
        <f t="shared" si="18"/>
        <v>#DIV/0!</v>
      </c>
      <c r="O34" s="230">
        <f>MAX(0,Water!L37-Water!L36)</f>
        <v>0</v>
      </c>
      <c r="P34" s="230">
        <f>MAX(0,Water!M37-Water!M36)</f>
        <v>0</v>
      </c>
      <c r="Q34" s="230">
        <f>MAX(0,Water!N37-Water!N36)</f>
        <v>0</v>
      </c>
      <c r="R34" s="231" t="e">
        <f t="shared" si="19"/>
        <v>#DIV/0!</v>
      </c>
      <c r="S34" s="231" t="e">
        <f t="shared" si="20"/>
        <v>#DIV/0!</v>
      </c>
      <c r="U34" s="230">
        <f>MAX(0,Water!Q37-Water!Q36)</f>
        <v>0</v>
      </c>
      <c r="V34" s="230">
        <f>MAX(0,Water!R37-Water!R36)</f>
        <v>0</v>
      </c>
      <c r="W34" s="230">
        <f>MAX(0,Water!S37-Water!S36)</f>
        <v>0</v>
      </c>
      <c r="X34" s="231" t="e">
        <f t="shared" si="21"/>
        <v>#DIV/0!</v>
      </c>
      <c r="Y34" s="231" t="e">
        <f t="shared" si="22"/>
        <v>#DIV/0!</v>
      </c>
      <c r="AA34" s="230">
        <f>MAX(0,Water!U37-Water!U36)</f>
        <v>0</v>
      </c>
      <c r="AB34" s="230">
        <f>MAX(0,Water!V37-Water!V36)</f>
        <v>0</v>
      </c>
      <c r="AC34" s="230">
        <f>MAX(0,Water!W37-Water!W36)</f>
        <v>0</v>
      </c>
      <c r="AD34" s="231" t="e">
        <f t="shared" si="23"/>
        <v>#DIV/0!</v>
      </c>
      <c r="AE34" s="231" t="e">
        <f t="shared" si="24"/>
        <v>#DIV/0!</v>
      </c>
      <c r="AG34" s="230">
        <f t="shared" si="25"/>
        <v>0</v>
      </c>
      <c r="AH34" s="230">
        <f t="shared" si="26"/>
        <v>0</v>
      </c>
      <c r="AI34" s="230">
        <f t="shared" si="27"/>
        <v>0</v>
      </c>
      <c r="AJ34" s="231" t="e">
        <f t="shared" si="28"/>
        <v>#DIV/0!</v>
      </c>
      <c r="AK34" s="231" t="e">
        <f t="shared" si="29"/>
        <v>#DIV/0!</v>
      </c>
    </row>
  </sheetData>
  <mergeCells count="8">
    <mergeCell ref="B1:AK1"/>
    <mergeCell ref="B2:B3"/>
    <mergeCell ref="C2:G2"/>
    <mergeCell ref="I2:M2"/>
    <mergeCell ref="O2:S2"/>
    <mergeCell ref="U2:Y2"/>
    <mergeCell ref="AA2:AE2"/>
    <mergeCell ref="AG2:AK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Sudhakar Appa</dc:creator>
  <cp:keywords/>
  <dc:description/>
  <cp:lastModifiedBy>Faisal Ibrahim</cp:lastModifiedBy>
  <cp:revision/>
  <dcterms:created xsi:type="dcterms:W3CDTF">2018-12-01T06:13:40Z</dcterms:created>
  <dcterms:modified xsi:type="dcterms:W3CDTF">2023-03-09T03:43:45Z</dcterms:modified>
  <cp:category/>
  <cp:contentStatus/>
</cp:coreProperties>
</file>