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Cairo at Nile Plaza\2019\"/>
    </mc:Choice>
  </mc:AlternateContent>
  <bookViews>
    <workbookView xWindow="0" yWindow="0" windowWidth="28800" windowHeight="12435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ment" sheetId="6" r:id="rId8"/>
    <sheet name="Plaza and Residential" sheetId="7" r:id="rId9"/>
  </sheets>
  <definedNames>
    <definedName name="_xlnm.Print_Area" localSheetId="5">Gas!$A$1:$C$35</definedName>
  </definedNames>
  <calcPr calcId="152511"/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2" i="9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2" i="8"/>
  <c r="AD32" i="8"/>
  <c r="AE32" i="8"/>
  <c r="Y32" i="8"/>
  <c r="AE31" i="8"/>
  <c r="AD31" i="8"/>
  <c r="Y31" i="8"/>
  <c r="AD30" i="8"/>
  <c r="AE30" i="8"/>
  <c r="Y30" i="8"/>
  <c r="AE29" i="8"/>
  <c r="AD29" i="8"/>
  <c r="AD28" i="8"/>
  <c r="AE28" i="8"/>
  <c r="Y28" i="8"/>
  <c r="AE27" i="8"/>
  <c r="AD27" i="8"/>
  <c r="Y27" i="8"/>
  <c r="AD26" i="8"/>
  <c r="AE26" i="8"/>
  <c r="Y26" i="8"/>
  <c r="AE25" i="8"/>
  <c r="AD25" i="8"/>
  <c r="Y25" i="8"/>
  <c r="AD24" i="8"/>
  <c r="AE24" i="8"/>
  <c r="Y24" i="8"/>
  <c r="AE23" i="8"/>
  <c r="AD23" i="8"/>
  <c r="Y23" i="8"/>
  <c r="AD22" i="8"/>
  <c r="AE22" i="8"/>
  <c r="Y22" i="8"/>
  <c r="AE21" i="8"/>
  <c r="AD21" i="8"/>
  <c r="Y21" i="8"/>
  <c r="AD20" i="8"/>
  <c r="AE20" i="8"/>
  <c r="Y20" i="8"/>
  <c r="AE19" i="8"/>
  <c r="AD19" i="8"/>
  <c r="Y19" i="8"/>
  <c r="AD18" i="8"/>
  <c r="AE18" i="8"/>
  <c r="Y18" i="8"/>
  <c r="AE17" i="8"/>
  <c r="AD17" i="8"/>
  <c r="Y17" i="8"/>
  <c r="AD16" i="8"/>
  <c r="AE16" i="8"/>
  <c r="Y16" i="8"/>
  <c r="AE15" i="8"/>
  <c r="AD15" i="8"/>
  <c r="Y15" i="8"/>
  <c r="AD14" i="8"/>
  <c r="AE14" i="8"/>
  <c r="Y14" i="8"/>
  <c r="AE13" i="8"/>
  <c r="AD13" i="8"/>
  <c r="Y13" i="8"/>
  <c r="AD12" i="8"/>
  <c r="AE12" i="8"/>
  <c r="Y12" i="8"/>
  <c r="AE11" i="8"/>
  <c r="AD11" i="8"/>
  <c r="Y11" i="8"/>
  <c r="AD10" i="8"/>
  <c r="AE10" i="8"/>
  <c r="Y10" i="8"/>
  <c r="AE9" i="8"/>
  <c r="AD9" i="8"/>
  <c r="Y9" i="8"/>
  <c r="AD8" i="8"/>
  <c r="AE8" i="8"/>
  <c r="Y8" i="8"/>
  <c r="AE7" i="8"/>
  <c r="AD7" i="8"/>
  <c r="Y7" i="8"/>
  <c r="AD6" i="8"/>
  <c r="AE6" i="8"/>
  <c r="Y6" i="8"/>
  <c r="AE5" i="8"/>
  <c r="AD5" i="8"/>
  <c r="Y5" i="8"/>
  <c r="AD4" i="8"/>
  <c r="AE4" i="8"/>
  <c r="Y4" i="8"/>
  <c r="AE3" i="8"/>
  <c r="AD3" i="8"/>
  <c r="Y3" i="8"/>
  <c r="AD2" i="8"/>
  <c r="AE2" i="8"/>
  <c r="Y2" i="8"/>
  <c r="S32" i="2"/>
  <c r="G4" i="7"/>
  <c r="N4" i="7"/>
  <c r="G5" i="7"/>
  <c r="N5" i="7"/>
  <c r="G6" i="7"/>
  <c r="N6" i="7"/>
  <c r="G7" i="7"/>
  <c r="N7" i="7"/>
  <c r="G8" i="7"/>
  <c r="N8" i="7"/>
  <c r="G9" i="7"/>
  <c r="N9" i="7"/>
  <c r="G10" i="7"/>
  <c r="N10" i="7"/>
  <c r="G11" i="7"/>
  <c r="N11" i="7"/>
  <c r="G12" i="7"/>
  <c r="N12" i="7"/>
  <c r="G13" i="7"/>
  <c r="N13" i="7"/>
  <c r="G14" i="7"/>
  <c r="N14" i="7"/>
  <c r="G15" i="7"/>
  <c r="N15" i="7"/>
  <c r="G16" i="7"/>
  <c r="N16" i="7"/>
  <c r="G17" i="7"/>
  <c r="N17" i="7"/>
  <c r="G18" i="7"/>
  <c r="N18" i="7"/>
  <c r="G19" i="7"/>
  <c r="N19" i="7"/>
  <c r="G20" i="7"/>
  <c r="N20" i="7"/>
  <c r="G21" i="7"/>
  <c r="N21" i="7"/>
  <c r="G22" i="7"/>
  <c r="N22" i="7"/>
  <c r="G23" i="7"/>
  <c r="N23" i="7"/>
  <c r="G24" i="7"/>
  <c r="N24" i="7"/>
  <c r="G25" i="7"/>
  <c r="N25" i="7"/>
  <c r="G26" i="7"/>
  <c r="N26" i="7"/>
  <c r="G27" i="7"/>
  <c r="N27" i="7"/>
  <c r="G28" i="7"/>
  <c r="N28" i="7"/>
  <c r="G29" i="7"/>
  <c r="N29" i="7"/>
  <c r="G30" i="7"/>
  <c r="N30" i="7"/>
  <c r="G31" i="7"/>
  <c r="N31" i="7"/>
  <c r="G32" i="7"/>
  <c r="N32" i="7"/>
  <c r="G33" i="7"/>
  <c r="N33" i="7"/>
  <c r="G34" i="7"/>
  <c r="N34" i="7"/>
  <c r="G35" i="7"/>
  <c r="N35" i="7"/>
  <c r="G36" i="7"/>
  <c r="N36" i="7"/>
  <c r="G37" i="7"/>
  <c r="N37" i="7"/>
  <c r="G38" i="7"/>
  <c r="N38" i="7"/>
  <c r="G39" i="7"/>
  <c r="N39" i="7"/>
  <c r="G40" i="7"/>
  <c r="N40" i="7"/>
  <c r="G41" i="7"/>
  <c r="N41" i="7"/>
  <c r="G42" i="7"/>
  <c r="N42" i="7"/>
  <c r="G43" i="7"/>
  <c r="N43" i="7"/>
  <c r="G44" i="7"/>
  <c r="N44" i="7"/>
  <c r="G45" i="7"/>
  <c r="N45" i="7"/>
  <c r="G47" i="7"/>
  <c r="N47" i="7"/>
  <c r="G48" i="7"/>
  <c r="N48" i="7"/>
  <c r="G49" i="7"/>
  <c r="N49" i="7"/>
  <c r="G50" i="7"/>
  <c r="N50" i="7"/>
  <c r="G51" i="7"/>
  <c r="N51" i="7"/>
  <c r="G52" i="7"/>
  <c r="N52" i="7"/>
  <c r="G54" i="7"/>
  <c r="N54" i="7"/>
  <c r="G55" i="7"/>
  <c r="N55" i="7"/>
  <c r="G56" i="7"/>
  <c r="N56" i="7"/>
  <c r="G57" i="7"/>
  <c r="N57" i="7"/>
  <c r="G58" i="7"/>
  <c r="N58" i="7"/>
  <c r="G59" i="7"/>
  <c r="N59" i="7"/>
  <c r="G60" i="7"/>
  <c r="N60" i="7"/>
  <c r="G61" i="7"/>
  <c r="N61" i="7"/>
  <c r="G62" i="7"/>
  <c r="N62" i="7"/>
  <c r="G66" i="7"/>
  <c r="N66" i="7"/>
  <c r="M73" i="7"/>
  <c r="N73" i="7"/>
  <c r="O73" i="7"/>
  <c r="M74" i="7"/>
  <c r="N74" i="7"/>
  <c r="O74" i="7"/>
  <c r="M75" i="7"/>
  <c r="N75" i="7"/>
  <c r="O75" i="7"/>
  <c r="M76" i="7"/>
  <c r="N76" i="7"/>
  <c r="O76" i="7"/>
  <c r="M77" i="7"/>
  <c r="N77" i="7"/>
  <c r="O77" i="7"/>
  <c r="M78" i="7"/>
  <c r="N78" i="7"/>
  <c r="O78" i="7"/>
  <c r="M79" i="7"/>
  <c r="N79" i="7"/>
  <c r="O79" i="7"/>
  <c r="M80" i="7"/>
  <c r="N80" i="7"/>
  <c r="O80" i="7"/>
  <c r="M81" i="7"/>
  <c r="N81" i="7"/>
  <c r="O81" i="7"/>
  <c r="M82" i="7"/>
  <c r="N82" i="7"/>
  <c r="O82" i="7"/>
  <c r="M83" i="7"/>
  <c r="N83" i="7"/>
  <c r="O83" i="7"/>
  <c r="M84" i="7"/>
  <c r="N84" i="7"/>
  <c r="O84" i="7"/>
  <c r="M85" i="7"/>
  <c r="N85" i="7"/>
  <c r="O85" i="7"/>
  <c r="M86" i="7"/>
  <c r="N86" i="7"/>
  <c r="O86" i="7"/>
  <c r="M87" i="7"/>
  <c r="N87" i="7"/>
  <c r="O87" i="7"/>
  <c r="M88" i="7"/>
  <c r="N88" i="7"/>
  <c r="O88" i="7"/>
  <c r="M89" i="7"/>
  <c r="N89" i="7"/>
  <c r="O89" i="7"/>
  <c r="M90" i="7"/>
  <c r="N90" i="7"/>
  <c r="O90" i="7"/>
  <c r="M91" i="7"/>
  <c r="N91" i="7"/>
  <c r="O91" i="7"/>
  <c r="M92" i="7"/>
  <c r="N92" i="7"/>
  <c r="O92" i="7"/>
  <c r="M93" i="7"/>
  <c r="N93" i="7"/>
  <c r="O93" i="7"/>
  <c r="M94" i="7"/>
  <c r="N94" i="7"/>
  <c r="O94" i="7"/>
  <c r="M95" i="7"/>
  <c r="N95" i="7"/>
  <c r="M96" i="7"/>
  <c r="I3" i="6"/>
  <c r="J3" i="6"/>
  <c r="K3" i="6"/>
  <c r="I4" i="6"/>
  <c r="J4" i="6"/>
  <c r="K4" i="6"/>
  <c r="I6" i="6"/>
  <c r="J6" i="6"/>
  <c r="K6" i="6"/>
  <c r="I7" i="6"/>
  <c r="J7" i="6"/>
  <c r="K7" i="6"/>
  <c r="I8" i="6"/>
  <c r="J8" i="6"/>
  <c r="K8" i="6"/>
  <c r="C9" i="6"/>
  <c r="D9" i="6"/>
  <c r="I9" i="6"/>
  <c r="J9" i="6"/>
  <c r="K9" i="6"/>
  <c r="I10" i="6"/>
  <c r="J10" i="6"/>
  <c r="K10" i="6"/>
  <c r="K11" i="6"/>
  <c r="I12" i="6"/>
  <c r="J12" i="6"/>
  <c r="K12" i="6"/>
  <c r="D17" i="6"/>
  <c r="I17" i="6"/>
  <c r="J17" i="6"/>
  <c r="K17" i="6"/>
  <c r="D18" i="6"/>
  <c r="I18" i="6"/>
  <c r="J18" i="6"/>
  <c r="K18" i="6"/>
  <c r="D19" i="6"/>
  <c r="I19" i="6"/>
  <c r="J19" i="6"/>
  <c r="K19" i="6"/>
  <c r="C11" i="6"/>
  <c r="D11" i="6"/>
  <c r="D20" i="6"/>
  <c r="I20" i="6"/>
  <c r="J20" i="6"/>
  <c r="K20" i="6"/>
  <c r="D21" i="6"/>
  <c r="I21" i="6"/>
  <c r="J21" i="6"/>
  <c r="K21" i="6"/>
  <c r="I22" i="6"/>
  <c r="J22" i="6"/>
  <c r="K22" i="6"/>
  <c r="I23" i="6"/>
  <c r="J23" i="6"/>
  <c r="K23" i="6"/>
  <c r="I24" i="6"/>
  <c r="J24" i="6"/>
  <c r="K24" i="6"/>
  <c r="I25" i="6"/>
  <c r="J25" i="6"/>
  <c r="K25" i="6"/>
  <c r="K26" i="6"/>
  <c r="I29" i="6"/>
  <c r="J29" i="6"/>
  <c r="K29" i="6"/>
  <c r="C14" i="6"/>
  <c r="I30" i="6"/>
  <c r="J30" i="6"/>
  <c r="K30" i="6"/>
  <c r="C15" i="6"/>
  <c r="D15" i="6"/>
  <c r="I31" i="6"/>
  <c r="J31" i="6"/>
  <c r="K31" i="6"/>
  <c r="I32" i="6"/>
  <c r="J32" i="6"/>
  <c r="K32" i="6"/>
  <c r="I35" i="6"/>
  <c r="J35" i="6"/>
  <c r="K35" i="6"/>
  <c r="C26" i="6"/>
  <c r="D2" i="1"/>
  <c r="G2" i="1"/>
  <c r="J2" i="1"/>
  <c r="M2" i="1"/>
  <c r="P2" i="1"/>
  <c r="T2" i="1"/>
  <c r="C3" i="1"/>
  <c r="D3" i="1"/>
  <c r="F3" i="1"/>
  <c r="I3" i="1"/>
  <c r="J3" i="1"/>
  <c r="L3" i="1"/>
  <c r="M3" i="1"/>
  <c r="O3" i="1"/>
  <c r="R3" i="1"/>
  <c r="C4" i="1"/>
  <c r="F4" i="1"/>
  <c r="G4" i="1"/>
  <c r="I4" i="1"/>
  <c r="J4" i="1"/>
  <c r="L4" i="1"/>
  <c r="M4" i="1"/>
  <c r="O4" i="1"/>
  <c r="P4" i="1"/>
  <c r="R4" i="1"/>
  <c r="S4" i="1"/>
  <c r="C5" i="1"/>
  <c r="D5" i="1"/>
  <c r="F5" i="1"/>
  <c r="G5" i="1"/>
  <c r="I5" i="1"/>
  <c r="J5" i="1"/>
  <c r="L5" i="1"/>
  <c r="M5" i="1"/>
  <c r="O5" i="1"/>
  <c r="P5" i="1"/>
  <c r="R5" i="1"/>
  <c r="S5" i="1"/>
  <c r="T5" i="1"/>
  <c r="U5" i="1"/>
  <c r="C6" i="1"/>
  <c r="D6" i="1"/>
  <c r="F6" i="1"/>
  <c r="I6" i="1"/>
  <c r="J6" i="1"/>
  <c r="L6" i="1"/>
  <c r="M6" i="1"/>
  <c r="O6" i="1"/>
  <c r="P6" i="1"/>
  <c r="R6" i="1"/>
  <c r="S6" i="1"/>
  <c r="C7" i="1"/>
  <c r="D7" i="1"/>
  <c r="F7" i="1"/>
  <c r="S6" i="8"/>
  <c r="G7" i="1"/>
  <c r="I7" i="1"/>
  <c r="J7" i="1"/>
  <c r="L7" i="1"/>
  <c r="T7" i="1"/>
  <c r="U7" i="1"/>
  <c r="M7" i="1"/>
  <c r="O7" i="1"/>
  <c r="P7" i="1"/>
  <c r="R7" i="1"/>
  <c r="S7" i="1"/>
  <c r="C8" i="1"/>
  <c r="F8" i="1"/>
  <c r="G8" i="1"/>
  <c r="I8" i="1"/>
  <c r="J8" i="1"/>
  <c r="L8" i="1"/>
  <c r="M8" i="1"/>
  <c r="O8" i="1"/>
  <c r="P8" i="1"/>
  <c r="R8" i="1"/>
  <c r="S8" i="1"/>
  <c r="C9" i="1"/>
  <c r="D9" i="1"/>
  <c r="F9" i="1"/>
  <c r="G9" i="1"/>
  <c r="I9" i="1"/>
  <c r="J9" i="1"/>
  <c r="L9" i="1"/>
  <c r="T9" i="1"/>
  <c r="U9" i="1"/>
  <c r="M9" i="1"/>
  <c r="O9" i="1"/>
  <c r="P9" i="1"/>
  <c r="R9" i="1"/>
  <c r="S9" i="1"/>
  <c r="C10" i="1"/>
  <c r="D10" i="1"/>
  <c r="F10" i="1"/>
  <c r="I10" i="1"/>
  <c r="J10" i="1"/>
  <c r="L10" i="1"/>
  <c r="M10" i="1"/>
  <c r="O10" i="1"/>
  <c r="P10" i="1"/>
  <c r="R10" i="1"/>
  <c r="S10" i="1"/>
  <c r="C11" i="1"/>
  <c r="D11" i="1"/>
  <c r="F11" i="1"/>
  <c r="S10" i="8"/>
  <c r="G11" i="1"/>
  <c r="I11" i="1"/>
  <c r="J11" i="1"/>
  <c r="L11" i="1"/>
  <c r="T11" i="1"/>
  <c r="U11" i="1"/>
  <c r="M11" i="1"/>
  <c r="O11" i="1"/>
  <c r="P11" i="1"/>
  <c r="R11" i="1"/>
  <c r="S11" i="1"/>
  <c r="C12" i="1"/>
  <c r="F12" i="1"/>
  <c r="G12" i="1"/>
  <c r="I12" i="1"/>
  <c r="J12" i="1"/>
  <c r="L12" i="1"/>
  <c r="M12" i="1"/>
  <c r="O12" i="1"/>
  <c r="P12" i="1"/>
  <c r="R12" i="1"/>
  <c r="S12" i="1"/>
  <c r="C13" i="1"/>
  <c r="D13" i="1"/>
  <c r="F13" i="1"/>
  <c r="G13" i="1"/>
  <c r="I13" i="1"/>
  <c r="J13" i="1"/>
  <c r="L13" i="1"/>
  <c r="M13" i="1"/>
  <c r="O13" i="1"/>
  <c r="U12" i="8"/>
  <c r="R13" i="1"/>
  <c r="S13" i="1"/>
  <c r="C14" i="1"/>
  <c r="D14" i="1"/>
  <c r="F14" i="1"/>
  <c r="S13" i="8"/>
  <c r="G14" i="1"/>
  <c r="I14" i="1"/>
  <c r="J14" i="1"/>
  <c r="L14" i="1"/>
  <c r="M14" i="1"/>
  <c r="O14" i="1"/>
  <c r="U13" i="8"/>
  <c r="R14" i="1"/>
  <c r="S14" i="1"/>
  <c r="C15" i="1"/>
  <c r="F15" i="1"/>
  <c r="S14" i="8"/>
  <c r="I15" i="1"/>
  <c r="J15" i="1"/>
  <c r="T14" i="8"/>
  <c r="L15" i="1"/>
  <c r="O15" i="1"/>
  <c r="R15" i="1"/>
  <c r="W14" i="8"/>
  <c r="C16" i="1"/>
  <c r="R15" i="8"/>
  <c r="F16" i="1"/>
  <c r="G16" i="1"/>
  <c r="I16" i="1"/>
  <c r="L16" i="1"/>
  <c r="O16" i="1"/>
  <c r="P16" i="1"/>
  <c r="R16" i="1"/>
  <c r="S16" i="1"/>
  <c r="C17" i="1"/>
  <c r="F17" i="1"/>
  <c r="G17" i="1"/>
  <c r="I17" i="1"/>
  <c r="L17" i="1"/>
  <c r="O17" i="1"/>
  <c r="U16" i="8"/>
  <c r="P17" i="1"/>
  <c r="R17" i="1"/>
  <c r="S17" i="1"/>
  <c r="C18" i="1"/>
  <c r="R17" i="8"/>
  <c r="D18" i="1"/>
  <c r="F18" i="1"/>
  <c r="I18" i="1"/>
  <c r="J18" i="1"/>
  <c r="L18" i="1"/>
  <c r="M18" i="1"/>
  <c r="O18" i="1"/>
  <c r="P18" i="1"/>
  <c r="R18" i="1"/>
  <c r="S18" i="1"/>
  <c r="C19" i="1"/>
  <c r="R18" i="8"/>
  <c r="D19" i="1"/>
  <c r="F19" i="1"/>
  <c r="G19" i="1"/>
  <c r="I19" i="1"/>
  <c r="J19" i="1"/>
  <c r="L19" i="1"/>
  <c r="O19" i="1"/>
  <c r="U18" i="8"/>
  <c r="R19" i="1"/>
  <c r="S19" i="1"/>
  <c r="C20" i="1"/>
  <c r="F20" i="1"/>
  <c r="G20" i="1"/>
  <c r="I20" i="1"/>
  <c r="T19" i="8"/>
  <c r="L20" i="1"/>
  <c r="M20" i="1"/>
  <c r="O20" i="1"/>
  <c r="R20" i="1"/>
  <c r="S20" i="1"/>
  <c r="C21" i="1"/>
  <c r="F21" i="1"/>
  <c r="G21" i="1"/>
  <c r="I21" i="1"/>
  <c r="J21" i="1"/>
  <c r="L21" i="1"/>
  <c r="V20" i="8"/>
  <c r="O21" i="1"/>
  <c r="U20" i="8"/>
  <c r="P21" i="1"/>
  <c r="R21" i="1"/>
  <c r="T21" i="1"/>
  <c r="U21" i="1"/>
  <c r="S21" i="1"/>
  <c r="C22" i="1"/>
  <c r="R21" i="8"/>
  <c r="D22" i="1"/>
  <c r="F22" i="1"/>
  <c r="I22" i="1"/>
  <c r="J22" i="1"/>
  <c r="L22" i="1"/>
  <c r="V21" i="8"/>
  <c r="M22" i="1"/>
  <c r="O22" i="1"/>
  <c r="R22" i="1"/>
  <c r="S22" i="1"/>
  <c r="C23" i="1"/>
  <c r="D23" i="1"/>
  <c r="F23" i="1"/>
  <c r="S22" i="8"/>
  <c r="G23" i="1"/>
  <c r="I23" i="1"/>
  <c r="J23" i="1"/>
  <c r="L23" i="1"/>
  <c r="V22" i="8"/>
  <c r="M23" i="1"/>
  <c r="O23" i="1"/>
  <c r="R23" i="1"/>
  <c r="C24" i="1"/>
  <c r="D24" i="1"/>
  <c r="F24" i="1"/>
  <c r="G24" i="1"/>
  <c r="I24" i="1"/>
  <c r="J24" i="1"/>
  <c r="L24" i="1"/>
  <c r="O24" i="1"/>
  <c r="P24" i="1"/>
  <c r="R24" i="1"/>
  <c r="S24" i="1"/>
  <c r="C25" i="1"/>
  <c r="R24" i="8"/>
  <c r="D25" i="1"/>
  <c r="F25" i="1"/>
  <c r="G25" i="1"/>
  <c r="I25" i="1"/>
  <c r="T24" i="8"/>
  <c r="L25" i="1"/>
  <c r="V24" i="8"/>
  <c r="O25" i="1"/>
  <c r="P25" i="1"/>
  <c r="R25" i="1"/>
  <c r="S25" i="1"/>
  <c r="C26" i="1"/>
  <c r="D26" i="1"/>
  <c r="F26" i="1"/>
  <c r="S25" i="8"/>
  <c r="I26" i="1"/>
  <c r="T25" i="8"/>
  <c r="L26" i="1"/>
  <c r="M26" i="1"/>
  <c r="O26" i="1"/>
  <c r="P26" i="1"/>
  <c r="U25" i="8"/>
  <c r="R26" i="1"/>
  <c r="C27" i="1"/>
  <c r="D27" i="1"/>
  <c r="F27" i="1"/>
  <c r="G27" i="1"/>
  <c r="I27" i="1"/>
  <c r="J27" i="1"/>
  <c r="L27" i="1"/>
  <c r="V26" i="8"/>
  <c r="M27" i="1"/>
  <c r="O27" i="1"/>
  <c r="U26" i="8"/>
  <c r="R27" i="1"/>
  <c r="S27" i="1"/>
  <c r="C28" i="1"/>
  <c r="R27" i="8"/>
  <c r="F28" i="1"/>
  <c r="S27" i="8"/>
  <c r="G28" i="1"/>
  <c r="I28" i="1"/>
  <c r="J28" i="1"/>
  <c r="L28" i="1"/>
  <c r="V27" i="8"/>
  <c r="M28" i="1"/>
  <c r="O28" i="1"/>
  <c r="U27" i="8"/>
  <c r="P28" i="1"/>
  <c r="R28" i="1"/>
  <c r="W27" i="8"/>
  <c r="S28" i="1"/>
  <c r="C29" i="1"/>
  <c r="D29" i="1"/>
  <c r="F29" i="1"/>
  <c r="G29" i="1"/>
  <c r="I29" i="1"/>
  <c r="J29" i="1"/>
  <c r="L29" i="1"/>
  <c r="V28" i="8"/>
  <c r="O29" i="1"/>
  <c r="P29" i="1"/>
  <c r="R29" i="1"/>
  <c r="S29" i="1"/>
  <c r="C30" i="1"/>
  <c r="R29" i="8"/>
  <c r="D30" i="1"/>
  <c r="F30" i="1"/>
  <c r="I30" i="1"/>
  <c r="T29" i="8"/>
  <c r="J30" i="1"/>
  <c r="L30" i="1"/>
  <c r="V29" i="8"/>
  <c r="M30" i="1"/>
  <c r="O30" i="1"/>
  <c r="U29" i="8"/>
  <c r="R30" i="1"/>
  <c r="S30" i="1"/>
  <c r="C31" i="1"/>
  <c r="D31" i="1"/>
  <c r="F31" i="1"/>
  <c r="G31" i="1"/>
  <c r="S30" i="8"/>
  <c r="I31" i="1"/>
  <c r="J31" i="1"/>
  <c r="L31" i="1"/>
  <c r="M31" i="1"/>
  <c r="O31" i="1"/>
  <c r="R31" i="1"/>
  <c r="S31" i="1"/>
  <c r="C32" i="1"/>
  <c r="R31" i="8"/>
  <c r="F32" i="1"/>
  <c r="G32" i="1"/>
  <c r="G34" i="1"/>
  <c r="S31" i="8"/>
  <c r="I32" i="1"/>
  <c r="T31" i="8"/>
  <c r="J32" i="1"/>
  <c r="L32" i="1"/>
  <c r="V31" i="8"/>
  <c r="O32" i="1"/>
  <c r="P32" i="1"/>
  <c r="R32" i="1"/>
  <c r="S32" i="1"/>
  <c r="W31" i="8"/>
  <c r="C33" i="1"/>
  <c r="C34" i="1"/>
  <c r="D33" i="1"/>
  <c r="F33" i="1"/>
  <c r="G33" i="1"/>
  <c r="I33" i="1"/>
  <c r="L33" i="1"/>
  <c r="V32" i="8"/>
  <c r="O33" i="1"/>
  <c r="U32" i="8"/>
  <c r="P33" i="1"/>
  <c r="P34" i="1"/>
  <c r="R33" i="1"/>
  <c r="W32" i="8"/>
  <c r="S33" i="1"/>
  <c r="S34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D4" i="4"/>
  <c r="F4" i="4"/>
  <c r="H4" i="4"/>
  <c r="I4" i="4"/>
  <c r="K4" i="4"/>
  <c r="M4" i="4"/>
  <c r="O4" i="4"/>
  <c r="Q4" i="4"/>
  <c r="S4" i="4"/>
  <c r="W4" i="4"/>
  <c r="X4" i="4"/>
  <c r="Y4" i="4"/>
  <c r="Z4" i="4"/>
  <c r="AA4" i="4"/>
  <c r="D5" i="4"/>
  <c r="F5" i="4"/>
  <c r="H5" i="4"/>
  <c r="I5" i="4"/>
  <c r="K5" i="4"/>
  <c r="M5" i="4"/>
  <c r="O5" i="4"/>
  <c r="Q5" i="4"/>
  <c r="S5" i="4"/>
  <c r="W5" i="4"/>
  <c r="X5" i="4"/>
  <c r="Y5" i="4"/>
  <c r="Z5" i="4"/>
  <c r="AA5" i="4"/>
  <c r="D6" i="4"/>
  <c r="F6" i="4"/>
  <c r="H6" i="4"/>
  <c r="I6" i="4"/>
  <c r="K6" i="4"/>
  <c r="M6" i="4"/>
  <c r="O6" i="4"/>
  <c r="Q6" i="4"/>
  <c r="S6" i="4"/>
  <c r="W6" i="4"/>
  <c r="X6" i="4"/>
  <c r="Y6" i="4"/>
  <c r="Z6" i="4"/>
  <c r="AA6" i="4"/>
  <c r="D7" i="4"/>
  <c r="F7" i="4"/>
  <c r="H7" i="4"/>
  <c r="I7" i="4"/>
  <c r="K7" i="4"/>
  <c r="M7" i="4"/>
  <c r="O7" i="4"/>
  <c r="Q7" i="4"/>
  <c r="S7" i="4"/>
  <c r="W7" i="4"/>
  <c r="X7" i="4"/>
  <c r="Y7" i="4"/>
  <c r="Z7" i="4"/>
  <c r="AA7" i="4"/>
  <c r="D8" i="4"/>
  <c r="F8" i="4"/>
  <c r="H8" i="4"/>
  <c r="I8" i="4"/>
  <c r="K8" i="4"/>
  <c r="M8" i="4"/>
  <c r="O8" i="4"/>
  <c r="Q8" i="4"/>
  <c r="S8" i="4"/>
  <c r="W8" i="4"/>
  <c r="X8" i="4"/>
  <c r="Y8" i="4"/>
  <c r="Z8" i="4"/>
  <c r="AA8" i="4"/>
  <c r="D9" i="4"/>
  <c r="F9" i="4"/>
  <c r="H9" i="4"/>
  <c r="I9" i="4"/>
  <c r="K9" i="4"/>
  <c r="M9" i="4"/>
  <c r="O9" i="4"/>
  <c r="Q9" i="4"/>
  <c r="S9" i="4"/>
  <c r="W9" i="4"/>
  <c r="X9" i="4"/>
  <c r="Y9" i="4"/>
  <c r="Z9" i="4"/>
  <c r="AA9" i="4"/>
  <c r="D10" i="4"/>
  <c r="F10" i="4"/>
  <c r="H10" i="4"/>
  <c r="I10" i="4"/>
  <c r="K10" i="4"/>
  <c r="M10" i="4"/>
  <c r="O10" i="4"/>
  <c r="Q10" i="4"/>
  <c r="S10" i="4"/>
  <c r="W10" i="4"/>
  <c r="X10" i="4"/>
  <c r="Y10" i="4"/>
  <c r="Z10" i="4"/>
  <c r="AA10" i="4"/>
  <c r="D11" i="4"/>
  <c r="F11" i="4"/>
  <c r="H11" i="4"/>
  <c r="I11" i="4"/>
  <c r="K11" i="4"/>
  <c r="M11" i="4"/>
  <c r="O11" i="4"/>
  <c r="Q11" i="4"/>
  <c r="S11" i="4"/>
  <c r="W11" i="4"/>
  <c r="X11" i="4"/>
  <c r="Y11" i="4"/>
  <c r="Z11" i="4"/>
  <c r="AA11" i="4"/>
  <c r="D12" i="4"/>
  <c r="F12" i="4"/>
  <c r="H12" i="4"/>
  <c r="I12" i="4"/>
  <c r="K12" i="4"/>
  <c r="M12" i="4"/>
  <c r="O12" i="4"/>
  <c r="Q12" i="4"/>
  <c r="S12" i="4"/>
  <c r="W12" i="4"/>
  <c r="X12" i="4"/>
  <c r="Y12" i="4"/>
  <c r="Z12" i="4"/>
  <c r="AA12" i="4"/>
  <c r="D13" i="4"/>
  <c r="F13" i="4"/>
  <c r="H13" i="4"/>
  <c r="I13" i="4"/>
  <c r="K13" i="4"/>
  <c r="M13" i="4"/>
  <c r="O13" i="4"/>
  <c r="M11" i="8"/>
  <c r="Q13" i="4"/>
  <c r="S13" i="4"/>
  <c r="W13" i="4"/>
  <c r="D14" i="4"/>
  <c r="Q12" i="8"/>
  <c r="F14" i="4"/>
  <c r="H14" i="4"/>
  <c r="K14" i="4"/>
  <c r="M14" i="4"/>
  <c r="O14" i="4"/>
  <c r="Q14" i="4"/>
  <c r="N12" i="8"/>
  <c r="S14" i="4"/>
  <c r="W14" i="4"/>
  <c r="P12" i="8"/>
  <c r="D15" i="4"/>
  <c r="Q13" i="8"/>
  <c r="F15" i="4"/>
  <c r="H15" i="4"/>
  <c r="K15" i="4"/>
  <c r="K13" i="8"/>
  <c r="M15" i="4"/>
  <c r="L13" i="8"/>
  <c r="O15" i="4"/>
  <c r="Q15" i="4"/>
  <c r="X15" i="4"/>
  <c r="S15" i="4"/>
  <c r="W15" i="4"/>
  <c r="P13" i="8"/>
  <c r="D16" i="4"/>
  <c r="F16" i="4"/>
  <c r="H16" i="4"/>
  <c r="J14" i="8"/>
  <c r="K16" i="4"/>
  <c r="K14" i="8"/>
  <c r="M16" i="4"/>
  <c r="O16" i="4"/>
  <c r="Q16" i="4"/>
  <c r="S16" i="4"/>
  <c r="O14" i="8"/>
  <c r="W16" i="4"/>
  <c r="P14" i="8"/>
  <c r="D17" i="4"/>
  <c r="Q15" i="8"/>
  <c r="F17" i="4"/>
  <c r="I15" i="8"/>
  <c r="H17" i="4"/>
  <c r="I17" i="4"/>
  <c r="J15" i="8"/>
  <c r="K17" i="4"/>
  <c r="M17" i="4"/>
  <c r="O17" i="4"/>
  <c r="Q17" i="4"/>
  <c r="S17" i="4"/>
  <c r="W17" i="4"/>
  <c r="D18" i="4"/>
  <c r="Q16" i="8"/>
  <c r="F18" i="4"/>
  <c r="H18" i="4"/>
  <c r="I18" i="4"/>
  <c r="K18" i="4"/>
  <c r="M18" i="4"/>
  <c r="O18" i="4"/>
  <c r="Q18" i="4"/>
  <c r="N16" i="8"/>
  <c r="S18" i="4"/>
  <c r="W18" i="4"/>
  <c r="P16" i="8"/>
  <c r="D19" i="4"/>
  <c r="Q17" i="8"/>
  <c r="F19" i="4"/>
  <c r="H19" i="4"/>
  <c r="K19" i="4"/>
  <c r="K17" i="8"/>
  <c r="M19" i="4"/>
  <c r="O19" i="4"/>
  <c r="Q19" i="4"/>
  <c r="S19" i="4"/>
  <c r="W19" i="4"/>
  <c r="D20" i="4"/>
  <c r="F20" i="4"/>
  <c r="H20" i="4"/>
  <c r="K20" i="4"/>
  <c r="K18" i="8"/>
  <c r="M20" i="4"/>
  <c r="O20" i="4"/>
  <c r="M18" i="8"/>
  <c r="Q20" i="4"/>
  <c r="S20" i="4"/>
  <c r="W20" i="4"/>
  <c r="P18" i="8"/>
  <c r="D21" i="4"/>
  <c r="Q19" i="8"/>
  <c r="F21" i="4"/>
  <c r="H21" i="4"/>
  <c r="I21" i="4"/>
  <c r="K21" i="4"/>
  <c r="M21" i="4"/>
  <c r="O21" i="4"/>
  <c r="Q21" i="4"/>
  <c r="S21" i="4"/>
  <c r="O19" i="8"/>
  <c r="W21" i="4"/>
  <c r="D22" i="4"/>
  <c r="Q20" i="8"/>
  <c r="F22" i="4"/>
  <c r="H22" i="4"/>
  <c r="J20" i="8"/>
  <c r="K22" i="4"/>
  <c r="K20" i="8"/>
  <c r="M22" i="4"/>
  <c r="O22" i="4"/>
  <c r="Q22" i="4"/>
  <c r="S22" i="4"/>
  <c r="O20" i="8"/>
  <c r="W22" i="4"/>
  <c r="D23" i="4"/>
  <c r="Q21" i="8"/>
  <c r="F23" i="4"/>
  <c r="H23" i="4"/>
  <c r="J21" i="8"/>
  <c r="K23" i="4"/>
  <c r="M23" i="4"/>
  <c r="O23" i="4"/>
  <c r="Q23" i="4"/>
  <c r="S23" i="4"/>
  <c r="O21" i="8"/>
  <c r="W23" i="4"/>
  <c r="D24" i="4"/>
  <c r="Q22" i="8"/>
  <c r="F24" i="4"/>
  <c r="H24" i="4"/>
  <c r="I24" i="4"/>
  <c r="K24" i="4"/>
  <c r="K22" i="8"/>
  <c r="M24" i="4"/>
  <c r="O24" i="4"/>
  <c r="Q24" i="4"/>
  <c r="S24" i="4"/>
  <c r="O22" i="8"/>
  <c r="W24" i="4"/>
  <c r="P22" i="8"/>
  <c r="D25" i="4"/>
  <c r="Q23" i="8"/>
  <c r="F25" i="4"/>
  <c r="H25" i="4"/>
  <c r="K25" i="4"/>
  <c r="K23" i="8"/>
  <c r="M25" i="4"/>
  <c r="O25" i="4"/>
  <c r="M23" i="8"/>
  <c r="Q25" i="4"/>
  <c r="N23" i="8"/>
  <c r="S25" i="4"/>
  <c r="O23" i="8"/>
  <c r="W25" i="4"/>
  <c r="P23" i="8"/>
  <c r="D26" i="4"/>
  <c r="Q24" i="8"/>
  <c r="F26" i="4"/>
  <c r="I26" i="4"/>
  <c r="H26" i="4"/>
  <c r="K26" i="4"/>
  <c r="K24" i="8"/>
  <c r="M26" i="4"/>
  <c r="L24" i="8"/>
  <c r="O26" i="4"/>
  <c r="Q26" i="4"/>
  <c r="S26" i="4"/>
  <c r="W26" i="4"/>
  <c r="P24" i="8"/>
  <c r="D27" i="4"/>
  <c r="Q25" i="8"/>
  <c r="F27" i="4"/>
  <c r="I25" i="8"/>
  <c r="H27" i="4"/>
  <c r="J25" i="8"/>
  <c r="K27" i="4"/>
  <c r="K25" i="8"/>
  <c r="M27" i="4"/>
  <c r="O27" i="4"/>
  <c r="Q27" i="4"/>
  <c r="N25" i="8"/>
  <c r="S27" i="4"/>
  <c r="W27" i="4"/>
  <c r="D28" i="4"/>
  <c r="Q26" i="8"/>
  <c r="F28" i="4"/>
  <c r="I26" i="8"/>
  <c r="H28" i="4"/>
  <c r="J26" i="8"/>
  <c r="K28" i="4"/>
  <c r="K26" i="8"/>
  <c r="M28" i="4"/>
  <c r="O28" i="4"/>
  <c r="Q28" i="4"/>
  <c r="S28" i="4"/>
  <c r="O26" i="8"/>
  <c r="W28" i="4"/>
  <c r="D29" i="4"/>
  <c r="Q27" i="8"/>
  <c r="F29" i="4"/>
  <c r="H29" i="4"/>
  <c r="J27" i="8"/>
  <c r="K29" i="4"/>
  <c r="M29" i="4"/>
  <c r="O29" i="4"/>
  <c r="M27" i="8"/>
  <c r="Q29" i="4"/>
  <c r="N27" i="8"/>
  <c r="S29" i="4"/>
  <c r="W29" i="4"/>
  <c r="D30" i="4"/>
  <c r="Q28" i="8"/>
  <c r="F30" i="4"/>
  <c r="H30" i="4"/>
  <c r="I30" i="4"/>
  <c r="Y30" i="4"/>
  <c r="K30" i="4"/>
  <c r="M30" i="4"/>
  <c r="O30" i="4"/>
  <c r="M28" i="8"/>
  <c r="Q30" i="4"/>
  <c r="N28" i="8"/>
  <c r="S30" i="4"/>
  <c r="W30" i="4"/>
  <c r="D31" i="4"/>
  <c r="F31" i="4"/>
  <c r="H31" i="4"/>
  <c r="J29" i="8"/>
  <c r="Y29" i="8"/>
  <c r="K31" i="4"/>
  <c r="M31" i="4"/>
  <c r="O31" i="4"/>
  <c r="M29" i="8"/>
  <c r="Q31" i="4"/>
  <c r="N29" i="8"/>
  <c r="S31" i="4"/>
  <c r="O29" i="8"/>
  <c r="W31" i="4"/>
  <c r="D32" i="4"/>
  <c r="Q30" i="8"/>
  <c r="F32" i="4"/>
  <c r="H32" i="4"/>
  <c r="J30" i="8"/>
  <c r="K32" i="4"/>
  <c r="M32" i="4"/>
  <c r="L30" i="8"/>
  <c r="O32" i="4"/>
  <c r="Q32" i="4"/>
  <c r="N30" i="8"/>
  <c r="S32" i="4"/>
  <c r="O30" i="8"/>
  <c r="W32" i="4"/>
  <c r="D33" i="4"/>
  <c r="Q31" i="8"/>
  <c r="F33" i="4"/>
  <c r="H33" i="4"/>
  <c r="J31" i="8"/>
  <c r="K33" i="4"/>
  <c r="M33" i="4"/>
  <c r="O33" i="4"/>
  <c r="M31" i="8"/>
  <c r="Q33" i="4"/>
  <c r="N31" i="8"/>
  <c r="S33" i="4"/>
  <c r="O31" i="8"/>
  <c r="W33" i="4"/>
  <c r="D34" i="4"/>
  <c r="F34" i="4"/>
  <c r="H34" i="4"/>
  <c r="H35" i="4"/>
  <c r="K34" i="4"/>
  <c r="K32" i="8"/>
  <c r="M34" i="4"/>
  <c r="O34" i="4"/>
  <c r="M32" i="8"/>
  <c r="Q34" i="4"/>
  <c r="Q35" i="4"/>
  <c r="S34" i="4"/>
  <c r="O32" i="8"/>
  <c r="W34" i="4"/>
  <c r="W35" i="4"/>
  <c r="P32" i="8"/>
  <c r="J3" i="3"/>
  <c r="K3" i="3"/>
  <c r="C4" i="3"/>
  <c r="E4" i="3"/>
  <c r="G4" i="3"/>
  <c r="I4" i="3"/>
  <c r="J4" i="3"/>
  <c r="K4" i="3"/>
  <c r="C5" i="3"/>
  <c r="E5" i="3"/>
  <c r="G5" i="3"/>
  <c r="I5" i="3"/>
  <c r="J5" i="3"/>
  <c r="K5" i="3"/>
  <c r="C6" i="3"/>
  <c r="E6" i="3"/>
  <c r="G6" i="3"/>
  <c r="I6" i="3"/>
  <c r="J6" i="3"/>
  <c r="K6" i="3"/>
  <c r="C7" i="3"/>
  <c r="E7" i="3"/>
  <c r="G7" i="3"/>
  <c r="I7" i="3"/>
  <c r="J7" i="3"/>
  <c r="K7" i="3"/>
  <c r="C8" i="3"/>
  <c r="E8" i="3"/>
  <c r="G8" i="3"/>
  <c r="I8" i="3"/>
  <c r="J8" i="3"/>
  <c r="K8" i="3"/>
  <c r="C9" i="3"/>
  <c r="E9" i="3"/>
  <c r="G9" i="3"/>
  <c r="I9" i="3"/>
  <c r="J9" i="3"/>
  <c r="K9" i="3"/>
  <c r="C10" i="3"/>
  <c r="E10" i="3"/>
  <c r="G10" i="3"/>
  <c r="I10" i="3"/>
  <c r="J10" i="3"/>
  <c r="K10" i="3"/>
  <c r="C11" i="3"/>
  <c r="E11" i="3"/>
  <c r="G11" i="3"/>
  <c r="I11" i="3"/>
  <c r="J11" i="3"/>
  <c r="K11" i="3"/>
  <c r="C12" i="3"/>
  <c r="E12" i="3"/>
  <c r="G12" i="3"/>
  <c r="I12" i="3"/>
  <c r="J12" i="3"/>
  <c r="K12" i="3"/>
  <c r="C13" i="3"/>
  <c r="E11" i="8"/>
  <c r="E13" i="3"/>
  <c r="G13" i="3"/>
  <c r="G11" i="8"/>
  <c r="I13" i="3"/>
  <c r="C14" i="3"/>
  <c r="E14" i="3"/>
  <c r="F12" i="8"/>
  <c r="G14" i="3"/>
  <c r="G12" i="8"/>
  <c r="I14" i="3"/>
  <c r="C15" i="3"/>
  <c r="E13" i="8"/>
  <c r="E15" i="3"/>
  <c r="G15" i="3"/>
  <c r="G13" i="8"/>
  <c r="I15" i="3"/>
  <c r="C16" i="3"/>
  <c r="E14" i="8"/>
  <c r="E16" i="3"/>
  <c r="G16" i="3"/>
  <c r="I16" i="3"/>
  <c r="H14" i="8"/>
  <c r="C17" i="3"/>
  <c r="E17" i="3"/>
  <c r="G17" i="3"/>
  <c r="I17" i="3"/>
  <c r="C18" i="3"/>
  <c r="E16" i="8"/>
  <c r="E18" i="3"/>
  <c r="F16" i="8"/>
  <c r="G18" i="3"/>
  <c r="G16" i="8"/>
  <c r="I18" i="3"/>
  <c r="H16" i="8"/>
  <c r="C19" i="3"/>
  <c r="E19" i="3"/>
  <c r="G19" i="3"/>
  <c r="I19" i="3"/>
  <c r="H17" i="8"/>
  <c r="C20" i="3"/>
  <c r="E18" i="8"/>
  <c r="E20" i="3"/>
  <c r="F18" i="8"/>
  <c r="G20" i="3"/>
  <c r="I20" i="3"/>
  <c r="C21" i="3"/>
  <c r="E21" i="3"/>
  <c r="F19" i="8"/>
  <c r="G21" i="3"/>
  <c r="G19" i="8"/>
  <c r="I21" i="3"/>
  <c r="C22" i="3"/>
  <c r="E20" i="8"/>
  <c r="E22" i="3"/>
  <c r="G22" i="3"/>
  <c r="G20" i="8"/>
  <c r="I22" i="3"/>
  <c r="C23" i="3"/>
  <c r="E23" i="3"/>
  <c r="G23" i="3"/>
  <c r="G21" i="8"/>
  <c r="I23" i="3"/>
  <c r="H21" i="8"/>
  <c r="C24" i="3"/>
  <c r="E24" i="3"/>
  <c r="F22" i="8"/>
  <c r="G24" i="3"/>
  <c r="I24" i="3"/>
  <c r="C25" i="3"/>
  <c r="E23" i="8"/>
  <c r="E25" i="3"/>
  <c r="F23" i="8"/>
  <c r="G25" i="3"/>
  <c r="G23" i="8"/>
  <c r="I25" i="3"/>
  <c r="H23" i="8"/>
  <c r="C26" i="3"/>
  <c r="E26" i="3"/>
  <c r="F24" i="8"/>
  <c r="G26" i="3"/>
  <c r="G24" i="8"/>
  <c r="I26" i="3"/>
  <c r="H24" i="8"/>
  <c r="C27" i="3"/>
  <c r="E27" i="3"/>
  <c r="F25" i="8"/>
  <c r="G27" i="3"/>
  <c r="G25" i="8"/>
  <c r="I27" i="3"/>
  <c r="C28" i="3"/>
  <c r="E26" i="8"/>
  <c r="E28" i="3"/>
  <c r="G28" i="3"/>
  <c r="I28" i="3"/>
  <c r="C29" i="3"/>
  <c r="E27" i="8"/>
  <c r="E29" i="3"/>
  <c r="F27" i="8"/>
  <c r="G29" i="3"/>
  <c r="G27" i="8"/>
  <c r="I29" i="3"/>
  <c r="H27" i="8"/>
  <c r="C30" i="3"/>
  <c r="E30" i="3"/>
  <c r="F28" i="8"/>
  <c r="G30" i="3"/>
  <c r="I30" i="3"/>
  <c r="C31" i="3"/>
  <c r="E31" i="3"/>
  <c r="F29" i="8"/>
  <c r="G31" i="3"/>
  <c r="G29" i="8"/>
  <c r="I31" i="3"/>
  <c r="C32" i="3"/>
  <c r="E32" i="3"/>
  <c r="G32" i="3"/>
  <c r="I32" i="3"/>
  <c r="H30" i="8"/>
  <c r="C33" i="3"/>
  <c r="E33" i="3"/>
  <c r="G33" i="3"/>
  <c r="I33" i="3"/>
  <c r="C34" i="3"/>
  <c r="C35" i="3"/>
  <c r="E34" i="3"/>
  <c r="G34" i="3"/>
  <c r="G35" i="3"/>
  <c r="I34" i="3"/>
  <c r="I35" i="3"/>
  <c r="C4" i="2"/>
  <c r="E4" i="2"/>
  <c r="G4" i="2"/>
  <c r="I4" i="2"/>
  <c r="K4" i="2"/>
  <c r="M4" i="2"/>
  <c r="O4" i="2"/>
  <c r="Q4" i="2"/>
  <c r="S4" i="2"/>
  <c r="C5" i="2"/>
  <c r="E5" i="2"/>
  <c r="G5" i="2"/>
  <c r="I5" i="2"/>
  <c r="K5" i="2"/>
  <c r="M5" i="2"/>
  <c r="O5" i="2"/>
  <c r="Q5" i="2"/>
  <c r="S5" i="2"/>
  <c r="C6" i="2"/>
  <c r="E6" i="2"/>
  <c r="G6" i="2"/>
  <c r="I6" i="2"/>
  <c r="K6" i="2"/>
  <c r="M6" i="2"/>
  <c r="O6" i="2"/>
  <c r="Q6" i="2"/>
  <c r="S6" i="2"/>
  <c r="C7" i="2"/>
  <c r="E7" i="2"/>
  <c r="G7" i="2"/>
  <c r="I7" i="2"/>
  <c r="K7" i="2"/>
  <c r="M7" i="2"/>
  <c r="O7" i="2"/>
  <c r="Q7" i="2"/>
  <c r="S7" i="2"/>
  <c r="C8" i="2"/>
  <c r="E8" i="2"/>
  <c r="G8" i="2"/>
  <c r="I8" i="2"/>
  <c r="K8" i="2"/>
  <c r="M8" i="2"/>
  <c r="O8" i="2"/>
  <c r="Q8" i="2"/>
  <c r="S8" i="2"/>
  <c r="C9" i="2"/>
  <c r="E9" i="2"/>
  <c r="G9" i="2"/>
  <c r="I9" i="2"/>
  <c r="K9" i="2"/>
  <c r="M9" i="2"/>
  <c r="O9" i="2"/>
  <c r="Q9" i="2"/>
  <c r="S9" i="2"/>
  <c r="C10" i="2"/>
  <c r="E10" i="2"/>
  <c r="G10" i="2"/>
  <c r="I10" i="2"/>
  <c r="K10" i="2"/>
  <c r="M10" i="2"/>
  <c r="O10" i="2"/>
  <c r="Q10" i="2"/>
  <c r="S10" i="2"/>
  <c r="C11" i="2"/>
  <c r="E11" i="2"/>
  <c r="G11" i="2"/>
  <c r="I11" i="2"/>
  <c r="K11" i="2"/>
  <c r="M11" i="2"/>
  <c r="O11" i="2"/>
  <c r="Q11" i="2"/>
  <c r="S11" i="2"/>
  <c r="C12" i="2"/>
  <c r="E12" i="2"/>
  <c r="G12" i="2"/>
  <c r="I12" i="2"/>
  <c r="K12" i="2"/>
  <c r="M12" i="2"/>
  <c r="O12" i="2"/>
  <c r="Q12" i="2"/>
  <c r="S12" i="2"/>
  <c r="C13" i="2"/>
  <c r="E13" i="2"/>
  <c r="G13" i="2"/>
  <c r="I13" i="2"/>
  <c r="K13" i="2"/>
  <c r="M13" i="2"/>
  <c r="O13" i="2"/>
  <c r="Q13" i="2"/>
  <c r="S13" i="2"/>
  <c r="C14" i="2"/>
  <c r="E14" i="2"/>
  <c r="G14" i="2"/>
  <c r="I14" i="2"/>
  <c r="K14" i="2"/>
  <c r="M14" i="2"/>
  <c r="O14" i="2"/>
  <c r="Q14" i="2"/>
  <c r="S14" i="2"/>
  <c r="C15" i="2"/>
  <c r="E15" i="2"/>
  <c r="G15" i="2"/>
  <c r="I15" i="2"/>
  <c r="K15" i="2"/>
  <c r="M15" i="2"/>
  <c r="O15" i="2"/>
  <c r="Q15" i="2"/>
  <c r="S15" i="2"/>
  <c r="C16" i="2"/>
  <c r="E16" i="2"/>
  <c r="G16" i="2"/>
  <c r="I16" i="2"/>
  <c r="K16" i="2"/>
  <c r="M16" i="2"/>
  <c r="O16" i="2"/>
  <c r="Q16" i="2"/>
  <c r="S16" i="2"/>
  <c r="C17" i="2"/>
  <c r="E17" i="2"/>
  <c r="G17" i="2"/>
  <c r="I17" i="2"/>
  <c r="K17" i="2"/>
  <c r="M17" i="2"/>
  <c r="O17" i="2"/>
  <c r="Q17" i="2"/>
  <c r="S17" i="2"/>
  <c r="C18" i="2"/>
  <c r="E18" i="2"/>
  <c r="G18" i="2"/>
  <c r="I18" i="2"/>
  <c r="K18" i="2"/>
  <c r="M18" i="2"/>
  <c r="O18" i="2"/>
  <c r="Q18" i="2"/>
  <c r="S18" i="2"/>
  <c r="C19" i="2"/>
  <c r="E19" i="2"/>
  <c r="G19" i="2"/>
  <c r="I19" i="2"/>
  <c r="K19" i="2"/>
  <c r="M19" i="2"/>
  <c r="O19" i="2"/>
  <c r="Q19" i="2"/>
  <c r="S19" i="2"/>
  <c r="C20" i="2"/>
  <c r="E20" i="2"/>
  <c r="G20" i="2"/>
  <c r="I20" i="2"/>
  <c r="K20" i="2"/>
  <c r="M20" i="2"/>
  <c r="O20" i="2"/>
  <c r="Q20" i="2"/>
  <c r="S20" i="2"/>
  <c r="C21" i="2"/>
  <c r="E21" i="2"/>
  <c r="G21" i="2"/>
  <c r="I21" i="2"/>
  <c r="K21" i="2"/>
  <c r="M21" i="2"/>
  <c r="O21" i="2"/>
  <c r="Q21" i="2"/>
  <c r="S21" i="2"/>
  <c r="C22" i="2"/>
  <c r="E22" i="2"/>
  <c r="G22" i="2"/>
  <c r="I22" i="2"/>
  <c r="K22" i="2"/>
  <c r="M22" i="2"/>
  <c r="O22" i="2"/>
  <c r="Q22" i="2"/>
  <c r="S22" i="2"/>
  <c r="C23" i="2"/>
  <c r="E23" i="2"/>
  <c r="G23" i="2"/>
  <c r="I23" i="2"/>
  <c r="K23" i="2"/>
  <c r="M23" i="2"/>
  <c r="O23" i="2"/>
  <c r="Q23" i="2"/>
  <c r="S23" i="2"/>
  <c r="C24" i="2"/>
  <c r="E24" i="2"/>
  <c r="G24" i="2"/>
  <c r="I24" i="2"/>
  <c r="K24" i="2"/>
  <c r="M24" i="2"/>
  <c r="O24" i="2"/>
  <c r="Q24" i="2"/>
  <c r="S24" i="2"/>
  <c r="C25" i="2"/>
  <c r="E25" i="2"/>
  <c r="G25" i="2"/>
  <c r="I25" i="2"/>
  <c r="K25" i="2"/>
  <c r="M25" i="2"/>
  <c r="O25" i="2"/>
  <c r="Q25" i="2"/>
  <c r="S25" i="2"/>
  <c r="C26" i="2"/>
  <c r="E26" i="2"/>
  <c r="G26" i="2"/>
  <c r="I26" i="2"/>
  <c r="K26" i="2"/>
  <c r="M26" i="2"/>
  <c r="O26" i="2"/>
  <c r="Q26" i="2"/>
  <c r="S26" i="2"/>
  <c r="C27" i="2"/>
  <c r="E27" i="2"/>
  <c r="G27" i="2"/>
  <c r="I27" i="2"/>
  <c r="K27" i="2"/>
  <c r="M27" i="2"/>
  <c r="O27" i="2"/>
  <c r="Q27" i="2"/>
  <c r="S27" i="2"/>
  <c r="C28" i="2"/>
  <c r="E28" i="2"/>
  <c r="G28" i="2"/>
  <c r="I28" i="2"/>
  <c r="K28" i="2"/>
  <c r="M28" i="2"/>
  <c r="O28" i="2"/>
  <c r="Q28" i="2"/>
  <c r="S28" i="2"/>
  <c r="C29" i="2"/>
  <c r="E29" i="2"/>
  <c r="G29" i="2"/>
  <c r="I29" i="2"/>
  <c r="K29" i="2"/>
  <c r="M29" i="2"/>
  <c r="O29" i="2"/>
  <c r="Q29" i="2"/>
  <c r="S29" i="2"/>
  <c r="C30" i="2"/>
  <c r="E30" i="2"/>
  <c r="G30" i="2"/>
  <c r="I30" i="2"/>
  <c r="K30" i="2"/>
  <c r="M30" i="2"/>
  <c r="O30" i="2"/>
  <c r="Q30" i="2"/>
  <c r="S30" i="2"/>
  <c r="C31" i="2"/>
  <c r="E31" i="2"/>
  <c r="G31" i="2"/>
  <c r="I31" i="2"/>
  <c r="K31" i="2"/>
  <c r="M31" i="2"/>
  <c r="O31" i="2"/>
  <c r="Q31" i="2"/>
  <c r="S31" i="2"/>
  <c r="C32" i="2"/>
  <c r="E32" i="2"/>
  <c r="G32" i="2"/>
  <c r="I32" i="2"/>
  <c r="K32" i="2"/>
  <c r="K35" i="2"/>
  <c r="M32" i="2"/>
  <c r="O32" i="2"/>
  <c r="Q32" i="2"/>
  <c r="C33" i="2"/>
  <c r="C35" i="2"/>
  <c r="E33" i="2"/>
  <c r="G33" i="2"/>
  <c r="I33" i="2"/>
  <c r="I35" i="2"/>
  <c r="K33" i="2"/>
  <c r="M33" i="2"/>
  <c r="O33" i="2"/>
  <c r="Q33" i="2"/>
  <c r="Q35" i="2"/>
  <c r="S33" i="2"/>
  <c r="C34" i="2"/>
  <c r="E34" i="2"/>
  <c r="E35" i="2"/>
  <c r="G34" i="2"/>
  <c r="G35" i="2"/>
  <c r="I34" i="2"/>
  <c r="K34" i="2"/>
  <c r="M34" i="2"/>
  <c r="M35" i="2"/>
  <c r="O34" i="2"/>
  <c r="Q34" i="2"/>
  <c r="S34" i="2"/>
  <c r="S35" i="2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X2" i="8"/>
  <c r="B3" i="8"/>
  <c r="E3" i="8"/>
  <c r="F3" i="8"/>
  <c r="G3" i="8"/>
  <c r="H3" i="8"/>
  <c r="I3" i="8"/>
  <c r="J3" i="8"/>
  <c r="K3" i="8"/>
  <c r="L3" i="8"/>
  <c r="M3" i="8"/>
  <c r="N3" i="8"/>
  <c r="O3" i="8"/>
  <c r="P3" i="8"/>
  <c r="Q3" i="8"/>
  <c r="T3" i="8"/>
  <c r="U3" i="8"/>
  <c r="V3" i="8"/>
  <c r="W3" i="8"/>
  <c r="X3" i="8"/>
  <c r="B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B5" i="8"/>
  <c r="E5" i="8"/>
  <c r="F5" i="8"/>
  <c r="G5" i="8"/>
  <c r="H5" i="8"/>
  <c r="I5" i="8"/>
  <c r="J5" i="8"/>
  <c r="K5" i="8"/>
  <c r="L5" i="8"/>
  <c r="M5" i="8"/>
  <c r="N5" i="8"/>
  <c r="O5" i="8"/>
  <c r="P5" i="8"/>
  <c r="Q5" i="8"/>
  <c r="T5" i="8"/>
  <c r="U5" i="8"/>
  <c r="V5" i="8"/>
  <c r="W5" i="8"/>
  <c r="X5" i="8"/>
  <c r="B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T6" i="8"/>
  <c r="U6" i="8"/>
  <c r="V6" i="8"/>
  <c r="W6" i="8"/>
  <c r="X6" i="8"/>
  <c r="B7" i="8"/>
  <c r="E7" i="8"/>
  <c r="F7" i="8"/>
  <c r="G7" i="8"/>
  <c r="H7" i="8"/>
  <c r="I7" i="8"/>
  <c r="J7" i="8"/>
  <c r="K7" i="8"/>
  <c r="L7" i="8"/>
  <c r="M7" i="8"/>
  <c r="N7" i="8"/>
  <c r="O7" i="8"/>
  <c r="P7" i="8"/>
  <c r="Q7" i="8"/>
  <c r="T7" i="8"/>
  <c r="U7" i="8"/>
  <c r="V7" i="8"/>
  <c r="W7" i="8"/>
  <c r="X7" i="8"/>
  <c r="B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B9" i="8"/>
  <c r="E9" i="8"/>
  <c r="F9" i="8"/>
  <c r="G9" i="8"/>
  <c r="H9" i="8"/>
  <c r="I9" i="8"/>
  <c r="J9" i="8"/>
  <c r="K9" i="8"/>
  <c r="L9" i="8"/>
  <c r="M9" i="8"/>
  <c r="N9" i="8"/>
  <c r="O9" i="8"/>
  <c r="P9" i="8"/>
  <c r="Q9" i="8"/>
  <c r="T9" i="8"/>
  <c r="U9" i="8"/>
  <c r="V9" i="8"/>
  <c r="W9" i="8"/>
  <c r="X9" i="8"/>
  <c r="B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T10" i="8"/>
  <c r="U10" i="8"/>
  <c r="V10" i="8"/>
  <c r="W10" i="8"/>
  <c r="X10" i="8"/>
  <c r="B11" i="8"/>
  <c r="H11" i="8"/>
  <c r="I11" i="8"/>
  <c r="K11" i="8"/>
  <c r="L11" i="8"/>
  <c r="O11" i="8"/>
  <c r="P11" i="8"/>
  <c r="Q11" i="8"/>
  <c r="V11" i="8"/>
  <c r="X11" i="8"/>
  <c r="B12" i="8"/>
  <c r="J12" i="8"/>
  <c r="L12" i="8"/>
  <c r="M12" i="8"/>
  <c r="O12" i="8"/>
  <c r="X12" i="8"/>
  <c r="B13" i="8"/>
  <c r="J13" i="8"/>
  <c r="O13" i="8"/>
  <c r="T13" i="8"/>
  <c r="X13" i="8"/>
  <c r="B14" i="8"/>
  <c r="G14" i="8"/>
  <c r="L14" i="8"/>
  <c r="N14" i="8"/>
  <c r="Q14" i="8"/>
  <c r="V14" i="8"/>
  <c r="X14" i="8"/>
  <c r="B15" i="8"/>
  <c r="G15" i="8"/>
  <c r="H15" i="8"/>
  <c r="L15" i="8"/>
  <c r="N15" i="8"/>
  <c r="O15" i="8"/>
  <c r="P15" i="8"/>
  <c r="U15" i="8"/>
  <c r="W15" i="8"/>
  <c r="X15" i="8"/>
  <c r="B16" i="8"/>
  <c r="I16" i="8"/>
  <c r="M16" i="8"/>
  <c r="O16" i="8"/>
  <c r="W16" i="8"/>
  <c r="X16" i="8"/>
  <c r="B17" i="8"/>
  <c r="E17" i="8"/>
  <c r="F17" i="8"/>
  <c r="I17" i="8"/>
  <c r="J17" i="8"/>
  <c r="L17" i="8"/>
  <c r="M17" i="8"/>
  <c r="O17" i="8"/>
  <c r="P17" i="8"/>
  <c r="T17" i="8"/>
  <c r="X17" i="8"/>
  <c r="B18" i="8"/>
  <c r="G18" i="8"/>
  <c r="H18" i="8"/>
  <c r="I18" i="8"/>
  <c r="J18" i="8"/>
  <c r="L18" i="8"/>
  <c r="N18" i="8"/>
  <c r="O18" i="8"/>
  <c r="Q18" i="8"/>
  <c r="T18" i="8"/>
  <c r="V18" i="8"/>
  <c r="X18" i="8"/>
  <c r="B19" i="8"/>
  <c r="E19" i="8"/>
  <c r="H19" i="8"/>
  <c r="I19" i="8"/>
  <c r="J19" i="8"/>
  <c r="K19" i="8"/>
  <c r="L19" i="8"/>
  <c r="M19" i="8"/>
  <c r="N19" i="8"/>
  <c r="P19" i="8"/>
  <c r="X19" i="8"/>
  <c r="B20" i="8"/>
  <c r="F20" i="8"/>
  <c r="H20" i="8"/>
  <c r="I20" i="8"/>
  <c r="M20" i="8"/>
  <c r="N20" i="8"/>
  <c r="P20" i="8"/>
  <c r="W20" i="8"/>
  <c r="X20" i="8"/>
  <c r="B21" i="8"/>
  <c r="E21" i="8"/>
  <c r="F21" i="8"/>
  <c r="I21" i="8"/>
  <c r="L21" i="8"/>
  <c r="P21" i="8"/>
  <c r="X21" i="8"/>
  <c r="B22" i="8"/>
  <c r="E22" i="8"/>
  <c r="G22" i="8"/>
  <c r="H22" i="8"/>
  <c r="I22" i="8"/>
  <c r="J22" i="8"/>
  <c r="L22" i="8"/>
  <c r="M22" i="8"/>
  <c r="T22" i="8"/>
  <c r="X22" i="8"/>
  <c r="B23" i="8"/>
  <c r="I23" i="8"/>
  <c r="L23" i="8"/>
  <c r="U23" i="8"/>
  <c r="X23" i="8"/>
  <c r="B24" i="8"/>
  <c r="E24" i="8"/>
  <c r="J24" i="8"/>
  <c r="M24" i="8"/>
  <c r="N24" i="8"/>
  <c r="O24" i="8"/>
  <c r="W24" i="8"/>
  <c r="X24" i="8"/>
  <c r="B25" i="8"/>
  <c r="E25" i="8"/>
  <c r="H25" i="8"/>
  <c r="L25" i="8"/>
  <c r="M25" i="8"/>
  <c r="O25" i="8"/>
  <c r="P25" i="8"/>
  <c r="R25" i="8"/>
  <c r="X25" i="8"/>
  <c r="B26" i="8"/>
  <c r="F26" i="8"/>
  <c r="G26" i="8"/>
  <c r="H26" i="8"/>
  <c r="L26" i="8"/>
  <c r="M26" i="8"/>
  <c r="N26" i="8"/>
  <c r="X26" i="8"/>
  <c r="B27" i="8"/>
  <c r="K27" i="8"/>
  <c r="O27" i="8"/>
  <c r="P27" i="8"/>
  <c r="X27" i="8"/>
  <c r="B28" i="8"/>
  <c r="E28" i="8"/>
  <c r="G28" i="8"/>
  <c r="I28" i="8"/>
  <c r="J28" i="8"/>
  <c r="O28" i="8"/>
  <c r="P28" i="8"/>
  <c r="W28" i="8"/>
  <c r="X28" i="8"/>
  <c r="B29" i="8"/>
  <c r="E29" i="8"/>
  <c r="H29" i="8"/>
  <c r="I29" i="8"/>
  <c r="K29" i="8"/>
  <c r="L29" i="8"/>
  <c r="P29" i="8"/>
  <c r="Q29" i="8"/>
  <c r="X29" i="8"/>
  <c r="B30" i="8"/>
  <c r="E30" i="8"/>
  <c r="F30" i="8"/>
  <c r="I30" i="8"/>
  <c r="K30" i="8"/>
  <c r="P30" i="8"/>
  <c r="X30" i="8"/>
  <c r="B31" i="8"/>
  <c r="F31" i="8"/>
  <c r="G31" i="8"/>
  <c r="H31" i="8"/>
  <c r="L31" i="8"/>
  <c r="P31" i="8"/>
  <c r="X31" i="8"/>
  <c r="B32" i="8"/>
  <c r="F32" i="8"/>
  <c r="G32" i="8"/>
  <c r="H32" i="8"/>
  <c r="J32" i="8"/>
  <c r="L32" i="8"/>
  <c r="N32" i="8"/>
  <c r="Q32" i="8"/>
  <c r="R32" i="8"/>
  <c r="X32" i="8"/>
  <c r="K2" i="9"/>
  <c r="B3" i="9"/>
  <c r="K3" i="9"/>
  <c r="B4" i="9"/>
  <c r="K4" i="9"/>
  <c r="B5" i="9"/>
  <c r="K5" i="9"/>
  <c r="B6" i="9"/>
  <c r="K6" i="9"/>
  <c r="B7" i="9"/>
  <c r="K7" i="9"/>
  <c r="B8" i="9"/>
  <c r="K8" i="9"/>
  <c r="B9" i="9"/>
  <c r="K9" i="9"/>
  <c r="B10" i="9"/>
  <c r="K10" i="9"/>
  <c r="B11" i="9"/>
  <c r="K11" i="9"/>
  <c r="B12" i="9"/>
  <c r="K12" i="9"/>
  <c r="B13" i="9"/>
  <c r="K13" i="9"/>
  <c r="B14" i="9"/>
  <c r="K14" i="9"/>
  <c r="B15" i="9"/>
  <c r="K15" i="9"/>
  <c r="B16" i="9"/>
  <c r="K16" i="9"/>
  <c r="B17" i="9"/>
  <c r="K17" i="9"/>
  <c r="B18" i="9"/>
  <c r="K18" i="9"/>
  <c r="B19" i="9"/>
  <c r="K19" i="9"/>
  <c r="B20" i="9"/>
  <c r="K20" i="9"/>
  <c r="B21" i="9"/>
  <c r="K21" i="9"/>
  <c r="B22" i="9"/>
  <c r="K22" i="9"/>
  <c r="B23" i="9"/>
  <c r="K23" i="9"/>
  <c r="B24" i="9"/>
  <c r="K24" i="9"/>
  <c r="B25" i="9"/>
  <c r="K25" i="9"/>
  <c r="B26" i="9"/>
  <c r="K26" i="9"/>
  <c r="B27" i="9"/>
  <c r="K27" i="9"/>
  <c r="B28" i="9"/>
  <c r="K28" i="9"/>
  <c r="B29" i="9"/>
  <c r="K29" i="9"/>
  <c r="B30" i="9"/>
  <c r="K30" i="9"/>
  <c r="B31" i="9"/>
  <c r="K31" i="9"/>
  <c r="B32" i="9"/>
  <c r="K32" i="9"/>
  <c r="W11" i="8"/>
  <c r="W12" i="8"/>
  <c r="U11" i="8"/>
  <c r="T11" i="8"/>
  <c r="R12" i="8"/>
  <c r="X14" i="4"/>
  <c r="Z13" i="4"/>
  <c r="N11" i="8"/>
  <c r="X13" i="4"/>
  <c r="J11" i="8"/>
  <c r="I12" i="8"/>
  <c r="J13" i="3"/>
  <c r="K13" i="3"/>
  <c r="F11" i="8"/>
  <c r="E12" i="8"/>
  <c r="AA13" i="4"/>
  <c r="Y13" i="4"/>
  <c r="W13" i="8"/>
  <c r="T12" i="8"/>
  <c r="H12" i="8"/>
  <c r="J14" i="3"/>
  <c r="K14" i="3"/>
  <c r="F13" i="8"/>
  <c r="Z14" i="4"/>
  <c r="K12" i="8"/>
  <c r="I14" i="4"/>
  <c r="Y14" i="4"/>
  <c r="AA14" i="4"/>
  <c r="Z15" i="4"/>
  <c r="AA15" i="4"/>
  <c r="N13" i="8"/>
  <c r="M13" i="8"/>
  <c r="I13" i="8"/>
  <c r="I15" i="4"/>
  <c r="Y15" i="4"/>
  <c r="J15" i="3"/>
  <c r="K15" i="3"/>
  <c r="H13" i="8"/>
  <c r="S15" i="1"/>
  <c r="R13" i="8"/>
  <c r="Z16" i="4"/>
  <c r="M14" i="8"/>
  <c r="I16" i="4"/>
  <c r="I14" i="8"/>
  <c r="X16" i="4"/>
  <c r="K15" i="8"/>
  <c r="J16" i="3"/>
  <c r="K16" i="3"/>
  <c r="F15" i="8"/>
  <c r="F14" i="8"/>
  <c r="AA16" i="4"/>
  <c r="Y16" i="4"/>
  <c r="U30" i="8"/>
  <c r="P31" i="1"/>
  <c r="P27" i="1"/>
  <c r="U21" i="8"/>
  <c r="P22" i="1"/>
  <c r="J20" i="1"/>
  <c r="U17" i="8"/>
  <c r="T16" i="8"/>
  <c r="J17" i="1"/>
  <c r="G6" i="1"/>
  <c r="S5" i="8"/>
  <c r="D4" i="1"/>
  <c r="R3" i="8"/>
  <c r="P13" i="1"/>
  <c r="M16" i="1"/>
  <c r="V15" i="8"/>
  <c r="V13" i="8"/>
  <c r="V12" i="8"/>
  <c r="T2" i="8"/>
  <c r="M32" i="1"/>
  <c r="G30" i="1"/>
  <c r="S29" i="8"/>
  <c r="M29" i="1"/>
  <c r="S26" i="1"/>
  <c r="W25" i="8"/>
  <c r="G26" i="1"/>
  <c r="M25" i="1"/>
  <c r="M24" i="1"/>
  <c r="V23" i="8"/>
  <c r="S23" i="1"/>
  <c r="W22" i="8"/>
  <c r="W21" i="8"/>
  <c r="G22" i="1"/>
  <c r="S21" i="8"/>
  <c r="M21" i="1"/>
  <c r="W18" i="8"/>
  <c r="G18" i="1"/>
  <c r="S17" i="8"/>
  <c r="M17" i="1"/>
  <c r="V16" i="8"/>
  <c r="M15" i="1"/>
  <c r="P14" i="1"/>
  <c r="R11" i="8"/>
  <c r="D12" i="1"/>
  <c r="R7" i="8"/>
  <c r="D8" i="1"/>
  <c r="P3" i="1"/>
  <c r="U2" i="8"/>
  <c r="J33" i="1"/>
  <c r="J34" i="1"/>
  <c r="P30" i="1"/>
  <c r="J25" i="1"/>
  <c r="U22" i="8"/>
  <c r="P23" i="1"/>
  <c r="P19" i="1"/>
  <c r="G10" i="1"/>
  <c r="S9" i="8"/>
  <c r="T3" i="1"/>
  <c r="U3" i="1"/>
  <c r="T13" i="1"/>
  <c r="U13" i="1"/>
  <c r="V25" i="8"/>
  <c r="W19" i="8"/>
  <c r="S16" i="8"/>
  <c r="R9" i="8"/>
  <c r="R5" i="8"/>
  <c r="V2" i="8"/>
  <c r="D32" i="1"/>
  <c r="D34" i="1"/>
  <c r="D28" i="1"/>
  <c r="R19" i="8"/>
  <c r="R16" i="8"/>
  <c r="J16" i="1"/>
  <c r="T15" i="8"/>
  <c r="P15" i="1"/>
  <c r="U14" i="8"/>
  <c r="S3" i="1"/>
  <c r="W2" i="8"/>
  <c r="G3" i="1"/>
  <c r="S2" i="8"/>
  <c r="S11" i="8"/>
  <c r="S32" i="8"/>
  <c r="S28" i="8"/>
  <c r="S20" i="8"/>
  <c r="S12" i="8"/>
  <c r="S7" i="8"/>
  <c r="S3" i="8"/>
  <c r="T10" i="1"/>
  <c r="U10" i="1"/>
  <c r="T8" i="1"/>
  <c r="U8" i="1"/>
  <c r="T6" i="1"/>
  <c r="U6" i="1"/>
  <c r="T4" i="1"/>
  <c r="U4" i="1"/>
  <c r="T12" i="1"/>
  <c r="U12" i="1"/>
  <c r="S18" i="8"/>
  <c r="S15" i="8"/>
  <c r="G15" i="1"/>
  <c r="T14" i="1"/>
  <c r="U14" i="1"/>
  <c r="D16" i="1"/>
  <c r="R14" i="8"/>
  <c r="D15" i="1"/>
  <c r="T16" i="1"/>
  <c r="U16" i="1"/>
  <c r="T15" i="1"/>
  <c r="U15" i="1"/>
  <c r="Z17" i="4"/>
  <c r="M15" i="8"/>
  <c r="X17" i="4"/>
  <c r="Y17" i="4"/>
  <c r="J16" i="8"/>
  <c r="J17" i="3"/>
  <c r="E15" i="8"/>
  <c r="AA17" i="4"/>
  <c r="K17" i="3"/>
  <c r="V17" i="8"/>
  <c r="T17" i="1"/>
  <c r="U17" i="1"/>
  <c r="D17" i="1"/>
  <c r="Z18" i="4"/>
  <c r="AA18" i="4"/>
  <c r="N17" i="8"/>
  <c r="Z19" i="4"/>
  <c r="AA19" i="4"/>
  <c r="X18" i="4"/>
  <c r="Y18" i="4"/>
  <c r="L16" i="8"/>
  <c r="K16" i="8"/>
  <c r="J18" i="3"/>
  <c r="K18" i="3"/>
  <c r="W17" i="8"/>
  <c r="T18" i="1"/>
  <c r="X19" i="4"/>
  <c r="I20" i="4"/>
  <c r="I19" i="4"/>
  <c r="J19" i="3"/>
  <c r="K19" i="3"/>
  <c r="G17" i="8"/>
  <c r="J20" i="3"/>
  <c r="K20" i="3"/>
  <c r="U18" i="1"/>
  <c r="Y19" i="4"/>
  <c r="V19" i="8"/>
  <c r="M19" i="1"/>
  <c r="T19" i="1"/>
  <c r="U19" i="1"/>
  <c r="Z20" i="4"/>
  <c r="AA20" i="4"/>
  <c r="X20" i="4"/>
  <c r="J21" i="3"/>
  <c r="K21" i="3"/>
  <c r="Y20" i="4"/>
  <c r="U19" i="8"/>
  <c r="P20" i="1"/>
  <c r="T20" i="8"/>
  <c r="S19" i="8"/>
  <c r="T20" i="1"/>
  <c r="U20" i="1"/>
  <c r="D20" i="1"/>
  <c r="X21" i="4"/>
  <c r="Z22" i="4"/>
  <c r="Z21" i="4"/>
  <c r="X22" i="4"/>
  <c r="Y21" i="4"/>
  <c r="AA21" i="4"/>
  <c r="T22" i="1"/>
  <c r="U22" i="1"/>
  <c r="R20" i="8"/>
  <c r="D21" i="1"/>
  <c r="J22" i="3"/>
  <c r="AA22" i="4"/>
  <c r="L20" i="8"/>
  <c r="K21" i="8"/>
  <c r="I22" i="4"/>
  <c r="Y22" i="4"/>
  <c r="K22" i="3"/>
  <c r="J23" i="3"/>
  <c r="K23" i="3"/>
  <c r="Z24" i="4"/>
  <c r="Z23" i="4"/>
  <c r="N21" i="8"/>
  <c r="N22" i="8"/>
  <c r="X23" i="4"/>
  <c r="M21" i="8"/>
  <c r="X24" i="4"/>
  <c r="I23" i="4"/>
  <c r="T21" i="8"/>
  <c r="AA23" i="4"/>
  <c r="Y23" i="4"/>
  <c r="T23" i="8"/>
  <c r="T23" i="1"/>
  <c r="U23" i="1"/>
  <c r="R22" i="8"/>
  <c r="AA24" i="4"/>
  <c r="Y24" i="4"/>
  <c r="J24" i="3"/>
  <c r="K24" i="3"/>
  <c r="W23" i="8"/>
  <c r="S23" i="8"/>
  <c r="R23" i="8"/>
  <c r="T24" i="1"/>
  <c r="X25" i="4"/>
  <c r="Z25" i="4"/>
  <c r="I25" i="4"/>
  <c r="J23" i="8"/>
  <c r="I24" i="8"/>
  <c r="J26" i="3"/>
  <c r="K26" i="3"/>
  <c r="J25" i="3"/>
  <c r="U24" i="1"/>
  <c r="Y25" i="4"/>
  <c r="AA25" i="4"/>
  <c r="K25" i="3"/>
  <c r="U24" i="8"/>
  <c r="T25" i="1"/>
  <c r="U25" i="1"/>
  <c r="S24" i="8"/>
  <c r="Z26" i="4"/>
  <c r="AA26" i="4"/>
  <c r="Z27" i="4"/>
  <c r="AA27" i="4"/>
  <c r="X26" i="4"/>
  <c r="Y26" i="4"/>
  <c r="W26" i="8"/>
  <c r="T26" i="8"/>
  <c r="J26" i="1"/>
  <c r="T26" i="1"/>
  <c r="U26" i="1"/>
  <c r="X27" i="4"/>
  <c r="J27" i="3"/>
  <c r="K27" i="3"/>
  <c r="S26" i="8"/>
  <c r="T27" i="1"/>
  <c r="R26" i="8"/>
  <c r="P26" i="8"/>
  <c r="Z28" i="4"/>
  <c r="X28" i="4"/>
  <c r="AA28" i="4"/>
  <c r="L27" i="8"/>
  <c r="I27" i="4"/>
  <c r="Y27" i="4"/>
  <c r="I28" i="4"/>
  <c r="J28" i="3"/>
  <c r="K28" i="3"/>
  <c r="J29" i="3"/>
  <c r="K29" i="3"/>
  <c r="U27" i="1"/>
  <c r="Y28" i="4"/>
  <c r="Z29" i="4"/>
  <c r="X29" i="4"/>
  <c r="L28" i="8"/>
  <c r="I29" i="4"/>
  <c r="Y29" i="4"/>
  <c r="I27" i="8"/>
  <c r="T27" i="8"/>
  <c r="T28" i="1"/>
  <c r="R28" i="8"/>
  <c r="AA29" i="4"/>
  <c r="U28" i="1"/>
  <c r="U28" i="8"/>
  <c r="T28" i="8"/>
  <c r="T29" i="1"/>
  <c r="H28" i="8"/>
  <c r="J30" i="3"/>
  <c r="Z30" i="4"/>
  <c r="X30" i="4"/>
  <c r="K28" i="8"/>
  <c r="U29" i="1"/>
  <c r="K30" i="3"/>
  <c r="AA30" i="4"/>
  <c r="Z31" i="4"/>
  <c r="AA31" i="4"/>
  <c r="M35" i="4"/>
  <c r="X31" i="4"/>
  <c r="X35" i="4"/>
  <c r="I31" i="4"/>
  <c r="Y31" i="4"/>
  <c r="W29" i="8"/>
  <c r="R34" i="1"/>
  <c r="V30" i="8"/>
  <c r="T30" i="8"/>
  <c r="T30" i="1"/>
  <c r="E35" i="3"/>
  <c r="J31" i="3"/>
  <c r="Z35" i="4"/>
  <c r="U30" i="1"/>
  <c r="J35" i="3"/>
  <c r="K31" i="3"/>
  <c r="K35" i="3"/>
  <c r="W30" i="8"/>
  <c r="F34" i="1"/>
  <c r="R30" i="8"/>
  <c r="T31" i="1"/>
  <c r="S35" i="4"/>
  <c r="Z32" i="4"/>
  <c r="AA32" i="4"/>
  <c r="X32" i="4"/>
  <c r="M30" i="8"/>
  <c r="I32" i="4"/>
  <c r="Y32" i="4"/>
  <c r="I31" i="8"/>
  <c r="F35" i="4"/>
  <c r="J32" i="3"/>
  <c r="K32" i="3"/>
  <c r="J33" i="3"/>
  <c r="K33" i="3"/>
  <c r="G30" i="8"/>
  <c r="U31" i="1"/>
  <c r="U31" i="8"/>
  <c r="O34" i="1"/>
  <c r="I34" i="1"/>
  <c r="T32" i="8"/>
  <c r="T32" i="1"/>
  <c r="U32" i="1"/>
  <c r="Z33" i="4"/>
  <c r="AA33" i="4"/>
  <c r="O35" i="4"/>
  <c r="K31" i="8"/>
  <c r="X33" i="4"/>
  <c r="I34" i="4"/>
  <c r="I33" i="4"/>
  <c r="I32" i="8"/>
  <c r="E31" i="8"/>
  <c r="Y33" i="4"/>
  <c r="L34" i="1"/>
  <c r="M33" i="1"/>
  <c r="M34" i="1"/>
  <c r="T33" i="1"/>
  <c r="D26" i="6"/>
  <c r="C27" i="6"/>
  <c r="D27" i="6"/>
  <c r="C5" i="6"/>
  <c r="D5" i="6"/>
  <c r="C6" i="6"/>
  <c r="D6" i="6"/>
  <c r="Z34" i="4"/>
  <c r="AA34" i="4"/>
  <c r="K13" i="6"/>
  <c r="K35" i="4"/>
  <c r="X34" i="4"/>
  <c r="Y34" i="4"/>
  <c r="I35" i="4"/>
  <c r="K5" i="6"/>
  <c r="D14" i="6"/>
  <c r="C16" i="6"/>
  <c r="D16" i="6"/>
  <c r="E32" i="8"/>
  <c r="C10" i="6"/>
  <c r="D10" i="6"/>
  <c r="C8" i="6"/>
  <c r="C7" i="6"/>
  <c r="D7" i="6"/>
  <c r="T34" i="1"/>
  <c r="U33" i="1"/>
  <c r="U34" i="1"/>
  <c r="K14" i="6"/>
  <c r="C2" i="6"/>
  <c r="D2" i="6"/>
  <c r="C22" i="6"/>
  <c r="D22" i="6"/>
  <c r="D8" i="6"/>
  <c r="Y35" i="4"/>
</calcChain>
</file>

<file path=xl/comments1.xml><?xml version="1.0" encoding="utf-8"?>
<comments xmlns="http://schemas.openxmlformats.org/spreadsheetml/2006/main">
  <authors>
    <author>Mohamed Amin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
</t>
        </r>
      </text>
    </comment>
  </commentList>
</comments>
</file>

<file path=xl/sharedStrings.xml><?xml version="1.0" encoding="utf-8"?>
<sst xmlns="http://schemas.openxmlformats.org/spreadsheetml/2006/main" count="465" uniqueCount="154">
  <si>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</si>
  <si>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</si>
  <si>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</si>
  <si>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</si>
  <si>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</si>
  <si>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</si>
  <si>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</si>
  <si>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</si>
  <si>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</si>
  <si>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</si>
  <si>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</si>
  <si>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</si>
  <si>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</si>
  <si>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</si>
  <si>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</si>
  <si>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</si>
  <si>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</si>
  <si>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</si>
  <si>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</si>
  <si>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</si>
  <si>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</si>
  <si>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</si>
  <si>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</si>
  <si>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</si>
  <si>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 xml:space="preserve">Last </t>
  </si>
  <si>
    <t xml:space="preserve">                                     </t>
  </si>
  <si>
    <t xml:space="preserve">        </t>
  </si>
  <si>
    <t xml:space="preserve">         </t>
  </si>
  <si>
    <t>Total</t>
  </si>
  <si>
    <t xml:space="preserve">                            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</si>
  <si>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</si>
  <si>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</si>
  <si>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</si>
  <si>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</si>
  <si>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</si>
  <si>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</si>
  <si>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</si>
  <si>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</si>
  <si>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</si>
  <si>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</si>
  <si>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</si>
  <si>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</si>
  <si>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</si>
  <si>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</si>
  <si>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</si>
  <si>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</si>
  <si>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</si>
  <si>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</si>
  <si>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</si>
  <si>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</si>
  <si>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</si>
  <si>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</si>
  <si>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</si>
  <si>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</si>
  <si>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</si>
  <si>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</si>
  <si>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</si>
  <si>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</si>
  <si>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</si>
  <si>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</si>
  <si>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</si>
  <si>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</si>
  <si>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Rotana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</si>
  <si>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</si>
  <si>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</si>
  <si>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</si>
  <si>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</si>
  <si>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</si>
  <si>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</si>
  <si>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</si>
  <si>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</si>
  <si>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</si>
  <si>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</si>
  <si>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</si>
  <si>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</si>
  <si>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</si>
  <si>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</si>
  <si>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</si>
  <si>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</si>
  <si>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</si>
  <si>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</si>
  <si>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</si>
  <si>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</si>
  <si>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</si>
  <si>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</si>
  <si>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Four Season Nile Plaza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</si>
  <si>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</si>
  <si>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</si>
  <si>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</si>
  <si>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</si>
  <si>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</si>
  <si>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</si>
  <si>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</si>
  <si>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</si>
  <si>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</si>
  <si>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</si>
  <si>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</si>
  <si>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</si>
  <si>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</si>
  <si>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</si>
  <si>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 xml:space="preserve">Quantity
</t>
  </si>
  <si>
    <t>`</t>
  </si>
  <si>
    <t xml:space="preserve">Estimated value as there is no water Flow meter </t>
  </si>
  <si>
    <t>ROE</t>
  </si>
  <si>
    <t>Acutal till Dec. 2018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</si>
  <si>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</si>
  <si>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</si>
  <si>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</si>
  <si>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</si>
  <si>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</si>
  <si>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</si>
  <si>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</si>
  <si>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</si>
  <si>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</si>
  <si>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</si>
  <si>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</si>
  <si>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</si>
  <si>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</si>
  <si>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</si>
  <si>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</si>
  <si>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</si>
  <si>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</si>
  <si>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</si>
  <si>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</si>
  <si>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</si>
  <si>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</si>
  <si>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</si>
  <si>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</si>
  <si>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</si>
  <si>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</si>
  <si>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</si>
  <si>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</si>
  <si>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</si>
  <si>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</si>
  <si>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</si>
  <si>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</si>
  <si>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</si>
  <si>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.</t>
  </si>
  <si>
    <t>Jan . 2018</t>
  </si>
  <si>
    <t>Feb . 2018</t>
  </si>
  <si>
    <t>Acutal till Jan. 2019</t>
  </si>
  <si>
    <t>Acutal till Feb. 2019</t>
  </si>
  <si>
    <t>Main Building, Podium, Hotel and Large cons.  Mar 2019</t>
  </si>
  <si>
    <t>Gas Con. Mar  2019</t>
  </si>
  <si>
    <t>Mall, Citadel and Rotana readings and cons.  Mar 2019</t>
  </si>
  <si>
    <t>Feeders and transformers Electrity cons.  Mar  2019</t>
  </si>
  <si>
    <t>Energy Monthly Statement Mar . 2019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</si>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</sst>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.0"/>
    <numFmt numFmtId="166" formatCode="[$-409]d\-mmm\-yyyy;@"/>
    <numFmt numFmtId="167" formatCode="[$-409]mmm\-yy;@"/>
    <numFmt numFmtId="168" formatCode="0.000"/>
    <numFmt numFmtId="170" formatCode="0.00;[Red]0.00"/>
  </numFmts>
  <fonts count="5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Calibri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color indexed="12"/>
      <name val="Arial"/>
      <family val="2"/>
    </font>
    <font>
      <b/>
      <sz val="12"/>
      <color indexed="30"/>
      <name val="Arial"/>
      <family val="2"/>
    </font>
    <font>
      <b/>
      <sz val="12"/>
      <color indexed="12"/>
      <name val="Arial"/>
      <family val="2"/>
    </font>
    <font>
      <b/>
      <sz val="18"/>
      <name val="Arial"/>
      <family val="2"/>
    </font>
    <font>
      <b/>
      <sz val="12"/>
      <name val="Trebuchet MS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8"/>
      <name val="Trebuchet MS"/>
      <family val="2"/>
    </font>
    <font>
      <sz val="11"/>
      <color indexed="20"/>
      <name val="Calibri"/>
      <family val="2"/>
    </font>
    <font>
      <sz val="10"/>
      <color indexed="30"/>
      <name val="Trebuchet MS"/>
      <family val="2"/>
    </font>
    <font>
      <b/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i/>
      <sz val="12"/>
      <name val="Arial"/>
      <family val="2"/>
    </font>
    <font>
      <u/>
      <sz val="12"/>
      <color indexed="10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10"/>
      <color indexed="12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206">
    <xf numFmtId="0" fontId="0" fillId="0" borderId="0" xfId="0"/>
    <xf numFmtId="0" fontId="4" fillId="0" borderId="1" xfId="0" applyFont="1" applyBorder="1" applyAlignment="1">
      <alignment horizontal="center"/>
    </xf>
    <xf numFmtId="0" fontId="3" fillId="0" borderId="0" xfId="0" applyFont="1"/>
    <xf numFmtId="16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6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4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3" fillId="0" borderId="0" xfId="4" applyFont="1"/>
    <xf numFmtId="0" fontId="18" fillId="4" borderId="4" xfId="4" applyFont="1" applyFill="1" applyBorder="1" applyAlignment="1">
      <alignment horizontal="center" vertical="center" wrapText="1"/>
    </xf>
    <xf numFmtId="0" fontId="18" fillId="4" borderId="4" xfId="4" applyFont="1" applyFill="1" applyBorder="1" applyAlignment="1">
      <alignment horizontal="left" vertical="center" wrapText="1"/>
    </xf>
    <xf numFmtId="0" fontId="19" fillId="4" borderId="4" xfId="4" applyFont="1" applyFill="1" applyBorder="1" applyAlignment="1">
      <alignment horizontal="center" vertical="center" wrapText="1"/>
    </xf>
    <xf numFmtId="0" fontId="20" fillId="0" borderId="4" xfId="4" applyFont="1" applyBorder="1" applyAlignment="1">
      <alignment horizontal="left" vertical="center" wrapText="1"/>
    </xf>
    <xf numFmtId="3" fontId="20" fillId="5" borderId="4" xfId="4" applyNumberFormat="1" applyFont="1" applyFill="1" applyBorder="1" applyAlignment="1">
      <alignment horizontal="left" vertical="center" wrapText="1"/>
    </xf>
    <xf numFmtId="3" fontId="18" fillId="0" borderId="4" xfId="4" applyNumberFormat="1" applyFont="1" applyBorder="1" applyAlignment="1">
      <alignment horizontal="left" vertical="center" wrapText="1"/>
    </xf>
    <xf numFmtId="0" fontId="21" fillId="0" borderId="4" xfId="4" applyFont="1" applyBorder="1" applyAlignment="1">
      <alignment horizontal="center" vertical="center" wrapText="1"/>
    </xf>
    <xf numFmtId="3" fontId="22" fillId="0" borderId="4" xfId="4" applyNumberFormat="1" applyFont="1" applyFill="1" applyBorder="1" applyAlignment="1">
      <alignment horizontal="left" vertical="center" wrapText="1"/>
    </xf>
    <xf numFmtId="3" fontId="18" fillId="0" borderId="4" xfId="4" applyNumberFormat="1" applyFont="1" applyFill="1" applyBorder="1" applyAlignment="1">
      <alignment horizontal="left" vertical="center" wrapText="1"/>
    </xf>
    <xf numFmtId="0" fontId="19" fillId="0" borderId="4" xfId="4" applyFont="1" applyBorder="1" applyAlignment="1">
      <alignment horizontal="left" vertical="center" wrapText="1"/>
    </xf>
    <xf numFmtId="0" fontId="3" fillId="0" borderId="0" xfId="4"/>
    <xf numFmtId="0" fontId="3" fillId="3" borderId="0" xfId="4" applyFill="1"/>
    <xf numFmtId="3" fontId="20" fillId="0" borderId="4" xfId="4" applyNumberFormat="1" applyFont="1" applyFill="1" applyBorder="1" applyAlignment="1">
      <alignment horizontal="left" vertical="center" wrapText="1"/>
    </xf>
    <xf numFmtId="3" fontId="24" fillId="5" borderId="4" xfId="4" applyNumberFormat="1" applyFont="1" applyFill="1" applyBorder="1" applyAlignment="1">
      <alignment horizontal="left" vertical="center" wrapText="1"/>
    </xf>
    <xf numFmtId="0" fontId="21" fillId="3" borderId="4" xfId="4" applyFont="1" applyFill="1" applyBorder="1" applyAlignment="1">
      <alignment horizontal="center" vertical="center" wrapText="1"/>
    </xf>
    <xf numFmtId="3" fontId="25" fillId="0" borderId="4" xfId="4" applyNumberFormat="1" applyFont="1" applyFill="1" applyBorder="1" applyAlignment="1">
      <alignment horizontal="left" vertical="center" wrapText="1"/>
    </xf>
    <xf numFmtId="0" fontId="18" fillId="6" borderId="5" xfId="4" applyFont="1" applyFill="1" applyBorder="1" applyAlignment="1">
      <alignment horizontal="center" vertical="center" wrapText="1"/>
    </xf>
    <xf numFmtId="0" fontId="20" fillId="6" borderId="4" xfId="4" applyFont="1" applyFill="1" applyBorder="1" applyAlignment="1">
      <alignment horizontal="left" vertical="center" wrapText="1"/>
    </xf>
    <xf numFmtId="3" fontId="20" fillId="6" borderId="4" xfId="4" applyNumberFormat="1" applyFont="1" applyFill="1" applyBorder="1" applyAlignment="1">
      <alignment horizontal="left" vertical="center" wrapText="1"/>
    </xf>
    <xf numFmtId="0" fontId="21" fillId="6" borderId="4" xfId="4" applyFont="1" applyFill="1" applyBorder="1" applyAlignment="1">
      <alignment horizontal="center" vertical="center" wrapText="1"/>
    </xf>
    <xf numFmtId="0" fontId="20" fillId="0" borderId="4" xfId="4" applyFont="1" applyFill="1" applyBorder="1" applyAlignment="1">
      <alignment horizontal="left" vertical="center" wrapText="1"/>
    </xf>
    <xf numFmtId="3" fontId="21" fillId="5" borderId="4" xfId="4" applyNumberFormat="1" applyFont="1" applyFill="1" applyBorder="1" applyAlignment="1">
      <alignment horizontal="left" vertical="center" wrapText="1"/>
    </xf>
    <xf numFmtId="0" fontId="18" fillId="6" borderId="4" xfId="4" applyFont="1" applyFill="1" applyBorder="1" applyAlignment="1">
      <alignment horizontal="center" vertical="center" wrapText="1"/>
    </xf>
    <xf numFmtId="0" fontId="21" fillId="0" borderId="4" xfId="4" applyFont="1" applyFill="1" applyBorder="1" applyAlignment="1">
      <alignment horizontal="center" vertical="center" wrapText="1"/>
    </xf>
    <xf numFmtId="0" fontId="26" fillId="0" borderId="4" xfId="4" applyFont="1" applyFill="1" applyBorder="1" applyAlignment="1">
      <alignment horizontal="left" vertical="center" wrapText="1"/>
    </xf>
    <xf numFmtId="3" fontId="25" fillId="0" borderId="4" xfId="4" applyNumberFormat="1" applyFont="1" applyBorder="1" applyAlignment="1">
      <alignment horizontal="left" vertical="center" wrapText="1"/>
    </xf>
    <xf numFmtId="3" fontId="18" fillId="6" borderId="4" xfId="4" applyNumberFormat="1" applyFont="1" applyFill="1" applyBorder="1" applyAlignment="1">
      <alignment horizontal="left" vertical="center" wrapText="1"/>
    </xf>
    <xf numFmtId="3" fontId="27" fillId="4" borderId="4" xfId="4" applyNumberFormat="1" applyFont="1" applyFill="1" applyBorder="1" applyAlignment="1">
      <alignment horizontal="left" vertical="center"/>
    </xf>
    <xf numFmtId="0" fontId="28" fillId="0" borderId="0" xfId="4" applyFont="1" applyAlignment="1">
      <alignment vertical="center"/>
    </xf>
    <xf numFmtId="0" fontId="3" fillId="0" borderId="0" xfId="3"/>
    <xf numFmtId="17" fontId="2" fillId="0" borderId="0" xfId="3" applyNumberFormat="1" applyFont="1"/>
    <xf numFmtId="0" fontId="4" fillId="0" borderId="1" xfId="3" applyFont="1" applyBorder="1" applyAlignment="1">
      <alignment horizontal="center"/>
    </xf>
    <xf numFmtId="0" fontId="4" fillId="7" borderId="1" xfId="3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3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9" fillId="0" borderId="0" xfId="0" applyFont="1"/>
    <xf numFmtId="0" fontId="29" fillId="0" borderId="1" xfId="0" applyFont="1" applyBorder="1" applyAlignment="1">
      <alignment horizontal="center"/>
    </xf>
    <xf numFmtId="0" fontId="30" fillId="4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9" fillId="0" borderId="1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29" fillId="0" borderId="1" xfId="0" applyFont="1" applyBorder="1"/>
    <xf numFmtId="0" fontId="31" fillId="4" borderId="1" xfId="0" applyFont="1" applyFill="1" applyBorder="1" applyAlignment="1">
      <alignment horizontal="center"/>
    </xf>
    <xf numFmtId="0" fontId="32" fillId="0" borderId="1" xfId="0" applyFont="1" applyBorder="1"/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4" fillId="0" borderId="0" xfId="5" applyFont="1" applyFill="1" applyBorder="1" applyAlignment="1">
      <alignment horizontal="center"/>
    </xf>
    <xf numFmtId="0" fontId="34" fillId="11" borderId="4" xfId="5" applyFont="1" applyFill="1" applyBorder="1"/>
    <xf numFmtId="0" fontId="3" fillId="8" borderId="4" xfId="0" applyFont="1" applyFill="1" applyBorder="1" applyAlignment="1">
      <alignment horizontal="center" vertical="center"/>
    </xf>
    <xf numFmtId="0" fontId="3" fillId="0" borderId="4" xfId="0" applyFont="1" applyBorder="1"/>
    <xf numFmtId="0" fontId="3" fillId="8" borderId="4" xfId="0" applyFont="1" applyFill="1" applyBorder="1"/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37" fillId="4" borderId="1" xfId="0" applyFont="1" applyFill="1" applyBorder="1" applyAlignment="1">
      <alignment horizontal="center"/>
    </xf>
    <xf numFmtId="170" fontId="29" fillId="3" borderId="1" xfId="0" applyNumberFormat="1" applyFont="1" applyFill="1" applyBorder="1" applyAlignment="1">
      <alignment horizontal="center"/>
    </xf>
    <xf numFmtId="170" fontId="31" fillId="4" borderId="1" xfId="0" applyNumberFormat="1" applyFont="1" applyFill="1" applyBorder="1" applyAlignment="1">
      <alignment horizontal="center"/>
    </xf>
    <xf numFmtId="0" fontId="20" fillId="0" borderId="6" xfId="4" applyFont="1" applyBorder="1" applyAlignment="1">
      <alignment horizontal="left" vertical="center" wrapText="1"/>
    </xf>
    <xf numFmtId="0" fontId="20" fillId="0" borderId="7" xfId="4" applyFont="1" applyBorder="1" applyAlignment="1">
      <alignment horizontal="left" vertical="center" wrapText="1"/>
    </xf>
    <xf numFmtId="0" fontId="19" fillId="0" borderId="6" xfId="4" applyFont="1" applyBorder="1" applyAlignment="1">
      <alignment horizontal="left" vertical="center" wrapText="1"/>
    </xf>
    <xf numFmtId="0" fontId="19" fillId="0" borderId="7" xfId="4" applyFont="1" applyBorder="1" applyAlignment="1">
      <alignment horizontal="left" vertical="center" wrapText="1"/>
    </xf>
    <xf numFmtId="0" fontId="1" fillId="0" borderId="0" xfId="0" applyFont="1"/>
    <xf numFmtId="0" fontId="7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0" fillId="13" borderId="4" xfId="0" applyFill="1" applyBorder="1"/>
    <xf numFmtId="0" fontId="0" fillId="13" borderId="4" xfId="0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0" fontId="34" fillId="0" borderId="0" xfId="5" applyFont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4" fillId="11" borderId="1" xfId="5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/>
    </xf>
    <xf numFmtId="0" fontId="3" fillId="8" borderId="1" xfId="5" applyFont="1" applyFill="1" applyBorder="1" applyAlignment="1">
      <alignment horizontal="center" vertical="center"/>
    </xf>
    <xf numFmtId="43" fontId="34" fillId="0" borderId="1" xfId="2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4" fillId="0" borderId="0" xfId="5" applyFont="1" applyFill="1" applyBorder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4" fillId="0" borderId="1" xfId="5" applyFont="1" applyFill="1" applyBorder="1" applyAlignment="1">
      <alignment horizontal="center" vertical="center"/>
    </xf>
    <xf numFmtId="164" fontId="34" fillId="0" borderId="1" xfId="5" applyNumberFormat="1" applyFont="1" applyFill="1" applyBorder="1" applyAlignment="1">
      <alignment horizontal="center" vertical="center"/>
    </xf>
    <xf numFmtId="43" fontId="3" fillId="0" borderId="1" xfId="5" applyNumberFormat="1" applyFont="1" applyFill="1" applyBorder="1" applyAlignment="1">
      <alignment horizontal="center" vertical="center"/>
    </xf>
    <xf numFmtId="164" fontId="34" fillId="0" borderId="1" xfId="2" applyNumberFormat="1" applyFont="1" applyFill="1" applyBorder="1" applyAlignment="1">
      <alignment horizontal="center" vertical="center"/>
    </xf>
    <xf numFmtId="0" fontId="34" fillId="11" borderId="4" xfId="5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0" fontId="3" fillId="0" borderId="0" xfId="2" applyNumberFormat="1" applyFont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164" fontId="34" fillId="0" borderId="0" xfId="0" applyNumberFormat="1" applyFont="1" applyBorder="1" applyAlignment="1">
      <alignment horizontal="center" vertical="center"/>
    </xf>
    <xf numFmtId="164" fontId="34" fillId="0" borderId="0" xfId="5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164" fontId="34" fillId="0" borderId="8" xfId="5" applyNumberFormat="1" applyFont="1" applyFill="1" applyBorder="1" applyAlignment="1">
      <alignment horizontal="center" vertical="center"/>
    </xf>
    <xf numFmtId="0" fontId="3" fillId="0" borderId="0" xfId="3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14" borderId="0" xfId="0" applyFont="1" applyFill="1" applyAlignment="1">
      <alignment horizontal="center"/>
    </xf>
    <xf numFmtId="0" fontId="44" fillId="14" borderId="1" xfId="0" applyFont="1" applyFill="1" applyBorder="1" applyAlignment="1">
      <alignment horizontal="center"/>
    </xf>
    <xf numFmtId="0" fontId="45" fillId="14" borderId="1" xfId="0" applyFont="1" applyFill="1" applyBorder="1" applyAlignment="1">
      <alignment horizontal="center"/>
    </xf>
    <xf numFmtId="0" fontId="3" fillId="0" borderId="9" xfId="4" applyFont="1" applyFill="1" applyBorder="1" applyAlignment="1"/>
    <xf numFmtId="0" fontId="43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46" fillId="0" borderId="1" xfId="0" applyNumberFormat="1" applyFont="1" applyBorder="1" applyAlignment="1">
      <alignment horizontal="center" vertical="center"/>
    </xf>
    <xf numFmtId="1" fontId="47" fillId="0" borderId="0" xfId="0" applyNumberFormat="1" applyFont="1"/>
    <xf numFmtId="1" fontId="46" fillId="0" borderId="0" xfId="0" applyNumberFormat="1" applyFont="1" applyAlignment="1">
      <alignment horizontal="center" vertical="center"/>
    </xf>
    <xf numFmtId="1" fontId="48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2" fontId="46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/>
    </xf>
    <xf numFmtId="1" fontId="49" fillId="0" borderId="1" xfId="0" applyNumberFormat="1" applyFont="1" applyBorder="1" applyAlignment="1">
      <alignment horizontal="center" vertical="center"/>
    </xf>
    <xf numFmtId="0" fontId="39" fillId="0" borderId="0" xfId="0" applyFont="1"/>
    <xf numFmtId="2" fontId="5" fillId="4" borderId="1" xfId="0" applyNumberFormat="1" applyFont="1" applyFill="1" applyBorder="1" applyAlignment="1">
      <alignment horizontal="center"/>
    </xf>
    <xf numFmtId="0" fontId="50" fillId="0" borderId="10" xfId="0" applyFont="1" applyBorder="1"/>
    <xf numFmtId="0" fontId="51" fillId="0" borderId="0" xfId="0" applyFont="1"/>
    <xf numFmtId="1" fontId="43" fillId="0" borderId="10" xfId="0" applyNumberFormat="1" applyFont="1" applyBorder="1" applyAlignment="1">
      <alignment wrapText="1"/>
    </xf>
    <xf numFmtId="0" fontId="43" fillId="0" borderId="10" xfId="0" applyFont="1" applyBorder="1" applyAlignment="1">
      <alignment horizontal="center" wrapText="1"/>
    </xf>
    <xf numFmtId="0" fontId="52" fillId="0" borderId="10" xfId="0" applyFont="1" applyBorder="1" applyAlignment="1">
      <alignment horizontal="center"/>
    </xf>
    <xf numFmtId="1" fontId="43" fillId="0" borderId="10" xfId="0" applyNumberFormat="1" applyFont="1" applyBorder="1" applyAlignment="1">
      <alignment horizontal="center" wrapText="1"/>
    </xf>
    <xf numFmtId="0" fontId="51" fillId="0" borderId="0" xfId="0" applyFont="1" applyAlignment="1">
      <alignment horizontal="center"/>
    </xf>
    <xf numFmtId="2" fontId="43" fillId="0" borderId="10" xfId="0" applyNumberFormat="1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0" fontId="29" fillId="14" borderId="1" xfId="0" applyFont="1" applyFill="1" applyBorder="1" applyAlignment="1">
      <alignment horizontal="center"/>
    </xf>
    <xf numFmtId="168" fontId="42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43" fillId="0" borderId="0" xfId="0" applyNumberFormat="1" applyFont="1" applyBorder="1" applyAlignment="1">
      <alignment wrapText="1"/>
    </xf>
    <xf numFmtId="0" fontId="43" fillId="0" borderId="0" xfId="0" applyFont="1" applyAlignment="1">
      <alignment horizontal="center" vertical="center" wrapText="1"/>
    </xf>
    <xf numFmtId="166" fontId="4" fillId="0" borderId="11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9" fillId="12" borderId="13" xfId="0" applyFont="1" applyFill="1" applyBorder="1" applyAlignment="1">
      <alignment horizontal="left" vertical="center"/>
    </xf>
    <xf numFmtId="0" fontId="29" fillId="12" borderId="0" xfId="0" applyFont="1" applyFill="1" applyAlignment="1">
      <alignment horizontal="left" vertical="center"/>
    </xf>
    <xf numFmtId="0" fontId="27" fillId="4" borderId="4" xfId="4" applyFont="1" applyFill="1" applyBorder="1" applyAlignment="1">
      <alignment horizontal="center" vertical="center"/>
    </xf>
    <xf numFmtId="0" fontId="18" fillId="0" borderId="6" xfId="4" applyFont="1" applyBorder="1" applyAlignment="1">
      <alignment horizontal="center" vertical="center" wrapText="1"/>
    </xf>
    <xf numFmtId="0" fontId="18" fillId="0" borderId="7" xfId="4" applyFont="1" applyBorder="1" applyAlignment="1">
      <alignment horizontal="center" vertical="center" wrapText="1"/>
    </xf>
    <xf numFmtId="0" fontId="18" fillId="0" borderId="6" xfId="4" applyFont="1" applyFill="1" applyBorder="1" applyAlignment="1">
      <alignment horizontal="center" vertical="center" wrapText="1"/>
    </xf>
    <xf numFmtId="0" fontId="18" fillId="0" borderId="5" xfId="4" applyFont="1" applyFill="1" applyBorder="1" applyAlignment="1">
      <alignment horizontal="center" vertical="center" wrapText="1"/>
    </xf>
    <xf numFmtId="0" fontId="18" fillId="0" borderId="7" xfId="4" applyFont="1" applyFill="1" applyBorder="1" applyAlignment="1">
      <alignment horizontal="center" vertical="center" wrapText="1"/>
    </xf>
    <xf numFmtId="0" fontId="18" fillId="0" borderId="5" xfId="4" applyFont="1" applyBorder="1" applyAlignment="1">
      <alignment horizontal="center" vertical="center" wrapText="1"/>
    </xf>
    <xf numFmtId="167" fontId="5" fillId="0" borderId="10" xfId="4" applyNumberFormat="1" applyFont="1" applyBorder="1" applyAlignment="1">
      <alignment horizontal="center"/>
    </xf>
    <xf numFmtId="168" fontId="17" fillId="12" borderId="15" xfId="4" applyNumberFormat="1" applyFont="1" applyFill="1" applyBorder="1" applyAlignment="1">
      <alignment horizontal="center" vertical="center"/>
    </xf>
    <xf numFmtId="168" fontId="17" fillId="12" borderId="16" xfId="4" applyNumberFormat="1" applyFont="1" applyFill="1" applyBorder="1" applyAlignment="1">
      <alignment horizontal="center" vertical="center"/>
    </xf>
    <xf numFmtId="168" fontId="17" fillId="12" borderId="17" xfId="4" applyNumberFormat="1" applyFont="1" applyFill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17" fontId="2" fillId="0" borderId="2" xfId="3" applyNumberFormat="1" applyFont="1" applyBorder="1" applyAlignment="1">
      <alignment horizontal="center" vertical="center"/>
    </xf>
    <xf numFmtId="17" fontId="2" fillId="0" borderId="14" xfId="3" applyNumberFormat="1" applyFont="1" applyBorder="1" applyAlignment="1">
      <alignment horizontal="center" vertical="center"/>
    </xf>
    <xf numFmtId="17" fontId="2" fillId="0" borderId="12" xfId="3" applyNumberFormat="1" applyFont="1" applyBorder="1" applyAlignment="1">
      <alignment horizontal="center" vertical="center"/>
    </xf>
  </cellXfs>
  <cellStyles count="6">
    <cellStyle name="Bad" xfId="1" builtinId="27" customBuiltin="1"/>
    <cellStyle name="Comma" xfId="2" builtinId="3"/>
    <cellStyle name="Normal" xfId="0" builtinId="0"/>
    <cellStyle name="Normal 12" xfId="3"/>
    <cellStyle name="Normal 14" xfId="4"/>
    <cellStyle name="Normal_~031337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33"/>
  <sheetViews>
    <sheetView tabSelected="1" zoomScale="85" zoomScaleNormal="85" workbookViewId="0">
      <selection activeCell="I32" sqref="I32"/>
    </sheetView>
  </sheetViews>
  <sheetFormatPr defaultColWidth="11.5703125" defaultRowHeight="12.75" x14ac:dyDescent="0.2"/>
  <cols>
    <col min="1" max="1" width="15.85546875" style="166" bestFit="1" customWidth="1"/>
    <col min="2" max="3" width="11.5703125" style="171"/>
    <col min="4" max="4" width="13.42578125" style="171" customWidth="1"/>
    <col min="5" max="6" width="12.5703125" style="17" customWidth="1"/>
    <col min="7" max="11" width="11.5703125" style="17"/>
  </cols>
  <sheetData>
    <row r="1" spans="1:11" s="149" customFormat="1" ht="60" x14ac:dyDescent="0.25">
      <c r="A1" s="165" t="s">
        <v>105</v>
      </c>
      <c r="B1" s="169" t="s">
        <v>0</v>
      </c>
      <c r="C1" s="169" t="s">
        <v>106</v>
      </c>
      <c r="D1" s="169" t="s">
        <v>107</v>
      </c>
      <c r="E1" s="168" t="s">
        <v>108</v>
      </c>
      <c r="F1" s="168" t="s">
        <v>109</v>
      </c>
      <c r="G1" s="168" t="s">
        <v>134</v>
      </c>
      <c r="H1" s="168" t="s">
        <v>135</v>
      </c>
      <c r="I1" s="168" t="s">
        <v>110</v>
      </c>
      <c r="J1" s="168" t="s">
        <v>111</v>
      </c>
      <c r="K1" s="168" t="s">
        <v>112</v>
      </c>
    </row>
    <row r="2" spans="1:11" x14ac:dyDescent="0.2">
      <c r="A2" s="166" t="s">
        <v>113</v>
      </c>
      <c r="B2" s="171">
        <v>1</v>
      </c>
      <c r="C2" s="171">
        <v>3</v>
      </c>
      <c r="D2" s="171">
        <v>2019</v>
      </c>
      <c r="E2" s="15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91623.129063999993</v>
      </c>
      <c r="F2" s="17">
        <v>1.1499999999999999</v>
      </c>
      <c r="G2" s="152">
        <f>Gas!C4*0.9147</f>
        <v>3573.7329</v>
      </c>
      <c r="H2" s="17">
        <v>2.25</v>
      </c>
      <c r="I2" s="152">
        <f>Submetering!AE2+Submetering!AD2+Submetering!H2</f>
        <v>916.00000000000011</v>
      </c>
      <c r="J2" s="153">
        <v>9.1199999999999992</v>
      </c>
      <c r="K2" s="152">
        <f>ELECT.!B4</f>
        <v>334</v>
      </c>
    </row>
    <row r="3" spans="1:11" x14ac:dyDescent="0.2">
      <c r="A3" s="166" t="s">
        <v>113</v>
      </c>
      <c r="B3" s="171">
        <f>B2+1</f>
        <v>2</v>
      </c>
      <c r="C3" s="171">
        <v>3</v>
      </c>
      <c r="D3" s="171">
        <v>2019</v>
      </c>
      <c r="E3" s="15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42570.007707999997</v>
      </c>
      <c r="F3" s="17">
        <v>1.1499999999999999</v>
      </c>
      <c r="G3" s="152">
        <f>Gas!C5*0.9147</f>
        <v>3561.8417999999997</v>
      </c>
      <c r="H3" s="17">
        <v>2.25</v>
      </c>
      <c r="I3" s="152">
        <f>Submetering!AE3+Submetering!AD3+Submetering!H3</f>
        <v>786</v>
      </c>
      <c r="J3" s="153">
        <v>9.1199999999999992</v>
      </c>
      <c r="K3" s="152">
        <f>ELECT.!B5</f>
        <v>323</v>
      </c>
    </row>
    <row r="4" spans="1:11" x14ac:dyDescent="0.2">
      <c r="A4" s="166" t="s">
        <v>113</v>
      </c>
      <c r="B4" s="171">
        <f t="shared" ref="B4:B32" si="0">B3+1</f>
        <v>3</v>
      </c>
      <c r="C4" s="171">
        <v>3</v>
      </c>
      <c r="D4" s="171">
        <v>2019</v>
      </c>
      <c r="E4" s="15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59641.484007999999</v>
      </c>
      <c r="F4" s="17">
        <v>1.1499999999999999</v>
      </c>
      <c r="G4" s="152">
        <f>Gas!C6*0.9147</f>
        <v>3131.9328</v>
      </c>
      <c r="H4" s="17">
        <v>2.25</v>
      </c>
      <c r="I4" s="152">
        <f>Submetering!AE4+Submetering!AD4+Submetering!H4</f>
        <v>896</v>
      </c>
      <c r="J4" s="153">
        <v>9.1199999999999992</v>
      </c>
      <c r="K4" s="152">
        <f>ELECT.!B6</f>
        <v>275</v>
      </c>
    </row>
    <row r="5" spans="1:11" x14ac:dyDescent="0.2">
      <c r="A5" s="166" t="s">
        <v>113</v>
      </c>
      <c r="B5" s="171">
        <f t="shared" si="0"/>
        <v>4</v>
      </c>
      <c r="C5" s="171">
        <v>3</v>
      </c>
      <c r="D5" s="171">
        <v>2019</v>
      </c>
      <c r="E5" s="15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47807.624371999998</v>
      </c>
      <c r="F5" s="17">
        <v>1.1499999999999999</v>
      </c>
      <c r="G5" s="152">
        <f>Gas!C7*0.9147</f>
        <v>3356.9490000000001</v>
      </c>
      <c r="H5" s="17">
        <v>2.25</v>
      </c>
      <c r="I5" s="152">
        <f>Submetering!AE5+Submetering!AD5+Submetering!H5</f>
        <v>676</v>
      </c>
      <c r="J5" s="153">
        <v>9.1199999999999992</v>
      </c>
      <c r="K5" s="152">
        <f>ELECT.!B7</f>
        <v>300</v>
      </c>
    </row>
    <row r="6" spans="1:11" x14ac:dyDescent="0.2">
      <c r="A6" s="166" t="s">
        <v>113</v>
      </c>
      <c r="B6" s="171">
        <f t="shared" si="0"/>
        <v>5</v>
      </c>
      <c r="C6" s="171">
        <v>3</v>
      </c>
      <c r="D6" s="171">
        <v>2019</v>
      </c>
      <c r="E6" s="15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50256.047375999995</v>
      </c>
      <c r="F6" s="17">
        <v>1.1499999999999999</v>
      </c>
      <c r="G6" s="152">
        <f>Gas!C8*0.9147</f>
        <v>3647.8235999999997</v>
      </c>
      <c r="H6" s="17">
        <v>2.25</v>
      </c>
      <c r="I6" s="152">
        <f>Submetering!AE6+Submetering!AD6+Submetering!H6</f>
        <v>796</v>
      </c>
      <c r="J6" s="153">
        <v>9.1199999999999992</v>
      </c>
      <c r="K6" s="152">
        <f>ELECT.!B8</f>
        <v>375</v>
      </c>
    </row>
    <row r="7" spans="1:11" x14ac:dyDescent="0.2">
      <c r="A7" s="166" t="s">
        <v>113</v>
      </c>
      <c r="B7" s="171">
        <f t="shared" si="0"/>
        <v>6</v>
      </c>
      <c r="C7" s="171">
        <v>3</v>
      </c>
      <c r="D7" s="171">
        <v>2019</v>
      </c>
      <c r="E7" s="15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38670.331471999998</v>
      </c>
      <c r="F7" s="17">
        <v>1.1499999999999999</v>
      </c>
      <c r="G7" s="152">
        <f>Gas!C9*0.9147</f>
        <v>3967.0538999999999</v>
      </c>
      <c r="H7" s="17">
        <v>2.25</v>
      </c>
      <c r="I7" s="152">
        <f>Submetering!AE7+Submetering!AD7+Submetering!H7</f>
        <v>826</v>
      </c>
      <c r="J7" s="153">
        <v>9.1199999999999992</v>
      </c>
      <c r="K7" s="152">
        <f>ELECT.!B9</f>
        <v>323</v>
      </c>
    </row>
    <row r="8" spans="1:11" x14ac:dyDescent="0.2">
      <c r="A8" s="166" t="s">
        <v>113</v>
      </c>
      <c r="B8" s="171">
        <f t="shared" si="0"/>
        <v>7</v>
      </c>
      <c r="C8" s="171">
        <v>3</v>
      </c>
      <c r="D8" s="171">
        <v>2019</v>
      </c>
      <c r="E8" s="15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79724.610284000009</v>
      </c>
      <c r="F8" s="17">
        <v>1.1499999999999999</v>
      </c>
      <c r="G8" s="152">
        <f>Gas!C10*0.9147</f>
        <v>3544.4624999999996</v>
      </c>
      <c r="H8" s="17">
        <v>2.25</v>
      </c>
      <c r="I8" s="152">
        <f>Submetering!AE8+Submetering!AD8+Submetering!H8</f>
        <v>896</v>
      </c>
      <c r="J8" s="153">
        <v>9.1199999999999992</v>
      </c>
      <c r="K8" s="152">
        <f>ELECT.!B10</f>
        <v>357</v>
      </c>
    </row>
    <row r="9" spans="1:11" x14ac:dyDescent="0.2">
      <c r="A9" s="166" t="s">
        <v>113</v>
      </c>
      <c r="B9" s="171">
        <f t="shared" si="0"/>
        <v>8</v>
      </c>
      <c r="C9" s="171">
        <v>3</v>
      </c>
      <c r="D9" s="171">
        <v>2019</v>
      </c>
      <c r="E9" s="15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54420.134820000007</v>
      </c>
      <c r="F9" s="17">
        <v>1.1499999999999999</v>
      </c>
      <c r="G9" s="152">
        <f>Gas!C11*0.9147</f>
        <v>3564.5859</v>
      </c>
      <c r="H9" s="17">
        <v>2.25</v>
      </c>
      <c r="I9" s="152">
        <f>Submetering!AE9+Submetering!AD9+Submetering!H9</f>
        <v>706</v>
      </c>
      <c r="J9" s="153">
        <v>9.1199999999999992</v>
      </c>
      <c r="K9" s="152">
        <f>ELECT.!B11</f>
        <v>361</v>
      </c>
    </row>
    <row r="10" spans="1:11" x14ac:dyDescent="0.2">
      <c r="A10" s="166" t="s">
        <v>113</v>
      </c>
      <c r="B10" s="171">
        <f t="shared" si="0"/>
        <v>9</v>
      </c>
      <c r="C10" s="171">
        <v>3</v>
      </c>
      <c r="D10" s="171">
        <v>2019</v>
      </c>
      <c r="E10" s="15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53536.983915999997</v>
      </c>
      <c r="F10" s="17">
        <v>1.1499999999999999</v>
      </c>
      <c r="G10" s="152">
        <f>Gas!C12*0.9147</f>
        <v>3530.7419999999997</v>
      </c>
      <c r="H10" s="17">
        <v>2.25</v>
      </c>
      <c r="I10" s="152">
        <f>Submetering!AE10+Submetering!AD10+Submetering!H10</f>
        <v>636</v>
      </c>
      <c r="J10" s="153">
        <v>9.1199999999999992</v>
      </c>
      <c r="K10" s="152">
        <f>ELECT.!B12</f>
        <v>293</v>
      </c>
    </row>
    <row r="11" spans="1:11" x14ac:dyDescent="0.2">
      <c r="A11" s="166" t="s">
        <v>113</v>
      </c>
      <c r="B11" s="171">
        <f t="shared" si="0"/>
        <v>10</v>
      </c>
      <c r="C11" s="171">
        <v>3</v>
      </c>
      <c r="D11" s="171">
        <v>2019</v>
      </c>
      <c r="E11" s="15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66899.420727999997</v>
      </c>
      <c r="F11" s="17">
        <v>1.1499999999999999</v>
      </c>
      <c r="G11" s="152">
        <f>Gas!C13*0.9147</f>
        <v>3162.1178999999997</v>
      </c>
      <c r="H11" s="17">
        <v>2.25</v>
      </c>
      <c r="I11" s="152">
        <f>Submetering!AE11+Submetering!AD11+Submetering!H11</f>
        <v>636</v>
      </c>
      <c r="J11" s="153">
        <v>9.1199999999999992</v>
      </c>
      <c r="K11" s="152">
        <f>ELECT.!B13</f>
        <v>302</v>
      </c>
    </row>
    <row r="12" spans="1:11" x14ac:dyDescent="0.2">
      <c r="A12" s="166" t="s">
        <v>113</v>
      </c>
      <c r="B12" s="171">
        <f t="shared" si="0"/>
        <v>11</v>
      </c>
      <c r="C12" s="171">
        <v>3</v>
      </c>
      <c r="D12" s="171">
        <v>2019</v>
      </c>
      <c r="E12" s="15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29761.389407999995</v>
      </c>
      <c r="F12" s="17">
        <v>1.1499999999999999</v>
      </c>
      <c r="G12" s="152">
        <f>Gas!C14*0.9147</f>
        <v>3131.9328</v>
      </c>
      <c r="H12" s="17">
        <v>2.25</v>
      </c>
      <c r="I12" s="152">
        <f>Submetering!AE12+Submetering!AD12+Submetering!H12</f>
        <v>856.00000000000011</v>
      </c>
      <c r="J12" s="153">
        <v>9.1199999999999992</v>
      </c>
      <c r="K12" s="152">
        <f>ELECT.!B14</f>
        <v>353</v>
      </c>
    </row>
    <row r="13" spans="1:11" x14ac:dyDescent="0.2">
      <c r="A13" s="166" t="s">
        <v>113</v>
      </c>
      <c r="B13" s="171">
        <f t="shared" si="0"/>
        <v>12</v>
      </c>
      <c r="C13" s="171">
        <v>3</v>
      </c>
      <c r="D13" s="171">
        <v>2019</v>
      </c>
      <c r="E13" s="15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65967.795163999996</v>
      </c>
      <c r="F13" s="17">
        <v>1.1499999999999999</v>
      </c>
      <c r="G13" s="152">
        <f>Gas!C15*0.9147</f>
        <v>2991.069</v>
      </c>
      <c r="H13" s="17">
        <v>2.25</v>
      </c>
      <c r="I13" s="152">
        <f>Submetering!AE13+Submetering!AD13+Submetering!H13</f>
        <v>965.99999999999989</v>
      </c>
      <c r="J13" s="153">
        <v>9.1199999999999992</v>
      </c>
      <c r="K13" s="152">
        <f>ELECT.!B15</f>
        <v>320</v>
      </c>
    </row>
    <row r="14" spans="1:11" x14ac:dyDescent="0.2">
      <c r="A14" s="166" t="s">
        <v>113</v>
      </c>
      <c r="B14" s="171">
        <f t="shared" si="0"/>
        <v>13</v>
      </c>
      <c r="C14" s="171">
        <v>3</v>
      </c>
      <c r="D14" s="171">
        <v>2019</v>
      </c>
      <c r="E14" s="15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58239.271768000006</v>
      </c>
      <c r="F14" s="17">
        <v>1.1499999999999999</v>
      </c>
      <c r="G14" s="152">
        <f>Gas!C16*0.9147</f>
        <v>4471.0536000000002</v>
      </c>
      <c r="H14" s="17">
        <v>2.25</v>
      </c>
      <c r="I14" s="152">
        <f>Submetering!AE14+Submetering!AD14+Submetering!H14</f>
        <v>1136</v>
      </c>
      <c r="J14" s="153">
        <v>9.1199999999999992</v>
      </c>
      <c r="K14" s="152">
        <f>ELECT.!B16</f>
        <v>330.19230769230802</v>
      </c>
    </row>
    <row r="15" spans="1:11" x14ac:dyDescent="0.2">
      <c r="A15" s="166" t="s">
        <v>113</v>
      </c>
      <c r="B15" s="171">
        <f t="shared" si="0"/>
        <v>14</v>
      </c>
      <c r="C15" s="171">
        <v>3</v>
      </c>
      <c r="D15" s="171">
        <v>2019</v>
      </c>
      <c r="E15" s="15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52445.908376000007</v>
      </c>
      <c r="F15" s="17">
        <v>1.1499999999999999</v>
      </c>
      <c r="G15" s="152">
        <f>Gas!C17*0.9147</f>
        <v>3627.7001999999998</v>
      </c>
      <c r="H15" s="17">
        <v>2.25</v>
      </c>
      <c r="I15" s="152">
        <f>Submetering!AE15+Submetering!AD15+Submetering!H15</f>
        <v>946</v>
      </c>
      <c r="J15" s="153">
        <v>9.1199999999999992</v>
      </c>
      <c r="K15" s="152">
        <f>ELECT.!B17</f>
        <v>330.65934065934101</v>
      </c>
    </row>
    <row r="16" spans="1:11" x14ac:dyDescent="0.2">
      <c r="A16" s="166" t="s">
        <v>113</v>
      </c>
      <c r="B16" s="171">
        <f t="shared" si="0"/>
        <v>15</v>
      </c>
      <c r="C16" s="171">
        <v>3</v>
      </c>
      <c r="D16" s="171">
        <v>2019</v>
      </c>
      <c r="E16" s="15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68217.609884000005</v>
      </c>
      <c r="F16" s="17">
        <v>1.1499999999999999</v>
      </c>
      <c r="G16" s="152">
        <f>Gas!C18*0.9147</f>
        <v>3416.4044999999996</v>
      </c>
      <c r="H16" s="17">
        <v>2.25</v>
      </c>
      <c r="I16" s="152">
        <f>Submetering!AE16+Submetering!AD16+Submetering!H16</f>
        <v>956.00000000000011</v>
      </c>
      <c r="J16" s="153">
        <v>9.1199999999999992</v>
      </c>
      <c r="K16" s="152">
        <f>ELECT.!B18</f>
        <v>331.126373626374</v>
      </c>
    </row>
    <row r="17" spans="1:11" x14ac:dyDescent="0.2">
      <c r="A17" s="166" t="s">
        <v>113</v>
      </c>
      <c r="B17" s="171">
        <f t="shared" si="0"/>
        <v>16</v>
      </c>
      <c r="C17" s="171">
        <v>3</v>
      </c>
      <c r="D17" s="171">
        <v>2019</v>
      </c>
      <c r="E17" s="15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41756.058515999997</v>
      </c>
      <c r="F17" s="17">
        <v>1.1499999999999999</v>
      </c>
      <c r="G17" s="152">
        <f>Gas!C19*0.9147</f>
        <v>3624.9560999999999</v>
      </c>
      <c r="H17" s="17">
        <v>2.25</v>
      </c>
      <c r="I17" s="152">
        <f>Submetering!AE17+Submetering!AD17+Submetering!H17</f>
        <v>826.00000000000011</v>
      </c>
      <c r="J17" s="153">
        <v>9.1199999999999992</v>
      </c>
      <c r="K17" s="152">
        <f>ELECT.!B19</f>
        <v>331.593406593407</v>
      </c>
    </row>
    <row r="18" spans="1:11" x14ac:dyDescent="0.2">
      <c r="A18" s="166" t="s">
        <v>113</v>
      </c>
      <c r="B18" s="171">
        <f t="shared" si="0"/>
        <v>17</v>
      </c>
      <c r="C18" s="171">
        <v>3</v>
      </c>
      <c r="D18" s="171">
        <v>2019</v>
      </c>
      <c r="E18" s="15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55883.487607999996</v>
      </c>
      <c r="F18" s="17">
        <v>1.1499999999999999</v>
      </c>
      <c r="G18" s="152">
        <f>Gas!C20*0.9147</f>
        <v>3361.5225</v>
      </c>
      <c r="H18" s="17">
        <v>2.25</v>
      </c>
      <c r="I18" s="152">
        <f>Submetering!AE18+Submetering!AD18+Submetering!H18</f>
        <v>1186</v>
      </c>
      <c r="J18" s="153">
        <v>9.1199999999999992</v>
      </c>
      <c r="K18" s="152">
        <f>ELECT.!B20</f>
        <v>332.06043956043999</v>
      </c>
    </row>
    <row r="19" spans="1:11" x14ac:dyDescent="0.2">
      <c r="A19" s="166" t="s">
        <v>113</v>
      </c>
      <c r="B19" s="171">
        <f t="shared" si="0"/>
        <v>18</v>
      </c>
      <c r="C19" s="171">
        <v>3</v>
      </c>
      <c r="D19" s="171">
        <v>2019</v>
      </c>
      <c r="E19" s="15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48649.820771999999</v>
      </c>
      <c r="F19" s="17">
        <v>1.1499999999999999</v>
      </c>
      <c r="G19" s="152">
        <f>Gas!C21*0.9147</f>
        <v>3388.9634999999998</v>
      </c>
      <c r="H19" s="17">
        <v>2.25</v>
      </c>
      <c r="I19" s="152">
        <f>Submetering!AE19+Submetering!AD19+Submetering!H19</f>
        <v>856</v>
      </c>
      <c r="J19" s="153">
        <v>9.1199999999999992</v>
      </c>
      <c r="K19" s="152">
        <f>ELECT.!B21</f>
        <v>332.52747252747298</v>
      </c>
    </row>
    <row r="20" spans="1:11" x14ac:dyDescent="0.2">
      <c r="A20" s="166" t="s">
        <v>113</v>
      </c>
      <c r="B20" s="171">
        <f t="shared" si="0"/>
        <v>19</v>
      </c>
      <c r="C20" s="171">
        <v>3</v>
      </c>
      <c r="D20" s="171">
        <v>2019</v>
      </c>
      <c r="E20" s="15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64229.435356000002</v>
      </c>
      <c r="F20" s="17">
        <v>1.1499999999999999</v>
      </c>
      <c r="G20" s="152">
        <f>Gas!C22*0.9147</f>
        <v>3409.0868999999998</v>
      </c>
      <c r="H20" s="17">
        <v>2.25</v>
      </c>
      <c r="I20" s="152">
        <f>Submetering!AE20+Submetering!AD20+Submetering!H20</f>
        <v>866</v>
      </c>
      <c r="J20" s="153">
        <v>9.1199999999999992</v>
      </c>
      <c r="K20" s="152">
        <f>ELECT.!B22</f>
        <v>332.99450549450597</v>
      </c>
    </row>
    <row r="21" spans="1:11" x14ac:dyDescent="0.2">
      <c r="A21" s="166" t="s">
        <v>113</v>
      </c>
      <c r="B21" s="171">
        <f t="shared" si="0"/>
        <v>20</v>
      </c>
      <c r="C21" s="171">
        <v>3</v>
      </c>
      <c r="D21" s="171">
        <v>2019</v>
      </c>
      <c r="E21" s="15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50605.553628000001</v>
      </c>
      <c r="F21" s="17">
        <v>1.1499999999999999</v>
      </c>
      <c r="G21" s="152">
        <f>Gas!C23*0.9147</f>
        <v>3459.3953999999999</v>
      </c>
      <c r="H21" s="17">
        <v>2.25</v>
      </c>
      <c r="I21" s="152">
        <f>Submetering!AE21+Submetering!AD21+Submetering!H21</f>
        <v>985.99999999999989</v>
      </c>
      <c r="J21" s="153">
        <v>9.1199999999999992</v>
      </c>
      <c r="K21" s="152">
        <f>ELECT.!B23</f>
        <v>333.461538461538</v>
      </c>
    </row>
    <row r="22" spans="1:11" x14ac:dyDescent="0.2">
      <c r="A22" s="166" t="s">
        <v>113</v>
      </c>
      <c r="B22" s="171">
        <f t="shared" si="0"/>
        <v>21</v>
      </c>
      <c r="C22" s="171">
        <v>3</v>
      </c>
      <c r="D22" s="171">
        <v>2019</v>
      </c>
      <c r="E22" s="15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65538.832364000002</v>
      </c>
      <c r="F22" s="17">
        <v>1.1499999999999999</v>
      </c>
      <c r="G22" s="152">
        <f>Gas!C24*0.9147</f>
        <v>3344.1432</v>
      </c>
      <c r="H22" s="17">
        <v>2.25</v>
      </c>
      <c r="I22" s="152">
        <f>Submetering!AE22+Submetering!AD22+Submetering!H22</f>
        <v>925.99999999999989</v>
      </c>
      <c r="J22" s="153">
        <v>9.1199999999999992</v>
      </c>
      <c r="K22" s="152">
        <f>ELECT.!B24</f>
        <v>333.92857142857099</v>
      </c>
    </row>
    <row r="23" spans="1:11" x14ac:dyDescent="0.2">
      <c r="A23" s="166" t="s">
        <v>113</v>
      </c>
      <c r="B23" s="171">
        <f t="shared" si="0"/>
        <v>22</v>
      </c>
      <c r="C23" s="171">
        <v>3</v>
      </c>
      <c r="D23" s="171">
        <v>2019</v>
      </c>
      <c r="E23" s="15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59085.91042</v>
      </c>
      <c r="F23" s="17">
        <v>1.1499999999999999</v>
      </c>
      <c r="G23" s="152">
        <f>Gas!C25*0.9147</f>
        <v>3420.0632999999998</v>
      </c>
      <c r="H23" s="17">
        <v>2.25</v>
      </c>
      <c r="I23" s="152">
        <f>Submetering!AE23+Submetering!AD23+Submetering!H23</f>
        <v>965.99999999999989</v>
      </c>
      <c r="J23" s="153">
        <v>9.1199999999999992</v>
      </c>
      <c r="K23" s="152">
        <f>ELECT.!B25</f>
        <v>364</v>
      </c>
    </row>
    <row r="24" spans="1:11" x14ac:dyDescent="0.2">
      <c r="A24" s="166" t="s">
        <v>113</v>
      </c>
      <c r="B24" s="171">
        <f t="shared" si="0"/>
        <v>23</v>
      </c>
      <c r="C24" s="171">
        <v>3</v>
      </c>
      <c r="D24" s="171">
        <v>2019</v>
      </c>
      <c r="E24" s="15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43417.571223999999</v>
      </c>
      <c r="F24" s="17">
        <v>1.1499999999999999</v>
      </c>
      <c r="G24" s="152">
        <f>Gas!C26*0.9147</f>
        <v>3316.7021999999997</v>
      </c>
      <c r="H24" s="17">
        <v>2.25</v>
      </c>
      <c r="I24" s="152">
        <f>Submetering!AE24+Submetering!AD24+Submetering!H24</f>
        <v>1036</v>
      </c>
      <c r="J24" s="153">
        <v>9.1199999999999992</v>
      </c>
      <c r="K24" s="152">
        <f>ELECT.!B26</f>
        <v>349</v>
      </c>
    </row>
    <row r="25" spans="1:11" x14ac:dyDescent="0.2">
      <c r="A25" s="166" t="s">
        <v>113</v>
      </c>
      <c r="B25" s="171">
        <f t="shared" si="0"/>
        <v>24</v>
      </c>
      <c r="C25" s="171">
        <v>3</v>
      </c>
      <c r="D25" s="171">
        <v>2019</v>
      </c>
      <c r="E25" s="15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70667.464907999994</v>
      </c>
      <c r="F25" s="17">
        <v>1.1499999999999999</v>
      </c>
      <c r="G25" s="152">
        <f>Gas!C27*0.9147</f>
        <v>3352.3754999999996</v>
      </c>
      <c r="H25" s="17">
        <v>2.25</v>
      </c>
      <c r="I25" s="152">
        <f>Submetering!AE25+Submetering!AD25+Submetering!H25</f>
        <v>826</v>
      </c>
      <c r="J25" s="153">
        <v>9.1199999999999992</v>
      </c>
      <c r="K25" s="152">
        <f>ELECT.!B27</f>
        <v>326</v>
      </c>
    </row>
    <row r="26" spans="1:11" x14ac:dyDescent="0.2">
      <c r="A26" s="166" t="s">
        <v>113</v>
      </c>
      <c r="B26" s="171">
        <f>B25+1</f>
        <v>25</v>
      </c>
      <c r="C26" s="171">
        <v>3</v>
      </c>
      <c r="D26" s="171">
        <v>2019</v>
      </c>
      <c r="E26" s="15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49858.869840000007</v>
      </c>
      <c r="F26" s="17">
        <v>1.1499999999999999</v>
      </c>
      <c r="G26" s="152">
        <f>Gas!C28*0.9147</f>
        <v>3370.6695</v>
      </c>
      <c r="H26" s="17">
        <v>2.25</v>
      </c>
      <c r="I26" s="152">
        <f>Submetering!AE26+Submetering!AD26+Submetering!H26</f>
        <v>915.99999999999989</v>
      </c>
      <c r="J26" s="153">
        <v>9.1199999999999992</v>
      </c>
      <c r="K26" s="152">
        <f>ELECT.!B28</f>
        <v>328</v>
      </c>
    </row>
    <row r="27" spans="1:11" x14ac:dyDescent="0.2">
      <c r="A27" s="166" t="s">
        <v>113</v>
      </c>
      <c r="B27" s="171">
        <f t="shared" si="0"/>
        <v>26</v>
      </c>
      <c r="C27" s="171">
        <v>3</v>
      </c>
      <c r="D27" s="171">
        <v>2019</v>
      </c>
      <c r="E27" s="15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54337.686687999994</v>
      </c>
      <c r="F27" s="17">
        <v>1.1499999999999999</v>
      </c>
      <c r="G27" s="152">
        <f>Gas!C29*0.9147</f>
        <v>3320.3609999999999</v>
      </c>
      <c r="H27" s="17">
        <v>2.25</v>
      </c>
      <c r="I27" s="152">
        <f>Submetering!AE27+Submetering!AD27+Submetering!H27</f>
        <v>925.99999999999989</v>
      </c>
      <c r="J27" s="153">
        <v>9.1199999999999992</v>
      </c>
      <c r="K27" s="152">
        <f>ELECT.!B29</f>
        <v>346</v>
      </c>
    </row>
    <row r="28" spans="1:11" x14ac:dyDescent="0.2">
      <c r="A28" s="166" t="s">
        <v>113</v>
      </c>
      <c r="B28" s="171">
        <f t="shared" si="0"/>
        <v>27</v>
      </c>
      <c r="C28" s="171">
        <v>3</v>
      </c>
      <c r="D28" s="171">
        <v>2019</v>
      </c>
      <c r="E28" s="15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59440.748180000002</v>
      </c>
      <c r="F28" s="17">
        <v>1.1499999999999999</v>
      </c>
      <c r="G28" s="152">
        <f>Gas!C30*0.9147</f>
        <v>3340.4843999999998</v>
      </c>
      <c r="H28" s="17">
        <v>2.25</v>
      </c>
      <c r="I28" s="152">
        <f>Submetering!AE28+Submetering!AD28+Submetering!H28</f>
        <v>916</v>
      </c>
      <c r="J28" s="153">
        <v>9.1199999999999992</v>
      </c>
      <c r="K28" s="152">
        <f>ELECT.!B30</f>
        <v>350</v>
      </c>
    </row>
    <row r="29" spans="1:11" x14ac:dyDescent="0.2">
      <c r="A29" s="166" t="s">
        <v>113</v>
      </c>
      <c r="B29" s="171">
        <f t="shared" si="0"/>
        <v>28</v>
      </c>
      <c r="C29" s="171">
        <v>3</v>
      </c>
      <c r="D29" s="171">
        <v>2019</v>
      </c>
      <c r="E29" s="15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53431.662355999993</v>
      </c>
      <c r="F29" s="17">
        <v>1.1499999999999999</v>
      </c>
      <c r="G29" s="152">
        <f>Gas!C31*0.9147</f>
        <v>3366.096</v>
      </c>
      <c r="H29" s="17">
        <v>2.25</v>
      </c>
      <c r="I29" s="152">
        <f>Submetering!AE29+Submetering!AD29+Submetering!H29</f>
        <v>875.99999999999989</v>
      </c>
      <c r="J29" s="153">
        <v>9.1199999999999992</v>
      </c>
      <c r="K29" s="152">
        <f>ELECT.!B31</f>
        <v>356</v>
      </c>
    </row>
    <row r="30" spans="1:11" x14ac:dyDescent="0.2">
      <c r="A30" s="166" t="s">
        <v>113</v>
      </c>
      <c r="B30" s="171">
        <f t="shared" si="0"/>
        <v>29</v>
      </c>
      <c r="C30" s="171">
        <v>3</v>
      </c>
      <c r="D30" s="171">
        <v>2019</v>
      </c>
      <c r="E30" s="15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37032.010672000004</v>
      </c>
      <c r="F30" s="17">
        <v>1.1499999999999999</v>
      </c>
      <c r="G30" s="152">
        <f>Gas!C32*0.9147</f>
        <v>3195.0470999999998</v>
      </c>
      <c r="H30" s="17">
        <v>2.25</v>
      </c>
      <c r="I30" s="152">
        <f>Submetering!AE30+Submetering!AD30+Submetering!H30</f>
        <v>716</v>
      </c>
      <c r="J30" s="153">
        <v>9.1199999999999992</v>
      </c>
      <c r="K30" s="152">
        <f>ELECT.!B32</f>
        <v>350</v>
      </c>
    </row>
    <row r="31" spans="1:11" x14ac:dyDescent="0.2">
      <c r="A31" s="166" t="s">
        <v>113</v>
      </c>
      <c r="B31" s="171">
        <f t="shared" si="0"/>
        <v>30</v>
      </c>
      <c r="C31" s="171">
        <v>3</v>
      </c>
      <c r="D31" s="171">
        <v>2019</v>
      </c>
      <c r="E31" s="15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67199.709571999992</v>
      </c>
      <c r="F31" s="17">
        <v>1.1499999999999999</v>
      </c>
      <c r="G31" s="152">
        <f>Gas!C33*0.9147</f>
        <v>2888.6225999999997</v>
      </c>
      <c r="H31" s="17">
        <v>2.25</v>
      </c>
      <c r="I31" s="152">
        <f>Submetering!AE31+Submetering!AD31+Submetering!H31</f>
        <v>816</v>
      </c>
      <c r="J31" s="153">
        <v>9.1199999999999992</v>
      </c>
      <c r="K31" s="152">
        <f>ELECT.!B33</f>
        <v>349</v>
      </c>
    </row>
    <row r="32" spans="1:11" x14ac:dyDescent="0.2">
      <c r="A32" s="166" t="s">
        <v>113</v>
      </c>
      <c r="B32" s="171">
        <f t="shared" si="0"/>
        <v>31</v>
      </c>
      <c r="C32" s="171">
        <v>3</v>
      </c>
      <c r="D32" s="171">
        <v>2019</v>
      </c>
      <c r="E32" s="15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54831.823080000002</v>
      </c>
      <c r="F32" s="17">
        <v>1.1499999999999999</v>
      </c>
      <c r="G32" s="152">
        <f>Gas!C34*0.9147</f>
        <v>2977.3485000000001</v>
      </c>
      <c r="H32" s="17">
        <v>2.25</v>
      </c>
      <c r="I32" s="152">
        <f>Submetering!AE32+Submetering!AD32+Submetering!H32</f>
        <v>806</v>
      </c>
      <c r="J32" s="153">
        <v>9.1199999999999992</v>
      </c>
      <c r="K32" s="152">
        <f>ELECT.!B34</f>
        <v>350</v>
      </c>
    </row>
    <row r="33" spans="11:11" x14ac:dyDescent="0.2">
      <c r="K33" s="1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Y29" sqref="Y29"/>
    </sheetView>
  </sheetViews>
  <sheetFormatPr defaultColWidth="11.5703125" defaultRowHeight="12.75" x14ac:dyDescent="0.2"/>
  <cols>
    <col min="1" max="1" width="15.85546875" style="166" bestFit="1" customWidth="1"/>
    <col min="2" max="3" width="11.5703125" style="171"/>
    <col min="4" max="4" width="13.42578125" style="171" customWidth="1"/>
    <col min="5" max="17" width="12.5703125" style="152" customWidth="1"/>
    <col min="18" max="23" width="12.5703125" style="153" customWidth="1"/>
    <col min="24" max="24" width="11.5703125" style="150"/>
  </cols>
  <sheetData>
    <row r="1" spans="1:31" s="149" customFormat="1" ht="60" x14ac:dyDescent="0.25">
      <c r="A1" s="165" t="s">
        <v>105</v>
      </c>
      <c r="B1" s="169" t="s">
        <v>0</v>
      </c>
      <c r="C1" s="169" t="s">
        <v>106</v>
      </c>
      <c r="D1" s="169" t="s">
        <v>107</v>
      </c>
      <c r="E1" s="170" t="s">
        <v>124</v>
      </c>
      <c r="F1" s="170" t="s">
        <v>125</v>
      </c>
      <c r="G1" s="170" t="s">
        <v>126</v>
      </c>
      <c r="H1" s="170" t="s">
        <v>127</v>
      </c>
      <c r="I1" s="170" t="s">
        <v>117</v>
      </c>
      <c r="J1" s="170" t="s">
        <v>116</v>
      </c>
      <c r="K1" s="170" t="s">
        <v>115</v>
      </c>
      <c r="L1" s="170" t="s">
        <v>118</v>
      </c>
      <c r="M1" s="170" t="s">
        <v>119</v>
      </c>
      <c r="N1" s="170" t="s">
        <v>120</v>
      </c>
      <c r="O1" s="170" t="s">
        <v>121</v>
      </c>
      <c r="P1" s="170" t="s">
        <v>122</v>
      </c>
      <c r="Q1" s="170" t="s">
        <v>136</v>
      </c>
      <c r="R1" s="172" t="s">
        <v>128</v>
      </c>
      <c r="S1" s="172" t="s">
        <v>129</v>
      </c>
      <c r="T1" s="172" t="s">
        <v>130</v>
      </c>
      <c r="U1" s="172" t="s">
        <v>131</v>
      </c>
      <c r="V1" s="172" t="s">
        <v>132</v>
      </c>
      <c r="W1" s="172" t="s">
        <v>133</v>
      </c>
      <c r="X1" s="167" t="s">
        <v>112</v>
      </c>
      <c r="Y1" s="178" t="s">
        <v>147</v>
      </c>
      <c r="Z1" s="149" t="s">
        <v>148</v>
      </c>
      <c r="AA1" s="149" t="s">
        <v>149</v>
      </c>
      <c r="AB1" s="149" t="s">
        <v>150</v>
      </c>
      <c r="AC1" s="149" t="s">
        <v>151</v>
      </c>
      <c r="AD1" s="179" t="s">
        <v>152</v>
      </c>
      <c r="AE1" s="179" t="s">
        <v>153</v>
      </c>
    </row>
    <row r="2" spans="1:31" x14ac:dyDescent="0.2">
      <c r="A2" s="166" t="s">
        <v>113</v>
      </c>
      <c r="B2" s="171">
        <v>1</v>
      </c>
      <c r="C2" s="171">
        <v>3</v>
      </c>
      <c r="D2" s="171">
        <v>2019</v>
      </c>
      <c r="E2" s="152">
        <f>Water!C4</f>
        <v>1110</v>
      </c>
      <c r="F2" s="152">
        <f>Water!E4</f>
        <v>507.59999999999997</v>
      </c>
      <c r="G2" s="152">
        <f>Water!G4</f>
        <v>418.5</v>
      </c>
      <c r="H2" s="152">
        <f>Water!I4</f>
        <v>1.917</v>
      </c>
      <c r="I2" s="152">
        <f>ELECT.!F4</f>
        <v>17654</v>
      </c>
      <c r="J2" s="152">
        <f>ELECT.!H4</f>
        <v>76332</v>
      </c>
      <c r="K2" s="152">
        <f>ELECT.!K4</f>
        <v>7385</v>
      </c>
      <c r="L2" s="152">
        <f>ELECT.!M4</f>
        <v>7695</v>
      </c>
      <c r="M2" s="152">
        <f>ELECT.!O4</f>
        <v>9696</v>
      </c>
      <c r="N2" s="152">
        <f>ELECT.!Q4</f>
        <v>4428</v>
      </c>
      <c r="O2" s="152">
        <f>ELECT.!S4</f>
        <v>19748</v>
      </c>
      <c r="P2" s="152">
        <f>ELECT.!W4*2</f>
        <v>43098</v>
      </c>
      <c r="Q2" s="152">
        <f>ELECT.!D4</f>
        <v>1120</v>
      </c>
      <c r="R2" s="153">
        <f>BTU!C3</f>
        <v>3.8989999999994325</v>
      </c>
      <c r="S2" s="153">
        <f>BTU!F3</f>
        <v>0.44200000000000728</v>
      </c>
      <c r="T2" s="153">
        <f>BTU!I3</f>
        <v>0</v>
      </c>
      <c r="U2" s="153">
        <f>BTU!O3</f>
        <v>1.0230000000001382</v>
      </c>
      <c r="V2" s="153">
        <f>BTU!L3</f>
        <v>0</v>
      </c>
      <c r="W2" s="153">
        <f>BTU!R3</f>
        <v>0.36999999999989086</v>
      </c>
      <c r="X2" s="150">
        <f>ELECT.!B4</f>
        <v>334</v>
      </c>
      <c r="Y2" s="150">
        <f>I2+J2-(K2+L2+M2+N2+O2+P2)</f>
        <v>1936</v>
      </c>
      <c r="Z2">
        <f>'Mall, Citadel, Rotana'!C4+'Mall, Citadel, Rotana'!E4+'Mall, Citadel, Rotana'!G4+'Mall, Citadel, Rotana'!I4</f>
        <v>724</v>
      </c>
      <c r="AA2">
        <f>'Mall, Citadel, Rotana'!K4+'Mall, Citadel, Rotana'!M4</f>
        <v>640</v>
      </c>
      <c r="AB2">
        <f>'Mall, Citadel, Rotana'!O4</f>
        <v>2</v>
      </c>
      <c r="AC2">
        <f>'Mall, Citadel, Rotana'!Q4+'Mall, Citadel, Rotana'!S4</f>
        <v>70</v>
      </c>
      <c r="AD2" s="150">
        <f>(E2-H2-194)*0.1318</f>
        <v>120.47613940000001</v>
      </c>
      <c r="AE2" s="150">
        <f>E2-H2-AD2-194</f>
        <v>793.60686060000012</v>
      </c>
    </row>
    <row r="3" spans="1:31" x14ac:dyDescent="0.2">
      <c r="A3" s="166" t="s">
        <v>113</v>
      </c>
      <c r="B3" s="171">
        <f>B2+1</f>
        <v>2</v>
      </c>
      <c r="C3" s="171">
        <v>3</v>
      </c>
      <c r="D3" s="171">
        <v>2019</v>
      </c>
      <c r="E3" s="152">
        <f>Water!C5</f>
        <v>980</v>
      </c>
      <c r="F3" s="152">
        <f>Water!E5</f>
        <v>483.3</v>
      </c>
      <c r="G3" s="152">
        <f>Water!G5</f>
        <v>394.2</v>
      </c>
      <c r="H3" s="152">
        <f>Water!I5</f>
        <v>3.4830000000000001</v>
      </c>
      <c r="I3" s="152">
        <f>ELECT.!F5</f>
        <v>8546</v>
      </c>
      <c r="J3" s="152">
        <f>ELECT.!H5</f>
        <v>35408</v>
      </c>
      <c r="K3" s="152">
        <f>ELECT.!K5</f>
        <v>3525</v>
      </c>
      <c r="L3" s="152">
        <f>ELECT.!M5</f>
        <v>3773</v>
      </c>
      <c r="M3" s="152">
        <f>ELECT.!O5</f>
        <v>4672</v>
      </c>
      <c r="N3" s="152">
        <f>ELECT.!Q5</f>
        <v>2084</v>
      </c>
      <c r="O3" s="152">
        <f>ELECT.!S5</f>
        <v>9179</v>
      </c>
      <c r="P3" s="152">
        <f>ELECT.!W5*2</f>
        <v>19958</v>
      </c>
      <c r="Q3" s="152">
        <f>ELECT.!D5</f>
        <v>480</v>
      </c>
      <c r="R3" s="153">
        <f>BTU!C4</f>
        <v>4.2150000000001455</v>
      </c>
      <c r="S3" s="153">
        <f>BTU!F4</f>
        <v>0.6410000000000764</v>
      </c>
      <c r="T3" s="153">
        <f>BTU!I4</f>
        <v>0</v>
      </c>
      <c r="U3" s="153">
        <f>BTU!O4</f>
        <v>0.99900000000002365</v>
      </c>
      <c r="V3" s="153">
        <f>BTU!L4</f>
        <v>0</v>
      </c>
      <c r="W3" s="153">
        <f>BTU!R4</f>
        <v>0.82999999999992724</v>
      </c>
      <c r="X3" s="150">
        <f>ELECT.!B5</f>
        <v>323</v>
      </c>
      <c r="Y3" s="150">
        <f t="shared" ref="Y3:Y31" si="0">I3+J3-(K3+L3+M3+N3+O3+P3)</f>
        <v>763</v>
      </c>
      <c r="Z3">
        <f>'Mall, Citadel, Rotana'!C5+'Mall, Citadel, Rotana'!E5+'Mall, Citadel, Rotana'!G5+'Mall, Citadel, Rotana'!I5</f>
        <v>605</v>
      </c>
      <c r="AA3">
        <f>'Mall, Citadel, Rotana'!K5+'Mall, Citadel, Rotana'!M5</f>
        <v>320</v>
      </c>
      <c r="AB3">
        <f>'Mall, Citadel, Rotana'!O5</f>
        <v>2</v>
      </c>
      <c r="AC3">
        <f>'Mall, Citadel, Rotana'!Q5+'Mall, Citadel, Rotana'!S5</f>
        <v>19</v>
      </c>
      <c r="AD3" s="150">
        <f t="shared" ref="AD3:AD31" si="1">(E3-H3-194)*0.1318</f>
        <v>103.13574060000001</v>
      </c>
      <c r="AE3" s="150">
        <f t="shared" ref="AE3:AE31" si="2">E3-H3-AD3-194</f>
        <v>679.38125940000009</v>
      </c>
    </row>
    <row r="4" spans="1:31" x14ac:dyDescent="0.2">
      <c r="A4" s="166" t="s">
        <v>113</v>
      </c>
      <c r="B4" s="171">
        <f t="shared" ref="B4:B32" si="3">B3+1</f>
        <v>3</v>
      </c>
      <c r="C4" s="171">
        <v>3</v>
      </c>
      <c r="D4" s="171">
        <v>2019</v>
      </c>
      <c r="E4" s="152">
        <f>Water!C6</f>
        <v>1090</v>
      </c>
      <c r="F4" s="152">
        <f>Water!E6</f>
        <v>510.3</v>
      </c>
      <c r="G4" s="152">
        <f>Water!G6</f>
        <v>364.5</v>
      </c>
      <c r="H4" s="152">
        <f>Water!I6</f>
        <v>3.2669999999999999</v>
      </c>
      <c r="I4" s="152">
        <f>ELECT.!F6</f>
        <v>12190</v>
      </c>
      <c r="J4" s="152">
        <f>ELECT.!H6</f>
        <v>51903</v>
      </c>
      <c r="K4" s="152">
        <f>ELECT.!K6</f>
        <v>5191</v>
      </c>
      <c r="L4" s="152">
        <f>ELECT.!M6</f>
        <v>5153</v>
      </c>
      <c r="M4" s="152">
        <f>ELECT.!O6</f>
        <v>6840</v>
      </c>
      <c r="N4" s="152">
        <f>ELECT.!Q6</f>
        <v>3120</v>
      </c>
      <c r="O4" s="152">
        <f>ELECT.!S6</f>
        <v>13104</v>
      </c>
      <c r="P4" s="152">
        <f>ELECT.!W6*2</f>
        <v>29258</v>
      </c>
      <c r="Q4" s="152">
        <f>ELECT.!D6</f>
        <v>640</v>
      </c>
      <c r="R4" s="153">
        <f>BTU!C5</f>
        <v>4.5470000000004802</v>
      </c>
      <c r="S4" s="153">
        <f>BTU!F5</f>
        <v>0.87100000000009459</v>
      </c>
      <c r="T4" s="153">
        <f>BTU!I5</f>
        <v>0</v>
      </c>
      <c r="U4" s="153">
        <f>BTU!O5</f>
        <v>0.57699999999999818</v>
      </c>
      <c r="V4" s="153">
        <f>BTU!L5</f>
        <v>0</v>
      </c>
      <c r="W4" s="153">
        <f>BTU!R5</f>
        <v>3.999999999996362E-2</v>
      </c>
      <c r="X4" s="150">
        <f>ELECT.!B6</f>
        <v>275</v>
      </c>
      <c r="Y4" s="150">
        <f t="shared" si="0"/>
        <v>1427</v>
      </c>
      <c r="Z4">
        <f>'Mall, Citadel, Rotana'!C6+'Mall, Citadel, Rotana'!E6+'Mall, Citadel, Rotana'!G6+'Mall, Citadel, Rotana'!I6</f>
        <v>2475</v>
      </c>
      <c r="AA4">
        <f>'Mall, Citadel, Rotana'!K6+'Mall, Citadel, Rotana'!M6</f>
        <v>960</v>
      </c>
      <c r="AB4">
        <f>'Mall, Citadel, Rotana'!O6</f>
        <v>3</v>
      </c>
      <c r="AC4">
        <f>'Mall, Citadel, Rotana'!Q6+'Mall, Citadel, Rotana'!S6</f>
        <v>353</v>
      </c>
      <c r="AD4" s="150">
        <f t="shared" si="1"/>
        <v>117.66220939999999</v>
      </c>
      <c r="AE4" s="150">
        <f t="shared" si="2"/>
        <v>775.07079060000001</v>
      </c>
    </row>
    <row r="5" spans="1:31" x14ac:dyDescent="0.2">
      <c r="A5" s="166" t="s">
        <v>113</v>
      </c>
      <c r="B5" s="171">
        <f t="shared" si="3"/>
        <v>4</v>
      </c>
      <c r="C5" s="171">
        <v>3</v>
      </c>
      <c r="D5" s="171">
        <v>2019</v>
      </c>
      <c r="E5" s="152">
        <f>Water!C7</f>
        <v>870</v>
      </c>
      <c r="F5" s="152">
        <f>Water!E7</f>
        <v>283.5</v>
      </c>
      <c r="G5" s="152">
        <f>Water!G7</f>
        <v>332.1</v>
      </c>
      <c r="H5" s="152">
        <f>Water!I7</f>
        <v>3.996</v>
      </c>
      <c r="I5" s="152">
        <f>ELECT.!F7</f>
        <v>10066</v>
      </c>
      <c r="J5" s="152">
        <f>ELECT.!H7</f>
        <v>40529</v>
      </c>
      <c r="K5" s="152">
        <f>ELECT.!K7</f>
        <v>4012</v>
      </c>
      <c r="L5" s="152">
        <f>ELECT.!M7</f>
        <v>4436</v>
      </c>
      <c r="M5" s="152">
        <f>ELECT.!O7</f>
        <v>5524</v>
      </c>
      <c r="N5" s="152">
        <f>ELECT.!Q7</f>
        <v>2330</v>
      </c>
      <c r="O5" s="152">
        <f>ELECT.!S7</f>
        <v>10053</v>
      </c>
      <c r="P5" s="152">
        <f>ELECT.!W7*2</f>
        <v>23330</v>
      </c>
      <c r="Q5" s="152">
        <f>ELECT.!D7</f>
        <v>640</v>
      </c>
      <c r="R5" s="153">
        <f>BTU!C6</f>
        <v>5.1440000000002328</v>
      </c>
      <c r="S5" s="153">
        <f>BTU!F6</f>
        <v>1.0760000000000218</v>
      </c>
      <c r="T5" s="153">
        <f>BTU!I6</f>
        <v>0</v>
      </c>
      <c r="U5" s="153">
        <f>BTU!O6</f>
        <v>0.60999999999989996</v>
      </c>
      <c r="V5" s="153">
        <f>BTU!L6</f>
        <v>0</v>
      </c>
      <c r="W5" s="153">
        <f>BTU!R6</f>
        <v>0.19000000000005457</v>
      </c>
      <c r="X5" s="150">
        <f>ELECT.!B7</f>
        <v>300</v>
      </c>
      <c r="Y5" s="150">
        <f t="shared" si="0"/>
        <v>910</v>
      </c>
      <c r="Z5">
        <f>'Mall, Citadel, Rotana'!C7+'Mall, Citadel, Rotana'!E7+'Mall, Citadel, Rotana'!G7+'Mall, Citadel, Rotana'!I7</f>
        <v>1173</v>
      </c>
      <c r="AA5">
        <f>'Mall, Citadel, Rotana'!K7+'Mall, Citadel, Rotana'!M7</f>
        <v>960</v>
      </c>
      <c r="AB5">
        <f>'Mall, Citadel, Rotana'!O7</f>
        <v>3</v>
      </c>
      <c r="AC5">
        <f>'Mall, Citadel, Rotana'!Q7+'Mall, Citadel, Rotana'!S7</f>
        <v>158</v>
      </c>
      <c r="AD5" s="150">
        <f t="shared" si="1"/>
        <v>88.570127200000002</v>
      </c>
      <c r="AE5" s="150">
        <f t="shared" si="2"/>
        <v>583.43387280000002</v>
      </c>
    </row>
    <row r="6" spans="1:31" x14ac:dyDescent="0.2">
      <c r="A6" s="166" t="s">
        <v>113</v>
      </c>
      <c r="B6" s="171">
        <f t="shared" si="3"/>
        <v>5</v>
      </c>
      <c r="C6" s="171">
        <v>3</v>
      </c>
      <c r="D6" s="171">
        <v>2019</v>
      </c>
      <c r="E6" s="152">
        <f>Water!C8</f>
        <v>990</v>
      </c>
      <c r="F6" s="152">
        <f>Water!E8</f>
        <v>680.4</v>
      </c>
      <c r="G6" s="152">
        <f>Water!G8</f>
        <v>310.5</v>
      </c>
      <c r="H6" s="152">
        <f>Water!I8</f>
        <v>2.673</v>
      </c>
      <c r="I6" s="152">
        <f>ELECT.!F8</f>
        <v>9052</v>
      </c>
      <c r="J6" s="152">
        <f>ELECT.!H8</f>
        <v>43731</v>
      </c>
      <c r="K6" s="152">
        <f>ELECT.!K8</f>
        <v>4350</v>
      </c>
      <c r="L6" s="152">
        <f>ELECT.!M8</f>
        <v>4570</v>
      </c>
      <c r="M6" s="152">
        <f>ELECT.!O8</f>
        <v>4332</v>
      </c>
      <c r="N6" s="152">
        <f>ELECT.!Q8</f>
        <v>4338</v>
      </c>
      <c r="O6" s="152">
        <f>ELECT.!S8</f>
        <v>10390</v>
      </c>
      <c r="P6" s="152">
        <f>ELECT.!W8*2</f>
        <v>23874</v>
      </c>
      <c r="Q6" s="152">
        <f>ELECT.!D8</f>
        <v>640</v>
      </c>
      <c r="R6" s="153">
        <f>BTU!C7</f>
        <v>4.8040000000000873</v>
      </c>
      <c r="S6" s="153">
        <f>BTU!F7</f>
        <v>0.88999999999987267</v>
      </c>
      <c r="T6" s="153">
        <f>BTU!I7</f>
        <v>9.0000000000145519E-3</v>
      </c>
      <c r="U6" s="153">
        <f>BTU!O7</f>
        <v>0.77179999999998472</v>
      </c>
      <c r="V6" s="153">
        <f>BTU!L7</f>
        <v>0</v>
      </c>
      <c r="W6" s="153">
        <f>BTU!R7</f>
        <v>0</v>
      </c>
      <c r="X6" s="150">
        <f>ELECT.!B8</f>
        <v>375</v>
      </c>
      <c r="Y6" s="150">
        <f t="shared" si="0"/>
        <v>929</v>
      </c>
      <c r="Z6">
        <f>'Mall, Citadel, Rotana'!C8+'Mall, Citadel, Rotana'!E8+'Mall, Citadel, Rotana'!G8+'Mall, Citadel, Rotana'!I8</f>
        <v>1152</v>
      </c>
      <c r="AA6">
        <f>'Mall, Citadel, Rotana'!K8+'Mall, Citadel, Rotana'!M8</f>
        <v>640</v>
      </c>
      <c r="AB6">
        <f>'Mall, Citadel, Rotana'!O8</f>
        <v>3</v>
      </c>
      <c r="AC6">
        <f>'Mall, Citadel, Rotana'!Q8+'Mall, Citadel, Rotana'!S8</f>
        <v>203</v>
      </c>
      <c r="AD6" s="150">
        <f t="shared" si="1"/>
        <v>104.5604986</v>
      </c>
      <c r="AE6" s="150">
        <f t="shared" si="2"/>
        <v>688.76650140000004</v>
      </c>
    </row>
    <row r="7" spans="1:31" x14ac:dyDescent="0.2">
      <c r="A7" s="166" t="s">
        <v>113</v>
      </c>
      <c r="B7" s="171">
        <f t="shared" si="3"/>
        <v>6</v>
      </c>
      <c r="C7" s="171">
        <v>3</v>
      </c>
      <c r="D7" s="171">
        <v>2019</v>
      </c>
      <c r="E7" s="152">
        <f>Water!C9</f>
        <v>1020</v>
      </c>
      <c r="F7" s="152">
        <f>Water!E9</f>
        <v>558.9</v>
      </c>
      <c r="G7" s="152">
        <f>Water!G9</f>
        <v>340.2</v>
      </c>
      <c r="H7" s="152">
        <f>Water!I9</f>
        <v>4.05</v>
      </c>
      <c r="I7" s="152">
        <f>ELECT.!F9</f>
        <v>4879</v>
      </c>
      <c r="J7" s="152">
        <f>ELECT.!H9</f>
        <v>36044</v>
      </c>
      <c r="K7" s="152">
        <f>ELECT.!K9</f>
        <v>3289</v>
      </c>
      <c r="L7" s="152">
        <f>ELECT.!M9</f>
        <v>3387</v>
      </c>
      <c r="M7" s="152">
        <f>ELECT.!O9</f>
        <v>1392</v>
      </c>
      <c r="N7" s="152">
        <f>ELECT.!Q9</f>
        <v>5814</v>
      </c>
      <c r="O7" s="152">
        <f>ELECT.!S9</f>
        <v>8066</v>
      </c>
      <c r="P7" s="152">
        <f>ELECT.!W9*2</f>
        <v>18342</v>
      </c>
      <c r="Q7" s="152">
        <f>ELECT.!D9</f>
        <v>800</v>
      </c>
      <c r="R7" s="153">
        <f>BTU!C8</f>
        <v>4.081000000000131</v>
      </c>
      <c r="S7" s="153">
        <f>BTU!F8</f>
        <v>0.88500000000021828</v>
      </c>
      <c r="T7" s="153">
        <f>BTU!I8</f>
        <v>0</v>
      </c>
      <c r="U7" s="153">
        <f>BTU!O8</f>
        <v>0.9352000000001226</v>
      </c>
      <c r="V7" s="153">
        <f>BTU!L8</f>
        <v>0</v>
      </c>
      <c r="W7" s="153">
        <f>BTU!R8</f>
        <v>0</v>
      </c>
      <c r="X7" s="150">
        <f>ELECT.!B9</f>
        <v>323</v>
      </c>
      <c r="Y7" s="150">
        <f t="shared" si="0"/>
        <v>633</v>
      </c>
      <c r="Z7">
        <f>'Mall, Citadel, Rotana'!C9+'Mall, Citadel, Rotana'!E9+'Mall, Citadel, Rotana'!G9+'Mall, Citadel, Rotana'!I9</f>
        <v>1197</v>
      </c>
      <c r="AA7">
        <f>'Mall, Citadel, Rotana'!K9+'Mall, Citadel, Rotana'!M9</f>
        <v>480</v>
      </c>
      <c r="AB7">
        <f>'Mall, Citadel, Rotana'!O9</f>
        <v>3</v>
      </c>
      <c r="AC7">
        <f>'Mall, Citadel, Rotana'!Q9+'Mall, Citadel, Rotana'!S9</f>
        <v>196</v>
      </c>
      <c r="AD7" s="150">
        <f t="shared" si="1"/>
        <v>108.33301</v>
      </c>
      <c r="AE7" s="150">
        <f t="shared" si="2"/>
        <v>713.61698999999999</v>
      </c>
    </row>
    <row r="8" spans="1:31" x14ac:dyDescent="0.2">
      <c r="A8" s="166" t="s">
        <v>113</v>
      </c>
      <c r="B8" s="171">
        <f t="shared" si="3"/>
        <v>7</v>
      </c>
      <c r="C8" s="171">
        <v>3</v>
      </c>
      <c r="D8" s="171">
        <v>2019</v>
      </c>
      <c r="E8" s="152">
        <f>Water!C10</f>
        <v>1090</v>
      </c>
      <c r="F8" s="152">
        <f>Water!E10</f>
        <v>380.7</v>
      </c>
      <c r="G8" s="152">
        <f>Water!G10</f>
        <v>251.1</v>
      </c>
      <c r="H8" s="152">
        <f>Water!I10</f>
        <v>2.7810000000000001</v>
      </c>
      <c r="I8" s="152">
        <f>ELECT.!F10</f>
        <v>15662</v>
      </c>
      <c r="J8" s="152">
        <f>ELECT.!H10</f>
        <v>66776</v>
      </c>
      <c r="K8" s="152">
        <f>ELECT.!K10</f>
        <v>6365</v>
      </c>
      <c r="L8" s="152">
        <f>ELECT.!M10</f>
        <v>8701</v>
      </c>
      <c r="M8" s="152">
        <f>ELECT.!O10</f>
        <v>6718</v>
      </c>
      <c r="N8" s="152">
        <f>ELECT.!Q10</f>
        <v>8084</v>
      </c>
      <c r="O8" s="152">
        <f>ELECT.!S10</f>
        <v>15595</v>
      </c>
      <c r="P8" s="152">
        <f>ELECT.!W10*2</f>
        <v>35506</v>
      </c>
      <c r="Q8" s="152">
        <f>ELECT.!D10</f>
        <v>480</v>
      </c>
      <c r="R8" s="153">
        <f>BTU!C9</f>
        <v>1.9409999999988941</v>
      </c>
      <c r="S8" s="153">
        <f>BTU!F9</f>
        <v>0.77899999999999636</v>
      </c>
      <c r="T8" s="153">
        <f>BTU!I9</f>
        <v>9.9999999997635314E-4</v>
      </c>
      <c r="U8" s="153">
        <f>BTU!O9</f>
        <v>0.96899999999982356</v>
      </c>
      <c r="V8" s="153">
        <f>BTU!L9</f>
        <v>0</v>
      </c>
      <c r="W8" s="153">
        <f>BTU!R9</f>
        <v>0</v>
      </c>
      <c r="X8" s="150">
        <f>ELECT.!B10</f>
        <v>357</v>
      </c>
      <c r="Y8" s="150">
        <f t="shared" si="0"/>
        <v>1469</v>
      </c>
      <c r="Z8">
        <f>'Mall, Citadel, Rotana'!C10+'Mall, Citadel, Rotana'!E10+'Mall, Citadel, Rotana'!G10+'Mall, Citadel, Rotana'!I10</f>
        <v>773</v>
      </c>
      <c r="AA8">
        <f>'Mall, Citadel, Rotana'!K10+'Mall, Citadel, Rotana'!M10</f>
        <v>800</v>
      </c>
      <c r="AB8">
        <f>'Mall, Citadel, Rotana'!O10</f>
        <v>3</v>
      </c>
      <c r="AC8">
        <f>'Mall, Citadel, Rotana'!Q10+'Mall, Citadel, Rotana'!S10</f>
        <v>213</v>
      </c>
      <c r="AD8" s="150">
        <f t="shared" si="1"/>
        <v>117.7262642</v>
      </c>
      <c r="AE8" s="150">
        <f t="shared" si="2"/>
        <v>775.49273579999999</v>
      </c>
    </row>
    <row r="9" spans="1:31" x14ac:dyDescent="0.2">
      <c r="A9" s="166" t="s">
        <v>113</v>
      </c>
      <c r="B9" s="171">
        <f t="shared" si="3"/>
        <v>8</v>
      </c>
      <c r="C9" s="171">
        <v>3</v>
      </c>
      <c r="D9" s="171">
        <v>2019</v>
      </c>
      <c r="E9" s="152">
        <f>Water!C11</f>
        <v>900</v>
      </c>
      <c r="F9" s="152">
        <f>Water!E11</f>
        <v>761.4</v>
      </c>
      <c r="G9" s="152">
        <f>Water!G11</f>
        <v>499.5</v>
      </c>
      <c r="H9" s="152">
        <f>Water!I11</f>
        <v>4.4550000000000001</v>
      </c>
      <c r="I9" s="152">
        <f>ELECT.!F11</f>
        <v>14850</v>
      </c>
      <c r="J9" s="152">
        <f>ELECT.!H11</f>
        <v>42460</v>
      </c>
      <c r="K9" s="152">
        <f>ELECT.!K11</f>
        <v>3119</v>
      </c>
      <c r="L9" s="152">
        <f>ELECT.!M11</f>
        <v>6033</v>
      </c>
      <c r="M9" s="152">
        <f>ELECT.!O11</f>
        <v>8652</v>
      </c>
      <c r="N9" s="152">
        <f>ELECT.!Q11</f>
        <v>2542</v>
      </c>
      <c r="O9" s="152">
        <f>ELECT.!S11</f>
        <v>11047</v>
      </c>
      <c r="P9" s="152">
        <f>ELECT.!W11*2</f>
        <v>24208</v>
      </c>
      <c r="Q9" s="152">
        <f>ELECT.!D11</f>
        <v>960</v>
      </c>
      <c r="R9" s="153">
        <f>BTU!C10</f>
        <v>6.5190000000002328</v>
      </c>
      <c r="S9" s="153">
        <f>BTU!F10</f>
        <v>0.49399999999968713</v>
      </c>
      <c r="T9" s="153">
        <f>BTU!I10</f>
        <v>4.9999999999954525E-3</v>
      </c>
      <c r="U9" s="153">
        <f>BTU!O10</f>
        <v>1.1460000000001855</v>
      </c>
      <c r="V9" s="153">
        <f>BTU!L10</f>
        <v>0</v>
      </c>
      <c r="W9" s="153">
        <f>BTU!R10</f>
        <v>0.38000000000010914</v>
      </c>
      <c r="X9" s="150">
        <f>ELECT.!B11</f>
        <v>361</v>
      </c>
      <c r="Y9" s="150">
        <f t="shared" si="0"/>
        <v>1709</v>
      </c>
      <c r="Z9">
        <f>'Mall, Citadel, Rotana'!C11+'Mall, Citadel, Rotana'!E11+'Mall, Citadel, Rotana'!G11+'Mall, Citadel, Rotana'!I11</f>
        <v>1717</v>
      </c>
      <c r="AA9">
        <f>'Mall, Citadel, Rotana'!K11+'Mall, Citadel, Rotana'!M11</f>
        <v>480</v>
      </c>
      <c r="AB9">
        <f>'Mall, Citadel, Rotana'!O11</f>
        <v>3</v>
      </c>
      <c r="AC9">
        <f>'Mall, Citadel, Rotana'!Q11+'Mall, Citadel, Rotana'!S11</f>
        <v>90</v>
      </c>
      <c r="AD9" s="150">
        <f t="shared" si="1"/>
        <v>92.463630999999992</v>
      </c>
      <c r="AE9" s="150">
        <f t="shared" si="2"/>
        <v>609.081369</v>
      </c>
    </row>
    <row r="10" spans="1:31" x14ac:dyDescent="0.2">
      <c r="A10" s="166" t="s">
        <v>113</v>
      </c>
      <c r="B10" s="171">
        <f t="shared" si="3"/>
        <v>9</v>
      </c>
      <c r="C10" s="171">
        <v>3</v>
      </c>
      <c r="D10" s="171">
        <v>2019</v>
      </c>
      <c r="E10" s="152">
        <f>Water!C12</f>
        <v>830</v>
      </c>
      <c r="F10" s="152">
        <f>Water!E12</f>
        <v>378</v>
      </c>
      <c r="G10" s="152">
        <f>Water!G12</f>
        <v>283.5</v>
      </c>
      <c r="H10" s="152">
        <f>Water!I12</f>
        <v>3.8069999999999999</v>
      </c>
      <c r="I10" s="152">
        <f>ELECT.!F12</f>
        <v>14810</v>
      </c>
      <c r="J10" s="152">
        <f>ELECT.!H12</f>
        <v>40800</v>
      </c>
      <c r="K10" s="152">
        <f>ELECT.!K12</f>
        <v>5035</v>
      </c>
      <c r="L10" s="152">
        <f>ELECT.!M12</f>
        <v>6229</v>
      </c>
      <c r="M10" s="152">
        <f>ELECT.!O12</f>
        <v>8446</v>
      </c>
      <c r="N10" s="152">
        <f>ELECT.!Q12</f>
        <v>2494</v>
      </c>
      <c r="O10" s="152">
        <f>ELECT.!S12</f>
        <v>10353</v>
      </c>
      <c r="P10" s="152">
        <f>ELECT.!W12*2</f>
        <v>22996</v>
      </c>
      <c r="Q10" s="152">
        <f>ELECT.!D12</f>
        <v>480</v>
      </c>
      <c r="R10" s="153">
        <f>BTU!C11</f>
        <v>4.9570000000003347</v>
      </c>
      <c r="S10" s="153">
        <f>BTU!F11</f>
        <v>0.4819999999999709</v>
      </c>
      <c r="T10" s="153">
        <f>BTU!I11</f>
        <v>5.3999999999973625E-2</v>
      </c>
      <c r="U10" s="153">
        <f>BTU!O11</f>
        <v>1.3579999999999472</v>
      </c>
      <c r="V10" s="153">
        <f>BTU!L11</f>
        <v>0.71999999999934516</v>
      </c>
      <c r="W10" s="153">
        <f>BTU!R11</f>
        <v>0.54999999999972715</v>
      </c>
      <c r="X10" s="150">
        <f>ELECT.!B12</f>
        <v>293</v>
      </c>
      <c r="Y10" s="150">
        <f t="shared" si="0"/>
        <v>57</v>
      </c>
      <c r="Z10">
        <f>'Mall, Citadel, Rotana'!C12+'Mall, Citadel, Rotana'!E12+'Mall, Citadel, Rotana'!G12+'Mall, Citadel, Rotana'!I12</f>
        <v>1067</v>
      </c>
      <c r="AA10">
        <f>'Mall, Citadel, Rotana'!K12+'Mall, Citadel, Rotana'!M12</f>
        <v>320</v>
      </c>
      <c r="AB10">
        <f>'Mall, Citadel, Rotana'!O12</f>
        <v>3</v>
      </c>
      <c r="AC10">
        <f>'Mall, Citadel, Rotana'!Q12+'Mall, Citadel, Rotana'!S12</f>
        <v>92</v>
      </c>
      <c r="AD10" s="150">
        <f t="shared" si="1"/>
        <v>83.323037400000004</v>
      </c>
      <c r="AE10" s="150">
        <f t="shared" si="2"/>
        <v>548.86996260000001</v>
      </c>
    </row>
    <row r="11" spans="1:31" x14ac:dyDescent="0.2">
      <c r="A11" s="166" t="s">
        <v>113</v>
      </c>
      <c r="B11" s="171">
        <f t="shared" si="3"/>
        <v>10</v>
      </c>
      <c r="C11" s="171">
        <v>3</v>
      </c>
      <c r="D11" s="171">
        <v>2019</v>
      </c>
      <c r="E11" s="152">
        <f>Water!C13</f>
        <v>830</v>
      </c>
      <c r="F11" s="152">
        <f>Water!E13</f>
        <v>561.6</v>
      </c>
      <c r="G11" s="152">
        <f>Water!G13</f>
        <v>326.7</v>
      </c>
      <c r="H11" s="152">
        <f>Water!I13</f>
        <v>4.8600000000000003</v>
      </c>
      <c r="I11" s="152">
        <f>ELECT.!F13</f>
        <v>17227</v>
      </c>
      <c r="J11" s="152">
        <f>ELECT.!H13</f>
        <v>52594</v>
      </c>
      <c r="K11" s="152">
        <f>ELECT.!K13</f>
        <v>5569</v>
      </c>
      <c r="L11" s="152">
        <f>ELECT.!M13</f>
        <v>7224</v>
      </c>
      <c r="M11" s="152">
        <f>ELECT.!O13</f>
        <v>9772</v>
      </c>
      <c r="N11" s="152">
        <f>ELECT.!Q13</f>
        <v>3262</v>
      </c>
      <c r="O11" s="152">
        <f>ELECT.!S13</f>
        <v>12872</v>
      </c>
      <c r="P11" s="152">
        <f>ELECT.!W13*2</f>
        <v>29770</v>
      </c>
      <c r="Q11" s="152">
        <f>ELECT.!D13</f>
        <v>640</v>
      </c>
      <c r="R11" s="153">
        <f>BTU!C12</f>
        <v>4.9230000000006839</v>
      </c>
      <c r="S11" s="153">
        <f>BTU!F12</f>
        <v>1.218000000000302</v>
      </c>
      <c r="T11" s="153">
        <f>BTU!I12</f>
        <v>0.11400000000003274</v>
      </c>
      <c r="U11" s="153">
        <f>BTU!O12</f>
        <v>1.1979999999998654</v>
      </c>
      <c r="V11" s="153">
        <f>BTU!L12</f>
        <v>1.0600000000013097</v>
      </c>
      <c r="W11" s="153">
        <f>BTU!R12</f>
        <v>0</v>
      </c>
      <c r="X11" s="150">
        <f>ELECT.!B13</f>
        <v>302</v>
      </c>
      <c r="Y11" s="150">
        <f t="shared" si="0"/>
        <v>1352</v>
      </c>
      <c r="Z11">
        <f>'Mall, Citadel, Rotana'!C13+'Mall, Citadel, Rotana'!E13+'Mall, Citadel, Rotana'!G13+'Mall, Citadel, Rotana'!I13</f>
        <v>1186</v>
      </c>
      <c r="AA11">
        <f>'Mall, Citadel, Rotana'!K13+'Mall, Citadel, Rotana'!M13</f>
        <v>800</v>
      </c>
      <c r="AB11">
        <f>'Mall, Citadel, Rotana'!O13</f>
        <v>2</v>
      </c>
      <c r="AC11">
        <f>'Mall, Citadel, Rotana'!Q13+'Mall, Citadel, Rotana'!S13</f>
        <v>171</v>
      </c>
      <c r="AD11" s="150">
        <f t="shared" si="1"/>
        <v>83.184252000000001</v>
      </c>
      <c r="AE11" s="150">
        <f t="shared" si="2"/>
        <v>547.95574799999997</v>
      </c>
    </row>
    <row r="12" spans="1:31" x14ac:dyDescent="0.2">
      <c r="A12" s="166" t="s">
        <v>113</v>
      </c>
      <c r="B12" s="171">
        <f t="shared" si="3"/>
        <v>11</v>
      </c>
      <c r="C12" s="171">
        <v>3</v>
      </c>
      <c r="D12" s="171">
        <v>2019</v>
      </c>
      <c r="E12" s="152">
        <f>Water!C14</f>
        <v>1050</v>
      </c>
      <c r="F12" s="152">
        <f>Water!E14</f>
        <v>540</v>
      </c>
      <c r="G12" s="152">
        <f>Water!G14</f>
        <v>356.4</v>
      </c>
      <c r="H12" s="152">
        <f>Water!I14</f>
        <v>4.0229999999999997</v>
      </c>
      <c r="I12" s="152">
        <f>ELECT.!F14</f>
        <v>6996</v>
      </c>
      <c r="J12" s="152">
        <f>ELECT.!H14</f>
        <v>25238</v>
      </c>
      <c r="K12" s="152">
        <f>ELECT.!K14</f>
        <v>2509</v>
      </c>
      <c r="L12" s="152">
        <f>ELECT.!M14</f>
        <v>3728</v>
      </c>
      <c r="M12" s="152">
        <f>ELECT.!O14</f>
        <v>3216</v>
      </c>
      <c r="N12" s="152">
        <f>ELECT.!Q14</f>
        <v>2764</v>
      </c>
      <c r="O12" s="152">
        <f>ELECT.!S14</f>
        <v>5768</v>
      </c>
      <c r="P12" s="152">
        <f>ELECT.!W14*2</f>
        <v>13844</v>
      </c>
      <c r="Q12" s="152">
        <f>ELECT.!D14</f>
        <v>640</v>
      </c>
      <c r="R12" s="153">
        <f>BTU!C13</f>
        <v>4.7319999999999709</v>
      </c>
      <c r="S12" s="153">
        <f>BTU!F13</f>
        <v>1.2469999999998436</v>
      </c>
      <c r="T12" s="153">
        <f>BTU!I13</f>
        <v>5.5999999999926331E-2</v>
      </c>
      <c r="U12" s="153">
        <f>BTU!O13</f>
        <v>1.1920000000000073</v>
      </c>
      <c r="V12" s="153">
        <f>BTU!L13</f>
        <v>0.59000000000014552</v>
      </c>
      <c r="W12" s="153">
        <f>BTU!R13</f>
        <v>0</v>
      </c>
      <c r="X12" s="150">
        <f>ELECT.!B14</f>
        <v>353</v>
      </c>
      <c r="Y12" s="150">
        <f t="shared" si="0"/>
        <v>405</v>
      </c>
      <c r="Z12">
        <f>'Mall, Citadel, Rotana'!C14+'Mall, Citadel, Rotana'!E14+'Mall, Citadel, Rotana'!G14+'Mall, Citadel, Rotana'!I14</f>
        <v>1186</v>
      </c>
      <c r="AA12">
        <f>'Mall, Citadel, Rotana'!K14+'Mall, Citadel, Rotana'!M14</f>
        <v>800</v>
      </c>
      <c r="AB12">
        <f>'Mall, Citadel, Rotana'!O14</f>
        <v>2</v>
      </c>
      <c r="AC12">
        <f>'Mall, Citadel, Rotana'!Q14+'Mall, Citadel, Rotana'!S14</f>
        <v>193</v>
      </c>
      <c r="AD12" s="150">
        <f t="shared" si="1"/>
        <v>112.29056860000001</v>
      </c>
      <c r="AE12" s="150">
        <f t="shared" si="2"/>
        <v>739.68643140000006</v>
      </c>
    </row>
    <row r="13" spans="1:31" x14ac:dyDescent="0.2">
      <c r="A13" s="166" t="s">
        <v>113</v>
      </c>
      <c r="B13" s="171">
        <f t="shared" si="3"/>
        <v>12</v>
      </c>
      <c r="C13" s="171">
        <v>3</v>
      </c>
      <c r="D13" s="171">
        <v>2019</v>
      </c>
      <c r="E13" s="152">
        <f>Water!C15</f>
        <v>1160</v>
      </c>
      <c r="F13" s="152">
        <f>Water!E15</f>
        <v>591.29999999999995</v>
      </c>
      <c r="G13" s="152">
        <f>Water!G15</f>
        <v>434.7</v>
      </c>
      <c r="H13" s="152">
        <f>Water!I15</f>
        <v>3.4289999999999998</v>
      </c>
      <c r="I13" s="152">
        <f>ELECT.!F15</f>
        <v>14676</v>
      </c>
      <c r="J13" s="152">
        <f>ELECT.!H15</f>
        <v>54255</v>
      </c>
      <c r="K13" s="152">
        <f>ELECT.!K15</f>
        <v>5870</v>
      </c>
      <c r="L13" s="152">
        <f>ELECT.!M15</f>
        <v>6044</v>
      </c>
      <c r="M13" s="152">
        <f>ELECT.!O15</f>
        <v>8456</v>
      </c>
      <c r="N13" s="152">
        <f>ELECT.!Q15</f>
        <v>3028</v>
      </c>
      <c r="O13" s="152">
        <f>ELECT.!S15</f>
        <v>12727</v>
      </c>
      <c r="P13" s="152">
        <f>ELECT.!W15*2</f>
        <v>31694</v>
      </c>
      <c r="Q13" s="152">
        <f>ELECT.!D15</f>
        <v>800</v>
      </c>
      <c r="R13" s="153">
        <f>BTU!C14</f>
        <v>4.8619999999991705</v>
      </c>
      <c r="S13" s="153">
        <f>BTU!F14</f>
        <v>1.1660000000001673</v>
      </c>
      <c r="T13" s="153">
        <f>BTU!I14</f>
        <v>1.00000000009004E-3</v>
      </c>
      <c r="U13" s="153">
        <f>BTU!O14</f>
        <v>1.1700000000000728</v>
      </c>
      <c r="V13" s="153">
        <f>BTU!L14</f>
        <v>1.0399999999990541</v>
      </c>
      <c r="W13" s="153">
        <f>BTU!R14</f>
        <v>0</v>
      </c>
      <c r="X13" s="150">
        <f>ELECT.!B15</f>
        <v>320</v>
      </c>
      <c r="Y13" s="150">
        <f t="shared" si="0"/>
        <v>1112</v>
      </c>
      <c r="Z13">
        <f>'Mall, Citadel, Rotana'!C15+'Mall, Citadel, Rotana'!E15+'Mall, Citadel, Rotana'!G15+'Mall, Citadel, Rotana'!I15</f>
        <v>1420</v>
      </c>
      <c r="AA13">
        <f>'Mall, Citadel, Rotana'!K15+'Mall, Citadel, Rotana'!M15</f>
        <v>640</v>
      </c>
      <c r="AB13">
        <f>'Mall, Citadel, Rotana'!O15</f>
        <v>4</v>
      </c>
      <c r="AC13">
        <f>'Mall, Citadel, Rotana'!Q15+'Mall, Citadel, Rotana'!S15</f>
        <v>204</v>
      </c>
      <c r="AD13" s="150">
        <f t="shared" si="1"/>
        <v>126.86685779999999</v>
      </c>
      <c r="AE13" s="150">
        <f t="shared" si="2"/>
        <v>835.70414219999998</v>
      </c>
    </row>
    <row r="14" spans="1:31" x14ac:dyDescent="0.2">
      <c r="A14" s="166" t="s">
        <v>113</v>
      </c>
      <c r="B14" s="171">
        <f t="shared" si="3"/>
        <v>13</v>
      </c>
      <c r="C14" s="171">
        <v>3</v>
      </c>
      <c r="D14" s="171">
        <v>2019</v>
      </c>
      <c r="E14" s="152">
        <f>Water!C16</f>
        <v>1330</v>
      </c>
      <c r="F14" s="152">
        <f>Water!E16</f>
        <v>556.20000000000005</v>
      </c>
      <c r="G14" s="152">
        <f>Water!G16</f>
        <v>396.9</v>
      </c>
      <c r="H14" s="152">
        <f>Water!I16</f>
        <v>3.375</v>
      </c>
      <c r="I14" s="152">
        <f>ELECT.!F16</f>
        <v>15365</v>
      </c>
      <c r="J14" s="152">
        <f>ELECT.!H16</f>
        <v>45373</v>
      </c>
      <c r="K14" s="152">
        <f>ELECT.!K16</f>
        <v>4879</v>
      </c>
      <c r="L14" s="152">
        <f>ELECT.!M16</f>
        <v>6258</v>
      </c>
      <c r="M14" s="152">
        <f>ELECT.!O16</f>
        <v>8706</v>
      </c>
      <c r="N14" s="152">
        <f>ELECT.!Q16</f>
        <v>2663</v>
      </c>
      <c r="O14" s="152">
        <f>ELECT.!S16</f>
        <v>11216</v>
      </c>
      <c r="P14" s="152">
        <f>ELECT.!W16*2</f>
        <v>25886</v>
      </c>
      <c r="Q14" s="152">
        <f>ELECT.!D16</f>
        <v>800</v>
      </c>
      <c r="R14" s="153">
        <f>BTU!C15</f>
        <v>4.7990000000008877</v>
      </c>
      <c r="S14" s="153">
        <f>BTU!F15</f>
        <v>0.98500000000012733</v>
      </c>
      <c r="T14" s="153">
        <f>BTU!I15</f>
        <v>0</v>
      </c>
      <c r="U14" s="153">
        <f>BTU!O15</f>
        <v>1.40300000000002</v>
      </c>
      <c r="V14" s="153">
        <f>BTU!L15</f>
        <v>0.57999999999992724</v>
      </c>
      <c r="W14" s="153">
        <f>BTU!R15</f>
        <v>0</v>
      </c>
      <c r="X14" s="150">
        <f>ELECT.!B16</f>
        <v>330.19230769230802</v>
      </c>
      <c r="Y14" s="150">
        <f t="shared" si="0"/>
        <v>1130</v>
      </c>
      <c r="Z14">
        <f>'Mall, Citadel, Rotana'!C16+'Mall, Citadel, Rotana'!E16+'Mall, Citadel, Rotana'!G16+'Mall, Citadel, Rotana'!I16</f>
        <v>1194</v>
      </c>
      <c r="AA14">
        <f>'Mall, Citadel, Rotana'!K16+'Mall, Citadel, Rotana'!M16</f>
        <v>480</v>
      </c>
      <c r="AB14">
        <f>'Mall, Citadel, Rotana'!O16</f>
        <v>4</v>
      </c>
      <c r="AC14">
        <f>'Mall, Citadel, Rotana'!Q16+'Mall, Citadel, Rotana'!S16</f>
        <v>194</v>
      </c>
      <c r="AD14" s="150">
        <f t="shared" si="1"/>
        <v>149.27997500000001</v>
      </c>
      <c r="AE14" s="150">
        <f t="shared" si="2"/>
        <v>983.34502500000008</v>
      </c>
    </row>
    <row r="15" spans="1:31" x14ac:dyDescent="0.2">
      <c r="A15" s="166" t="s">
        <v>113</v>
      </c>
      <c r="B15" s="171">
        <f t="shared" si="3"/>
        <v>14</v>
      </c>
      <c r="C15" s="171">
        <v>3</v>
      </c>
      <c r="D15" s="171">
        <v>2019</v>
      </c>
      <c r="E15" s="152">
        <f>Water!C17</f>
        <v>1140</v>
      </c>
      <c r="F15" s="152">
        <f>Water!E17</f>
        <v>645.29999999999995</v>
      </c>
      <c r="G15" s="152">
        <f>Water!G17</f>
        <v>383.4</v>
      </c>
      <c r="H15" s="152">
        <f>Water!I17</f>
        <v>3.375</v>
      </c>
      <c r="I15" s="152">
        <f>ELECT.!F17</f>
        <v>11280</v>
      </c>
      <c r="J15" s="152">
        <f>ELECT.!H17</f>
        <v>44074</v>
      </c>
      <c r="K15" s="152">
        <f>ELECT.!K17</f>
        <v>5246</v>
      </c>
      <c r="L15" s="152">
        <f>ELECT.!M17</f>
        <v>4760</v>
      </c>
      <c r="M15" s="152">
        <f>ELECT.!O17</f>
        <v>6608</v>
      </c>
      <c r="N15" s="152">
        <f>ELECT.!Q17</f>
        <v>2619</v>
      </c>
      <c r="O15" s="152">
        <f>ELECT.!S17</f>
        <v>10430</v>
      </c>
      <c r="P15" s="152">
        <f>ELECT.!W17*2</f>
        <v>25084</v>
      </c>
      <c r="Q15" s="152">
        <f>ELECT.!D17</f>
        <v>800</v>
      </c>
      <c r="R15" s="153">
        <f>BTU!C16</f>
        <v>4.5</v>
      </c>
      <c r="S15" s="153">
        <f>BTU!F16</f>
        <v>0.81299999999964712</v>
      </c>
      <c r="T15" s="153">
        <f>BTU!I16</f>
        <v>1.9999999999527063E-3</v>
      </c>
      <c r="U15" s="153">
        <f>BTU!O16</f>
        <v>0.96800000000007458</v>
      </c>
      <c r="V15" s="153">
        <f>BTU!L16</f>
        <v>0.78000000000065484</v>
      </c>
      <c r="W15" s="153">
        <f>BTU!R16</f>
        <v>0</v>
      </c>
      <c r="X15" s="150">
        <f>ELECT.!B17</f>
        <v>330.65934065934101</v>
      </c>
      <c r="Y15" s="150">
        <f t="shared" si="0"/>
        <v>607</v>
      </c>
      <c r="Z15">
        <f>'Mall, Citadel, Rotana'!C17+'Mall, Citadel, Rotana'!E17+'Mall, Citadel, Rotana'!G17+'Mall, Citadel, Rotana'!I17</f>
        <v>1288</v>
      </c>
      <c r="AA15">
        <f>'Mall, Citadel, Rotana'!K17+'Mall, Citadel, Rotana'!M17</f>
        <v>960</v>
      </c>
      <c r="AB15">
        <f>'Mall, Citadel, Rotana'!O17</f>
        <v>3</v>
      </c>
      <c r="AC15">
        <f>'Mall, Citadel, Rotana'!Q17+'Mall, Citadel, Rotana'!S17</f>
        <v>133</v>
      </c>
      <c r="AD15" s="150">
        <f t="shared" si="1"/>
        <v>124.23797500000001</v>
      </c>
      <c r="AE15" s="150">
        <f t="shared" si="2"/>
        <v>818.38702499999999</v>
      </c>
    </row>
    <row r="16" spans="1:31" x14ac:dyDescent="0.2">
      <c r="A16" s="166" t="s">
        <v>113</v>
      </c>
      <c r="B16" s="171">
        <f t="shared" si="3"/>
        <v>15</v>
      </c>
      <c r="C16" s="171">
        <v>3</v>
      </c>
      <c r="D16" s="171">
        <v>2019</v>
      </c>
      <c r="E16" s="152">
        <f>Water!C18</f>
        <v>1150</v>
      </c>
      <c r="F16" s="152">
        <f>Water!E18</f>
        <v>588.6</v>
      </c>
      <c r="G16" s="152">
        <f>Water!G18</f>
        <v>399.6</v>
      </c>
      <c r="H16" s="152">
        <f>Water!I18</f>
        <v>2.484</v>
      </c>
      <c r="I16" s="152">
        <f>ELECT.!F18</f>
        <v>13323</v>
      </c>
      <c r="J16" s="152">
        <f>ELECT.!H18</f>
        <v>57387</v>
      </c>
      <c r="K16" s="152">
        <f>ELECT.!K18</f>
        <v>6506</v>
      </c>
      <c r="L16" s="152">
        <f>ELECT.!M18</f>
        <v>5310</v>
      </c>
      <c r="M16" s="152">
        <f>ELECT.!O18</f>
        <v>7808</v>
      </c>
      <c r="N16" s="152">
        <f>ELECT.!Q18</f>
        <v>3304</v>
      </c>
      <c r="O16" s="152">
        <f>ELECT.!S18</f>
        <v>13549</v>
      </c>
      <c r="P16" s="152">
        <f>ELECT.!W18*2</f>
        <v>33052</v>
      </c>
      <c r="Q16" s="152">
        <f>ELECT.!D18</f>
        <v>640</v>
      </c>
      <c r="R16" s="153">
        <f>BTU!C17</f>
        <v>3.4059999999990396</v>
      </c>
      <c r="S16" s="153">
        <f>BTU!F17</f>
        <v>0.49200000000018917</v>
      </c>
      <c r="T16" s="153">
        <f>BTU!I17</f>
        <v>0</v>
      </c>
      <c r="U16" s="153">
        <f>BTU!O17</f>
        <v>1.2439999999999145</v>
      </c>
      <c r="V16" s="153">
        <f>BTU!L17</f>
        <v>0.60999999999876309</v>
      </c>
      <c r="W16" s="153">
        <f>BTU!R17</f>
        <v>0</v>
      </c>
      <c r="X16" s="150">
        <f>ELECT.!B18</f>
        <v>331.126373626374</v>
      </c>
      <c r="Y16" s="150">
        <f t="shared" si="0"/>
        <v>1181</v>
      </c>
      <c r="Z16">
        <f>'Mall, Citadel, Rotana'!C18+'Mall, Citadel, Rotana'!E18+'Mall, Citadel, Rotana'!G18+'Mall, Citadel, Rotana'!I18</f>
        <v>1185</v>
      </c>
      <c r="AA16">
        <f>'Mall, Citadel, Rotana'!K18+'Mall, Citadel, Rotana'!M18</f>
        <v>480</v>
      </c>
      <c r="AB16">
        <f>'Mall, Citadel, Rotana'!O18</f>
        <v>3</v>
      </c>
      <c r="AC16">
        <f>'Mall, Citadel, Rotana'!Q18+'Mall, Citadel, Rotana'!S18</f>
        <v>96</v>
      </c>
      <c r="AD16" s="150">
        <f t="shared" si="1"/>
        <v>125.6734088</v>
      </c>
      <c r="AE16" s="150">
        <f t="shared" si="2"/>
        <v>827.84259120000002</v>
      </c>
    </row>
    <row r="17" spans="1:31" x14ac:dyDescent="0.2">
      <c r="A17" s="166" t="s">
        <v>113</v>
      </c>
      <c r="B17" s="171">
        <f t="shared" si="3"/>
        <v>16</v>
      </c>
      <c r="C17" s="171">
        <v>3</v>
      </c>
      <c r="D17" s="171">
        <v>2019</v>
      </c>
      <c r="E17" s="152">
        <f>Water!C19</f>
        <v>1020</v>
      </c>
      <c r="F17" s="152">
        <f>Water!E19</f>
        <v>661.5</v>
      </c>
      <c r="G17" s="152">
        <f>Water!G19</f>
        <v>415.8</v>
      </c>
      <c r="H17" s="152">
        <f>Water!I19</f>
        <v>3.726</v>
      </c>
      <c r="I17" s="152">
        <f>ELECT.!F19</f>
        <v>9370</v>
      </c>
      <c r="J17" s="152">
        <f>ELECT.!H19</f>
        <v>35007</v>
      </c>
      <c r="K17" s="152">
        <f>ELECT.!K19</f>
        <v>3603</v>
      </c>
      <c r="L17" s="152">
        <f>ELECT.!M19</f>
        <v>4047</v>
      </c>
      <c r="M17" s="152">
        <f>ELECT.!O19</f>
        <v>5720</v>
      </c>
      <c r="N17" s="152">
        <f>ELECT.!Q19</f>
        <v>2143</v>
      </c>
      <c r="O17" s="152">
        <f>ELECT.!S19</f>
        <v>8889</v>
      </c>
      <c r="P17" s="152">
        <f>ELECT.!W19*2</f>
        <v>19910</v>
      </c>
      <c r="Q17" s="152">
        <f>ELECT.!D19</f>
        <v>800</v>
      </c>
      <c r="R17" s="153">
        <f>BTU!C18</f>
        <v>6.5959999999995489</v>
      </c>
      <c r="S17" s="153">
        <f>BTU!F18</f>
        <v>0.72400000000016007</v>
      </c>
      <c r="T17" s="153">
        <f>BTU!I18</f>
        <v>3.0000000000427463E-3</v>
      </c>
      <c r="U17" s="153">
        <f>BTU!O18</f>
        <v>1.3099999999999454</v>
      </c>
      <c r="V17" s="153">
        <f>BTU!L18</f>
        <v>0.54000000000087311</v>
      </c>
      <c r="W17" s="153">
        <f>BTU!R18</f>
        <v>0</v>
      </c>
      <c r="X17" s="150">
        <f>ELECT.!B19</f>
        <v>331.593406593407</v>
      </c>
      <c r="Y17" s="150">
        <f t="shared" si="0"/>
        <v>65</v>
      </c>
      <c r="Z17">
        <f>'Mall, Citadel, Rotana'!C19+'Mall, Citadel, Rotana'!E19+'Mall, Citadel, Rotana'!G19+'Mall, Citadel, Rotana'!I19</f>
        <v>1323</v>
      </c>
      <c r="AA17">
        <f>'Mall, Citadel, Rotana'!K19+'Mall, Citadel, Rotana'!M19</f>
        <v>640</v>
      </c>
      <c r="AB17">
        <f>'Mall, Citadel, Rotana'!O19</f>
        <v>3</v>
      </c>
      <c r="AC17">
        <f>'Mall, Citadel, Rotana'!Q19+'Mall, Citadel, Rotana'!S19</f>
        <v>254</v>
      </c>
      <c r="AD17" s="150">
        <f t="shared" si="1"/>
        <v>108.37571320000001</v>
      </c>
      <c r="AE17" s="150">
        <f t="shared" si="2"/>
        <v>713.89828680000005</v>
      </c>
    </row>
    <row r="18" spans="1:31" x14ac:dyDescent="0.2">
      <c r="A18" s="166" t="s">
        <v>113</v>
      </c>
      <c r="B18" s="171">
        <f t="shared" si="3"/>
        <v>17</v>
      </c>
      <c r="C18" s="171">
        <v>3</v>
      </c>
      <c r="D18" s="171">
        <v>2019</v>
      </c>
      <c r="E18" s="152">
        <f>Water!C20</f>
        <v>1380</v>
      </c>
      <c r="F18" s="152">
        <f>Water!E20</f>
        <v>599.4</v>
      </c>
      <c r="G18" s="152">
        <f>Water!G20</f>
        <v>367.2</v>
      </c>
      <c r="H18" s="152">
        <f>Water!I20</f>
        <v>3.375</v>
      </c>
      <c r="I18" s="152">
        <f>ELECT.!F20</f>
        <v>10590</v>
      </c>
      <c r="J18" s="152">
        <f>ELECT.!H20</f>
        <v>48049</v>
      </c>
      <c r="K18" s="152">
        <f>ELECT.!K20</f>
        <v>4842</v>
      </c>
      <c r="L18" s="152">
        <f>ELECT.!M20</f>
        <v>4358</v>
      </c>
      <c r="M18" s="152">
        <f>ELECT.!O20</f>
        <v>5580</v>
      </c>
      <c r="N18" s="152">
        <f>ELECT.!Q20</f>
        <v>2877</v>
      </c>
      <c r="O18" s="152">
        <f>ELECT.!S20</f>
        <v>11912</v>
      </c>
      <c r="P18" s="152">
        <f>ELECT.!W20*2</f>
        <v>27350</v>
      </c>
      <c r="Q18" s="152">
        <f>ELECT.!D20</f>
        <v>480</v>
      </c>
      <c r="R18" s="153">
        <f>BTU!C19</f>
        <v>5.8930000000000291</v>
      </c>
      <c r="S18" s="153">
        <f>BTU!F19</f>
        <v>1.0789999999997235</v>
      </c>
      <c r="T18" s="153">
        <f>BTU!I19</f>
        <v>0</v>
      </c>
      <c r="U18" s="153">
        <f>BTU!O19</f>
        <v>1.1110000000001037</v>
      </c>
      <c r="V18" s="153">
        <f>BTU!L19</f>
        <v>0.7000000000007276</v>
      </c>
      <c r="W18" s="153">
        <f>BTU!R19</f>
        <v>0</v>
      </c>
      <c r="X18" s="150">
        <f>ELECT.!B20</f>
        <v>332.06043956043999</v>
      </c>
      <c r="Y18" s="150">
        <f t="shared" si="0"/>
        <v>1720</v>
      </c>
      <c r="Z18">
        <f>'Mall, Citadel, Rotana'!C20+'Mall, Citadel, Rotana'!E20+'Mall, Citadel, Rotana'!G20+'Mall, Citadel, Rotana'!I20</f>
        <v>1294</v>
      </c>
      <c r="AA18">
        <f>'Mall, Citadel, Rotana'!K20+'Mall, Citadel, Rotana'!M20</f>
        <v>640</v>
      </c>
      <c r="AB18">
        <f>'Mall, Citadel, Rotana'!O20</f>
        <v>3</v>
      </c>
      <c r="AC18">
        <f>'Mall, Citadel, Rotana'!Q20+'Mall, Citadel, Rotana'!S20</f>
        <v>202</v>
      </c>
      <c r="AD18" s="150">
        <f t="shared" si="1"/>
        <v>155.86997500000001</v>
      </c>
      <c r="AE18" s="150">
        <f t="shared" si="2"/>
        <v>1026.7550249999999</v>
      </c>
    </row>
    <row r="19" spans="1:31" x14ac:dyDescent="0.2">
      <c r="A19" s="166" t="s">
        <v>113</v>
      </c>
      <c r="B19" s="171">
        <f t="shared" si="3"/>
        <v>18</v>
      </c>
      <c r="C19" s="171">
        <v>3</v>
      </c>
      <c r="D19" s="171">
        <v>2019</v>
      </c>
      <c r="E19" s="152">
        <f>Water!C21</f>
        <v>1050</v>
      </c>
      <c r="F19" s="152">
        <f>Water!E21</f>
        <v>326.7</v>
      </c>
      <c r="G19" s="152">
        <f>Water!G21</f>
        <v>432</v>
      </c>
      <c r="H19" s="152">
        <f>Water!I21</f>
        <v>4.9409999999999998</v>
      </c>
      <c r="I19" s="152">
        <f>ELECT.!F21</f>
        <v>10156</v>
      </c>
      <c r="J19" s="152">
        <f>ELECT.!H21</f>
        <v>41203</v>
      </c>
      <c r="K19" s="152">
        <f>ELECT.!K21</f>
        <v>4404</v>
      </c>
      <c r="L19" s="152">
        <f>ELECT.!M21</f>
        <v>4048</v>
      </c>
      <c r="M19" s="152">
        <f>ELECT.!O21</f>
        <v>5974</v>
      </c>
      <c r="N19" s="152">
        <f>ELECT.!Q21</f>
        <v>2417</v>
      </c>
      <c r="O19" s="152">
        <f>ELECT.!S21</f>
        <v>10229</v>
      </c>
      <c r="P19" s="152">
        <f>ELECT.!W21*2</f>
        <v>23254</v>
      </c>
      <c r="Q19" s="152">
        <f>ELECT.!D21</f>
        <v>640</v>
      </c>
      <c r="R19" s="153">
        <f>BTU!C20</f>
        <v>5.2920000000012806</v>
      </c>
      <c r="S19" s="153">
        <f>BTU!F20</f>
        <v>1.2539999999999054</v>
      </c>
      <c r="T19" s="153">
        <f>BTU!I20</f>
        <v>0</v>
      </c>
      <c r="U19" s="153">
        <f>BTU!O20</f>
        <v>1.3170000000000073</v>
      </c>
      <c r="V19" s="153">
        <f>BTU!L20</f>
        <v>1.0299999999988358</v>
      </c>
      <c r="W19" s="153">
        <f>BTU!R20</f>
        <v>0</v>
      </c>
      <c r="X19" s="150">
        <f>ELECT.!B21</f>
        <v>332.52747252747298</v>
      </c>
      <c r="Y19" s="150">
        <f t="shared" si="0"/>
        <v>1033</v>
      </c>
      <c r="Z19">
        <f>'Mall, Citadel, Rotana'!C21+'Mall, Citadel, Rotana'!E21+'Mall, Citadel, Rotana'!G21+'Mall, Citadel, Rotana'!I21</f>
        <v>1356</v>
      </c>
      <c r="AA19">
        <f>'Mall, Citadel, Rotana'!K21+'Mall, Citadel, Rotana'!M21</f>
        <v>640</v>
      </c>
      <c r="AB19">
        <f>'Mall, Citadel, Rotana'!O21</f>
        <v>3</v>
      </c>
      <c r="AC19">
        <f>'Mall, Citadel, Rotana'!Q21+'Mall, Citadel, Rotana'!S21</f>
        <v>194</v>
      </c>
      <c r="AD19" s="150">
        <f t="shared" si="1"/>
        <v>112.16957619999999</v>
      </c>
      <c r="AE19" s="150">
        <f t="shared" si="2"/>
        <v>738.88942380000003</v>
      </c>
    </row>
    <row r="20" spans="1:31" x14ac:dyDescent="0.2">
      <c r="A20" s="166" t="s">
        <v>113</v>
      </c>
      <c r="B20" s="171">
        <f t="shared" si="3"/>
        <v>19</v>
      </c>
      <c r="C20" s="171">
        <v>3</v>
      </c>
      <c r="D20" s="171">
        <v>2019</v>
      </c>
      <c r="E20" s="152">
        <f>Water!C22</f>
        <v>1060</v>
      </c>
      <c r="F20" s="152">
        <f>Water!E22</f>
        <v>877.5</v>
      </c>
      <c r="G20" s="152">
        <f>Water!G22</f>
        <v>313.2</v>
      </c>
      <c r="H20" s="152">
        <f>Water!I22</f>
        <v>2.133</v>
      </c>
      <c r="I20" s="152">
        <f>ELECT.!F22</f>
        <v>13656</v>
      </c>
      <c r="J20" s="152">
        <f>ELECT.!H22</f>
        <v>53435</v>
      </c>
      <c r="K20" s="152">
        <f>ELECT.!K22</f>
        <v>5638</v>
      </c>
      <c r="L20" s="152">
        <f>ELECT.!M22</f>
        <v>5643</v>
      </c>
      <c r="M20" s="152">
        <f>ELECT.!O22</f>
        <v>7848</v>
      </c>
      <c r="N20" s="152">
        <f>ELECT.!Q22</f>
        <v>3197</v>
      </c>
      <c r="O20" s="152">
        <f>ELECT.!S22</f>
        <v>13029</v>
      </c>
      <c r="P20" s="152">
        <f>ELECT.!W22*2</f>
        <v>30180</v>
      </c>
      <c r="Q20" s="152">
        <f>ELECT.!D22</f>
        <v>800</v>
      </c>
      <c r="R20" s="153">
        <f>BTU!C21</f>
        <v>5.694999999999709</v>
      </c>
      <c r="S20" s="153">
        <f>BTU!F21</f>
        <v>1.5670000000000073</v>
      </c>
      <c r="T20" s="153">
        <f>BTU!I21</f>
        <v>0</v>
      </c>
      <c r="U20" s="153">
        <f>BTU!O21</f>
        <v>1.5489999999999782</v>
      </c>
      <c r="V20" s="153">
        <f>BTU!L21</f>
        <v>0.96000000000094587</v>
      </c>
      <c r="W20" s="153">
        <f>BTU!R21</f>
        <v>0</v>
      </c>
      <c r="X20" s="150">
        <f>ELECT.!B22</f>
        <v>332.99450549450597</v>
      </c>
      <c r="Y20" s="150">
        <f t="shared" si="0"/>
        <v>1556</v>
      </c>
      <c r="Z20">
        <f>'Mall, Citadel, Rotana'!C22+'Mall, Citadel, Rotana'!E22+'Mall, Citadel, Rotana'!G22+'Mall, Citadel, Rotana'!I22</f>
        <v>1173</v>
      </c>
      <c r="AA20">
        <f>'Mall, Citadel, Rotana'!K22+'Mall, Citadel, Rotana'!M22</f>
        <v>800</v>
      </c>
      <c r="AB20">
        <f>'Mall, Citadel, Rotana'!O22</f>
        <v>3</v>
      </c>
      <c r="AC20">
        <f>'Mall, Citadel, Rotana'!Q22+'Mall, Citadel, Rotana'!S22</f>
        <v>201</v>
      </c>
      <c r="AD20" s="150">
        <f t="shared" si="1"/>
        <v>113.85767059999999</v>
      </c>
      <c r="AE20" s="150">
        <f t="shared" si="2"/>
        <v>750.00932939999996</v>
      </c>
    </row>
    <row r="21" spans="1:31" x14ac:dyDescent="0.2">
      <c r="A21" s="166" t="s">
        <v>113</v>
      </c>
      <c r="B21" s="171">
        <f t="shared" si="3"/>
        <v>20</v>
      </c>
      <c r="C21" s="171">
        <v>3</v>
      </c>
      <c r="D21" s="171">
        <v>2019</v>
      </c>
      <c r="E21" s="152">
        <f>Water!C23</f>
        <v>1180</v>
      </c>
      <c r="F21" s="152">
        <f>Water!E23</f>
        <v>637.20000000000005</v>
      </c>
      <c r="G21" s="152">
        <f>Water!G23</f>
        <v>367.2</v>
      </c>
      <c r="H21" s="152">
        <f>Water!I23</f>
        <v>5.4</v>
      </c>
      <c r="I21" s="152">
        <f>ELECT.!F23</f>
        <v>10873</v>
      </c>
      <c r="J21" s="152">
        <f>ELECT.!H23</f>
        <v>42620</v>
      </c>
      <c r="K21" s="152">
        <f>ELECT.!K23</f>
        <v>4388</v>
      </c>
      <c r="L21" s="152">
        <f>ELECT.!M23</f>
        <v>4464</v>
      </c>
      <c r="M21" s="152">
        <f>ELECT.!O23</f>
        <v>6254</v>
      </c>
      <c r="N21" s="152">
        <f>ELECT.!Q23</f>
        <v>2608</v>
      </c>
      <c r="O21" s="152">
        <f>ELECT.!S23</f>
        <v>10371</v>
      </c>
      <c r="P21" s="152">
        <f>ELECT.!W23*2</f>
        <v>24146</v>
      </c>
      <c r="Q21" s="152">
        <f>ELECT.!D23</f>
        <v>480</v>
      </c>
      <c r="R21" s="153">
        <f>BTU!C22</f>
        <v>5.7569999999996071</v>
      </c>
      <c r="S21" s="153">
        <f>BTU!F22</f>
        <v>1.3569999999999709</v>
      </c>
      <c r="T21" s="153">
        <f>BTU!I22</f>
        <v>0</v>
      </c>
      <c r="U21" s="153">
        <f>BTU!O22</f>
        <v>1.4610000000000127</v>
      </c>
      <c r="V21" s="153">
        <f>BTU!L22</f>
        <v>1.0799999999999272</v>
      </c>
      <c r="W21" s="153">
        <f>BTU!R22</f>
        <v>0</v>
      </c>
      <c r="X21" s="150">
        <f>ELECT.!B23</f>
        <v>333.461538461538</v>
      </c>
      <c r="Y21" s="150">
        <f t="shared" si="0"/>
        <v>1262</v>
      </c>
      <c r="Z21">
        <f>'Mall, Citadel, Rotana'!C23+'Mall, Citadel, Rotana'!E23+'Mall, Citadel, Rotana'!G23+'Mall, Citadel, Rotana'!I23</f>
        <v>1472</v>
      </c>
      <c r="AA21">
        <f>'Mall, Citadel, Rotana'!K23+'Mall, Citadel, Rotana'!M23</f>
        <v>640</v>
      </c>
      <c r="AB21">
        <f>'Mall, Citadel, Rotana'!O23</f>
        <v>3</v>
      </c>
      <c r="AC21">
        <f>'Mall, Citadel, Rotana'!Q23+'Mall, Citadel, Rotana'!S23</f>
        <v>200</v>
      </c>
      <c r="AD21" s="150">
        <f t="shared" si="1"/>
        <v>129.24307999999999</v>
      </c>
      <c r="AE21" s="150">
        <f t="shared" si="2"/>
        <v>851.35691999999995</v>
      </c>
    </row>
    <row r="22" spans="1:31" x14ac:dyDescent="0.2">
      <c r="A22" s="166" t="s">
        <v>113</v>
      </c>
      <c r="B22" s="171">
        <f t="shared" si="3"/>
        <v>21</v>
      </c>
      <c r="C22" s="171">
        <v>3</v>
      </c>
      <c r="D22" s="171">
        <v>2019</v>
      </c>
      <c r="E22" s="152">
        <f>Water!C24</f>
        <v>1120</v>
      </c>
      <c r="F22" s="152">
        <f>Water!E24</f>
        <v>604.79999999999995</v>
      </c>
      <c r="G22" s="152">
        <f>Water!G24</f>
        <v>399.6</v>
      </c>
      <c r="H22" s="152">
        <f>Water!I24</f>
        <v>5.13</v>
      </c>
      <c r="I22" s="152">
        <f>ELECT.!F24</f>
        <v>17863</v>
      </c>
      <c r="J22" s="152">
        <f>ELECT.!H24</f>
        <v>50269</v>
      </c>
      <c r="K22" s="152">
        <f>ELECT.!K24</f>
        <v>5229</v>
      </c>
      <c r="L22" s="152">
        <f>ELECT.!M24</f>
        <v>7152</v>
      </c>
      <c r="M22" s="152">
        <f>ELECT.!O24</f>
        <v>10536</v>
      </c>
      <c r="N22" s="152">
        <f>ELECT.!Q24</f>
        <v>3048</v>
      </c>
      <c r="O22" s="152">
        <f>ELECT.!S24</f>
        <v>12247</v>
      </c>
      <c r="P22" s="152">
        <f>ELECT.!W24*2</f>
        <v>28674</v>
      </c>
      <c r="Q22" s="152">
        <f>ELECT.!D24</f>
        <v>800</v>
      </c>
      <c r="R22" s="153">
        <f>BTU!C23</f>
        <v>6.2460000000010041</v>
      </c>
      <c r="S22" s="153">
        <f>BTU!F23</f>
        <v>1.2960000000002765</v>
      </c>
      <c r="T22" s="153">
        <f>BTU!I23</f>
        <v>0</v>
      </c>
      <c r="U22" s="153">
        <f>BTU!O23</f>
        <v>1.7439999999999145</v>
      </c>
      <c r="V22" s="153">
        <f>BTU!L23</f>
        <v>1.0499999999992724</v>
      </c>
      <c r="W22" s="153">
        <f>BTU!R23</f>
        <v>0</v>
      </c>
      <c r="X22" s="150">
        <f>ELECT.!B24</f>
        <v>333.92857142857099</v>
      </c>
      <c r="Y22" s="150">
        <f t="shared" si="0"/>
        <v>1246</v>
      </c>
      <c r="Z22">
        <f>'Mall, Citadel, Rotana'!C24+'Mall, Citadel, Rotana'!E24+'Mall, Citadel, Rotana'!G24+'Mall, Citadel, Rotana'!I24</f>
        <v>1180</v>
      </c>
      <c r="AA22">
        <f>'Mall, Citadel, Rotana'!K24+'Mall, Citadel, Rotana'!M24</f>
        <v>480</v>
      </c>
      <c r="AB22">
        <f>'Mall, Citadel, Rotana'!O24</f>
        <v>3</v>
      </c>
      <c r="AC22">
        <f>'Mall, Citadel, Rotana'!Q24+'Mall, Citadel, Rotana'!S24</f>
        <v>192</v>
      </c>
      <c r="AD22" s="150">
        <f t="shared" si="1"/>
        <v>121.37066599999999</v>
      </c>
      <c r="AE22" s="150">
        <f t="shared" si="2"/>
        <v>799.49933399999986</v>
      </c>
    </row>
    <row r="23" spans="1:31" x14ac:dyDescent="0.2">
      <c r="A23" s="166" t="s">
        <v>113</v>
      </c>
      <c r="B23" s="171">
        <f t="shared" si="3"/>
        <v>22</v>
      </c>
      <c r="C23" s="171">
        <v>3</v>
      </c>
      <c r="D23" s="171">
        <v>2019</v>
      </c>
      <c r="E23" s="152">
        <f>Water!C25</f>
        <v>1160</v>
      </c>
      <c r="F23" s="152">
        <f>Water!E25</f>
        <v>561.6</v>
      </c>
      <c r="G23" s="152">
        <f>Water!G25</f>
        <v>415.8</v>
      </c>
      <c r="H23" s="152">
        <f>Water!I25</f>
        <v>3.6720000000000002</v>
      </c>
      <c r="I23" s="152">
        <f>ELECT.!F25</f>
        <v>12003</v>
      </c>
      <c r="J23" s="152">
        <f>ELECT.!H25</f>
        <v>49666</v>
      </c>
      <c r="K23" s="152">
        <f>ELECT.!K25</f>
        <v>4375</v>
      </c>
      <c r="L23" s="152">
        <f>ELECT.!M25</f>
        <v>4303</v>
      </c>
      <c r="M23" s="152">
        <f>ELECT.!O25</f>
        <v>7506</v>
      </c>
      <c r="N23" s="152">
        <f>ELECT.!Q25</f>
        <v>3048</v>
      </c>
      <c r="O23" s="152">
        <f>ELECT.!S25</f>
        <v>12313</v>
      </c>
      <c r="P23" s="152">
        <f>ELECT.!W25*2</f>
        <v>28742</v>
      </c>
      <c r="Q23" s="152">
        <f>ELECT.!D25</f>
        <v>640</v>
      </c>
      <c r="R23" s="153">
        <f>BTU!C24</f>
        <v>5.4719999999997526</v>
      </c>
      <c r="S23" s="153">
        <f>BTU!F24</f>
        <v>0.67299999999977445</v>
      </c>
      <c r="T23" s="153">
        <f>BTU!I24</f>
        <v>0</v>
      </c>
      <c r="U23" s="153">
        <f>BTU!O24</f>
        <v>1.4149999999999636</v>
      </c>
      <c r="V23" s="153">
        <f>BTU!L24</f>
        <v>1.0400000000008731</v>
      </c>
      <c r="W23" s="153">
        <f>BTU!R24</f>
        <v>0</v>
      </c>
      <c r="X23" s="150">
        <f>ELECT.!B25</f>
        <v>364</v>
      </c>
      <c r="Y23" s="150">
        <f t="shared" si="0"/>
        <v>1382</v>
      </c>
      <c r="Z23">
        <f>'Mall, Citadel, Rotana'!C25+'Mall, Citadel, Rotana'!E25+'Mall, Citadel, Rotana'!G25+'Mall, Citadel, Rotana'!I25</f>
        <v>1293</v>
      </c>
      <c r="AA23">
        <f>'Mall, Citadel, Rotana'!K25+'Mall, Citadel, Rotana'!M25</f>
        <v>480</v>
      </c>
      <c r="AB23">
        <f>'Mall, Citadel, Rotana'!O25</f>
        <v>3</v>
      </c>
      <c r="AC23">
        <f>'Mall, Citadel, Rotana'!Q25+'Mall, Citadel, Rotana'!S25</f>
        <v>140</v>
      </c>
      <c r="AD23" s="150">
        <f t="shared" si="1"/>
        <v>126.8348304</v>
      </c>
      <c r="AE23" s="150">
        <f t="shared" si="2"/>
        <v>835.49316959999987</v>
      </c>
    </row>
    <row r="24" spans="1:31" x14ac:dyDescent="0.2">
      <c r="A24" s="166" t="s">
        <v>113</v>
      </c>
      <c r="B24" s="171">
        <f t="shared" si="3"/>
        <v>23</v>
      </c>
      <c r="C24" s="171">
        <v>3</v>
      </c>
      <c r="D24" s="171">
        <v>2019</v>
      </c>
      <c r="E24" s="152">
        <f>Water!C26</f>
        <v>1230</v>
      </c>
      <c r="F24" s="152">
        <f>Water!E26</f>
        <v>683.1</v>
      </c>
      <c r="G24" s="152">
        <f>Water!G26</f>
        <v>504.9</v>
      </c>
      <c r="H24" s="152">
        <f>Water!I26</f>
        <v>6.0209999999999999</v>
      </c>
      <c r="I24" s="152">
        <f>ELECT.!F26</f>
        <v>11194</v>
      </c>
      <c r="J24" s="152">
        <f>ELECT.!H26</f>
        <v>34879</v>
      </c>
      <c r="K24" s="152">
        <f>ELECT.!K26</f>
        <v>3456</v>
      </c>
      <c r="L24" s="152">
        <f>ELECT.!M26</f>
        <v>4515</v>
      </c>
      <c r="M24" s="152">
        <f>ELECT.!O26</f>
        <v>6572</v>
      </c>
      <c r="N24" s="152">
        <f>ELECT.!Q26</f>
        <v>2291</v>
      </c>
      <c r="O24" s="152">
        <f>ELECT.!S26</f>
        <v>8280</v>
      </c>
      <c r="P24" s="152">
        <f>ELECT.!W26*2</f>
        <v>20106</v>
      </c>
      <c r="Q24" s="152">
        <f>ELECT.!D26</f>
        <v>640</v>
      </c>
      <c r="R24" s="153">
        <f>BTU!C25</f>
        <v>5.2229999999999563</v>
      </c>
      <c r="S24" s="153">
        <f>BTU!F25</f>
        <v>0.67800000000033833</v>
      </c>
      <c r="T24" s="153">
        <f>BTU!I25</f>
        <v>5.7999999999992724E-2</v>
      </c>
      <c r="U24" s="153">
        <f>BTU!O25</f>
        <v>1.2940000000000964</v>
      </c>
      <c r="V24" s="153">
        <f>BTU!L25</f>
        <v>1.0599999999994907</v>
      </c>
      <c r="W24" s="153">
        <f>BTU!R25</f>
        <v>0</v>
      </c>
      <c r="X24" s="150">
        <f>ELECT.!B26</f>
        <v>349</v>
      </c>
      <c r="Y24" s="150">
        <f t="shared" si="0"/>
        <v>853</v>
      </c>
      <c r="Z24">
        <f>'Mall, Citadel, Rotana'!C26+'Mall, Citadel, Rotana'!E26+'Mall, Citadel, Rotana'!G26+'Mall, Citadel, Rotana'!I26</f>
        <v>1315</v>
      </c>
      <c r="AA24">
        <f>'Mall, Citadel, Rotana'!K26+'Mall, Citadel, Rotana'!M26</f>
        <v>480</v>
      </c>
      <c r="AB24">
        <f>'Mall, Citadel, Rotana'!O26</f>
        <v>3</v>
      </c>
      <c r="AC24">
        <f>'Mall, Citadel, Rotana'!Q26+'Mall, Citadel, Rotana'!S26</f>
        <v>377</v>
      </c>
      <c r="AD24" s="150">
        <f t="shared" si="1"/>
        <v>135.7512322</v>
      </c>
      <c r="AE24" s="150">
        <f t="shared" si="2"/>
        <v>894.22776780000004</v>
      </c>
    </row>
    <row r="25" spans="1:31" x14ac:dyDescent="0.2">
      <c r="A25" s="166" t="s">
        <v>113</v>
      </c>
      <c r="B25" s="171">
        <f t="shared" si="3"/>
        <v>24</v>
      </c>
      <c r="C25" s="171">
        <v>3</v>
      </c>
      <c r="D25" s="171">
        <v>2019</v>
      </c>
      <c r="E25" s="152">
        <f>Water!C27</f>
        <v>1020</v>
      </c>
      <c r="F25" s="152">
        <f>Water!E27</f>
        <v>556.20000000000005</v>
      </c>
      <c r="G25" s="152">
        <f>Water!G27</f>
        <v>353.7</v>
      </c>
      <c r="H25" s="152">
        <f>Water!I27</f>
        <v>5.1840000000000002</v>
      </c>
      <c r="I25" s="152">
        <f>ELECT.!F27</f>
        <v>9690</v>
      </c>
      <c r="J25" s="152">
        <f>ELECT.!H27</f>
        <v>64064</v>
      </c>
      <c r="K25" s="152">
        <f>ELECT.!K27</f>
        <v>5745</v>
      </c>
      <c r="L25" s="152">
        <f>ELECT.!M27</f>
        <v>6666</v>
      </c>
      <c r="M25" s="152">
        <f>ELECT.!O27</f>
        <v>2862</v>
      </c>
      <c r="N25" s="152">
        <f>ELECT.!Q27</f>
        <v>11471</v>
      </c>
      <c r="O25" s="152">
        <f>ELECT.!S27</f>
        <v>13529</v>
      </c>
      <c r="P25" s="152">
        <f>ELECT.!W27*2</f>
        <v>32008</v>
      </c>
      <c r="Q25" s="152">
        <f>ELECT.!D27</f>
        <v>640</v>
      </c>
      <c r="R25" s="153">
        <f>BTU!C26</f>
        <v>5.081000000000131</v>
      </c>
      <c r="S25" s="153">
        <f>BTU!F26</f>
        <v>1.4979999999995925</v>
      </c>
      <c r="T25" s="153">
        <f>BTU!I26</f>
        <v>0</v>
      </c>
      <c r="U25" s="153">
        <f>BTU!O26</f>
        <v>1.2359999999998763</v>
      </c>
      <c r="V25" s="153">
        <f>BTU!L26</f>
        <v>1.1599999999998545</v>
      </c>
      <c r="W25" s="153">
        <f>BTU!R26</f>
        <v>0.14000000000032742</v>
      </c>
      <c r="X25" s="150">
        <f>ELECT.!B27</f>
        <v>326</v>
      </c>
      <c r="Y25" s="150">
        <f t="shared" si="0"/>
        <v>1473</v>
      </c>
      <c r="Z25">
        <f>'Mall, Citadel, Rotana'!C27+'Mall, Citadel, Rotana'!E27+'Mall, Citadel, Rotana'!G27+'Mall, Citadel, Rotana'!I27</f>
        <v>1318</v>
      </c>
      <c r="AA25">
        <f>'Mall, Citadel, Rotana'!K27+'Mall, Citadel, Rotana'!M27</f>
        <v>800</v>
      </c>
      <c r="AB25">
        <f>'Mall, Citadel, Rotana'!O27</f>
        <v>3</v>
      </c>
      <c r="AC25">
        <f>'Mall, Citadel, Rotana'!Q27+'Mall, Citadel, Rotana'!S27</f>
        <v>130</v>
      </c>
      <c r="AD25" s="150">
        <f t="shared" si="1"/>
        <v>108.18354880000001</v>
      </c>
      <c r="AE25" s="150">
        <f t="shared" si="2"/>
        <v>712.63245119999999</v>
      </c>
    </row>
    <row r="26" spans="1:31" x14ac:dyDescent="0.2">
      <c r="A26" s="166" t="s">
        <v>113</v>
      </c>
      <c r="B26" s="171">
        <f>B25+1</f>
        <v>25</v>
      </c>
      <c r="C26" s="171">
        <v>3</v>
      </c>
      <c r="D26" s="171">
        <v>2019</v>
      </c>
      <c r="E26" s="152">
        <f>Water!C28</f>
        <v>1110</v>
      </c>
      <c r="F26" s="152">
        <f>Water!E28</f>
        <v>599.4</v>
      </c>
      <c r="G26" s="152">
        <f>Water!G28</f>
        <v>367.2</v>
      </c>
      <c r="H26" s="152">
        <f>Water!I28</f>
        <v>3.5640000000000001</v>
      </c>
      <c r="I26" s="152">
        <f>ELECT.!F28</f>
        <v>5437</v>
      </c>
      <c r="J26" s="152">
        <f>ELECT.!H28</f>
        <v>46863</v>
      </c>
      <c r="K26" s="152">
        <f>ELECT.!K28</f>
        <v>4453</v>
      </c>
      <c r="L26" s="152">
        <f>ELECT.!M28</f>
        <v>4244</v>
      </c>
      <c r="M26" s="152">
        <f>ELECT.!O28</f>
        <v>1072</v>
      </c>
      <c r="N26" s="152">
        <f>ELECT.!Q28</f>
        <v>8333</v>
      </c>
      <c r="O26" s="152">
        <f>ELECT.!S28</f>
        <v>10206</v>
      </c>
      <c r="P26" s="152">
        <f>ELECT.!W28*2</f>
        <v>22954</v>
      </c>
      <c r="Q26" s="152">
        <f>ELECT.!D28</f>
        <v>640</v>
      </c>
      <c r="R26" s="153">
        <f>BTU!C27</f>
        <v>4.9129999999986467</v>
      </c>
      <c r="S26" s="153">
        <f>BTU!F27</f>
        <v>1.2070000000003347</v>
      </c>
      <c r="T26" s="153">
        <f>BTU!I27</f>
        <v>9.9999999997635314E-4</v>
      </c>
      <c r="U26" s="153">
        <f>BTU!O27</f>
        <v>1.4830000000001746</v>
      </c>
      <c r="V26" s="153">
        <f>BTU!L27</f>
        <v>0.87000000000080036</v>
      </c>
      <c r="W26" s="153">
        <f>BTU!R27</f>
        <v>0</v>
      </c>
      <c r="X26" s="150">
        <f>ELECT.!B28</f>
        <v>328</v>
      </c>
      <c r="Y26" s="150">
        <f t="shared" si="0"/>
        <v>1038</v>
      </c>
      <c r="Z26">
        <f>'Mall, Citadel, Rotana'!C28+'Mall, Citadel, Rotana'!E28+'Mall, Citadel, Rotana'!G28+'Mall, Citadel, Rotana'!I28</f>
        <v>1173</v>
      </c>
      <c r="AA26">
        <f>'Mall, Citadel, Rotana'!K28+'Mall, Citadel, Rotana'!M28</f>
        <v>640</v>
      </c>
      <c r="AB26">
        <f>'Mall, Citadel, Rotana'!O28</f>
        <v>3</v>
      </c>
      <c r="AC26">
        <f>'Mall, Citadel, Rotana'!Q28+'Mall, Citadel, Rotana'!S28</f>
        <v>78</v>
      </c>
      <c r="AD26" s="150">
        <f t="shared" si="1"/>
        <v>120.25906479999999</v>
      </c>
      <c r="AE26" s="150">
        <f t="shared" si="2"/>
        <v>792.17693519999989</v>
      </c>
    </row>
    <row r="27" spans="1:31" x14ac:dyDescent="0.2">
      <c r="A27" s="166" t="s">
        <v>113</v>
      </c>
      <c r="B27" s="171">
        <f t="shared" si="3"/>
        <v>26</v>
      </c>
      <c r="C27" s="171">
        <v>3</v>
      </c>
      <c r="D27" s="171">
        <v>2019</v>
      </c>
      <c r="E27" s="152">
        <f>Water!C29</f>
        <v>1120</v>
      </c>
      <c r="F27" s="152">
        <f>Water!E29</f>
        <v>666.9</v>
      </c>
      <c r="G27" s="152">
        <f>Water!G29</f>
        <v>386.1</v>
      </c>
      <c r="H27" s="152">
        <f>Water!I29</f>
        <v>3.726</v>
      </c>
      <c r="I27" s="152">
        <f>ELECT.!F29</f>
        <v>6103</v>
      </c>
      <c r="J27" s="152">
        <f>ELECT.!H29</f>
        <v>51200</v>
      </c>
      <c r="K27" s="152">
        <f>ELECT.!K29</f>
        <v>4618</v>
      </c>
      <c r="L27" s="152">
        <f>ELECT.!M29</f>
        <v>4797</v>
      </c>
      <c r="M27" s="152">
        <f>ELECT.!O29</f>
        <v>1180</v>
      </c>
      <c r="N27" s="152">
        <f>ELECT.!Q29</f>
        <v>9587</v>
      </c>
      <c r="O27" s="152">
        <f>ELECT.!S29</f>
        <v>10694</v>
      </c>
      <c r="P27" s="152">
        <f>ELECT.!W29*2</f>
        <v>25138</v>
      </c>
      <c r="Q27" s="152">
        <f>ELECT.!D29</f>
        <v>480</v>
      </c>
      <c r="R27" s="153">
        <f>BTU!C28</f>
        <v>4.9279999999998836</v>
      </c>
      <c r="S27" s="153">
        <f>BTU!F28</f>
        <v>1.4220000000000255</v>
      </c>
      <c r="T27" s="153">
        <f>BTU!I28</f>
        <v>0</v>
      </c>
      <c r="U27" s="153">
        <f>BTU!O28</f>
        <v>1.2719999999999345</v>
      </c>
      <c r="V27" s="153">
        <f>BTU!L28</f>
        <v>1.0499999999992724</v>
      </c>
      <c r="W27" s="153">
        <f>BTU!R28</f>
        <v>0</v>
      </c>
      <c r="X27" s="150">
        <f>ELECT.!B29</f>
        <v>346</v>
      </c>
      <c r="Y27" s="150">
        <f t="shared" si="0"/>
        <v>1289</v>
      </c>
      <c r="Z27">
        <f>'Mall, Citadel, Rotana'!C29+'Mall, Citadel, Rotana'!E29+'Mall, Citadel, Rotana'!G29+'Mall, Citadel, Rotana'!I29</f>
        <v>1455</v>
      </c>
      <c r="AA27">
        <f>'Mall, Citadel, Rotana'!K29+'Mall, Citadel, Rotana'!M29</f>
        <v>640</v>
      </c>
      <c r="AB27">
        <f>'Mall, Citadel, Rotana'!O29</f>
        <v>3</v>
      </c>
      <c r="AC27">
        <f>'Mall, Citadel, Rotana'!Q29+'Mall, Citadel, Rotana'!S29</f>
        <v>219</v>
      </c>
      <c r="AD27" s="150">
        <f t="shared" si="1"/>
        <v>121.55571319999999</v>
      </c>
      <c r="AE27" s="150">
        <f t="shared" si="2"/>
        <v>800.71828679999987</v>
      </c>
    </row>
    <row r="28" spans="1:31" x14ac:dyDescent="0.2">
      <c r="A28" s="166" t="s">
        <v>113</v>
      </c>
      <c r="B28" s="171">
        <f t="shared" si="3"/>
        <v>27</v>
      </c>
      <c r="C28" s="171">
        <v>3</v>
      </c>
      <c r="D28" s="171">
        <v>2019</v>
      </c>
      <c r="E28" s="152">
        <f>Water!C30</f>
        <v>1110</v>
      </c>
      <c r="F28" s="152">
        <f>Water!E30</f>
        <v>634.5</v>
      </c>
      <c r="G28" s="152">
        <f>Water!G30</f>
        <v>394.2</v>
      </c>
      <c r="H28" s="152">
        <f>Water!I30</f>
        <v>3.9689999999999999</v>
      </c>
      <c r="I28" s="152">
        <f>ELECT.!F30</f>
        <v>4327</v>
      </c>
      <c r="J28" s="152">
        <f>ELECT.!H30</f>
        <v>57887</v>
      </c>
      <c r="K28" s="152">
        <f>ELECT.!K30</f>
        <v>3378</v>
      </c>
      <c r="L28" s="152">
        <f>ELECT.!M30</f>
        <v>3346</v>
      </c>
      <c r="M28" s="152">
        <f>ELECT.!O30</f>
        <v>880</v>
      </c>
      <c r="N28" s="152">
        <f>ELECT.!Q30</f>
        <v>7221</v>
      </c>
      <c r="O28" s="152">
        <f>ELECT.!S30</f>
        <v>7807</v>
      </c>
      <c r="P28" s="152">
        <f>ELECT.!W30*2</f>
        <v>18588</v>
      </c>
      <c r="Q28" s="152">
        <f>ELECT.!D30</f>
        <v>800</v>
      </c>
      <c r="R28" s="153">
        <f>BTU!C29</f>
        <v>5.6680000000014843</v>
      </c>
      <c r="S28" s="153">
        <f>BTU!F29</f>
        <v>1.3440000000000509</v>
      </c>
      <c r="T28" s="153">
        <f>BTU!I29</f>
        <v>0</v>
      </c>
      <c r="U28" s="153">
        <f>BTU!O29</f>
        <v>1.47199999999998</v>
      </c>
      <c r="V28" s="153">
        <f>BTU!L29</f>
        <v>1.1299999999991996</v>
      </c>
      <c r="W28" s="153">
        <f>BTU!R29</f>
        <v>0</v>
      </c>
      <c r="X28" s="150">
        <f>ELECT.!B30</f>
        <v>350</v>
      </c>
      <c r="Y28" s="150">
        <f t="shared" si="0"/>
        <v>20994</v>
      </c>
      <c r="Z28">
        <f>'Mall, Citadel, Rotana'!C30+'Mall, Citadel, Rotana'!E30+'Mall, Citadel, Rotana'!G30+'Mall, Citadel, Rotana'!I30</f>
        <v>837</v>
      </c>
      <c r="AA28">
        <f>'Mall, Citadel, Rotana'!K30+'Mall, Citadel, Rotana'!M30</f>
        <v>640</v>
      </c>
      <c r="AB28">
        <f>'Mall, Citadel, Rotana'!O30</f>
        <v>3</v>
      </c>
      <c r="AC28">
        <f>'Mall, Citadel, Rotana'!Q30+'Mall, Citadel, Rotana'!S30</f>
        <v>211</v>
      </c>
      <c r="AD28" s="150">
        <f t="shared" si="1"/>
        <v>120.2056858</v>
      </c>
      <c r="AE28" s="150">
        <f t="shared" si="2"/>
        <v>791.82531419999998</v>
      </c>
    </row>
    <row r="29" spans="1:31" x14ac:dyDescent="0.2">
      <c r="A29" s="166" t="s">
        <v>113</v>
      </c>
      <c r="B29" s="171">
        <f t="shared" si="3"/>
        <v>28</v>
      </c>
      <c r="C29" s="171">
        <v>3</v>
      </c>
      <c r="D29" s="171">
        <v>2019</v>
      </c>
      <c r="E29" s="152">
        <f>Water!C31</f>
        <v>1070</v>
      </c>
      <c r="F29" s="152">
        <f>Water!E31</f>
        <v>567</v>
      </c>
      <c r="G29" s="152">
        <f>Water!G31</f>
        <v>434.7</v>
      </c>
      <c r="H29" s="152">
        <f>Water!I31</f>
        <v>4.4009999999999998</v>
      </c>
      <c r="I29" s="152">
        <f>ELECT.!F31</f>
        <v>8072</v>
      </c>
      <c r="J29" s="152">
        <f>ELECT.!H31</f>
        <v>48408</v>
      </c>
      <c r="K29" s="152">
        <f>ELECT.!K31</f>
        <v>6218</v>
      </c>
      <c r="L29" s="152">
        <f>ELECT.!M31</f>
        <v>6353</v>
      </c>
      <c r="M29" s="152">
        <f>ELECT.!O31</f>
        <v>1540</v>
      </c>
      <c r="N29" s="152">
        <f>ELECT.!Q31</f>
        <v>13361</v>
      </c>
      <c r="O29" s="152">
        <f>ELECT.!S31</f>
        <v>14245</v>
      </c>
      <c r="P29" s="152">
        <f>ELECT.!W31*2</f>
        <v>32914</v>
      </c>
      <c r="Q29" s="152">
        <f>ELECT.!D31</f>
        <v>640</v>
      </c>
      <c r="R29" s="153">
        <f>BTU!C30</f>
        <v>4.9749999999985448</v>
      </c>
      <c r="S29" s="153">
        <f>BTU!F30</f>
        <v>1.2219999999997526</v>
      </c>
      <c r="T29" s="153">
        <f>BTU!I30</f>
        <v>0</v>
      </c>
      <c r="U29" s="153">
        <f>BTU!O30</f>
        <v>0.90499999999997272</v>
      </c>
      <c r="V29" s="153">
        <f>BTU!L30</f>
        <v>1.1300000000010186</v>
      </c>
      <c r="W29" s="153">
        <f>BTU!R30</f>
        <v>0</v>
      </c>
      <c r="X29" s="150">
        <f>ELECT.!B31</f>
        <v>356</v>
      </c>
      <c r="Y29" s="150">
        <f t="shared" si="0"/>
        <v>-18151</v>
      </c>
      <c r="Z29">
        <f>'Mall, Citadel, Rotana'!C31+'Mall, Citadel, Rotana'!E31+'Mall, Citadel, Rotana'!G31+'Mall, Citadel, Rotana'!I31</f>
        <v>1816</v>
      </c>
      <c r="AA29">
        <f>'Mall, Citadel, Rotana'!K31+'Mall, Citadel, Rotana'!M31</f>
        <v>800</v>
      </c>
      <c r="AB29">
        <f>'Mall, Citadel, Rotana'!O31</f>
        <v>3</v>
      </c>
      <c r="AC29">
        <f>'Mall, Citadel, Rotana'!Q31+'Mall, Citadel, Rotana'!S31</f>
        <v>212</v>
      </c>
      <c r="AD29" s="150">
        <f t="shared" si="1"/>
        <v>114.87674819999999</v>
      </c>
      <c r="AE29" s="150">
        <f t="shared" si="2"/>
        <v>756.72225179999998</v>
      </c>
    </row>
    <row r="30" spans="1:31" x14ac:dyDescent="0.2">
      <c r="A30" s="166" t="s">
        <v>113</v>
      </c>
      <c r="B30" s="171">
        <f t="shared" si="3"/>
        <v>29</v>
      </c>
      <c r="C30" s="171">
        <v>3</v>
      </c>
      <c r="D30" s="171">
        <v>2019</v>
      </c>
      <c r="E30" s="152">
        <f>Water!C32</f>
        <v>910</v>
      </c>
      <c r="F30" s="152">
        <f>Water!E32</f>
        <v>486</v>
      </c>
      <c r="G30" s="152">
        <f>Water!G32</f>
        <v>413.1</v>
      </c>
      <c r="H30" s="152">
        <f>Water!I32</f>
        <v>3.2399999999999998</v>
      </c>
      <c r="I30" s="152">
        <f>ELECT.!F32</f>
        <v>3902</v>
      </c>
      <c r="J30" s="152">
        <f>ELECT.!H32</f>
        <v>36571</v>
      </c>
      <c r="K30" s="152">
        <f>ELECT.!K32</f>
        <v>2928</v>
      </c>
      <c r="L30" s="152">
        <f>ELECT.!M32</f>
        <v>2977</v>
      </c>
      <c r="M30" s="152">
        <f>ELECT.!O32</f>
        <v>842</v>
      </c>
      <c r="N30" s="152">
        <f>ELECT.!Q32</f>
        <v>7444</v>
      </c>
      <c r="O30" s="152">
        <f>ELECT.!S32</f>
        <v>7824</v>
      </c>
      <c r="P30" s="152">
        <f>ELECT.!W32*2</f>
        <v>17684</v>
      </c>
      <c r="Q30" s="152">
        <f>ELECT.!D32</f>
        <v>640</v>
      </c>
      <c r="R30" s="153">
        <f>BTU!C31</f>
        <v>7.2950000000000728</v>
      </c>
      <c r="S30" s="153">
        <f>BTU!F31</f>
        <v>0.75599999999985812</v>
      </c>
      <c r="T30" s="153">
        <f>BTU!I31</f>
        <v>1.999999999998181E-2</v>
      </c>
      <c r="U30" s="153">
        <f>BTU!O31</f>
        <v>1.6610000000000582</v>
      </c>
      <c r="V30" s="153">
        <f>BTU!L31</f>
        <v>1.1299999999991996</v>
      </c>
      <c r="W30" s="153">
        <f>BTU!R31</f>
        <v>0</v>
      </c>
      <c r="X30" s="150">
        <f>ELECT.!B32</f>
        <v>350</v>
      </c>
      <c r="Y30" s="150">
        <f t="shared" si="0"/>
        <v>774</v>
      </c>
      <c r="Z30">
        <f>'Mall, Citadel, Rotana'!C32+'Mall, Citadel, Rotana'!E32+'Mall, Citadel, Rotana'!G32+'Mall, Citadel, Rotana'!I32</f>
        <v>1996</v>
      </c>
      <c r="AA30">
        <f>'Mall, Citadel, Rotana'!K32+'Mall, Citadel, Rotana'!M32</f>
        <v>800</v>
      </c>
      <c r="AB30">
        <f>'Mall, Citadel, Rotana'!O32</f>
        <v>3</v>
      </c>
      <c r="AC30">
        <f>'Mall, Citadel, Rotana'!Q32+'Mall, Citadel, Rotana'!S32</f>
        <v>209</v>
      </c>
      <c r="AD30" s="150">
        <f t="shared" si="1"/>
        <v>93.941767999999996</v>
      </c>
      <c r="AE30" s="150">
        <f t="shared" si="2"/>
        <v>618.81823199999997</v>
      </c>
    </row>
    <row r="31" spans="1:31" x14ac:dyDescent="0.2">
      <c r="A31" s="166" t="s">
        <v>113</v>
      </c>
      <c r="B31" s="171">
        <f t="shared" si="3"/>
        <v>30</v>
      </c>
      <c r="C31" s="171">
        <v>3</v>
      </c>
      <c r="D31" s="171">
        <v>2019</v>
      </c>
      <c r="E31" s="152">
        <f>Water!C33</f>
        <v>1010</v>
      </c>
      <c r="F31" s="152">
        <f>Water!E33</f>
        <v>499.5</v>
      </c>
      <c r="G31" s="152">
        <f>Water!G33</f>
        <v>429.3</v>
      </c>
      <c r="H31" s="152">
        <f>Water!I33</f>
        <v>4.4009999999999998</v>
      </c>
      <c r="I31" s="152">
        <f>ELECT.!F33</f>
        <v>6752</v>
      </c>
      <c r="J31" s="152">
        <f>ELECT.!H33</f>
        <v>62112</v>
      </c>
      <c r="K31" s="152">
        <f>ELECT.!K33</f>
        <v>5434</v>
      </c>
      <c r="L31" s="152">
        <f>ELECT.!M33</f>
        <v>5074</v>
      </c>
      <c r="M31" s="152">
        <f>ELECT.!O33</f>
        <v>1526</v>
      </c>
      <c r="N31" s="152">
        <f>ELECT.!Q33</f>
        <v>11911</v>
      </c>
      <c r="O31" s="152">
        <f>ELECT.!S33</f>
        <v>13541</v>
      </c>
      <c r="P31" s="152">
        <f>ELECT.!W33*2</f>
        <v>29842</v>
      </c>
      <c r="Q31" s="152">
        <f>ELECT.!D33</f>
        <v>320</v>
      </c>
      <c r="R31" s="153">
        <f>BTU!C32</f>
        <v>0.93800000000010186</v>
      </c>
      <c r="S31" s="153">
        <f>BTU!F32</f>
        <v>1.8540000000002692</v>
      </c>
      <c r="T31" s="153">
        <f>BTU!I32</f>
        <v>3.0000000000427463E-3</v>
      </c>
      <c r="U31" s="153">
        <f>BTU!O32</f>
        <v>0.77099999999995816</v>
      </c>
      <c r="V31" s="153">
        <f>BTU!L32</f>
        <v>1.1200000000008004</v>
      </c>
      <c r="W31" s="153">
        <f>BTU!R32</f>
        <v>0.33999999999969077</v>
      </c>
      <c r="X31" s="150">
        <f>ELECT.!B33</f>
        <v>349</v>
      </c>
      <c r="Y31" s="150">
        <f t="shared" si="0"/>
        <v>1536</v>
      </c>
      <c r="Z31">
        <f>'Mall, Citadel, Rotana'!C33+'Mall, Citadel, Rotana'!E33+'Mall, Citadel, Rotana'!G33+'Mall, Citadel, Rotana'!I33</f>
        <v>439</v>
      </c>
      <c r="AA31">
        <f>'Mall, Citadel, Rotana'!K33+'Mall, Citadel, Rotana'!M33</f>
        <v>320</v>
      </c>
      <c r="AB31">
        <f>'Mall, Citadel, Rotana'!O33</f>
        <v>4</v>
      </c>
      <c r="AC31">
        <f>'Mall, Citadel, Rotana'!Q33+'Mall, Citadel, Rotana'!S33</f>
        <v>65</v>
      </c>
      <c r="AD31" s="150">
        <f t="shared" si="1"/>
        <v>106.96874820000001</v>
      </c>
      <c r="AE31" s="150">
        <f t="shared" si="2"/>
        <v>704.6302518</v>
      </c>
    </row>
    <row r="32" spans="1:31" x14ac:dyDescent="0.2">
      <c r="A32" s="166" t="s">
        <v>113</v>
      </c>
      <c r="B32" s="171">
        <f t="shared" si="3"/>
        <v>31</v>
      </c>
      <c r="C32" s="171">
        <v>3</v>
      </c>
      <c r="D32" s="171">
        <v>2019</v>
      </c>
      <c r="E32" s="152">
        <f>Water!C34</f>
        <v>1000</v>
      </c>
      <c r="F32" s="152">
        <f>Water!E34</f>
        <v>556.20000000000005</v>
      </c>
      <c r="G32" s="152">
        <f>Water!G34</f>
        <v>402.3</v>
      </c>
      <c r="H32" s="152">
        <f>Water!I34</f>
        <v>3.8069999999999999</v>
      </c>
      <c r="I32" s="152">
        <f>ELECT.!F34</f>
        <v>6125</v>
      </c>
      <c r="J32" s="152">
        <f>ELECT.!H34</f>
        <v>51160</v>
      </c>
      <c r="K32" s="152">
        <f>ELECT.!K34</f>
        <v>4814</v>
      </c>
      <c r="L32" s="152">
        <f>ELECT.!M34</f>
        <v>4324</v>
      </c>
      <c r="M32" s="152">
        <f>ELECT.!O34</f>
        <v>1654</v>
      </c>
      <c r="N32" s="152">
        <f>ELECT.!Q34</f>
        <v>9179</v>
      </c>
      <c r="O32" s="152">
        <f>ELECT.!S34</f>
        <v>11144</v>
      </c>
      <c r="P32" s="152">
        <f>ELECT.!W34*2</f>
        <v>24826</v>
      </c>
      <c r="Q32" s="152">
        <f>ELECT.!D34</f>
        <v>160</v>
      </c>
      <c r="R32" s="153">
        <f>BTU!C33</f>
        <v>0</v>
      </c>
      <c r="S32" s="153">
        <f>BTU!F33</f>
        <v>0</v>
      </c>
      <c r="T32" s="153">
        <f>BTU!I33</f>
        <v>0</v>
      </c>
      <c r="U32" s="153">
        <f>BTU!O33</f>
        <v>0</v>
      </c>
      <c r="V32" s="153">
        <f>BTU!L33</f>
        <v>0</v>
      </c>
      <c r="W32" s="153">
        <f>BTU!R33</f>
        <v>0</v>
      </c>
      <c r="X32" s="150">
        <f>ELECT.!B34</f>
        <v>350</v>
      </c>
      <c r="Y32" s="150">
        <f>I32+J32-(K32+L32+M32+N32+O32+P32)</f>
        <v>1344</v>
      </c>
      <c r="Z32">
        <f>'Mall, Citadel, Rotana'!C34+'Mall, Citadel, Rotana'!E34+'Mall, Citadel, Rotana'!G34+'Mall, Citadel, Rotana'!I34</f>
        <v>1083</v>
      </c>
      <c r="AA32">
        <f>'Mall, Citadel, Rotana'!K34+'Mall, Citadel, Rotana'!M34</f>
        <v>480</v>
      </c>
      <c r="AB32">
        <f>'Mall, Citadel, Rotana'!O34</f>
        <v>1</v>
      </c>
      <c r="AC32">
        <f>'Mall, Citadel, Rotana'!Q34+'Mall, Citadel, Rotana'!S34</f>
        <v>188</v>
      </c>
      <c r="AD32" s="150">
        <f>(E32-H32-194)*0.1318</f>
        <v>105.7290374</v>
      </c>
      <c r="AE32" s="150">
        <f>E32-H32-AD32-194</f>
        <v>696.46396259999995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zoomScale="90" zoomScaleNormal="90" workbookViewId="0">
      <selection activeCell="U29" sqref="U29"/>
    </sheetView>
  </sheetViews>
  <sheetFormatPr defaultRowHeight="12.75" x14ac:dyDescent="0.2"/>
  <cols>
    <col min="1" max="1" width="14.5703125" style="20" bestFit="1" customWidth="1"/>
    <col min="2" max="2" width="10.5703125" style="23" bestFit="1" customWidth="1"/>
    <col min="3" max="3" width="11.42578125" style="24" bestFit="1" customWidth="1"/>
    <col min="4" max="4" width="10.85546875" style="23" bestFit="1" customWidth="1"/>
    <col min="5" max="5" width="11.42578125" style="24" bestFit="1" customWidth="1"/>
    <col min="6" max="6" width="8.7109375" style="23" customWidth="1"/>
    <col min="7" max="7" width="9.7109375" style="24" bestFit="1" customWidth="1"/>
    <col min="8" max="8" width="9.140625" style="23" bestFit="1" customWidth="1"/>
    <col min="9" max="9" width="9.7109375" style="24" bestFit="1" customWidth="1"/>
    <col min="10" max="10" width="9.28515625" style="23" bestFit="1" customWidth="1"/>
    <col min="11" max="11" width="9.7109375" style="24" bestFit="1" customWidth="1"/>
    <col min="12" max="12" width="7" style="23" bestFit="1" customWidth="1"/>
    <col min="13" max="13" width="11.42578125" style="24" bestFit="1" customWidth="1"/>
    <col min="14" max="14" width="11.42578125" style="145" customWidth="1"/>
    <col min="15" max="15" width="11.42578125" style="24" customWidth="1"/>
    <col min="16" max="16" width="9.140625" style="23" bestFit="1" customWidth="1"/>
    <col min="17" max="17" width="9.7109375" style="24" bestFit="1" customWidth="1"/>
    <col min="18" max="18" width="7.5703125" style="23" customWidth="1"/>
    <col min="19" max="19" width="8.42578125" style="24" bestFit="1" customWidth="1"/>
  </cols>
  <sheetData>
    <row r="1" spans="1:24" ht="13.5" thickBot="1" x14ac:dyDescent="0.25">
      <c r="A1" s="180" t="s">
        <v>144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</row>
    <row r="2" spans="1:24" s="17" customFormat="1" ht="15.75" thickBot="1" x14ac:dyDescent="0.25">
      <c r="A2" s="14" t="s">
        <v>0</v>
      </c>
      <c r="B2" s="1" t="s">
        <v>14</v>
      </c>
      <c r="C2" s="15" t="s">
        <v>15</v>
      </c>
      <c r="D2" s="1" t="s">
        <v>16</v>
      </c>
      <c r="E2" s="15" t="s">
        <v>17</v>
      </c>
      <c r="F2" s="1" t="s">
        <v>18</v>
      </c>
      <c r="G2" s="15" t="s">
        <v>17</v>
      </c>
      <c r="H2" s="1" t="s">
        <v>19</v>
      </c>
      <c r="I2" s="15" t="s">
        <v>17</v>
      </c>
      <c r="J2" s="1" t="s">
        <v>20</v>
      </c>
      <c r="K2" s="15" t="s">
        <v>17</v>
      </c>
      <c r="L2" s="1" t="s">
        <v>21</v>
      </c>
      <c r="M2" s="15" t="s">
        <v>17</v>
      </c>
      <c r="N2" s="146" t="s">
        <v>103</v>
      </c>
      <c r="O2" s="15" t="s">
        <v>17</v>
      </c>
      <c r="P2" s="1" t="s">
        <v>22</v>
      </c>
      <c r="Q2" s="15" t="s">
        <v>17</v>
      </c>
      <c r="R2" s="1" t="s">
        <v>23</v>
      </c>
      <c r="S2" s="16" t="s">
        <v>17</v>
      </c>
    </row>
    <row r="3" spans="1:24" ht="13.5" thickBot="1" x14ac:dyDescent="0.25">
      <c r="A3" s="11" t="s">
        <v>24</v>
      </c>
      <c r="B3" s="1">
        <v>41524</v>
      </c>
      <c r="C3" s="18"/>
      <c r="D3" s="1">
        <v>37249</v>
      </c>
      <c r="E3" s="18"/>
      <c r="F3" s="1">
        <v>17407</v>
      </c>
      <c r="G3" s="18"/>
      <c r="H3" s="1">
        <v>213908</v>
      </c>
      <c r="I3" s="18"/>
      <c r="J3" s="1">
        <v>303515</v>
      </c>
      <c r="K3" s="18"/>
      <c r="L3" s="1">
        <v>21909</v>
      </c>
      <c r="M3" s="18"/>
      <c r="N3" s="146">
        <v>167967</v>
      </c>
      <c r="O3" s="18"/>
      <c r="P3" s="1">
        <v>972518</v>
      </c>
      <c r="Q3" s="18"/>
      <c r="R3" s="1">
        <v>55047</v>
      </c>
      <c r="S3" s="18"/>
    </row>
    <row r="4" spans="1:24" ht="13.5" thickBot="1" x14ac:dyDescent="0.25">
      <c r="A4" s="11">
        <v>43525</v>
      </c>
      <c r="B4" s="1">
        <v>41527</v>
      </c>
      <c r="C4" s="18">
        <f t="shared" ref="C4:C13" si="0">(B4-B3)*600/5</f>
        <v>360</v>
      </c>
      <c r="D4" s="1">
        <v>37251</v>
      </c>
      <c r="E4" s="18">
        <f>(D4-D3)*800/5</f>
        <v>320</v>
      </c>
      <c r="F4" s="1">
        <v>17409</v>
      </c>
      <c r="G4" s="18">
        <f>(F4-F3)*100/5</f>
        <v>40</v>
      </c>
      <c r="H4" s="1">
        <v>213912</v>
      </c>
      <c r="I4" s="18">
        <f>H4-H3</f>
        <v>4</v>
      </c>
      <c r="J4" s="1">
        <v>303515</v>
      </c>
      <c r="K4" s="18">
        <f t="shared" ref="K4:K13" si="1">J4-J3</f>
        <v>0</v>
      </c>
      <c r="L4" s="1">
        <v>21913</v>
      </c>
      <c r="M4" s="18">
        <f>(L4-L3)*800/5</f>
        <v>640</v>
      </c>
      <c r="N4" s="146">
        <v>167969</v>
      </c>
      <c r="O4" s="18">
        <f>N4-N3</f>
        <v>2</v>
      </c>
      <c r="P4" s="1">
        <v>972588</v>
      </c>
      <c r="Q4" s="18">
        <f t="shared" ref="Q4:Q31" si="2">P4-P3</f>
        <v>70</v>
      </c>
      <c r="R4" s="1">
        <v>55047</v>
      </c>
      <c r="S4" s="18">
        <f>R4-R3</f>
        <v>0</v>
      </c>
    </row>
    <row r="5" spans="1:24" ht="13.5" thickBot="1" x14ac:dyDescent="0.25">
      <c r="A5" s="11">
        <v>43526</v>
      </c>
      <c r="B5" s="1">
        <v>41529</v>
      </c>
      <c r="C5" s="18">
        <f t="shared" si="0"/>
        <v>240</v>
      </c>
      <c r="D5" s="1">
        <v>37253</v>
      </c>
      <c r="E5" s="18">
        <f t="shared" ref="E5:E33" si="3">(D5-D4)*800/5</f>
        <v>320</v>
      </c>
      <c r="F5" s="1">
        <v>17411</v>
      </c>
      <c r="G5" s="18">
        <f t="shared" ref="G5:G33" si="4">(F5-F4)*100/5</f>
        <v>40</v>
      </c>
      <c r="H5" s="1">
        <v>213917</v>
      </c>
      <c r="I5" s="18">
        <f t="shared" ref="I5:I33" si="5">H5-H4</f>
        <v>5</v>
      </c>
      <c r="J5" s="1">
        <v>303515</v>
      </c>
      <c r="K5" s="18">
        <f t="shared" si="1"/>
        <v>0</v>
      </c>
      <c r="L5" s="1">
        <v>21915</v>
      </c>
      <c r="M5" s="18">
        <f t="shared" ref="M5:M33" si="6">(L5-L4)*800/5</f>
        <v>320</v>
      </c>
      <c r="N5" s="146">
        <v>167971</v>
      </c>
      <c r="O5" s="18">
        <f t="shared" ref="O5:O34" si="7">N5-N4</f>
        <v>2</v>
      </c>
      <c r="P5" s="1">
        <v>972607</v>
      </c>
      <c r="Q5" s="18">
        <f t="shared" si="2"/>
        <v>19</v>
      </c>
      <c r="R5" s="1">
        <v>55047</v>
      </c>
      <c r="S5" s="18">
        <f t="shared" ref="S5:S32" si="8">R5-R4</f>
        <v>0</v>
      </c>
    </row>
    <row r="6" spans="1:24" ht="13.5" thickBot="1" x14ac:dyDescent="0.25">
      <c r="A6" s="11">
        <v>43527</v>
      </c>
      <c r="B6" s="1">
        <v>41542</v>
      </c>
      <c r="C6" s="18">
        <f t="shared" si="0"/>
        <v>1560</v>
      </c>
      <c r="D6" s="1">
        <v>37257</v>
      </c>
      <c r="E6" s="18">
        <f t="shared" si="3"/>
        <v>640</v>
      </c>
      <c r="F6" s="1">
        <v>17422</v>
      </c>
      <c r="G6" s="18">
        <f t="shared" si="4"/>
        <v>220</v>
      </c>
      <c r="H6" s="1">
        <v>213972</v>
      </c>
      <c r="I6" s="18">
        <f t="shared" si="5"/>
        <v>55</v>
      </c>
      <c r="J6" s="1">
        <v>303515</v>
      </c>
      <c r="K6" s="18">
        <f t="shared" si="1"/>
        <v>0</v>
      </c>
      <c r="L6" s="1">
        <v>21921</v>
      </c>
      <c r="M6" s="18">
        <f t="shared" si="6"/>
        <v>960</v>
      </c>
      <c r="N6" s="146">
        <v>167974</v>
      </c>
      <c r="O6" s="18">
        <f t="shared" si="7"/>
        <v>3</v>
      </c>
      <c r="P6" s="1">
        <v>972960</v>
      </c>
      <c r="Q6" s="18">
        <f t="shared" si="2"/>
        <v>353</v>
      </c>
      <c r="R6" s="1">
        <v>55047</v>
      </c>
      <c r="S6" s="18">
        <f t="shared" si="8"/>
        <v>0</v>
      </c>
    </row>
    <row r="7" spans="1:24" ht="13.5" thickBot="1" x14ac:dyDescent="0.25">
      <c r="A7" s="11">
        <v>43528</v>
      </c>
      <c r="B7" s="1">
        <v>41547</v>
      </c>
      <c r="C7" s="18">
        <f t="shared" si="0"/>
        <v>600</v>
      </c>
      <c r="D7" s="1">
        <v>37260</v>
      </c>
      <c r="E7" s="18">
        <f t="shared" si="3"/>
        <v>480</v>
      </c>
      <c r="F7" s="1">
        <v>17426</v>
      </c>
      <c r="G7" s="18">
        <f t="shared" si="4"/>
        <v>80</v>
      </c>
      <c r="H7" s="1">
        <v>213985</v>
      </c>
      <c r="I7" s="18">
        <f t="shared" si="5"/>
        <v>13</v>
      </c>
      <c r="J7" s="1">
        <v>303515</v>
      </c>
      <c r="K7" s="18">
        <f t="shared" si="1"/>
        <v>0</v>
      </c>
      <c r="L7" s="1">
        <v>21927</v>
      </c>
      <c r="M7" s="18">
        <f t="shared" si="6"/>
        <v>960</v>
      </c>
      <c r="N7" s="146">
        <v>167977</v>
      </c>
      <c r="O7" s="18">
        <f t="shared" si="7"/>
        <v>3</v>
      </c>
      <c r="P7" s="1">
        <v>973118</v>
      </c>
      <c r="Q7" s="18">
        <f t="shared" si="2"/>
        <v>158</v>
      </c>
      <c r="R7" s="1">
        <v>55047</v>
      </c>
      <c r="S7" s="18">
        <f t="shared" si="8"/>
        <v>0</v>
      </c>
    </row>
    <row r="8" spans="1:24" ht="13.5" thickBot="1" x14ac:dyDescent="0.25">
      <c r="A8" s="11">
        <v>43529</v>
      </c>
      <c r="B8" s="1">
        <v>41552</v>
      </c>
      <c r="C8" s="18">
        <f t="shared" si="0"/>
        <v>600</v>
      </c>
      <c r="D8" s="1">
        <v>37263</v>
      </c>
      <c r="E8" s="18">
        <f t="shared" si="3"/>
        <v>480</v>
      </c>
      <c r="F8" s="1">
        <v>17429</v>
      </c>
      <c r="G8" s="18">
        <f t="shared" si="4"/>
        <v>60</v>
      </c>
      <c r="H8" s="1">
        <v>213997</v>
      </c>
      <c r="I8" s="18">
        <f t="shared" si="5"/>
        <v>12</v>
      </c>
      <c r="J8" s="1">
        <v>303515</v>
      </c>
      <c r="K8" s="18">
        <f t="shared" si="1"/>
        <v>0</v>
      </c>
      <c r="L8" s="1">
        <v>21931</v>
      </c>
      <c r="M8" s="18">
        <f t="shared" si="6"/>
        <v>640</v>
      </c>
      <c r="N8" s="146">
        <v>167980</v>
      </c>
      <c r="O8" s="18">
        <f t="shared" si="7"/>
        <v>3</v>
      </c>
      <c r="P8" s="1">
        <v>973321</v>
      </c>
      <c r="Q8" s="18">
        <f t="shared" si="2"/>
        <v>203</v>
      </c>
      <c r="R8" s="1">
        <v>55047</v>
      </c>
      <c r="S8" s="18">
        <f t="shared" si="8"/>
        <v>0</v>
      </c>
    </row>
    <row r="9" spans="1:24" ht="13.5" thickBot="1" x14ac:dyDescent="0.25">
      <c r="A9" s="11">
        <v>43530</v>
      </c>
      <c r="B9" s="1">
        <v>41557</v>
      </c>
      <c r="C9" s="18">
        <f t="shared" si="0"/>
        <v>600</v>
      </c>
      <c r="D9" s="1">
        <v>37266</v>
      </c>
      <c r="E9" s="18">
        <f t="shared" si="3"/>
        <v>480</v>
      </c>
      <c r="F9" s="1">
        <v>17434</v>
      </c>
      <c r="G9" s="18">
        <f t="shared" si="4"/>
        <v>100</v>
      </c>
      <c r="H9" s="1">
        <v>214014</v>
      </c>
      <c r="I9" s="18">
        <f t="shared" si="5"/>
        <v>17</v>
      </c>
      <c r="J9" s="1">
        <v>303515</v>
      </c>
      <c r="K9" s="18">
        <f t="shared" si="1"/>
        <v>0</v>
      </c>
      <c r="L9" s="1">
        <v>21934</v>
      </c>
      <c r="M9" s="18">
        <f t="shared" si="6"/>
        <v>480</v>
      </c>
      <c r="N9" s="146">
        <v>167983</v>
      </c>
      <c r="O9" s="18">
        <f t="shared" si="7"/>
        <v>3</v>
      </c>
      <c r="P9" s="1">
        <v>973517</v>
      </c>
      <c r="Q9" s="18">
        <f t="shared" si="2"/>
        <v>196</v>
      </c>
      <c r="R9" s="1">
        <v>55047</v>
      </c>
      <c r="S9" s="18">
        <f t="shared" si="8"/>
        <v>0</v>
      </c>
    </row>
    <row r="10" spans="1:24" ht="13.5" thickBot="1" x14ac:dyDescent="0.25">
      <c r="A10" s="11">
        <v>43531</v>
      </c>
      <c r="B10" s="1">
        <v>41560</v>
      </c>
      <c r="C10" s="18">
        <f t="shared" si="0"/>
        <v>360</v>
      </c>
      <c r="D10" s="1">
        <v>37268</v>
      </c>
      <c r="E10" s="18">
        <f t="shared" si="3"/>
        <v>320</v>
      </c>
      <c r="F10" s="1">
        <v>17438</v>
      </c>
      <c r="G10" s="18">
        <f t="shared" si="4"/>
        <v>80</v>
      </c>
      <c r="H10" s="1">
        <v>214027</v>
      </c>
      <c r="I10" s="18">
        <f t="shared" si="5"/>
        <v>13</v>
      </c>
      <c r="J10" s="1">
        <v>303515</v>
      </c>
      <c r="K10" s="18">
        <f t="shared" si="1"/>
        <v>0</v>
      </c>
      <c r="L10" s="1">
        <v>21939</v>
      </c>
      <c r="M10" s="18">
        <f t="shared" si="6"/>
        <v>800</v>
      </c>
      <c r="N10" s="146">
        <v>167986</v>
      </c>
      <c r="O10" s="18">
        <f t="shared" si="7"/>
        <v>3</v>
      </c>
      <c r="P10" s="1">
        <v>973730</v>
      </c>
      <c r="Q10" s="18">
        <f>P10-P9</f>
        <v>213</v>
      </c>
      <c r="R10" s="1">
        <v>55047</v>
      </c>
      <c r="S10" s="18">
        <f>R10-R9</f>
        <v>0</v>
      </c>
    </row>
    <row r="11" spans="1:24" ht="13.5" thickBot="1" x14ac:dyDescent="0.25">
      <c r="A11" s="11">
        <v>43532</v>
      </c>
      <c r="B11" s="1">
        <v>41567</v>
      </c>
      <c r="C11" s="18">
        <f t="shared" si="0"/>
        <v>840</v>
      </c>
      <c r="D11" s="1">
        <v>37273</v>
      </c>
      <c r="E11" s="18">
        <f t="shared" si="3"/>
        <v>800</v>
      </c>
      <c r="F11" s="1">
        <v>17441</v>
      </c>
      <c r="G11" s="18">
        <f t="shared" si="4"/>
        <v>60</v>
      </c>
      <c r="H11" s="1">
        <v>214044</v>
      </c>
      <c r="I11" s="18">
        <f t="shared" si="5"/>
        <v>17</v>
      </c>
      <c r="J11" s="1">
        <v>303515</v>
      </c>
      <c r="K11" s="18">
        <f t="shared" si="1"/>
        <v>0</v>
      </c>
      <c r="L11" s="1">
        <v>21942</v>
      </c>
      <c r="M11" s="18">
        <f t="shared" si="6"/>
        <v>480</v>
      </c>
      <c r="N11" s="146">
        <v>167989</v>
      </c>
      <c r="O11" s="18">
        <f t="shared" si="7"/>
        <v>3</v>
      </c>
      <c r="P11" s="1">
        <v>973820</v>
      </c>
      <c r="Q11" s="18">
        <f>P11-P10</f>
        <v>90</v>
      </c>
      <c r="R11" s="1">
        <v>55047</v>
      </c>
      <c r="S11" s="18">
        <f>R11-R10</f>
        <v>0</v>
      </c>
    </row>
    <row r="12" spans="1:24" ht="13.5" thickBot="1" x14ac:dyDescent="0.25">
      <c r="A12" s="11">
        <v>43533</v>
      </c>
      <c r="B12" s="1">
        <v>41571</v>
      </c>
      <c r="C12" s="18">
        <f t="shared" si="0"/>
        <v>480</v>
      </c>
      <c r="D12" s="1">
        <v>37276</v>
      </c>
      <c r="E12" s="18">
        <f t="shared" si="3"/>
        <v>480</v>
      </c>
      <c r="F12" s="1">
        <v>17446</v>
      </c>
      <c r="G12" s="18">
        <f>(F12-F11)*100/5</f>
        <v>100</v>
      </c>
      <c r="H12" s="1">
        <v>214051</v>
      </c>
      <c r="I12" s="18">
        <f t="shared" si="5"/>
        <v>7</v>
      </c>
      <c r="J12" s="1">
        <v>303515</v>
      </c>
      <c r="K12" s="18">
        <f t="shared" si="1"/>
        <v>0</v>
      </c>
      <c r="L12" s="1">
        <v>21944</v>
      </c>
      <c r="M12" s="18">
        <f t="shared" si="6"/>
        <v>320</v>
      </c>
      <c r="N12" s="146">
        <v>167992</v>
      </c>
      <c r="O12" s="18">
        <f t="shared" si="7"/>
        <v>3</v>
      </c>
      <c r="P12" s="1">
        <v>973912</v>
      </c>
      <c r="Q12" s="18">
        <f t="shared" si="2"/>
        <v>92</v>
      </c>
      <c r="R12" s="1">
        <v>55047</v>
      </c>
      <c r="S12" s="18">
        <f t="shared" si="8"/>
        <v>0</v>
      </c>
    </row>
    <row r="13" spans="1:24" ht="13.5" thickBot="1" x14ac:dyDescent="0.25">
      <c r="A13" s="11">
        <v>43534</v>
      </c>
      <c r="B13" s="1">
        <v>41576</v>
      </c>
      <c r="C13" s="18">
        <f t="shared" si="0"/>
        <v>600</v>
      </c>
      <c r="D13" s="1">
        <v>37279</v>
      </c>
      <c r="E13" s="18">
        <f t="shared" si="3"/>
        <v>480</v>
      </c>
      <c r="F13" s="1">
        <v>17451</v>
      </c>
      <c r="G13" s="18">
        <f t="shared" si="4"/>
        <v>100</v>
      </c>
      <c r="H13" s="1">
        <v>214057</v>
      </c>
      <c r="I13" s="18">
        <f t="shared" si="5"/>
        <v>6</v>
      </c>
      <c r="J13" s="1">
        <v>303515</v>
      </c>
      <c r="K13" s="18">
        <f t="shared" si="1"/>
        <v>0</v>
      </c>
      <c r="L13" s="1">
        <v>21949</v>
      </c>
      <c r="M13" s="18">
        <f t="shared" si="6"/>
        <v>800</v>
      </c>
      <c r="N13" s="146">
        <v>167994</v>
      </c>
      <c r="O13" s="18">
        <f t="shared" si="7"/>
        <v>2</v>
      </c>
      <c r="P13" s="1">
        <v>974083</v>
      </c>
      <c r="Q13" s="18">
        <f t="shared" si="2"/>
        <v>171</v>
      </c>
      <c r="R13" s="1">
        <v>55047</v>
      </c>
      <c r="S13" s="18">
        <f t="shared" si="8"/>
        <v>0</v>
      </c>
    </row>
    <row r="14" spans="1:24" ht="13.5" thickBot="1" x14ac:dyDescent="0.25">
      <c r="A14" s="11">
        <v>43535</v>
      </c>
      <c r="B14" s="1">
        <v>41581</v>
      </c>
      <c r="C14" s="18">
        <f t="shared" ref="C14:C33" si="9">(B14-B13)*600/5</f>
        <v>600</v>
      </c>
      <c r="D14" s="1">
        <v>37282</v>
      </c>
      <c r="E14" s="18">
        <f t="shared" si="3"/>
        <v>480</v>
      </c>
      <c r="F14" s="1">
        <v>17456</v>
      </c>
      <c r="G14" s="18">
        <f t="shared" si="4"/>
        <v>100</v>
      </c>
      <c r="H14" s="1">
        <v>214063</v>
      </c>
      <c r="I14" s="18">
        <f t="shared" si="5"/>
        <v>6</v>
      </c>
      <c r="J14" s="1">
        <v>303515</v>
      </c>
      <c r="K14" s="18">
        <f t="shared" ref="K14:K33" si="10">J14-J13</f>
        <v>0</v>
      </c>
      <c r="L14" s="1">
        <v>21954</v>
      </c>
      <c r="M14" s="18">
        <f t="shared" si="6"/>
        <v>800</v>
      </c>
      <c r="N14" s="146">
        <v>167996</v>
      </c>
      <c r="O14" s="18">
        <f t="shared" si="7"/>
        <v>2</v>
      </c>
      <c r="P14" s="1">
        <v>974276</v>
      </c>
      <c r="Q14" s="18">
        <f t="shared" si="2"/>
        <v>193</v>
      </c>
      <c r="R14" s="1">
        <v>55047</v>
      </c>
      <c r="S14" s="18">
        <f t="shared" si="8"/>
        <v>0</v>
      </c>
    </row>
    <row r="15" spans="1:24" ht="13.5" thickBot="1" x14ac:dyDescent="0.25">
      <c r="A15" s="11">
        <v>43536</v>
      </c>
      <c r="B15" s="1">
        <v>41587</v>
      </c>
      <c r="C15" s="18">
        <f t="shared" si="9"/>
        <v>720</v>
      </c>
      <c r="D15" s="1">
        <v>37286</v>
      </c>
      <c r="E15" s="18">
        <f t="shared" si="3"/>
        <v>640</v>
      </c>
      <c r="F15" s="1">
        <v>17458</v>
      </c>
      <c r="G15" s="18">
        <f t="shared" si="4"/>
        <v>40</v>
      </c>
      <c r="H15" s="1">
        <v>214083</v>
      </c>
      <c r="I15" s="18">
        <f t="shared" si="5"/>
        <v>20</v>
      </c>
      <c r="J15" s="1">
        <v>303515</v>
      </c>
      <c r="K15" s="18">
        <f t="shared" si="10"/>
        <v>0</v>
      </c>
      <c r="L15" s="1">
        <v>21958</v>
      </c>
      <c r="M15" s="18">
        <f t="shared" si="6"/>
        <v>640</v>
      </c>
      <c r="N15" s="146">
        <v>168000</v>
      </c>
      <c r="O15" s="18">
        <f t="shared" si="7"/>
        <v>4</v>
      </c>
      <c r="P15" s="1">
        <v>974480</v>
      </c>
      <c r="Q15" s="18">
        <f t="shared" si="2"/>
        <v>204</v>
      </c>
      <c r="R15" s="1">
        <v>55047</v>
      </c>
      <c r="S15" s="18">
        <f t="shared" si="8"/>
        <v>0</v>
      </c>
    </row>
    <row r="16" spans="1:24" ht="13.5" thickBot="1" x14ac:dyDescent="0.25">
      <c r="A16" s="11">
        <v>43537</v>
      </c>
      <c r="B16" s="1">
        <v>41592</v>
      </c>
      <c r="C16" s="18">
        <f t="shared" si="9"/>
        <v>600</v>
      </c>
      <c r="D16" s="1">
        <v>37289</v>
      </c>
      <c r="E16" s="18">
        <f t="shared" si="3"/>
        <v>480</v>
      </c>
      <c r="F16" s="1">
        <v>17463</v>
      </c>
      <c r="G16" s="18">
        <f t="shared" si="4"/>
        <v>100</v>
      </c>
      <c r="H16" s="1">
        <v>214097</v>
      </c>
      <c r="I16" s="18">
        <f t="shared" si="5"/>
        <v>14</v>
      </c>
      <c r="J16" s="1">
        <v>303515</v>
      </c>
      <c r="K16" s="18">
        <f t="shared" si="10"/>
        <v>0</v>
      </c>
      <c r="L16" s="1">
        <v>21961</v>
      </c>
      <c r="M16" s="18">
        <f t="shared" si="6"/>
        <v>480</v>
      </c>
      <c r="N16" s="146">
        <v>168004</v>
      </c>
      <c r="O16" s="18">
        <f t="shared" si="7"/>
        <v>4</v>
      </c>
      <c r="P16" s="1">
        <v>974674</v>
      </c>
      <c r="Q16" s="18">
        <f t="shared" si="2"/>
        <v>194</v>
      </c>
      <c r="R16" s="1">
        <v>55047</v>
      </c>
      <c r="S16" s="18">
        <f t="shared" si="8"/>
        <v>0</v>
      </c>
      <c r="X16" t="s">
        <v>13</v>
      </c>
    </row>
    <row r="17" spans="1:23" ht="13.5" thickBot="1" x14ac:dyDescent="0.25">
      <c r="A17" s="11">
        <v>43538</v>
      </c>
      <c r="B17" s="1">
        <v>41598</v>
      </c>
      <c r="C17" s="18">
        <f t="shared" si="9"/>
        <v>720</v>
      </c>
      <c r="D17" s="1">
        <v>37292</v>
      </c>
      <c r="E17" s="18">
        <f t="shared" si="3"/>
        <v>480</v>
      </c>
      <c r="F17" s="1">
        <v>17467</v>
      </c>
      <c r="G17" s="18">
        <f t="shared" si="4"/>
        <v>80</v>
      </c>
      <c r="H17" s="1">
        <v>214105</v>
      </c>
      <c r="I17" s="18">
        <f t="shared" si="5"/>
        <v>8</v>
      </c>
      <c r="J17" s="1">
        <v>303515</v>
      </c>
      <c r="K17" s="18">
        <f t="shared" si="10"/>
        <v>0</v>
      </c>
      <c r="L17" s="1">
        <v>21967</v>
      </c>
      <c r="M17" s="18">
        <f t="shared" si="6"/>
        <v>960</v>
      </c>
      <c r="N17" s="146">
        <v>168007</v>
      </c>
      <c r="O17" s="18">
        <f t="shared" si="7"/>
        <v>3</v>
      </c>
      <c r="P17" s="1">
        <v>974807</v>
      </c>
      <c r="Q17" s="18">
        <f t="shared" si="2"/>
        <v>133</v>
      </c>
      <c r="R17" s="1">
        <v>55047</v>
      </c>
      <c r="S17" s="18">
        <f t="shared" si="8"/>
        <v>0</v>
      </c>
      <c r="W17" t="s">
        <v>13</v>
      </c>
    </row>
    <row r="18" spans="1:23" ht="13.5" thickBot="1" x14ac:dyDescent="0.25">
      <c r="A18" s="11">
        <v>43539</v>
      </c>
      <c r="B18" s="1">
        <v>41603</v>
      </c>
      <c r="C18" s="18">
        <f t="shared" si="9"/>
        <v>600</v>
      </c>
      <c r="D18" s="1">
        <v>37295</v>
      </c>
      <c r="E18" s="18">
        <f t="shared" si="3"/>
        <v>480</v>
      </c>
      <c r="F18" s="1">
        <v>17471</v>
      </c>
      <c r="G18" s="18">
        <f t="shared" si="4"/>
        <v>80</v>
      </c>
      <c r="H18" s="1">
        <v>214130</v>
      </c>
      <c r="I18" s="18">
        <f t="shared" si="5"/>
        <v>25</v>
      </c>
      <c r="J18" s="1">
        <v>303515</v>
      </c>
      <c r="K18" s="18">
        <f t="shared" si="10"/>
        <v>0</v>
      </c>
      <c r="L18" s="1">
        <v>21970</v>
      </c>
      <c r="M18" s="18">
        <f t="shared" si="6"/>
        <v>480</v>
      </c>
      <c r="N18" s="146">
        <v>168010</v>
      </c>
      <c r="O18" s="18">
        <f t="shared" si="7"/>
        <v>3</v>
      </c>
      <c r="P18" s="1">
        <v>974903</v>
      </c>
      <c r="Q18" s="18">
        <f t="shared" si="2"/>
        <v>96</v>
      </c>
      <c r="R18" s="1">
        <v>55047</v>
      </c>
      <c r="S18" s="18">
        <f t="shared" si="8"/>
        <v>0</v>
      </c>
    </row>
    <row r="19" spans="1:23" ht="13.5" thickBot="1" x14ac:dyDescent="0.25">
      <c r="A19" s="11">
        <v>43540</v>
      </c>
      <c r="B19" s="1">
        <v>41608</v>
      </c>
      <c r="C19" s="18">
        <f t="shared" si="9"/>
        <v>600</v>
      </c>
      <c r="D19" s="1">
        <v>37299</v>
      </c>
      <c r="E19" s="18">
        <f t="shared" si="3"/>
        <v>640</v>
      </c>
      <c r="F19" s="1">
        <v>17475</v>
      </c>
      <c r="G19" s="18">
        <f t="shared" si="4"/>
        <v>80</v>
      </c>
      <c r="H19" s="1">
        <v>214133</v>
      </c>
      <c r="I19" s="18">
        <f t="shared" si="5"/>
        <v>3</v>
      </c>
      <c r="J19" s="1">
        <v>303515</v>
      </c>
      <c r="K19" s="18">
        <f t="shared" si="10"/>
        <v>0</v>
      </c>
      <c r="L19" s="1">
        <v>21974</v>
      </c>
      <c r="M19" s="18">
        <f t="shared" si="6"/>
        <v>640</v>
      </c>
      <c r="N19" s="146">
        <v>168013</v>
      </c>
      <c r="O19" s="18">
        <f t="shared" si="7"/>
        <v>3</v>
      </c>
      <c r="P19" s="1">
        <v>975157</v>
      </c>
      <c r="Q19" s="18">
        <f t="shared" si="2"/>
        <v>254</v>
      </c>
      <c r="R19" s="1">
        <v>55047</v>
      </c>
      <c r="S19" s="18">
        <f t="shared" si="8"/>
        <v>0</v>
      </c>
      <c r="U19" t="s">
        <v>13</v>
      </c>
    </row>
    <row r="20" spans="1:23" ht="13.5" thickBot="1" x14ac:dyDescent="0.25">
      <c r="A20" s="11">
        <v>43541</v>
      </c>
      <c r="B20" s="1">
        <v>41614</v>
      </c>
      <c r="C20" s="18">
        <f t="shared" si="9"/>
        <v>720</v>
      </c>
      <c r="D20" s="1">
        <v>37302</v>
      </c>
      <c r="E20" s="18">
        <f t="shared" si="3"/>
        <v>480</v>
      </c>
      <c r="F20" s="1">
        <v>17479</v>
      </c>
      <c r="G20" s="18">
        <f t="shared" si="4"/>
        <v>80</v>
      </c>
      <c r="H20" s="1">
        <v>214147</v>
      </c>
      <c r="I20" s="18">
        <f t="shared" si="5"/>
        <v>14</v>
      </c>
      <c r="J20" s="1">
        <v>303515</v>
      </c>
      <c r="K20" s="18">
        <f t="shared" si="10"/>
        <v>0</v>
      </c>
      <c r="L20" s="1">
        <v>21978</v>
      </c>
      <c r="M20" s="18">
        <f t="shared" si="6"/>
        <v>640</v>
      </c>
      <c r="N20" s="146">
        <v>168016</v>
      </c>
      <c r="O20" s="18">
        <f t="shared" si="7"/>
        <v>3</v>
      </c>
      <c r="P20" s="1">
        <v>975359</v>
      </c>
      <c r="Q20" s="18">
        <f t="shared" si="2"/>
        <v>202</v>
      </c>
      <c r="R20" s="1">
        <v>55047</v>
      </c>
      <c r="S20" s="18">
        <f t="shared" si="8"/>
        <v>0</v>
      </c>
      <c r="T20" t="s">
        <v>26</v>
      </c>
      <c r="W20" t="s">
        <v>13</v>
      </c>
    </row>
    <row r="21" spans="1:23" ht="13.5" thickBot="1" x14ac:dyDescent="0.25">
      <c r="A21" s="11">
        <v>43542</v>
      </c>
      <c r="B21" s="1">
        <v>41619</v>
      </c>
      <c r="C21" s="18">
        <f t="shared" si="9"/>
        <v>600</v>
      </c>
      <c r="D21" s="1">
        <v>37306</v>
      </c>
      <c r="E21" s="18">
        <f t="shared" si="3"/>
        <v>640</v>
      </c>
      <c r="F21" s="1">
        <v>17484</v>
      </c>
      <c r="G21" s="18">
        <f t="shared" si="4"/>
        <v>100</v>
      </c>
      <c r="H21" s="1">
        <v>214163</v>
      </c>
      <c r="I21" s="18">
        <f t="shared" si="5"/>
        <v>16</v>
      </c>
      <c r="J21" s="1">
        <v>303515</v>
      </c>
      <c r="K21" s="18">
        <f t="shared" si="10"/>
        <v>0</v>
      </c>
      <c r="L21" s="1">
        <v>21982</v>
      </c>
      <c r="M21" s="18">
        <f t="shared" si="6"/>
        <v>640</v>
      </c>
      <c r="N21" s="146">
        <v>168019</v>
      </c>
      <c r="O21" s="18">
        <f t="shared" si="7"/>
        <v>3</v>
      </c>
      <c r="P21" s="1">
        <v>975553</v>
      </c>
      <c r="Q21" s="18">
        <f t="shared" si="2"/>
        <v>194</v>
      </c>
      <c r="R21" s="1">
        <v>55047</v>
      </c>
      <c r="S21" s="18">
        <f t="shared" si="8"/>
        <v>0</v>
      </c>
    </row>
    <row r="22" spans="1:23" ht="13.5" thickBot="1" x14ac:dyDescent="0.25">
      <c r="A22" s="11">
        <v>43543</v>
      </c>
      <c r="B22" s="1">
        <v>41624</v>
      </c>
      <c r="C22" s="18">
        <f t="shared" si="9"/>
        <v>600</v>
      </c>
      <c r="D22" s="1">
        <v>37309</v>
      </c>
      <c r="E22" s="18">
        <f t="shared" si="3"/>
        <v>480</v>
      </c>
      <c r="F22" s="1">
        <v>17488</v>
      </c>
      <c r="G22" s="18">
        <f t="shared" si="4"/>
        <v>80</v>
      </c>
      <c r="H22" s="1">
        <v>214176</v>
      </c>
      <c r="I22" s="18">
        <f t="shared" si="5"/>
        <v>13</v>
      </c>
      <c r="J22" s="1">
        <v>303515</v>
      </c>
      <c r="K22" s="18">
        <f t="shared" si="10"/>
        <v>0</v>
      </c>
      <c r="L22" s="1">
        <v>21987</v>
      </c>
      <c r="M22" s="18">
        <f t="shared" si="6"/>
        <v>800</v>
      </c>
      <c r="N22" s="146">
        <v>168022</v>
      </c>
      <c r="O22" s="18">
        <f t="shared" si="7"/>
        <v>3</v>
      </c>
      <c r="P22" s="1">
        <v>975754</v>
      </c>
      <c r="Q22" s="18">
        <f t="shared" si="2"/>
        <v>201</v>
      </c>
      <c r="R22" s="1">
        <v>55047</v>
      </c>
      <c r="S22" s="18">
        <f t="shared" si="8"/>
        <v>0</v>
      </c>
    </row>
    <row r="23" spans="1:23" ht="13.5" thickBot="1" x14ac:dyDescent="0.25">
      <c r="A23" s="11">
        <v>43544</v>
      </c>
      <c r="B23" s="1">
        <v>41630</v>
      </c>
      <c r="C23" s="18">
        <f t="shared" si="9"/>
        <v>720</v>
      </c>
      <c r="D23" s="1">
        <v>37313</v>
      </c>
      <c r="E23" s="18">
        <f t="shared" si="3"/>
        <v>640</v>
      </c>
      <c r="F23" s="1">
        <v>17493</v>
      </c>
      <c r="G23" s="18">
        <f t="shared" si="4"/>
        <v>100</v>
      </c>
      <c r="H23" s="1">
        <v>214188</v>
      </c>
      <c r="I23" s="18">
        <f t="shared" si="5"/>
        <v>12</v>
      </c>
      <c r="J23" s="1">
        <v>303515</v>
      </c>
      <c r="K23" s="18">
        <f t="shared" si="10"/>
        <v>0</v>
      </c>
      <c r="L23" s="1">
        <v>21991</v>
      </c>
      <c r="M23" s="18">
        <f t="shared" si="6"/>
        <v>640</v>
      </c>
      <c r="N23" s="146">
        <v>168025</v>
      </c>
      <c r="O23" s="18">
        <f t="shared" si="7"/>
        <v>3</v>
      </c>
      <c r="P23" s="1">
        <v>975954</v>
      </c>
      <c r="Q23" s="18">
        <f t="shared" si="2"/>
        <v>200</v>
      </c>
      <c r="R23" s="1">
        <v>55047</v>
      </c>
      <c r="S23" s="18">
        <f t="shared" si="8"/>
        <v>0</v>
      </c>
    </row>
    <row r="24" spans="1:23" ht="13.5" thickBot="1" x14ac:dyDescent="0.25">
      <c r="A24" s="11">
        <v>43545</v>
      </c>
      <c r="B24" s="1">
        <v>41635</v>
      </c>
      <c r="C24" s="18">
        <f t="shared" si="9"/>
        <v>600</v>
      </c>
      <c r="D24" s="1">
        <v>37316</v>
      </c>
      <c r="E24" s="18">
        <f t="shared" si="3"/>
        <v>480</v>
      </c>
      <c r="F24" s="1">
        <v>17497</v>
      </c>
      <c r="G24" s="18">
        <f t="shared" si="4"/>
        <v>80</v>
      </c>
      <c r="H24" s="1">
        <v>214208</v>
      </c>
      <c r="I24" s="18">
        <f t="shared" si="5"/>
        <v>20</v>
      </c>
      <c r="J24" s="1">
        <v>303515</v>
      </c>
      <c r="K24" s="18">
        <f t="shared" si="10"/>
        <v>0</v>
      </c>
      <c r="L24" s="1">
        <v>21994</v>
      </c>
      <c r="M24" s="18">
        <f t="shared" si="6"/>
        <v>480</v>
      </c>
      <c r="N24" s="146">
        <v>168028</v>
      </c>
      <c r="O24" s="18">
        <f t="shared" si="7"/>
        <v>3</v>
      </c>
      <c r="P24" s="1">
        <v>976146</v>
      </c>
      <c r="Q24" s="18">
        <f t="shared" si="2"/>
        <v>192</v>
      </c>
      <c r="R24" s="1">
        <v>55047</v>
      </c>
      <c r="S24" s="18">
        <f t="shared" si="8"/>
        <v>0</v>
      </c>
    </row>
    <row r="25" spans="1:23" ht="13.5" thickBot="1" x14ac:dyDescent="0.25">
      <c r="A25" s="11">
        <v>43546</v>
      </c>
      <c r="B25" s="1">
        <v>41641</v>
      </c>
      <c r="C25" s="18">
        <f t="shared" si="9"/>
        <v>720</v>
      </c>
      <c r="D25" s="1">
        <v>37319</v>
      </c>
      <c r="E25" s="18">
        <f t="shared" si="3"/>
        <v>480</v>
      </c>
      <c r="F25" s="1">
        <v>17501</v>
      </c>
      <c r="G25" s="18">
        <f t="shared" si="4"/>
        <v>80</v>
      </c>
      <c r="H25" s="1">
        <v>214221</v>
      </c>
      <c r="I25" s="18">
        <f t="shared" si="5"/>
        <v>13</v>
      </c>
      <c r="J25" s="1">
        <v>303515</v>
      </c>
      <c r="K25" s="18">
        <f t="shared" si="10"/>
        <v>0</v>
      </c>
      <c r="L25" s="1">
        <v>21997</v>
      </c>
      <c r="M25" s="18">
        <f t="shared" si="6"/>
        <v>480</v>
      </c>
      <c r="N25" s="146">
        <v>168031</v>
      </c>
      <c r="O25" s="18">
        <f t="shared" si="7"/>
        <v>3</v>
      </c>
      <c r="P25" s="1">
        <v>976286</v>
      </c>
      <c r="Q25" s="18">
        <f t="shared" si="2"/>
        <v>140</v>
      </c>
      <c r="R25" s="1">
        <v>55047</v>
      </c>
      <c r="S25" s="18">
        <f t="shared" si="8"/>
        <v>0</v>
      </c>
    </row>
    <row r="26" spans="1:23" ht="13.5" thickBot="1" x14ac:dyDescent="0.25">
      <c r="A26" s="11">
        <v>43547</v>
      </c>
      <c r="B26" s="1">
        <v>41646</v>
      </c>
      <c r="C26" s="18">
        <f t="shared" si="9"/>
        <v>600</v>
      </c>
      <c r="D26" s="177">
        <v>37323</v>
      </c>
      <c r="E26" s="18">
        <f t="shared" si="3"/>
        <v>640</v>
      </c>
      <c r="F26" s="1">
        <v>17504</v>
      </c>
      <c r="G26" s="18">
        <f t="shared" si="4"/>
        <v>60</v>
      </c>
      <c r="H26" s="1">
        <v>214236</v>
      </c>
      <c r="I26" s="18">
        <f t="shared" si="5"/>
        <v>15</v>
      </c>
      <c r="J26" s="1">
        <v>303515</v>
      </c>
      <c r="K26" s="18">
        <f t="shared" si="10"/>
        <v>0</v>
      </c>
      <c r="L26" s="1">
        <v>22000</v>
      </c>
      <c r="M26" s="18">
        <f t="shared" si="6"/>
        <v>480</v>
      </c>
      <c r="N26" s="146">
        <v>168034</v>
      </c>
      <c r="O26" s="18">
        <f t="shared" si="7"/>
        <v>3</v>
      </c>
      <c r="P26" s="1">
        <v>976663</v>
      </c>
      <c r="Q26" s="18">
        <f t="shared" si="2"/>
        <v>377</v>
      </c>
      <c r="R26" s="1">
        <v>55047</v>
      </c>
      <c r="S26" s="18">
        <f t="shared" si="8"/>
        <v>0</v>
      </c>
      <c r="U26" t="s">
        <v>13</v>
      </c>
      <c r="V26" t="s">
        <v>13</v>
      </c>
    </row>
    <row r="27" spans="1:23" ht="13.5" thickBot="1" x14ac:dyDescent="0.25">
      <c r="A27" s="11">
        <v>43548</v>
      </c>
      <c r="B27" s="1">
        <v>41652</v>
      </c>
      <c r="C27" s="18">
        <f t="shared" si="9"/>
        <v>720</v>
      </c>
      <c r="D27" s="1">
        <v>37326</v>
      </c>
      <c r="E27" s="18">
        <f t="shared" si="3"/>
        <v>480</v>
      </c>
      <c r="F27" s="1">
        <v>17509</v>
      </c>
      <c r="G27" s="18">
        <f t="shared" si="4"/>
        <v>100</v>
      </c>
      <c r="H27" s="1">
        <v>214254</v>
      </c>
      <c r="I27" s="18">
        <f t="shared" si="5"/>
        <v>18</v>
      </c>
      <c r="J27" s="1">
        <v>303515</v>
      </c>
      <c r="K27" s="18">
        <f t="shared" si="10"/>
        <v>0</v>
      </c>
      <c r="L27" s="1">
        <v>22005</v>
      </c>
      <c r="M27" s="18">
        <f t="shared" si="6"/>
        <v>800</v>
      </c>
      <c r="N27" s="146">
        <v>168037</v>
      </c>
      <c r="O27" s="18">
        <f t="shared" si="7"/>
        <v>3</v>
      </c>
      <c r="P27" s="1">
        <v>976793</v>
      </c>
      <c r="Q27" s="18">
        <f t="shared" si="2"/>
        <v>130</v>
      </c>
      <c r="R27" s="1">
        <v>55047</v>
      </c>
      <c r="S27" s="18">
        <f t="shared" si="8"/>
        <v>0</v>
      </c>
    </row>
    <row r="28" spans="1:23" ht="13.5" thickBot="1" x14ac:dyDescent="0.25">
      <c r="A28" s="11">
        <v>43549</v>
      </c>
      <c r="B28" s="1">
        <v>41657</v>
      </c>
      <c r="C28" s="18">
        <f t="shared" si="9"/>
        <v>600</v>
      </c>
      <c r="D28" s="1">
        <v>37329</v>
      </c>
      <c r="E28" s="18">
        <f t="shared" si="3"/>
        <v>480</v>
      </c>
      <c r="F28" s="1">
        <v>17513</v>
      </c>
      <c r="G28" s="18">
        <f t="shared" si="4"/>
        <v>80</v>
      </c>
      <c r="H28" s="1">
        <v>214267</v>
      </c>
      <c r="I28" s="18">
        <f t="shared" si="5"/>
        <v>13</v>
      </c>
      <c r="J28" s="1">
        <v>303515</v>
      </c>
      <c r="K28" s="18">
        <f t="shared" si="10"/>
        <v>0</v>
      </c>
      <c r="L28" s="1">
        <v>22009</v>
      </c>
      <c r="M28" s="18">
        <f t="shared" si="6"/>
        <v>640</v>
      </c>
      <c r="N28" s="146">
        <v>168040</v>
      </c>
      <c r="O28" s="18">
        <f t="shared" si="7"/>
        <v>3</v>
      </c>
      <c r="P28" s="1">
        <v>976871</v>
      </c>
      <c r="Q28" s="18">
        <f t="shared" si="2"/>
        <v>78</v>
      </c>
      <c r="R28" s="1">
        <v>55047</v>
      </c>
      <c r="S28" s="18">
        <f t="shared" si="8"/>
        <v>0</v>
      </c>
      <c r="T28" t="s">
        <v>25</v>
      </c>
    </row>
    <row r="29" spans="1:23" ht="13.5" thickBot="1" x14ac:dyDescent="0.25">
      <c r="A29" s="11">
        <v>43550</v>
      </c>
      <c r="B29" s="1">
        <v>41663</v>
      </c>
      <c r="C29" s="18">
        <f t="shared" si="9"/>
        <v>720</v>
      </c>
      <c r="D29" s="1">
        <v>37333</v>
      </c>
      <c r="E29" s="18">
        <f t="shared" si="3"/>
        <v>640</v>
      </c>
      <c r="F29" s="1">
        <v>17517</v>
      </c>
      <c r="G29" s="18">
        <f t="shared" si="4"/>
        <v>80</v>
      </c>
      <c r="H29" s="1">
        <v>214282</v>
      </c>
      <c r="I29" s="18">
        <f t="shared" si="5"/>
        <v>15</v>
      </c>
      <c r="J29" s="1">
        <v>303515</v>
      </c>
      <c r="K29" s="18">
        <f t="shared" si="10"/>
        <v>0</v>
      </c>
      <c r="L29" s="1">
        <v>22013</v>
      </c>
      <c r="M29" s="18">
        <f t="shared" si="6"/>
        <v>640</v>
      </c>
      <c r="N29" s="146">
        <v>168043</v>
      </c>
      <c r="O29" s="18">
        <f t="shared" si="7"/>
        <v>3</v>
      </c>
      <c r="P29" s="1">
        <v>977090</v>
      </c>
      <c r="Q29" s="19">
        <f t="shared" si="2"/>
        <v>219</v>
      </c>
      <c r="R29" s="1">
        <v>55047</v>
      </c>
      <c r="S29" s="19">
        <f t="shared" si="8"/>
        <v>0</v>
      </c>
    </row>
    <row r="30" spans="1:23" ht="13.5" thickBot="1" x14ac:dyDescent="0.25">
      <c r="A30" s="11">
        <v>43551</v>
      </c>
      <c r="B30" s="1">
        <v>41665</v>
      </c>
      <c r="C30" s="18">
        <f t="shared" si="9"/>
        <v>240</v>
      </c>
      <c r="D30" s="1">
        <v>37336</v>
      </c>
      <c r="E30" s="18">
        <f t="shared" si="3"/>
        <v>480</v>
      </c>
      <c r="F30" s="1">
        <v>17522</v>
      </c>
      <c r="G30" s="18">
        <f t="shared" si="4"/>
        <v>100</v>
      </c>
      <c r="H30" s="1">
        <v>214299</v>
      </c>
      <c r="I30" s="18">
        <f t="shared" si="5"/>
        <v>17</v>
      </c>
      <c r="J30" s="1">
        <v>303515</v>
      </c>
      <c r="K30" s="18">
        <f t="shared" si="10"/>
        <v>0</v>
      </c>
      <c r="L30" s="1">
        <v>22017</v>
      </c>
      <c r="M30" s="18">
        <f t="shared" si="6"/>
        <v>640</v>
      </c>
      <c r="N30" s="146">
        <v>168046</v>
      </c>
      <c r="O30" s="18">
        <f t="shared" si="7"/>
        <v>3</v>
      </c>
      <c r="P30" s="1">
        <v>977301</v>
      </c>
      <c r="Q30" s="18">
        <f t="shared" si="2"/>
        <v>211</v>
      </c>
      <c r="R30" s="1">
        <v>55047</v>
      </c>
      <c r="S30" s="18">
        <f t="shared" si="8"/>
        <v>0</v>
      </c>
      <c r="T30" t="s">
        <v>27</v>
      </c>
      <c r="U30" t="s">
        <v>13</v>
      </c>
    </row>
    <row r="31" spans="1:23" ht="13.5" thickBot="1" x14ac:dyDescent="0.25">
      <c r="A31" s="11">
        <v>43552</v>
      </c>
      <c r="B31" s="1">
        <v>41674</v>
      </c>
      <c r="C31" s="18">
        <f t="shared" si="9"/>
        <v>1080</v>
      </c>
      <c r="D31" s="1">
        <v>37340</v>
      </c>
      <c r="E31" s="18">
        <f t="shared" si="3"/>
        <v>640</v>
      </c>
      <c r="F31" s="1">
        <v>17526</v>
      </c>
      <c r="G31" s="18">
        <f t="shared" si="4"/>
        <v>80</v>
      </c>
      <c r="H31" s="1">
        <v>214315</v>
      </c>
      <c r="I31" s="18">
        <f t="shared" si="5"/>
        <v>16</v>
      </c>
      <c r="J31" s="1">
        <v>303515</v>
      </c>
      <c r="K31" s="18">
        <f t="shared" si="10"/>
        <v>0</v>
      </c>
      <c r="L31" s="1">
        <v>22022</v>
      </c>
      <c r="M31" s="18">
        <f t="shared" si="6"/>
        <v>800</v>
      </c>
      <c r="N31" s="146">
        <v>168049</v>
      </c>
      <c r="O31" s="18">
        <f t="shared" si="7"/>
        <v>3</v>
      </c>
      <c r="P31" s="1">
        <v>977513</v>
      </c>
      <c r="Q31" s="18">
        <f t="shared" si="2"/>
        <v>212</v>
      </c>
      <c r="R31" s="1">
        <v>55047</v>
      </c>
      <c r="S31" s="18">
        <f t="shared" si="8"/>
        <v>0</v>
      </c>
      <c r="T31" t="s">
        <v>13</v>
      </c>
    </row>
    <row r="32" spans="1:23" ht="13.5" thickBot="1" x14ac:dyDescent="0.25">
      <c r="A32" s="11">
        <v>43553</v>
      </c>
      <c r="B32" s="1">
        <v>41683</v>
      </c>
      <c r="C32" s="18">
        <f t="shared" si="9"/>
        <v>1080</v>
      </c>
      <c r="D32" s="1">
        <v>37345</v>
      </c>
      <c r="E32" s="18">
        <f t="shared" si="3"/>
        <v>800</v>
      </c>
      <c r="F32" s="1">
        <v>17531</v>
      </c>
      <c r="G32" s="18">
        <f t="shared" si="4"/>
        <v>100</v>
      </c>
      <c r="H32" s="1">
        <v>214331</v>
      </c>
      <c r="I32" s="18">
        <f t="shared" si="5"/>
        <v>16</v>
      </c>
      <c r="J32" s="1">
        <v>303515</v>
      </c>
      <c r="K32" s="18">
        <f t="shared" si="10"/>
        <v>0</v>
      </c>
      <c r="L32" s="1">
        <v>22027</v>
      </c>
      <c r="M32" s="18">
        <f t="shared" si="6"/>
        <v>800</v>
      </c>
      <c r="N32" s="146">
        <v>168052</v>
      </c>
      <c r="O32" s="18">
        <f t="shared" si="7"/>
        <v>3</v>
      </c>
      <c r="P32" s="1">
        <v>977722</v>
      </c>
      <c r="Q32" s="18">
        <f>P32-P31</f>
        <v>209</v>
      </c>
      <c r="R32" s="1">
        <v>55047</v>
      </c>
      <c r="S32" s="18">
        <f t="shared" si="8"/>
        <v>0</v>
      </c>
    </row>
    <row r="33" spans="1:22" ht="13.5" thickBot="1" x14ac:dyDescent="0.25">
      <c r="A33" s="11">
        <v>43554</v>
      </c>
      <c r="B33" s="1">
        <v>41686</v>
      </c>
      <c r="C33" s="18">
        <f t="shared" si="9"/>
        <v>360</v>
      </c>
      <c r="D33" s="1">
        <v>37345</v>
      </c>
      <c r="E33" s="18">
        <f t="shared" si="3"/>
        <v>0</v>
      </c>
      <c r="F33" s="1">
        <v>17534</v>
      </c>
      <c r="G33" s="18">
        <f t="shared" si="4"/>
        <v>60</v>
      </c>
      <c r="H33" s="1">
        <v>214350</v>
      </c>
      <c r="I33" s="18">
        <f t="shared" si="5"/>
        <v>19</v>
      </c>
      <c r="J33" s="1">
        <v>303515</v>
      </c>
      <c r="K33" s="18">
        <f t="shared" si="10"/>
        <v>0</v>
      </c>
      <c r="L33" s="1">
        <v>22029</v>
      </c>
      <c r="M33" s="18">
        <f t="shared" si="6"/>
        <v>320</v>
      </c>
      <c r="N33" s="146">
        <v>168056</v>
      </c>
      <c r="O33" s="18">
        <f t="shared" si="7"/>
        <v>4</v>
      </c>
      <c r="P33" s="1">
        <v>977787</v>
      </c>
      <c r="Q33" s="18">
        <f>P33-P32</f>
        <v>65</v>
      </c>
      <c r="R33" s="1">
        <v>55047</v>
      </c>
      <c r="S33" s="18">
        <f>R33-R32</f>
        <v>0</v>
      </c>
      <c r="V33" t="s">
        <v>13</v>
      </c>
    </row>
    <row r="34" spans="1:22" ht="13.5" thickBot="1" x14ac:dyDescent="0.25">
      <c r="A34" s="11">
        <v>43555</v>
      </c>
      <c r="B34" s="1">
        <v>41690</v>
      </c>
      <c r="C34" s="18">
        <f>(B34-B33)*600/5</f>
        <v>480</v>
      </c>
      <c r="D34" s="1">
        <v>37348</v>
      </c>
      <c r="E34" s="18">
        <f>(D34-D33)*800/5</f>
        <v>480</v>
      </c>
      <c r="F34" s="1">
        <v>17539</v>
      </c>
      <c r="G34" s="18">
        <f>(F34-F33)*100/5</f>
        <v>100</v>
      </c>
      <c r="H34" s="1">
        <v>214373</v>
      </c>
      <c r="I34" s="18">
        <f>H34-H33</f>
        <v>23</v>
      </c>
      <c r="J34" s="1">
        <v>303515</v>
      </c>
      <c r="K34" s="18">
        <f>J34-J33</f>
        <v>0</v>
      </c>
      <c r="L34" s="1">
        <v>22032</v>
      </c>
      <c r="M34" s="18">
        <f>(L34-L33)*800/5</f>
        <v>480</v>
      </c>
      <c r="N34" s="146">
        <v>168057</v>
      </c>
      <c r="O34" s="18">
        <f t="shared" si="7"/>
        <v>1</v>
      </c>
      <c r="P34" s="1">
        <v>977975</v>
      </c>
      <c r="Q34" s="18">
        <f>P34-P33</f>
        <v>188</v>
      </c>
      <c r="R34" s="1">
        <v>55047</v>
      </c>
      <c r="S34" s="18">
        <f>R34-R33</f>
        <v>0</v>
      </c>
    </row>
    <row r="35" spans="1:22" ht="16.5" thickBot="1" x14ac:dyDescent="0.3">
      <c r="A35" s="11" t="s">
        <v>28</v>
      </c>
      <c r="B35" s="1"/>
      <c r="C35" s="12">
        <f>SUM(C4:C34)</f>
        <v>19920</v>
      </c>
      <c r="D35" s="15"/>
      <c r="E35" s="12">
        <f>SUM(E4:E34)</f>
        <v>15840</v>
      </c>
      <c r="F35" s="15"/>
      <c r="G35" s="12">
        <f>SUM(G4:G34)</f>
        <v>2640</v>
      </c>
      <c r="H35" s="15"/>
      <c r="I35" s="12">
        <f>SUM(I4:I34)</f>
        <v>465</v>
      </c>
      <c r="J35" s="15"/>
      <c r="K35" s="12">
        <f>SUM(K4:K34)</f>
        <v>0</v>
      </c>
      <c r="L35" s="15"/>
      <c r="M35" s="12">
        <f>SUM(M4:M34)</f>
        <v>19680</v>
      </c>
      <c r="N35" s="147"/>
      <c r="O35" s="12"/>
      <c r="P35" s="15"/>
      <c r="Q35" s="12">
        <f>SUM(Q4:Q34)</f>
        <v>5457</v>
      </c>
      <c r="R35" s="1"/>
      <c r="S35" s="12">
        <f>SUM(S4:S34)</f>
        <v>0</v>
      </c>
      <c r="T35" t="s">
        <v>29</v>
      </c>
    </row>
    <row r="36" spans="1:22" ht="23.25" x14ac:dyDescent="0.35">
      <c r="B36" s="21"/>
      <c r="C36" s="22"/>
      <c r="D36" s="22"/>
      <c r="E36" s="22"/>
    </row>
    <row r="37" spans="1:22" ht="15.75" x14ac:dyDescent="0.25">
      <c r="B37" s="21"/>
    </row>
    <row r="38" spans="1:22" ht="15.75" x14ac:dyDescent="0.25">
      <c r="B38" s="21"/>
    </row>
    <row r="39" spans="1:22" ht="15.75" x14ac:dyDescent="0.25">
      <c r="B39" s="21"/>
    </row>
  </sheetData>
  <mergeCells count="1">
    <mergeCell ref="A1:S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opLeftCell="A4" zoomScale="60" zoomScaleNormal="60" workbookViewId="0">
      <selection activeCell="H35" sqref="H35"/>
    </sheetView>
  </sheetViews>
  <sheetFormatPr defaultRowHeight="12.75" x14ac:dyDescent="0.2"/>
  <cols>
    <col min="1" max="1" width="20.85546875" style="20" bestFit="1" customWidth="1"/>
    <col min="2" max="2" width="20.7109375" bestFit="1" customWidth="1"/>
    <col min="3" max="3" width="14.140625" customWidth="1"/>
    <col min="4" max="4" width="1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151" bestFit="1" customWidth="1"/>
    <col min="10" max="10" width="17.5703125" bestFit="1" customWidth="1"/>
    <col min="11" max="11" width="16.140625" bestFit="1" customWidth="1"/>
    <col min="25" max="25" width="18.28515625" bestFit="1" customWidth="1"/>
  </cols>
  <sheetData>
    <row r="1" spans="1:14" ht="28.5" customHeight="1" thickBot="1" x14ac:dyDescent="0.25">
      <c r="A1" s="181" t="s">
        <v>142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</row>
    <row r="2" spans="1:14" ht="16.5" thickBot="1" x14ac:dyDescent="0.3">
      <c r="A2" s="3" t="s">
        <v>0</v>
      </c>
      <c r="B2" s="4" t="s">
        <v>30</v>
      </c>
      <c r="C2" s="5" t="s">
        <v>31</v>
      </c>
      <c r="D2" s="4" t="s">
        <v>32</v>
      </c>
      <c r="E2" s="5" t="s">
        <v>31</v>
      </c>
      <c r="F2" s="4" t="s">
        <v>33</v>
      </c>
      <c r="G2" s="25" t="s">
        <v>31</v>
      </c>
      <c r="H2" s="4" t="s">
        <v>34</v>
      </c>
      <c r="I2" s="158" t="s">
        <v>31</v>
      </c>
      <c r="J2" s="4" t="s">
        <v>28</v>
      </c>
      <c r="K2" s="4" t="s">
        <v>35</v>
      </c>
    </row>
    <row r="3" spans="1:14" ht="21" thickBot="1" x14ac:dyDescent="0.3">
      <c r="A3" s="10" t="s">
        <v>12</v>
      </c>
      <c r="B3" s="4">
        <v>345245</v>
      </c>
      <c r="C3" s="26">
        <v>0</v>
      </c>
      <c r="D3" s="4">
        <v>92514000</v>
      </c>
      <c r="E3" s="27">
        <v>0</v>
      </c>
      <c r="F3" s="4">
        <v>92469600</v>
      </c>
      <c r="G3" s="27">
        <v>0</v>
      </c>
      <c r="H3" s="4">
        <v>599930</v>
      </c>
      <c r="I3" s="159">
        <v>0</v>
      </c>
      <c r="J3" s="28">
        <f>C3+E3+G3+I3</f>
        <v>0</v>
      </c>
      <c r="K3" s="29">
        <f>J3*5.86</f>
        <v>0</v>
      </c>
    </row>
    <row r="4" spans="1:14" ht="21" thickBot="1" x14ac:dyDescent="0.3">
      <c r="A4" s="10">
        <v>43525</v>
      </c>
      <c r="B4" s="4">
        <v>345356</v>
      </c>
      <c r="C4" s="154">
        <f>(IF((B4-B3)&lt;0,"0",(B4-B3)))*10</f>
        <v>1110</v>
      </c>
      <c r="D4" s="4">
        <v>92532800</v>
      </c>
      <c r="E4" s="154">
        <f>(IF((D4-D3)&lt;0,"0",(D4-D3)))*0.027</f>
        <v>507.59999999999997</v>
      </c>
      <c r="F4" s="4">
        <v>92485100</v>
      </c>
      <c r="G4" s="154">
        <f>(IF((F4-F3)&lt;0,"0",(F4-F3)))*0.027</f>
        <v>418.5</v>
      </c>
      <c r="H4" s="4">
        <v>600001</v>
      </c>
      <c r="I4" s="160">
        <f>(IF((H4-H3)&lt;0,"0",(H4-H3)))*0.027</f>
        <v>1.917</v>
      </c>
      <c r="J4" s="28">
        <f>C4+E4+G4+I4</f>
        <v>2038.0169999999998</v>
      </c>
      <c r="K4" s="29">
        <f>J4*5.86</f>
        <v>11942.779619999999</v>
      </c>
    </row>
    <row r="5" spans="1:14" ht="21" thickBot="1" x14ac:dyDescent="0.3">
      <c r="A5" s="10">
        <v>43526</v>
      </c>
      <c r="B5" s="4">
        <v>345454</v>
      </c>
      <c r="C5" s="154">
        <f t="shared" ref="C5:C34" si="0">(IF((B5-B4)&lt;0,"0",(B5-B4)))*10</f>
        <v>980</v>
      </c>
      <c r="D5" s="4">
        <v>92550700</v>
      </c>
      <c r="E5" s="154">
        <f t="shared" ref="E5:E34" si="1">(IF((D5-D4)&lt;0,"0",(D5-D4)))*0.027</f>
        <v>483.3</v>
      </c>
      <c r="F5" s="4">
        <v>92499700</v>
      </c>
      <c r="G5" s="154">
        <f>(IF((F5-F4)&lt;0,"0",(F5-F4)))*0.027</f>
        <v>394.2</v>
      </c>
      <c r="H5" s="4">
        <v>600130</v>
      </c>
      <c r="I5" s="160">
        <f>(IF((H5-H4)&lt;0,"0",(H5-H4)))*0.027</f>
        <v>3.4830000000000001</v>
      </c>
      <c r="J5" s="28">
        <f t="shared" ref="J5:J31" si="2">C5+E5+G5+I5</f>
        <v>1860.9829999999999</v>
      </c>
      <c r="K5" s="29">
        <f t="shared" ref="K5:K33" si="3">J5*5.86</f>
        <v>10905.36038</v>
      </c>
    </row>
    <row r="6" spans="1:14" ht="21" thickBot="1" x14ac:dyDescent="0.3">
      <c r="A6" s="10">
        <v>43527</v>
      </c>
      <c r="B6" s="4">
        <v>345563</v>
      </c>
      <c r="C6" s="154">
        <f t="shared" si="0"/>
        <v>1090</v>
      </c>
      <c r="D6" s="4">
        <v>92569600</v>
      </c>
      <c r="E6" s="154">
        <f t="shared" si="1"/>
        <v>510.3</v>
      </c>
      <c r="F6" s="4">
        <v>92513200</v>
      </c>
      <c r="G6" s="154">
        <f t="shared" ref="G6:G34" si="4">(IF((F6-F5)&lt;0,"0",(F6-F5)))*0.027</f>
        <v>364.5</v>
      </c>
      <c r="H6" s="4">
        <v>600251</v>
      </c>
      <c r="I6" s="160">
        <f t="shared" ref="I6:I34" si="5">(IF((H6-H5)&lt;0,"0",(H6-H5)))*0.027</f>
        <v>3.2669999999999999</v>
      </c>
      <c r="J6" s="28">
        <f t="shared" si="2"/>
        <v>1968.067</v>
      </c>
      <c r="K6" s="29">
        <f t="shared" si="3"/>
        <v>11532.87262</v>
      </c>
    </row>
    <row r="7" spans="1:14" ht="21" thickBot="1" x14ac:dyDescent="0.3">
      <c r="A7" s="10">
        <v>43528</v>
      </c>
      <c r="B7" s="4">
        <v>345650</v>
      </c>
      <c r="C7" s="154">
        <f t="shared" si="0"/>
        <v>870</v>
      </c>
      <c r="D7" s="4">
        <v>92580100</v>
      </c>
      <c r="E7" s="154">
        <f t="shared" si="1"/>
        <v>283.5</v>
      </c>
      <c r="F7" s="4">
        <v>92525500</v>
      </c>
      <c r="G7" s="154">
        <f t="shared" si="4"/>
        <v>332.1</v>
      </c>
      <c r="H7" s="4">
        <v>600399</v>
      </c>
      <c r="I7" s="160">
        <f t="shared" si="5"/>
        <v>3.996</v>
      </c>
      <c r="J7" s="28">
        <f t="shared" si="2"/>
        <v>1489.596</v>
      </c>
      <c r="K7" s="29">
        <f t="shared" si="3"/>
        <v>8729.0325599999996</v>
      </c>
    </row>
    <row r="8" spans="1:14" ht="21" thickBot="1" x14ac:dyDescent="0.3">
      <c r="A8" s="10">
        <v>43529</v>
      </c>
      <c r="B8" s="4">
        <v>345749</v>
      </c>
      <c r="C8" s="154">
        <f t="shared" si="0"/>
        <v>990</v>
      </c>
      <c r="D8" s="4">
        <v>92605300</v>
      </c>
      <c r="E8" s="154">
        <f t="shared" si="1"/>
        <v>680.4</v>
      </c>
      <c r="F8" s="4">
        <v>92537000</v>
      </c>
      <c r="G8" s="154">
        <f t="shared" si="4"/>
        <v>310.5</v>
      </c>
      <c r="H8" s="4">
        <v>600498</v>
      </c>
      <c r="I8" s="160">
        <f t="shared" si="5"/>
        <v>2.673</v>
      </c>
      <c r="J8" s="28">
        <f t="shared" si="2"/>
        <v>1983.5730000000001</v>
      </c>
      <c r="K8" s="29">
        <f t="shared" si="3"/>
        <v>11623.737780000001</v>
      </c>
      <c r="L8" t="s">
        <v>13</v>
      </c>
      <c r="N8" t="s">
        <v>13</v>
      </c>
    </row>
    <row r="9" spans="1:14" ht="21" thickBot="1" x14ac:dyDescent="0.3">
      <c r="A9" s="10">
        <v>43530</v>
      </c>
      <c r="B9" s="4">
        <v>345851</v>
      </c>
      <c r="C9" s="154">
        <f t="shared" si="0"/>
        <v>1020</v>
      </c>
      <c r="D9" s="4">
        <v>92626000</v>
      </c>
      <c r="E9" s="154">
        <f t="shared" si="1"/>
        <v>558.9</v>
      </c>
      <c r="F9" s="4">
        <v>92549600</v>
      </c>
      <c r="G9" s="154">
        <f t="shared" si="4"/>
        <v>340.2</v>
      </c>
      <c r="H9" s="4">
        <v>600648</v>
      </c>
      <c r="I9" s="160">
        <f t="shared" si="5"/>
        <v>4.05</v>
      </c>
      <c r="J9" s="28">
        <f t="shared" si="2"/>
        <v>1923.15</v>
      </c>
      <c r="K9" s="29">
        <f t="shared" si="3"/>
        <v>11269.659000000001</v>
      </c>
    </row>
    <row r="10" spans="1:14" ht="21" thickBot="1" x14ac:dyDescent="0.3">
      <c r="A10" s="10">
        <v>43531</v>
      </c>
      <c r="B10" s="4">
        <v>345960</v>
      </c>
      <c r="C10" s="154">
        <f t="shared" si="0"/>
        <v>1090</v>
      </c>
      <c r="D10" s="4">
        <v>92640100</v>
      </c>
      <c r="E10" s="154">
        <f t="shared" si="1"/>
        <v>380.7</v>
      </c>
      <c r="F10" s="4">
        <v>92558900</v>
      </c>
      <c r="G10" s="154">
        <f t="shared" si="4"/>
        <v>251.1</v>
      </c>
      <c r="H10" s="4">
        <v>600751</v>
      </c>
      <c r="I10" s="160">
        <f t="shared" si="5"/>
        <v>2.7810000000000001</v>
      </c>
      <c r="J10" s="28">
        <f t="shared" si="2"/>
        <v>1724.5809999999999</v>
      </c>
      <c r="K10" s="29">
        <f t="shared" si="3"/>
        <v>10106.04466</v>
      </c>
    </row>
    <row r="11" spans="1:14" ht="21" thickBot="1" x14ac:dyDescent="0.3">
      <c r="A11" s="10">
        <v>43532</v>
      </c>
      <c r="B11" s="4">
        <v>346050</v>
      </c>
      <c r="C11" s="154">
        <f>(IF((B11-B10)&lt;0,"0",(B11-B10)))*10</f>
        <v>900</v>
      </c>
      <c r="D11" s="4">
        <v>92668300</v>
      </c>
      <c r="E11" s="154">
        <f t="shared" si="1"/>
        <v>761.4</v>
      </c>
      <c r="F11" s="4">
        <v>92577400</v>
      </c>
      <c r="G11" s="154">
        <f t="shared" si="4"/>
        <v>499.5</v>
      </c>
      <c r="H11" s="4">
        <v>600916</v>
      </c>
      <c r="I11" s="160">
        <f t="shared" si="5"/>
        <v>4.4550000000000001</v>
      </c>
      <c r="J11" s="28">
        <f t="shared" si="2"/>
        <v>2165.355</v>
      </c>
      <c r="K11" s="29">
        <f t="shared" si="3"/>
        <v>12688.980300000001</v>
      </c>
    </row>
    <row r="12" spans="1:14" ht="21" thickBot="1" x14ac:dyDescent="0.3">
      <c r="A12" s="10">
        <v>43533</v>
      </c>
      <c r="B12" s="4">
        <v>346133</v>
      </c>
      <c r="C12" s="154">
        <f t="shared" si="0"/>
        <v>830</v>
      </c>
      <c r="D12" s="4">
        <v>92682300</v>
      </c>
      <c r="E12" s="154">
        <f t="shared" si="1"/>
        <v>378</v>
      </c>
      <c r="F12" s="4">
        <v>92587900</v>
      </c>
      <c r="G12" s="154">
        <f t="shared" si="4"/>
        <v>283.5</v>
      </c>
      <c r="H12" s="4">
        <v>601057</v>
      </c>
      <c r="I12" s="160">
        <f t="shared" si="5"/>
        <v>3.8069999999999999</v>
      </c>
      <c r="J12" s="28">
        <f t="shared" si="2"/>
        <v>1495.307</v>
      </c>
      <c r="K12" s="29">
        <f t="shared" si="3"/>
        <v>8762.4990200000011</v>
      </c>
      <c r="N12" t="s">
        <v>13</v>
      </c>
    </row>
    <row r="13" spans="1:14" ht="21" thickBot="1" x14ac:dyDescent="0.3">
      <c r="A13" s="10">
        <v>43534</v>
      </c>
      <c r="B13" s="4">
        <v>346216</v>
      </c>
      <c r="C13" s="154">
        <f t="shared" si="0"/>
        <v>830</v>
      </c>
      <c r="D13" s="4">
        <v>92703100</v>
      </c>
      <c r="E13" s="154">
        <f t="shared" si="1"/>
        <v>561.6</v>
      </c>
      <c r="F13" s="4">
        <v>92600000</v>
      </c>
      <c r="G13" s="154">
        <f t="shared" si="4"/>
        <v>326.7</v>
      </c>
      <c r="H13" s="4">
        <v>601237</v>
      </c>
      <c r="I13" s="160">
        <f t="shared" si="5"/>
        <v>4.8600000000000003</v>
      </c>
      <c r="J13" s="28">
        <f t="shared" si="2"/>
        <v>1723.1599999999999</v>
      </c>
      <c r="K13" s="29">
        <f t="shared" si="3"/>
        <v>10097.7176</v>
      </c>
    </row>
    <row r="14" spans="1:14" ht="21" thickBot="1" x14ac:dyDescent="0.3">
      <c r="A14" s="10">
        <v>43535</v>
      </c>
      <c r="B14" s="4">
        <v>346321</v>
      </c>
      <c r="C14" s="154">
        <f t="shared" si="0"/>
        <v>1050</v>
      </c>
      <c r="D14" s="4">
        <v>92723100</v>
      </c>
      <c r="E14" s="154">
        <f t="shared" si="1"/>
        <v>540</v>
      </c>
      <c r="F14" s="4">
        <v>92613200</v>
      </c>
      <c r="G14" s="154">
        <f t="shared" si="4"/>
        <v>356.4</v>
      </c>
      <c r="H14" s="4">
        <v>601386</v>
      </c>
      <c r="I14" s="160">
        <f t="shared" si="5"/>
        <v>4.0229999999999997</v>
      </c>
      <c r="J14" s="28">
        <f t="shared" si="2"/>
        <v>1950.423</v>
      </c>
      <c r="K14" s="29">
        <f t="shared" si="3"/>
        <v>11429.478780000001</v>
      </c>
    </row>
    <row r="15" spans="1:14" ht="21" thickBot="1" x14ac:dyDescent="0.3">
      <c r="A15" s="10">
        <v>43536</v>
      </c>
      <c r="B15" s="4">
        <v>346437</v>
      </c>
      <c r="C15" s="154">
        <f t="shared" si="0"/>
        <v>1160</v>
      </c>
      <c r="D15" s="4">
        <v>92745000</v>
      </c>
      <c r="E15" s="154">
        <f t="shared" si="1"/>
        <v>591.29999999999995</v>
      </c>
      <c r="F15" s="4">
        <v>92629300</v>
      </c>
      <c r="G15" s="154">
        <f t="shared" si="4"/>
        <v>434.7</v>
      </c>
      <c r="H15" s="4">
        <v>601513</v>
      </c>
      <c r="I15" s="160">
        <f t="shared" si="5"/>
        <v>3.4289999999999998</v>
      </c>
      <c r="J15" s="28">
        <f t="shared" si="2"/>
        <v>2189.4290000000001</v>
      </c>
      <c r="K15" s="29">
        <f t="shared" si="3"/>
        <v>12830.053940000002</v>
      </c>
    </row>
    <row r="16" spans="1:14" ht="21" thickBot="1" x14ac:dyDescent="0.3">
      <c r="A16" s="10">
        <v>43537</v>
      </c>
      <c r="B16" s="4">
        <v>346570</v>
      </c>
      <c r="C16" s="154">
        <f t="shared" si="0"/>
        <v>1330</v>
      </c>
      <c r="D16" s="4">
        <v>92765600</v>
      </c>
      <c r="E16" s="154">
        <f t="shared" si="1"/>
        <v>556.20000000000005</v>
      </c>
      <c r="F16" s="4">
        <v>92644000</v>
      </c>
      <c r="G16" s="154">
        <f t="shared" si="4"/>
        <v>396.9</v>
      </c>
      <c r="H16" s="4">
        <v>601638</v>
      </c>
      <c r="I16" s="160">
        <f t="shared" si="5"/>
        <v>3.375</v>
      </c>
      <c r="J16" s="28">
        <f t="shared" si="2"/>
        <v>2286.4749999999999</v>
      </c>
      <c r="K16" s="29">
        <f t="shared" si="3"/>
        <v>13398.7435</v>
      </c>
    </row>
    <row r="17" spans="1:25" ht="21" thickBot="1" x14ac:dyDescent="0.3">
      <c r="A17" s="10">
        <v>43538</v>
      </c>
      <c r="B17" s="4">
        <v>346684</v>
      </c>
      <c r="C17" s="154">
        <f t="shared" si="0"/>
        <v>1140</v>
      </c>
      <c r="D17" s="4">
        <v>92789500</v>
      </c>
      <c r="E17" s="154">
        <f t="shared" si="1"/>
        <v>645.29999999999995</v>
      </c>
      <c r="F17" s="4">
        <v>92658200</v>
      </c>
      <c r="G17" s="154">
        <f t="shared" si="4"/>
        <v>383.4</v>
      </c>
      <c r="H17" s="4">
        <v>601763</v>
      </c>
      <c r="I17" s="160">
        <f t="shared" si="5"/>
        <v>3.375</v>
      </c>
      <c r="J17" s="28">
        <f t="shared" si="2"/>
        <v>2172.0749999999998</v>
      </c>
      <c r="K17" s="29">
        <f t="shared" si="3"/>
        <v>12728.3595</v>
      </c>
    </row>
    <row r="18" spans="1:25" ht="21" thickBot="1" x14ac:dyDescent="0.3">
      <c r="A18" s="10">
        <v>43539</v>
      </c>
      <c r="B18" s="4">
        <v>346799</v>
      </c>
      <c r="C18" s="154">
        <f t="shared" si="0"/>
        <v>1150</v>
      </c>
      <c r="D18" s="4">
        <v>92811300</v>
      </c>
      <c r="E18" s="154">
        <f t="shared" si="1"/>
        <v>588.6</v>
      </c>
      <c r="F18" s="4">
        <v>92673000</v>
      </c>
      <c r="G18" s="154">
        <f t="shared" si="4"/>
        <v>399.6</v>
      </c>
      <c r="H18" s="4">
        <v>601855</v>
      </c>
      <c r="I18" s="160">
        <f t="shared" si="5"/>
        <v>2.484</v>
      </c>
      <c r="J18" s="28">
        <f t="shared" si="2"/>
        <v>2140.6839999999997</v>
      </c>
      <c r="K18" s="29">
        <f t="shared" si="3"/>
        <v>12544.408239999999</v>
      </c>
      <c r="P18" t="s">
        <v>13</v>
      </c>
      <c r="R18" t="s">
        <v>13</v>
      </c>
    </row>
    <row r="19" spans="1:25" ht="21" thickBot="1" x14ac:dyDescent="0.3">
      <c r="A19" s="10">
        <v>43540</v>
      </c>
      <c r="B19" s="4">
        <v>346901</v>
      </c>
      <c r="C19" s="154">
        <f t="shared" si="0"/>
        <v>1020</v>
      </c>
      <c r="D19" s="4">
        <v>92835800</v>
      </c>
      <c r="E19" s="154">
        <f t="shared" si="1"/>
        <v>661.5</v>
      </c>
      <c r="F19" s="4">
        <v>92688400</v>
      </c>
      <c r="G19" s="154">
        <f t="shared" si="4"/>
        <v>415.8</v>
      </c>
      <c r="H19" s="4">
        <v>601993</v>
      </c>
      <c r="I19" s="160">
        <f t="shared" si="5"/>
        <v>3.726</v>
      </c>
      <c r="J19" s="28">
        <f t="shared" si="2"/>
        <v>2101.0260000000003</v>
      </c>
      <c r="K19" s="29">
        <f t="shared" si="3"/>
        <v>12312.012360000002</v>
      </c>
      <c r="O19" t="s">
        <v>13</v>
      </c>
      <c r="Q19" t="s">
        <v>101</v>
      </c>
    </row>
    <row r="20" spans="1:25" ht="21" thickBot="1" x14ac:dyDescent="0.3">
      <c r="A20" s="10">
        <v>43541</v>
      </c>
      <c r="B20" s="4">
        <v>347039</v>
      </c>
      <c r="C20" s="154">
        <f t="shared" si="0"/>
        <v>1380</v>
      </c>
      <c r="D20" s="4">
        <v>92858000</v>
      </c>
      <c r="E20" s="154">
        <f t="shared" si="1"/>
        <v>599.4</v>
      </c>
      <c r="F20" s="4">
        <v>92702000</v>
      </c>
      <c r="G20" s="154">
        <f t="shared" si="4"/>
        <v>367.2</v>
      </c>
      <c r="H20" s="4">
        <v>602118</v>
      </c>
      <c r="I20" s="160">
        <f t="shared" si="5"/>
        <v>3.375</v>
      </c>
      <c r="J20" s="28">
        <f t="shared" si="2"/>
        <v>2349.9749999999999</v>
      </c>
      <c r="K20" s="29">
        <f t="shared" si="3"/>
        <v>13770.853500000001</v>
      </c>
      <c r="Q20" t="s">
        <v>13</v>
      </c>
    </row>
    <row r="21" spans="1:25" ht="21" thickBot="1" x14ac:dyDescent="0.3">
      <c r="A21" s="10">
        <v>43542</v>
      </c>
      <c r="B21" s="4">
        <v>347144</v>
      </c>
      <c r="C21" s="154">
        <f t="shared" si="0"/>
        <v>1050</v>
      </c>
      <c r="D21" s="4">
        <v>92870100</v>
      </c>
      <c r="E21" s="154">
        <f t="shared" si="1"/>
        <v>326.7</v>
      </c>
      <c r="F21" s="4">
        <v>92718000</v>
      </c>
      <c r="G21" s="154">
        <f t="shared" si="4"/>
        <v>432</v>
      </c>
      <c r="H21" s="4">
        <v>602301</v>
      </c>
      <c r="I21" s="160">
        <f t="shared" si="5"/>
        <v>4.9409999999999998</v>
      </c>
      <c r="J21" s="28">
        <f t="shared" si="2"/>
        <v>1813.6410000000001</v>
      </c>
      <c r="K21" s="29">
        <f t="shared" si="3"/>
        <v>10627.93626</v>
      </c>
    </row>
    <row r="22" spans="1:25" ht="21" thickBot="1" x14ac:dyDescent="0.3">
      <c r="A22" s="10">
        <v>43543</v>
      </c>
      <c r="B22" s="4">
        <v>347250</v>
      </c>
      <c r="C22" s="154">
        <f t="shared" si="0"/>
        <v>1060</v>
      </c>
      <c r="D22" s="4">
        <v>92902600</v>
      </c>
      <c r="E22" s="154">
        <f t="shared" si="1"/>
        <v>877.5</v>
      </c>
      <c r="F22" s="4">
        <v>92729600</v>
      </c>
      <c r="G22" s="154">
        <f t="shared" si="4"/>
        <v>313.2</v>
      </c>
      <c r="H22" s="4">
        <v>602380</v>
      </c>
      <c r="I22" s="160">
        <f t="shared" si="5"/>
        <v>2.133</v>
      </c>
      <c r="J22" s="28">
        <f t="shared" si="2"/>
        <v>2252.8329999999996</v>
      </c>
      <c r="K22" s="29">
        <f t="shared" si="3"/>
        <v>13201.601379999998</v>
      </c>
      <c r="N22" t="s">
        <v>13</v>
      </c>
    </row>
    <row r="23" spans="1:25" ht="21" thickBot="1" x14ac:dyDescent="0.3">
      <c r="A23" s="10">
        <v>43544</v>
      </c>
      <c r="B23" s="4">
        <v>347368</v>
      </c>
      <c r="C23" s="154">
        <f t="shared" si="0"/>
        <v>1180</v>
      </c>
      <c r="D23" s="4">
        <v>92926200</v>
      </c>
      <c r="E23" s="154">
        <f t="shared" si="1"/>
        <v>637.20000000000005</v>
      </c>
      <c r="F23" s="4">
        <v>92743200</v>
      </c>
      <c r="G23" s="154">
        <f t="shared" si="4"/>
        <v>367.2</v>
      </c>
      <c r="H23" s="4">
        <v>602580</v>
      </c>
      <c r="I23" s="160">
        <f t="shared" si="5"/>
        <v>5.4</v>
      </c>
      <c r="J23" s="28">
        <f t="shared" si="2"/>
        <v>2189.8000000000002</v>
      </c>
      <c r="K23" s="29">
        <f t="shared" si="3"/>
        <v>12832.228000000001</v>
      </c>
      <c r="P23" t="s">
        <v>13</v>
      </c>
      <c r="S23" s="101" t="s">
        <v>13</v>
      </c>
    </row>
    <row r="24" spans="1:25" ht="21" thickBot="1" x14ac:dyDescent="0.3">
      <c r="A24" s="10">
        <v>43545</v>
      </c>
      <c r="B24" s="4">
        <v>347480</v>
      </c>
      <c r="C24" s="154">
        <f t="shared" si="0"/>
        <v>1120</v>
      </c>
      <c r="D24" s="4">
        <v>92948600</v>
      </c>
      <c r="E24" s="154">
        <f t="shared" si="1"/>
        <v>604.79999999999995</v>
      </c>
      <c r="F24" s="4">
        <v>92758000</v>
      </c>
      <c r="G24" s="154">
        <f t="shared" si="4"/>
        <v>399.6</v>
      </c>
      <c r="H24" s="4">
        <v>602770</v>
      </c>
      <c r="I24" s="160">
        <f t="shared" si="5"/>
        <v>5.13</v>
      </c>
      <c r="J24" s="28">
        <f t="shared" si="2"/>
        <v>2129.5300000000002</v>
      </c>
      <c r="K24" s="29">
        <f t="shared" si="3"/>
        <v>12479.045800000002</v>
      </c>
      <c r="Q24" t="s">
        <v>13</v>
      </c>
    </row>
    <row r="25" spans="1:25" ht="21" thickBot="1" x14ac:dyDescent="0.3">
      <c r="A25" s="10">
        <v>43546</v>
      </c>
      <c r="B25" s="4">
        <v>347596</v>
      </c>
      <c r="C25" s="154">
        <f t="shared" si="0"/>
        <v>1160</v>
      </c>
      <c r="D25" s="4">
        <v>92969400</v>
      </c>
      <c r="E25" s="154">
        <f t="shared" si="1"/>
        <v>561.6</v>
      </c>
      <c r="F25" s="4">
        <v>92773400</v>
      </c>
      <c r="G25" s="154">
        <f t="shared" si="4"/>
        <v>415.8</v>
      </c>
      <c r="H25" s="4">
        <v>602906</v>
      </c>
      <c r="I25" s="160">
        <f t="shared" si="5"/>
        <v>3.6720000000000002</v>
      </c>
      <c r="J25" s="28">
        <f t="shared" si="2"/>
        <v>2141.0720000000001</v>
      </c>
      <c r="K25" s="29">
        <f t="shared" si="3"/>
        <v>12546.681920000001</v>
      </c>
    </row>
    <row r="26" spans="1:25" ht="26.25" thickBot="1" x14ac:dyDescent="0.4">
      <c r="A26" s="10">
        <v>43547</v>
      </c>
      <c r="B26" s="4">
        <v>347719</v>
      </c>
      <c r="C26" s="154">
        <f t="shared" si="0"/>
        <v>1230</v>
      </c>
      <c r="D26" s="4">
        <v>92994700</v>
      </c>
      <c r="E26" s="154">
        <f t="shared" si="1"/>
        <v>683.1</v>
      </c>
      <c r="F26" s="4">
        <v>92792100</v>
      </c>
      <c r="G26" s="154">
        <f t="shared" si="4"/>
        <v>504.9</v>
      </c>
      <c r="H26" s="4">
        <v>603129</v>
      </c>
      <c r="I26" s="160">
        <f t="shared" si="5"/>
        <v>6.0209999999999999</v>
      </c>
      <c r="J26" s="28">
        <f t="shared" si="2"/>
        <v>2424.0210000000002</v>
      </c>
      <c r="K26" s="29">
        <f t="shared" si="3"/>
        <v>14204.763060000001</v>
      </c>
      <c r="Y26" s="175"/>
    </row>
    <row r="27" spans="1:25" ht="21" thickBot="1" x14ac:dyDescent="0.3">
      <c r="A27" s="10">
        <v>43548</v>
      </c>
      <c r="B27" s="4">
        <v>347821</v>
      </c>
      <c r="C27" s="154">
        <f t="shared" si="0"/>
        <v>1020</v>
      </c>
      <c r="D27" s="4">
        <v>93015300</v>
      </c>
      <c r="E27" s="154">
        <f t="shared" si="1"/>
        <v>556.20000000000005</v>
      </c>
      <c r="F27" s="4">
        <v>92805200</v>
      </c>
      <c r="G27" s="154">
        <f t="shared" si="4"/>
        <v>353.7</v>
      </c>
      <c r="H27" s="4">
        <v>603321</v>
      </c>
      <c r="I27" s="160">
        <f t="shared" si="5"/>
        <v>5.1840000000000002</v>
      </c>
      <c r="J27" s="28">
        <f t="shared" si="2"/>
        <v>1935.0840000000001</v>
      </c>
      <c r="K27" s="29">
        <f t="shared" si="3"/>
        <v>11339.592240000002</v>
      </c>
      <c r="L27" t="s">
        <v>13</v>
      </c>
    </row>
    <row r="28" spans="1:25" ht="21" thickBot="1" x14ac:dyDescent="0.3">
      <c r="A28" s="10">
        <v>43549</v>
      </c>
      <c r="B28" s="4">
        <v>347932</v>
      </c>
      <c r="C28" s="154">
        <f t="shared" si="0"/>
        <v>1110</v>
      </c>
      <c r="D28" s="4">
        <v>93037500</v>
      </c>
      <c r="E28" s="154">
        <f t="shared" si="1"/>
        <v>599.4</v>
      </c>
      <c r="F28" s="4">
        <v>92818800</v>
      </c>
      <c r="G28" s="154">
        <f t="shared" si="4"/>
        <v>367.2</v>
      </c>
      <c r="H28" s="4">
        <v>603453</v>
      </c>
      <c r="I28" s="160">
        <f t="shared" si="5"/>
        <v>3.5640000000000001</v>
      </c>
      <c r="J28" s="28">
        <f t="shared" si="2"/>
        <v>2080.1639999999998</v>
      </c>
      <c r="K28" s="29">
        <f t="shared" si="3"/>
        <v>12189.761039999999</v>
      </c>
    </row>
    <row r="29" spans="1:25" ht="21" thickBot="1" x14ac:dyDescent="0.3">
      <c r="A29" s="10">
        <v>43550</v>
      </c>
      <c r="B29" s="4">
        <v>348044</v>
      </c>
      <c r="C29" s="154">
        <f t="shared" si="0"/>
        <v>1120</v>
      </c>
      <c r="D29" s="4">
        <v>93062200</v>
      </c>
      <c r="E29" s="154">
        <f t="shared" si="1"/>
        <v>666.9</v>
      </c>
      <c r="F29" s="4">
        <v>92833100</v>
      </c>
      <c r="G29" s="154">
        <f t="shared" si="4"/>
        <v>386.1</v>
      </c>
      <c r="H29" s="4">
        <v>603591</v>
      </c>
      <c r="I29" s="160">
        <f t="shared" si="5"/>
        <v>3.726</v>
      </c>
      <c r="J29" s="28">
        <f t="shared" si="2"/>
        <v>2176.7260000000001</v>
      </c>
      <c r="K29" s="29">
        <f t="shared" si="3"/>
        <v>12755.614360000001</v>
      </c>
    </row>
    <row r="30" spans="1:25" ht="21" thickBot="1" x14ac:dyDescent="0.3">
      <c r="A30" s="10">
        <v>43551</v>
      </c>
      <c r="B30" s="4">
        <v>348155</v>
      </c>
      <c r="C30" s="154">
        <f t="shared" si="0"/>
        <v>1110</v>
      </c>
      <c r="D30" s="4">
        <v>93085700</v>
      </c>
      <c r="E30" s="154">
        <f t="shared" si="1"/>
        <v>634.5</v>
      </c>
      <c r="F30" s="4">
        <v>92847700</v>
      </c>
      <c r="G30" s="154">
        <f t="shared" si="4"/>
        <v>394.2</v>
      </c>
      <c r="H30" s="4">
        <v>603738</v>
      </c>
      <c r="I30" s="160">
        <f t="shared" si="5"/>
        <v>3.9689999999999999</v>
      </c>
      <c r="J30" s="28">
        <f t="shared" si="2"/>
        <v>2142.6689999999999</v>
      </c>
      <c r="K30" s="29">
        <f t="shared" si="3"/>
        <v>12556.04034</v>
      </c>
    </row>
    <row r="31" spans="1:25" ht="21" thickBot="1" x14ac:dyDescent="0.3">
      <c r="A31" s="10">
        <v>43552</v>
      </c>
      <c r="B31" s="4">
        <v>348262</v>
      </c>
      <c r="C31" s="154">
        <f t="shared" si="0"/>
        <v>1070</v>
      </c>
      <c r="D31" s="4">
        <v>93106700</v>
      </c>
      <c r="E31" s="154">
        <f t="shared" si="1"/>
        <v>567</v>
      </c>
      <c r="F31" s="4">
        <v>92863800</v>
      </c>
      <c r="G31" s="154">
        <f t="shared" si="4"/>
        <v>434.7</v>
      </c>
      <c r="H31" s="4">
        <v>603901</v>
      </c>
      <c r="I31" s="160">
        <f t="shared" si="5"/>
        <v>4.4009999999999998</v>
      </c>
      <c r="J31" s="28">
        <f t="shared" si="2"/>
        <v>2076.1009999999997</v>
      </c>
      <c r="K31" s="29">
        <f t="shared" si="3"/>
        <v>12165.951859999999</v>
      </c>
    </row>
    <row r="32" spans="1:25" ht="21" thickBot="1" x14ac:dyDescent="0.3">
      <c r="A32" s="10">
        <v>43553</v>
      </c>
      <c r="B32" s="4">
        <v>348353</v>
      </c>
      <c r="C32" s="154">
        <f t="shared" si="0"/>
        <v>910</v>
      </c>
      <c r="D32" s="4">
        <v>93124700</v>
      </c>
      <c r="E32" s="154">
        <f t="shared" si="1"/>
        <v>486</v>
      </c>
      <c r="F32" s="4">
        <v>92879100</v>
      </c>
      <c r="G32" s="154">
        <f t="shared" si="4"/>
        <v>413.1</v>
      </c>
      <c r="H32" s="4">
        <v>604021</v>
      </c>
      <c r="I32" s="160">
        <f t="shared" si="5"/>
        <v>3.2399999999999998</v>
      </c>
      <c r="J32" s="28">
        <f>C32+E32+G32+I32</f>
        <v>1812.34</v>
      </c>
      <c r="K32" s="29">
        <f t="shared" si="3"/>
        <v>10620.312400000001</v>
      </c>
    </row>
    <row r="33" spans="1:11" ht="21" thickBot="1" x14ac:dyDescent="0.3">
      <c r="A33" s="10">
        <v>43554</v>
      </c>
      <c r="B33" s="4">
        <v>348454</v>
      </c>
      <c r="C33" s="154">
        <f t="shared" si="0"/>
        <v>1010</v>
      </c>
      <c r="D33" s="4">
        <v>93143200</v>
      </c>
      <c r="E33" s="154">
        <f t="shared" si="1"/>
        <v>499.5</v>
      </c>
      <c r="F33" s="4">
        <v>92895000</v>
      </c>
      <c r="G33" s="154">
        <f t="shared" si="4"/>
        <v>429.3</v>
      </c>
      <c r="H33" s="4">
        <v>604184</v>
      </c>
      <c r="I33" s="160">
        <f t="shared" si="5"/>
        <v>4.4009999999999998</v>
      </c>
      <c r="J33" s="28">
        <f>C33+E33+G33+I33</f>
        <v>1943.201</v>
      </c>
      <c r="K33" s="29">
        <f t="shared" si="3"/>
        <v>11387.157860000001</v>
      </c>
    </row>
    <row r="34" spans="1:11" ht="21" thickBot="1" x14ac:dyDescent="0.3">
      <c r="A34" s="10">
        <v>43555</v>
      </c>
      <c r="B34" s="4">
        <v>348554</v>
      </c>
      <c r="C34" s="154">
        <f t="shared" si="0"/>
        <v>1000</v>
      </c>
      <c r="D34" s="4">
        <v>93163800</v>
      </c>
      <c r="E34" s="154">
        <f t="shared" si="1"/>
        <v>556.20000000000005</v>
      </c>
      <c r="F34" s="4">
        <v>92909900</v>
      </c>
      <c r="G34" s="154">
        <f t="shared" si="4"/>
        <v>402.3</v>
      </c>
      <c r="H34" s="4">
        <v>604325</v>
      </c>
      <c r="I34" s="160">
        <f t="shared" si="5"/>
        <v>3.8069999999999999</v>
      </c>
      <c r="J34" s="28"/>
      <c r="K34" s="29"/>
    </row>
    <row r="35" spans="1:11" ht="21" thickBot="1" x14ac:dyDescent="0.3">
      <c r="A35" s="10" t="s">
        <v>28</v>
      </c>
      <c r="B35" s="4"/>
      <c r="C35" s="176">
        <f>SUM(C4:C34)</f>
        <v>33090</v>
      </c>
      <c r="D35" s="4"/>
      <c r="E35" s="176">
        <f>SUM(E4:E34)</f>
        <v>17544.600000000002</v>
      </c>
      <c r="F35" s="4"/>
      <c r="G35" s="176">
        <f>SUM(G4:G34)</f>
        <v>11888.1</v>
      </c>
      <c r="H35" s="4"/>
      <c r="I35" s="161">
        <f>SUM(I4:I34)</f>
        <v>118.66499999999996</v>
      </c>
      <c r="J35" s="12">
        <f>SUM(J4:J31)</f>
        <v>56923.517000000014</v>
      </c>
      <c r="K35" s="12">
        <f>SUM(K4:K31)</f>
        <v>333571.80962000001</v>
      </c>
    </row>
    <row r="38" spans="1:11" x14ac:dyDescent="0.2">
      <c r="G38" t="s">
        <v>13</v>
      </c>
    </row>
  </sheetData>
  <mergeCells count="1">
    <mergeCell ref="A1:K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52"/>
  <sheetViews>
    <sheetView zoomScale="70" zoomScaleNormal="70" workbookViewId="0">
      <selection activeCell="G30" sqref="G30"/>
    </sheetView>
  </sheetViews>
  <sheetFormatPr defaultColWidth="23" defaultRowHeight="15.75" x14ac:dyDescent="0.25"/>
  <cols>
    <col min="1" max="1" width="14.5703125" style="80" bestFit="1" customWidth="1"/>
    <col min="2" max="2" width="14.85546875" style="156" bestFit="1" customWidth="1"/>
    <col min="3" max="3" width="15.28515625" style="156" bestFit="1" customWidth="1"/>
    <col min="4" max="4" width="7.140625" style="156" bestFit="1" customWidth="1"/>
    <col min="5" max="5" width="12.85546875" style="71" bestFit="1" customWidth="1"/>
    <col min="6" max="6" width="9" style="71" bestFit="1" customWidth="1"/>
    <col min="7" max="7" width="11.5703125" style="71" bestFit="1" customWidth="1"/>
    <col min="8" max="10" width="10.28515625" style="71" bestFit="1" customWidth="1"/>
    <col min="11" max="11" width="9" style="71" bestFit="1" customWidth="1"/>
    <col min="12" max="12" width="11.5703125" style="71" bestFit="1" customWidth="1"/>
    <col min="13" max="13" width="9" style="71" bestFit="1" customWidth="1"/>
    <col min="14" max="14" width="11.5703125" style="71" bestFit="1" customWidth="1"/>
    <col min="15" max="15" width="9" style="71" bestFit="1" customWidth="1"/>
    <col min="16" max="16" width="11.5703125" style="71" bestFit="1" customWidth="1"/>
    <col min="17" max="17" width="9" style="71" bestFit="1" customWidth="1"/>
    <col min="18" max="18" width="10.28515625" style="71" bestFit="1" customWidth="1"/>
    <col min="19" max="19" width="9" style="71" bestFit="1" customWidth="1"/>
    <col min="20" max="20" width="4.7109375" style="71" bestFit="1" customWidth="1"/>
    <col min="21" max="21" width="7.7109375" style="71" bestFit="1" customWidth="1"/>
    <col min="22" max="22" width="11.5703125" style="71" bestFit="1" customWidth="1"/>
    <col min="23" max="24" width="9" style="71" bestFit="1" customWidth="1"/>
    <col min="25" max="25" width="12.140625" style="71" bestFit="1" customWidth="1"/>
    <col min="26" max="26" width="21.7109375" style="81" bestFit="1" customWidth="1"/>
    <col min="27" max="27" width="20.42578125" style="81" bestFit="1" customWidth="1"/>
    <col min="28" max="16384" width="23" style="71"/>
  </cols>
  <sheetData>
    <row r="1" spans="1:27" ht="16.5" thickBot="1" x14ac:dyDescent="0.25">
      <c r="A1" s="182" t="s">
        <v>145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</row>
    <row r="2" spans="1:27" ht="16.5" thickBot="1" x14ac:dyDescent="0.3">
      <c r="A2" s="7" t="s">
        <v>0</v>
      </c>
      <c r="B2" s="154" t="s">
        <v>114</v>
      </c>
      <c r="C2" s="157" t="s">
        <v>123</v>
      </c>
      <c r="D2" s="157" t="s">
        <v>17</v>
      </c>
      <c r="E2" s="4" t="s">
        <v>36</v>
      </c>
      <c r="F2" s="5" t="s">
        <v>31</v>
      </c>
      <c r="G2" s="4" t="s">
        <v>37</v>
      </c>
      <c r="H2" s="5" t="s">
        <v>31</v>
      </c>
      <c r="I2" s="4" t="s">
        <v>28</v>
      </c>
      <c r="J2" s="4" t="s">
        <v>38</v>
      </c>
      <c r="K2" s="5" t="s">
        <v>31</v>
      </c>
      <c r="L2" s="4" t="s">
        <v>39</v>
      </c>
      <c r="M2" s="5" t="s">
        <v>31</v>
      </c>
      <c r="N2" s="4" t="s">
        <v>40</v>
      </c>
      <c r="O2" s="5" t="s">
        <v>31</v>
      </c>
      <c r="P2" s="4" t="s">
        <v>41</v>
      </c>
      <c r="Q2" s="5" t="s">
        <v>31</v>
      </c>
      <c r="R2" s="4" t="s">
        <v>42</v>
      </c>
      <c r="S2" s="5" t="s">
        <v>31</v>
      </c>
      <c r="T2" s="4" t="s">
        <v>43</v>
      </c>
      <c r="U2" s="5" t="s">
        <v>31</v>
      </c>
      <c r="V2" s="4" t="s">
        <v>44</v>
      </c>
      <c r="W2" s="5" t="s">
        <v>31</v>
      </c>
      <c r="X2" s="4" t="s">
        <v>28</v>
      </c>
      <c r="Y2" s="4" t="s">
        <v>45</v>
      </c>
      <c r="Z2" s="30" t="s">
        <v>46</v>
      </c>
      <c r="AA2" s="30" t="s">
        <v>47</v>
      </c>
    </row>
    <row r="3" spans="1:27" ht="16.5" thickBot="1" x14ac:dyDescent="0.25">
      <c r="A3" s="7" t="s">
        <v>12</v>
      </c>
      <c r="B3" s="154">
        <v>334</v>
      </c>
      <c r="C3" s="154">
        <v>15211</v>
      </c>
      <c r="D3" s="154"/>
      <c r="E3" s="72">
        <v>16039765</v>
      </c>
      <c r="F3" s="73">
        <v>0</v>
      </c>
      <c r="G3" s="72">
        <v>42038210</v>
      </c>
      <c r="H3" s="73">
        <v>0</v>
      </c>
      <c r="I3" s="74">
        <v>0</v>
      </c>
      <c r="J3" s="72">
        <v>3573765</v>
      </c>
      <c r="K3" s="73">
        <v>0</v>
      </c>
      <c r="L3" s="75">
        <v>3771306</v>
      </c>
      <c r="M3" s="73">
        <v>0</v>
      </c>
      <c r="N3" s="72">
        <v>2386621</v>
      </c>
      <c r="O3" s="73">
        <v>0</v>
      </c>
      <c r="P3" s="75">
        <v>4766838</v>
      </c>
      <c r="Q3" s="73">
        <v>0</v>
      </c>
      <c r="R3" s="72">
        <v>9510473</v>
      </c>
      <c r="S3" s="73">
        <v>0</v>
      </c>
      <c r="T3" s="72">
        <v>0</v>
      </c>
      <c r="U3" s="73"/>
      <c r="V3" s="72">
        <v>5950752</v>
      </c>
      <c r="W3" s="73">
        <v>0</v>
      </c>
      <c r="X3" s="74"/>
      <c r="Y3" s="95"/>
      <c r="Z3" s="72"/>
      <c r="AA3" s="72"/>
    </row>
    <row r="4" spans="1:27" ht="16.5" thickBot="1" x14ac:dyDescent="0.25">
      <c r="A4" s="7">
        <v>43525</v>
      </c>
      <c r="B4" s="154">
        <v>334</v>
      </c>
      <c r="C4" s="154">
        <v>15218</v>
      </c>
      <c r="D4" s="154">
        <f>IF((C4-C3)&lt;0,"0",(C4-C3))*160</f>
        <v>1120</v>
      </c>
      <c r="E4" s="72">
        <v>16057419</v>
      </c>
      <c r="F4" s="154">
        <f>IF((E4-E3)&lt;0,"0",(E4-E3))</f>
        <v>17654</v>
      </c>
      <c r="G4" s="72">
        <v>42114542</v>
      </c>
      <c r="H4" s="154">
        <f>IF((G4-G3)&lt;0,"0",(G4-G3))</f>
        <v>76332</v>
      </c>
      <c r="I4" s="74">
        <f t="shared" ref="I4:I35" si="0">F4+H4</f>
        <v>93986</v>
      </c>
      <c r="J4" s="72">
        <v>3581150</v>
      </c>
      <c r="K4" s="154">
        <f>IF((J4-J3)&lt;0,"0",(J4-J3))</f>
        <v>7385</v>
      </c>
      <c r="L4" s="75">
        <v>3779001</v>
      </c>
      <c r="M4" s="154">
        <f>IF((L4-L3)&lt;0,"0",(L4-L3))</f>
        <v>7695</v>
      </c>
      <c r="N4" s="72">
        <v>2391469</v>
      </c>
      <c r="O4" s="154">
        <f>(IF((N4-N3)&lt;0,"0",(N4-N3)))*2</f>
        <v>9696</v>
      </c>
      <c r="P4" s="75">
        <v>4771266</v>
      </c>
      <c r="Q4" s="154">
        <f>IF((P4-P3)&lt;0,"0",(P4-P3))</f>
        <v>4428</v>
      </c>
      <c r="R4" s="72">
        <v>9530221</v>
      </c>
      <c r="S4" s="154">
        <f>IF((R4-R3)&lt;0,"0",(R4-R3))</f>
        <v>19748</v>
      </c>
      <c r="T4" s="72">
        <v>0</v>
      </c>
      <c r="U4" s="73"/>
      <c r="V4" s="72">
        <v>5972301</v>
      </c>
      <c r="W4" s="154">
        <f>IF((V4-V3)&lt;0,"0",(V4-V3))</f>
        <v>21549</v>
      </c>
      <c r="X4" s="74">
        <f t="shared" ref="X4:X31" si="1">K4+M4+O4+Q4+S4+U4+W4</f>
        <v>70501</v>
      </c>
      <c r="Y4" s="95">
        <f t="shared" ref="Y4:Y31" si="2">I4-X4</f>
        <v>23485</v>
      </c>
      <c r="Z4" s="72">
        <f t="shared" ref="Z4:Z34" si="3">(0.93352*(W4+S4)+0.5568*(Q4+O4))*0.26</f>
        <v>12068.112846399999</v>
      </c>
      <c r="AA4" s="72">
        <f>SUM(Z1:Z4)</f>
        <v>12068.112846399999</v>
      </c>
    </row>
    <row r="5" spans="1:27" ht="16.5" thickBot="1" x14ac:dyDescent="0.25">
      <c r="A5" s="7">
        <v>43526</v>
      </c>
      <c r="B5" s="154">
        <v>323</v>
      </c>
      <c r="C5" s="154">
        <v>15221</v>
      </c>
      <c r="D5" s="154">
        <f t="shared" ref="D5:D34" si="4">IF((C5-C4)&lt;0,"0",(C5-C4))*160</f>
        <v>480</v>
      </c>
      <c r="E5" s="72">
        <v>16065965</v>
      </c>
      <c r="F5" s="154">
        <f t="shared" ref="F5:F34" si="5">IF((E5-E4)&lt;0,"0",(E5-E4))</f>
        <v>8546</v>
      </c>
      <c r="G5" s="72">
        <v>42149950</v>
      </c>
      <c r="H5" s="154">
        <f t="shared" ref="H5:H34" si="6">IF((G5-G4)&lt;0,"0",(G5-G4))</f>
        <v>35408</v>
      </c>
      <c r="I5" s="74">
        <f t="shared" si="0"/>
        <v>43954</v>
      </c>
      <c r="J5" s="72">
        <v>3584675</v>
      </c>
      <c r="K5" s="154">
        <f t="shared" ref="K5:K34" si="7">IF((J5-J4)&lt;0,"0",(J5-J4))</f>
        <v>3525</v>
      </c>
      <c r="L5" s="75">
        <v>3782774</v>
      </c>
      <c r="M5" s="154">
        <f t="shared" ref="M5:M34" si="8">IF((L5-L4)&lt;0,"0",(L5-L4))</f>
        <v>3773</v>
      </c>
      <c r="N5" s="72">
        <v>2393805</v>
      </c>
      <c r="O5" s="154">
        <f t="shared" ref="O5:O34" si="9">(IF((N5-N4)&lt;0,"0",(N5-N4)))*2</f>
        <v>4672</v>
      </c>
      <c r="P5" s="75">
        <v>4773350</v>
      </c>
      <c r="Q5" s="154">
        <f t="shared" ref="Q5:Q34" si="10">IF((P5-P4)&lt;0,"0",(P5-P4))</f>
        <v>2084</v>
      </c>
      <c r="R5" s="72">
        <v>9539400</v>
      </c>
      <c r="S5" s="154">
        <f t="shared" ref="S5:S34" si="11">IF((R5-R4)&lt;0,"0",(R5-R4))</f>
        <v>9179</v>
      </c>
      <c r="T5" s="72">
        <v>0</v>
      </c>
      <c r="U5" s="73"/>
      <c r="V5" s="72">
        <v>5982280</v>
      </c>
      <c r="W5" s="154">
        <f t="shared" ref="W5:W34" si="12">IF((V5-V4)&lt;0,"0",(V5-V4))</f>
        <v>9979</v>
      </c>
      <c r="X5" s="74">
        <f t="shared" si="1"/>
        <v>33212</v>
      </c>
      <c r="Y5" s="95">
        <f t="shared" si="2"/>
        <v>10742</v>
      </c>
      <c r="Z5" s="72">
        <f t="shared" si="3"/>
        <v>5627.9904096</v>
      </c>
      <c r="AA5" s="72">
        <f t="shared" ref="AA5:AA34" si="13">SUM(Z2:Z5)</f>
        <v>17696.103255999999</v>
      </c>
    </row>
    <row r="6" spans="1:27" ht="16.5" thickBot="1" x14ac:dyDescent="0.25">
      <c r="A6" s="7">
        <v>43527</v>
      </c>
      <c r="B6" s="154">
        <v>275</v>
      </c>
      <c r="C6" s="154">
        <v>15225</v>
      </c>
      <c r="D6" s="154">
        <f t="shared" si="4"/>
        <v>640</v>
      </c>
      <c r="E6" s="72">
        <v>16078155</v>
      </c>
      <c r="F6" s="154">
        <f t="shared" si="5"/>
        <v>12190</v>
      </c>
      <c r="G6" s="72">
        <v>42201853</v>
      </c>
      <c r="H6" s="154">
        <f t="shared" si="6"/>
        <v>51903</v>
      </c>
      <c r="I6" s="74">
        <f t="shared" si="0"/>
        <v>64093</v>
      </c>
      <c r="J6" s="72">
        <v>3589866</v>
      </c>
      <c r="K6" s="154">
        <f t="shared" si="7"/>
        <v>5191</v>
      </c>
      <c r="L6" s="75">
        <v>3787927</v>
      </c>
      <c r="M6" s="154">
        <f t="shared" si="8"/>
        <v>5153</v>
      </c>
      <c r="N6" s="72">
        <v>2397225</v>
      </c>
      <c r="O6" s="154">
        <f t="shared" si="9"/>
        <v>6840</v>
      </c>
      <c r="P6" s="75">
        <v>4776470</v>
      </c>
      <c r="Q6" s="154">
        <f t="shared" si="10"/>
        <v>3120</v>
      </c>
      <c r="R6" s="72">
        <v>9552504</v>
      </c>
      <c r="S6" s="154">
        <f t="shared" si="11"/>
        <v>13104</v>
      </c>
      <c r="T6" s="72">
        <v>0</v>
      </c>
      <c r="U6" s="73"/>
      <c r="V6" s="72">
        <v>5996909</v>
      </c>
      <c r="W6" s="154">
        <f t="shared" si="12"/>
        <v>14629</v>
      </c>
      <c r="X6" s="74">
        <f t="shared" si="1"/>
        <v>48037</v>
      </c>
      <c r="Y6" s="95">
        <f t="shared" si="2"/>
        <v>16056</v>
      </c>
      <c r="Z6" s="72">
        <f t="shared" si="3"/>
        <v>8173.1099216000002</v>
      </c>
      <c r="AA6" s="72">
        <f t="shared" si="13"/>
        <v>25869.213177599999</v>
      </c>
    </row>
    <row r="7" spans="1:27" ht="16.5" thickBot="1" x14ac:dyDescent="0.25">
      <c r="A7" s="7">
        <v>43528</v>
      </c>
      <c r="B7" s="154">
        <v>300</v>
      </c>
      <c r="C7" s="154">
        <v>15229</v>
      </c>
      <c r="D7" s="154">
        <f t="shared" si="4"/>
        <v>640</v>
      </c>
      <c r="E7" s="72">
        <v>16088221</v>
      </c>
      <c r="F7" s="154">
        <f t="shared" si="5"/>
        <v>10066</v>
      </c>
      <c r="G7" s="72">
        <v>42242382</v>
      </c>
      <c r="H7" s="154">
        <f t="shared" si="6"/>
        <v>40529</v>
      </c>
      <c r="I7" s="74">
        <f t="shared" si="0"/>
        <v>50595</v>
      </c>
      <c r="J7" s="72">
        <v>3593878</v>
      </c>
      <c r="K7" s="154">
        <f t="shared" si="7"/>
        <v>4012</v>
      </c>
      <c r="L7" s="75">
        <v>3792363</v>
      </c>
      <c r="M7" s="154">
        <f t="shared" si="8"/>
        <v>4436</v>
      </c>
      <c r="N7" s="72">
        <v>2399987</v>
      </c>
      <c r="O7" s="154">
        <f t="shared" si="9"/>
        <v>5524</v>
      </c>
      <c r="P7" s="75">
        <v>4778800</v>
      </c>
      <c r="Q7" s="154">
        <f t="shared" si="10"/>
        <v>2330</v>
      </c>
      <c r="R7" s="72">
        <v>9562557</v>
      </c>
      <c r="S7" s="154">
        <f t="shared" si="11"/>
        <v>10053</v>
      </c>
      <c r="T7" s="72">
        <v>0</v>
      </c>
      <c r="U7" s="73"/>
      <c r="V7" s="72">
        <v>6008574</v>
      </c>
      <c r="W7" s="154">
        <f t="shared" si="12"/>
        <v>11665</v>
      </c>
      <c r="X7" s="74">
        <f t="shared" si="1"/>
        <v>38020</v>
      </c>
      <c r="Y7" s="95">
        <f t="shared" si="2"/>
        <v>12575</v>
      </c>
      <c r="Z7" s="72">
        <f t="shared" si="3"/>
        <v>6408.2965856000001</v>
      </c>
      <c r="AA7" s="72">
        <f t="shared" si="13"/>
        <v>32277.5097632</v>
      </c>
    </row>
    <row r="8" spans="1:27" ht="16.5" thickBot="1" x14ac:dyDescent="0.25">
      <c r="A8" s="7">
        <v>43529</v>
      </c>
      <c r="B8" s="154">
        <v>375</v>
      </c>
      <c r="C8" s="154">
        <v>15233</v>
      </c>
      <c r="D8" s="154">
        <f t="shared" si="4"/>
        <v>640</v>
      </c>
      <c r="E8" s="72">
        <v>16097273</v>
      </c>
      <c r="F8" s="154">
        <f t="shared" si="5"/>
        <v>9052</v>
      </c>
      <c r="G8" s="72">
        <v>42286113</v>
      </c>
      <c r="H8" s="154">
        <f t="shared" si="6"/>
        <v>43731</v>
      </c>
      <c r="I8" s="74">
        <f t="shared" si="0"/>
        <v>52783</v>
      </c>
      <c r="J8" s="72">
        <v>3598228</v>
      </c>
      <c r="K8" s="154">
        <f t="shared" si="7"/>
        <v>4350</v>
      </c>
      <c r="L8" s="75">
        <v>3796933</v>
      </c>
      <c r="M8" s="154">
        <f t="shared" si="8"/>
        <v>4570</v>
      </c>
      <c r="N8" s="72">
        <v>2402153</v>
      </c>
      <c r="O8" s="154">
        <f t="shared" si="9"/>
        <v>4332</v>
      </c>
      <c r="P8" s="75">
        <v>4783138</v>
      </c>
      <c r="Q8" s="154">
        <f t="shared" si="10"/>
        <v>4338</v>
      </c>
      <c r="R8" s="72">
        <v>9572947</v>
      </c>
      <c r="S8" s="154">
        <f t="shared" si="11"/>
        <v>10390</v>
      </c>
      <c r="T8" s="72">
        <v>0</v>
      </c>
      <c r="U8" s="73"/>
      <c r="V8" s="72">
        <v>6020511</v>
      </c>
      <c r="W8" s="154">
        <f t="shared" si="12"/>
        <v>11937</v>
      </c>
      <c r="X8" s="74">
        <f t="shared" si="1"/>
        <v>39917</v>
      </c>
      <c r="Y8" s="95">
        <f t="shared" si="2"/>
        <v>12866</v>
      </c>
      <c r="Z8" s="72">
        <f t="shared" si="3"/>
        <v>6674.2408304</v>
      </c>
      <c r="AA8" s="72">
        <f t="shared" si="13"/>
        <v>26883.637747200002</v>
      </c>
    </row>
    <row r="9" spans="1:27" ht="16.5" thickBot="1" x14ac:dyDescent="0.25">
      <c r="A9" s="7">
        <v>43530</v>
      </c>
      <c r="B9" s="154">
        <v>323</v>
      </c>
      <c r="C9" s="154">
        <v>15238</v>
      </c>
      <c r="D9" s="154">
        <f t="shared" si="4"/>
        <v>800</v>
      </c>
      <c r="E9" s="72">
        <v>16102152</v>
      </c>
      <c r="F9" s="154">
        <f t="shared" si="5"/>
        <v>4879</v>
      </c>
      <c r="G9" s="72">
        <v>42322157</v>
      </c>
      <c r="H9" s="154">
        <f t="shared" si="6"/>
        <v>36044</v>
      </c>
      <c r="I9" s="74">
        <f t="shared" si="0"/>
        <v>40923</v>
      </c>
      <c r="J9" s="72">
        <v>3601517</v>
      </c>
      <c r="K9" s="154">
        <f t="shared" si="7"/>
        <v>3289</v>
      </c>
      <c r="L9" s="75">
        <v>3800320</v>
      </c>
      <c r="M9" s="154">
        <f t="shared" si="8"/>
        <v>3387</v>
      </c>
      <c r="N9" s="72">
        <v>2402849</v>
      </c>
      <c r="O9" s="154">
        <f t="shared" si="9"/>
        <v>1392</v>
      </c>
      <c r="P9" s="75">
        <v>4788952</v>
      </c>
      <c r="Q9" s="154">
        <f t="shared" si="10"/>
        <v>5814</v>
      </c>
      <c r="R9" s="72">
        <v>9581013</v>
      </c>
      <c r="S9" s="154">
        <f t="shared" si="11"/>
        <v>8066</v>
      </c>
      <c r="T9" s="72">
        <v>0</v>
      </c>
      <c r="U9" s="73"/>
      <c r="V9" s="72">
        <v>6029682</v>
      </c>
      <c r="W9" s="154">
        <f t="shared" si="12"/>
        <v>9171</v>
      </c>
      <c r="X9" s="74">
        <f t="shared" si="1"/>
        <v>31119</v>
      </c>
      <c r="Y9" s="95">
        <f t="shared" si="2"/>
        <v>9804</v>
      </c>
      <c r="Z9" s="72">
        <f t="shared" si="3"/>
        <v>5226.8801104000004</v>
      </c>
      <c r="AA9" s="72">
        <f t="shared" si="13"/>
        <v>26482.527448000001</v>
      </c>
    </row>
    <row r="10" spans="1:27" ht="16.5" thickBot="1" x14ac:dyDescent="0.25">
      <c r="A10" s="7">
        <v>43531</v>
      </c>
      <c r="B10" s="154">
        <v>357</v>
      </c>
      <c r="C10" s="154">
        <v>15241</v>
      </c>
      <c r="D10" s="154">
        <f t="shared" si="4"/>
        <v>480</v>
      </c>
      <c r="E10" s="72">
        <v>16117814</v>
      </c>
      <c r="F10" s="154">
        <f t="shared" si="5"/>
        <v>15662</v>
      </c>
      <c r="G10" s="72">
        <v>42388933</v>
      </c>
      <c r="H10" s="154">
        <f t="shared" si="6"/>
        <v>66776</v>
      </c>
      <c r="I10" s="74">
        <f t="shared" si="0"/>
        <v>82438</v>
      </c>
      <c r="J10" s="72">
        <v>3607882</v>
      </c>
      <c r="K10" s="154">
        <f t="shared" si="7"/>
        <v>6365</v>
      </c>
      <c r="L10" s="75">
        <v>3809021</v>
      </c>
      <c r="M10" s="154">
        <f t="shared" si="8"/>
        <v>8701</v>
      </c>
      <c r="N10" s="72">
        <v>2406208</v>
      </c>
      <c r="O10" s="154">
        <f t="shared" si="9"/>
        <v>6718</v>
      </c>
      <c r="P10" s="75">
        <v>4797036</v>
      </c>
      <c r="Q10" s="154">
        <f t="shared" si="10"/>
        <v>8084</v>
      </c>
      <c r="R10" s="72">
        <v>9596608</v>
      </c>
      <c r="S10" s="154">
        <f t="shared" si="11"/>
        <v>15595</v>
      </c>
      <c r="T10" s="72">
        <v>0</v>
      </c>
      <c r="U10" s="73"/>
      <c r="V10" s="72">
        <v>6047435</v>
      </c>
      <c r="W10" s="154">
        <f t="shared" si="12"/>
        <v>17753</v>
      </c>
      <c r="X10" s="74">
        <f t="shared" si="1"/>
        <v>63216</v>
      </c>
      <c r="Y10" s="95">
        <f t="shared" si="2"/>
        <v>19222</v>
      </c>
      <c r="Z10" s="72">
        <f t="shared" si="3"/>
        <v>10236.9224256</v>
      </c>
      <c r="AA10" s="72">
        <f t="shared" si="13"/>
        <v>28546.339952000002</v>
      </c>
    </row>
    <row r="11" spans="1:27" ht="16.5" thickBot="1" x14ac:dyDescent="0.25">
      <c r="A11" s="7">
        <v>43532</v>
      </c>
      <c r="B11" s="154">
        <v>361</v>
      </c>
      <c r="C11" s="154">
        <v>15247</v>
      </c>
      <c r="D11" s="154">
        <f t="shared" si="4"/>
        <v>960</v>
      </c>
      <c r="E11" s="72">
        <v>16132664</v>
      </c>
      <c r="F11" s="154">
        <f t="shared" si="5"/>
        <v>14850</v>
      </c>
      <c r="G11" s="72">
        <v>42431393</v>
      </c>
      <c r="H11" s="154">
        <f t="shared" si="6"/>
        <v>42460</v>
      </c>
      <c r="I11" s="74">
        <f t="shared" si="0"/>
        <v>57310</v>
      </c>
      <c r="J11" s="72">
        <v>3611001</v>
      </c>
      <c r="K11" s="154">
        <f t="shared" si="7"/>
        <v>3119</v>
      </c>
      <c r="L11" s="75">
        <v>3815054</v>
      </c>
      <c r="M11" s="154">
        <f t="shared" si="8"/>
        <v>6033</v>
      </c>
      <c r="N11" s="72">
        <v>2410534</v>
      </c>
      <c r="O11" s="154">
        <f t="shared" si="9"/>
        <v>8652</v>
      </c>
      <c r="P11" s="75">
        <v>4799578</v>
      </c>
      <c r="Q11" s="154">
        <f t="shared" si="10"/>
        <v>2542</v>
      </c>
      <c r="R11" s="72">
        <v>9607655</v>
      </c>
      <c r="S11" s="154">
        <f t="shared" si="11"/>
        <v>11047</v>
      </c>
      <c r="T11" s="72">
        <v>0</v>
      </c>
      <c r="U11" s="73"/>
      <c r="V11" s="72">
        <v>6059539</v>
      </c>
      <c r="W11" s="154">
        <f t="shared" si="12"/>
        <v>12104</v>
      </c>
      <c r="X11" s="74">
        <f t="shared" si="1"/>
        <v>43497</v>
      </c>
      <c r="Y11" s="95">
        <f t="shared" si="2"/>
        <v>13813</v>
      </c>
      <c r="Z11" s="72">
        <f t="shared" si="3"/>
        <v>7239.6325872000007</v>
      </c>
      <c r="AA11" s="72">
        <f t="shared" si="13"/>
        <v>29377.675953600003</v>
      </c>
    </row>
    <row r="12" spans="1:27" ht="16.5" thickBot="1" x14ac:dyDescent="0.25">
      <c r="A12" s="7">
        <v>43533</v>
      </c>
      <c r="B12" s="154">
        <v>293</v>
      </c>
      <c r="C12" s="154">
        <v>15250</v>
      </c>
      <c r="D12" s="154">
        <f t="shared" si="4"/>
        <v>480</v>
      </c>
      <c r="E12" s="72">
        <v>16147474</v>
      </c>
      <c r="F12" s="154">
        <f t="shared" si="5"/>
        <v>14810</v>
      </c>
      <c r="G12" s="72">
        <v>42472193</v>
      </c>
      <c r="H12" s="154">
        <f t="shared" si="6"/>
        <v>40800</v>
      </c>
      <c r="I12" s="74">
        <f t="shared" si="0"/>
        <v>55610</v>
      </c>
      <c r="J12" s="72">
        <v>3616036</v>
      </c>
      <c r="K12" s="154">
        <f t="shared" si="7"/>
        <v>5035</v>
      </c>
      <c r="L12" s="75">
        <v>3821283</v>
      </c>
      <c r="M12" s="154">
        <f t="shared" si="8"/>
        <v>6229</v>
      </c>
      <c r="N12" s="72">
        <v>2414757</v>
      </c>
      <c r="O12" s="154">
        <f t="shared" si="9"/>
        <v>8446</v>
      </c>
      <c r="P12" s="75">
        <v>4802072</v>
      </c>
      <c r="Q12" s="154">
        <f t="shared" si="10"/>
        <v>2494</v>
      </c>
      <c r="R12" s="72">
        <v>9618008</v>
      </c>
      <c r="S12" s="154">
        <f t="shared" si="11"/>
        <v>10353</v>
      </c>
      <c r="T12" s="72">
        <v>0</v>
      </c>
      <c r="U12" s="73"/>
      <c r="V12" s="72">
        <v>6071037</v>
      </c>
      <c r="W12" s="154">
        <f t="shared" si="12"/>
        <v>11498</v>
      </c>
      <c r="X12" s="74">
        <f t="shared" si="1"/>
        <v>44055</v>
      </c>
      <c r="Y12" s="95">
        <f t="shared" si="2"/>
        <v>11555</v>
      </c>
      <c r="Z12" s="72">
        <f t="shared" si="3"/>
        <v>6887.3317551999999</v>
      </c>
      <c r="AA12" s="72">
        <f t="shared" si="13"/>
        <v>29590.766878400002</v>
      </c>
    </row>
    <row r="13" spans="1:27" ht="16.5" thickBot="1" x14ac:dyDescent="0.25">
      <c r="A13" s="7">
        <v>43534</v>
      </c>
      <c r="B13" s="154">
        <v>302</v>
      </c>
      <c r="C13" s="154">
        <v>15254</v>
      </c>
      <c r="D13" s="154">
        <f t="shared" si="4"/>
        <v>640</v>
      </c>
      <c r="E13" s="72">
        <v>16164701</v>
      </c>
      <c r="F13" s="154">
        <f t="shared" si="5"/>
        <v>17227</v>
      </c>
      <c r="G13" s="72">
        <v>42524787</v>
      </c>
      <c r="H13" s="154">
        <f t="shared" si="6"/>
        <v>52594</v>
      </c>
      <c r="I13" s="74">
        <f t="shared" si="0"/>
        <v>69821</v>
      </c>
      <c r="J13" s="72">
        <v>3621605</v>
      </c>
      <c r="K13" s="154">
        <f t="shared" si="7"/>
        <v>5569</v>
      </c>
      <c r="L13" s="75">
        <v>3828507</v>
      </c>
      <c r="M13" s="154">
        <f t="shared" si="8"/>
        <v>7224</v>
      </c>
      <c r="N13" s="72">
        <v>2419643</v>
      </c>
      <c r="O13" s="154">
        <f t="shared" si="9"/>
        <v>9772</v>
      </c>
      <c r="P13" s="75">
        <v>4805334</v>
      </c>
      <c r="Q13" s="154">
        <f t="shared" si="10"/>
        <v>3262</v>
      </c>
      <c r="R13" s="72">
        <v>9630880</v>
      </c>
      <c r="S13" s="154">
        <f t="shared" si="11"/>
        <v>12872</v>
      </c>
      <c r="T13" s="72">
        <v>0</v>
      </c>
      <c r="U13" s="73"/>
      <c r="V13" s="72">
        <v>6085922</v>
      </c>
      <c r="W13" s="154">
        <f t="shared" si="12"/>
        <v>14885</v>
      </c>
      <c r="X13" s="74">
        <f t="shared" si="1"/>
        <v>53584</v>
      </c>
      <c r="Y13" s="95">
        <f t="shared" si="2"/>
        <v>16237</v>
      </c>
      <c r="Z13" s="72">
        <f t="shared" si="3"/>
        <v>8623.9519184000001</v>
      </c>
      <c r="AA13" s="72">
        <f t="shared" si="13"/>
        <v>32987.838686399999</v>
      </c>
    </row>
    <row r="14" spans="1:27" ht="16.5" thickBot="1" x14ac:dyDescent="0.25">
      <c r="A14" s="7">
        <v>43535</v>
      </c>
      <c r="B14" s="154">
        <v>353</v>
      </c>
      <c r="C14" s="154">
        <v>15258</v>
      </c>
      <c r="D14" s="154">
        <f t="shared" si="4"/>
        <v>640</v>
      </c>
      <c r="E14" s="72">
        <v>16171697</v>
      </c>
      <c r="F14" s="154">
        <f t="shared" si="5"/>
        <v>6996</v>
      </c>
      <c r="G14" s="72">
        <v>42550025</v>
      </c>
      <c r="H14" s="154">
        <f t="shared" si="6"/>
        <v>25238</v>
      </c>
      <c r="I14" s="74">
        <f t="shared" si="0"/>
        <v>32234</v>
      </c>
      <c r="J14" s="72">
        <v>3624114</v>
      </c>
      <c r="K14" s="154">
        <f t="shared" si="7"/>
        <v>2509</v>
      </c>
      <c r="L14" s="75">
        <v>3832235</v>
      </c>
      <c r="M14" s="154">
        <f t="shared" si="8"/>
        <v>3728</v>
      </c>
      <c r="N14" s="72">
        <v>2421251</v>
      </c>
      <c r="O14" s="154">
        <f t="shared" si="9"/>
        <v>3216</v>
      </c>
      <c r="P14" s="75">
        <v>4808098</v>
      </c>
      <c r="Q14" s="154">
        <f t="shared" si="10"/>
        <v>2764</v>
      </c>
      <c r="R14" s="72">
        <v>9636648</v>
      </c>
      <c r="S14" s="154">
        <f t="shared" si="11"/>
        <v>5768</v>
      </c>
      <c r="T14" s="72">
        <v>0</v>
      </c>
      <c r="U14" s="73"/>
      <c r="V14" s="72">
        <v>6092844</v>
      </c>
      <c r="W14" s="154">
        <f t="shared" si="12"/>
        <v>6922</v>
      </c>
      <c r="X14" s="74">
        <f t="shared" si="1"/>
        <v>24907</v>
      </c>
      <c r="Y14" s="95">
        <f t="shared" si="2"/>
        <v>7327</v>
      </c>
      <c r="Z14" s="72">
        <f t="shared" si="3"/>
        <v>3945.7685280000005</v>
      </c>
      <c r="AA14" s="72">
        <f t="shared" si="13"/>
        <v>26696.684788800001</v>
      </c>
    </row>
    <row r="15" spans="1:27" ht="16.5" thickBot="1" x14ac:dyDescent="0.25">
      <c r="A15" s="7">
        <v>43536</v>
      </c>
      <c r="B15" s="154">
        <v>320</v>
      </c>
      <c r="C15" s="154">
        <v>15263</v>
      </c>
      <c r="D15" s="154">
        <f t="shared" si="4"/>
        <v>800</v>
      </c>
      <c r="E15" s="72">
        <v>16186373</v>
      </c>
      <c r="F15" s="154">
        <f t="shared" si="5"/>
        <v>14676</v>
      </c>
      <c r="G15" s="72">
        <v>42604280</v>
      </c>
      <c r="H15" s="154">
        <f t="shared" si="6"/>
        <v>54255</v>
      </c>
      <c r="I15" s="74">
        <f t="shared" si="0"/>
        <v>68931</v>
      </c>
      <c r="J15" s="72">
        <v>3629984</v>
      </c>
      <c r="K15" s="154">
        <f t="shared" si="7"/>
        <v>5870</v>
      </c>
      <c r="L15" s="75">
        <v>3838279</v>
      </c>
      <c r="M15" s="154">
        <f t="shared" si="8"/>
        <v>6044</v>
      </c>
      <c r="N15" s="72">
        <v>2425479</v>
      </c>
      <c r="O15" s="154">
        <f t="shared" si="9"/>
        <v>8456</v>
      </c>
      <c r="P15" s="75">
        <v>4811126</v>
      </c>
      <c r="Q15" s="154">
        <f t="shared" si="10"/>
        <v>3028</v>
      </c>
      <c r="R15" s="72">
        <v>9649375</v>
      </c>
      <c r="S15" s="154">
        <f t="shared" si="11"/>
        <v>12727</v>
      </c>
      <c r="T15" s="72">
        <v>0</v>
      </c>
      <c r="U15" s="73"/>
      <c r="V15" s="72">
        <v>6108691</v>
      </c>
      <c r="W15" s="154">
        <f t="shared" si="12"/>
        <v>15847</v>
      </c>
      <c r="X15" s="74">
        <f t="shared" si="1"/>
        <v>51972</v>
      </c>
      <c r="Y15" s="95">
        <f t="shared" si="2"/>
        <v>16959</v>
      </c>
      <c r="Z15" s="72">
        <f t="shared" si="3"/>
        <v>8597.8598368000021</v>
      </c>
      <c r="AA15" s="72">
        <f t="shared" si="13"/>
        <v>28054.912038400002</v>
      </c>
    </row>
    <row r="16" spans="1:27" ht="16.5" thickBot="1" x14ac:dyDescent="0.25">
      <c r="A16" s="7">
        <v>43537</v>
      </c>
      <c r="B16" s="154">
        <v>330.19230769230802</v>
      </c>
      <c r="C16" s="154">
        <v>15268</v>
      </c>
      <c r="D16" s="154">
        <f t="shared" si="4"/>
        <v>800</v>
      </c>
      <c r="E16" s="72">
        <v>16201738</v>
      </c>
      <c r="F16" s="154">
        <f t="shared" si="5"/>
        <v>15365</v>
      </c>
      <c r="G16" s="72">
        <v>42649653</v>
      </c>
      <c r="H16" s="154">
        <f t="shared" si="6"/>
        <v>45373</v>
      </c>
      <c r="I16" s="74">
        <f t="shared" si="0"/>
        <v>60738</v>
      </c>
      <c r="J16" s="72">
        <v>3634863</v>
      </c>
      <c r="K16" s="154">
        <f t="shared" si="7"/>
        <v>4879</v>
      </c>
      <c r="L16" s="75">
        <v>3844537</v>
      </c>
      <c r="M16" s="154">
        <f t="shared" si="8"/>
        <v>6258</v>
      </c>
      <c r="N16" s="72">
        <v>2429832</v>
      </c>
      <c r="O16" s="154">
        <f t="shared" si="9"/>
        <v>8706</v>
      </c>
      <c r="P16" s="75">
        <v>4813789</v>
      </c>
      <c r="Q16" s="154">
        <f t="shared" si="10"/>
        <v>2663</v>
      </c>
      <c r="R16" s="72">
        <v>9660591</v>
      </c>
      <c r="S16" s="154">
        <f t="shared" si="11"/>
        <v>11216</v>
      </c>
      <c r="T16" s="72">
        <v>0</v>
      </c>
      <c r="U16" s="73"/>
      <c r="V16" s="72">
        <v>6121634</v>
      </c>
      <c r="W16" s="154">
        <f t="shared" si="12"/>
        <v>12943</v>
      </c>
      <c r="X16" s="74">
        <f t="shared" si="1"/>
        <v>46665</v>
      </c>
      <c r="Y16" s="95">
        <f t="shared" si="2"/>
        <v>14073</v>
      </c>
      <c r="Z16" s="72">
        <f t="shared" si="3"/>
        <v>7509.6239088000002</v>
      </c>
      <c r="AA16" s="72">
        <f t="shared" si="13"/>
        <v>28677.204192000005</v>
      </c>
    </row>
    <row r="17" spans="1:27" ht="16.5" thickBot="1" x14ac:dyDescent="0.25">
      <c r="A17" s="7">
        <v>43538</v>
      </c>
      <c r="B17" s="154">
        <v>330.65934065934101</v>
      </c>
      <c r="C17" s="154">
        <v>15273</v>
      </c>
      <c r="D17" s="154">
        <f t="shared" si="4"/>
        <v>800</v>
      </c>
      <c r="E17" s="72">
        <v>16213018</v>
      </c>
      <c r="F17" s="154">
        <f t="shared" si="5"/>
        <v>11280</v>
      </c>
      <c r="G17" s="72">
        <v>42693727</v>
      </c>
      <c r="H17" s="154">
        <f t="shared" si="6"/>
        <v>44074</v>
      </c>
      <c r="I17" s="74">
        <f t="shared" si="0"/>
        <v>55354</v>
      </c>
      <c r="J17" s="72">
        <v>3640109</v>
      </c>
      <c r="K17" s="154">
        <f t="shared" si="7"/>
        <v>5246</v>
      </c>
      <c r="L17" s="75">
        <v>3849297</v>
      </c>
      <c r="M17" s="154">
        <f t="shared" si="8"/>
        <v>4760</v>
      </c>
      <c r="N17" s="72">
        <v>2433136</v>
      </c>
      <c r="O17" s="154">
        <f t="shared" si="9"/>
        <v>6608</v>
      </c>
      <c r="P17" s="75">
        <v>4816408</v>
      </c>
      <c r="Q17" s="154">
        <f t="shared" si="10"/>
        <v>2619</v>
      </c>
      <c r="R17" s="72">
        <v>9671021</v>
      </c>
      <c r="S17" s="154">
        <f t="shared" si="11"/>
        <v>10430</v>
      </c>
      <c r="T17" s="72">
        <v>0</v>
      </c>
      <c r="U17" s="73"/>
      <c r="V17" s="72">
        <v>6134176</v>
      </c>
      <c r="W17" s="154">
        <f t="shared" si="12"/>
        <v>12542</v>
      </c>
      <c r="X17" s="74">
        <f t="shared" si="1"/>
        <v>42205</v>
      </c>
      <c r="Y17" s="95">
        <f t="shared" si="2"/>
        <v>13149</v>
      </c>
      <c r="Z17" s="72">
        <f t="shared" si="3"/>
        <v>6911.4279103999997</v>
      </c>
      <c r="AA17" s="72">
        <f t="shared" si="13"/>
        <v>26964.680184000004</v>
      </c>
    </row>
    <row r="18" spans="1:27" ht="16.5" thickBot="1" x14ac:dyDescent="0.25">
      <c r="A18" s="7">
        <v>43539</v>
      </c>
      <c r="B18" s="154">
        <v>331.126373626374</v>
      </c>
      <c r="C18" s="154">
        <v>15277</v>
      </c>
      <c r="D18" s="154">
        <f t="shared" si="4"/>
        <v>640</v>
      </c>
      <c r="E18" s="72">
        <v>16226341</v>
      </c>
      <c r="F18" s="154">
        <f t="shared" si="5"/>
        <v>13323</v>
      </c>
      <c r="G18" s="72">
        <v>42751114</v>
      </c>
      <c r="H18" s="154">
        <f t="shared" si="6"/>
        <v>57387</v>
      </c>
      <c r="I18" s="74">
        <f t="shared" si="0"/>
        <v>70710</v>
      </c>
      <c r="J18" s="72">
        <v>3646615</v>
      </c>
      <c r="K18" s="154">
        <f t="shared" si="7"/>
        <v>6506</v>
      </c>
      <c r="L18" s="75">
        <v>3854607</v>
      </c>
      <c r="M18" s="154">
        <f t="shared" si="8"/>
        <v>5310</v>
      </c>
      <c r="N18" s="72">
        <v>2437040</v>
      </c>
      <c r="O18" s="154">
        <f t="shared" si="9"/>
        <v>7808</v>
      </c>
      <c r="P18" s="75">
        <v>4819712</v>
      </c>
      <c r="Q18" s="154">
        <f t="shared" si="10"/>
        <v>3304</v>
      </c>
      <c r="R18" s="72">
        <v>9684570</v>
      </c>
      <c r="S18" s="154">
        <f t="shared" si="11"/>
        <v>13549</v>
      </c>
      <c r="T18" s="72">
        <v>0</v>
      </c>
      <c r="U18" s="73"/>
      <c r="V18" s="72">
        <v>6150702</v>
      </c>
      <c r="W18" s="154">
        <f t="shared" si="12"/>
        <v>16526</v>
      </c>
      <c r="X18" s="74">
        <f t="shared" si="1"/>
        <v>53003</v>
      </c>
      <c r="Y18" s="95">
        <f t="shared" si="2"/>
        <v>17707</v>
      </c>
      <c r="Z18" s="72">
        <f t="shared" si="3"/>
        <v>8908.3216560000001</v>
      </c>
      <c r="AA18" s="72">
        <f t="shared" si="13"/>
        <v>31927.233312000004</v>
      </c>
    </row>
    <row r="19" spans="1:27" ht="16.5" thickBot="1" x14ac:dyDescent="0.25">
      <c r="A19" s="7">
        <v>43540</v>
      </c>
      <c r="B19" s="154">
        <v>331.593406593407</v>
      </c>
      <c r="C19" s="154">
        <v>15282</v>
      </c>
      <c r="D19" s="154">
        <f t="shared" si="4"/>
        <v>800</v>
      </c>
      <c r="E19" s="72">
        <v>16235711</v>
      </c>
      <c r="F19" s="154">
        <f t="shared" si="5"/>
        <v>9370</v>
      </c>
      <c r="G19" s="72">
        <v>42786121</v>
      </c>
      <c r="H19" s="154">
        <f t="shared" si="6"/>
        <v>35007</v>
      </c>
      <c r="I19" s="74">
        <f t="shared" si="0"/>
        <v>44377</v>
      </c>
      <c r="J19" s="72">
        <v>3650218</v>
      </c>
      <c r="K19" s="154">
        <f t="shared" si="7"/>
        <v>3603</v>
      </c>
      <c r="L19" s="75">
        <v>3858654</v>
      </c>
      <c r="M19" s="154">
        <f t="shared" si="8"/>
        <v>4047</v>
      </c>
      <c r="N19" s="174">
        <v>2439900</v>
      </c>
      <c r="O19" s="154">
        <f t="shared" si="9"/>
        <v>5720</v>
      </c>
      <c r="P19" s="75">
        <v>4821855</v>
      </c>
      <c r="Q19" s="154">
        <f t="shared" si="10"/>
        <v>2143</v>
      </c>
      <c r="R19" s="72">
        <v>9693459</v>
      </c>
      <c r="S19" s="154">
        <f t="shared" si="11"/>
        <v>8889</v>
      </c>
      <c r="T19" s="72">
        <v>0</v>
      </c>
      <c r="U19" s="73"/>
      <c r="V19" s="72">
        <v>6160657</v>
      </c>
      <c r="W19" s="154">
        <f t="shared" si="12"/>
        <v>9955</v>
      </c>
      <c r="X19" s="74">
        <f t="shared" si="1"/>
        <v>34357</v>
      </c>
      <c r="Y19" s="95">
        <f t="shared" si="2"/>
        <v>10020</v>
      </c>
      <c r="Z19" s="72">
        <f t="shared" si="3"/>
        <v>5712.0360128000002</v>
      </c>
      <c r="AA19" s="72">
        <f t="shared" si="13"/>
        <v>29041.409488000001</v>
      </c>
    </row>
    <row r="20" spans="1:27" ht="16.5" thickBot="1" x14ac:dyDescent="0.25">
      <c r="A20" s="7">
        <v>43541</v>
      </c>
      <c r="B20" s="154">
        <v>332.06043956043999</v>
      </c>
      <c r="C20" s="154">
        <v>15285</v>
      </c>
      <c r="D20" s="154">
        <f>IF((C20-C19)&lt;0,"0",(C20-C19))*160</f>
        <v>480</v>
      </c>
      <c r="E20" s="72">
        <v>16246301</v>
      </c>
      <c r="F20" s="154">
        <f t="shared" si="5"/>
        <v>10590</v>
      </c>
      <c r="G20" s="72">
        <v>42834170</v>
      </c>
      <c r="H20" s="154">
        <f t="shared" si="6"/>
        <v>48049</v>
      </c>
      <c r="I20" s="74">
        <f t="shared" si="0"/>
        <v>58639</v>
      </c>
      <c r="J20" s="72">
        <v>3655060</v>
      </c>
      <c r="K20" s="154">
        <f t="shared" si="7"/>
        <v>4842</v>
      </c>
      <c r="L20" s="75">
        <v>3863012</v>
      </c>
      <c r="M20" s="154">
        <f t="shared" si="8"/>
        <v>4358</v>
      </c>
      <c r="N20" s="72">
        <v>2442690</v>
      </c>
      <c r="O20" s="154">
        <f t="shared" si="9"/>
        <v>5580</v>
      </c>
      <c r="P20" s="75">
        <v>4824732</v>
      </c>
      <c r="Q20" s="154">
        <f t="shared" si="10"/>
        <v>2877</v>
      </c>
      <c r="R20" s="72">
        <v>9705371</v>
      </c>
      <c r="S20" s="154">
        <f t="shared" si="11"/>
        <v>11912</v>
      </c>
      <c r="T20" s="72">
        <v>0</v>
      </c>
      <c r="U20" s="73"/>
      <c r="V20" s="72">
        <v>6174332</v>
      </c>
      <c r="W20" s="154">
        <f t="shared" si="12"/>
        <v>13675</v>
      </c>
      <c r="X20" s="74">
        <f t="shared" si="1"/>
        <v>43244</v>
      </c>
      <c r="Y20" s="95">
        <f t="shared" si="2"/>
        <v>15395</v>
      </c>
      <c r="Z20" s="72">
        <f t="shared" si="3"/>
        <v>7434.6567984000003</v>
      </c>
      <c r="AA20" s="72">
        <f t="shared" si="13"/>
        <v>28966.4423776</v>
      </c>
    </row>
    <row r="21" spans="1:27" ht="16.5" thickBot="1" x14ac:dyDescent="0.25">
      <c r="A21" s="7">
        <v>43542</v>
      </c>
      <c r="B21" s="154">
        <v>332.52747252747298</v>
      </c>
      <c r="C21" s="154">
        <v>15289</v>
      </c>
      <c r="D21" s="154">
        <f>IF((C21-C20)&lt;0,"0",(C21-C20))*160</f>
        <v>640</v>
      </c>
      <c r="E21" s="72">
        <v>16256457</v>
      </c>
      <c r="F21" s="154">
        <f t="shared" si="5"/>
        <v>10156</v>
      </c>
      <c r="G21" s="72">
        <v>42875373</v>
      </c>
      <c r="H21" s="154">
        <f t="shared" si="6"/>
        <v>41203</v>
      </c>
      <c r="I21" s="74">
        <f t="shared" si="0"/>
        <v>51359</v>
      </c>
      <c r="J21" s="72">
        <v>3659464</v>
      </c>
      <c r="K21" s="154">
        <f t="shared" si="7"/>
        <v>4404</v>
      </c>
      <c r="L21" s="75">
        <v>3867060</v>
      </c>
      <c r="M21" s="154">
        <f t="shared" si="8"/>
        <v>4048</v>
      </c>
      <c r="N21" s="72">
        <v>2445677</v>
      </c>
      <c r="O21" s="154">
        <f t="shared" si="9"/>
        <v>5974</v>
      </c>
      <c r="P21" s="75">
        <v>4827149</v>
      </c>
      <c r="Q21" s="154">
        <f t="shared" si="10"/>
        <v>2417</v>
      </c>
      <c r="R21" s="72">
        <v>9715600</v>
      </c>
      <c r="S21" s="154">
        <f t="shared" si="11"/>
        <v>10229</v>
      </c>
      <c r="T21" s="72">
        <v>0</v>
      </c>
      <c r="U21" s="73"/>
      <c r="V21" s="72">
        <v>6185959</v>
      </c>
      <c r="W21" s="154">
        <f t="shared" si="12"/>
        <v>11627</v>
      </c>
      <c r="X21" s="74">
        <f t="shared" si="1"/>
        <v>38699</v>
      </c>
      <c r="Y21" s="95">
        <f t="shared" si="2"/>
        <v>12660</v>
      </c>
      <c r="Z21" s="72">
        <f t="shared" si="3"/>
        <v>6519.5316991999998</v>
      </c>
      <c r="AA21" s="72">
        <f t="shared" si="13"/>
        <v>28574.546166399999</v>
      </c>
    </row>
    <row r="22" spans="1:27" ht="16.5" thickBot="1" x14ac:dyDescent="0.25">
      <c r="A22" s="7">
        <v>43543</v>
      </c>
      <c r="B22" s="154">
        <v>332.99450549450597</v>
      </c>
      <c r="C22" s="154">
        <v>15294</v>
      </c>
      <c r="D22" s="154">
        <f>IF((C22-C21)&lt;0,"0",(C22-C21))*160</f>
        <v>800</v>
      </c>
      <c r="E22" s="72">
        <v>16270113</v>
      </c>
      <c r="F22" s="154">
        <f t="shared" si="5"/>
        <v>13656</v>
      </c>
      <c r="G22" s="72">
        <v>42928808</v>
      </c>
      <c r="H22" s="154">
        <f t="shared" si="6"/>
        <v>53435</v>
      </c>
      <c r="I22" s="74">
        <f t="shared" si="0"/>
        <v>67091</v>
      </c>
      <c r="J22" s="72">
        <v>3665102</v>
      </c>
      <c r="K22" s="154">
        <f t="shared" si="7"/>
        <v>5638</v>
      </c>
      <c r="L22" s="75">
        <v>3872703</v>
      </c>
      <c r="M22" s="154">
        <f t="shared" si="8"/>
        <v>5643</v>
      </c>
      <c r="N22" s="72">
        <v>2449601</v>
      </c>
      <c r="O22" s="154">
        <f t="shared" si="9"/>
        <v>7848</v>
      </c>
      <c r="P22" s="75">
        <v>4830346</v>
      </c>
      <c r="Q22" s="154">
        <f t="shared" si="10"/>
        <v>3197</v>
      </c>
      <c r="R22" s="72">
        <v>9728629</v>
      </c>
      <c r="S22" s="154">
        <f t="shared" si="11"/>
        <v>13029</v>
      </c>
      <c r="T22" s="72">
        <v>0</v>
      </c>
      <c r="U22" s="73"/>
      <c r="V22" s="72">
        <v>6201049</v>
      </c>
      <c r="W22" s="154">
        <f t="shared" si="12"/>
        <v>15090</v>
      </c>
      <c r="X22" s="74">
        <f t="shared" si="1"/>
        <v>50445</v>
      </c>
      <c r="Y22" s="95">
        <f t="shared" si="2"/>
        <v>16646</v>
      </c>
      <c r="Z22" s="72">
        <f t="shared" si="3"/>
        <v>8423.8712687999996</v>
      </c>
      <c r="AA22" s="72">
        <f t="shared" si="13"/>
        <v>28090.095779199997</v>
      </c>
    </row>
    <row r="23" spans="1:27" ht="16.5" thickBot="1" x14ac:dyDescent="0.25">
      <c r="A23" s="7">
        <v>43544</v>
      </c>
      <c r="B23" s="154">
        <v>333.461538461538</v>
      </c>
      <c r="C23" s="154">
        <v>15297</v>
      </c>
      <c r="D23" s="154">
        <f t="shared" si="4"/>
        <v>480</v>
      </c>
      <c r="E23" s="72">
        <v>16280986</v>
      </c>
      <c r="F23" s="154">
        <f t="shared" si="5"/>
        <v>10873</v>
      </c>
      <c r="G23" s="72">
        <v>42971428</v>
      </c>
      <c r="H23" s="154">
        <f t="shared" si="6"/>
        <v>42620</v>
      </c>
      <c r="I23" s="74">
        <f t="shared" si="0"/>
        <v>53493</v>
      </c>
      <c r="J23" s="72">
        <v>3669490</v>
      </c>
      <c r="K23" s="154">
        <f t="shared" si="7"/>
        <v>4388</v>
      </c>
      <c r="L23" s="75">
        <v>3877167</v>
      </c>
      <c r="M23" s="154">
        <f t="shared" si="8"/>
        <v>4464</v>
      </c>
      <c r="N23" s="72">
        <v>2452728</v>
      </c>
      <c r="O23" s="154">
        <f t="shared" si="9"/>
        <v>6254</v>
      </c>
      <c r="P23" s="75">
        <v>4832954</v>
      </c>
      <c r="Q23" s="154">
        <f t="shared" si="10"/>
        <v>2608</v>
      </c>
      <c r="R23" s="72">
        <v>9739000</v>
      </c>
      <c r="S23" s="154">
        <f t="shared" si="11"/>
        <v>10371</v>
      </c>
      <c r="T23" s="72">
        <v>0</v>
      </c>
      <c r="U23" s="73"/>
      <c r="V23" s="72">
        <v>6213122</v>
      </c>
      <c r="W23" s="154">
        <f t="shared" si="12"/>
        <v>12073</v>
      </c>
      <c r="X23" s="74">
        <f t="shared" si="1"/>
        <v>40158</v>
      </c>
      <c r="Y23" s="95">
        <f t="shared" si="2"/>
        <v>13335</v>
      </c>
      <c r="Z23" s="72">
        <f t="shared" si="3"/>
        <v>6730.4339648000005</v>
      </c>
      <c r="AA23" s="72">
        <f t="shared" si="13"/>
        <v>29108.493731200004</v>
      </c>
    </row>
    <row r="24" spans="1:27" ht="16.5" thickBot="1" x14ac:dyDescent="0.25">
      <c r="A24" s="7">
        <v>43545</v>
      </c>
      <c r="B24" s="154">
        <v>333.92857142857099</v>
      </c>
      <c r="C24" s="154">
        <v>15302</v>
      </c>
      <c r="D24" s="154">
        <f t="shared" si="4"/>
        <v>800</v>
      </c>
      <c r="E24" s="72">
        <v>16298849</v>
      </c>
      <c r="F24" s="154">
        <f t="shared" si="5"/>
        <v>17863</v>
      </c>
      <c r="G24" s="72">
        <v>43021697</v>
      </c>
      <c r="H24" s="154">
        <f t="shared" si="6"/>
        <v>50269</v>
      </c>
      <c r="I24" s="74">
        <f t="shared" si="0"/>
        <v>68132</v>
      </c>
      <c r="J24" s="72">
        <v>3674719</v>
      </c>
      <c r="K24" s="154">
        <f t="shared" si="7"/>
        <v>5229</v>
      </c>
      <c r="L24" s="75">
        <v>3884319</v>
      </c>
      <c r="M24" s="154">
        <f t="shared" si="8"/>
        <v>7152</v>
      </c>
      <c r="N24" s="72">
        <v>2457996</v>
      </c>
      <c r="O24" s="154">
        <f t="shared" si="9"/>
        <v>10536</v>
      </c>
      <c r="P24" s="75">
        <v>4836002</v>
      </c>
      <c r="Q24" s="154">
        <f t="shared" si="10"/>
        <v>3048</v>
      </c>
      <c r="R24" s="72">
        <v>9751247</v>
      </c>
      <c r="S24" s="154">
        <f t="shared" si="11"/>
        <v>12247</v>
      </c>
      <c r="T24" s="72">
        <v>0</v>
      </c>
      <c r="U24" s="73"/>
      <c r="V24" s="72">
        <v>6227459</v>
      </c>
      <c r="W24" s="154">
        <f t="shared" si="12"/>
        <v>14337</v>
      </c>
      <c r="X24" s="74">
        <f t="shared" si="1"/>
        <v>52549</v>
      </c>
      <c r="Y24" s="95">
        <f t="shared" si="2"/>
        <v>15583</v>
      </c>
      <c r="Z24" s="72">
        <f t="shared" si="3"/>
        <v>8418.8693887999998</v>
      </c>
      <c r="AA24" s="72">
        <f t="shared" si="13"/>
        <v>30092.706321599995</v>
      </c>
    </row>
    <row r="25" spans="1:27" ht="16.5" thickBot="1" x14ac:dyDescent="0.25">
      <c r="A25" s="7">
        <v>43546</v>
      </c>
      <c r="B25" s="154">
        <v>364</v>
      </c>
      <c r="C25" s="154">
        <v>15306</v>
      </c>
      <c r="D25" s="154">
        <f t="shared" si="4"/>
        <v>640</v>
      </c>
      <c r="E25" s="72">
        <v>16310852</v>
      </c>
      <c r="F25" s="154">
        <f t="shared" si="5"/>
        <v>12003</v>
      </c>
      <c r="G25" s="72">
        <v>43071363</v>
      </c>
      <c r="H25" s="154">
        <f t="shared" si="6"/>
        <v>49666</v>
      </c>
      <c r="I25" s="74">
        <f t="shared" si="0"/>
        <v>61669</v>
      </c>
      <c r="J25" s="72">
        <v>3679094</v>
      </c>
      <c r="K25" s="154">
        <f t="shared" si="7"/>
        <v>4375</v>
      </c>
      <c r="L25" s="75">
        <v>3888622</v>
      </c>
      <c r="M25" s="154">
        <f t="shared" si="8"/>
        <v>4303</v>
      </c>
      <c r="N25" s="72">
        <v>2461749</v>
      </c>
      <c r="O25" s="154">
        <f t="shared" si="9"/>
        <v>7506</v>
      </c>
      <c r="P25" s="75">
        <v>4839050</v>
      </c>
      <c r="Q25" s="154">
        <f t="shared" si="10"/>
        <v>3048</v>
      </c>
      <c r="R25" s="72">
        <v>9763560</v>
      </c>
      <c r="S25" s="154">
        <f t="shared" si="11"/>
        <v>12313</v>
      </c>
      <c r="T25" s="72">
        <v>0</v>
      </c>
      <c r="U25" s="73"/>
      <c r="V25" s="72">
        <v>6241830</v>
      </c>
      <c r="W25" s="154">
        <f t="shared" si="12"/>
        <v>14371</v>
      </c>
      <c r="X25" s="74">
        <f t="shared" si="1"/>
        <v>45916</v>
      </c>
      <c r="Y25" s="95">
        <f t="shared" si="2"/>
        <v>15753</v>
      </c>
      <c r="Z25" s="72">
        <f t="shared" si="3"/>
        <v>8004.4938688000002</v>
      </c>
      <c r="AA25" s="72">
        <f t="shared" si="13"/>
        <v>31577.668491200002</v>
      </c>
    </row>
    <row r="26" spans="1:27" ht="16.5" thickBot="1" x14ac:dyDescent="0.25">
      <c r="A26" s="7">
        <v>43547</v>
      </c>
      <c r="B26" s="154">
        <v>349</v>
      </c>
      <c r="C26" s="154">
        <v>15310</v>
      </c>
      <c r="D26" s="154">
        <f t="shared" si="4"/>
        <v>640</v>
      </c>
      <c r="E26" s="72">
        <v>16322046</v>
      </c>
      <c r="F26" s="154">
        <f t="shared" si="5"/>
        <v>11194</v>
      </c>
      <c r="G26" s="72">
        <v>43106242</v>
      </c>
      <c r="H26" s="154">
        <f t="shared" si="6"/>
        <v>34879</v>
      </c>
      <c r="I26" s="74">
        <f t="shared" si="0"/>
        <v>46073</v>
      </c>
      <c r="J26" s="72">
        <v>3682550</v>
      </c>
      <c r="K26" s="154">
        <f t="shared" si="7"/>
        <v>3456</v>
      </c>
      <c r="L26" s="75">
        <v>3893137</v>
      </c>
      <c r="M26" s="154">
        <f t="shared" si="8"/>
        <v>4515</v>
      </c>
      <c r="N26" s="72">
        <v>2465035</v>
      </c>
      <c r="O26" s="154">
        <f t="shared" si="9"/>
        <v>6572</v>
      </c>
      <c r="P26" s="75">
        <v>4841341</v>
      </c>
      <c r="Q26" s="154">
        <f t="shared" si="10"/>
        <v>2291</v>
      </c>
      <c r="R26" s="72">
        <v>9771840</v>
      </c>
      <c r="S26" s="154">
        <f t="shared" si="11"/>
        <v>8280</v>
      </c>
      <c r="T26" s="72">
        <v>0</v>
      </c>
      <c r="U26" s="73"/>
      <c r="V26" s="72">
        <v>6251883</v>
      </c>
      <c r="W26" s="154">
        <f t="shared" si="12"/>
        <v>10053</v>
      </c>
      <c r="X26" s="74">
        <f t="shared" si="1"/>
        <v>35167</v>
      </c>
      <c r="Y26" s="95">
        <f t="shared" si="2"/>
        <v>10906</v>
      </c>
      <c r="Z26" s="72">
        <f t="shared" si="3"/>
        <v>5732.7765455999997</v>
      </c>
      <c r="AA26" s="72">
        <f t="shared" si="13"/>
        <v>28886.573768000002</v>
      </c>
    </row>
    <row r="27" spans="1:27" ht="16.5" thickBot="1" x14ac:dyDescent="0.25">
      <c r="A27" s="7">
        <v>43548</v>
      </c>
      <c r="B27" s="154">
        <v>326</v>
      </c>
      <c r="C27" s="154">
        <v>15314</v>
      </c>
      <c r="D27" s="154">
        <f t="shared" si="4"/>
        <v>640</v>
      </c>
      <c r="E27" s="72">
        <v>16331736</v>
      </c>
      <c r="F27" s="154">
        <f t="shared" si="5"/>
        <v>9690</v>
      </c>
      <c r="G27" s="72">
        <v>43170306</v>
      </c>
      <c r="H27" s="154">
        <f t="shared" si="6"/>
        <v>64064</v>
      </c>
      <c r="I27" s="74">
        <f t="shared" si="0"/>
        <v>73754</v>
      </c>
      <c r="J27" s="72">
        <v>3688295</v>
      </c>
      <c r="K27" s="154">
        <f t="shared" si="7"/>
        <v>5745</v>
      </c>
      <c r="L27" s="75">
        <v>3899803</v>
      </c>
      <c r="M27" s="154">
        <f t="shared" si="8"/>
        <v>6666</v>
      </c>
      <c r="N27" s="72">
        <v>2466466</v>
      </c>
      <c r="O27" s="154">
        <f t="shared" si="9"/>
        <v>2862</v>
      </c>
      <c r="P27" s="75">
        <v>4852812</v>
      </c>
      <c r="Q27" s="154">
        <f t="shared" si="10"/>
        <v>11471</v>
      </c>
      <c r="R27" s="72">
        <v>9785369</v>
      </c>
      <c r="S27" s="154">
        <f t="shared" si="11"/>
        <v>13529</v>
      </c>
      <c r="T27" s="72">
        <v>0</v>
      </c>
      <c r="U27" s="73"/>
      <c r="V27" s="72">
        <v>6267887</v>
      </c>
      <c r="W27" s="154">
        <f t="shared" si="12"/>
        <v>16004</v>
      </c>
      <c r="X27" s="74">
        <f t="shared" si="1"/>
        <v>56277</v>
      </c>
      <c r="Y27" s="95">
        <f t="shared" si="2"/>
        <v>17477</v>
      </c>
      <c r="Z27" s="72">
        <f t="shared" si="3"/>
        <v>9243.0677456000012</v>
      </c>
      <c r="AA27" s="72">
        <f t="shared" si="13"/>
        <v>31399.207548800001</v>
      </c>
    </row>
    <row r="28" spans="1:27" ht="16.5" thickBot="1" x14ac:dyDescent="0.25">
      <c r="A28" s="7">
        <v>43549</v>
      </c>
      <c r="B28" s="154">
        <v>328</v>
      </c>
      <c r="C28" s="154">
        <v>15318</v>
      </c>
      <c r="D28" s="154">
        <f t="shared" si="4"/>
        <v>640</v>
      </c>
      <c r="E28" s="72">
        <v>16337173</v>
      </c>
      <c r="F28" s="154">
        <f t="shared" si="5"/>
        <v>5437</v>
      </c>
      <c r="G28" s="72">
        <v>43217169</v>
      </c>
      <c r="H28" s="154">
        <f t="shared" si="6"/>
        <v>46863</v>
      </c>
      <c r="I28" s="74">
        <f t="shared" si="0"/>
        <v>52300</v>
      </c>
      <c r="J28" s="72">
        <v>3692748</v>
      </c>
      <c r="K28" s="154">
        <f t="shared" si="7"/>
        <v>4453</v>
      </c>
      <c r="L28" s="75">
        <v>3904047</v>
      </c>
      <c r="M28" s="154">
        <f t="shared" si="8"/>
        <v>4244</v>
      </c>
      <c r="N28" s="72">
        <v>2467002</v>
      </c>
      <c r="O28" s="154">
        <f t="shared" si="9"/>
        <v>1072</v>
      </c>
      <c r="P28" s="75">
        <v>4861145</v>
      </c>
      <c r="Q28" s="154">
        <f t="shared" si="10"/>
        <v>8333</v>
      </c>
      <c r="R28" s="72">
        <v>9795575</v>
      </c>
      <c r="S28" s="154">
        <f t="shared" si="11"/>
        <v>10206</v>
      </c>
      <c r="T28" s="72">
        <v>0</v>
      </c>
      <c r="U28" s="73"/>
      <c r="V28" s="72">
        <v>6279364</v>
      </c>
      <c r="W28" s="154">
        <f t="shared" si="12"/>
        <v>11477</v>
      </c>
      <c r="X28" s="74">
        <f t="shared" si="1"/>
        <v>39785</v>
      </c>
      <c r="Y28" s="95">
        <f t="shared" si="2"/>
        <v>12515</v>
      </c>
      <c r="Z28" s="72">
        <f t="shared" si="3"/>
        <v>6624.3367215999997</v>
      </c>
      <c r="AA28" s="72">
        <f t="shared" si="13"/>
        <v>29604.6748816</v>
      </c>
    </row>
    <row r="29" spans="1:27" ht="16.5" thickBot="1" x14ac:dyDescent="0.25">
      <c r="A29" s="7">
        <v>43550</v>
      </c>
      <c r="B29" s="154">
        <v>346</v>
      </c>
      <c r="C29" s="154">
        <v>15321</v>
      </c>
      <c r="D29" s="154">
        <f t="shared" si="4"/>
        <v>480</v>
      </c>
      <c r="E29" s="72">
        <v>16343276</v>
      </c>
      <c r="F29" s="154">
        <f t="shared" si="5"/>
        <v>6103</v>
      </c>
      <c r="G29" s="72">
        <v>43268369</v>
      </c>
      <c r="H29" s="154">
        <f t="shared" si="6"/>
        <v>51200</v>
      </c>
      <c r="I29" s="74">
        <f t="shared" si="0"/>
        <v>57303</v>
      </c>
      <c r="J29" s="72">
        <v>3697366</v>
      </c>
      <c r="K29" s="154">
        <f t="shared" si="7"/>
        <v>4618</v>
      </c>
      <c r="L29" s="75">
        <v>3908844</v>
      </c>
      <c r="M29" s="154">
        <f t="shared" si="8"/>
        <v>4797</v>
      </c>
      <c r="N29" s="72">
        <v>2467592</v>
      </c>
      <c r="O29" s="154">
        <f t="shared" si="9"/>
        <v>1180</v>
      </c>
      <c r="P29" s="75">
        <v>4870732</v>
      </c>
      <c r="Q29" s="154">
        <f t="shared" si="10"/>
        <v>9587</v>
      </c>
      <c r="R29" s="72">
        <v>9806269</v>
      </c>
      <c r="S29" s="154">
        <f t="shared" si="11"/>
        <v>10694</v>
      </c>
      <c r="T29" s="72">
        <v>0</v>
      </c>
      <c r="U29" s="73"/>
      <c r="V29" s="72">
        <v>6291933</v>
      </c>
      <c r="W29" s="154">
        <f t="shared" si="12"/>
        <v>12569</v>
      </c>
      <c r="X29" s="74">
        <f t="shared" si="1"/>
        <v>43445</v>
      </c>
      <c r="Y29" s="95">
        <f t="shared" si="2"/>
        <v>13858</v>
      </c>
      <c r="Z29" s="72">
        <f t="shared" si="3"/>
        <v>7205.0007536000012</v>
      </c>
      <c r="AA29" s="72">
        <f t="shared" si="13"/>
        <v>28805.181766400001</v>
      </c>
    </row>
    <row r="30" spans="1:27" ht="16.5" thickBot="1" x14ac:dyDescent="0.25">
      <c r="A30" s="7">
        <v>43551</v>
      </c>
      <c r="B30" s="154">
        <v>350</v>
      </c>
      <c r="C30" s="154">
        <v>15326</v>
      </c>
      <c r="D30" s="154">
        <f t="shared" si="4"/>
        <v>800</v>
      </c>
      <c r="E30" s="72">
        <v>16347603</v>
      </c>
      <c r="F30" s="154">
        <f t="shared" si="5"/>
        <v>4327</v>
      </c>
      <c r="G30" s="72">
        <v>43326256</v>
      </c>
      <c r="H30" s="154">
        <f t="shared" si="6"/>
        <v>57887</v>
      </c>
      <c r="I30" s="74">
        <f t="shared" si="0"/>
        <v>62214</v>
      </c>
      <c r="J30" s="72">
        <v>3700744</v>
      </c>
      <c r="K30" s="154">
        <f t="shared" si="7"/>
        <v>3378</v>
      </c>
      <c r="L30" s="75">
        <v>3912190</v>
      </c>
      <c r="M30" s="154">
        <f t="shared" si="8"/>
        <v>3346</v>
      </c>
      <c r="N30" s="72">
        <v>2468032</v>
      </c>
      <c r="O30" s="154">
        <f t="shared" si="9"/>
        <v>880</v>
      </c>
      <c r="P30" s="75">
        <v>4877953</v>
      </c>
      <c r="Q30" s="154">
        <f t="shared" si="10"/>
        <v>7221</v>
      </c>
      <c r="R30" s="72">
        <v>9814076</v>
      </c>
      <c r="S30" s="154">
        <f t="shared" si="11"/>
        <v>7807</v>
      </c>
      <c r="T30" s="72">
        <v>0</v>
      </c>
      <c r="U30" s="73"/>
      <c r="V30" s="72">
        <v>6301227</v>
      </c>
      <c r="W30" s="154">
        <f t="shared" si="12"/>
        <v>9294</v>
      </c>
      <c r="X30" s="74">
        <f t="shared" si="1"/>
        <v>31926</v>
      </c>
      <c r="Y30" s="95">
        <f t="shared" si="2"/>
        <v>30288</v>
      </c>
      <c r="Z30" s="72">
        <f t="shared" si="3"/>
        <v>5323.4382031999994</v>
      </c>
      <c r="AA30" s="72">
        <f t="shared" si="13"/>
        <v>28395.843424000002</v>
      </c>
    </row>
    <row r="31" spans="1:27" ht="16.5" thickBot="1" x14ac:dyDescent="0.25">
      <c r="A31" s="7">
        <v>43552</v>
      </c>
      <c r="B31" s="154">
        <v>356</v>
      </c>
      <c r="C31" s="154">
        <v>15330</v>
      </c>
      <c r="D31" s="154">
        <f t="shared" si="4"/>
        <v>640</v>
      </c>
      <c r="E31" s="72">
        <v>16355675</v>
      </c>
      <c r="F31" s="154">
        <f t="shared" si="5"/>
        <v>8072</v>
      </c>
      <c r="G31" s="72">
        <v>43374664</v>
      </c>
      <c r="H31" s="154">
        <f t="shared" si="6"/>
        <v>48408</v>
      </c>
      <c r="I31" s="74">
        <f t="shared" si="0"/>
        <v>56480</v>
      </c>
      <c r="J31" s="72">
        <v>3706962</v>
      </c>
      <c r="K31" s="154">
        <f t="shared" si="7"/>
        <v>6218</v>
      </c>
      <c r="L31" s="75">
        <v>3918543</v>
      </c>
      <c r="M31" s="154">
        <f t="shared" si="8"/>
        <v>6353</v>
      </c>
      <c r="N31" s="72">
        <v>2468802</v>
      </c>
      <c r="O31" s="154">
        <f t="shared" si="9"/>
        <v>1540</v>
      </c>
      <c r="P31" s="75">
        <v>4891314</v>
      </c>
      <c r="Q31" s="154">
        <f t="shared" si="10"/>
        <v>13361</v>
      </c>
      <c r="R31" s="72">
        <v>9828321</v>
      </c>
      <c r="S31" s="154">
        <f t="shared" si="11"/>
        <v>14245</v>
      </c>
      <c r="T31" s="72">
        <v>0</v>
      </c>
      <c r="U31" s="73"/>
      <c r="V31" s="72">
        <v>6317684</v>
      </c>
      <c r="W31" s="154">
        <f t="shared" si="12"/>
        <v>16457</v>
      </c>
      <c r="X31" s="74">
        <f t="shared" si="1"/>
        <v>58174</v>
      </c>
      <c r="Y31" s="95">
        <f t="shared" si="2"/>
        <v>-1694</v>
      </c>
      <c r="Z31" s="72">
        <f t="shared" si="3"/>
        <v>9609.0300384000002</v>
      </c>
      <c r="AA31" s="72">
        <f t="shared" si="13"/>
        <v>28761.805716800001</v>
      </c>
    </row>
    <row r="32" spans="1:27" ht="16.5" thickBot="1" x14ac:dyDescent="0.25">
      <c r="A32" s="7">
        <v>43553</v>
      </c>
      <c r="B32" s="154">
        <v>350</v>
      </c>
      <c r="C32" s="154">
        <v>15334</v>
      </c>
      <c r="D32" s="154">
        <f t="shared" si="4"/>
        <v>640</v>
      </c>
      <c r="E32" s="72">
        <v>16359577</v>
      </c>
      <c r="F32" s="154">
        <f t="shared" si="5"/>
        <v>3902</v>
      </c>
      <c r="G32" s="72">
        <v>43411235</v>
      </c>
      <c r="H32" s="154">
        <f t="shared" si="6"/>
        <v>36571</v>
      </c>
      <c r="I32" s="74">
        <f>F32+H32</f>
        <v>40473</v>
      </c>
      <c r="J32" s="72">
        <v>3709890</v>
      </c>
      <c r="K32" s="154">
        <f t="shared" si="7"/>
        <v>2928</v>
      </c>
      <c r="L32" s="75">
        <v>3921520</v>
      </c>
      <c r="M32" s="154">
        <f t="shared" si="8"/>
        <v>2977</v>
      </c>
      <c r="N32" s="72">
        <v>2469223</v>
      </c>
      <c r="O32" s="154">
        <f t="shared" si="9"/>
        <v>842</v>
      </c>
      <c r="P32" s="75">
        <v>4898758</v>
      </c>
      <c r="Q32" s="154">
        <f t="shared" si="10"/>
        <v>7444</v>
      </c>
      <c r="R32" s="72">
        <v>9836145</v>
      </c>
      <c r="S32" s="154">
        <f t="shared" si="11"/>
        <v>7824</v>
      </c>
      <c r="T32" s="72">
        <v>0</v>
      </c>
      <c r="U32" s="73"/>
      <c r="V32" s="72">
        <v>6326526</v>
      </c>
      <c r="W32" s="154">
        <f t="shared" si="12"/>
        <v>8842</v>
      </c>
      <c r="X32" s="74">
        <f>K32+M32+O32+Q32+S32+U32+W32</f>
        <v>30857</v>
      </c>
      <c r="Y32" s="95">
        <f>I32-X32</f>
        <v>9616</v>
      </c>
      <c r="Z32" s="72">
        <f t="shared" si="3"/>
        <v>5244.6391712000013</v>
      </c>
      <c r="AA32" s="72">
        <f t="shared" si="13"/>
        <v>27382.108166400001</v>
      </c>
    </row>
    <row r="33" spans="1:27" ht="16.5" thickBot="1" x14ac:dyDescent="0.25">
      <c r="A33" s="7">
        <v>43554</v>
      </c>
      <c r="B33" s="154">
        <v>349</v>
      </c>
      <c r="C33" s="154">
        <v>15336</v>
      </c>
      <c r="D33" s="154">
        <f t="shared" si="4"/>
        <v>320</v>
      </c>
      <c r="E33" s="72">
        <v>16366329</v>
      </c>
      <c r="F33" s="154">
        <f t="shared" si="5"/>
        <v>6752</v>
      </c>
      <c r="G33" s="72">
        <v>43473347</v>
      </c>
      <c r="H33" s="154">
        <f t="shared" si="6"/>
        <v>62112</v>
      </c>
      <c r="I33" s="74">
        <f>F33+H33</f>
        <v>68864</v>
      </c>
      <c r="J33" s="72">
        <v>3715324</v>
      </c>
      <c r="K33" s="154">
        <f t="shared" si="7"/>
        <v>5434</v>
      </c>
      <c r="L33" s="75">
        <v>3926594</v>
      </c>
      <c r="M33" s="154">
        <f t="shared" si="8"/>
        <v>5074</v>
      </c>
      <c r="N33" s="72">
        <v>2469986</v>
      </c>
      <c r="O33" s="154">
        <f t="shared" si="9"/>
        <v>1526</v>
      </c>
      <c r="P33" s="75">
        <v>4910669</v>
      </c>
      <c r="Q33" s="154">
        <f t="shared" si="10"/>
        <v>11911</v>
      </c>
      <c r="R33" s="72">
        <v>9849686</v>
      </c>
      <c r="S33" s="154">
        <f t="shared" si="11"/>
        <v>13541</v>
      </c>
      <c r="T33" s="72">
        <v>0</v>
      </c>
      <c r="U33" s="73"/>
      <c r="V33" s="72">
        <v>6341447</v>
      </c>
      <c r="W33" s="154">
        <f t="shared" si="12"/>
        <v>14921</v>
      </c>
      <c r="X33" s="74">
        <f>K33+M33+O33+Q33+S33+U33+W33</f>
        <v>52407</v>
      </c>
      <c r="Y33" s="95">
        <f>I33-X33</f>
        <v>16457</v>
      </c>
      <c r="Z33" s="72">
        <f t="shared" si="3"/>
        <v>8853.4076384</v>
      </c>
      <c r="AA33" s="72">
        <f t="shared" si="13"/>
        <v>29030.5150512</v>
      </c>
    </row>
    <row r="34" spans="1:27" ht="16.5" thickBot="1" x14ac:dyDescent="0.25">
      <c r="A34" s="7">
        <v>43555</v>
      </c>
      <c r="B34" s="154">
        <v>350</v>
      </c>
      <c r="C34" s="154">
        <v>15337</v>
      </c>
      <c r="D34" s="154">
        <f t="shared" si="4"/>
        <v>160</v>
      </c>
      <c r="E34" s="72">
        <v>16372454</v>
      </c>
      <c r="F34" s="154">
        <f t="shared" si="5"/>
        <v>6125</v>
      </c>
      <c r="G34" s="72">
        <v>43524507</v>
      </c>
      <c r="H34" s="154">
        <f t="shared" si="6"/>
        <v>51160</v>
      </c>
      <c r="I34" s="74">
        <f>F34+H34</f>
        <v>57285</v>
      </c>
      <c r="J34" s="72">
        <v>3720138</v>
      </c>
      <c r="K34" s="154">
        <f t="shared" si="7"/>
        <v>4814</v>
      </c>
      <c r="L34" s="75">
        <v>3930918</v>
      </c>
      <c r="M34" s="154">
        <f t="shared" si="8"/>
        <v>4324</v>
      </c>
      <c r="N34" s="72">
        <v>2470813</v>
      </c>
      <c r="O34" s="154">
        <f t="shared" si="9"/>
        <v>1654</v>
      </c>
      <c r="P34" s="75">
        <v>4919848</v>
      </c>
      <c r="Q34" s="154">
        <f t="shared" si="10"/>
        <v>9179</v>
      </c>
      <c r="R34" s="72">
        <v>9860830</v>
      </c>
      <c r="S34" s="154">
        <f t="shared" si="11"/>
        <v>11144</v>
      </c>
      <c r="T34" s="72">
        <v>0</v>
      </c>
      <c r="U34" s="73"/>
      <c r="V34" s="72">
        <v>6353860</v>
      </c>
      <c r="W34" s="154">
        <f t="shared" si="12"/>
        <v>12413</v>
      </c>
      <c r="X34" s="74">
        <f>K34+M34+O34+Q34+S34+U34+W34</f>
        <v>43528</v>
      </c>
      <c r="Y34" s="95">
        <f>I34-X34</f>
        <v>13757</v>
      </c>
      <c r="Z34" s="72">
        <f t="shared" si="3"/>
        <v>7285.9137104000001</v>
      </c>
      <c r="AA34" s="72">
        <f t="shared" si="13"/>
        <v>30992.990558400001</v>
      </c>
    </row>
    <row r="35" spans="1:27" ht="16.5" thickBot="1" x14ac:dyDescent="0.25">
      <c r="A35" s="7" t="s">
        <v>28</v>
      </c>
      <c r="B35" s="154"/>
      <c r="C35" s="154"/>
      <c r="D35" s="154"/>
      <c r="E35" s="77"/>
      <c r="F35" s="78">
        <f>SUM(F3:F34)</f>
        <v>332689</v>
      </c>
      <c r="G35" s="79"/>
      <c r="H35" s="78">
        <f>SUM(H3:H34)</f>
        <v>1486297</v>
      </c>
      <c r="I35" s="74">
        <f t="shared" si="0"/>
        <v>1818986</v>
      </c>
      <c r="J35" s="77"/>
      <c r="K35" s="78">
        <f>SUM(K3:K34)</f>
        <v>146373</v>
      </c>
      <c r="L35" s="76"/>
      <c r="M35" s="78">
        <f>SUM(M3:M34)</f>
        <v>159612</v>
      </c>
      <c r="N35" s="76"/>
      <c r="O35" s="78">
        <f>SUM(O3:O34)</f>
        <v>168384</v>
      </c>
      <c r="P35" s="76"/>
      <c r="Q35" s="78">
        <f>SUM(Q3:Q34)</f>
        <v>153010</v>
      </c>
      <c r="R35" s="76"/>
      <c r="S35" s="78">
        <f>SUM(S3:T34)</f>
        <v>350357</v>
      </c>
      <c r="T35" s="76"/>
      <c r="U35" s="78"/>
      <c r="V35" s="76"/>
      <c r="W35" s="78">
        <f>SUM(W3:W34)</f>
        <v>403108</v>
      </c>
      <c r="X35" s="78">
        <f>SUM(X4:X31)</f>
        <v>1254052</v>
      </c>
      <c r="Y35" s="96">
        <f>SUM(Y4:Y31)</f>
        <v>398312</v>
      </c>
      <c r="Z35" s="78">
        <f>SUM(Z5:Z31)</f>
        <v>195952.90139360004</v>
      </c>
      <c r="AA35" s="78"/>
    </row>
    <row r="37" spans="1:27" ht="15" x14ac:dyDescent="0.2">
      <c r="A37" s="71"/>
      <c r="B37" s="155"/>
      <c r="C37" s="155"/>
      <c r="D37" s="155"/>
      <c r="M37" s="71" t="s">
        <v>13</v>
      </c>
      <c r="P37" s="71" t="s">
        <v>13</v>
      </c>
      <c r="T37" s="71" t="s">
        <v>13</v>
      </c>
      <c r="V37" s="71" t="s">
        <v>13</v>
      </c>
      <c r="Z37" s="71"/>
      <c r="AA37" s="71"/>
    </row>
    <row r="38" spans="1:27" x14ac:dyDescent="0.25">
      <c r="V38" s="71" t="s">
        <v>13</v>
      </c>
      <c r="Y38" s="81"/>
    </row>
    <row r="39" spans="1:27" x14ac:dyDescent="0.25">
      <c r="U39" s="71" t="s">
        <v>13</v>
      </c>
      <c r="Y39" s="81"/>
    </row>
    <row r="40" spans="1:27" x14ac:dyDescent="0.25">
      <c r="Y40" s="81"/>
    </row>
    <row r="41" spans="1:27" x14ac:dyDescent="0.25">
      <c r="Y41" s="81"/>
    </row>
    <row r="52" spans="1:27" ht="15" x14ac:dyDescent="0.2">
      <c r="A52" s="71"/>
      <c r="B52" s="155"/>
      <c r="C52" s="155"/>
      <c r="D52" s="155"/>
      <c r="Z52" s="71"/>
      <c r="AA52" s="71"/>
    </row>
  </sheetData>
  <mergeCells count="1">
    <mergeCell ref="A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BreakPreview" topLeftCell="A9" zoomScale="55" zoomScaleNormal="55" zoomScaleSheetLayoutView="55" workbookViewId="0">
      <selection activeCell="A35" sqref="A35:B35"/>
    </sheetView>
  </sheetViews>
  <sheetFormatPr defaultRowHeight="23.25" x14ac:dyDescent="0.35"/>
  <cols>
    <col min="1" max="1" width="37.140625" style="20" customWidth="1"/>
    <col min="2" max="2" width="37.140625" customWidth="1"/>
    <col min="3" max="3" width="37.140625" style="163" customWidth="1"/>
    <col min="4" max="5" width="8.5703125" bestFit="1" customWidth="1"/>
    <col min="7" max="7" width="8.5703125" bestFit="1" customWidth="1"/>
  </cols>
  <sheetData>
    <row r="1" spans="1:9" ht="33" customHeight="1" thickBot="1" x14ac:dyDescent="0.25">
      <c r="A1" s="183" t="s">
        <v>143</v>
      </c>
      <c r="B1" s="183"/>
      <c r="C1" s="183"/>
    </row>
    <row r="2" spans="1:9" ht="24" thickBot="1" x14ac:dyDescent="0.4">
      <c r="A2" s="89" t="s">
        <v>0</v>
      </c>
      <c r="B2" s="90" t="s">
        <v>48</v>
      </c>
      <c r="C2" s="91" t="s">
        <v>31</v>
      </c>
    </row>
    <row r="3" spans="1:9" ht="24" thickBot="1" x14ac:dyDescent="0.4">
      <c r="A3" s="89" t="s">
        <v>12</v>
      </c>
      <c r="B3" s="92">
        <v>15230695</v>
      </c>
      <c r="C3" s="93"/>
    </row>
    <row r="4" spans="1:9" ht="24" thickBot="1" x14ac:dyDescent="0.4">
      <c r="A4" s="89">
        <v>43525</v>
      </c>
      <c r="B4" s="92">
        <v>15234602</v>
      </c>
      <c r="C4" s="162">
        <f>IF((B4-B3)&lt;0,"0",(B4-B3))</f>
        <v>3907</v>
      </c>
    </row>
    <row r="5" spans="1:9" ht="24" thickBot="1" x14ac:dyDescent="0.4">
      <c r="A5" s="89">
        <v>43526</v>
      </c>
      <c r="B5" s="92">
        <v>15238496</v>
      </c>
      <c r="C5" s="162">
        <f t="shared" ref="C5:C34" si="0">IF((B5-B4)&lt;0,"0",(B5-B4))</f>
        <v>3894</v>
      </c>
    </row>
    <row r="6" spans="1:9" ht="24" thickBot="1" x14ac:dyDescent="0.4">
      <c r="A6" s="89">
        <v>43527</v>
      </c>
      <c r="B6" s="92">
        <v>15241920</v>
      </c>
      <c r="C6" s="162">
        <f t="shared" si="0"/>
        <v>3424</v>
      </c>
    </row>
    <row r="7" spans="1:9" ht="24" thickBot="1" x14ac:dyDescent="0.4">
      <c r="A7" s="89">
        <v>43528</v>
      </c>
      <c r="B7" s="92">
        <v>15245590</v>
      </c>
      <c r="C7" s="162">
        <f t="shared" si="0"/>
        <v>3670</v>
      </c>
    </row>
    <row r="8" spans="1:9" ht="24" thickBot="1" x14ac:dyDescent="0.4">
      <c r="A8" s="89">
        <v>43529</v>
      </c>
      <c r="B8" s="92">
        <v>15249578</v>
      </c>
      <c r="C8" s="162">
        <f t="shared" si="0"/>
        <v>3988</v>
      </c>
    </row>
    <row r="9" spans="1:9" ht="24" thickBot="1" x14ac:dyDescent="0.4">
      <c r="A9" s="89">
        <v>43530</v>
      </c>
      <c r="B9" s="92">
        <v>15253915</v>
      </c>
      <c r="C9" s="162">
        <f t="shared" si="0"/>
        <v>4337</v>
      </c>
    </row>
    <row r="10" spans="1:9" ht="24" thickBot="1" x14ac:dyDescent="0.4">
      <c r="A10" s="89">
        <v>43531</v>
      </c>
      <c r="B10" s="92">
        <v>15257790</v>
      </c>
      <c r="C10" s="162">
        <f t="shared" si="0"/>
        <v>3875</v>
      </c>
    </row>
    <row r="11" spans="1:9" ht="24" thickBot="1" x14ac:dyDescent="0.4">
      <c r="A11" s="89">
        <v>43532</v>
      </c>
      <c r="B11" s="92">
        <v>15261687</v>
      </c>
      <c r="C11" s="162">
        <f t="shared" si="0"/>
        <v>3897</v>
      </c>
    </row>
    <row r="12" spans="1:9" ht="24" thickBot="1" x14ac:dyDescent="0.4">
      <c r="A12" s="89">
        <v>43533</v>
      </c>
      <c r="B12" s="92">
        <v>15265547</v>
      </c>
      <c r="C12" s="162">
        <f t="shared" si="0"/>
        <v>3860</v>
      </c>
    </row>
    <row r="13" spans="1:9" ht="24" thickBot="1" x14ac:dyDescent="0.4">
      <c r="A13" s="89">
        <v>43534</v>
      </c>
      <c r="B13" s="92">
        <v>15269004</v>
      </c>
      <c r="C13" s="162">
        <f t="shared" si="0"/>
        <v>3457</v>
      </c>
    </row>
    <row r="14" spans="1:9" ht="24" thickBot="1" x14ac:dyDescent="0.4">
      <c r="A14" s="89">
        <v>43535</v>
      </c>
      <c r="B14" s="92">
        <v>15272428</v>
      </c>
      <c r="C14" s="162">
        <f t="shared" si="0"/>
        <v>3424</v>
      </c>
    </row>
    <row r="15" spans="1:9" ht="24" thickBot="1" x14ac:dyDescent="0.4">
      <c r="A15" s="89">
        <v>43536</v>
      </c>
      <c r="B15" s="92">
        <v>15275698</v>
      </c>
      <c r="C15" s="162">
        <f t="shared" si="0"/>
        <v>3270</v>
      </c>
    </row>
    <row r="16" spans="1:9" ht="24" thickBot="1" x14ac:dyDescent="0.4">
      <c r="A16" s="89">
        <v>43537</v>
      </c>
      <c r="B16" s="92">
        <v>15280586</v>
      </c>
      <c r="C16" s="162">
        <f t="shared" si="0"/>
        <v>4888</v>
      </c>
      <c r="I16" t="s">
        <v>13</v>
      </c>
    </row>
    <row r="17" spans="1:9" ht="24" thickBot="1" x14ac:dyDescent="0.4">
      <c r="A17" s="89">
        <v>43538</v>
      </c>
      <c r="B17" s="92">
        <v>15284552</v>
      </c>
      <c r="C17" s="162">
        <f t="shared" si="0"/>
        <v>3966</v>
      </c>
    </row>
    <row r="18" spans="1:9" ht="24" thickBot="1" x14ac:dyDescent="0.4">
      <c r="A18" s="89">
        <v>43539</v>
      </c>
      <c r="B18" s="92">
        <v>15288287</v>
      </c>
      <c r="C18" s="162">
        <f>IF((B18-B17)&lt;0,"0",(B18-B17))</f>
        <v>3735</v>
      </c>
    </row>
    <row r="19" spans="1:9" ht="24" thickBot="1" x14ac:dyDescent="0.4">
      <c r="A19" s="89">
        <v>43540</v>
      </c>
      <c r="B19" s="92">
        <v>15292250</v>
      </c>
      <c r="C19" s="162">
        <f>IF((B19-B18)&lt;0,"0",(B19-B18))</f>
        <v>3963</v>
      </c>
    </row>
    <row r="20" spans="1:9" ht="24" thickBot="1" x14ac:dyDescent="0.4">
      <c r="A20" s="89">
        <v>43541</v>
      </c>
      <c r="B20" s="92">
        <v>15295925</v>
      </c>
      <c r="C20" s="162">
        <f>IF((B20-B19)&lt;0,"0",(B20-B19))</f>
        <v>3675</v>
      </c>
    </row>
    <row r="21" spans="1:9" ht="24" thickBot="1" x14ac:dyDescent="0.4">
      <c r="A21" s="89">
        <v>43542</v>
      </c>
      <c r="B21" s="92">
        <v>15299630</v>
      </c>
      <c r="C21" s="162">
        <f>IF((B21-B20)&lt;0,"0",(B21-B20))</f>
        <v>3705</v>
      </c>
    </row>
    <row r="22" spans="1:9" ht="24" thickBot="1" x14ac:dyDescent="0.4">
      <c r="A22" s="89">
        <v>43543</v>
      </c>
      <c r="B22" s="92">
        <v>15303357</v>
      </c>
      <c r="C22" s="162">
        <f t="shared" si="0"/>
        <v>3727</v>
      </c>
    </row>
    <row r="23" spans="1:9" ht="24" thickBot="1" x14ac:dyDescent="0.4">
      <c r="A23" s="89">
        <v>43544</v>
      </c>
      <c r="B23" s="92">
        <v>15307139</v>
      </c>
      <c r="C23" s="162">
        <f t="shared" si="0"/>
        <v>3782</v>
      </c>
    </row>
    <row r="24" spans="1:9" ht="24" thickBot="1" x14ac:dyDescent="0.4">
      <c r="A24" s="89">
        <v>43545</v>
      </c>
      <c r="B24" s="92">
        <v>15310795</v>
      </c>
      <c r="C24" s="162">
        <f t="shared" si="0"/>
        <v>3656</v>
      </c>
      <c r="F24" t="s">
        <v>13</v>
      </c>
    </row>
    <row r="25" spans="1:9" ht="24" thickBot="1" x14ac:dyDescent="0.4">
      <c r="A25" s="89">
        <v>43546</v>
      </c>
      <c r="B25" s="92">
        <v>15314534</v>
      </c>
      <c r="C25" s="162">
        <f t="shared" si="0"/>
        <v>3739</v>
      </c>
      <c r="E25" t="s">
        <v>13</v>
      </c>
    </row>
    <row r="26" spans="1:9" ht="24" thickBot="1" x14ac:dyDescent="0.4">
      <c r="A26" s="89">
        <v>43547</v>
      </c>
      <c r="B26" s="92">
        <v>15318160</v>
      </c>
      <c r="C26" s="162">
        <f t="shared" si="0"/>
        <v>3626</v>
      </c>
    </row>
    <row r="27" spans="1:9" ht="24" thickBot="1" x14ac:dyDescent="0.4">
      <c r="A27" s="89">
        <v>43548</v>
      </c>
      <c r="B27" s="92">
        <v>15321825</v>
      </c>
      <c r="C27" s="162">
        <f t="shared" si="0"/>
        <v>3665</v>
      </c>
    </row>
    <row r="28" spans="1:9" ht="24" thickBot="1" x14ac:dyDescent="0.4">
      <c r="A28" s="89">
        <v>43549</v>
      </c>
      <c r="B28" s="92">
        <v>15325510</v>
      </c>
      <c r="C28" s="162">
        <f t="shared" si="0"/>
        <v>3685</v>
      </c>
    </row>
    <row r="29" spans="1:9" ht="24" thickBot="1" x14ac:dyDescent="0.4">
      <c r="A29" s="89">
        <v>43550</v>
      </c>
      <c r="B29" s="92">
        <v>15329140</v>
      </c>
      <c r="C29" s="162">
        <f t="shared" si="0"/>
        <v>3630</v>
      </c>
      <c r="I29" t="s">
        <v>13</v>
      </c>
    </row>
    <row r="30" spans="1:9" ht="24" thickBot="1" x14ac:dyDescent="0.4">
      <c r="A30" s="89">
        <v>43551</v>
      </c>
      <c r="B30" s="92">
        <v>15332792</v>
      </c>
      <c r="C30" s="162">
        <f t="shared" si="0"/>
        <v>3652</v>
      </c>
    </row>
    <row r="31" spans="1:9" ht="24" thickBot="1" x14ac:dyDescent="0.4">
      <c r="A31" s="89">
        <v>43552</v>
      </c>
      <c r="B31" s="92">
        <v>15336472</v>
      </c>
      <c r="C31" s="162">
        <f t="shared" si="0"/>
        <v>3680</v>
      </c>
    </row>
    <row r="32" spans="1:9" ht="24" thickBot="1" x14ac:dyDescent="0.4">
      <c r="A32" s="89">
        <v>43553</v>
      </c>
      <c r="B32" s="92">
        <v>15339965</v>
      </c>
      <c r="C32" s="162">
        <f t="shared" si="0"/>
        <v>3493</v>
      </c>
    </row>
    <row r="33" spans="1:3" ht="24" thickBot="1" x14ac:dyDescent="0.4">
      <c r="A33" s="89">
        <v>43554</v>
      </c>
      <c r="B33" s="92">
        <v>15343123</v>
      </c>
      <c r="C33" s="162">
        <f t="shared" si="0"/>
        <v>3158</v>
      </c>
    </row>
    <row r="34" spans="1:3" ht="24" thickBot="1" x14ac:dyDescent="0.4">
      <c r="A34" s="89">
        <v>43555</v>
      </c>
      <c r="B34" s="92">
        <v>15346378</v>
      </c>
      <c r="C34" s="162">
        <f t="shared" si="0"/>
        <v>3255</v>
      </c>
    </row>
    <row r="35" spans="1:3" ht="24" thickBot="1" x14ac:dyDescent="0.4">
      <c r="A35" s="184" t="s">
        <v>28</v>
      </c>
      <c r="B35" s="185"/>
      <c r="C35" s="94">
        <f>SUM(C4:C34)</f>
        <v>115683</v>
      </c>
    </row>
  </sheetData>
  <mergeCells count="2">
    <mergeCell ref="A1:C1"/>
    <mergeCell ref="A35:B35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9"/>
  <sheetViews>
    <sheetView topLeftCell="A13" zoomScale="70" zoomScaleNormal="70" workbookViewId="0">
      <selection activeCell="Q32" sqref="Q32"/>
    </sheetView>
  </sheetViews>
  <sheetFormatPr defaultRowHeight="12.75" x14ac:dyDescent="0.2"/>
  <cols>
    <col min="1" max="1" width="20.85546875" bestFit="1" customWidth="1"/>
    <col min="2" max="2" width="12.5703125" bestFit="1" customWidth="1"/>
    <col min="3" max="3" width="17" style="151" bestFit="1" customWidth="1"/>
    <col min="4" max="4" width="15.140625" bestFit="1" customWidth="1"/>
    <col min="5" max="5" width="12.5703125" bestFit="1" customWidth="1"/>
    <col min="6" max="6" width="17" style="151" bestFit="1" customWidth="1"/>
    <col min="7" max="7" width="15.140625" customWidth="1"/>
    <col min="8" max="8" width="17.7109375" customWidth="1"/>
    <col min="9" max="9" width="12.85546875" style="151" bestFit="1" customWidth="1"/>
    <col min="10" max="10" width="11.42578125" bestFit="1" customWidth="1"/>
    <col min="11" max="11" width="15.7109375" bestFit="1" customWidth="1"/>
    <col min="12" max="12" width="12.85546875" style="151" bestFit="1" customWidth="1"/>
    <col min="13" max="13" width="12.7109375" bestFit="1" customWidth="1"/>
    <col min="14" max="14" width="11.28515625" bestFit="1" customWidth="1"/>
    <col min="15" max="15" width="12.85546875" style="151" bestFit="1" customWidth="1"/>
    <col min="16" max="16" width="15.140625" bestFit="1" customWidth="1"/>
    <col min="17" max="17" width="13.85546875" bestFit="1" customWidth="1"/>
    <col min="18" max="18" width="16.28515625" style="15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3" t="s">
        <v>0</v>
      </c>
      <c r="B1" s="4" t="s">
        <v>1</v>
      </c>
      <c r="C1" s="158" t="s">
        <v>2</v>
      </c>
      <c r="D1" s="102" t="s">
        <v>3</v>
      </c>
      <c r="E1" s="4" t="s">
        <v>4</v>
      </c>
      <c r="F1" s="158" t="s">
        <v>2</v>
      </c>
      <c r="G1" s="102" t="s">
        <v>3</v>
      </c>
      <c r="H1" s="4" t="s">
        <v>5</v>
      </c>
      <c r="I1" s="158" t="s">
        <v>6</v>
      </c>
      <c r="J1" s="102" t="s">
        <v>137</v>
      </c>
      <c r="K1" s="4" t="s">
        <v>7</v>
      </c>
      <c r="L1" s="158" t="s">
        <v>6</v>
      </c>
      <c r="M1" s="102" t="s">
        <v>3</v>
      </c>
      <c r="N1" s="5" t="s">
        <v>8</v>
      </c>
      <c r="O1" s="158" t="s">
        <v>6</v>
      </c>
      <c r="P1" s="102" t="s">
        <v>3</v>
      </c>
      <c r="Q1" s="5" t="s">
        <v>9</v>
      </c>
      <c r="R1" s="158" t="s">
        <v>6</v>
      </c>
      <c r="S1" s="102" t="s">
        <v>3</v>
      </c>
      <c r="T1" s="6" t="s">
        <v>10</v>
      </c>
      <c r="U1" s="105" t="s">
        <v>11</v>
      </c>
    </row>
    <row r="2" spans="1:25" ht="16.5" thickBot="1" x14ac:dyDescent="0.25">
      <c r="A2" s="7" t="s">
        <v>12</v>
      </c>
      <c r="B2" s="1">
        <v>13904.919</v>
      </c>
      <c r="C2" s="164"/>
      <c r="D2" s="103">
        <f>C2*1.9*1000</f>
        <v>0</v>
      </c>
      <c r="E2" s="1">
        <v>2079.7089999999998</v>
      </c>
      <c r="F2" s="164"/>
      <c r="G2" s="103">
        <f>F2*1.9*1000</f>
        <v>0</v>
      </c>
      <c r="H2" s="1">
        <v>855.44600000000003</v>
      </c>
      <c r="I2" s="164"/>
      <c r="J2" s="103">
        <f>I2*1.9*1000</f>
        <v>0</v>
      </c>
      <c r="K2" s="8">
        <v>12668.92</v>
      </c>
      <c r="L2" s="164"/>
      <c r="M2" s="103">
        <f>L2*1.9*1000</f>
        <v>0</v>
      </c>
      <c r="N2" s="8">
        <v>1704.6859999999999</v>
      </c>
      <c r="O2" s="164"/>
      <c r="P2" s="103">
        <f>O2*1.9*1000</f>
        <v>0</v>
      </c>
      <c r="Q2" s="8">
        <v>3836.26</v>
      </c>
      <c r="R2" s="164"/>
      <c r="S2" s="103">
        <v>0</v>
      </c>
      <c r="T2" s="9">
        <f>C2+F2+I2+L2+O2+R2</f>
        <v>0</v>
      </c>
      <c r="U2" s="106"/>
    </row>
    <row r="3" spans="1:25" ht="21" thickBot="1" x14ac:dyDescent="0.25">
      <c r="A3" s="10">
        <v>43525</v>
      </c>
      <c r="B3" s="1">
        <v>13908.817999999999</v>
      </c>
      <c r="C3" s="160">
        <f>IF((B3-B2)&lt;0,"0",(B3-B2))</f>
        <v>3.8989999999994325</v>
      </c>
      <c r="D3" s="103">
        <f>C3*1.9*1000</f>
        <v>7408.0999999989208</v>
      </c>
      <c r="E3" s="1">
        <v>2080.1509999999998</v>
      </c>
      <c r="F3" s="160">
        <f>IF((E3-E2)&lt;0,"0",(E3-E2))</f>
        <v>0.44200000000000728</v>
      </c>
      <c r="G3" s="103">
        <f>F3*1.9*1000</f>
        <v>839.80000000001371</v>
      </c>
      <c r="H3" s="1">
        <v>855.44600000000003</v>
      </c>
      <c r="I3" s="160">
        <f>IF((H3-H2)&lt;0,"0",(H3-H2))</f>
        <v>0</v>
      </c>
      <c r="J3" s="103">
        <f>I3*1.9*1000</f>
        <v>0</v>
      </c>
      <c r="K3" s="8">
        <v>12668.92</v>
      </c>
      <c r="L3" s="160">
        <f>IF((K3-K2)&lt;0,"0",(K3-K2))</f>
        <v>0</v>
      </c>
      <c r="M3" s="103">
        <f>L3*1.9*1000</f>
        <v>0</v>
      </c>
      <c r="N3" s="8">
        <v>1705.7090000000001</v>
      </c>
      <c r="O3" s="160">
        <f>IF((N3-N2)&lt;0,"0",(N3-N2))</f>
        <v>1.0230000000001382</v>
      </c>
      <c r="P3" s="103">
        <f>O3*1.9*1000</f>
        <v>1943.7000000002627</v>
      </c>
      <c r="Q3" s="8">
        <v>3836.63</v>
      </c>
      <c r="R3" s="160">
        <f>IF((Q3-Q2)&lt;0,"0",(Q3-Q2))</f>
        <v>0.36999999999989086</v>
      </c>
      <c r="S3" s="103">
        <f>R3*1.9*1000</f>
        <v>702.99999999979252</v>
      </c>
      <c r="T3" s="9">
        <f>C3+F3+I3+L3+O3+R3</f>
        <v>5.7339999999994689</v>
      </c>
      <c r="U3" s="107">
        <f>T3*1.9*1000</f>
        <v>10894.599999998989</v>
      </c>
    </row>
    <row r="4" spans="1:25" ht="21" thickBot="1" x14ac:dyDescent="0.25">
      <c r="A4" s="10">
        <v>43526</v>
      </c>
      <c r="B4" s="1">
        <v>13913.032999999999</v>
      </c>
      <c r="C4" s="160">
        <f t="shared" ref="C4:C33" si="0">IF((B4-B3)&lt;0,"0",(B4-B3))</f>
        <v>4.2150000000001455</v>
      </c>
      <c r="D4" s="103">
        <f t="shared" ref="D4:D31" si="1">C4*1.9*1000</f>
        <v>8008.5000000002765</v>
      </c>
      <c r="E4" s="1">
        <v>2080.7919999999999</v>
      </c>
      <c r="F4" s="160">
        <f t="shared" ref="F4:F33" si="2">IF((E4-E3)&lt;0,"0",(E4-E3))</f>
        <v>0.6410000000000764</v>
      </c>
      <c r="G4" s="103">
        <f t="shared" ref="G4:G31" si="3">F4*1.9*1000</f>
        <v>1217.9000000001452</v>
      </c>
      <c r="H4" s="1">
        <v>855.44600000000003</v>
      </c>
      <c r="I4" s="160">
        <f t="shared" ref="I4:I33" si="4">IF((H4-H3)&lt;0,"0",(H4-H3))</f>
        <v>0</v>
      </c>
      <c r="J4" s="103">
        <f t="shared" ref="J4:J31" si="5">I4*1.9*1000</f>
        <v>0</v>
      </c>
      <c r="K4" s="8">
        <v>12668.92</v>
      </c>
      <c r="L4" s="160">
        <f t="shared" ref="L4:L33" si="6">IF((K4-K3)&lt;0,"0",(K4-K3))</f>
        <v>0</v>
      </c>
      <c r="M4" s="103">
        <f t="shared" ref="M4:M31" si="7">L4*1.9*1000</f>
        <v>0</v>
      </c>
      <c r="N4" s="8">
        <v>1706.7080000000001</v>
      </c>
      <c r="O4" s="160">
        <f t="shared" ref="O4:O33" si="8">IF((N4-N3)&lt;0,"0",(N4-N3))</f>
        <v>0.99900000000002365</v>
      </c>
      <c r="P4" s="103">
        <f t="shared" ref="P4:P31" si="9">O4*1.9*1000</f>
        <v>1898.1000000000447</v>
      </c>
      <c r="Q4" s="8">
        <v>3837.46</v>
      </c>
      <c r="R4" s="160">
        <f t="shared" ref="R4:R33" si="10">IF((Q4-Q3)&lt;0,"0",(Q4-Q3))</f>
        <v>0.82999999999992724</v>
      </c>
      <c r="S4" s="103">
        <f t="shared" ref="S4:S31" si="11">R4*1.9*1000</f>
        <v>1576.9999999998615</v>
      </c>
      <c r="T4" s="9">
        <f t="shared" ref="T4:T31" si="12">C4+F4+I4+L4+O4+R4</f>
        <v>6.6850000000001728</v>
      </c>
      <c r="U4" s="107">
        <f t="shared" ref="U4:U31" si="13">T4*1.9*1000</f>
        <v>12701.500000000327</v>
      </c>
    </row>
    <row r="5" spans="1:25" ht="21" thickBot="1" x14ac:dyDescent="0.25">
      <c r="A5" s="10">
        <v>43527</v>
      </c>
      <c r="B5" s="1">
        <v>13917.58</v>
      </c>
      <c r="C5" s="160">
        <f t="shared" si="0"/>
        <v>4.5470000000004802</v>
      </c>
      <c r="D5" s="103">
        <f t="shared" si="1"/>
        <v>8639.3000000009124</v>
      </c>
      <c r="E5" s="1">
        <v>2081.663</v>
      </c>
      <c r="F5" s="160">
        <f t="shared" si="2"/>
        <v>0.87100000000009459</v>
      </c>
      <c r="G5" s="103">
        <f t="shared" si="3"/>
        <v>1654.9000000001797</v>
      </c>
      <c r="H5" s="1">
        <v>855.44600000000003</v>
      </c>
      <c r="I5" s="160">
        <f t="shared" si="4"/>
        <v>0</v>
      </c>
      <c r="J5" s="103">
        <f t="shared" si="5"/>
        <v>0</v>
      </c>
      <c r="K5" s="8">
        <v>12668.92</v>
      </c>
      <c r="L5" s="160">
        <f t="shared" si="6"/>
        <v>0</v>
      </c>
      <c r="M5" s="103">
        <f t="shared" si="7"/>
        <v>0</v>
      </c>
      <c r="N5" s="8">
        <v>1707.2850000000001</v>
      </c>
      <c r="O5" s="160">
        <f t="shared" si="8"/>
        <v>0.57699999999999818</v>
      </c>
      <c r="P5" s="103">
        <f t="shared" si="9"/>
        <v>1096.2999999999965</v>
      </c>
      <c r="Q5" s="8">
        <v>3837.5</v>
      </c>
      <c r="R5" s="160">
        <f t="shared" si="10"/>
        <v>3.999999999996362E-2</v>
      </c>
      <c r="S5" s="103">
        <f t="shared" si="11"/>
        <v>75.999999999930878</v>
      </c>
      <c r="T5" s="9">
        <f t="shared" si="12"/>
        <v>6.0350000000005366</v>
      </c>
      <c r="U5" s="107">
        <f t="shared" si="13"/>
        <v>11466.500000001019</v>
      </c>
    </row>
    <row r="6" spans="1:25" ht="21" thickBot="1" x14ac:dyDescent="0.25">
      <c r="A6" s="10">
        <v>43528</v>
      </c>
      <c r="B6" s="1">
        <v>13922.724</v>
      </c>
      <c r="C6" s="160">
        <f t="shared" si="0"/>
        <v>5.1440000000002328</v>
      </c>
      <c r="D6" s="103">
        <f t="shared" si="1"/>
        <v>9773.6000000004424</v>
      </c>
      <c r="E6" s="1">
        <v>2082.739</v>
      </c>
      <c r="F6" s="160">
        <f t="shared" si="2"/>
        <v>1.0760000000000218</v>
      </c>
      <c r="G6" s="103">
        <f t="shared" si="3"/>
        <v>2044.4000000000412</v>
      </c>
      <c r="H6" s="1">
        <v>855.44600000000003</v>
      </c>
      <c r="I6" s="160">
        <f t="shared" si="4"/>
        <v>0</v>
      </c>
      <c r="J6" s="103">
        <f t="shared" si="5"/>
        <v>0</v>
      </c>
      <c r="K6" s="8">
        <v>12668.92</v>
      </c>
      <c r="L6" s="160">
        <f t="shared" si="6"/>
        <v>0</v>
      </c>
      <c r="M6" s="103">
        <f t="shared" si="7"/>
        <v>0</v>
      </c>
      <c r="N6" s="8">
        <v>1707.895</v>
      </c>
      <c r="O6" s="160">
        <f t="shared" si="8"/>
        <v>0.60999999999989996</v>
      </c>
      <c r="P6" s="103">
        <f t="shared" si="9"/>
        <v>1158.9999999998099</v>
      </c>
      <c r="Q6" s="8">
        <v>3837.69</v>
      </c>
      <c r="R6" s="160">
        <f t="shared" si="10"/>
        <v>0.19000000000005457</v>
      </c>
      <c r="S6" s="103">
        <f t="shared" si="11"/>
        <v>361.00000000010368</v>
      </c>
      <c r="T6" s="9">
        <f t="shared" si="12"/>
        <v>7.0200000000002092</v>
      </c>
      <c r="U6" s="107">
        <f t="shared" si="13"/>
        <v>13338.000000000397</v>
      </c>
    </row>
    <row r="7" spans="1:25" ht="21" thickBot="1" x14ac:dyDescent="0.25">
      <c r="A7" s="10">
        <v>43529</v>
      </c>
      <c r="B7" s="1">
        <v>13927.528</v>
      </c>
      <c r="C7" s="160">
        <f t="shared" si="0"/>
        <v>4.8040000000000873</v>
      </c>
      <c r="D7" s="103">
        <f t="shared" si="1"/>
        <v>9127.6000000001659</v>
      </c>
      <c r="E7" s="1">
        <v>2083.6289999999999</v>
      </c>
      <c r="F7" s="160">
        <f t="shared" si="2"/>
        <v>0.88999999999987267</v>
      </c>
      <c r="G7" s="103">
        <f t="shared" si="3"/>
        <v>1690.9999999997581</v>
      </c>
      <c r="H7" s="1">
        <v>855.45500000000004</v>
      </c>
      <c r="I7" s="160">
        <f t="shared" si="4"/>
        <v>9.0000000000145519E-3</v>
      </c>
      <c r="J7" s="103">
        <f t="shared" si="5"/>
        <v>17.100000000027649</v>
      </c>
      <c r="K7" s="8">
        <v>12668.92</v>
      </c>
      <c r="L7" s="160">
        <f t="shared" si="6"/>
        <v>0</v>
      </c>
      <c r="M7" s="103">
        <f t="shared" si="7"/>
        <v>0</v>
      </c>
      <c r="N7" s="8">
        <v>1708.6668</v>
      </c>
      <c r="O7" s="160">
        <f t="shared" si="8"/>
        <v>0.77179999999998472</v>
      </c>
      <c r="P7" s="103">
        <f t="shared" si="9"/>
        <v>1466.419999999971</v>
      </c>
      <c r="Q7" s="8">
        <v>3837.69</v>
      </c>
      <c r="R7" s="160">
        <f t="shared" si="10"/>
        <v>0</v>
      </c>
      <c r="S7" s="103">
        <f t="shared" si="11"/>
        <v>0</v>
      </c>
      <c r="T7" s="9">
        <f t="shared" si="12"/>
        <v>6.4747999999999593</v>
      </c>
      <c r="U7" s="107">
        <f t="shared" si="13"/>
        <v>12302.119999999923</v>
      </c>
    </row>
    <row r="8" spans="1:25" ht="21" thickBot="1" x14ac:dyDescent="0.25">
      <c r="A8" s="10">
        <v>43530</v>
      </c>
      <c r="B8" s="1">
        <v>13931.609</v>
      </c>
      <c r="C8" s="160">
        <f t="shared" si="0"/>
        <v>4.081000000000131</v>
      </c>
      <c r="D8" s="103">
        <f t="shared" si="1"/>
        <v>7753.9000000002488</v>
      </c>
      <c r="E8" s="1">
        <v>2084.5140000000001</v>
      </c>
      <c r="F8" s="160">
        <f t="shared" si="2"/>
        <v>0.88500000000021828</v>
      </c>
      <c r="G8" s="103">
        <f t="shared" si="3"/>
        <v>1681.5000000004145</v>
      </c>
      <c r="H8" s="1">
        <v>855.45500000000004</v>
      </c>
      <c r="I8" s="160">
        <f t="shared" si="4"/>
        <v>0</v>
      </c>
      <c r="J8" s="103">
        <f t="shared" si="5"/>
        <v>0</v>
      </c>
      <c r="K8" s="8">
        <v>12668.92</v>
      </c>
      <c r="L8" s="160">
        <f t="shared" si="6"/>
        <v>0</v>
      </c>
      <c r="M8" s="103">
        <f t="shared" si="7"/>
        <v>0</v>
      </c>
      <c r="N8" s="8">
        <v>1709.6020000000001</v>
      </c>
      <c r="O8" s="160">
        <f t="shared" si="8"/>
        <v>0.9352000000001226</v>
      </c>
      <c r="P8" s="103">
        <f t="shared" si="9"/>
        <v>1776.8800000002329</v>
      </c>
      <c r="Q8" s="8">
        <v>3837.69</v>
      </c>
      <c r="R8" s="160">
        <f t="shared" si="10"/>
        <v>0</v>
      </c>
      <c r="S8" s="103">
        <f t="shared" si="11"/>
        <v>0</v>
      </c>
      <c r="T8" s="9">
        <f t="shared" si="12"/>
        <v>5.9012000000004718</v>
      </c>
      <c r="U8" s="107">
        <f t="shared" si="13"/>
        <v>11212.280000000897</v>
      </c>
    </row>
    <row r="9" spans="1:25" ht="21" thickBot="1" x14ac:dyDescent="0.25">
      <c r="A9" s="10">
        <v>43531</v>
      </c>
      <c r="B9" s="1">
        <v>13933.55</v>
      </c>
      <c r="C9" s="160">
        <f t="shared" si="0"/>
        <v>1.9409999999988941</v>
      </c>
      <c r="D9" s="103">
        <f t="shared" si="1"/>
        <v>3687.8999999978987</v>
      </c>
      <c r="E9" s="1">
        <v>2085.2930000000001</v>
      </c>
      <c r="F9" s="160">
        <f t="shared" si="2"/>
        <v>0.77899999999999636</v>
      </c>
      <c r="G9" s="103">
        <f t="shared" si="3"/>
        <v>1480.0999999999931</v>
      </c>
      <c r="H9" s="1">
        <v>855.45600000000002</v>
      </c>
      <c r="I9" s="160">
        <f t="shared" si="4"/>
        <v>9.9999999997635314E-4</v>
      </c>
      <c r="J9" s="103">
        <f t="shared" si="5"/>
        <v>1.899999999955071</v>
      </c>
      <c r="K9" s="8">
        <v>12668.92</v>
      </c>
      <c r="L9" s="160">
        <f t="shared" si="6"/>
        <v>0</v>
      </c>
      <c r="M9" s="103">
        <f t="shared" si="7"/>
        <v>0</v>
      </c>
      <c r="N9" s="8">
        <v>1710.5709999999999</v>
      </c>
      <c r="O9" s="160">
        <f t="shared" si="8"/>
        <v>0.96899999999982356</v>
      </c>
      <c r="P9" s="103">
        <f t="shared" si="9"/>
        <v>1841.0999999996648</v>
      </c>
      <c r="Q9" s="8">
        <v>3837.69</v>
      </c>
      <c r="R9" s="160">
        <f t="shared" si="10"/>
        <v>0</v>
      </c>
      <c r="S9" s="103">
        <f t="shared" si="11"/>
        <v>0</v>
      </c>
      <c r="T9" s="9">
        <f t="shared" si="12"/>
        <v>3.6899999999986903</v>
      </c>
      <c r="U9" s="107">
        <f t="shared" si="13"/>
        <v>7010.9999999975116</v>
      </c>
    </row>
    <row r="10" spans="1:25" ht="21" thickBot="1" x14ac:dyDescent="0.25">
      <c r="A10" s="10">
        <v>43532</v>
      </c>
      <c r="B10" s="1">
        <v>13940.069</v>
      </c>
      <c r="C10" s="160">
        <f t="shared" si="0"/>
        <v>6.5190000000002328</v>
      </c>
      <c r="D10" s="103">
        <f t="shared" si="1"/>
        <v>12386.100000000441</v>
      </c>
      <c r="E10" s="1">
        <v>2085.7869999999998</v>
      </c>
      <c r="F10" s="160">
        <f t="shared" si="2"/>
        <v>0.49399999999968713</v>
      </c>
      <c r="G10" s="103">
        <f t="shared" si="3"/>
        <v>938.59999999940544</v>
      </c>
      <c r="H10" s="1">
        <v>855.46100000000001</v>
      </c>
      <c r="I10" s="160">
        <f t="shared" si="4"/>
        <v>4.9999999999954525E-3</v>
      </c>
      <c r="J10" s="103">
        <f t="shared" si="5"/>
        <v>9.4999999999913598</v>
      </c>
      <c r="K10" s="8">
        <v>12668.92</v>
      </c>
      <c r="L10" s="160">
        <f t="shared" si="6"/>
        <v>0</v>
      </c>
      <c r="M10" s="103">
        <f t="shared" si="7"/>
        <v>0</v>
      </c>
      <c r="N10" s="8">
        <v>1711.7170000000001</v>
      </c>
      <c r="O10" s="160">
        <f t="shared" si="8"/>
        <v>1.1460000000001855</v>
      </c>
      <c r="P10" s="103">
        <f t="shared" si="9"/>
        <v>2177.4000000003525</v>
      </c>
      <c r="Q10" s="8">
        <v>3838.07</v>
      </c>
      <c r="R10" s="160">
        <f t="shared" si="10"/>
        <v>0.38000000000010914</v>
      </c>
      <c r="S10" s="103">
        <f t="shared" si="11"/>
        <v>722.00000000020736</v>
      </c>
      <c r="T10" s="9">
        <f t="shared" si="12"/>
        <v>8.5440000000002101</v>
      </c>
      <c r="U10" s="107">
        <f t="shared" si="13"/>
        <v>16233.600000000397</v>
      </c>
    </row>
    <row r="11" spans="1:25" ht="21" thickBot="1" x14ac:dyDescent="0.25">
      <c r="A11" s="10">
        <v>43533</v>
      </c>
      <c r="B11" s="1">
        <v>13945.026</v>
      </c>
      <c r="C11" s="160">
        <f t="shared" si="0"/>
        <v>4.9570000000003347</v>
      </c>
      <c r="D11" s="103">
        <f t="shared" si="1"/>
        <v>9418.3000000006359</v>
      </c>
      <c r="E11" s="1">
        <v>2086.2689999999998</v>
      </c>
      <c r="F11" s="160">
        <f t="shared" si="2"/>
        <v>0.4819999999999709</v>
      </c>
      <c r="G11" s="103">
        <f t="shared" si="3"/>
        <v>915.7999999999447</v>
      </c>
      <c r="H11" s="1">
        <v>855.51499999999999</v>
      </c>
      <c r="I11" s="160">
        <f t="shared" si="4"/>
        <v>5.3999999999973625E-2</v>
      </c>
      <c r="J11" s="103">
        <f t="shared" si="5"/>
        <v>102.59999999994989</v>
      </c>
      <c r="K11" s="8">
        <v>12669.64</v>
      </c>
      <c r="L11" s="160">
        <f t="shared" si="6"/>
        <v>0.71999999999934516</v>
      </c>
      <c r="M11" s="103">
        <f t="shared" si="7"/>
        <v>1367.9999999987558</v>
      </c>
      <c r="N11" s="8">
        <v>1713.075</v>
      </c>
      <c r="O11" s="160">
        <f t="shared" si="8"/>
        <v>1.3579999999999472</v>
      </c>
      <c r="P11" s="103">
        <f t="shared" si="9"/>
        <v>2580.1999999998998</v>
      </c>
      <c r="Q11" s="8">
        <v>3838.62</v>
      </c>
      <c r="R11" s="160">
        <f t="shared" si="10"/>
        <v>0.54999999999972715</v>
      </c>
      <c r="S11" s="103">
        <f t="shared" si="11"/>
        <v>1044.9999999994814</v>
      </c>
      <c r="T11" s="9">
        <f t="shared" si="12"/>
        <v>8.1209999999992988</v>
      </c>
      <c r="U11" s="107">
        <f t="shared" si="13"/>
        <v>15429.899999998668</v>
      </c>
    </row>
    <row r="12" spans="1:25" ht="21" thickBot="1" x14ac:dyDescent="0.25">
      <c r="A12" s="10">
        <v>43534</v>
      </c>
      <c r="B12" s="1">
        <v>13949.949000000001</v>
      </c>
      <c r="C12" s="160">
        <f t="shared" si="0"/>
        <v>4.9230000000006839</v>
      </c>
      <c r="D12" s="103">
        <f t="shared" si="1"/>
        <v>9353.7000000012977</v>
      </c>
      <c r="E12" s="1">
        <v>2087.4870000000001</v>
      </c>
      <c r="F12" s="160">
        <f t="shared" si="2"/>
        <v>1.218000000000302</v>
      </c>
      <c r="G12" s="103">
        <f t="shared" si="3"/>
        <v>2314.2000000005737</v>
      </c>
      <c r="H12" s="1">
        <v>855.62900000000002</v>
      </c>
      <c r="I12" s="160">
        <f t="shared" si="4"/>
        <v>0.11400000000003274</v>
      </c>
      <c r="J12" s="103">
        <f t="shared" si="5"/>
        <v>216.60000000006218</v>
      </c>
      <c r="K12" s="8">
        <v>12670.7</v>
      </c>
      <c r="L12" s="160">
        <f t="shared" si="6"/>
        <v>1.0600000000013097</v>
      </c>
      <c r="M12" s="103">
        <f t="shared" si="7"/>
        <v>2014.0000000024884</v>
      </c>
      <c r="N12" s="8">
        <v>1714.2729999999999</v>
      </c>
      <c r="O12" s="160">
        <f t="shared" si="8"/>
        <v>1.1979999999998654</v>
      </c>
      <c r="P12" s="103">
        <f t="shared" si="9"/>
        <v>2276.1999999997438</v>
      </c>
      <c r="Q12" s="8">
        <v>3838.62</v>
      </c>
      <c r="R12" s="160">
        <f t="shared" si="10"/>
        <v>0</v>
      </c>
      <c r="S12" s="103">
        <f t="shared" si="11"/>
        <v>0</v>
      </c>
      <c r="T12" s="9">
        <f t="shared" si="12"/>
        <v>8.5130000000021937</v>
      </c>
      <c r="U12" s="107">
        <f t="shared" si="13"/>
        <v>16174.700000004168</v>
      </c>
    </row>
    <row r="13" spans="1:25" ht="21" thickBot="1" x14ac:dyDescent="0.25">
      <c r="A13" s="10">
        <v>43535</v>
      </c>
      <c r="B13" s="1">
        <v>13954.681</v>
      </c>
      <c r="C13" s="160">
        <f t="shared" si="0"/>
        <v>4.7319999999999709</v>
      </c>
      <c r="D13" s="103">
        <f t="shared" si="1"/>
        <v>8990.7999999999447</v>
      </c>
      <c r="E13" s="1">
        <v>2088.7339999999999</v>
      </c>
      <c r="F13" s="160">
        <f t="shared" si="2"/>
        <v>1.2469999999998436</v>
      </c>
      <c r="G13" s="103">
        <f t="shared" si="3"/>
        <v>2369.2999999997028</v>
      </c>
      <c r="H13" s="1">
        <v>855.68499999999995</v>
      </c>
      <c r="I13" s="160">
        <f t="shared" si="4"/>
        <v>5.5999999999926331E-2</v>
      </c>
      <c r="J13" s="103">
        <f t="shared" si="5"/>
        <v>106.39999999986003</v>
      </c>
      <c r="K13" s="8">
        <v>12671.29</v>
      </c>
      <c r="L13" s="160">
        <f t="shared" si="6"/>
        <v>0.59000000000014552</v>
      </c>
      <c r="M13" s="103">
        <f t="shared" si="7"/>
        <v>1121.0000000002765</v>
      </c>
      <c r="N13" s="8">
        <v>1715.4649999999999</v>
      </c>
      <c r="O13" s="160">
        <f t="shared" si="8"/>
        <v>1.1920000000000073</v>
      </c>
      <c r="P13" s="103">
        <f t="shared" si="9"/>
        <v>2264.8000000000138</v>
      </c>
      <c r="Q13" s="8">
        <v>3838.62</v>
      </c>
      <c r="R13" s="160">
        <f t="shared" si="10"/>
        <v>0</v>
      </c>
      <c r="S13" s="103">
        <f t="shared" si="11"/>
        <v>0</v>
      </c>
      <c r="T13" s="9">
        <f t="shared" si="12"/>
        <v>7.8169999999998936</v>
      </c>
      <c r="U13" s="107">
        <f t="shared" si="13"/>
        <v>14852.299999999797</v>
      </c>
    </row>
    <row r="14" spans="1:25" ht="21" thickBot="1" x14ac:dyDescent="0.25">
      <c r="A14" s="10">
        <v>43536</v>
      </c>
      <c r="B14" s="1">
        <v>13959.543</v>
      </c>
      <c r="C14" s="160">
        <f t="shared" si="0"/>
        <v>4.8619999999991705</v>
      </c>
      <c r="D14" s="103">
        <f t="shared" si="1"/>
        <v>9237.799999998424</v>
      </c>
      <c r="E14" s="1">
        <v>2089.9</v>
      </c>
      <c r="F14" s="160">
        <f>IF((E14-E13)&lt;0,"0",(E14-E13))</f>
        <v>1.1660000000001673</v>
      </c>
      <c r="G14" s="103">
        <f t="shared" si="3"/>
        <v>2215.400000000318</v>
      </c>
      <c r="H14" s="1">
        <v>855.68600000000004</v>
      </c>
      <c r="I14" s="160">
        <f t="shared" si="4"/>
        <v>1.00000000009004E-3</v>
      </c>
      <c r="J14" s="103">
        <f t="shared" si="5"/>
        <v>1.9000000001710757</v>
      </c>
      <c r="K14" s="8">
        <v>12672.33</v>
      </c>
      <c r="L14" s="160">
        <f t="shared" si="6"/>
        <v>1.0399999999990541</v>
      </c>
      <c r="M14" s="103">
        <f t="shared" si="7"/>
        <v>1975.9999999982028</v>
      </c>
      <c r="N14" s="8">
        <v>1716.635</v>
      </c>
      <c r="O14" s="160">
        <f t="shared" si="8"/>
        <v>1.1700000000000728</v>
      </c>
      <c r="P14" s="103">
        <f t="shared" si="9"/>
        <v>2223.0000000001378</v>
      </c>
      <c r="Q14" s="8">
        <v>3838.62</v>
      </c>
      <c r="R14" s="160">
        <f t="shared" si="10"/>
        <v>0</v>
      </c>
      <c r="S14" s="103">
        <f t="shared" si="11"/>
        <v>0</v>
      </c>
      <c r="T14" s="9">
        <f t="shared" si="12"/>
        <v>8.2389999999985548</v>
      </c>
      <c r="U14" s="107">
        <f t="shared" si="13"/>
        <v>15654.099999997254</v>
      </c>
    </row>
    <row r="15" spans="1:25" ht="21" thickBot="1" x14ac:dyDescent="0.25">
      <c r="A15" s="10">
        <v>43537</v>
      </c>
      <c r="B15" s="1">
        <v>13964.342000000001</v>
      </c>
      <c r="C15" s="160">
        <f t="shared" si="0"/>
        <v>4.7990000000008877</v>
      </c>
      <c r="D15" s="103">
        <f t="shared" si="1"/>
        <v>9118.1000000016866</v>
      </c>
      <c r="E15" s="1">
        <v>2090.8850000000002</v>
      </c>
      <c r="F15" s="160">
        <f>IF((E15-E14)&lt;0,"0",(E15-E14))</f>
        <v>0.98500000000012733</v>
      </c>
      <c r="G15" s="103">
        <f t="shared" si="3"/>
        <v>1871.5000000002417</v>
      </c>
      <c r="H15" s="1">
        <v>855.68600000000004</v>
      </c>
      <c r="I15" s="160">
        <f t="shared" si="4"/>
        <v>0</v>
      </c>
      <c r="J15" s="103">
        <f t="shared" si="5"/>
        <v>0</v>
      </c>
      <c r="K15" s="8">
        <v>12672.91</v>
      </c>
      <c r="L15" s="160">
        <f t="shared" si="6"/>
        <v>0.57999999999992724</v>
      </c>
      <c r="M15" s="103">
        <f t="shared" si="7"/>
        <v>1101.9999999998618</v>
      </c>
      <c r="N15" s="8">
        <v>1718.038</v>
      </c>
      <c r="O15" s="160">
        <f t="shared" si="8"/>
        <v>1.40300000000002</v>
      </c>
      <c r="P15" s="103">
        <f t="shared" si="9"/>
        <v>2665.700000000038</v>
      </c>
      <c r="Q15" s="8">
        <v>3838.62</v>
      </c>
      <c r="R15" s="160">
        <f t="shared" si="10"/>
        <v>0</v>
      </c>
      <c r="S15" s="103">
        <f t="shared" si="11"/>
        <v>0</v>
      </c>
      <c r="T15" s="9">
        <f t="shared" si="12"/>
        <v>7.7670000000009622</v>
      </c>
      <c r="U15" s="107">
        <f t="shared" si="13"/>
        <v>14757.300000001827</v>
      </c>
      <c r="W15" t="s">
        <v>13</v>
      </c>
    </row>
    <row r="16" spans="1:25" ht="21" thickBot="1" x14ac:dyDescent="0.25">
      <c r="A16" s="10">
        <v>43538</v>
      </c>
      <c r="B16" s="1">
        <v>13968.842000000001</v>
      </c>
      <c r="C16" s="160">
        <f t="shared" si="0"/>
        <v>4.5</v>
      </c>
      <c r="D16" s="103">
        <f t="shared" si="1"/>
        <v>8549.9999999999982</v>
      </c>
      <c r="E16" s="1">
        <v>2091.6979999999999</v>
      </c>
      <c r="F16" s="160">
        <f>IF((E16-E15)&lt;0,"0",(E16-E15))</f>
        <v>0.81299999999964712</v>
      </c>
      <c r="G16" s="103">
        <f t="shared" si="3"/>
        <v>1544.6999999993293</v>
      </c>
      <c r="H16" s="1">
        <v>855.68799999999999</v>
      </c>
      <c r="I16" s="160">
        <f t="shared" si="4"/>
        <v>1.9999999999527063E-3</v>
      </c>
      <c r="J16" s="103">
        <f t="shared" si="5"/>
        <v>3.7999999999101419</v>
      </c>
      <c r="K16" s="8">
        <v>12673.69</v>
      </c>
      <c r="L16" s="160">
        <f t="shared" si="6"/>
        <v>0.78000000000065484</v>
      </c>
      <c r="M16" s="103">
        <f t="shared" si="7"/>
        <v>1482.0000000012442</v>
      </c>
      <c r="N16" s="8">
        <v>1719.0060000000001</v>
      </c>
      <c r="O16" s="160">
        <f t="shared" si="8"/>
        <v>0.96800000000007458</v>
      </c>
      <c r="P16" s="103">
        <f t="shared" si="9"/>
        <v>1839.2000000001417</v>
      </c>
      <c r="Q16" s="8">
        <v>3838.62</v>
      </c>
      <c r="R16" s="160">
        <f t="shared" si="10"/>
        <v>0</v>
      </c>
      <c r="S16" s="103">
        <f t="shared" si="11"/>
        <v>0</v>
      </c>
      <c r="T16" s="9">
        <f t="shared" si="12"/>
        <v>7.0630000000003292</v>
      </c>
      <c r="U16" s="107">
        <f t="shared" si="13"/>
        <v>13419.700000000625</v>
      </c>
      <c r="Y16" t="s">
        <v>13</v>
      </c>
    </row>
    <row r="17" spans="1:24" ht="21" thickBot="1" x14ac:dyDescent="0.25">
      <c r="A17" s="10">
        <v>43539</v>
      </c>
      <c r="B17" s="1">
        <v>13972.248</v>
      </c>
      <c r="C17" s="160">
        <f t="shared" si="0"/>
        <v>3.4059999999990396</v>
      </c>
      <c r="D17" s="103">
        <f t="shared" si="1"/>
        <v>6471.3999999981752</v>
      </c>
      <c r="E17" s="1">
        <v>2092.19</v>
      </c>
      <c r="F17" s="160">
        <f t="shared" si="2"/>
        <v>0.49200000000018917</v>
      </c>
      <c r="G17" s="103">
        <f t="shared" si="3"/>
        <v>934.80000000035932</v>
      </c>
      <c r="H17" s="1">
        <v>855.68799999999999</v>
      </c>
      <c r="I17" s="160">
        <f t="shared" si="4"/>
        <v>0</v>
      </c>
      <c r="J17" s="103">
        <f t="shared" si="5"/>
        <v>0</v>
      </c>
      <c r="K17" s="8">
        <v>12674.3</v>
      </c>
      <c r="L17" s="160">
        <f t="shared" si="6"/>
        <v>0.60999999999876309</v>
      </c>
      <c r="M17" s="103">
        <f t="shared" si="7"/>
        <v>1158.9999999976499</v>
      </c>
      <c r="N17" s="8">
        <v>1720.25</v>
      </c>
      <c r="O17" s="160">
        <f t="shared" si="8"/>
        <v>1.2439999999999145</v>
      </c>
      <c r="P17" s="103">
        <f t="shared" si="9"/>
        <v>2363.5999999998376</v>
      </c>
      <c r="Q17" s="8">
        <v>3838.62</v>
      </c>
      <c r="R17" s="160">
        <f t="shared" si="10"/>
        <v>0</v>
      </c>
      <c r="S17" s="103">
        <f t="shared" si="11"/>
        <v>0</v>
      </c>
      <c r="T17" s="9">
        <f t="shared" si="12"/>
        <v>5.7519999999979063</v>
      </c>
      <c r="U17" s="107">
        <f t="shared" si="13"/>
        <v>10928.799999996021</v>
      </c>
    </row>
    <row r="18" spans="1:24" ht="21" thickBot="1" x14ac:dyDescent="0.25">
      <c r="A18" s="10">
        <v>43540</v>
      </c>
      <c r="B18" s="1">
        <v>13978.843999999999</v>
      </c>
      <c r="C18" s="160">
        <f t="shared" si="0"/>
        <v>6.5959999999995489</v>
      </c>
      <c r="D18" s="103">
        <f t="shared" si="1"/>
        <v>12532.399999999143</v>
      </c>
      <c r="E18" s="1">
        <v>2092.9140000000002</v>
      </c>
      <c r="F18" s="160">
        <f t="shared" si="2"/>
        <v>0.72400000000016007</v>
      </c>
      <c r="G18" s="103">
        <f t="shared" si="3"/>
        <v>1375.6000000003041</v>
      </c>
      <c r="H18" s="1">
        <v>855.69100000000003</v>
      </c>
      <c r="I18" s="160">
        <f t="shared" si="4"/>
        <v>3.0000000000427463E-3</v>
      </c>
      <c r="J18" s="103">
        <f t="shared" si="5"/>
        <v>5.700000000081217</v>
      </c>
      <c r="K18" s="8">
        <v>12674.84</v>
      </c>
      <c r="L18" s="160">
        <f t="shared" si="6"/>
        <v>0.54000000000087311</v>
      </c>
      <c r="M18" s="103">
        <f t="shared" si="7"/>
        <v>1026.0000000016589</v>
      </c>
      <c r="N18" s="8">
        <v>1721.56</v>
      </c>
      <c r="O18" s="160">
        <f t="shared" si="8"/>
        <v>1.3099999999999454</v>
      </c>
      <c r="P18" s="103">
        <f t="shared" si="9"/>
        <v>2488.9999999998963</v>
      </c>
      <c r="Q18" s="8">
        <v>3838.62</v>
      </c>
      <c r="R18" s="160">
        <f t="shared" si="10"/>
        <v>0</v>
      </c>
      <c r="S18" s="103">
        <f t="shared" si="11"/>
        <v>0</v>
      </c>
      <c r="T18" s="9">
        <f t="shared" si="12"/>
        <v>9.1730000000005703</v>
      </c>
      <c r="U18" s="107">
        <f t="shared" si="13"/>
        <v>17428.700000001081</v>
      </c>
    </row>
    <row r="19" spans="1:24" ht="21" thickBot="1" x14ac:dyDescent="0.25">
      <c r="A19" s="10">
        <v>43541</v>
      </c>
      <c r="B19" s="1">
        <v>13984.736999999999</v>
      </c>
      <c r="C19" s="160">
        <f t="shared" si="0"/>
        <v>5.8930000000000291</v>
      </c>
      <c r="D19" s="103">
        <f t="shared" si="1"/>
        <v>11196.700000000055</v>
      </c>
      <c r="E19" s="1">
        <v>2093.9929999999999</v>
      </c>
      <c r="F19" s="160">
        <f t="shared" si="2"/>
        <v>1.0789999999997235</v>
      </c>
      <c r="G19" s="103">
        <f t="shared" si="3"/>
        <v>2050.0999999994747</v>
      </c>
      <c r="H19" s="1">
        <v>855.69100000000003</v>
      </c>
      <c r="I19" s="160">
        <f t="shared" si="4"/>
        <v>0</v>
      </c>
      <c r="J19" s="103">
        <f t="shared" si="5"/>
        <v>0</v>
      </c>
      <c r="K19" s="8">
        <v>12675.54</v>
      </c>
      <c r="L19" s="160">
        <f t="shared" si="6"/>
        <v>0.7000000000007276</v>
      </c>
      <c r="M19" s="103">
        <f t="shared" si="7"/>
        <v>1330.0000000013822</v>
      </c>
      <c r="N19" s="8">
        <v>1722.671</v>
      </c>
      <c r="O19" s="160">
        <f t="shared" si="8"/>
        <v>1.1110000000001037</v>
      </c>
      <c r="P19" s="103">
        <f t="shared" si="9"/>
        <v>2110.9000000001965</v>
      </c>
      <c r="Q19" s="8">
        <v>3838.62</v>
      </c>
      <c r="R19" s="160">
        <f t="shared" si="10"/>
        <v>0</v>
      </c>
      <c r="S19" s="103">
        <f t="shared" si="11"/>
        <v>0</v>
      </c>
      <c r="T19" s="9">
        <f t="shared" si="12"/>
        <v>8.7830000000005839</v>
      </c>
      <c r="U19" s="107">
        <f t="shared" si="13"/>
        <v>16687.700000001107</v>
      </c>
    </row>
    <row r="20" spans="1:24" ht="21" thickBot="1" x14ac:dyDescent="0.25">
      <c r="A20" s="10">
        <v>43542</v>
      </c>
      <c r="B20" s="1">
        <v>13990.029</v>
      </c>
      <c r="C20" s="160">
        <f t="shared" si="0"/>
        <v>5.2920000000012806</v>
      </c>
      <c r="D20" s="103">
        <f t="shared" si="1"/>
        <v>10054.800000002431</v>
      </c>
      <c r="E20" s="1">
        <v>2095.2469999999998</v>
      </c>
      <c r="F20" s="160">
        <f t="shared" si="2"/>
        <v>1.2539999999999054</v>
      </c>
      <c r="G20" s="103">
        <f t="shared" si="3"/>
        <v>2382.5999999998203</v>
      </c>
      <c r="H20" s="1">
        <v>855.69100000000003</v>
      </c>
      <c r="I20" s="160">
        <f t="shared" si="4"/>
        <v>0</v>
      </c>
      <c r="J20" s="103">
        <f t="shared" si="5"/>
        <v>0</v>
      </c>
      <c r="K20" s="8">
        <v>12676.57</v>
      </c>
      <c r="L20" s="160">
        <f t="shared" si="6"/>
        <v>1.0299999999988358</v>
      </c>
      <c r="M20" s="103">
        <f t="shared" si="7"/>
        <v>1956.9999999977881</v>
      </c>
      <c r="N20" s="8">
        <v>1723.9880000000001</v>
      </c>
      <c r="O20" s="160">
        <f t="shared" si="8"/>
        <v>1.3170000000000073</v>
      </c>
      <c r="P20" s="103">
        <f t="shared" si="9"/>
        <v>2502.3000000000138</v>
      </c>
      <c r="Q20" s="8">
        <v>3838.62</v>
      </c>
      <c r="R20" s="160">
        <f t="shared" si="10"/>
        <v>0</v>
      </c>
      <c r="S20" s="103">
        <f t="shared" si="11"/>
        <v>0</v>
      </c>
      <c r="T20" s="9">
        <f t="shared" si="12"/>
        <v>8.8930000000000291</v>
      </c>
      <c r="U20" s="107">
        <f t="shared" si="13"/>
        <v>16896.700000000055</v>
      </c>
      <c r="X20" t="s">
        <v>13</v>
      </c>
    </row>
    <row r="21" spans="1:24" ht="21" thickBot="1" x14ac:dyDescent="0.25">
      <c r="A21" s="10">
        <v>43543</v>
      </c>
      <c r="B21" s="1">
        <v>13995.724</v>
      </c>
      <c r="C21" s="160">
        <f t="shared" si="0"/>
        <v>5.694999999999709</v>
      </c>
      <c r="D21" s="103">
        <f t="shared" si="1"/>
        <v>10820.499999999447</v>
      </c>
      <c r="E21" s="1">
        <v>2096.8139999999999</v>
      </c>
      <c r="F21" s="160">
        <f t="shared" si="2"/>
        <v>1.5670000000000073</v>
      </c>
      <c r="G21" s="103">
        <f t="shared" si="3"/>
        <v>2977.3000000000138</v>
      </c>
      <c r="H21" s="1">
        <v>855.69100000000003</v>
      </c>
      <c r="I21" s="160">
        <f t="shared" si="4"/>
        <v>0</v>
      </c>
      <c r="J21" s="103">
        <f t="shared" si="5"/>
        <v>0</v>
      </c>
      <c r="K21" s="8">
        <v>12677.53</v>
      </c>
      <c r="L21" s="160">
        <f t="shared" si="6"/>
        <v>0.96000000000094587</v>
      </c>
      <c r="M21" s="103">
        <f t="shared" si="7"/>
        <v>1824.0000000017972</v>
      </c>
      <c r="N21" s="8">
        <v>1725.537</v>
      </c>
      <c r="O21" s="160">
        <f t="shared" si="8"/>
        <v>1.5489999999999782</v>
      </c>
      <c r="P21" s="103">
        <f t="shared" si="9"/>
        <v>2943.0999999999585</v>
      </c>
      <c r="Q21" s="8">
        <v>3838.62</v>
      </c>
      <c r="R21" s="160">
        <f t="shared" si="10"/>
        <v>0</v>
      </c>
      <c r="S21" s="103">
        <f t="shared" si="11"/>
        <v>0</v>
      </c>
      <c r="T21" s="9">
        <f t="shared" si="12"/>
        <v>9.7710000000006403</v>
      </c>
      <c r="U21" s="107">
        <f t="shared" si="13"/>
        <v>18564.900000001217</v>
      </c>
    </row>
    <row r="22" spans="1:24" ht="21" thickBot="1" x14ac:dyDescent="0.25">
      <c r="A22" s="10">
        <v>43544</v>
      </c>
      <c r="B22" s="1">
        <v>14001.481</v>
      </c>
      <c r="C22" s="160">
        <f t="shared" si="0"/>
        <v>5.7569999999996071</v>
      </c>
      <c r="D22" s="103">
        <f t="shared" si="1"/>
        <v>10938.299999999253</v>
      </c>
      <c r="E22" s="1">
        <v>2098.1709999999998</v>
      </c>
      <c r="F22" s="160">
        <f t="shared" si="2"/>
        <v>1.3569999999999709</v>
      </c>
      <c r="G22" s="103">
        <f t="shared" si="3"/>
        <v>2578.2999999999447</v>
      </c>
      <c r="H22" s="1">
        <v>855.69100000000003</v>
      </c>
      <c r="I22" s="160">
        <f t="shared" si="4"/>
        <v>0</v>
      </c>
      <c r="J22" s="103">
        <f t="shared" si="5"/>
        <v>0</v>
      </c>
      <c r="K22" s="8">
        <v>12678.61</v>
      </c>
      <c r="L22" s="160">
        <f t="shared" si="6"/>
        <v>1.0799999999999272</v>
      </c>
      <c r="M22" s="103">
        <f t="shared" si="7"/>
        <v>2051.9999999998613</v>
      </c>
      <c r="N22" s="8">
        <v>1726.998</v>
      </c>
      <c r="O22" s="160">
        <f t="shared" si="8"/>
        <v>1.4610000000000127</v>
      </c>
      <c r="P22" s="103">
        <f t="shared" si="9"/>
        <v>2775.9000000000242</v>
      </c>
      <c r="Q22" s="8">
        <v>3838.62</v>
      </c>
      <c r="R22" s="160">
        <f t="shared" si="10"/>
        <v>0</v>
      </c>
      <c r="S22" s="103">
        <f t="shared" si="11"/>
        <v>0</v>
      </c>
      <c r="T22" s="9">
        <f t="shared" si="12"/>
        <v>9.654999999999518</v>
      </c>
      <c r="U22" s="107">
        <f t="shared" si="13"/>
        <v>18344.499999999083</v>
      </c>
    </row>
    <row r="23" spans="1:24" ht="21" thickBot="1" x14ac:dyDescent="0.25">
      <c r="A23" s="10">
        <v>43545</v>
      </c>
      <c r="B23" s="1">
        <v>14007.727000000001</v>
      </c>
      <c r="C23" s="160">
        <f t="shared" si="0"/>
        <v>6.2460000000010041</v>
      </c>
      <c r="D23" s="103">
        <f t="shared" si="1"/>
        <v>11867.400000001908</v>
      </c>
      <c r="E23" s="1">
        <v>2099.4670000000001</v>
      </c>
      <c r="F23" s="160">
        <f t="shared" si="2"/>
        <v>1.2960000000002765</v>
      </c>
      <c r="G23" s="103">
        <f t="shared" si="3"/>
        <v>2462.4000000005249</v>
      </c>
      <c r="H23" s="1">
        <v>855.69100000000003</v>
      </c>
      <c r="I23" s="160">
        <f t="shared" si="4"/>
        <v>0</v>
      </c>
      <c r="J23" s="103">
        <f t="shared" si="5"/>
        <v>0</v>
      </c>
      <c r="K23" s="8">
        <v>12679.66</v>
      </c>
      <c r="L23" s="160">
        <f t="shared" si="6"/>
        <v>1.0499999999992724</v>
      </c>
      <c r="M23" s="103">
        <f t="shared" si="7"/>
        <v>1994.9999999986173</v>
      </c>
      <c r="N23" s="8">
        <v>1728.742</v>
      </c>
      <c r="O23" s="160">
        <f t="shared" si="8"/>
        <v>1.7439999999999145</v>
      </c>
      <c r="P23" s="103">
        <f t="shared" si="9"/>
        <v>3313.5999999998376</v>
      </c>
      <c r="Q23" s="8">
        <v>3838.62</v>
      </c>
      <c r="R23" s="160">
        <f t="shared" si="10"/>
        <v>0</v>
      </c>
      <c r="S23" s="103">
        <f t="shared" si="11"/>
        <v>0</v>
      </c>
      <c r="T23" s="9">
        <f t="shared" si="12"/>
        <v>10.336000000000467</v>
      </c>
      <c r="U23" s="107">
        <f t="shared" si="13"/>
        <v>19638.400000000889</v>
      </c>
    </row>
    <row r="24" spans="1:24" ht="21" thickBot="1" x14ac:dyDescent="0.25">
      <c r="A24" s="10">
        <v>43546</v>
      </c>
      <c r="B24" s="1">
        <v>14013.199000000001</v>
      </c>
      <c r="C24" s="160">
        <f t="shared" si="0"/>
        <v>5.4719999999997526</v>
      </c>
      <c r="D24" s="103">
        <f t="shared" si="1"/>
        <v>10396.79999999953</v>
      </c>
      <c r="E24" s="1">
        <v>2100.14</v>
      </c>
      <c r="F24" s="160">
        <f t="shared" si="2"/>
        <v>0.67299999999977445</v>
      </c>
      <c r="G24" s="103">
        <f t="shared" si="3"/>
        <v>1278.6999999995714</v>
      </c>
      <c r="H24" s="1">
        <v>855.69100000000003</v>
      </c>
      <c r="I24" s="160">
        <f t="shared" si="4"/>
        <v>0</v>
      </c>
      <c r="J24" s="103">
        <f t="shared" si="5"/>
        <v>0</v>
      </c>
      <c r="K24" s="8">
        <v>12680.7</v>
      </c>
      <c r="L24" s="160">
        <f t="shared" si="6"/>
        <v>1.0400000000008731</v>
      </c>
      <c r="M24" s="103">
        <f t="shared" si="7"/>
        <v>1976.0000000016589</v>
      </c>
      <c r="N24" s="8">
        <v>1730.1569999999999</v>
      </c>
      <c r="O24" s="160">
        <f t="shared" si="8"/>
        <v>1.4149999999999636</v>
      </c>
      <c r="P24" s="103">
        <f t="shared" si="9"/>
        <v>2688.4999999999304</v>
      </c>
      <c r="Q24" s="8">
        <v>3838.62</v>
      </c>
      <c r="R24" s="160">
        <f t="shared" si="10"/>
        <v>0</v>
      </c>
      <c r="S24" s="103">
        <f t="shared" si="11"/>
        <v>0</v>
      </c>
      <c r="T24" s="9">
        <f t="shared" si="12"/>
        <v>8.6000000000003638</v>
      </c>
      <c r="U24" s="107">
        <f t="shared" si="13"/>
        <v>16340.000000000689</v>
      </c>
    </row>
    <row r="25" spans="1:24" ht="21" thickBot="1" x14ac:dyDescent="0.25">
      <c r="A25" s="10">
        <v>43547</v>
      </c>
      <c r="B25" s="1">
        <v>14018.422</v>
      </c>
      <c r="C25" s="160">
        <f t="shared" si="0"/>
        <v>5.2229999999999563</v>
      </c>
      <c r="D25" s="103">
        <f t="shared" si="1"/>
        <v>9923.6999999999171</v>
      </c>
      <c r="E25" s="1">
        <v>2100.8180000000002</v>
      </c>
      <c r="F25" s="160">
        <f t="shared" si="2"/>
        <v>0.67800000000033833</v>
      </c>
      <c r="G25" s="103">
        <f t="shared" si="3"/>
        <v>1288.2000000006428</v>
      </c>
      <c r="H25" s="1">
        <v>855.74900000000002</v>
      </c>
      <c r="I25" s="160">
        <f t="shared" si="4"/>
        <v>5.7999999999992724E-2</v>
      </c>
      <c r="J25" s="103">
        <f t="shared" si="5"/>
        <v>110.19999999998618</v>
      </c>
      <c r="K25" s="8">
        <v>12681.76</v>
      </c>
      <c r="L25" s="160">
        <f t="shared" si="6"/>
        <v>1.0599999999994907</v>
      </c>
      <c r="M25" s="103">
        <f t="shared" si="7"/>
        <v>2013.9999999990321</v>
      </c>
      <c r="N25" s="8">
        <v>1731.451</v>
      </c>
      <c r="O25" s="160">
        <f t="shared" si="8"/>
        <v>1.2940000000000964</v>
      </c>
      <c r="P25" s="103">
        <f t="shared" si="9"/>
        <v>2458.6000000001832</v>
      </c>
      <c r="Q25" s="8">
        <v>3838.62</v>
      </c>
      <c r="R25" s="160">
        <f t="shared" si="10"/>
        <v>0</v>
      </c>
      <c r="S25" s="103">
        <f t="shared" si="11"/>
        <v>0</v>
      </c>
      <c r="T25" s="9">
        <f t="shared" si="12"/>
        <v>8.3129999999998745</v>
      </c>
      <c r="U25" s="107">
        <f t="shared" si="13"/>
        <v>15794.699999999761</v>
      </c>
    </row>
    <row r="26" spans="1:24" ht="21" thickBot="1" x14ac:dyDescent="0.25">
      <c r="A26" s="10">
        <v>43548</v>
      </c>
      <c r="B26" s="1">
        <v>14023.503000000001</v>
      </c>
      <c r="C26" s="160">
        <f t="shared" si="0"/>
        <v>5.081000000000131</v>
      </c>
      <c r="D26" s="103">
        <f t="shared" si="1"/>
        <v>9653.9000000002488</v>
      </c>
      <c r="E26" s="1">
        <v>2102.3159999999998</v>
      </c>
      <c r="F26" s="160">
        <f t="shared" si="2"/>
        <v>1.4979999999995925</v>
      </c>
      <c r="G26" s="103">
        <f t="shared" si="3"/>
        <v>2846.1999999992254</v>
      </c>
      <c r="H26" s="1">
        <v>855.74900000000002</v>
      </c>
      <c r="I26" s="160">
        <f t="shared" si="4"/>
        <v>0</v>
      </c>
      <c r="J26" s="103">
        <f t="shared" si="5"/>
        <v>0</v>
      </c>
      <c r="K26" s="8">
        <v>12682.92</v>
      </c>
      <c r="L26" s="160">
        <f t="shared" si="6"/>
        <v>1.1599999999998545</v>
      </c>
      <c r="M26" s="103">
        <f t="shared" si="7"/>
        <v>2203.9999999997235</v>
      </c>
      <c r="N26" s="8">
        <v>1732.6869999999999</v>
      </c>
      <c r="O26" s="160">
        <f t="shared" si="8"/>
        <v>1.2359999999998763</v>
      </c>
      <c r="P26" s="103">
        <f t="shared" si="9"/>
        <v>2348.399999999765</v>
      </c>
      <c r="Q26" s="8">
        <v>3838.76</v>
      </c>
      <c r="R26" s="160">
        <f t="shared" si="10"/>
        <v>0.14000000000032742</v>
      </c>
      <c r="S26" s="103">
        <f t="shared" si="11"/>
        <v>266.00000000062209</v>
      </c>
      <c r="T26" s="9">
        <f t="shared" si="12"/>
        <v>9.1149999999997817</v>
      </c>
      <c r="U26" s="107">
        <f t="shared" si="13"/>
        <v>17318.499999999585</v>
      </c>
      <c r="V26" t="s">
        <v>13</v>
      </c>
    </row>
    <row r="27" spans="1:24" ht="21" thickBot="1" x14ac:dyDescent="0.25">
      <c r="A27" s="10">
        <v>43549</v>
      </c>
      <c r="B27" s="1">
        <v>14028.415999999999</v>
      </c>
      <c r="C27" s="160">
        <f t="shared" si="0"/>
        <v>4.9129999999986467</v>
      </c>
      <c r="D27" s="103">
        <f t="shared" si="1"/>
        <v>9334.6999999974269</v>
      </c>
      <c r="E27" s="1">
        <v>2103.5230000000001</v>
      </c>
      <c r="F27" s="160">
        <f t="shared" si="2"/>
        <v>1.2070000000003347</v>
      </c>
      <c r="G27" s="103">
        <f t="shared" si="3"/>
        <v>2293.3000000006359</v>
      </c>
      <c r="H27" s="1">
        <v>855.75</v>
      </c>
      <c r="I27" s="160">
        <f t="shared" si="4"/>
        <v>9.9999999997635314E-4</v>
      </c>
      <c r="J27" s="103">
        <f t="shared" si="5"/>
        <v>1.899999999955071</v>
      </c>
      <c r="K27" s="8">
        <v>12683.79</v>
      </c>
      <c r="L27" s="160">
        <f t="shared" si="6"/>
        <v>0.87000000000080036</v>
      </c>
      <c r="M27" s="103">
        <f t="shared" si="7"/>
        <v>1653.0000000015207</v>
      </c>
      <c r="N27" s="8">
        <v>1734.17</v>
      </c>
      <c r="O27" s="160">
        <f t="shared" si="8"/>
        <v>1.4830000000001746</v>
      </c>
      <c r="P27" s="103">
        <f t="shared" si="9"/>
        <v>2817.7000000003318</v>
      </c>
      <c r="Q27" s="8">
        <v>3838.76</v>
      </c>
      <c r="R27" s="160">
        <f t="shared" si="10"/>
        <v>0</v>
      </c>
      <c r="S27" s="103">
        <f t="shared" si="11"/>
        <v>0</v>
      </c>
      <c r="T27" s="9">
        <f t="shared" si="12"/>
        <v>8.4739999999999327</v>
      </c>
      <c r="U27" s="107">
        <f t="shared" si="13"/>
        <v>16100.599999999871</v>
      </c>
      <c r="V27" t="s">
        <v>13</v>
      </c>
    </row>
    <row r="28" spans="1:24" ht="21" thickBot="1" x14ac:dyDescent="0.25">
      <c r="A28" s="10">
        <v>43550</v>
      </c>
      <c r="B28" s="1">
        <v>14033.343999999999</v>
      </c>
      <c r="C28" s="160">
        <f t="shared" si="0"/>
        <v>4.9279999999998836</v>
      </c>
      <c r="D28" s="103">
        <f t="shared" si="1"/>
        <v>9363.1999999997788</v>
      </c>
      <c r="E28" s="1">
        <v>2104.9450000000002</v>
      </c>
      <c r="F28" s="160">
        <f t="shared" si="2"/>
        <v>1.4220000000000255</v>
      </c>
      <c r="G28" s="103">
        <f t="shared" si="3"/>
        <v>2701.8000000000484</v>
      </c>
      <c r="H28" s="1">
        <v>855.75</v>
      </c>
      <c r="I28" s="160">
        <f t="shared" si="4"/>
        <v>0</v>
      </c>
      <c r="J28" s="103">
        <f t="shared" si="5"/>
        <v>0</v>
      </c>
      <c r="K28" s="8">
        <v>12684.84</v>
      </c>
      <c r="L28" s="160">
        <f t="shared" si="6"/>
        <v>1.0499999999992724</v>
      </c>
      <c r="M28" s="103">
        <f t="shared" si="7"/>
        <v>1994.9999999986173</v>
      </c>
      <c r="N28" s="8">
        <v>1735.442</v>
      </c>
      <c r="O28" s="160">
        <f t="shared" si="8"/>
        <v>1.2719999999999345</v>
      </c>
      <c r="P28" s="103">
        <f t="shared" si="9"/>
        <v>2416.7999999998756</v>
      </c>
      <c r="Q28" s="8">
        <v>3838.76</v>
      </c>
      <c r="R28" s="160">
        <f t="shared" si="10"/>
        <v>0</v>
      </c>
      <c r="S28" s="103">
        <f t="shared" si="11"/>
        <v>0</v>
      </c>
      <c r="T28" s="9">
        <f t="shared" si="12"/>
        <v>8.671999999999116</v>
      </c>
      <c r="U28" s="107">
        <f t="shared" si="13"/>
        <v>16476.799999998322</v>
      </c>
    </row>
    <row r="29" spans="1:24" ht="21" thickBot="1" x14ac:dyDescent="0.25">
      <c r="A29" s="10">
        <v>43551</v>
      </c>
      <c r="B29" s="1">
        <v>14039.012000000001</v>
      </c>
      <c r="C29" s="160">
        <f t="shared" si="0"/>
        <v>5.6680000000014843</v>
      </c>
      <c r="D29" s="103">
        <f t="shared" si="1"/>
        <v>10769.20000000282</v>
      </c>
      <c r="E29" s="1">
        <v>2106.2890000000002</v>
      </c>
      <c r="F29" s="160">
        <f t="shared" si="2"/>
        <v>1.3440000000000509</v>
      </c>
      <c r="G29" s="103">
        <f t="shared" si="3"/>
        <v>2553.6000000000968</v>
      </c>
      <c r="H29" s="1">
        <v>855.75</v>
      </c>
      <c r="I29" s="160">
        <f t="shared" si="4"/>
        <v>0</v>
      </c>
      <c r="J29" s="103">
        <f t="shared" si="5"/>
        <v>0</v>
      </c>
      <c r="K29" s="8">
        <v>12685.97</v>
      </c>
      <c r="L29" s="160">
        <f t="shared" si="6"/>
        <v>1.1299999999991996</v>
      </c>
      <c r="M29" s="103">
        <f t="shared" si="7"/>
        <v>2146.9999999984793</v>
      </c>
      <c r="N29" s="8">
        <v>1736.914</v>
      </c>
      <c r="O29" s="160">
        <f t="shared" si="8"/>
        <v>1.47199999999998</v>
      </c>
      <c r="P29" s="103">
        <f t="shared" si="9"/>
        <v>2796.799999999962</v>
      </c>
      <c r="Q29" s="8">
        <v>3838.76</v>
      </c>
      <c r="R29" s="160">
        <f t="shared" si="10"/>
        <v>0</v>
      </c>
      <c r="S29" s="103">
        <f t="shared" si="11"/>
        <v>0</v>
      </c>
      <c r="T29" s="9">
        <f t="shared" si="12"/>
        <v>9.6140000000007149</v>
      </c>
      <c r="U29" s="107">
        <f t="shared" si="13"/>
        <v>18266.600000001359</v>
      </c>
    </row>
    <row r="30" spans="1:24" ht="21" thickBot="1" x14ac:dyDescent="0.25">
      <c r="A30" s="10">
        <v>43552</v>
      </c>
      <c r="B30" s="1">
        <v>14043.986999999999</v>
      </c>
      <c r="C30" s="160">
        <f t="shared" si="0"/>
        <v>4.9749999999985448</v>
      </c>
      <c r="D30" s="103">
        <f t="shared" si="1"/>
        <v>9452.4999999972351</v>
      </c>
      <c r="E30" s="1">
        <v>2107.511</v>
      </c>
      <c r="F30" s="160">
        <f t="shared" si="2"/>
        <v>1.2219999999997526</v>
      </c>
      <c r="G30" s="103">
        <f t="shared" si="3"/>
        <v>2321.79999999953</v>
      </c>
      <c r="H30" s="1">
        <v>855.75</v>
      </c>
      <c r="I30" s="160">
        <f t="shared" si="4"/>
        <v>0</v>
      </c>
      <c r="J30" s="103">
        <f t="shared" si="5"/>
        <v>0</v>
      </c>
      <c r="K30" s="8">
        <v>12687.1</v>
      </c>
      <c r="L30" s="160">
        <f t="shared" si="6"/>
        <v>1.1300000000010186</v>
      </c>
      <c r="M30" s="103">
        <f t="shared" si="7"/>
        <v>2147.0000000019349</v>
      </c>
      <c r="N30" s="8">
        <v>1737.819</v>
      </c>
      <c r="O30" s="160">
        <f t="shared" si="8"/>
        <v>0.90499999999997272</v>
      </c>
      <c r="P30" s="103">
        <f t="shared" si="9"/>
        <v>1719.4999999999482</v>
      </c>
      <c r="Q30" s="8">
        <v>3838.76</v>
      </c>
      <c r="R30" s="160">
        <f t="shared" si="10"/>
        <v>0</v>
      </c>
      <c r="S30" s="103">
        <f t="shared" si="11"/>
        <v>0</v>
      </c>
      <c r="T30" s="9">
        <f t="shared" si="12"/>
        <v>8.2319999999992888</v>
      </c>
      <c r="U30" s="107">
        <f t="shared" si="13"/>
        <v>15640.79999999865</v>
      </c>
    </row>
    <row r="31" spans="1:24" ht="21" thickBot="1" x14ac:dyDescent="0.25">
      <c r="A31" s="10">
        <v>43553</v>
      </c>
      <c r="B31" s="1">
        <v>14051.281999999999</v>
      </c>
      <c r="C31" s="160">
        <f t="shared" si="0"/>
        <v>7.2950000000000728</v>
      </c>
      <c r="D31" s="103">
        <f t="shared" si="1"/>
        <v>13860.500000000136</v>
      </c>
      <c r="E31" s="1">
        <v>2108.2669999999998</v>
      </c>
      <c r="F31" s="160">
        <f t="shared" si="2"/>
        <v>0.75599999999985812</v>
      </c>
      <c r="G31" s="103">
        <f t="shared" si="3"/>
        <v>1436.3999999997304</v>
      </c>
      <c r="H31" s="1">
        <v>855.77</v>
      </c>
      <c r="I31" s="160">
        <f t="shared" si="4"/>
        <v>1.999999999998181E-2</v>
      </c>
      <c r="J31" s="103">
        <f t="shared" si="5"/>
        <v>37.999999999965439</v>
      </c>
      <c r="K31" s="8">
        <v>12688.23</v>
      </c>
      <c r="L31" s="160">
        <f t="shared" si="6"/>
        <v>1.1299999999991996</v>
      </c>
      <c r="M31" s="103">
        <f t="shared" si="7"/>
        <v>2146.9999999984793</v>
      </c>
      <c r="N31" s="8">
        <v>1739.48</v>
      </c>
      <c r="O31" s="160">
        <f t="shared" si="8"/>
        <v>1.6610000000000582</v>
      </c>
      <c r="P31" s="103">
        <f t="shared" si="9"/>
        <v>3155.9000000001106</v>
      </c>
      <c r="Q31" s="8">
        <v>3838.76</v>
      </c>
      <c r="R31" s="160">
        <f t="shared" si="10"/>
        <v>0</v>
      </c>
      <c r="S31" s="103">
        <f t="shared" si="11"/>
        <v>0</v>
      </c>
      <c r="T31" s="9">
        <f t="shared" si="12"/>
        <v>10.861999999999171</v>
      </c>
      <c r="U31" s="107">
        <f t="shared" si="13"/>
        <v>20637.799999998424</v>
      </c>
    </row>
    <row r="32" spans="1:24" ht="21" thickBot="1" x14ac:dyDescent="0.25">
      <c r="A32" s="10">
        <v>43554</v>
      </c>
      <c r="B32" s="1">
        <v>14052.22</v>
      </c>
      <c r="C32" s="160">
        <f t="shared" si="0"/>
        <v>0.93800000000010186</v>
      </c>
      <c r="D32" s="103">
        <f>C32*1.9*1000</f>
        <v>1782.2000000001933</v>
      </c>
      <c r="E32" s="1">
        <v>2110.1210000000001</v>
      </c>
      <c r="F32" s="160">
        <f t="shared" si="2"/>
        <v>1.8540000000002692</v>
      </c>
      <c r="G32" s="103">
        <f>F32*1.9*1000</f>
        <v>3522.6000000005115</v>
      </c>
      <c r="H32" s="1">
        <v>855.77300000000002</v>
      </c>
      <c r="I32" s="160">
        <f t="shared" si="4"/>
        <v>3.0000000000427463E-3</v>
      </c>
      <c r="J32" s="103">
        <f>I32*1.9*1000</f>
        <v>5.700000000081217</v>
      </c>
      <c r="K32" s="8">
        <v>12689.35</v>
      </c>
      <c r="L32" s="160">
        <f t="shared" si="6"/>
        <v>1.1200000000008004</v>
      </c>
      <c r="M32" s="103">
        <f>L32*1.9*1000</f>
        <v>2128.0000000015207</v>
      </c>
      <c r="N32" s="8">
        <v>1740.251</v>
      </c>
      <c r="O32" s="160">
        <f t="shared" si="8"/>
        <v>0.77099999999995816</v>
      </c>
      <c r="P32" s="103">
        <f>O32*1.9*1000</f>
        <v>1464.8999999999203</v>
      </c>
      <c r="Q32" s="8">
        <v>3839.1</v>
      </c>
      <c r="R32" s="160">
        <f t="shared" si="10"/>
        <v>0.33999999999969077</v>
      </c>
      <c r="S32" s="103">
        <f>R32*1.9*1000</f>
        <v>645.99999999941247</v>
      </c>
      <c r="T32" s="9">
        <f>C32+F32+I32+L32+O32+R32</f>
        <v>5.0260000000008631</v>
      </c>
      <c r="U32" s="107">
        <f>T32*1.9*1000</f>
        <v>9549.4000000016404</v>
      </c>
    </row>
    <row r="33" spans="1:21" ht="21" thickBot="1" x14ac:dyDescent="0.25">
      <c r="A33" s="10">
        <v>43555</v>
      </c>
      <c r="B33" s="1">
        <v>14052.22</v>
      </c>
      <c r="C33" s="160">
        <f t="shared" si="0"/>
        <v>0</v>
      </c>
      <c r="D33" s="103">
        <f>C33*1.9*1000</f>
        <v>0</v>
      </c>
      <c r="E33" s="1">
        <v>2110.1210000000001</v>
      </c>
      <c r="F33" s="160">
        <f t="shared" si="2"/>
        <v>0</v>
      </c>
      <c r="G33" s="103">
        <f>F33*1.9*1000</f>
        <v>0</v>
      </c>
      <c r="H33" s="1">
        <v>855.77300000000002</v>
      </c>
      <c r="I33" s="160">
        <f t="shared" si="4"/>
        <v>0</v>
      </c>
      <c r="J33" s="103">
        <f>I33*1.9*1000</f>
        <v>0</v>
      </c>
      <c r="K33" s="8">
        <v>12689.35</v>
      </c>
      <c r="L33" s="160">
        <f t="shared" si="6"/>
        <v>0</v>
      </c>
      <c r="M33" s="103">
        <f>L33*1.9*1000</f>
        <v>0</v>
      </c>
      <c r="N33" s="8">
        <v>1740.251</v>
      </c>
      <c r="O33" s="160">
        <f t="shared" si="8"/>
        <v>0</v>
      </c>
      <c r="P33" s="103">
        <f>O33*1.9*1000</f>
        <v>0</v>
      </c>
      <c r="Q33" s="8">
        <v>3839.1</v>
      </c>
      <c r="R33" s="160">
        <f t="shared" si="10"/>
        <v>0</v>
      </c>
      <c r="S33" s="103">
        <f>R33*1.9*1000</f>
        <v>0</v>
      </c>
      <c r="T33" s="9">
        <f>C33+F33+I33+L33+O33+R33</f>
        <v>0</v>
      </c>
      <c r="U33" s="107">
        <f>T33*1.9*1000</f>
        <v>0</v>
      </c>
    </row>
    <row r="34" spans="1:21" ht="16.5" thickBot="1" x14ac:dyDescent="0.3">
      <c r="A34" s="11"/>
      <c r="B34" s="1"/>
      <c r="C34" s="161">
        <f>SUM(C3:C33)</f>
        <v>147.30099999999948</v>
      </c>
      <c r="D34" s="104">
        <f>SUM(D3:D33)</f>
        <v>279871.89999999898</v>
      </c>
      <c r="E34" s="1"/>
      <c r="F34" s="161">
        <f>SUM(F3:F33)</f>
        <v>30.412000000000262</v>
      </c>
      <c r="G34" s="104">
        <f>SUM(G2:G33)</f>
        <v>57782.800000000483</v>
      </c>
      <c r="H34" s="1"/>
      <c r="I34" s="161">
        <f>SUM(I3:I33)</f>
        <v>0.32699999999999818</v>
      </c>
      <c r="J34" s="104">
        <f>SUM(J2:J33)</f>
        <v>621.29999999999654</v>
      </c>
      <c r="K34" s="8"/>
      <c r="L34" s="161">
        <f>SUM(L3:L33)</f>
        <v>20.430000000000291</v>
      </c>
      <c r="M34" s="104">
        <f>SUM(M2:M33)</f>
        <v>38817.000000000553</v>
      </c>
      <c r="N34" s="8"/>
      <c r="O34" s="161">
        <f>SUM(O3:O33)</f>
        <v>35.565000000000055</v>
      </c>
      <c r="P34" s="104">
        <f>SUM(P2:P33)</f>
        <v>67573.500000000102</v>
      </c>
      <c r="Q34" s="8"/>
      <c r="R34" s="161">
        <f>SUM(R3:R33)</f>
        <v>2.8399999999996908</v>
      </c>
      <c r="S34" s="104">
        <f>SUM(S2:S33)</f>
        <v>5395.9999999994116</v>
      </c>
      <c r="T34" s="13">
        <f>SUM(T2:T33)</f>
        <v>236.87499999999977</v>
      </c>
      <c r="U34" s="108">
        <f>SUM(U3:U33)</f>
        <v>450062.49999999959</v>
      </c>
    </row>
    <row r="39" spans="1:21" x14ac:dyDescent="0.2">
      <c r="R39" s="151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90" zoomScaleNormal="90" workbookViewId="0">
      <selection activeCell="F34" sqref="F34"/>
    </sheetView>
  </sheetViews>
  <sheetFormatPr defaultRowHeight="12.75" x14ac:dyDescent="0.2"/>
  <cols>
    <col min="1" max="1" width="9.140625" style="2"/>
    <col min="2" max="2" width="16.85546875" style="2" bestFit="1" customWidth="1"/>
    <col min="3" max="4" width="15.28515625" style="2" bestFit="1" customWidth="1"/>
    <col min="5" max="5" width="12.85546875" style="2" customWidth="1"/>
    <col min="6" max="6" width="54.140625" style="2" customWidth="1"/>
    <col min="7" max="7" width="9" style="2" customWidth="1"/>
    <col min="8" max="8" width="15.140625" style="2" bestFit="1" customWidth="1"/>
    <col min="9" max="10" width="10" style="2" bestFit="1" customWidth="1"/>
    <col min="11" max="11" width="15.5703125" style="2" bestFit="1" customWidth="1"/>
    <col min="12" max="16384" width="9.140625" style="2"/>
  </cols>
  <sheetData>
    <row r="1" spans="1:13" ht="66" customHeight="1" thickBot="1" x14ac:dyDescent="0.25">
      <c r="A1" s="186" t="s">
        <v>146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M1" s="82"/>
    </row>
    <row r="2" spans="1:13" ht="13.5" thickBot="1" x14ac:dyDescent="0.25">
      <c r="A2" s="109"/>
      <c r="B2" s="110" t="s">
        <v>49</v>
      </c>
      <c r="C2" s="111">
        <f>K8+K9+K14</f>
        <v>356428</v>
      </c>
      <c r="D2" s="111">
        <f>C2*1.15</f>
        <v>409892.19999999995</v>
      </c>
      <c r="E2" s="138"/>
      <c r="F2" s="109"/>
      <c r="G2" s="109"/>
      <c r="H2" s="112" t="s">
        <v>50</v>
      </c>
      <c r="I2" s="113"/>
      <c r="J2" s="113"/>
      <c r="K2" s="113"/>
    </row>
    <row r="3" spans="1:13" ht="13.5" thickBot="1" x14ac:dyDescent="0.25">
      <c r="A3" s="109"/>
      <c r="B3" s="109"/>
      <c r="C3" s="109"/>
      <c r="D3" s="109"/>
      <c r="E3" s="109"/>
      <c r="F3" s="109"/>
      <c r="G3" s="109"/>
      <c r="H3" s="114" t="s">
        <v>51</v>
      </c>
      <c r="I3" s="115">
        <f>ELECT.!E3</f>
        <v>16039765</v>
      </c>
      <c r="J3" s="115">
        <f>ELECT.!E34</f>
        <v>16372454</v>
      </c>
      <c r="K3" s="116">
        <f>J3-I3</f>
        <v>332689</v>
      </c>
    </row>
    <row r="4" spans="1:13" ht="13.5" thickBot="1" x14ac:dyDescent="0.25">
      <c r="A4" s="109"/>
      <c r="B4" s="117" t="s">
        <v>52</v>
      </c>
      <c r="C4" s="118" t="s">
        <v>53</v>
      </c>
      <c r="D4" s="118" t="s">
        <v>54</v>
      </c>
      <c r="E4" s="118"/>
      <c r="F4" s="109"/>
      <c r="G4" s="109"/>
      <c r="H4" s="114" t="s">
        <v>55</v>
      </c>
      <c r="I4" s="115">
        <f>ELECT.!G3</f>
        <v>42038210</v>
      </c>
      <c r="J4" s="115">
        <f>ELECT.!G34</f>
        <v>43524507</v>
      </c>
      <c r="K4" s="116">
        <f>J4-I4</f>
        <v>1486297</v>
      </c>
    </row>
    <row r="5" spans="1:13" ht="13.5" thickBot="1" x14ac:dyDescent="0.25">
      <c r="A5" s="109"/>
      <c r="B5" s="114" t="s">
        <v>33</v>
      </c>
      <c r="C5" s="119">
        <f>(K10+K12)*0.842284+K26</f>
        <v>1003122.932732</v>
      </c>
      <c r="D5" s="120">
        <f>C5*1.15</f>
        <v>1153591.3726418</v>
      </c>
      <c r="E5" s="139"/>
      <c r="F5" s="109"/>
      <c r="G5" s="109"/>
      <c r="H5" s="114" t="s">
        <v>28</v>
      </c>
      <c r="I5" s="121"/>
      <c r="J5" s="121"/>
      <c r="K5" s="122">
        <f>K3+K4</f>
        <v>1818986</v>
      </c>
    </row>
    <row r="6" spans="1:13" ht="13.5" thickBot="1" x14ac:dyDescent="0.25">
      <c r="A6" s="109"/>
      <c r="B6" s="114" t="s">
        <v>56</v>
      </c>
      <c r="C6" s="120">
        <f>(K10+K12+K26)*0.1488</f>
        <v>176407.31039999999</v>
      </c>
      <c r="D6" s="120">
        <f t="shared" ref="D6:D11" si="0">C6*1.15</f>
        <v>202868.40695999996</v>
      </c>
      <c r="E6" s="139"/>
      <c r="F6" s="109"/>
      <c r="G6" s="109"/>
      <c r="H6" s="114" t="s">
        <v>57</v>
      </c>
      <c r="I6" s="123">
        <f>ELECT.!J3</f>
        <v>3573765</v>
      </c>
      <c r="J6" s="121">
        <f>ELECT.!J34</f>
        <v>3720138</v>
      </c>
      <c r="K6" s="116">
        <f>J6-I6</f>
        <v>146373</v>
      </c>
    </row>
    <row r="7" spans="1:13" ht="13.5" thickBot="1" x14ac:dyDescent="0.25">
      <c r="A7" s="109"/>
      <c r="B7" s="114" t="s">
        <v>58</v>
      </c>
      <c r="C7" s="119" t="e">
        <f>(K6+K7)-(C8+C9+C10+C11+K26)</f>
        <v>#REF!</v>
      </c>
      <c r="D7" s="120" t="e">
        <f t="shared" si="0"/>
        <v>#REF!</v>
      </c>
      <c r="E7" s="139"/>
      <c r="F7" s="109"/>
      <c r="G7" s="109"/>
      <c r="H7" s="114" t="s">
        <v>59</v>
      </c>
      <c r="I7" s="123">
        <f>ELECT.!L3</f>
        <v>3771306</v>
      </c>
      <c r="J7" s="121">
        <f>ELECT.!L34</f>
        <v>3930918</v>
      </c>
      <c r="K7" s="116">
        <f>J7-I7</f>
        <v>159612</v>
      </c>
      <c r="L7" s="83"/>
    </row>
    <row r="8" spans="1:13" ht="13.5" thickBot="1" x14ac:dyDescent="0.25">
      <c r="A8" s="109"/>
      <c r="B8" s="114" t="s">
        <v>60</v>
      </c>
      <c r="C8" s="119">
        <f>K21+K22+K23+K24</f>
        <v>34905</v>
      </c>
      <c r="D8" s="120">
        <f t="shared" si="0"/>
        <v>40140.75</v>
      </c>
      <c r="E8" s="139"/>
      <c r="F8" s="109"/>
      <c r="G8" s="109"/>
      <c r="H8" s="114" t="s">
        <v>61</v>
      </c>
      <c r="I8" s="123">
        <f>ELECT.!N3</f>
        <v>2386621</v>
      </c>
      <c r="J8" s="121">
        <f>ELECT.!N34</f>
        <v>2470813</v>
      </c>
      <c r="K8" s="116">
        <f>(J8-I8)*2</f>
        <v>168384</v>
      </c>
    </row>
    <row r="9" spans="1:13" ht="13.5" thickBot="1" x14ac:dyDescent="0.25">
      <c r="A9" s="109"/>
      <c r="B9" s="114" t="s">
        <v>62</v>
      </c>
      <c r="C9" s="119" t="e">
        <f>K25</f>
        <v>#REF!</v>
      </c>
      <c r="D9" s="120" t="e">
        <f t="shared" si="0"/>
        <v>#REF!</v>
      </c>
      <c r="E9" s="139"/>
      <c r="F9" s="109"/>
      <c r="G9" s="109"/>
      <c r="H9" s="114" t="s">
        <v>63</v>
      </c>
      <c r="I9" s="123">
        <f>ELECT.!P3</f>
        <v>4766838</v>
      </c>
      <c r="J9" s="121">
        <f>ELECT.!P34</f>
        <v>4919848</v>
      </c>
      <c r="K9" s="116">
        <f>J9-I9</f>
        <v>153010</v>
      </c>
    </row>
    <row r="10" spans="1:13" ht="13.5" thickBot="1" x14ac:dyDescent="0.25">
      <c r="A10" s="109"/>
      <c r="B10" s="114" t="s">
        <v>64</v>
      </c>
      <c r="C10" s="119">
        <f>K17+K18</f>
        <v>123</v>
      </c>
      <c r="D10" s="120">
        <f t="shared" si="0"/>
        <v>141.44999999999999</v>
      </c>
      <c r="E10" s="139"/>
      <c r="F10" s="109"/>
      <c r="G10" s="109"/>
      <c r="H10" s="114" t="s">
        <v>65</v>
      </c>
      <c r="I10" s="123">
        <f>ELECT.!R3</f>
        <v>9510473</v>
      </c>
      <c r="J10" s="121">
        <f>ELECT.!R34</f>
        <v>9860830</v>
      </c>
      <c r="K10" s="116">
        <f>J10-I10</f>
        <v>350357</v>
      </c>
    </row>
    <row r="11" spans="1:13" ht="13.5" thickBot="1" x14ac:dyDescent="0.25">
      <c r="A11" s="109"/>
      <c r="B11" s="114" t="s">
        <v>66</v>
      </c>
      <c r="C11" s="119">
        <f>K19+K20</f>
        <v>5457</v>
      </c>
      <c r="D11" s="120">
        <f t="shared" si="0"/>
        <v>6275.5499999999993</v>
      </c>
      <c r="E11" s="139"/>
      <c r="F11" s="109"/>
      <c r="G11" s="109"/>
      <c r="H11" s="114" t="s">
        <v>67</v>
      </c>
      <c r="I11" s="123">
        <v>0</v>
      </c>
      <c r="J11" s="121">
        <v>0</v>
      </c>
      <c r="K11" s="116">
        <f>J11-I11</f>
        <v>0</v>
      </c>
    </row>
    <row r="12" spans="1:13" ht="13.5" thickBot="1" x14ac:dyDescent="0.25">
      <c r="A12" s="109"/>
      <c r="B12" s="109"/>
      <c r="C12" s="124"/>
      <c r="D12" s="124"/>
      <c r="E12" s="124"/>
      <c r="F12" s="109"/>
      <c r="G12" s="109"/>
      <c r="H12" s="114" t="s">
        <v>68</v>
      </c>
      <c r="I12" s="123">
        <f>ELECT.!V3</f>
        <v>5950752</v>
      </c>
      <c r="J12" s="121">
        <f>ELECT.!V34</f>
        <v>6353860</v>
      </c>
      <c r="K12" s="116">
        <f>(J12-I12)*2</f>
        <v>806216</v>
      </c>
    </row>
    <row r="13" spans="1:13" ht="13.5" thickBot="1" x14ac:dyDescent="0.25">
      <c r="A13" s="109"/>
      <c r="B13" s="125" t="s">
        <v>69</v>
      </c>
      <c r="C13" s="126" t="s">
        <v>70</v>
      </c>
      <c r="D13" s="126" t="s">
        <v>54</v>
      </c>
      <c r="E13" s="126"/>
      <c r="F13" s="109"/>
      <c r="G13" s="109"/>
      <c r="H13" s="114" t="s">
        <v>71</v>
      </c>
      <c r="I13" s="127"/>
      <c r="J13" s="128"/>
      <c r="K13" s="129">
        <f>SUM(K6:K12)</f>
        <v>1783952</v>
      </c>
    </row>
    <row r="14" spans="1:13" ht="13.5" thickBot="1" x14ac:dyDescent="0.25">
      <c r="A14" s="109"/>
      <c r="B14" s="114" t="s">
        <v>48</v>
      </c>
      <c r="C14" s="119">
        <f>K29</f>
        <v>33090</v>
      </c>
      <c r="D14" s="130">
        <f>C14*9.12</f>
        <v>301780.8</v>
      </c>
      <c r="E14" s="140"/>
      <c r="F14" s="109"/>
      <c r="G14" s="109"/>
      <c r="H14" s="114" t="s">
        <v>72</v>
      </c>
      <c r="I14" s="127"/>
      <c r="J14" s="128"/>
      <c r="K14" s="131">
        <f>K5-K13</f>
        <v>35034</v>
      </c>
    </row>
    <row r="15" spans="1:13" ht="13.5" thickBot="1" x14ac:dyDescent="0.25">
      <c r="A15" s="109"/>
      <c r="B15" s="114" t="s">
        <v>73</v>
      </c>
      <c r="C15" s="132">
        <f>K30</f>
        <v>118.66499999999999</v>
      </c>
      <c r="D15" s="130">
        <f t="shared" ref="D15:D22" si="1">C15*9.12</f>
        <v>1082.2247999999997</v>
      </c>
      <c r="E15" s="140"/>
      <c r="F15" s="109"/>
      <c r="G15" s="109"/>
      <c r="H15" s="109"/>
      <c r="I15" s="109"/>
      <c r="J15" s="109"/>
      <c r="K15" s="109"/>
    </row>
    <row r="16" spans="1:13" ht="13.5" thickBot="1" x14ac:dyDescent="0.25">
      <c r="A16" s="109"/>
      <c r="B16" s="114" t="s">
        <v>56</v>
      </c>
      <c r="C16" s="132">
        <f>(C14-C15-C18-C19-C20-C21)*0.1318</f>
        <v>3765.7019529999998</v>
      </c>
      <c r="D16" s="130">
        <f t="shared" si="1"/>
        <v>34343.201811359992</v>
      </c>
      <c r="E16" s="140"/>
      <c r="F16" s="109"/>
      <c r="G16" s="109"/>
      <c r="H16" s="109"/>
      <c r="I16" s="109"/>
      <c r="J16" s="109"/>
      <c r="K16" s="109"/>
    </row>
    <row r="17" spans="1:11" ht="13.5" thickBot="1" x14ac:dyDescent="0.25">
      <c r="A17" s="109"/>
      <c r="B17" s="114" t="s">
        <v>60</v>
      </c>
      <c r="C17" s="132">
        <v>1420</v>
      </c>
      <c r="D17" s="130">
        <f t="shared" si="1"/>
        <v>12950.4</v>
      </c>
      <c r="E17" s="140"/>
      <c r="F17" s="109"/>
      <c r="G17" s="109"/>
      <c r="H17" s="133" t="s">
        <v>20</v>
      </c>
      <c r="I17" s="86">
        <f>'Mall, Citadel, Rotana'!J3</f>
        <v>303515</v>
      </c>
      <c r="J17" s="86">
        <f>'Mall, Citadel, Rotana'!J34</f>
        <v>303515</v>
      </c>
      <c r="K17" s="134">
        <f>J17-I17</f>
        <v>0</v>
      </c>
    </row>
    <row r="18" spans="1:11" ht="13.5" thickBot="1" x14ac:dyDescent="0.25">
      <c r="A18" s="109"/>
      <c r="B18" s="114" t="s">
        <v>66</v>
      </c>
      <c r="C18" s="132">
        <v>200</v>
      </c>
      <c r="D18" s="130">
        <f t="shared" si="1"/>
        <v>1823.9999999999998</v>
      </c>
      <c r="E18" s="140"/>
      <c r="F18" s="109"/>
      <c r="G18" s="109"/>
      <c r="H18" s="133" t="s">
        <v>21</v>
      </c>
      <c r="I18" s="86">
        <f>'Mall, Citadel, Rotana'!L3</f>
        <v>21909</v>
      </c>
      <c r="J18" s="86">
        <f>'Mall, Citadel, Rotana'!L34</f>
        <v>22032</v>
      </c>
      <c r="K18" s="134">
        <f>J18-I18</f>
        <v>123</v>
      </c>
    </row>
    <row r="19" spans="1:11" ht="13.5" customHeight="1" thickBot="1" x14ac:dyDescent="0.25">
      <c r="A19" s="109"/>
      <c r="B19" s="114" t="s">
        <v>62</v>
      </c>
      <c r="C19" s="132">
        <v>600</v>
      </c>
      <c r="D19" s="130">
        <f t="shared" si="1"/>
        <v>5471.9999999999991</v>
      </c>
      <c r="E19" s="187" t="s">
        <v>102</v>
      </c>
      <c r="F19" s="188"/>
      <c r="G19" s="109"/>
      <c r="H19" s="133" t="s">
        <v>74</v>
      </c>
      <c r="I19" s="86">
        <f>'Mall, Citadel, Rotana'!P3</f>
        <v>972518</v>
      </c>
      <c r="J19" s="86">
        <f>'Mall, Citadel, Rotana'!P34</f>
        <v>977975</v>
      </c>
      <c r="K19" s="134">
        <f>J19-I19</f>
        <v>5457</v>
      </c>
    </row>
    <row r="20" spans="1:11" ht="13.5" thickBot="1" x14ac:dyDescent="0.25">
      <c r="A20" s="109"/>
      <c r="B20" s="114" t="s">
        <v>64</v>
      </c>
      <c r="C20" s="132">
        <v>600</v>
      </c>
      <c r="D20" s="130">
        <f t="shared" si="1"/>
        <v>5471.9999999999991</v>
      </c>
      <c r="E20" s="140"/>
      <c r="F20" s="109"/>
      <c r="G20" s="109"/>
      <c r="H20" s="133" t="s">
        <v>75</v>
      </c>
      <c r="I20" s="86">
        <f>'Mall, Citadel, Rotana'!R3</f>
        <v>55047</v>
      </c>
      <c r="J20" s="86">
        <f>'Mall, Citadel, Rotana'!R34</f>
        <v>55047</v>
      </c>
      <c r="K20" s="134">
        <f>J20-I20</f>
        <v>0</v>
      </c>
    </row>
    <row r="21" spans="1:11" ht="13.5" thickBot="1" x14ac:dyDescent="0.25">
      <c r="A21" s="109"/>
      <c r="B21" s="114" t="s">
        <v>49</v>
      </c>
      <c r="C21" s="132">
        <v>3000</v>
      </c>
      <c r="D21" s="130">
        <f t="shared" si="1"/>
        <v>27359.999999999996</v>
      </c>
      <c r="E21" s="140"/>
      <c r="F21" s="109"/>
      <c r="G21" s="109"/>
      <c r="H21" s="133" t="s">
        <v>14</v>
      </c>
      <c r="I21" s="86">
        <f>'Mall, Citadel, Rotana'!B3</f>
        <v>41524</v>
      </c>
      <c r="J21" s="86">
        <f>'Mall, Citadel, Rotana'!B34</f>
        <v>41690</v>
      </c>
      <c r="K21" s="134">
        <f>(J21-I21)*120</f>
        <v>19920</v>
      </c>
    </row>
    <row r="22" spans="1:11" ht="13.5" thickBot="1" x14ac:dyDescent="0.25">
      <c r="A22" s="109"/>
      <c r="B22" s="114" t="s">
        <v>76</v>
      </c>
      <c r="C22" s="130">
        <f>C14-(C15+C16+C17+C18+C19+C20+C21)</f>
        <v>23385.633046999999</v>
      </c>
      <c r="D22" s="130">
        <f t="shared" si="1"/>
        <v>213276.97338863998</v>
      </c>
      <c r="E22" s="140"/>
      <c r="F22" s="109"/>
      <c r="G22" s="109"/>
      <c r="H22" s="133" t="s">
        <v>16</v>
      </c>
      <c r="I22" s="86">
        <f>'Mall, Citadel, Rotana'!D3</f>
        <v>37249</v>
      </c>
      <c r="J22" s="86">
        <f>'Mall, Citadel, Rotana'!D34</f>
        <v>37348</v>
      </c>
      <c r="K22" s="134">
        <f>(J22-I22)*120</f>
        <v>11880</v>
      </c>
    </row>
    <row r="23" spans="1:11" x14ac:dyDescent="0.2">
      <c r="A23" s="109"/>
      <c r="B23" s="109"/>
      <c r="C23" s="124"/>
      <c r="D23" s="142"/>
      <c r="E23" s="140"/>
      <c r="F23" s="109"/>
      <c r="G23" s="109"/>
      <c r="H23" s="133" t="s">
        <v>18</v>
      </c>
      <c r="I23" s="86">
        <f>'Mall, Citadel, Rotana'!F3</f>
        <v>17407</v>
      </c>
      <c r="J23" s="86">
        <f>'Mall, Citadel, Rotana'!F34</f>
        <v>17539</v>
      </c>
      <c r="K23" s="135">
        <f>(J23-I23)*20</f>
        <v>2640</v>
      </c>
    </row>
    <row r="24" spans="1:11" x14ac:dyDescent="0.2">
      <c r="A24" s="109"/>
      <c r="B24" s="125" t="s">
        <v>77</v>
      </c>
      <c r="C24" s="124"/>
      <c r="D24" s="124"/>
      <c r="E24" s="124"/>
      <c r="F24" s="109"/>
      <c r="G24" s="109"/>
      <c r="H24" s="133" t="s">
        <v>19</v>
      </c>
      <c r="I24" s="86">
        <f>'Mall, Citadel, Rotana'!H3</f>
        <v>213908</v>
      </c>
      <c r="J24" s="86">
        <f>'Mall, Citadel, Rotana'!H34</f>
        <v>214373</v>
      </c>
      <c r="K24" s="135">
        <f>J24-I24</f>
        <v>465</v>
      </c>
    </row>
    <row r="25" spans="1:11" ht="13.5" thickBot="1" x14ac:dyDescent="0.25">
      <c r="A25" s="109"/>
      <c r="B25" s="109"/>
      <c r="C25" s="126" t="s">
        <v>70</v>
      </c>
      <c r="D25" s="126" t="s">
        <v>78</v>
      </c>
      <c r="E25" s="126"/>
      <c r="F25" s="109"/>
      <c r="G25" s="109"/>
      <c r="H25" s="133" t="s">
        <v>79</v>
      </c>
      <c r="I25" s="86" t="e">
        <f>'Mall, Citadel, Rotana'!#REF!</f>
        <v>#REF!</v>
      </c>
      <c r="J25" s="86" t="e">
        <f>'Mall, Citadel, Rotana'!#REF!</f>
        <v>#REF!</v>
      </c>
      <c r="K25" s="134" t="e">
        <f>J25-I25</f>
        <v>#REF!</v>
      </c>
    </row>
    <row r="26" spans="1:11" ht="13.5" thickBot="1" x14ac:dyDescent="0.25">
      <c r="A26" s="109"/>
      <c r="B26" s="114" t="s">
        <v>48</v>
      </c>
      <c r="C26" s="136">
        <f>K35</f>
        <v>115683</v>
      </c>
      <c r="D26" s="119">
        <f>C26*2.25</f>
        <v>260286.75</v>
      </c>
      <c r="E26" s="141"/>
      <c r="F26" s="109"/>
      <c r="G26" s="109"/>
      <c r="H26" s="133" t="s">
        <v>80</v>
      </c>
      <c r="I26" s="86">
        <v>14689</v>
      </c>
      <c r="J26" s="86">
        <v>14870</v>
      </c>
      <c r="K26" s="134">
        <f>(J26-I26)*160</f>
        <v>28960</v>
      </c>
    </row>
    <row r="27" spans="1:11" ht="13.5" thickBot="1" x14ac:dyDescent="0.25">
      <c r="A27" s="109"/>
      <c r="B27" s="110" t="s">
        <v>81</v>
      </c>
      <c r="C27" s="136">
        <f>C26</f>
        <v>115683</v>
      </c>
      <c r="D27" s="119">
        <f>C27*2.25</f>
        <v>260286.75</v>
      </c>
      <c r="E27" s="141"/>
      <c r="F27" s="109"/>
      <c r="G27" s="109"/>
      <c r="H27" s="125"/>
      <c r="I27" s="137"/>
      <c r="J27" s="109"/>
      <c r="K27" s="109"/>
    </row>
    <row r="28" spans="1:11" x14ac:dyDescent="0.2">
      <c r="A28" s="109"/>
      <c r="B28" s="109"/>
      <c r="C28" s="109"/>
      <c r="D28" s="109"/>
      <c r="E28" s="109"/>
      <c r="F28" s="109"/>
      <c r="G28" s="109"/>
      <c r="H28" s="125" t="s">
        <v>69</v>
      </c>
      <c r="I28" s="137"/>
      <c r="J28" s="109"/>
      <c r="K28" s="109"/>
    </row>
    <row r="29" spans="1:11" x14ac:dyDescent="0.2">
      <c r="A29" s="109"/>
      <c r="B29" s="109"/>
      <c r="C29" s="109"/>
      <c r="D29" s="109"/>
      <c r="E29" s="109"/>
      <c r="F29" s="109"/>
      <c r="G29" s="109" t="s">
        <v>13</v>
      </c>
      <c r="H29" s="133" t="s">
        <v>30</v>
      </c>
      <c r="I29" s="86">
        <f>Water!B3</f>
        <v>345245</v>
      </c>
      <c r="J29" s="86">
        <f>Water!B34</f>
        <v>348554</v>
      </c>
      <c r="K29" s="134">
        <f>(J29-I29)*10</f>
        <v>33090</v>
      </c>
    </row>
    <row r="30" spans="1:11" x14ac:dyDescent="0.2">
      <c r="A30" s="109"/>
      <c r="B30" s="109"/>
      <c r="C30" s="109"/>
      <c r="D30" s="109"/>
      <c r="E30" s="109"/>
      <c r="F30" s="109"/>
      <c r="G30" s="109"/>
      <c r="H30" s="133" t="s">
        <v>82</v>
      </c>
      <c r="I30" s="86">
        <f>Water!H3</f>
        <v>599930</v>
      </c>
      <c r="J30" s="86">
        <f>Water!H34</f>
        <v>604325</v>
      </c>
      <c r="K30" s="134">
        <f>(J30-I30)*0.027</f>
        <v>118.66499999999999</v>
      </c>
    </row>
    <row r="31" spans="1:11" x14ac:dyDescent="0.2">
      <c r="A31" s="109"/>
      <c r="B31" s="109"/>
      <c r="C31" s="109"/>
      <c r="D31" s="109"/>
      <c r="E31" s="109"/>
      <c r="F31" s="109"/>
      <c r="G31" s="109"/>
      <c r="H31" s="133" t="s">
        <v>83</v>
      </c>
      <c r="I31" s="86">
        <f>Water!D3</f>
        <v>92514000</v>
      </c>
      <c r="J31" s="86">
        <f>Water!D34</f>
        <v>93163800</v>
      </c>
      <c r="K31" s="134">
        <f>(J31-I31)*0.027</f>
        <v>17544.599999999999</v>
      </c>
    </row>
    <row r="32" spans="1:11" x14ac:dyDescent="0.2">
      <c r="A32" s="109"/>
      <c r="B32" s="109"/>
      <c r="C32" s="109"/>
      <c r="D32" s="109"/>
      <c r="E32" s="109"/>
      <c r="F32" s="109"/>
      <c r="G32" s="109"/>
      <c r="H32" s="133" t="s">
        <v>84</v>
      </c>
      <c r="I32" s="86">
        <f>Water!F3</f>
        <v>92469600</v>
      </c>
      <c r="J32" s="86">
        <f>Water!F34</f>
        <v>92909900</v>
      </c>
      <c r="K32" s="134">
        <f>(J32-I32)*0.027</f>
        <v>11888.1</v>
      </c>
    </row>
    <row r="34" spans="7:11" x14ac:dyDescent="0.2">
      <c r="H34" s="2" t="s">
        <v>77</v>
      </c>
    </row>
    <row r="35" spans="7:11" x14ac:dyDescent="0.2">
      <c r="G35" s="84"/>
      <c r="H35" s="85" t="s">
        <v>48</v>
      </c>
      <c r="I35" s="88">
        <f>Gas!B3</f>
        <v>15230695</v>
      </c>
      <c r="J35" s="88">
        <f>Gas!B34</f>
        <v>15346378</v>
      </c>
      <c r="K35" s="87">
        <f>J35-I35</f>
        <v>115683</v>
      </c>
    </row>
  </sheetData>
  <mergeCells count="2">
    <mergeCell ref="A1:K1"/>
    <mergeCell ref="E19:F19"/>
  </mergeCells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K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8"/>
  <sheetViews>
    <sheetView topLeftCell="A43" zoomScale="90" zoomScaleNormal="90" workbookViewId="0">
      <selection activeCell="L71" sqref="L71:O71"/>
    </sheetView>
  </sheetViews>
  <sheetFormatPr defaultColWidth="17.140625" defaultRowHeight="12.75" x14ac:dyDescent="0.2"/>
  <cols>
    <col min="1" max="1" width="17.140625" customWidth="1"/>
    <col min="2" max="5" width="11.140625" customWidth="1"/>
    <col min="6" max="6" width="9.42578125" bestFit="1" customWidth="1"/>
    <col min="7" max="12" width="11.140625" customWidth="1"/>
    <col min="13" max="13" width="15.85546875" bestFit="1" customWidth="1"/>
    <col min="14" max="15" width="11.140625" customWidth="1"/>
    <col min="16" max="16" width="5.85546875" bestFit="1" customWidth="1"/>
  </cols>
  <sheetData>
    <row r="1" spans="2:15" x14ac:dyDescent="0.2">
      <c r="B1" s="31"/>
      <c r="C1" s="31"/>
      <c r="D1" s="31"/>
      <c r="E1" s="196">
        <v>43496</v>
      </c>
      <c r="F1" s="196"/>
      <c r="G1" s="31"/>
      <c r="H1" s="31"/>
      <c r="J1" s="31"/>
      <c r="K1" s="31"/>
      <c r="L1" s="196">
        <v>43524</v>
      </c>
      <c r="M1" s="196"/>
      <c r="N1" s="31"/>
      <c r="O1" s="31"/>
    </row>
    <row r="2" spans="2:15" ht="18" x14ac:dyDescent="0.2">
      <c r="B2" s="31"/>
      <c r="C2" s="197" t="s">
        <v>85</v>
      </c>
      <c r="D2" s="198"/>
      <c r="E2" s="198"/>
      <c r="F2" s="198"/>
      <c r="G2" s="198"/>
      <c r="H2" s="199"/>
      <c r="J2" s="197" t="s">
        <v>85</v>
      </c>
      <c r="K2" s="198"/>
      <c r="L2" s="198"/>
      <c r="M2" s="198"/>
      <c r="N2" s="198"/>
      <c r="O2" s="199"/>
    </row>
    <row r="3" spans="2:15" ht="45" x14ac:dyDescent="0.2">
      <c r="B3" s="31"/>
      <c r="C3" s="32" t="s">
        <v>86</v>
      </c>
      <c r="D3" s="33" t="s">
        <v>87</v>
      </c>
      <c r="E3" s="33" t="s">
        <v>104</v>
      </c>
      <c r="F3" s="33" t="s">
        <v>140</v>
      </c>
      <c r="G3" s="32" t="s">
        <v>100</v>
      </c>
      <c r="H3" s="34" t="s">
        <v>88</v>
      </c>
      <c r="J3" s="32" t="s">
        <v>86</v>
      </c>
      <c r="K3" s="33" t="s">
        <v>87</v>
      </c>
      <c r="L3" s="33" t="s">
        <v>140</v>
      </c>
      <c r="M3" s="33" t="s">
        <v>141</v>
      </c>
      <c r="N3" s="32" t="s">
        <v>100</v>
      </c>
      <c r="O3" s="34" t="s">
        <v>88</v>
      </c>
    </row>
    <row r="4" spans="2:15" ht="15" x14ac:dyDescent="0.2">
      <c r="B4" s="31"/>
      <c r="C4" s="190">
        <v>6</v>
      </c>
      <c r="D4" s="35" t="s">
        <v>89</v>
      </c>
      <c r="E4" s="36">
        <v>244336</v>
      </c>
      <c r="F4" s="36">
        <v>246018</v>
      </c>
      <c r="G4" s="37">
        <f t="shared" ref="G4:G45" si="0">F4-E4</f>
        <v>1682</v>
      </c>
      <c r="H4" s="38"/>
      <c r="J4" s="190">
        <v>6</v>
      </c>
      <c r="K4" s="35" t="s">
        <v>89</v>
      </c>
      <c r="L4" s="36">
        <v>246018</v>
      </c>
      <c r="M4" s="36">
        <v>247779</v>
      </c>
      <c r="N4" s="37">
        <f t="shared" ref="N4:N45" si="1">M4-L4</f>
        <v>1761</v>
      </c>
      <c r="O4" s="38"/>
    </row>
    <row r="5" spans="2:15" ht="15" x14ac:dyDescent="0.2">
      <c r="B5" s="31"/>
      <c r="C5" s="195"/>
      <c r="D5" s="35" t="s">
        <v>90</v>
      </c>
      <c r="E5" s="36">
        <v>207787</v>
      </c>
      <c r="F5" s="36">
        <v>208991</v>
      </c>
      <c r="G5" s="39">
        <f t="shared" si="0"/>
        <v>1204</v>
      </c>
      <c r="H5" s="38"/>
      <c r="J5" s="195"/>
      <c r="K5" s="35" t="s">
        <v>90</v>
      </c>
      <c r="L5" s="36">
        <v>208991</v>
      </c>
      <c r="M5" s="36">
        <v>210173</v>
      </c>
      <c r="N5" s="39">
        <f t="shared" si="1"/>
        <v>1182</v>
      </c>
      <c r="O5" s="38"/>
    </row>
    <row r="6" spans="2:15" ht="15" x14ac:dyDescent="0.2">
      <c r="B6" s="31"/>
      <c r="C6" s="191"/>
      <c r="D6" s="35" t="s">
        <v>91</v>
      </c>
      <c r="E6" s="36">
        <v>165487</v>
      </c>
      <c r="F6" s="36">
        <v>166586</v>
      </c>
      <c r="G6" s="40">
        <f t="shared" si="0"/>
        <v>1099</v>
      </c>
      <c r="H6" s="38"/>
      <c r="J6" s="191"/>
      <c r="K6" s="35" t="s">
        <v>91</v>
      </c>
      <c r="L6" s="36">
        <v>166586</v>
      </c>
      <c r="M6" s="36">
        <v>167451</v>
      </c>
      <c r="N6" s="40">
        <f t="shared" si="1"/>
        <v>865</v>
      </c>
      <c r="O6" s="38"/>
    </row>
    <row r="7" spans="2:15" ht="15" x14ac:dyDescent="0.2">
      <c r="B7" s="31"/>
      <c r="C7" s="190">
        <v>7</v>
      </c>
      <c r="D7" s="35" t="s">
        <v>89</v>
      </c>
      <c r="E7" s="36">
        <v>201294</v>
      </c>
      <c r="F7" s="36">
        <v>202521</v>
      </c>
      <c r="G7" s="37">
        <f t="shared" si="0"/>
        <v>1227</v>
      </c>
      <c r="H7" s="38"/>
      <c r="J7" s="190">
        <v>7</v>
      </c>
      <c r="K7" s="35" t="s">
        <v>89</v>
      </c>
      <c r="L7" s="36">
        <v>202521</v>
      </c>
      <c r="M7" s="36">
        <v>203896</v>
      </c>
      <c r="N7" s="37">
        <f t="shared" si="1"/>
        <v>1375</v>
      </c>
      <c r="O7" s="38"/>
    </row>
    <row r="8" spans="2:15" ht="15" x14ac:dyDescent="0.2">
      <c r="B8" s="31"/>
      <c r="C8" s="195"/>
      <c r="D8" s="35" t="s">
        <v>90</v>
      </c>
      <c r="E8" s="36">
        <v>142322</v>
      </c>
      <c r="F8" s="36">
        <v>142594</v>
      </c>
      <c r="G8" s="40">
        <f t="shared" si="0"/>
        <v>272</v>
      </c>
      <c r="H8" s="38"/>
      <c r="J8" s="195"/>
      <c r="K8" s="35" t="s">
        <v>90</v>
      </c>
      <c r="L8" s="36">
        <v>142594</v>
      </c>
      <c r="M8" s="36">
        <v>142891</v>
      </c>
      <c r="N8" s="40">
        <f t="shared" si="1"/>
        <v>297</v>
      </c>
      <c r="O8" s="38"/>
    </row>
    <row r="9" spans="2:15" ht="15" x14ac:dyDescent="0.2">
      <c r="B9" s="31"/>
      <c r="C9" s="191"/>
      <c r="D9" s="35" t="s">
        <v>91</v>
      </c>
      <c r="E9" s="36">
        <v>100254</v>
      </c>
      <c r="F9" s="36">
        <v>101837</v>
      </c>
      <c r="G9" s="40">
        <f t="shared" si="0"/>
        <v>1583</v>
      </c>
      <c r="H9" s="38"/>
      <c r="J9" s="191"/>
      <c r="K9" s="35" t="s">
        <v>91</v>
      </c>
      <c r="L9" s="36">
        <v>101837</v>
      </c>
      <c r="M9" s="36">
        <v>103928</v>
      </c>
      <c r="N9" s="40">
        <f t="shared" si="1"/>
        <v>2091</v>
      </c>
      <c r="O9" s="38"/>
    </row>
    <row r="10" spans="2:15" ht="15" x14ac:dyDescent="0.2">
      <c r="B10" s="31"/>
      <c r="C10" s="190">
        <v>8</v>
      </c>
      <c r="D10" s="35" t="s">
        <v>89</v>
      </c>
      <c r="E10" s="36">
        <v>67350</v>
      </c>
      <c r="F10" s="36">
        <v>67546</v>
      </c>
      <c r="G10" s="37">
        <f t="shared" si="0"/>
        <v>196</v>
      </c>
      <c r="H10" s="38"/>
      <c r="J10" s="190">
        <v>8</v>
      </c>
      <c r="K10" s="35" t="s">
        <v>89</v>
      </c>
      <c r="L10" s="36">
        <v>67546</v>
      </c>
      <c r="M10" s="36">
        <v>67734</v>
      </c>
      <c r="N10" s="37">
        <f t="shared" si="1"/>
        <v>188</v>
      </c>
      <c r="O10" s="38"/>
    </row>
    <row r="11" spans="2:15" ht="15" x14ac:dyDescent="0.2">
      <c r="B11" s="31"/>
      <c r="C11" s="195"/>
      <c r="D11" s="35" t="s">
        <v>90</v>
      </c>
      <c r="E11" s="36">
        <v>158</v>
      </c>
      <c r="F11" s="36">
        <v>158</v>
      </c>
      <c r="G11" s="37">
        <f t="shared" si="0"/>
        <v>0</v>
      </c>
      <c r="H11" s="41" t="s">
        <v>13</v>
      </c>
      <c r="J11" s="195"/>
      <c r="K11" s="35" t="s">
        <v>90</v>
      </c>
      <c r="L11" s="36">
        <v>158</v>
      </c>
      <c r="M11" s="36">
        <v>158</v>
      </c>
      <c r="N11" s="37">
        <f t="shared" si="1"/>
        <v>0</v>
      </c>
      <c r="O11" s="41" t="s">
        <v>13</v>
      </c>
    </row>
    <row r="12" spans="2:15" ht="15" x14ac:dyDescent="0.2">
      <c r="B12" s="31"/>
      <c r="C12" s="191"/>
      <c r="D12" s="35" t="s">
        <v>91</v>
      </c>
      <c r="E12" s="36">
        <v>75493</v>
      </c>
      <c r="F12" s="36">
        <v>76057</v>
      </c>
      <c r="G12" s="40">
        <f t="shared" si="0"/>
        <v>564</v>
      </c>
      <c r="H12" s="38"/>
      <c r="J12" s="191"/>
      <c r="K12" s="35" t="s">
        <v>91</v>
      </c>
      <c r="L12" s="36">
        <v>76057</v>
      </c>
      <c r="M12" s="36">
        <v>76657</v>
      </c>
      <c r="N12" s="40">
        <f t="shared" si="1"/>
        <v>600</v>
      </c>
      <c r="O12" s="38"/>
    </row>
    <row r="13" spans="2:15" ht="15" x14ac:dyDescent="0.2">
      <c r="B13" s="31"/>
      <c r="C13" s="190">
        <v>9</v>
      </c>
      <c r="D13" s="35" t="s">
        <v>89</v>
      </c>
      <c r="E13" s="36">
        <v>33048</v>
      </c>
      <c r="F13" s="36">
        <v>33059</v>
      </c>
      <c r="G13" s="40">
        <f t="shared" si="0"/>
        <v>11</v>
      </c>
      <c r="H13" s="38"/>
      <c r="J13" s="190">
        <v>9</v>
      </c>
      <c r="K13" s="35" t="s">
        <v>89</v>
      </c>
      <c r="L13" s="36">
        <v>33059</v>
      </c>
      <c r="M13" s="36">
        <v>33209</v>
      </c>
      <c r="N13" s="40">
        <f t="shared" si="1"/>
        <v>150</v>
      </c>
      <c r="O13" s="38"/>
    </row>
    <row r="14" spans="2:15" ht="15" x14ac:dyDescent="0.2">
      <c r="B14" s="31"/>
      <c r="C14" s="195"/>
      <c r="D14" s="35" t="s">
        <v>90</v>
      </c>
      <c r="E14" s="36">
        <v>0</v>
      </c>
      <c r="F14" s="36"/>
      <c r="G14" s="37">
        <f t="shared" si="0"/>
        <v>0</v>
      </c>
      <c r="H14" s="41" t="s">
        <v>13</v>
      </c>
      <c r="I14" s="148"/>
      <c r="J14" s="195"/>
      <c r="K14" s="35" t="s">
        <v>90</v>
      </c>
      <c r="L14" s="36"/>
      <c r="M14" s="36">
        <v>0</v>
      </c>
      <c r="N14" s="37">
        <f t="shared" si="1"/>
        <v>0</v>
      </c>
      <c r="O14" s="41" t="s">
        <v>13</v>
      </c>
    </row>
    <row r="15" spans="2:15" ht="15" x14ac:dyDescent="0.2">
      <c r="B15" s="31"/>
      <c r="C15" s="191"/>
      <c r="D15" s="35" t="s">
        <v>91</v>
      </c>
      <c r="E15" s="36">
        <v>26035</v>
      </c>
      <c r="F15" s="36">
        <v>26065</v>
      </c>
      <c r="G15" s="40">
        <f t="shared" si="0"/>
        <v>30</v>
      </c>
      <c r="H15" s="38"/>
      <c r="I15" s="42"/>
      <c r="J15" s="191"/>
      <c r="K15" s="35" t="s">
        <v>91</v>
      </c>
      <c r="L15" s="36">
        <v>26065</v>
      </c>
      <c r="M15" s="36">
        <v>26164</v>
      </c>
      <c r="N15" s="40">
        <f t="shared" si="1"/>
        <v>99</v>
      </c>
      <c r="O15" s="38"/>
    </row>
    <row r="16" spans="2:15" ht="15" x14ac:dyDescent="0.2">
      <c r="B16" s="31"/>
      <c r="C16" s="190">
        <v>10</v>
      </c>
      <c r="D16" s="35" t="s">
        <v>89</v>
      </c>
      <c r="E16" s="36">
        <v>139470</v>
      </c>
      <c r="F16" s="36">
        <v>141243</v>
      </c>
      <c r="G16" s="40">
        <f t="shared" si="0"/>
        <v>1773</v>
      </c>
      <c r="H16" s="38"/>
      <c r="I16" s="42"/>
      <c r="J16" s="190">
        <v>10</v>
      </c>
      <c r="K16" s="35" t="s">
        <v>89</v>
      </c>
      <c r="L16" s="36">
        <v>141243</v>
      </c>
      <c r="M16" s="36">
        <v>143292</v>
      </c>
      <c r="N16" s="40">
        <f t="shared" si="1"/>
        <v>2049</v>
      </c>
      <c r="O16" s="38"/>
    </row>
    <row r="17" spans="2:15" ht="15" x14ac:dyDescent="0.2">
      <c r="B17" s="31"/>
      <c r="C17" s="195"/>
      <c r="D17" s="35" t="s">
        <v>90</v>
      </c>
      <c r="E17" s="36">
        <v>7571</v>
      </c>
      <c r="F17" s="36">
        <v>7589</v>
      </c>
      <c r="G17" s="37">
        <f t="shared" si="0"/>
        <v>18</v>
      </c>
      <c r="H17" s="38"/>
      <c r="I17" s="42"/>
      <c r="J17" s="195"/>
      <c r="K17" s="35" t="s">
        <v>90</v>
      </c>
      <c r="L17" s="36">
        <v>7589</v>
      </c>
      <c r="M17" s="36">
        <v>7589</v>
      </c>
      <c r="N17" s="37">
        <f t="shared" si="1"/>
        <v>0</v>
      </c>
      <c r="O17" s="38"/>
    </row>
    <row r="18" spans="2:15" ht="15" x14ac:dyDescent="0.2">
      <c r="B18" s="31"/>
      <c r="C18" s="191"/>
      <c r="D18" s="35" t="s">
        <v>91</v>
      </c>
      <c r="E18" s="36">
        <v>138694</v>
      </c>
      <c r="F18" s="36">
        <v>139121</v>
      </c>
      <c r="G18" s="40">
        <f t="shared" si="0"/>
        <v>427</v>
      </c>
      <c r="H18" s="38"/>
      <c r="I18" s="42"/>
      <c r="J18" s="191"/>
      <c r="K18" s="35" t="s">
        <v>91</v>
      </c>
      <c r="L18" s="36">
        <v>139121</v>
      </c>
      <c r="M18" s="36">
        <v>140515</v>
      </c>
      <c r="N18" s="40">
        <f t="shared" si="1"/>
        <v>1394</v>
      </c>
      <c r="O18" s="38"/>
    </row>
    <row r="19" spans="2:15" ht="15" x14ac:dyDescent="0.2">
      <c r="B19" s="31"/>
      <c r="C19" s="190">
        <v>11</v>
      </c>
      <c r="D19" s="35" t="s">
        <v>89</v>
      </c>
      <c r="E19" s="44">
        <v>60405</v>
      </c>
      <c r="F19" s="44">
        <v>60562</v>
      </c>
      <c r="G19" s="40">
        <f t="shared" si="0"/>
        <v>157</v>
      </c>
      <c r="H19" s="38"/>
      <c r="I19" s="42"/>
      <c r="J19" s="190">
        <v>11</v>
      </c>
      <c r="K19" s="35" t="s">
        <v>89</v>
      </c>
      <c r="L19" s="44">
        <v>60562</v>
      </c>
      <c r="M19" s="44">
        <v>60732</v>
      </c>
      <c r="N19" s="40">
        <f t="shared" si="1"/>
        <v>170</v>
      </c>
      <c r="O19" s="38"/>
    </row>
    <row r="20" spans="2:15" ht="15" x14ac:dyDescent="0.2">
      <c r="B20" s="31"/>
      <c r="C20" s="195"/>
      <c r="D20" s="35" t="s">
        <v>90</v>
      </c>
      <c r="E20" s="44">
        <v>174199</v>
      </c>
      <c r="F20" s="44">
        <v>177929</v>
      </c>
      <c r="G20" s="40">
        <f t="shared" si="0"/>
        <v>3730</v>
      </c>
      <c r="H20" s="38"/>
      <c r="I20" s="42"/>
      <c r="J20" s="195"/>
      <c r="K20" s="35" t="s">
        <v>90</v>
      </c>
      <c r="L20" s="44">
        <v>177929</v>
      </c>
      <c r="M20" s="44">
        <v>179823</v>
      </c>
      <c r="N20" s="40">
        <f t="shared" si="1"/>
        <v>1894</v>
      </c>
      <c r="O20" s="38"/>
    </row>
    <row r="21" spans="2:15" ht="15" x14ac:dyDescent="0.2">
      <c r="B21" s="31"/>
      <c r="C21" s="191"/>
      <c r="D21" s="35" t="s">
        <v>91</v>
      </c>
      <c r="E21" s="36">
        <v>29046</v>
      </c>
      <c r="F21" s="36">
        <v>29082</v>
      </c>
      <c r="G21" s="40">
        <f t="shared" si="0"/>
        <v>36</v>
      </c>
      <c r="H21" s="38"/>
      <c r="I21" s="42"/>
      <c r="J21" s="191"/>
      <c r="K21" s="35" t="s">
        <v>91</v>
      </c>
      <c r="L21" s="36">
        <v>29082</v>
      </c>
      <c r="M21" s="36">
        <v>29198</v>
      </c>
      <c r="N21" s="40">
        <f t="shared" si="1"/>
        <v>116</v>
      </c>
      <c r="O21" s="38"/>
    </row>
    <row r="22" spans="2:15" ht="15" x14ac:dyDescent="0.2">
      <c r="B22" s="31"/>
      <c r="C22" s="190">
        <v>12</v>
      </c>
      <c r="D22" s="35" t="s">
        <v>89</v>
      </c>
      <c r="E22" s="44">
        <v>138517</v>
      </c>
      <c r="F22" s="44">
        <v>138872</v>
      </c>
      <c r="G22" s="37">
        <f t="shared" si="0"/>
        <v>355</v>
      </c>
      <c r="H22" s="38"/>
      <c r="I22" s="43" t="s">
        <v>13</v>
      </c>
      <c r="J22" s="190">
        <v>12</v>
      </c>
      <c r="K22" s="35" t="s">
        <v>89</v>
      </c>
      <c r="L22" s="44">
        <v>138872</v>
      </c>
      <c r="M22" s="44">
        <v>140289</v>
      </c>
      <c r="N22" s="37">
        <f t="shared" si="1"/>
        <v>1417</v>
      </c>
      <c r="O22" s="38"/>
    </row>
    <row r="23" spans="2:15" ht="15" x14ac:dyDescent="0.2">
      <c r="B23" s="31"/>
      <c r="C23" s="195"/>
      <c r="D23" s="35" t="s">
        <v>90</v>
      </c>
      <c r="E23" s="36">
        <v>16179</v>
      </c>
      <c r="F23" s="36">
        <v>17707</v>
      </c>
      <c r="G23" s="37">
        <f t="shared" si="0"/>
        <v>1528</v>
      </c>
      <c r="H23" s="38"/>
      <c r="I23" s="42"/>
      <c r="J23" s="195"/>
      <c r="K23" s="35" t="s">
        <v>90</v>
      </c>
      <c r="L23" s="36">
        <v>17707</v>
      </c>
      <c r="M23" s="36">
        <v>17749</v>
      </c>
      <c r="N23" s="37">
        <f t="shared" si="1"/>
        <v>42</v>
      </c>
      <c r="O23" s="38"/>
    </row>
    <row r="24" spans="2:15" ht="15" x14ac:dyDescent="0.2">
      <c r="B24" s="31"/>
      <c r="C24" s="191"/>
      <c r="D24" s="35" t="s">
        <v>91</v>
      </c>
      <c r="E24" s="36">
        <v>193190</v>
      </c>
      <c r="F24" s="36">
        <v>196070</v>
      </c>
      <c r="G24" s="37">
        <f t="shared" si="0"/>
        <v>2880</v>
      </c>
      <c r="H24" s="38"/>
      <c r="I24" s="42"/>
      <c r="J24" s="191"/>
      <c r="K24" s="35" t="s">
        <v>91</v>
      </c>
      <c r="L24" s="36">
        <v>196070</v>
      </c>
      <c r="M24" s="36">
        <v>198251</v>
      </c>
      <c r="N24" s="37">
        <f t="shared" si="1"/>
        <v>2181</v>
      </c>
      <c r="O24" s="38"/>
    </row>
    <row r="25" spans="2:15" ht="15" x14ac:dyDescent="0.2">
      <c r="B25" s="31"/>
      <c r="C25" s="190">
        <v>14</v>
      </c>
      <c r="D25" s="35" t="s">
        <v>89</v>
      </c>
      <c r="E25" s="36">
        <v>109474</v>
      </c>
      <c r="F25" s="36">
        <v>109662</v>
      </c>
      <c r="G25" s="40">
        <f t="shared" si="0"/>
        <v>188</v>
      </c>
      <c r="H25" s="38"/>
      <c r="I25" s="42"/>
      <c r="J25" s="190">
        <v>14</v>
      </c>
      <c r="K25" s="35" t="s">
        <v>89</v>
      </c>
      <c r="L25" s="36">
        <v>109662</v>
      </c>
      <c r="M25" s="36">
        <v>109846</v>
      </c>
      <c r="N25" s="40">
        <f t="shared" si="1"/>
        <v>184</v>
      </c>
      <c r="O25" s="38"/>
    </row>
    <row r="26" spans="2:15" ht="15" x14ac:dyDescent="0.2">
      <c r="B26" s="31"/>
      <c r="C26" s="195"/>
      <c r="D26" s="35" t="s">
        <v>90</v>
      </c>
      <c r="E26" s="45">
        <v>19092</v>
      </c>
      <c r="F26" s="45">
        <v>19143</v>
      </c>
      <c r="G26" s="40">
        <f t="shared" si="0"/>
        <v>51</v>
      </c>
      <c r="H26" s="38"/>
      <c r="I26" s="42"/>
      <c r="J26" s="195"/>
      <c r="K26" s="35" t="s">
        <v>90</v>
      </c>
      <c r="L26" s="45">
        <v>19143</v>
      </c>
      <c r="M26" s="45">
        <v>20379</v>
      </c>
      <c r="N26" s="40">
        <f t="shared" si="1"/>
        <v>1236</v>
      </c>
      <c r="O26" s="38"/>
    </row>
    <row r="27" spans="2:15" ht="15" x14ac:dyDescent="0.2">
      <c r="B27" s="31"/>
      <c r="C27" s="191"/>
      <c r="D27" s="35" t="s">
        <v>91</v>
      </c>
      <c r="E27" s="36">
        <v>878</v>
      </c>
      <c r="F27" s="36">
        <v>911</v>
      </c>
      <c r="G27" s="40">
        <f t="shared" si="0"/>
        <v>33</v>
      </c>
      <c r="H27" s="38"/>
      <c r="I27" s="43" t="s">
        <v>13</v>
      </c>
      <c r="J27" s="191"/>
      <c r="K27" s="35" t="s">
        <v>91</v>
      </c>
      <c r="L27" s="36">
        <v>911</v>
      </c>
      <c r="M27" s="36">
        <v>953</v>
      </c>
      <c r="N27" s="40">
        <f t="shared" si="1"/>
        <v>42</v>
      </c>
      <c r="O27" s="38"/>
    </row>
    <row r="28" spans="2:15" ht="15" x14ac:dyDescent="0.2">
      <c r="B28" s="31"/>
      <c r="C28" s="190">
        <v>15</v>
      </c>
      <c r="D28" s="35" t="s">
        <v>89</v>
      </c>
      <c r="E28" s="44">
        <v>38998</v>
      </c>
      <c r="F28" s="44">
        <v>39002</v>
      </c>
      <c r="G28" s="40">
        <f t="shared" si="0"/>
        <v>4</v>
      </c>
      <c r="H28" s="38"/>
      <c r="I28" s="43" t="s">
        <v>13</v>
      </c>
      <c r="J28" s="190">
        <v>15</v>
      </c>
      <c r="K28" s="35" t="s">
        <v>89</v>
      </c>
      <c r="L28" s="44">
        <v>39002</v>
      </c>
      <c r="M28" s="44">
        <v>39008</v>
      </c>
      <c r="N28" s="40">
        <f t="shared" si="1"/>
        <v>6</v>
      </c>
      <c r="O28" s="38"/>
    </row>
    <row r="29" spans="2:15" ht="15" x14ac:dyDescent="0.2">
      <c r="B29" s="31"/>
      <c r="C29" s="195"/>
      <c r="D29" s="35" t="s">
        <v>90</v>
      </c>
      <c r="E29" s="36">
        <v>69043</v>
      </c>
      <c r="F29" s="36">
        <v>69484</v>
      </c>
      <c r="G29" s="37">
        <f t="shared" si="0"/>
        <v>441</v>
      </c>
      <c r="H29" s="38"/>
      <c r="I29" s="42"/>
      <c r="J29" s="195"/>
      <c r="K29" s="35" t="s">
        <v>90</v>
      </c>
      <c r="L29" s="36">
        <v>69484</v>
      </c>
      <c r="M29" s="36">
        <v>69952</v>
      </c>
      <c r="N29" s="37">
        <f t="shared" si="1"/>
        <v>468</v>
      </c>
      <c r="O29" s="38"/>
    </row>
    <row r="30" spans="2:15" ht="15" x14ac:dyDescent="0.2">
      <c r="B30" s="31"/>
      <c r="C30" s="191"/>
      <c r="D30" s="35" t="s">
        <v>91</v>
      </c>
      <c r="E30" s="36">
        <v>129650</v>
      </c>
      <c r="F30" s="36">
        <v>130261</v>
      </c>
      <c r="G30" s="37">
        <f t="shared" si="0"/>
        <v>611</v>
      </c>
      <c r="H30" s="38"/>
      <c r="I30" s="42"/>
      <c r="J30" s="191"/>
      <c r="K30" s="35" t="s">
        <v>91</v>
      </c>
      <c r="L30" s="36">
        <v>130261</v>
      </c>
      <c r="M30" s="36">
        <v>130905</v>
      </c>
      <c r="N30" s="37">
        <f t="shared" si="1"/>
        <v>644</v>
      </c>
      <c r="O30" s="38"/>
    </row>
    <row r="31" spans="2:15" ht="15" x14ac:dyDescent="0.2">
      <c r="B31" s="31"/>
      <c r="C31" s="190">
        <v>16</v>
      </c>
      <c r="D31" s="35" t="s">
        <v>89</v>
      </c>
      <c r="E31" s="44">
        <v>86962</v>
      </c>
      <c r="F31" s="44">
        <v>87802</v>
      </c>
      <c r="G31" s="40">
        <f t="shared" si="0"/>
        <v>840</v>
      </c>
      <c r="H31" s="41" t="s">
        <v>13</v>
      </c>
      <c r="I31" s="42"/>
      <c r="J31" s="190">
        <v>16</v>
      </c>
      <c r="K31" s="35" t="s">
        <v>89</v>
      </c>
      <c r="L31" s="44">
        <v>87802</v>
      </c>
      <c r="M31" s="44">
        <v>87800</v>
      </c>
      <c r="N31" s="40">
        <f t="shared" si="1"/>
        <v>-2</v>
      </c>
      <c r="O31" s="41" t="s">
        <v>13</v>
      </c>
    </row>
    <row r="32" spans="2:15" ht="15" x14ac:dyDescent="0.2">
      <c r="B32" s="31"/>
      <c r="C32" s="195"/>
      <c r="D32" s="35" t="s">
        <v>90</v>
      </c>
      <c r="E32" s="36">
        <v>49736</v>
      </c>
      <c r="F32" s="36">
        <v>50821</v>
      </c>
      <c r="G32" s="40">
        <f t="shared" si="0"/>
        <v>1085</v>
      </c>
      <c r="H32" s="38"/>
      <c r="I32" s="42"/>
      <c r="J32" s="195"/>
      <c r="K32" s="35" t="s">
        <v>90</v>
      </c>
      <c r="L32" s="36">
        <v>50821</v>
      </c>
      <c r="M32" s="36">
        <v>51524</v>
      </c>
      <c r="N32" s="40">
        <f t="shared" si="1"/>
        <v>703</v>
      </c>
      <c r="O32" s="38"/>
    </row>
    <row r="33" spans="2:15" ht="15" x14ac:dyDescent="0.2">
      <c r="B33" s="31"/>
      <c r="C33" s="191"/>
      <c r="D33" s="35" t="s">
        <v>91</v>
      </c>
      <c r="E33" s="36">
        <v>53956</v>
      </c>
      <c r="F33" s="36">
        <v>56917</v>
      </c>
      <c r="G33" s="37">
        <f t="shared" si="0"/>
        <v>2961</v>
      </c>
      <c r="H33" s="46"/>
      <c r="I33" s="42"/>
      <c r="J33" s="191"/>
      <c r="K33" s="35" t="s">
        <v>91</v>
      </c>
      <c r="L33" s="36">
        <v>56917</v>
      </c>
      <c r="M33" s="36">
        <v>60448</v>
      </c>
      <c r="N33" s="37">
        <f t="shared" si="1"/>
        <v>3531</v>
      </c>
      <c r="O33" s="46"/>
    </row>
    <row r="34" spans="2:15" ht="15" x14ac:dyDescent="0.2">
      <c r="B34" s="31"/>
      <c r="C34" s="190">
        <v>17</v>
      </c>
      <c r="D34" s="35" t="s">
        <v>89</v>
      </c>
      <c r="E34" s="36">
        <v>17722</v>
      </c>
      <c r="F34" s="36">
        <v>18784</v>
      </c>
      <c r="G34" s="40">
        <f t="shared" si="0"/>
        <v>1062</v>
      </c>
      <c r="H34" s="38"/>
      <c r="I34" s="42"/>
      <c r="J34" s="190">
        <v>17</v>
      </c>
      <c r="K34" s="35" t="s">
        <v>89</v>
      </c>
      <c r="L34" s="36">
        <v>18784</v>
      </c>
      <c r="M34" s="36">
        <v>19222</v>
      </c>
      <c r="N34" s="40">
        <f t="shared" si="1"/>
        <v>438</v>
      </c>
      <c r="O34" s="38"/>
    </row>
    <row r="35" spans="2:15" ht="15" x14ac:dyDescent="0.2">
      <c r="B35" s="31"/>
      <c r="C35" s="195"/>
      <c r="D35" s="35" t="s">
        <v>90</v>
      </c>
      <c r="E35" s="36">
        <v>63253</v>
      </c>
      <c r="F35" s="36">
        <v>63253</v>
      </c>
      <c r="G35" s="40">
        <f t="shared" si="0"/>
        <v>0</v>
      </c>
      <c r="H35" s="38"/>
      <c r="I35" s="42"/>
      <c r="J35" s="195"/>
      <c r="K35" s="35" t="s">
        <v>90</v>
      </c>
      <c r="L35" s="36">
        <v>63253</v>
      </c>
      <c r="M35" s="36">
        <v>63268</v>
      </c>
      <c r="N35" s="40">
        <f t="shared" si="1"/>
        <v>15</v>
      </c>
      <c r="O35" s="38"/>
    </row>
    <row r="36" spans="2:15" ht="15" x14ac:dyDescent="0.2">
      <c r="B36" s="31"/>
      <c r="C36" s="191"/>
      <c r="D36" s="35" t="s">
        <v>91</v>
      </c>
      <c r="E36" s="36">
        <v>11163</v>
      </c>
      <c r="F36" s="36">
        <v>11164</v>
      </c>
      <c r="G36" s="47">
        <f t="shared" si="0"/>
        <v>1</v>
      </c>
      <c r="H36" s="46"/>
      <c r="I36" s="42"/>
      <c r="J36" s="191"/>
      <c r="K36" s="35" t="s">
        <v>91</v>
      </c>
      <c r="L36" s="36">
        <v>11164</v>
      </c>
      <c r="M36" s="36">
        <v>11165</v>
      </c>
      <c r="N36" s="47">
        <f t="shared" si="1"/>
        <v>1</v>
      </c>
      <c r="O36" s="46"/>
    </row>
    <row r="37" spans="2:15" ht="15" x14ac:dyDescent="0.2">
      <c r="B37" s="31"/>
      <c r="C37" s="190">
        <v>18</v>
      </c>
      <c r="D37" s="35" t="s">
        <v>89</v>
      </c>
      <c r="E37" s="36">
        <v>202198</v>
      </c>
      <c r="F37" s="36">
        <v>202845</v>
      </c>
      <c r="G37" s="40">
        <f t="shared" si="0"/>
        <v>647</v>
      </c>
      <c r="H37" s="46"/>
      <c r="I37" s="42"/>
      <c r="J37" s="190">
        <v>18</v>
      </c>
      <c r="K37" s="35" t="s">
        <v>89</v>
      </c>
      <c r="L37" s="36">
        <v>202845</v>
      </c>
      <c r="M37" s="36">
        <v>203900</v>
      </c>
      <c r="N37" s="40">
        <f t="shared" si="1"/>
        <v>1055</v>
      </c>
      <c r="O37" s="46"/>
    </row>
    <row r="38" spans="2:15" ht="15" x14ac:dyDescent="0.2">
      <c r="B38" s="31"/>
      <c r="C38" s="195"/>
      <c r="D38" s="35" t="s">
        <v>90</v>
      </c>
      <c r="E38" s="45">
        <v>15451</v>
      </c>
      <c r="F38" s="45">
        <v>15501</v>
      </c>
      <c r="G38" s="40">
        <f t="shared" si="0"/>
        <v>50</v>
      </c>
      <c r="H38" s="38"/>
      <c r="I38" s="42"/>
      <c r="J38" s="195"/>
      <c r="K38" s="35" t="s">
        <v>90</v>
      </c>
      <c r="L38" s="45">
        <v>15501</v>
      </c>
      <c r="M38" s="45">
        <v>15563</v>
      </c>
      <c r="N38" s="40">
        <f t="shared" si="1"/>
        <v>62</v>
      </c>
      <c r="O38" s="38"/>
    </row>
    <row r="39" spans="2:15" ht="15" x14ac:dyDescent="0.2">
      <c r="B39" s="31"/>
      <c r="C39" s="191"/>
      <c r="D39" s="35" t="s">
        <v>91</v>
      </c>
      <c r="E39" s="36">
        <v>61463</v>
      </c>
      <c r="F39" s="36">
        <v>61608</v>
      </c>
      <c r="G39" s="37">
        <f t="shared" si="0"/>
        <v>145</v>
      </c>
      <c r="H39" s="38"/>
      <c r="I39" s="42"/>
      <c r="J39" s="191"/>
      <c r="K39" s="35" t="s">
        <v>91</v>
      </c>
      <c r="L39" s="36">
        <v>61608</v>
      </c>
      <c r="M39" s="36">
        <v>61784</v>
      </c>
      <c r="N39" s="37">
        <f t="shared" si="1"/>
        <v>176</v>
      </c>
      <c r="O39" s="38"/>
    </row>
    <row r="40" spans="2:15" ht="15" x14ac:dyDescent="0.2">
      <c r="B40" s="31"/>
      <c r="C40" s="190">
        <v>19</v>
      </c>
      <c r="D40" s="35" t="s">
        <v>89</v>
      </c>
      <c r="E40" s="36">
        <v>15070</v>
      </c>
      <c r="F40" s="36">
        <v>15211</v>
      </c>
      <c r="G40" s="37">
        <f t="shared" si="0"/>
        <v>141</v>
      </c>
      <c r="H40" s="38"/>
      <c r="I40" s="42"/>
      <c r="J40" s="190">
        <v>19</v>
      </c>
      <c r="K40" s="35" t="s">
        <v>89</v>
      </c>
      <c r="L40" s="36">
        <v>15211</v>
      </c>
      <c r="M40" s="36">
        <v>15384</v>
      </c>
      <c r="N40" s="37">
        <f t="shared" si="1"/>
        <v>173</v>
      </c>
      <c r="O40" s="38"/>
    </row>
    <row r="41" spans="2:15" ht="15" x14ac:dyDescent="0.2">
      <c r="B41" s="31"/>
      <c r="C41" s="195"/>
      <c r="D41" s="35" t="s">
        <v>90</v>
      </c>
      <c r="E41" s="44">
        <v>73934</v>
      </c>
      <c r="F41" s="44">
        <v>74081</v>
      </c>
      <c r="G41" s="40">
        <f t="shared" si="0"/>
        <v>147</v>
      </c>
      <c r="H41" s="46"/>
      <c r="I41" s="42"/>
      <c r="J41" s="195"/>
      <c r="K41" s="35" t="s">
        <v>90</v>
      </c>
      <c r="L41" s="44">
        <v>74081</v>
      </c>
      <c r="M41" s="44">
        <v>74799</v>
      </c>
      <c r="N41" s="40">
        <f t="shared" si="1"/>
        <v>718</v>
      </c>
      <c r="O41" s="46"/>
    </row>
    <row r="42" spans="2:15" ht="15" x14ac:dyDescent="0.2">
      <c r="B42" s="31"/>
      <c r="C42" s="191"/>
      <c r="D42" s="35" t="s">
        <v>91</v>
      </c>
      <c r="E42" s="36">
        <v>49970</v>
      </c>
      <c r="F42" s="36">
        <v>49970</v>
      </c>
      <c r="G42" s="40">
        <f t="shared" si="0"/>
        <v>0</v>
      </c>
      <c r="H42" s="38"/>
      <c r="I42" s="42"/>
      <c r="J42" s="191"/>
      <c r="K42" s="35" t="s">
        <v>91</v>
      </c>
      <c r="L42" s="36">
        <v>49970</v>
      </c>
      <c r="M42" s="36">
        <v>50077</v>
      </c>
      <c r="N42" s="40">
        <f t="shared" si="1"/>
        <v>107</v>
      </c>
      <c r="O42" s="38"/>
    </row>
    <row r="43" spans="2:15" ht="15" x14ac:dyDescent="0.2">
      <c r="B43" s="31"/>
      <c r="C43" s="190">
        <v>20</v>
      </c>
      <c r="D43" s="35" t="s">
        <v>89</v>
      </c>
      <c r="E43" s="36">
        <v>104021</v>
      </c>
      <c r="F43" s="36">
        <v>104438</v>
      </c>
      <c r="G43" s="37">
        <f t="shared" si="0"/>
        <v>417</v>
      </c>
      <c r="H43" s="38"/>
      <c r="J43" s="190">
        <v>20</v>
      </c>
      <c r="K43" s="35" t="s">
        <v>89</v>
      </c>
      <c r="L43" s="36">
        <v>104438</v>
      </c>
      <c r="M43" s="36">
        <v>104966</v>
      </c>
      <c r="N43" s="37">
        <f t="shared" si="1"/>
        <v>528</v>
      </c>
      <c r="O43" s="38"/>
    </row>
    <row r="44" spans="2:15" ht="15" x14ac:dyDescent="0.2">
      <c r="B44" s="31"/>
      <c r="C44" s="195"/>
      <c r="D44" s="35" t="s">
        <v>90</v>
      </c>
      <c r="E44" s="44">
        <v>60749</v>
      </c>
      <c r="F44" s="44">
        <v>61528</v>
      </c>
      <c r="G44" s="40">
        <f t="shared" si="0"/>
        <v>779</v>
      </c>
      <c r="H44" s="38"/>
      <c r="J44" s="195"/>
      <c r="K44" s="35" t="s">
        <v>90</v>
      </c>
      <c r="L44" s="44">
        <v>61528</v>
      </c>
      <c r="M44" s="44">
        <v>61687</v>
      </c>
      <c r="N44" s="40">
        <f t="shared" si="1"/>
        <v>159</v>
      </c>
      <c r="O44" s="38"/>
    </row>
    <row r="45" spans="2:15" ht="15" x14ac:dyDescent="0.2">
      <c r="B45" s="31"/>
      <c r="C45" s="191"/>
      <c r="D45" s="35" t="s">
        <v>91</v>
      </c>
      <c r="E45" s="36">
        <v>3128</v>
      </c>
      <c r="F45" s="36">
        <v>3128</v>
      </c>
      <c r="G45" s="37">
        <f t="shared" si="0"/>
        <v>0</v>
      </c>
      <c r="H45" s="38"/>
      <c r="J45" s="191"/>
      <c r="K45" s="35" t="s">
        <v>91</v>
      </c>
      <c r="L45" s="36">
        <v>3128</v>
      </c>
      <c r="M45" s="36">
        <v>3128</v>
      </c>
      <c r="N45" s="37">
        <f t="shared" si="1"/>
        <v>0</v>
      </c>
      <c r="O45" s="38"/>
    </row>
    <row r="46" spans="2:15" ht="15" x14ac:dyDescent="0.2">
      <c r="B46" s="31"/>
      <c r="C46" s="48"/>
      <c r="D46" s="49"/>
      <c r="E46" s="36"/>
      <c r="F46" s="36"/>
      <c r="G46" s="50"/>
      <c r="H46" s="51"/>
      <c r="J46" s="48"/>
      <c r="K46" s="49"/>
      <c r="L46" s="36"/>
      <c r="M46" s="36"/>
      <c r="N46" s="50"/>
      <c r="O46" s="51"/>
    </row>
    <row r="47" spans="2:15" ht="15" x14ac:dyDescent="0.2">
      <c r="B47" s="31"/>
      <c r="C47" s="190">
        <v>21</v>
      </c>
      <c r="D47" s="52" t="s">
        <v>92</v>
      </c>
      <c r="E47" s="36">
        <v>2019</v>
      </c>
      <c r="F47" s="36">
        <v>2019</v>
      </c>
      <c r="G47" s="40">
        <f t="shared" ref="G47:G52" si="2">F47-E47</f>
        <v>0</v>
      </c>
      <c r="H47" s="41" t="s">
        <v>13</v>
      </c>
      <c r="J47" s="190">
        <v>21</v>
      </c>
      <c r="K47" s="52" t="s">
        <v>92</v>
      </c>
      <c r="L47" s="36">
        <v>2019</v>
      </c>
      <c r="M47" s="36">
        <v>2129</v>
      </c>
      <c r="N47" s="40">
        <f t="shared" ref="N47:N52" si="3">M47-L47</f>
        <v>110</v>
      </c>
      <c r="O47" s="41" t="s">
        <v>13</v>
      </c>
    </row>
    <row r="48" spans="2:15" ht="15" x14ac:dyDescent="0.2">
      <c r="B48" s="31"/>
      <c r="C48" s="191"/>
      <c r="D48" s="52" t="s">
        <v>91</v>
      </c>
      <c r="E48" s="36">
        <v>37971</v>
      </c>
      <c r="F48" s="36">
        <v>37971</v>
      </c>
      <c r="G48" s="40">
        <f t="shared" si="2"/>
        <v>0</v>
      </c>
      <c r="H48" s="38"/>
      <c r="I48" t="s">
        <v>13</v>
      </c>
      <c r="J48" s="191"/>
      <c r="K48" s="52" t="s">
        <v>91</v>
      </c>
      <c r="L48" s="36">
        <v>37971</v>
      </c>
      <c r="M48" s="36">
        <v>37982</v>
      </c>
      <c r="N48" s="40">
        <f t="shared" si="3"/>
        <v>11</v>
      </c>
      <c r="O48" s="38"/>
    </row>
    <row r="49" spans="1:15" ht="15" x14ac:dyDescent="0.2">
      <c r="B49" s="31"/>
      <c r="C49" s="190">
        <v>22</v>
      </c>
      <c r="D49" s="52" t="s">
        <v>92</v>
      </c>
      <c r="E49" s="53">
        <v>11081</v>
      </c>
      <c r="F49" s="53">
        <v>11204</v>
      </c>
      <c r="G49" s="40">
        <f t="shared" si="2"/>
        <v>123</v>
      </c>
      <c r="H49" s="38"/>
      <c r="J49" s="190">
        <v>22</v>
      </c>
      <c r="K49" s="52" t="s">
        <v>92</v>
      </c>
      <c r="L49" s="53">
        <v>11204</v>
      </c>
      <c r="M49" s="53">
        <v>11353</v>
      </c>
      <c r="N49" s="40">
        <f t="shared" si="3"/>
        <v>149</v>
      </c>
      <c r="O49" s="38"/>
    </row>
    <row r="50" spans="1:15" ht="15" x14ac:dyDescent="0.2">
      <c r="B50" s="31"/>
      <c r="C50" s="191"/>
      <c r="D50" s="52" t="s">
        <v>91</v>
      </c>
      <c r="E50" s="53">
        <v>16160</v>
      </c>
      <c r="F50" s="53">
        <v>16314</v>
      </c>
      <c r="G50" s="40">
        <f t="shared" si="2"/>
        <v>154</v>
      </c>
      <c r="H50" s="38"/>
      <c r="J50" s="191"/>
      <c r="K50" s="52" t="s">
        <v>91</v>
      </c>
      <c r="L50" s="53">
        <v>16314</v>
      </c>
      <c r="M50" s="53">
        <v>16460</v>
      </c>
      <c r="N50" s="40">
        <f t="shared" si="3"/>
        <v>146</v>
      </c>
      <c r="O50" s="38"/>
    </row>
    <row r="51" spans="1:15" ht="15" x14ac:dyDescent="0.2">
      <c r="B51" s="31"/>
      <c r="C51" s="190">
        <v>23</v>
      </c>
      <c r="D51" s="35" t="s">
        <v>92</v>
      </c>
      <c r="E51" s="53"/>
      <c r="F51" s="53"/>
      <c r="G51" s="37">
        <f t="shared" si="2"/>
        <v>0</v>
      </c>
      <c r="H51" s="38"/>
      <c r="J51" s="190">
        <v>23</v>
      </c>
      <c r="K51" s="35" t="s">
        <v>92</v>
      </c>
      <c r="L51" s="53"/>
      <c r="M51" s="53"/>
      <c r="N51" s="37">
        <f t="shared" si="3"/>
        <v>0</v>
      </c>
      <c r="O51" s="38"/>
    </row>
    <row r="52" spans="1:15" ht="15" x14ac:dyDescent="0.2">
      <c r="B52" s="31"/>
      <c r="C52" s="191"/>
      <c r="D52" s="35" t="s">
        <v>91</v>
      </c>
      <c r="E52" s="53"/>
      <c r="F52" s="53"/>
      <c r="G52" s="37">
        <f t="shared" si="2"/>
        <v>0</v>
      </c>
      <c r="H52" s="38"/>
      <c r="J52" s="191"/>
      <c r="K52" s="35" t="s">
        <v>91</v>
      </c>
      <c r="L52" s="53"/>
      <c r="M52" s="53"/>
      <c r="N52" s="37">
        <f t="shared" si="3"/>
        <v>0</v>
      </c>
      <c r="O52" s="38"/>
    </row>
    <row r="53" spans="1:15" ht="15" x14ac:dyDescent="0.2">
      <c r="B53" s="31"/>
      <c r="C53" s="54"/>
      <c r="D53" s="49"/>
      <c r="E53" s="50"/>
      <c r="F53" s="50"/>
      <c r="G53" s="50"/>
      <c r="H53" s="51"/>
      <c r="J53" s="54"/>
      <c r="K53" s="49"/>
      <c r="L53" s="50"/>
      <c r="M53" s="50"/>
      <c r="N53" s="50"/>
      <c r="O53" s="51"/>
    </row>
    <row r="54" spans="1:15" ht="15" x14ac:dyDescent="0.2">
      <c r="B54" s="31"/>
      <c r="C54" s="192">
        <v>24</v>
      </c>
      <c r="D54" s="35" t="s">
        <v>93</v>
      </c>
      <c r="E54" s="44">
        <v>220686</v>
      </c>
      <c r="F54" s="44">
        <v>221097</v>
      </c>
      <c r="G54" s="40">
        <f t="shared" ref="G54:G62" si="4">F54-E54</f>
        <v>411</v>
      </c>
      <c r="H54" s="55"/>
      <c r="J54" s="192">
        <v>24</v>
      </c>
      <c r="K54" s="35" t="s">
        <v>93</v>
      </c>
      <c r="L54" s="44">
        <v>221097</v>
      </c>
      <c r="M54" s="44">
        <v>221581</v>
      </c>
      <c r="N54" s="40">
        <f t="shared" ref="N54:N62" si="5">M54-L54</f>
        <v>484</v>
      </c>
      <c r="O54" s="55"/>
    </row>
    <row r="55" spans="1:15" ht="15" x14ac:dyDescent="0.2">
      <c r="B55" s="31"/>
      <c r="C55" s="193"/>
      <c r="D55" s="35" t="s">
        <v>94</v>
      </c>
      <c r="E55" s="44">
        <v>519223</v>
      </c>
      <c r="F55" s="44">
        <v>519695</v>
      </c>
      <c r="G55" s="40">
        <f t="shared" si="4"/>
        <v>472</v>
      </c>
      <c r="H55" s="46"/>
      <c r="J55" s="193"/>
      <c r="K55" s="35" t="s">
        <v>94</v>
      </c>
      <c r="L55" s="44">
        <v>519695</v>
      </c>
      <c r="M55" s="44">
        <v>520483</v>
      </c>
      <c r="N55" s="40">
        <f t="shared" si="5"/>
        <v>788</v>
      </c>
      <c r="O55" s="46"/>
    </row>
    <row r="56" spans="1:15" ht="15" x14ac:dyDescent="0.2">
      <c r="B56" s="31"/>
      <c r="C56" s="194"/>
      <c r="D56" s="35" t="s">
        <v>93</v>
      </c>
      <c r="E56" s="44">
        <v>33706</v>
      </c>
      <c r="F56" s="44">
        <v>33706</v>
      </c>
      <c r="G56" s="40">
        <f t="shared" si="4"/>
        <v>0</v>
      </c>
      <c r="H56" s="56" t="s">
        <v>13</v>
      </c>
      <c r="J56" s="194"/>
      <c r="K56" s="35" t="s">
        <v>93</v>
      </c>
      <c r="L56" s="44">
        <v>33706</v>
      </c>
      <c r="M56" s="44">
        <v>33706</v>
      </c>
      <c r="N56" s="40">
        <f t="shared" si="5"/>
        <v>0</v>
      </c>
      <c r="O56" s="56" t="s">
        <v>13</v>
      </c>
    </row>
    <row r="57" spans="1:15" ht="15" x14ac:dyDescent="0.2">
      <c r="B57" s="31"/>
      <c r="C57" s="190">
        <v>25</v>
      </c>
      <c r="D57" s="35" t="s">
        <v>93</v>
      </c>
      <c r="E57" s="53">
        <v>304</v>
      </c>
      <c r="F57" s="53">
        <v>306</v>
      </c>
      <c r="G57" s="47">
        <f t="shared" si="4"/>
        <v>2</v>
      </c>
      <c r="H57" s="38"/>
      <c r="J57" s="190">
        <v>25</v>
      </c>
      <c r="K57" s="35" t="s">
        <v>93</v>
      </c>
      <c r="L57" s="53">
        <v>306</v>
      </c>
      <c r="M57" s="53">
        <v>318</v>
      </c>
      <c r="N57" s="47">
        <f t="shared" si="5"/>
        <v>12</v>
      </c>
      <c r="O57" s="38"/>
    </row>
    <row r="58" spans="1:15" ht="15" x14ac:dyDescent="0.2">
      <c r="B58" s="31"/>
      <c r="C58" s="191"/>
      <c r="D58" s="35" t="s">
        <v>94</v>
      </c>
      <c r="E58" s="53">
        <v>3</v>
      </c>
      <c r="F58" s="53">
        <v>3</v>
      </c>
      <c r="G58" s="57">
        <f t="shared" si="4"/>
        <v>0</v>
      </c>
      <c r="H58" s="38"/>
      <c r="J58" s="191"/>
      <c r="K58" s="35" t="s">
        <v>94</v>
      </c>
      <c r="L58" s="53">
        <v>3</v>
      </c>
      <c r="M58" s="53">
        <v>3</v>
      </c>
      <c r="N58" s="57">
        <f t="shared" si="5"/>
        <v>0</v>
      </c>
      <c r="O58" s="38"/>
    </row>
    <row r="59" spans="1:15" ht="15" x14ac:dyDescent="0.2">
      <c r="A59" s="42"/>
      <c r="B59" s="31"/>
      <c r="C59" s="190">
        <v>26</v>
      </c>
      <c r="D59" s="35" t="s">
        <v>93</v>
      </c>
      <c r="E59" s="36">
        <v>588908</v>
      </c>
      <c r="F59" s="36">
        <v>592000</v>
      </c>
      <c r="G59" s="37">
        <f t="shared" si="4"/>
        <v>3092</v>
      </c>
      <c r="H59" s="38"/>
      <c r="I59" s="42"/>
      <c r="J59" s="190">
        <v>26</v>
      </c>
      <c r="K59" s="35" t="s">
        <v>93</v>
      </c>
      <c r="L59" s="36">
        <v>592000</v>
      </c>
      <c r="M59" s="36">
        <v>596375</v>
      </c>
      <c r="N59" s="37">
        <f t="shared" si="5"/>
        <v>4375</v>
      </c>
      <c r="O59" s="38"/>
    </row>
    <row r="60" spans="1:15" ht="15" x14ac:dyDescent="0.2">
      <c r="A60" s="42"/>
      <c r="B60" s="31"/>
      <c r="C60" s="191"/>
      <c r="D60" s="35" t="s">
        <v>94</v>
      </c>
      <c r="E60" s="36">
        <v>648635</v>
      </c>
      <c r="F60" s="36">
        <v>653287</v>
      </c>
      <c r="G60" s="37">
        <f t="shared" si="4"/>
        <v>4652</v>
      </c>
      <c r="H60" s="46"/>
      <c r="I60" s="42"/>
      <c r="J60" s="191"/>
      <c r="K60" s="35" t="s">
        <v>94</v>
      </c>
      <c r="L60" s="36">
        <v>653287</v>
      </c>
      <c r="M60" s="36">
        <v>657741</v>
      </c>
      <c r="N60" s="37">
        <f t="shared" si="5"/>
        <v>4454</v>
      </c>
      <c r="O60" s="46"/>
    </row>
    <row r="61" spans="1:15" ht="15" x14ac:dyDescent="0.2">
      <c r="A61" s="42"/>
      <c r="B61" s="31"/>
      <c r="C61" s="190">
        <v>27</v>
      </c>
      <c r="D61" s="35" t="s">
        <v>93</v>
      </c>
      <c r="E61" s="36">
        <v>202828</v>
      </c>
      <c r="F61" s="36">
        <v>204225</v>
      </c>
      <c r="G61" s="37">
        <f t="shared" si="4"/>
        <v>1397</v>
      </c>
      <c r="H61" s="38"/>
      <c r="I61" s="42"/>
      <c r="J61" s="190">
        <v>27</v>
      </c>
      <c r="K61" s="35" t="s">
        <v>93</v>
      </c>
      <c r="L61" s="36">
        <v>204225</v>
      </c>
      <c r="M61" s="36">
        <v>205860</v>
      </c>
      <c r="N61" s="37">
        <f t="shared" si="5"/>
        <v>1635</v>
      </c>
      <c r="O61" s="38"/>
    </row>
    <row r="62" spans="1:15" ht="15" x14ac:dyDescent="0.2">
      <c r="A62" s="42"/>
      <c r="B62" s="31"/>
      <c r="C62" s="191"/>
      <c r="D62" s="35" t="s">
        <v>94</v>
      </c>
      <c r="E62" s="36">
        <v>71468</v>
      </c>
      <c r="F62" s="36">
        <v>71627</v>
      </c>
      <c r="G62" s="40">
        <f t="shared" si="4"/>
        <v>159</v>
      </c>
      <c r="H62" s="38"/>
      <c r="I62" s="42"/>
      <c r="J62" s="191"/>
      <c r="K62" s="35" t="s">
        <v>94</v>
      </c>
      <c r="L62" s="36">
        <v>71627</v>
      </c>
      <c r="M62" s="36">
        <v>71885</v>
      </c>
      <c r="N62" s="40">
        <f t="shared" si="5"/>
        <v>258</v>
      </c>
      <c r="O62" s="38"/>
    </row>
    <row r="63" spans="1:15" ht="15" x14ac:dyDescent="0.2">
      <c r="A63" s="42"/>
      <c r="B63" s="31"/>
      <c r="C63" s="48"/>
      <c r="D63" s="49"/>
      <c r="E63" s="36"/>
      <c r="F63" s="36"/>
      <c r="G63" s="58"/>
      <c r="H63" s="51"/>
      <c r="I63" s="42"/>
      <c r="J63" s="48"/>
      <c r="K63" s="49"/>
      <c r="L63" s="36"/>
      <c r="M63" s="36"/>
      <c r="N63" s="58"/>
      <c r="O63" s="51"/>
    </row>
    <row r="64" spans="1:15" ht="15" x14ac:dyDescent="0.2">
      <c r="A64" s="42"/>
      <c r="B64" s="31"/>
      <c r="C64" s="190">
        <v>28</v>
      </c>
      <c r="D64" s="97" t="s">
        <v>95</v>
      </c>
      <c r="E64" s="36"/>
      <c r="F64" s="36"/>
      <c r="G64" s="37">
        <v>0</v>
      </c>
      <c r="H64" s="99" t="s">
        <v>96</v>
      </c>
      <c r="I64" s="42"/>
      <c r="J64" s="190">
        <v>28</v>
      </c>
      <c r="K64" s="97" t="s">
        <v>95</v>
      </c>
      <c r="L64" s="36"/>
      <c r="M64" s="36"/>
      <c r="N64" s="37">
        <v>0</v>
      </c>
      <c r="O64" s="99" t="s">
        <v>96</v>
      </c>
    </row>
    <row r="65" spans="1:17" ht="15" x14ac:dyDescent="0.2">
      <c r="A65" s="42"/>
      <c r="B65" s="31"/>
      <c r="C65" s="191"/>
      <c r="D65" s="98"/>
      <c r="E65" s="36"/>
      <c r="F65" s="36"/>
      <c r="G65" s="37">
        <v>0</v>
      </c>
      <c r="H65" s="100"/>
      <c r="I65" s="42"/>
      <c r="J65" s="191"/>
      <c r="K65" s="98"/>
      <c r="L65" s="36"/>
      <c r="M65" s="36"/>
      <c r="N65" s="37">
        <v>0</v>
      </c>
      <c r="O65" s="100"/>
    </row>
    <row r="66" spans="1:17" x14ac:dyDescent="0.2">
      <c r="A66" s="42"/>
      <c r="B66" s="31"/>
      <c r="C66" s="189" t="s">
        <v>97</v>
      </c>
      <c r="D66" s="189"/>
      <c r="E66" s="189"/>
      <c r="F66" s="189"/>
      <c r="G66" s="59">
        <f>SUM(G4:G65)</f>
        <v>38837</v>
      </c>
      <c r="H66" s="60"/>
      <c r="I66" s="42"/>
      <c r="J66" s="189" t="s">
        <v>97</v>
      </c>
      <c r="K66" s="189"/>
      <c r="L66" s="189"/>
      <c r="M66" s="189"/>
      <c r="N66" s="59">
        <f>SUM(N4:N65)</f>
        <v>40537</v>
      </c>
      <c r="O66" s="60"/>
    </row>
    <row r="70" spans="1:17" ht="13.5" thickBot="1" x14ac:dyDescent="0.25">
      <c r="A70" s="61"/>
      <c r="B70" s="61"/>
      <c r="C70" s="61"/>
      <c r="D70" s="62" t="s">
        <v>13</v>
      </c>
      <c r="E70" s="61"/>
      <c r="F70" s="61"/>
      <c r="G70" s="61"/>
      <c r="H70" s="61"/>
    </row>
    <row r="71" spans="1:17" s="144" customFormat="1" ht="23.25" customHeight="1" thickBot="1" x14ac:dyDescent="0.25">
      <c r="A71" s="143"/>
      <c r="B71" s="203" t="s">
        <v>138</v>
      </c>
      <c r="C71" s="204"/>
      <c r="D71" s="204"/>
      <c r="E71" s="205"/>
      <c r="F71" s="143"/>
      <c r="G71" s="203" t="s">
        <v>139</v>
      </c>
      <c r="H71" s="204"/>
      <c r="I71" s="204"/>
      <c r="J71" s="205"/>
      <c r="K71" s="143"/>
      <c r="L71" s="200" t="s">
        <v>31</v>
      </c>
      <c r="M71" s="201"/>
      <c r="N71" s="201"/>
      <c r="O71" s="202"/>
      <c r="P71" s="143"/>
    </row>
    <row r="72" spans="1:17" ht="23.25" customHeight="1" thickBot="1" x14ac:dyDescent="0.25">
      <c r="A72" s="61"/>
      <c r="B72" s="63" t="s">
        <v>86</v>
      </c>
      <c r="C72" s="63">
        <v>30</v>
      </c>
      <c r="D72" s="63" t="s">
        <v>98</v>
      </c>
      <c r="E72" s="63" t="s">
        <v>99</v>
      </c>
      <c r="F72" s="61"/>
      <c r="G72" s="63" t="s">
        <v>86</v>
      </c>
      <c r="H72" s="63">
        <v>30</v>
      </c>
      <c r="I72" s="63" t="s">
        <v>98</v>
      </c>
      <c r="J72" s="63" t="s">
        <v>99</v>
      </c>
      <c r="K72" s="61"/>
      <c r="L72" s="64" t="s">
        <v>86</v>
      </c>
      <c r="M72" s="64">
        <v>30</v>
      </c>
      <c r="N72" s="64" t="s">
        <v>98</v>
      </c>
      <c r="O72" s="64" t="s">
        <v>99</v>
      </c>
    </row>
    <row r="73" spans="1:17" ht="23.25" customHeight="1" thickBot="1" x14ac:dyDescent="0.25">
      <c r="A73" s="61"/>
      <c r="B73" s="65">
        <v>6</v>
      </c>
      <c r="C73" s="68">
        <v>83523</v>
      </c>
      <c r="D73" s="67">
        <v>50059</v>
      </c>
      <c r="E73" s="68">
        <v>78515</v>
      </c>
      <c r="F73" s="61"/>
      <c r="G73" s="65">
        <v>6</v>
      </c>
      <c r="H73" s="66">
        <v>84873</v>
      </c>
      <c r="I73" s="67">
        <v>50117</v>
      </c>
      <c r="J73" s="68">
        <v>78515</v>
      </c>
      <c r="K73" s="61"/>
      <c r="L73" s="64">
        <v>6</v>
      </c>
      <c r="M73" s="69">
        <f>H73-C73</f>
        <v>1350</v>
      </c>
      <c r="N73" s="69">
        <f>I73-D73</f>
        <v>58</v>
      </c>
      <c r="O73" s="69">
        <f>J73-E73</f>
        <v>0</v>
      </c>
    </row>
    <row r="74" spans="1:17" ht="23.25" customHeight="1" thickBot="1" x14ac:dyDescent="0.25">
      <c r="A74" s="61"/>
      <c r="B74" s="65">
        <v>7</v>
      </c>
      <c r="C74" s="66">
        <v>85217</v>
      </c>
      <c r="D74" s="67">
        <v>94796</v>
      </c>
      <c r="E74" s="68">
        <v>52199</v>
      </c>
      <c r="F74" s="61"/>
      <c r="G74" s="65">
        <v>7</v>
      </c>
      <c r="H74" s="66">
        <v>86025</v>
      </c>
      <c r="I74" s="67">
        <v>96513</v>
      </c>
      <c r="J74" s="68">
        <v>53063</v>
      </c>
      <c r="K74" s="61"/>
      <c r="L74" s="64">
        <v>7</v>
      </c>
      <c r="M74" s="69">
        <f t="shared" ref="M74:O96" si="6">H74-C74</f>
        <v>808</v>
      </c>
      <c r="N74" s="69">
        <f t="shared" si="6"/>
        <v>1717</v>
      </c>
      <c r="O74" s="69">
        <f t="shared" si="6"/>
        <v>864</v>
      </c>
    </row>
    <row r="75" spans="1:17" ht="23.25" customHeight="1" thickBot="1" x14ac:dyDescent="0.25">
      <c r="A75" s="61"/>
      <c r="B75" s="65">
        <v>8</v>
      </c>
      <c r="C75" s="66">
        <v>96114</v>
      </c>
      <c r="D75" s="67">
        <v>213769</v>
      </c>
      <c r="E75" s="68">
        <v>91441</v>
      </c>
      <c r="F75" s="61"/>
      <c r="G75" s="65">
        <v>8</v>
      </c>
      <c r="H75" s="66">
        <v>96606</v>
      </c>
      <c r="I75" s="67">
        <v>215327</v>
      </c>
      <c r="J75" s="68">
        <v>93020</v>
      </c>
      <c r="K75" s="61"/>
      <c r="L75" s="64">
        <v>8</v>
      </c>
      <c r="M75" s="69">
        <f t="shared" si="6"/>
        <v>492</v>
      </c>
      <c r="N75" s="69">
        <f t="shared" si="6"/>
        <v>1558</v>
      </c>
      <c r="O75" s="69">
        <f t="shared" si="6"/>
        <v>1579</v>
      </c>
    </row>
    <row r="76" spans="1:17" ht="23.25" customHeight="1" thickBot="1" x14ac:dyDescent="0.25">
      <c r="A76" s="61"/>
      <c r="B76" s="65">
        <v>9</v>
      </c>
      <c r="C76" s="66">
        <v>63635</v>
      </c>
      <c r="D76" s="67">
        <v>124331</v>
      </c>
      <c r="E76" s="68">
        <v>115480</v>
      </c>
      <c r="F76" s="61"/>
      <c r="G76" s="65">
        <v>9</v>
      </c>
      <c r="H76" s="66">
        <v>63772</v>
      </c>
      <c r="I76" s="67">
        <v>125396</v>
      </c>
      <c r="J76" s="68">
        <v>116440</v>
      </c>
      <c r="K76" s="61"/>
      <c r="L76" s="64">
        <v>9</v>
      </c>
      <c r="M76" s="69">
        <f t="shared" si="6"/>
        <v>137</v>
      </c>
      <c r="N76" s="69">
        <f t="shared" si="6"/>
        <v>1065</v>
      </c>
      <c r="O76" s="69">
        <f t="shared" si="6"/>
        <v>960</v>
      </c>
    </row>
    <row r="77" spans="1:17" ht="23.25" customHeight="1" thickBot="1" x14ac:dyDescent="0.25">
      <c r="A77" s="61"/>
      <c r="B77" s="65">
        <v>10</v>
      </c>
      <c r="C77" s="66">
        <v>55115</v>
      </c>
      <c r="D77" s="67">
        <v>79494</v>
      </c>
      <c r="E77" s="68">
        <v>124598</v>
      </c>
      <c r="F77" s="61"/>
      <c r="G77" s="65">
        <v>10</v>
      </c>
      <c r="H77" s="66">
        <v>55165</v>
      </c>
      <c r="I77" s="67">
        <v>81445</v>
      </c>
      <c r="J77" s="68">
        <v>124851</v>
      </c>
      <c r="K77" s="61"/>
      <c r="L77" s="64">
        <v>10</v>
      </c>
      <c r="M77" s="69">
        <f t="shared" si="6"/>
        <v>50</v>
      </c>
      <c r="N77" s="69">
        <f t="shared" si="6"/>
        <v>1951</v>
      </c>
      <c r="O77" s="69">
        <f t="shared" si="6"/>
        <v>253</v>
      </c>
    </row>
    <row r="78" spans="1:17" ht="23.25" customHeight="1" thickBot="1" x14ac:dyDescent="0.25">
      <c r="A78" s="61"/>
      <c r="B78" s="65">
        <v>11</v>
      </c>
      <c r="C78" s="66">
        <v>133674</v>
      </c>
      <c r="D78" s="67">
        <v>167002</v>
      </c>
      <c r="E78" s="68">
        <v>186145</v>
      </c>
      <c r="F78" s="61"/>
      <c r="G78" s="65">
        <v>11</v>
      </c>
      <c r="H78" s="66">
        <v>135122</v>
      </c>
      <c r="I78" s="67">
        <v>167743</v>
      </c>
      <c r="J78" s="68">
        <v>186653</v>
      </c>
      <c r="K78" s="61"/>
      <c r="L78" s="64">
        <v>11</v>
      </c>
      <c r="M78" s="69">
        <f t="shared" si="6"/>
        <v>1448</v>
      </c>
      <c r="N78" s="69">
        <f t="shared" si="6"/>
        <v>741</v>
      </c>
      <c r="O78" s="69">
        <f t="shared" si="6"/>
        <v>508</v>
      </c>
    </row>
    <row r="79" spans="1:17" ht="23.25" customHeight="1" thickBot="1" x14ac:dyDescent="0.25">
      <c r="A79" s="61"/>
      <c r="B79" s="65">
        <v>12</v>
      </c>
      <c r="C79" s="66">
        <v>123305</v>
      </c>
      <c r="D79" s="67">
        <v>81526</v>
      </c>
      <c r="E79" s="68">
        <v>91995</v>
      </c>
      <c r="F79" s="61"/>
      <c r="G79" s="65">
        <v>12</v>
      </c>
      <c r="H79" s="66">
        <v>124463</v>
      </c>
      <c r="I79" s="67">
        <v>82855</v>
      </c>
      <c r="J79" s="68">
        <v>92626</v>
      </c>
      <c r="K79" s="61"/>
      <c r="L79" s="64">
        <v>12</v>
      </c>
      <c r="M79" s="69">
        <f t="shared" si="6"/>
        <v>1158</v>
      </c>
      <c r="N79" s="69">
        <f t="shared" si="6"/>
        <v>1329</v>
      </c>
      <c r="O79" s="69">
        <f t="shared" si="6"/>
        <v>631</v>
      </c>
      <c r="Q79" t="s">
        <v>13</v>
      </c>
    </row>
    <row r="80" spans="1:17" ht="23.25" customHeight="1" thickBot="1" x14ac:dyDescent="0.25">
      <c r="A80" s="61"/>
      <c r="B80" s="65">
        <v>14</v>
      </c>
      <c r="C80" s="66">
        <v>114595</v>
      </c>
      <c r="D80" s="67">
        <v>45073</v>
      </c>
      <c r="E80" s="68">
        <v>46457</v>
      </c>
      <c r="F80" s="61"/>
      <c r="G80" s="65">
        <v>14</v>
      </c>
      <c r="H80" s="66">
        <v>115077</v>
      </c>
      <c r="I80" s="67">
        <v>45084</v>
      </c>
      <c r="J80" s="68">
        <v>46612</v>
      </c>
      <c r="K80" s="61"/>
      <c r="L80" s="64">
        <v>14</v>
      </c>
      <c r="M80" s="69">
        <f t="shared" si="6"/>
        <v>482</v>
      </c>
      <c r="N80" s="69">
        <f t="shared" si="6"/>
        <v>11</v>
      </c>
      <c r="O80" s="69">
        <f t="shared" si="6"/>
        <v>155</v>
      </c>
    </row>
    <row r="81" spans="1:15" ht="23.25" customHeight="1" thickBot="1" x14ac:dyDescent="0.25">
      <c r="A81" s="61"/>
      <c r="B81" s="65">
        <v>15</v>
      </c>
      <c r="C81" s="66">
        <v>146062</v>
      </c>
      <c r="D81" s="67">
        <v>120060</v>
      </c>
      <c r="E81" s="68">
        <v>143394</v>
      </c>
      <c r="F81" s="61"/>
      <c r="G81" s="65">
        <v>15</v>
      </c>
      <c r="H81" s="66">
        <v>146681</v>
      </c>
      <c r="I81" s="67">
        <v>120993</v>
      </c>
      <c r="J81" s="68">
        <v>143858</v>
      </c>
      <c r="K81" s="61"/>
      <c r="L81" s="64">
        <v>15</v>
      </c>
      <c r="M81" s="69">
        <f t="shared" si="6"/>
        <v>619</v>
      </c>
      <c r="N81" s="69">
        <f t="shared" si="6"/>
        <v>933</v>
      </c>
      <c r="O81" s="69">
        <f t="shared" si="6"/>
        <v>464</v>
      </c>
    </row>
    <row r="82" spans="1:15" ht="23.25" customHeight="1" thickBot="1" x14ac:dyDescent="0.25">
      <c r="A82" s="61"/>
      <c r="B82" s="65">
        <v>16</v>
      </c>
      <c r="C82" s="66">
        <v>111956</v>
      </c>
      <c r="D82" s="67">
        <v>125327</v>
      </c>
      <c r="E82" s="68">
        <v>192575</v>
      </c>
      <c r="F82" s="61"/>
      <c r="G82" s="65">
        <v>16</v>
      </c>
      <c r="H82" s="66">
        <v>113029</v>
      </c>
      <c r="I82" s="67">
        <v>127210</v>
      </c>
      <c r="J82" s="68">
        <v>193983</v>
      </c>
      <c r="K82" s="61"/>
      <c r="L82" s="64">
        <v>16</v>
      </c>
      <c r="M82" s="69">
        <f t="shared" si="6"/>
        <v>1073</v>
      </c>
      <c r="N82" s="69">
        <f t="shared" si="6"/>
        <v>1883</v>
      </c>
      <c r="O82" s="69">
        <f t="shared" si="6"/>
        <v>1408</v>
      </c>
    </row>
    <row r="83" spans="1:15" ht="23.25" customHeight="1" thickBot="1" x14ac:dyDescent="0.25">
      <c r="A83" s="61"/>
      <c r="B83" s="65">
        <v>17</v>
      </c>
      <c r="C83" s="66">
        <v>38476</v>
      </c>
      <c r="D83" s="67">
        <v>76132</v>
      </c>
      <c r="E83" s="68">
        <v>179937</v>
      </c>
      <c r="F83" s="61"/>
      <c r="G83" s="65">
        <v>17</v>
      </c>
      <c r="H83" s="66"/>
      <c r="I83" s="67">
        <v>76704</v>
      </c>
      <c r="J83" s="68">
        <v>181057</v>
      </c>
      <c r="K83" s="61"/>
      <c r="L83" s="64">
        <v>17</v>
      </c>
      <c r="M83" s="69">
        <f t="shared" si="6"/>
        <v>-38476</v>
      </c>
      <c r="N83" s="69">
        <f t="shared" si="6"/>
        <v>572</v>
      </c>
      <c r="O83" s="69">
        <f t="shared" si="6"/>
        <v>1120</v>
      </c>
    </row>
    <row r="84" spans="1:15" ht="23.25" customHeight="1" thickBot="1" x14ac:dyDescent="0.25">
      <c r="A84" s="61"/>
      <c r="B84" s="65">
        <v>18</v>
      </c>
      <c r="C84" s="66">
        <v>122859</v>
      </c>
      <c r="D84" s="67">
        <v>64080</v>
      </c>
      <c r="E84" s="68">
        <v>153319</v>
      </c>
      <c r="F84" s="61"/>
      <c r="G84" s="65">
        <v>18</v>
      </c>
      <c r="H84" s="66">
        <v>123503</v>
      </c>
      <c r="I84" s="67">
        <v>64800</v>
      </c>
      <c r="J84" s="68">
        <v>153845</v>
      </c>
      <c r="K84" s="61"/>
      <c r="L84" s="64">
        <v>18</v>
      </c>
      <c r="M84" s="69">
        <f t="shared" si="6"/>
        <v>644</v>
      </c>
      <c r="N84" s="69">
        <f t="shared" si="6"/>
        <v>720</v>
      </c>
      <c r="O84" s="69">
        <f t="shared" si="6"/>
        <v>526</v>
      </c>
    </row>
    <row r="85" spans="1:15" ht="23.25" customHeight="1" thickBot="1" x14ac:dyDescent="0.25">
      <c r="A85" s="61"/>
      <c r="B85" s="65">
        <v>19</v>
      </c>
      <c r="C85" s="66">
        <v>62718</v>
      </c>
      <c r="D85" s="67">
        <v>152833</v>
      </c>
      <c r="E85" s="68">
        <v>103962</v>
      </c>
      <c r="F85" s="61"/>
      <c r="G85" s="65">
        <v>19</v>
      </c>
      <c r="H85" s="66">
        <v>63436</v>
      </c>
      <c r="I85" s="67">
        <v>153444</v>
      </c>
      <c r="J85" s="68">
        <v>104637</v>
      </c>
      <c r="K85" s="61"/>
      <c r="L85" s="64">
        <v>19</v>
      </c>
      <c r="M85" s="69">
        <f t="shared" si="6"/>
        <v>718</v>
      </c>
      <c r="N85" s="69">
        <f t="shared" si="6"/>
        <v>611</v>
      </c>
      <c r="O85" s="69">
        <f t="shared" si="6"/>
        <v>675</v>
      </c>
    </row>
    <row r="86" spans="1:15" ht="23.25" customHeight="1" thickBot="1" x14ac:dyDescent="0.25">
      <c r="A86" s="61"/>
      <c r="B86" s="65">
        <v>20</v>
      </c>
      <c r="C86" s="66">
        <v>130701</v>
      </c>
      <c r="D86" s="67">
        <v>154963</v>
      </c>
      <c r="E86" s="68">
        <v>79908</v>
      </c>
      <c r="F86" s="61"/>
      <c r="G86" s="65">
        <v>20</v>
      </c>
      <c r="H86" s="66">
        <v>131239</v>
      </c>
      <c r="I86" s="67">
        <v>155274</v>
      </c>
      <c r="J86" s="68">
        <v>80542</v>
      </c>
      <c r="K86" s="61"/>
      <c r="L86" s="64">
        <v>20</v>
      </c>
      <c r="M86" s="69">
        <f>H86-C86</f>
        <v>538</v>
      </c>
      <c r="N86" s="69">
        <f t="shared" si="6"/>
        <v>311</v>
      </c>
      <c r="O86" s="69">
        <f t="shared" si="6"/>
        <v>634</v>
      </c>
    </row>
    <row r="87" spans="1:15" ht="23.25" customHeight="1" thickBot="1" x14ac:dyDescent="0.25">
      <c r="A87" s="61"/>
      <c r="B87" s="65">
        <v>21</v>
      </c>
      <c r="C87" s="66">
        <v>181049</v>
      </c>
      <c r="D87" s="67">
        <v>81677</v>
      </c>
      <c r="E87" s="68">
        <v>88130</v>
      </c>
      <c r="F87" s="61"/>
      <c r="G87" s="65">
        <v>21</v>
      </c>
      <c r="H87" s="66">
        <v>181364</v>
      </c>
      <c r="I87" s="67">
        <v>81888</v>
      </c>
      <c r="J87" s="68">
        <v>88512</v>
      </c>
      <c r="K87" s="61"/>
      <c r="L87" s="64">
        <v>21</v>
      </c>
      <c r="M87" s="69">
        <f t="shared" si="6"/>
        <v>315</v>
      </c>
      <c r="N87" s="69">
        <f t="shared" si="6"/>
        <v>211</v>
      </c>
      <c r="O87" s="69">
        <f t="shared" si="6"/>
        <v>382</v>
      </c>
    </row>
    <row r="88" spans="1:15" ht="23.25" customHeight="1" thickBot="1" x14ac:dyDescent="0.25">
      <c r="A88" s="61"/>
      <c r="B88" s="65">
        <v>22</v>
      </c>
      <c r="C88" s="66">
        <v>102935</v>
      </c>
      <c r="D88" s="67">
        <v>78689</v>
      </c>
      <c r="E88" s="68">
        <v>95957</v>
      </c>
      <c r="F88" s="61"/>
      <c r="G88" s="65">
        <v>22</v>
      </c>
      <c r="H88" s="66"/>
      <c r="I88" s="67"/>
      <c r="J88" s="68"/>
      <c r="K88" s="61"/>
      <c r="L88" s="64">
        <v>22</v>
      </c>
      <c r="M88" s="69">
        <f t="shared" si="6"/>
        <v>-102935</v>
      </c>
      <c r="N88" s="69">
        <f t="shared" si="6"/>
        <v>-78689</v>
      </c>
      <c r="O88" s="69">
        <f t="shared" si="6"/>
        <v>-95957</v>
      </c>
    </row>
    <row r="89" spans="1:15" ht="23.25" customHeight="1" thickBot="1" x14ac:dyDescent="0.25">
      <c r="A89" s="61"/>
      <c r="B89" s="65">
        <v>23</v>
      </c>
      <c r="C89" s="66">
        <v>115516</v>
      </c>
      <c r="D89" s="67">
        <v>138685</v>
      </c>
      <c r="E89" s="68">
        <v>264426</v>
      </c>
      <c r="F89" s="61"/>
      <c r="G89" s="65">
        <v>23</v>
      </c>
      <c r="H89" s="66">
        <v>116542</v>
      </c>
      <c r="I89" s="67">
        <v>139557</v>
      </c>
      <c r="J89" s="68">
        <v>265425</v>
      </c>
      <c r="K89" s="61"/>
      <c r="L89" s="64">
        <v>23</v>
      </c>
      <c r="M89" s="69">
        <f t="shared" si="6"/>
        <v>1026</v>
      </c>
      <c r="N89" s="69">
        <f t="shared" si="6"/>
        <v>872</v>
      </c>
      <c r="O89" s="69">
        <f t="shared" si="6"/>
        <v>999</v>
      </c>
    </row>
    <row r="90" spans="1:15" ht="23.25" customHeight="1" thickBot="1" x14ac:dyDescent="0.25">
      <c r="A90" s="61"/>
      <c r="B90" s="65">
        <v>24</v>
      </c>
      <c r="C90" s="66">
        <v>74298</v>
      </c>
      <c r="D90" s="67">
        <v>135400</v>
      </c>
      <c r="E90" s="68">
        <v>94879</v>
      </c>
      <c r="F90" s="61"/>
      <c r="G90" s="65">
        <v>24</v>
      </c>
      <c r="H90" s="66">
        <v>74454</v>
      </c>
      <c r="I90" s="67">
        <v>136159</v>
      </c>
      <c r="J90" s="68">
        <v>94980</v>
      </c>
      <c r="K90" s="61"/>
      <c r="L90" s="64">
        <v>24</v>
      </c>
      <c r="M90" s="69">
        <f t="shared" si="6"/>
        <v>156</v>
      </c>
      <c r="N90" s="69">
        <f t="shared" si="6"/>
        <v>759</v>
      </c>
      <c r="O90" s="69">
        <f>J90-E90</f>
        <v>101</v>
      </c>
    </row>
    <row r="91" spans="1:15" ht="23.25" customHeight="1" thickBot="1" x14ac:dyDescent="0.25">
      <c r="A91" s="61"/>
      <c r="B91" s="65">
        <v>25</v>
      </c>
      <c r="C91" s="66">
        <v>108712</v>
      </c>
      <c r="D91" s="67">
        <v>167876</v>
      </c>
      <c r="E91" s="68">
        <v>134252</v>
      </c>
      <c r="F91" s="61"/>
      <c r="G91" s="65">
        <v>25</v>
      </c>
      <c r="H91" s="66">
        <v>109527</v>
      </c>
      <c r="I91" s="67">
        <v>168171</v>
      </c>
      <c r="J91" s="68">
        <v>135330</v>
      </c>
      <c r="K91" s="61"/>
      <c r="L91" s="64">
        <v>25</v>
      </c>
      <c r="M91" s="69">
        <f t="shared" si="6"/>
        <v>815</v>
      </c>
      <c r="N91" s="69">
        <f t="shared" si="6"/>
        <v>295</v>
      </c>
      <c r="O91" s="69">
        <f>J91-E91</f>
        <v>1078</v>
      </c>
    </row>
    <row r="92" spans="1:15" ht="23.25" customHeight="1" thickBot="1" x14ac:dyDescent="0.25">
      <c r="A92" s="61"/>
      <c r="B92" s="65">
        <v>26</v>
      </c>
      <c r="C92" s="66">
        <v>106066</v>
      </c>
      <c r="D92" s="67">
        <v>46479</v>
      </c>
      <c r="E92" s="67">
        <v>44717</v>
      </c>
      <c r="F92" s="61"/>
      <c r="G92" s="65">
        <v>26</v>
      </c>
      <c r="H92" s="66">
        <v>106346</v>
      </c>
      <c r="I92" s="67">
        <v>46589</v>
      </c>
      <c r="J92" s="67">
        <v>45896</v>
      </c>
      <c r="K92" s="61"/>
      <c r="L92" s="64">
        <v>26</v>
      </c>
      <c r="M92" s="69">
        <f t="shared" si="6"/>
        <v>280</v>
      </c>
      <c r="N92" s="69">
        <f t="shared" si="6"/>
        <v>110</v>
      </c>
      <c r="O92" s="69">
        <f t="shared" si="6"/>
        <v>1179</v>
      </c>
    </row>
    <row r="93" spans="1:15" ht="23.25" customHeight="1" thickBot="1" x14ac:dyDescent="0.25">
      <c r="A93" s="61"/>
      <c r="B93" s="65">
        <v>27</v>
      </c>
      <c r="C93" s="66">
        <v>94757</v>
      </c>
      <c r="D93" s="67">
        <v>102553</v>
      </c>
      <c r="E93" s="68">
        <v>110946</v>
      </c>
      <c r="F93" s="61"/>
      <c r="G93" s="65">
        <v>27</v>
      </c>
      <c r="H93" s="66">
        <v>94966</v>
      </c>
      <c r="I93" s="67">
        <v>102734</v>
      </c>
      <c r="J93" s="68">
        <v>111563</v>
      </c>
      <c r="K93" s="61"/>
      <c r="L93" s="64">
        <v>27</v>
      </c>
      <c r="M93" s="69">
        <f t="shared" si="6"/>
        <v>209</v>
      </c>
      <c r="N93" s="69">
        <f t="shared" si="6"/>
        <v>181</v>
      </c>
      <c r="O93" s="69">
        <f t="shared" si="6"/>
        <v>617</v>
      </c>
    </row>
    <row r="94" spans="1:15" ht="23.25" customHeight="1" thickBot="1" x14ac:dyDescent="0.25">
      <c r="A94" s="61"/>
      <c r="B94" s="65">
        <v>28</v>
      </c>
      <c r="C94" s="66">
        <v>171242</v>
      </c>
      <c r="D94" s="67">
        <v>98996</v>
      </c>
      <c r="E94" s="68">
        <v>98536</v>
      </c>
      <c r="F94" s="61"/>
      <c r="G94" s="65">
        <v>28</v>
      </c>
      <c r="H94" s="66">
        <v>171501</v>
      </c>
      <c r="I94" s="67">
        <v>99131</v>
      </c>
      <c r="J94" s="68">
        <v>98677</v>
      </c>
      <c r="K94" s="61"/>
      <c r="L94" s="64">
        <v>28</v>
      </c>
      <c r="M94" s="69">
        <f t="shared" si="6"/>
        <v>259</v>
      </c>
      <c r="N94" s="69">
        <f t="shared" si="6"/>
        <v>135</v>
      </c>
      <c r="O94" s="69">
        <f t="shared" si="6"/>
        <v>141</v>
      </c>
    </row>
    <row r="95" spans="1:15" ht="23.25" customHeight="1" thickBot="1" x14ac:dyDescent="0.25">
      <c r="A95" s="61"/>
      <c r="B95" s="65">
        <v>29</v>
      </c>
      <c r="C95" s="66">
        <v>63130</v>
      </c>
      <c r="D95" s="67">
        <v>67697</v>
      </c>
      <c r="E95" s="68"/>
      <c r="F95" s="61"/>
      <c r="G95" s="65">
        <v>29</v>
      </c>
      <c r="H95" s="66"/>
      <c r="I95" s="67"/>
      <c r="J95" s="68"/>
      <c r="K95" s="61"/>
      <c r="L95" s="64">
        <v>29</v>
      </c>
      <c r="M95" s="69">
        <f t="shared" si="6"/>
        <v>-63130</v>
      </c>
      <c r="N95" s="69">
        <f t="shared" si="6"/>
        <v>-67697</v>
      </c>
      <c r="O95" s="69"/>
    </row>
    <row r="96" spans="1:15" ht="23.25" customHeight="1" thickBot="1" x14ac:dyDescent="0.25">
      <c r="A96" s="61"/>
      <c r="B96" s="65">
        <v>30</v>
      </c>
      <c r="C96" s="66"/>
      <c r="D96" s="67"/>
      <c r="E96" s="68"/>
      <c r="F96" s="61"/>
      <c r="G96" s="65">
        <v>30</v>
      </c>
      <c r="H96" s="66"/>
      <c r="I96" s="67"/>
      <c r="J96" s="68"/>
      <c r="K96" s="61"/>
      <c r="L96" s="64">
        <v>30</v>
      </c>
      <c r="M96" s="69">
        <f t="shared" si="6"/>
        <v>0</v>
      </c>
      <c r="N96" s="69"/>
      <c r="O96" s="61"/>
    </row>
    <row r="97" spans="3:16" ht="23.25" customHeight="1" x14ac:dyDescent="0.2">
      <c r="C97" s="70"/>
      <c r="D97" s="70"/>
      <c r="E97" s="70"/>
      <c r="F97" s="70"/>
      <c r="H97" s="70"/>
      <c r="I97" s="70"/>
      <c r="J97" s="70"/>
      <c r="K97" s="70"/>
      <c r="L97" s="61"/>
      <c r="M97" s="61"/>
      <c r="N97" s="61"/>
      <c r="O97" s="61"/>
      <c r="P97" s="61"/>
    </row>
    <row r="98" spans="3:16" ht="23.25" customHeight="1" x14ac:dyDescent="0.2"/>
  </sheetData>
  <mergeCells count="53">
    <mergeCell ref="C64:C65"/>
    <mergeCell ref="C47:C48"/>
    <mergeCell ref="C49:C50"/>
    <mergeCell ref="C51:C52"/>
    <mergeCell ref="C54:C56"/>
    <mergeCell ref="C57:C58"/>
    <mergeCell ref="C34:C36"/>
    <mergeCell ref="C37:C39"/>
    <mergeCell ref="C40:C42"/>
    <mergeCell ref="C43:C45"/>
    <mergeCell ref="C59:C60"/>
    <mergeCell ref="C61:C62"/>
    <mergeCell ref="L71:O71"/>
    <mergeCell ref="G71:J71"/>
    <mergeCell ref="B71:E71"/>
    <mergeCell ref="C66:F66"/>
    <mergeCell ref="C4:C6"/>
    <mergeCell ref="C7:C9"/>
    <mergeCell ref="C10:C12"/>
    <mergeCell ref="C13:C15"/>
    <mergeCell ref="C25:C27"/>
    <mergeCell ref="C31:C33"/>
    <mergeCell ref="E1:F1"/>
    <mergeCell ref="C2:H2"/>
    <mergeCell ref="C28:C30"/>
    <mergeCell ref="C16:C18"/>
    <mergeCell ref="C19:C21"/>
    <mergeCell ref="C22:C24"/>
    <mergeCell ref="L1:M1"/>
    <mergeCell ref="J2:O2"/>
    <mergeCell ref="J4:J6"/>
    <mergeCell ref="J7:J9"/>
    <mergeCell ref="J10:J12"/>
    <mergeCell ref="J13:J15"/>
    <mergeCell ref="J16:J18"/>
    <mergeCell ref="J19:J21"/>
    <mergeCell ref="J22:J24"/>
    <mergeCell ref="J25:J27"/>
    <mergeCell ref="J28:J30"/>
    <mergeCell ref="J31:J33"/>
    <mergeCell ref="J34:J36"/>
    <mergeCell ref="J37:J39"/>
    <mergeCell ref="J40:J42"/>
    <mergeCell ref="J43:J45"/>
    <mergeCell ref="J47:J48"/>
    <mergeCell ref="J49:J50"/>
    <mergeCell ref="J66:M66"/>
    <mergeCell ref="J51:J52"/>
    <mergeCell ref="J54:J56"/>
    <mergeCell ref="J57:J58"/>
    <mergeCell ref="J59:J60"/>
    <mergeCell ref="J61:J62"/>
    <mergeCell ref="J64:J65"/>
  </mergeCells>
  <phoneticPr fontId="0" type="noConversion"/>
  <pageMargins left="0.75" right="0.75" top="1" bottom="1" header="0.5" footer="0.5"/>
  <pageSetup paperSize="9"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statment</vt:lpstr>
      <vt:lpstr>Plaza and Residential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2018-07-02T08:24:59Z</cp:lastPrinted>
  <dcterms:created xsi:type="dcterms:W3CDTF">2017-07-31T14:40:49Z</dcterms:created>
  <dcterms:modified xsi:type="dcterms:W3CDTF">2020-01-31T07:42:45Z</dcterms:modified>
</cp:coreProperties>
</file>