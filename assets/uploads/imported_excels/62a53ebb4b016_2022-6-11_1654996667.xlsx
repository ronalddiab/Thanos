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K7" i="9" l="1"/>
  <c r="G4" i="3" l="1"/>
  <c r="AA5" i="4"/>
  <c r="AA4" i="4"/>
  <c r="Y4" i="4" l="1"/>
  <c r="T7" i="2" l="1"/>
  <c r="T10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14" i="2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<sst xmlns="http://schemas.openxmlformats.org/spreadsheetml/2006/main" count="511" uniqueCount="150">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</sst>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64314.137043999996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9">
        <v>1.27</v>
      </c>
      <c r="G13" s="37">
        <f>Gas!C14*0.9147</f>
        <v>0</v>
      </c>
      <c r="H13" s="140">
        <v>3.65</v>
      </c>
      <c r="I13" s="142">
        <f>Submetering!H13+Submetering!AD13+Submetering!AE13</f>
        <v>-194</v>
      </c>
      <c r="J13" s="142">
        <v>10.029999999999999</v>
      </c>
      <c r="K13" s="37">
        <f>ELECT.!B14</f>
        <v>0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9">
        <v>1.27</v>
      </c>
      <c r="G14" s="37">
        <f>Gas!C15*0.9147</f>
        <v>0</v>
      </c>
      <c r="H14" s="140">
        <v>3.65</v>
      </c>
      <c r="I14" s="142">
        <f>Submetering!H14+Submetering!AD14+Submetering!AE14</f>
        <v>-194</v>
      </c>
      <c r="J14" s="142">
        <v>10.029999999999999</v>
      </c>
      <c r="K14" s="37">
        <f>ELECT.!B15</f>
        <v>0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9">
        <v>1.27</v>
      </c>
      <c r="G15" s="37">
        <f>Gas!C16*0.9147</f>
        <v>0</v>
      </c>
      <c r="H15" s="140">
        <v>3.65</v>
      </c>
      <c r="I15" s="142">
        <f>Submetering!H15+Submetering!AD15+Submetering!AE15</f>
        <v>-194</v>
      </c>
      <c r="J15" s="142">
        <v>10.029999999999999</v>
      </c>
      <c r="K15" s="37">
        <f>ELECT.!B16</f>
        <v>0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9">
        <v>1.27</v>
      </c>
      <c r="G16" s="37">
        <f>Gas!C17*0.9147</f>
        <v>0</v>
      </c>
      <c r="H16" s="140">
        <v>3.65</v>
      </c>
      <c r="I16" s="142">
        <f>Submetering!H16+Submetering!AD16+Submetering!AE16</f>
        <v>-194</v>
      </c>
      <c r="J16" s="142">
        <v>10.029999999999999</v>
      </c>
      <c r="K16" s="37">
        <f>ELECT.!B17</f>
        <v>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9">
        <v>1.27</v>
      </c>
      <c r="G17" s="37">
        <f>Gas!C18*0.9147</f>
        <v>0</v>
      </c>
      <c r="H17" s="140">
        <v>3.65</v>
      </c>
      <c r="I17" s="142">
        <f>Submetering!H17+Submetering!AD17+Submetering!AE17</f>
        <v>-194</v>
      </c>
      <c r="J17" s="142">
        <v>10.029999999999999</v>
      </c>
      <c r="K17" s="37">
        <f>ELECT.!B18</f>
        <v>0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28" sqref="G2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1243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0</v>
      </c>
      <c r="F13" s="37">
        <f>Water!E14</f>
        <v>0</v>
      </c>
      <c r="G13" s="37">
        <f>Water!G14</f>
        <v>0</v>
      </c>
      <c r="H13" s="37">
        <f>Water!I14</f>
        <v>0</v>
      </c>
      <c r="I13" s="37" t="str">
        <f>ELECT.!F14</f>
        <v>0</v>
      </c>
      <c r="J13" s="37" t="str">
        <f>ELECT.!H14</f>
        <v>0</v>
      </c>
      <c r="K13" s="37">
        <f>ELECT.!K14</f>
        <v>0</v>
      </c>
      <c r="L13" s="37" t="str">
        <f>ELECT.!M14</f>
        <v>0</v>
      </c>
      <c r="M13" s="37">
        <f>ELECT.!O14</f>
        <v>0</v>
      </c>
      <c r="N13" s="37" t="str">
        <f>ELECT.!Q14</f>
        <v>0</v>
      </c>
      <c r="O13" s="37" t="str">
        <f>ELECT.!S14</f>
        <v>0</v>
      </c>
      <c r="P13" s="37">
        <f>ELECT.!W14*2</f>
        <v>0</v>
      </c>
      <c r="Q13" s="37">
        <f>ELECT.!D14</f>
        <v>0</v>
      </c>
      <c r="R13" s="142" t="str">
        <f>BTU!C14</f>
        <v>0</v>
      </c>
      <c r="S13" s="142" t="str">
        <f>BTU!F14</f>
        <v>0</v>
      </c>
      <c r="T13" s="142" t="str">
        <f>BTU!I14</f>
        <v>0</v>
      </c>
      <c r="U13" s="142" t="str">
        <f>BTU!O14</f>
        <v>0</v>
      </c>
      <c r="V13" s="142" t="str">
        <f>BTU!L14</f>
        <v>0</v>
      </c>
      <c r="W13" s="142" t="str">
        <f>BTU!R14</f>
        <v>0</v>
      </c>
      <c r="X13" s="35">
        <f>ELECT.!B14</f>
        <v>0</v>
      </c>
      <c r="Y13" s="3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5">
        <f t="shared" si="1"/>
        <v>-25.569199999999999</v>
      </c>
      <c r="AE13" s="35">
        <f t="shared" si="2"/>
        <v>-168.4308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0</v>
      </c>
      <c r="F14" s="37">
        <f>Water!E15</f>
        <v>0</v>
      </c>
      <c r="G14" s="37">
        <f>Water!G15</f>
        <v>0</v>
      </c>
      <c r="H14" s="37">
        <f>Water!I15</f>
        <v>0</v>
      </c>
      <c r="I14" s="37">
        <f>ELECT.!F15</f>
        <v>0</v>
      </c>
      <c r="J14" s="37">
        <f>ELECT.!H15</f>
        <v>0</v>
      </c>
      <c r="K14" s="37">
        <f>ELECT.!K15</f>
        <v>0</v>
      </c>
      <c r="L14" s="37">
        <f>ELECT.!M15</f>
        <v>0</v>
      </c>
      <c r="M14" s="37">
        <f>ELECT.!O15</f>
        <v>0</v>
      </c>
      <c r="N14" s="37">
        <f>ELECT.!Q15</f>
        <v>0</v>
      </c>
      <c r="O14" s="37">
        <f>ELECT.!S15</f>
        <v>0</v>
      </c>
      <c r="P14" s="37">
        <f>ELECT.!W15*2</f>
        <v>0</v>
      </c>
      <c r="Q14" s="37">
        <f>ELECT.!D15</f>
        <v>0</v>
      </c>
      <c r="R14" s="142">
        <f>BTU!C15</f>
        <v>0</v>
      </c>
      <c r="S14" s="142">
        <f>BTU!F15</f>
        <v>0</v>
      </c>
      <c r="T14" s="142">
        <f>BTU!I15</f>
        <v>0</v>
      </c>
      <c r="U14" s="142">
        <f>BTU!O15</f>
        <v>0</v>
      </c>
      <c r="V14" s="142">
        <f>BTU!L15</f>
        <v>0</v>
      </c>
      <c r="W14" s="142">
        <f>BTU!R15</f>
        <v>0</v>
      </c>
      <c r="X14" s="35">
        <f>ELECT.!B15</f>
        <v>0</v>
      </c>
      <c r="Y14" s="3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5">
        <f t="shared" si="1"/>
        <v>-25.569199999999999</v>
      </c>
      <c r="AE14" s="35">
        <f t="shared" si="2"/>
        <v>-168.4308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0</v>
      </c>
      <c r="F15" s="37">
        <f>Water!E16</f>
        <v>0</v>
      </c>
      <c r="G15" s="37">
        <f>Water!G16</f>
        <v>0</v>
      </c>
      <c r="H15" s="37">
        <f>Water!I16</f>
        <v>0</v>
      </c>
      <c r="I15" s="37">
        <f>ELECT.!F16</f>
        <v>0</v>
      </c>
      <c r="J15" s="37">
        <f>ELECT.!H16</f>
        <v>0</v>
      </c>
      <c r="K15" s="37">
        <f>ELECT.!K16</f>
        <v>0</v>
      </c>
      <c r="L15" s="37">
        <f>ELECT.!M16</f>
        <v>0</v>
      </c>
      <c r="M15" s="37">
        <f>ELECT.!O16</f>
        <v>0</v>
      </c>
      <c r="N15" s="37">
        <f>ELECT.!Q16</f>
        <v>0</v>
      </c>
      <c r="O15" s="37">
        <f>ELECT.!S16</f>
        <v>0</v>
      </c>
      <c r="P15" s="37">
        <f>ELECT.!W16*2</f>
        <v>0</v>
      </c>
      <c r="Q15" s="37">
        <f>ELECT.!D16</f>
        <v>0</v>
      </c>
      <c r="R15" s="142">
        <f>BTU!C16</f>
        <v>0</v>
      </c>
      <c r="S15" s="142">
        <f>BTU!F16</f>
        <v>0</v>
      </c>
      <c r="T15" s="142">
        <f>BTU!I16</f>
        <v>0</v>
      </c>
      <c r="U15" s="142">
        <f>BTU!O16</f>
        <v>0</v>
      </c>
      <c r="V15" s="142">
        <f>BTU!L16</f>
        <v>0</v>
      </c>
      <c r="W15" s="142">
        <f>BTU!R16</f>
        <v>0</v>
      </c>
      <c r="X15" s="35">
        <f>ELECT.!B16</f>
        <v>0</v>
      </c>
      <c r="Y15" s="3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5">
        <f t="shared" si="1"/>
        <v>-25.569199999999999</v>
      </c>
      <c r="AE15" s="35">
        <f t="shared" si="2"/>
        <v>-168.4308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0</v>
      </c>
      <c r="F16" s="37">
        <f>Water!E17</f>
        <v>0</v>
      </c>
      <c r="G16" s="37">
        <f>Water!G17</f>
        <v>0</v>
      </c>
      <c r="H16" s="37">
        <f>Water!I17</f>
        <v>0</v>
      </c>
      <c r="I16" s="37">
        <f>ELECT.!F17</f>
        <v>0</v>
      </c>
      <c r="J16" s="37">
        <f>ELECT.!H17</f>
        <v>0</v>
      </c>
      <c r="K16" s="37">
        <f>ELECT.!K17</f>
        <v>0</v>
      </c>
      <c r="L16" s="37">
        <f>ELECT.!M17</f>
        <v>0</v>
      </c>
      <c r="M16" s="37">
        <f>ELECT.!O17</f>
        <v>0</v>
      </c>
      <c r="N16" s="37">
        <f>ELECT.!Q17</f>
        <v>0</v>
      </c>
      <c r="O16" s="37">
        <f>ELECT.!S17</f>
        <v>0</v>
      </c>
      <c r="P16" s="37">
        <f>ELECT.!W17*2</f>
        <v>0</v>
      </c>
      <c r="Q16" s="37">
        <f>ELECT.!D17</f>
        <v>0</v>
      </c>
      <c r="R16" s="142">
        <f>BTU!C17</f>
        <v>0</v>
      </c>
      <c r="S16" s="142">
        <f>BTU!F17</f>
        <v>0</v>
      </c>
      <c r="T16" s="142">
        <f>BTU!I17</f>
        <v>0</v>
      </c>
      <c r="U16" s="142">
        <f>BTU!O17</f>
        <v>0</v>
      </c>
      <c r="V16" s="142">
        <f>BTU!L17</f>
        <v>0</v>
      </c>
      <c r="W16" s="142">
        <f>BTU!R17</f>
        <v>0</v>
      </c>
      <c r="X16" s="35">
        <f>ELECT.!B17</f>
        <v>0</v>
      </c>
      <c r="Y16" s="3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-25.569199999999999</v>
      </c>
      <c r="AE16" s="35">
        <f t="shared" si="2"/>
        <v>-168.4308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0</v>
      </c>
      <c r="F17" s="37">
        <f>Water!E18</f>
        <v>0</v>
      </c>
      <c r="G17" s="37">
        <f>Water!G18</f>
        <v>0</v>
      </c>
      <c r="H17" s="37">
        <f>Water!I18</f>
        <v>0</v>
      </c>
      <c r="I17" s="37">
        <f>ELECT.!F18</f>
        <v>0</v>
      </c>
      <c r="J17" s="37">
        <f>ELECT.!H18</f>
        <v>0</v>
      </c>
      <c r="K17" s="37">
        <f>ELECT.!K18</f>
        <v>0</v>
      </c>
      <c r="L17" s="37">
        <f>ELECT.!M18</f>
        <v>0</v>
      </c>
      <c r="M17" s="37">
        <f>ELECT.!O18</f>
        <v>0</v>
      </c>
      <c r="N17" s="37">
        <f>ELECT.!Q18</f>
        <v>0</v>
      </c>
      <c r="O17" s="37">
        <f>ELECT.!S18</f>
        <v>0</v>
      </c>
      <c r="P17" s="37">
        <f>ELECT.!W18*2</f>
        <v>0</v>
      </c>
      <c r="Q17" s="37">
        <f>ELECT.!D18</f>
        <v>0</v>
      </c>
      <c r="R17" s="142">
        <f>BTU!C18</f>
        <v>0</v>
      </c>
      <c r="S17" s="142">
        <f>BTU!F18</f>
        <v>0</v>
      </c>
      <c r="T17" s="142">
        <f>BTU!I18</f>
        <v>0</v>
      </c>
      <c r="U17" s="142">
        <f>BTU!O18</f>
        <v>0</v>
      </c>
      <c r="V17" s="142">
        <f>BTU!L18</f>
        <v>0</v>
      </c>
      <c r="W17" s="142">
        <f>BTU!R18</f>
        <v>0</v>
      </c>
      <c r="X17" s="35">
        <f>ELECT.!B18</f>
        <v>0</v>
      </c>
      <c r="Y17" s="3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5">
        <f t="shared" si="1"/>
        <v>-25.569199999999999</v>
      </c>
      <c r="AE17" s="35">
        <f t="shared" si="2"/>
        <v>-168.4308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142">
        <f>BTU!C19</f>
        <v>0</v>
      </c>
      <c r="S18" s="142">
        <f>BTU!F19</f>
        <v>0</v>
      </c>
      <c r="T18" s="142">
        <f>BTU!I19</f>
        <v>0</v>
      </c>
      <c r="U18" s="142">
        <f>BTU!O19</f>
        <v>0</v>
      </c>
      <c r="V18" s="142">
        <f>BTU!L19</f>
        <v>0</v>
      </c>
      <c r="W18" s="142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142">
        <f>BTU!C20</f>
        <v>0</v>
      </c>
      <c r="S19" s="142">
        <f>BTU!F20</f>
        <v>0</v>
      </c>
      <c r="T19" s="142">
        <f>BTU!I20</f>
        <v>0</v>
      </c>
      <c r="U19" s="142">
        <f>BTU!O20</f>
        <v>0</v>
      </c>
      <c r="V19" s="142">
        <f>BTU!L20</f>
        <v>0</v>
      </c>
      <c r="W19" s="142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142">
        <f>BTU!C21</f>
        <v>0</v>
      </c>
      <c r="S20" s="142">
        <f>BTU!F21</f>
        <v>0</v>
      </c>
      <c r="T20" s="142">
        <f>BTU!I21</f>
        <v>0</v>
      </c>
      <c r="U20" s="142">
        <f>BTU!O21</f>
        <v>0</v>
      </c>
      <c r="V20" s="142">
        <f>BTU!L21</f>
        <v>0</v>
      </c>
      <c r="W20" s="142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142">
        <f>BTU!C22</f>
        <v>0</v>
      </c>
      <c r="S21" s="142">
        <f>BTU!F22</f>
        <v>0</v>
      </c>
      <c r="T21" s="142">
        <f>BTU!I22</f>
        <v>0</v>
      </c>
      <c r="U21" s="142">
        <f>BTU!O22</f>
        <v>0</v>
      </c>
      <c r="V21" s="142">
        <f>BTU!L22</f>
        <v>0</v>
      </c>
      <c r="W21" s="142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142">
        <f>BTU!C23</f>
        <v>0</v>
      </c>
      <c r="S22" s="142">
        <f>BTU!F23</f>
        <v>0</v>
      </c>
      <c r="T22" s="142">
        <f>BTU!I23</f>
        <v>0</v>
      </c>
      <c r="U22" s="142">
        <f>BTU!O23</f>
        <v>0</v>
      </c>
      <c r="V22" s="142">
        <f>BTU!L23</f>
        <v>0</v>
      </c>
      <c r="W22" s="142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142">
        <f>BTU!C24</f>
        <v>0</v>
      </c>
      <c r="S23" s="142">
        <f>BTU!F24</f>
        <v>0</v>
      </c>
      <c r="T23" s="142">
        <f>BTU!I24</f>
        <v>0</v>
      </c>
      <c r="U23" s="142">
        <f>BTU!O24</f>
        <v>0</v>
      </c>
      <c r="V23" s="142">
        <f>BTU!L24</f>
        <v>0</v>
      </c>
      <c r="W23" s="142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142">
        <f>BTU!C25</f>
        <v>0</v>
      </c>
      <c r="S24" s="142">
        <f>BTU!F25</f>
        <v>0</v>
      </c>
      <c r="T24" s="142">
        <f>BTU!I25</f>
        <v>0</v>
      </c>
      <c r="U24" s="142">
        <f>BTU!O25</f>
        <v>0</v>
      </c>
      <c r="V24" s="142">
        <f>BTU!L25</f>
        <v>0</v>
      </c>
      <c r="W24" s="142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F40" sqref="F40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255634</v>
      </c>
      <c r="I13" s="14">
        <f t="shared" si="3"/>
        <v>63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f t="shared" ref="B13:B32" si="13">B13</f>
        <v>47138</v>
      </c>
      <c r="C14" s="14">
        <f t="shared" si="9"/>
        <v>0</v>
      </c>
      <c r="D14" s="32">
        <f t="shared" ref="D13:D32" si="14">D13</f>
        <v>40673</v>
      </c>
      <c r="E14" s="14">
        <f t="shared" si="1"/>
        <v>0</v>
      </c>
      <c r="F14" s="32">
        <f t="shared" ref="F13:F32" si="15">F13</f>
        <v>21727</v>
      </c>
      <c r="G14" s="14">
        <f t="shared" si="2"/>
        <v>0</v>
      </c>
      <c r="H14" s="32">
        <f t="shared" ref="H13:H32" si="16">H13</f>
        <v>255634</v>
      </c>
      <c r="I14" s="14">
        <f t="shared" si="3"/>
        <v>0</v>
      </c>
      <c r="J14" s="32">
        <f t="shared" ref="J13:J32" si="17">J13</f>
        <v>318121</v>
      </c>
      <c r="K14" s="14">
        <f t="shared" si="4"/>
        <v>0</v>
      </c>
      <c r="L14" s="32">
        <f t="shared" ref="L13:L32" si="18">L13</f>
        <v>26205</v>
      </c>
      <c r="M14" s="14">
        <f t="shared" si="5"/>
        <v>0</v>
      </c>
      <c r="N14" s="32">
        <f t="shared" ref="N13:N32" si="19">N13</f>
        <v>226071</v>
      </c>
      <c r="O14" s="14">
        <f t="shared" si="6"/>
        <v>0</v>
      </c>
      <c r="P14" s="32">
        <f t="shared" si="12"/>
        <v>155578</v>
      </c>
      <c r="Q14" s="14">
        <f t="shared" si="0"/>
        <v>0</v>
      </c>
      <c r="R14" s="1">
        <f t="shared" si="10"/>
        <v>55047</v>
      </c>
      <c r="S14" s="14">
        <v>0</v>
      </c>
      <c r="T14" s="32">
        <f t="shared" si="11"/>
        <v>4005</v>
      </c>
      <c r="U14" s="14">
        <f t="shared" si="8"/>
        <v>0</v>
      </c>
    </row>
    <row r="15" spans="1:24" ht="13.5" thickBot="1" x14ac:dyDescent="0.25">
      <c r="A15" s="9">
        <v>44725</v>
      </c>
      <c r="B15" s="32">
        <f t="shared" si="13"/>
        <v>47138</v>
      </c>
      <c r="C15" s="14">
        <f t="shared" si="9"/>
        <v>0</v>
      </c>
      <c r="D15" s="32">
        <f t="shared" si="14"/>
        <v>40673</v>
      </c>
      <c r="E15" s="14">
        <f t="shared" si="1"/>
        <v>0</v>
      </c>
      <c r="F15" s="32">
        <f t="shared" si="15"/>
        <v>21727</v>
      </c>
      <c r="G15" s="14">
        <f t="shared" ref="G15" si="20">(F15-F14)*100/5</f>
        <v>0</v>
      </c>
      <c r="H15" s="32">
        <f t="shared" si="16"/>
        <v>255634</v>
      </c>
      <c r="I15" s="14">
        <f t="shared" ref="I15" si="21">(H15-H14)</f>
        <v>0</v>
      </c>
      <c r="J15" s="32">
        <f t="shared" si="17"/>
        <v>318121</v>
      </c>
      <c r="K15" s="14">
        <f t="shared" si="4"/>
        <v>0</v>
      </c>
      <c r="L15" s="32">
        <f t="shared" si="18"/>
        <v>26205</v>
      </c>
      <c r="M15" s="14">
        <f t="shared" si="5"/>
        <v>0</v>
      </c>
      <c r="N15" s="32">
        <f t="shared" si="19"/>
        <v>226071</v>
      </c>
      <c r="O15" s="14">
        <f t="shared" ref="O15" si="22">N15-N14</f>
        <v>0</v>
      </c>
      <c r="P15" s="32">
        <f t="shared" si="12"/>
        <v>155578</v>
      </c>
      <c r="Q15" s="14">
        <f t="shared" si="0"/>
        <v>0</v>
      </c>
      <c r="R15" s="1">
        <f t="shared" si="10"/>
        <v>55047</v>
      </c>
      <c r="S15" s="14">
        <v>0</v>
      </c>
      <c r="T15" s="32">
        <f t="shared" si="11"/>
        <v>4005</v>
      </c>
      <c r="U15" s="14">
        <f t="shared" ref="U15" si="23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f t="shared" si="13"/>
        <v>47138</v>
      </c>
      <c r="C16" s="14">
        <f t="shared" si="9"/>
        <v>0</v>
      </c>
      <c r="D16" s="32">
        <f t="shared" si="14"/>
        <v>40673</v>
      </c>
      <c r="E16" s="14">
        <f t="shared" si="1"/>
        <v>0</v>
      </c>
      <c r="F16" s="32">
        <f t="shared" si="15"/>
        <v>21727</v>
      </c>
      <c r="G16" s="14">
        <f t="shared" si="2"/>
        <v>0</v>
      </c>
      <c r="H16" s="32">
        <f t="shared" si="16"/>
        <v>255634</v>
      </c>
      <c r="I16" s="14">
        <f t="shared" si="3"/>
        <v>0</v>
      </c>
      <c r="J16" s="32">
        <f t="shared" si="17"/>
        <v>318121</v>
      </c>
      <c r="K16" s="14">
        <f t="shared" si="4"/>
        <v>0</v>
      </c>
      <c r="L16" s="32">
        <f t="shared" si="18"/>
        <v>26205</v>
      </c>
      <c r="M16" s="14">
        <f t="shared" si="5"/>
        <v>0</v>
      </c>
      <c r="N16" s="32">
        <f t="shared" si="19"/>
        <v>226071</v>
      </c>
      <c r="O16" s="14">
        <f t="shared" si="6"/>
        <v>0</v>
      </c>
      <c r="P16" s="32">
        <f t="shared" si="12"/>
        <v>155578</v>
      </c>
      <c r="Q16" s="14">
        <f t="shared" si="0"/>
        <v>0</v>
      </c>
      <c r="R16" s="1">
        <f t="shared" si="10"/>
        <v>55047</v>
      </c>
      <c r="S16" s="14">
        <f t="shared" si="7"/>
        <v>0</v>
      </c>
      <c r="T16" s="32">
        <f t="shared" si="11"/>
        <v>4005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f t="shared" si="13"/>
        <v>47138</v>
      </c>
      <c r="C17" s="14">
        <f t="shared" si="9"/>
        <v>0</v>
      </c>
      <c r="D17" s="32">
        <f t="shared" si="14"/>
        <v>40673</v>
      </c>
      <c r="E17" s="14">
        <f t="shared" si="1"/>
        <v>0</v>
      </c>
      <c r="F17" s="32">
        <f t="shared" si="15"/>
        <v>21727</v>
      </c>
      <c r="G17" s="14">
        <f t="shared" si="2"/>
        <v>0</v>
      </c>
      <c r="H17" s="32">
        <f t="shared" si="16"/>
        <v>255634</v>
      </c>
      <c r="I17" s="14">
        <f t="shared" si="3"/>
        <v>0</v>
      </c>
      <c r="J17" s="32">
        <f t="shared" si="17"/>
        <v>318121</v>
      </c>
      <c r="K17" s="14">
        <f t="shared" si="4"/>
        <v>0</v>
      </c>
      <c r="L17" s="32">
        <f t="shared" si="18"/>
        <v>26205</v>
      </c>
      <c r="M17" s="14">
        <f t="shared" si="5"/>
        <v>0</v>
      </c>
      <c r="N17" s="32">
        <f t="shared" si="19"/>
        <v>226071</v>
      </c>
      <c r="O17" s="14">
        <f t="shared" si="6"/>
        <v>0</v>
      </c>
      <c r="P17" s="32">
        <f t="shared" si="12"/>
        <v>155578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f t="shared" si="11"/>
        <v>4005</v>
      </c>
      <c r="U17" s="14">
        <f t="shared" si="8"/>
        <v>0</v>
      </c>
    </row>
    <row r="18" spans="1:23" ht="13.5" thickBot="1" x14ac:dyDescent="0.25">
      <c r="A18" s="9">
        <v>44728</v>
      </c>
      <c r="B18" s="32">
        <f t="shared" si="13"/>
        <v>47138</v>
      </c>
      <c r="C18" s="14">
        <f t="shared" si="9"/>
        <v>0</v>
      </c>
      <c r="D18" s="32">
        <f t="shared" si="14"/>
        <v>40673</v>
      </c>
      <c r="E18" s="14">
        <f t="shared" si="1"/>
        <v>0</v>
      </c>
      <c r="F18" s="32">
        <f t="shared" si="15"/>
        <v>21727</v>
      </c>
      <c r="G18" s="14">
        <f t="shared" si="2"/>
        <v>0</v>
      </c>
      <c r="H18" s="32">
        <f t="shared" si="16"/>
        <v>255634</v>
      </c>
      <c r="I18" s="14">
        <f t="shared" si="3"/>
        <v>0</v>
      </c>
      <c r="J18" s="32">
        <f t="shared" si="17"/>
        <v>318121</v>
      </c>
      <c r="K18" s="14">
        <f t="shared" si="4"/>
        <v>0</v>
      </c>
      <c r="L18" s="32">
        <f t="shared" si="18"/>
        <v>26205</v>
      </c>
      <c r="M18" s="14">
        <f t="shared" si="5"/>
        <v>0</v>
      </c>
      <c r="N18" s="32">
        <f t="shared" si="19"/>
        <v>226071</v>
      </c>
      <c r="O18" s="14">
        <f t="shared" si="6"/>
        <v>0</v>
      </c>
      <c r="P18" s="32">
        <f t="shared" si="12"/>
        <v>155578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4005</v>
      </c>
      <c r="U18" s="14">
        <f t="shared" si="8"/>
        <v>0</v>
      </c>
    </row>
    <row r="19" spans="1:23" ht="13.5" thickBot="1" x14ac:dyDescent="0.25">
      <c r="A19" s="9">
        <v>44729</v>
      </c>
      <c r="B19" s="32">
        <f t="shared" si="13"/>
        <v>47138</v>
      </c>
      <c r="C19" s="14">
        <f t="shared" si="9"/>
        <v>0</v>
      </c>
      <c r="D19" s="32">
        <f t="shared" si="14"/>
        <v>40673</v>
      </c>
      <c r="E19" s="14">
        <f t="shared" si="1"/>
        <v>0</v>
      </c>
      <c r="F19" s="32">
        <f t="shared" si="15"/>
        <v>21727</v>
      </c>
      <c r="G19" s="14">
        <f t="shared" si="2"/>
        <v>0</v>
      </c>
      <c r="H19" s="32">
        <f t="shared" si="16"/>
        <v>255634</v>
      </c>
      <c r="I19" s="14">
        <f t="shared" si="3"/>
        <v>0</v>
      </c>
      <c r="J19" s="32">
        <f t="shared" si="17"/>
        <v>318121</v>
      </c>
      <c r="K19" s="14">
        <f t="shared" si="4"/>
        <v>0</v>
      </c>
      <c r="L19" s="32">
        <f t="shared" si="18"/>
        <v>26205</v>
      </c>
      <c r="M19" s="14">
        <f t="shared" si="5"/>
        <v>0</v>
      </c>
      <c r="N19" s="32">
        <f t="shared" si="19"/>
        <v>226071</v>
      </c>
      <c r="O19" s="14">
        <f t="shared" si="6"/>
        <v>0</v>
      </c>
      <c r="P19" s="32">
        <f t="shared" si="12"/>
        <v>155578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f t="shared" si="11"/>
        <v>4005</v>
      </c>
      <c r="U19" s="14">
        <f t="shared" si="8"/>
        <v>0</v>
      </c>
      <c r="W19" t="s">
        <v>12</v>
      </c>
    </row>
    <row r="20" spans="1:23" ht="13.5" thickBot="1" x14ac:dyDescent="0.25">
      <c r="A20" s="9">
        <v>44730</v>
      </c>
      <c r="B20" s="32">
        <f t="shared" si="13"/>
        <v>47138</v>
      </c>
      <c r="C20" s="14">
        <f t="shared" si="9"/>
        <v>0</v>
      </c>
      <c r="D20" s="32">
        <f t="shared" si="14"/>
        <v>40673</v>
      </c>
      <c r="E20" s="14">
        <f t="shared" si="1"/>
        <v>0</v>
      </c>
      <c r="F20" s="32">
        <f t="shared" si="15"/>
        <v>21727</v>
      </c>
      <c r="G20" s="14">
        <f t="shared" si="2"/>
        <v>0</v>
      </c>
      <c r="H20" s="32">
        <f t="shared" si="16"/>
        <v>255634</v>
      </c>
      <c r="I20" s="14">
        <f t="shared" si="3"/>
        <v>0</v>
      </c>
      <c r="J20" s="32">
        <f t="shared" si="17"/>
        <v>318121</v>
      </c>
      <c r="K20" s="14">
        <f t="shared" si="4"/>
        <v>0</v>
      </c>
      <c r="L20" s="32">
        <f t="shared" si="18"/>
        <v>26205</v>
      </c>
      <c r="M20" s="14">
        <f t="shared" si="5"/>
        <v>0</v>
      </c>
      <c r="N20" s="32">
        <f t="shared" si="19"/>
        <v>226071</v>
      </c>
      <c r="O20" s="14">
        <f t="shared" si="6"/>
        <v>0</v>
      </c>
      <c r="P20" s="32">
        <f t="shared" si="12"/>
        <v>155578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4005</v>
      </c>
      <c r="U20" s="14">
        <f t="shared" si="8"/>
        <v>0</v>
      </c>
    </row>
    <row r="21" spans="1:23" ht="13.5" thickBot="1" x14ac:dyDescent="0.25">
      <c r="A21" s="9">
        <v>44731</v>
      </c>
      <c r="B21" s="32">
        <f t="shared" si="13"/>
        <v>47138</v>
      </c>
      <c r="C21" s="14">
        <f t="shared" si="9"/>
        <v>0</v>
      </c>
      <c r="D21" s="32">
        <f t="shared" si="14"/>
        <v>40673</v>
      </c>
      <c r="E21" s="14">
        <f t="shared" si="1"/>
        <v>0</v>
      </c>
      <c r="F21" s="32">
        <f t="shared" si="15"/>
        <v>21727</v>
      </c>
      <c r="G21" s="14">
        <f t="shared" si="2"/>
        <v>0</v>
      </c>
      <c r="H21" s="32">
        <f t="shared" si="16"/>
        <v>255634</v>
      </c>
      <c r="I21" s="14">
        <f t="shared" si="3"/>
        <v>0</v>
      </c>
      <c r="J21" s="32">
        <f t="shared" si="17"/>
        <v>318121</v>
      </c>
      <c r="K21" s="14">
        <f t="shared" si="4"/>
        <v>0</v>
      </c>
      <c r="L21" s="32">
        <f t="shared" si="18"/>
        <v>26205</v>
      </c>
      <c r="M21" s="14">
        <f t="shared" si="5"/>
        <v>0</v>
      </c>
      <c r="N21" s="32">
        <f t="shared" si="19"/>
        <v>226071</v>
      </c>
      <c r="O21" s="14">
        <f t="shared" si="6"/>
        <v>0</v>
      </c>
      <c r="P21" s="32">
        <f t="shared" si="12"/>
        <v>155578</v>
      </c>
      <c r="Q21" s="14">
        <f t="shared" si="0"/>
        <v>0</v>
      </c>
      <c r="R21" s="1">
        <f t="shared" si="10"/>
        <v>55047</v>
      </c>
      <c r="S21" s="14">
        <f t="shared" si="7"/>
        <v>0</v>
      </c>
      <c r="T21" s="32">
        <f t="shared" si="11"/>
        <v>4005</v>
      </c>
      <c r="U21" s="14">
        <f t="shared" si="8"/>
        <v>0</v>
      </c>
    </row>
    <row r="22" spans="1:23" ht="13.5" thickBot="1" x14ac:dyDescent="0.25">
      <c r="A22" s="9">
        <v>44732</v>
      </c>
      <c r="B22" s="32">
        <f t="shared" si="13"/>
        <v>47138</v>
      </c>
      <c r="C22" s="14">
        <f t="shared" si="9"/>
        <v>0</v>
      </c>
      <c r="D22" s="32">
        <f t="shared" si="14"/>
        <v>40673</v>
      </c>
      <c r="E22" s="14">
        <f t="shared" si="1"/>
        <v>0</v>
      </c>
      <c r="F22" s="32">
        <f t="shared" si="15"/>
        <v>21727</v>
      </c>
      <c r="G22" s="14">
        <f t="shared" si="2"/>
        <v>0</v>
      </c>
      <c r="H22" s="32">
        <f t="shared" si="16"/>
        <v>255634</v>
      </c>
      <c r="I22" s="14">
        <f t="shared" si="3"/>
        <v>0</v>
      </c>
      <c r="J22" s="32">
        <f t="shared" si="17"/>
        <v>318121</v>
      </c>
      <c r="K22" s="14">
        <f t="shared" si="4"/>
        <v>0</v>
      </c>
      <c r="L22" s="32">
        <f t="shared" si="18"/>
        <v>26205</v>
      </c>
      <c r="M22" s="14">
        <f t="shared" si="5"/>
        <v>0</v>
      </c>
      <c r="N22" s="32">
        <f t="shared" si="19"/>
        <v>226071</v>
      </c>
      <c r="O22" s="14">
        <f t="shared" si="6"/>
        <v>0</v>
      </c>
      <c r="P22" s="32">
        <f t="shared" si="12"/>
        <v>155578</v>
      </c>
      <c r="Q22" s="14">
        <f t="shared" si="0"/>
        <v>0</v>
      </c>
      <c r="R22" s="1">
        <f t="shared" si="10"/>
        <v>55047</v>
      </c>
      <c r="S22" s="14">
        <f t="shared" si="7"/>
        <v>0</v>
      </c>
      <c r="T22" s="32">
        <f t="shared" si="11"/>
        <v>4005</v>
      </c>
      <c r="U22" s="14">
        <f t="shared" si="8"/>
        <v>0</v>
      </c>
    </row>
    <row r="23" spans="1:23" ht="13.5" thickBot="1" x14ac:dyDescent="0.25">
      <c r="A23" s="9">
        <v>44733</v>
      </c>
      <c r="B23" s="32">
        <f t="shared" si="13"/>
        <v>47138</v>
      </c>
      <c r="C23" s="14">
        <f t="shared" si="9"/>
        <v>0</v>
      </c>
      <c r="D23" s="32">
        <f t="shared" si="14"/>
        <v>40673</v>
      </c>
      <c r="E23" s="14">
        <f t="shared" si="1"/>
        <v>0</v>
      </c>
      <c r="F23" s="32">
        <f t="shared" si="15"/>
        <v>21727</v>
      </c>
      <c r="G23" s="14">
        <f t="shared" si="2"/>
        <v>0</v>
      </c>
      <c r="H23" s="32">
        <f t="shared" si="16"/>
        <v>255634</v>
      </c>
      <c r="I23" s="14">
        <f t="shared" si="3"/>
        <v>0</v>
      </c>
      <c r="J23" s="32">
        <f t="shared" si="17"/>
        <v>318121</v>
      </c>
      <c r="K23" s="14">
        <f t="shared" si="4"/>
        <v>0</v>
      </c>
      <c r="L23" s="32">
        <f t="shared" si="18"/>
        <v>26205</v>
      </c>
      <c r="M23" s="14">
        <f t="shared" si="5"/>
        <v>0</v>
      </c>
      <c r="N23" s="32">
        <f t="shared" si="19"/>
        <v>226071</v>
      </c>
      <c r="O23" s="14">
        <f t="shared" si="6"/>
        <v>0</v>
      </c>
      <c r="P23" s="32">
        <f t="shared" si="12"/>
        <v>155578</v>
      </c>
      <c r="Q23" s="14">
        <f t="shared" si="0"/>
        <v>0</v>
      </c>
      <c r="R23" s="1">
        <f t="shared" si="10"/>
        <v>55047</v>
      </c>
      <c r="S23" s="14">
        <f t="shared" si="7"/>
        <v>0</v>
      </c>
      <c r="T23" s="32">
        <f t="shared" si="11"/>
        <v>4005</v>
      </c>
      <c r="U23" s="14">
        <f t="shared" si="8"/>
        <v>0</v>
      </c>
    </row>
    <row r="24" spans="1:23" s="132" customFormat="1" ht="13.5" thickBot="1" x14ac:dyDescent="0.25">
      <c r="A24" s="9">
        <v>44734</v>
      </c>
      <c r="B24" s="32">
        <f t="shared" si="13"/>
        <v>47138</v>
      </c>
      <c r="C24" s="14">
        <f t="shared" si="9"/>
        <v>0</v>
      </c>
      <c r="D24" s="32">
        <f t="shared" si="14"/>
        <v>40673</v>
      </c>
      <c r="E24" s="14">
        <f t="shared" si="1"/>
        <v>0</v>
      </c>
      <c r="F24" s="32">
        <f t="shared" si="15"/>
        <v>21727</v>
      </c>
      <c r="G24" s="14">
        <f t="shared" si="2"/>
        <v>0</v>
      </c>
      <c r="H24" s="32">
        <f t="shared" si="16"/>
        <v>255634</v>
      </c>
      <c r="I24" s="14">
        <f t="shared" si="3"/>
        <v>0</v>
      </c>
      <c r="J24" s="32">
        <f t="shared" si="17"/>
        <v>318121</v>
      </c>
      <c r="K24" s="14">
        <f t="shared" si="4"/>
        <v>0</v>
      </c>
      <c r="L24" s="32">
        <f t="shared" si="18"/>
        <v>26205</v>
      </c>
      <c r="M24" s="14">
        <f t="shared" si="5"/>
        <v>0</v>
      </c>
      <c r="N24" s="32">
        <f t="shared" si="19"/>
        <v>226071</v>
      </c>
      <c r="O24" s="14">
        <f t="shared" si="6"/>
        <v>0</v>
      </c>
      <c r="P24" s="32">
        <f t="shared" si="12"/>
        <v>155578</v>
      </c>
      <c r="Q24" s="14">
        <f t="shared" si="0"/>
        <v>0</v>
      </c>
      <c r="R24" s="1">
        <f t="shared" si="10"/>
        <v>55047</v>
      </c>
      <c r="S24" s="14">
        <f t="shared" si="7"/>
        <v>0</v>
      </c>
      <c r="T24" s="32">
        <f t="shared" si="11"/>
        <v>4005</v>
      </c>
      <c r="U24" s="14">
        <f t="shared" si="8"/>
        <v>0</v>
      </c>
    </row>
    <row r="25" spans="1:23" ht="13.5" thickBot="1" x14ac:dyDescent="0.25">
      <c r="A25" s="9">
        <v>44735</v>
      </c>
      <c r="B25" s="32">
        <f t="shared" si="13"/>
        <v>47138</v>
      </c>
      <c r="C25" s="14">
        <f t="shared" si="9"/>
        <v>0</v>
      </c>
      <c r="D25" s="32">
        <f t="shared" si="14"/>
        <v>40673</v>
      </c>
      <c r="E25" s="14">
        <f t="shared" si="1"/>
        <v>0</v>
      </c>
      <c r="F25" s="32">
        <f t="shared" si="15"/>
        <v>21727</v>
      </c>
      <c r="G25" s="14">
        <f t="shared" si="2"/>
        <v>0</v>
      </c>
      <c r="H25" s="32">
        <f t="shared" si="16"/>
        <v>255634</v>
      </c>
      <c r="I25" s="14">
        <f t="shared" si="3"/>
        <v>0</v>
      </c>
      <c r="J25" s="32">
        <f t="shared" si="17"/>
        <v>318121</v>
      </c>
      <c r="K25" s="14">
        <f t="shared" si="4"/>
        <v>0</v>
      </c>
      <c r="L25" s="32">
        <f t="shared" si="18"/>
        <v>26205</v>
      </c>
      <c r="M25" s="14">
        <f t="shared" si="5"/>
        <v>0</v>
      </c>
      <c r="N25" s="32">
        <f t="shared" si="19"/>
        <v>226071</v>
      </c>
      <c r="O25" s="14">
        <f t="shared" si="6"/>
        <v>0</v>
      </c>
      <c r="P25" s="32">
        <f t="shared" si="12"/>
        <v>155578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4005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3"/>
        <v>47138</v>
      </c>
      <c r="C26" s="14">
        <f t="shared" si="9"/>
        <v>0</v>
      </c>
      <c r="D26" s="32">
        <f t="shared" si="14"/>
        <v>40673</v>
      </c>
      <c r="E26" s="14">
        <f t="shared" si="1"/>
        <v>0</v>
      </c>
      <c r="F26" s="32">
        <f t="shared" si="15"/>
        <v>21727</v>
      </c>
      <c r="G26" s="14">
        <f t="shared" si="2"/>
        <v>0</v>
      </c>
      <c r="H26" s="32">
        <f t="shared" si="16"/>
        <v>255634</v>
      </c>
      <c r="I26" s="14">
        <f t="shared" si="3"/>
        <v>0</v>
      </c>
      <c r="J26" s="32">
        <f t="shared" si="17"/>
        <v>318121</v>
      </c>
      <c r="K26" s="14">
        <f t="shared" si="4"/>
        <v>0</v>
      </c>
      <c r="L26" s="32">
        <f t="shared" si="18"/>
        <v>26205</v>
      </c>
      <c r="M26" s="14">
        <f t="shared" si="5"/>
        <v>0</v>
      </c>
      <c r="N26" s="32">
        <f t="shared" si="19"/>
        <v>226071</v>
      </c>
      <c r="O26" s="14">
        <f t="shared" si="6"/>
        <v>0</v>
      </c>
      <c r="P26" s="32">
        <f t="shared" si="12"/>
        <v>155578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4005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3"/>
        <v>47138</v>
      </c>
      <c r="C27" s="14">
        <f t="shared" si="9"/>
        <v>0</v>
      </c>
      <c r="D27" s="32">
        <f t="shared" si="14"/>
        <v>40673</v>
      </c>
      <c r="E27" s="14">
        <f t="shared" si="1"/>
        <v>0</v>
      </c>
      <c r="F27" s="32">
        <f t="shared" si="15"/>
        <v>21727</v>
      </c>
      <c r="G27" s="14">
        <f t="shared" si="2"/>
        <v>0</v>
      </c>
      <c r="H27" s="32">
        <f t="shared" si="16"/>
        <v>255634</v>
      </c>
      <c r="I27" s="14">
        <f t="shared" si="3"/>
        <v>0</v>
      </c>
      <c r="J27" s="32">
        <f t="shared" si="17"/>
        <v>318121</v>
      </c>
      <c r="K27" s="14">
        <f t="shared" si="4"/>
        <v>0</v>
      </c>
      <c r="L27" s="32">
        <f t="shared" si="18"/>
        <v>26205</v>
      </c>
      <c r="M27" s="14">
        <f t="shared" si="5"/>
        <v>0</v>
      </c>
      <c r="N27" s="32">
        <f t="shared" si="19"/>
        <v>226071</v>
      </c>
      <c r="O27" s="14">
        <f t="shared" si="6"/>
        <v>0</v>
      </c>
      <c r="P27" s="32">
        <f t="shared" si="12"/>
        <v>155578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4005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3"/>
        <v>47138</v>
      </c>
      <c r="C28" s="14">
        <f t="shared" si="9"/>
        <v>0</v>
      </c>
      <c r="D28" s="32">
        <f t="shared" si="14"/>
        <v>40673</v>
      </c>
      <c r="E28" s="14">
        <f t="shared" si="1"/>
        <v>0</v>
      </c>
      <c r="F28" s="32">
        <f t="shared" si="15"/>
        <v>21727</v>
      </c>
      <c r="G28" s="14">
        <f t="shared" si="2"/>
        <v>0</v>
      </c>
      <c r="H28" s="32">
        <f t="shared" si="16"/>
        <v>255634</v>
      </c>
      <c r="I28" s="14">
        <f t="shared" si="3"/>
        <v>0</v>
      </c>
      <c r="J28" s="32">
        <f t="shared" si="17"/>
        <v>318121</v>
      </c>
      <c r="K28" s="14">
        <f t="shared" si="4"/>
        <v>0</v>
      </c>
      <c r="L28" s="32">
        <f t="shared" si="18"/>
        <v>26205</v>
      </c>
      <c r="M28" s="14">
        <f t="shared" si="5"/>
        <v>0</v>
      </c>
      <c r="N28" s="32">
        <f t="shared" si="19"/>
        <v>226071</v>
      </c>
      <c r="O28" s="14">
        <f t="shared" si="6"/>
        <v>0</v>
      </c>
      <c r="P28" s="32">
        <f t="shared" si="12"/>
        <v>155578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4005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3"/>
        <v>47138</v>
      </c>
      <c r="C29" s="14">
        <f t="shared" si="9"/>
        <v>0</v>
      </c>
      <c r="D29" s="32">
        <f t="shared" si="14"/>
        <v>40673</v>
      </c>
      <c r="E29" s="14">
        <f t="shared" si="1"/>
        <v>0</v>
      </c>
      <c r="F29" s="32">
        <f t="shared" si="15"/>
        <v>21727</v>
      </c>
      <c r="G29" s="14">
        <f t="shared" si="2"/>
        <v>0</v>
      </c>
      <c r="H29" s="32">
        <f t="shared" si="16"/>
        <v>255634</v>
      </c>
      <c r="I29" s="14">
        <f t="shared" si="3"/>
        <v>0</v>
      </c>
      <c r="J29" s="32">
        <f t="shared" si="17"/>
        <v>318121</v>
      </c>
      <c r="K29" s="14">
        <f t="shared" si="4"/>
        <v>0</v>
      </c>
      <c r="L29" s="32">
        <f t="shared" si="18"/>
        <v>26205</v>
      </c>
      <c r="M29" s="14">
        <f t="shared" si="5"/>
        <v>0</v>
      </c>
      <c r="N29" s="32">
        <f t="shared" si="19"/>
        <v>226071</v>
      </c>
      <c r="O29" s="14">
        <f t="shared" si="6"/>
        <v>0</v>
      </c>
      <c r="P29" s="32">
        <f t="shared" si="12"/>
        <v>155578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4005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3"/>
        <v>47138</v>
      </c>
      <c r="C30" s="14">
        <f t="shared" si="9"/>
        <v>0</v>
      </c>
      <c r="D30" s="32">
        <f t="shared" si="14"/>
        <v>40673</v>
      </c>
      <c r="E30" s="14">
        <f t="shared" si="1"/>
        <v>0</v>
      </c>
      <c r="F30" s="32">
        <f t="shared" si="15"/>
        <v>21727</v>
      </c>
      <c r="G30" s="14">
        <f t="shared" si="2"/>
        <v>0</v>
      </c>
      <c r="H30" s="32">
        <f t="shared" si="16"/>
        <v>255634</v>
      </c>
      <c r="I30" s="14">
        <f t="shared" si="3"/>
        <v>0</v>
      </c>
      <c r="J30" s="32">
        <f t="shared" si="17"/>
        <v>318121</v>
      </c>
      <c r="K30" s="14">
        <f t="shared" si="4"/>
        <v>0</v>
      </c>
      <c r="L30" s="32">
        <f t="shared" si="18"/>
        <v>26205</v>
      </c>
      <c r="M30" s="14">
        <f t="shared" si="5"/>
        <v>0</v>
      </c>
      <c r="N30" s="32">
        <f t="shared" si="19"/>
        <v>226071</v>
      </c>
      <c r="O30" s="14">
        <f t="shared" si="6"/>
        <v>0</v>
      </c>
      <c r="P30" s="32">
        <f t="shared" si="12"/>
        <v>155578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4005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3"/>
        <v>47138</v>
      </c>
      <c r="C31" s="14">
        <f t="shared" si="9"/>
        <v>0</v>
      </c>
      <c r="D31" s="32">
        <f t="shared" si="14"/>
        <v>40673</v>
      </c>
      <c r="E31" s="14">
        <f t="shared" si="1"/>
        <v>0</v>
      </c>
      <c r="F31" s="32">
        <f t="shared" si="15"/>
        <v>21727</v>
      </c>
      <c r="G31" s="14">
        <f t="shared" si="2"/>
        <v>0</v>
      </c>
      <c r="H31" s="32">
        <f t="shared" si="16"/>
        <v>255634</v>
      </c>
      <c r="I31" s="14">
        <f t="shared" si="3"/>
        <v>0</v>
      </c>
      <c r="J31" s="32">
        <f t="shared" si="17"/>
        <v>318121</v>
      </c>
      <c r="K31" s="14">
        <f t="shared" si="4"/>
        <v>0</v>
      </c>
      <c r="L31" s="32">
        <f t="shared" si="18"/>
        <v>26205</v>
      </c>
      <c r="M31" s="14">
        <f t="shared" si="5"/>
        <v>0</v>
      </c>
      <c r="N31" s="32">
        <f t="shared" si="19"/>
        <v>226071</v>
      </c>
      <c r="O31" s="14">
        <f t="shared" si="6"/>
        <v>0</v>
      </c>
      <c r="P31" s="32">
        <f t="shared" si="12"/>
        <v>155578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4005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3"/>
        <v>47138</v>
      </c>
      <c r="C32" s="14">
        <f t="shared" si="9"/>
        <v>0</v>
      </c>
      <c r="D32" s="32">
        <f t="shared" si="14"/>
        <v>40673</v>
      </c>
      <c r="E32" s="14">
        <f t="shared" si="1"/>
        <v>0</v>
      </c>
      <c r="F32" s="32">
        <f t="shared" si="15"/>
        <v>21727</v>
      </c>
      <c r="G32" s="14">
        <f t="shared" si="2"/>
        <v>0</v>
      </c>
      <c r="H32" s="32">
        <f t="shared" si="16"/>
        <v>255634</v>
      </c>
      <c r="I32" s="14">
        <f t="shared" si="3"/>
        <v>0</v>
      </c>
      <c r="J32" s="32">
        <f t="shared" si="17"/>
        <v>318121</v>
      </c>
      <c r="K32" s="14">
        <f t="shared" si="4"/>
        <v>0</v>
      </c>
      <c r="L32" s="32">
        <f t="shared" si="18"/>
        <v>26205</v>
      </c>
      <c r="M32" s="14">
        <f t="shared" si="5"/>
        <v>0</v>
      </c>
      <c r="N32" s="32">
        <f t="shared" si="19"/>
        <v>226071</v>
      </c>
      <c r="O32" s="14">
        <f t="shared" si="6"/>
        <v>0</v>
      </c>
      <c r="P32" s="32">
        <f t="shared" si="12"/>
        <v>155578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4005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8160</v>
      </c>
      <c r="D33" s="11"/>
      <c r="E33" s="14">
        <f>SUM(E3:E32)</f>
        <v>5600</v>
      </c>
      <c r="F33" s="11"/>
      <c r="G33" s="14">
        <f>SUM(G3:G32)</f>
        <v>800</v>
      </c>
      <c r="H33" s="11"/>
      <c r="I33" s="14">
        <f>SUM(I3:I32)</f>
        <v>335</v>
      </c>
      <c r="J33" s="11"/>
      <c r="K33" s="14">
        <f>SUM(K3:K32)</f>
        <v>1717</v>
      </c>
      <c r="L33" s="11"/>
      <c r="M33" s="14">
        <f>SUM(M3:M32)</f>
        <v>2040</v>
      </c>
      <c r="N33" s="33"/>
      <c r="O33" s="14">
        <f>SUM(O3:O32)</f>
        <v>35</v>
      </c>
      <c r="P33" s="32"/>
      <c r="Q33" s="14">
        <f>SUM(Q3:Q32)</f>
        <v>1212</v>
      </c>
      <c r="R33" s="1"/>
      <c r="S33" s="14">
        <f>SUM(S3:S32)</f>
        <v>0</v>
      </c>
      <c r="T33" s="1"/>
      <c r="U33" s="14">
        <f>SUM(U3:U32)</f>
        <v>1280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G15" sqref="G15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ref="Y13" si="24">I13-X13</f>
        <v>6760</v>
      </c>
      <c r="Z13" s="3">
        <f t="shared" ref="Z13" si="25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/>
      <c r="C14" s="145"/>
      <c r="D14" s="39">
        <f t="shared" si="1"/>
        <v>0</v>
      </c>
      <c r="E14" s="146"/>
      <c r="F14" s="39" t="str">
        <f t="shared" si="2"/>
        <v>0</v>
      </c>
      <c r="G14" s="147"/>
      <c r="H14" s="39" t="str">
        <f t="shared" si="3"/>
        <v>0</v>
      </c>
      <c r="I14" s="148">
        <f t="shared" si="4"/>
        <v>0</v>
      </c>
      <c r="J14" s="146"/>
      <c r="K14" s="39">
        <f t="shared" si="12"/>
        <v>0</v>
      </c>
      <c r="L14" s="149"/>
      <c r="M14" s="39" t="str">
        <f t="shared" si="5"/>
        <v>0</v>
      </c>
      <c r="N14" s="146"/>
      <c r="O14" s="39">
        <f t="shared" si="13"/>
        <v>0</v>
      </c>
      <c r="P14" s="149"/>
      <c r="Q14" s="39" t="str">
        <f t="shared" si="6"/>
        <v>0</v>
      </c>
      <c r="R14" s="146"/>
      <c r="S14" s="39" t="str">
        <f>IF((R14-R13)&lt;0,"0",(R14-R13))</f>
        <v>0</v>
      </c>
      <c r="T14" s="146">
        <v>0</v>
      </c>
      <c r="U14" s="150"/>
      <c r="V14" s="146"/>
      <c r="W14" s="39" t="str">
        <f t="shared" si="8"/>
        <v>0</v>
      </c>
      <c r="X14" s="19">
        <f t="shared" si="9"/>
        <v>0</v>
      </c>
      <c r="Y14" s="151">
        <f t="shared" si="10"/>
        <v>0</v>
      </c>
      <c r="Z14" s="3">
        <f t="shared" si="11"/>
        <v>0</v>
      </c>
      <c r="AA14" s="3">
        <f>SUM(Z1:Z14)</f>
        <v>101932.83509760001</v>
      </c>
    </row>
    <row r="15" spans="1:27" ht="16.5" thickBot="1" x14ac:dyDescent="0.3">
      <c r="A15" s="9">
        <v>44725</v>
      </c>
      <c r="B15" s="39"/>
      <c r="C15" s="145"/>
      <c r="D15" s="39">
        <f t="shared" si="1"/>
        <v>0</v>
      </c>
      <c r="E15" s="146"/>
      <c r="F15" s="39">
        <f t="shared" si="2"/>
        <v>0</v>
      </c>
      <c r="G15" s="147"/>
      <c r="H15" s="39">
        <f t="shared" si="3"/>
        <v>0</v>
      </c>
      <c r="I15" s="148">
        <f t="shared" si="4"/>
        <v>0</v>
      </c>
      <c r="J15" s="146"/>
      <c r="K15" s="39">
        <f t="shared" si="12"/>
        <v>0</v>
      </c>
      <c r="L15" s="149"/>
      <c r="M15" s="39">
        <f t="shared" si="5"/>
        <v>0</v>
      </c>
      <c r="N15" s="146"/>
      <c r="O15" s="39">
        <f t="shared" si="13"/>
        <v>0</v>
      </c>
      <c r="P15" s="149"/>
      <c r="Q15" s="39">
        <f t="shared" si="6"/>
        <v>0</v>
      </c>
      <c r="R15" s="146"/>
      <c r="S15" s="39">
        <f>IF((R15-R14)&lt;0,"0",(R15-R14))</f>
        <v>0</v>
      </c>
      <c r="T15" s="146">
        <v>0</v>
      </c>
      <c r="U15" s="150"/>
      <c r="V15" s="146"/>
      <c r="W15" s="39">
        <f t="shared" si="8"/>
        <v>0</v>
      </c>
      <c r="X15" s="19">
        <f t="shared" si="9"/>
        <v>0</v>
      </c>
      <c r="Y15" s="151">
        <f t="shared" si="10"/>
        <v>0</v>
      </c>
      <c r="Z15" s="3">
        <f t="shared" si="11"/>
        <v>0</v>
      </c>
      <c r="AA15" s="3">
        <f>SUM(Z1:Z15)</f>
        <v>101932.83509760001</v>
      </c>
    </row>
    <row r="16" spans="1:27" ht="16.5" thickBot="1" x14ac:dyDescent="0.3">
      <c r="A16" s="9">
        <v>44726</v>
      </c>
      <c r="B16" s="39"/>
      <c r="C16" s="145"/>
      <c r="D16" s="39">
        <f t="shared" si="1"/>
        <v>0</v>
      </c>
      <c r="E16" s="146"/>
      <c r="F16" s="39">
        <f t="shared" si="2"/>
        <v>0</v>
      </c>
      <c r="G16" s="147"/>
      <c r="H16" s="39">
        <f t="shared" si="3"/>
        <v>0</v>
      </c>
      <c r="I16" s="148">
        <f t="shared" si="4"/>
        <v>0</v>
      </c>
      <c r="J16" s="146"/>
      <c r="K16" s="39">
        <f t="shared" si="12"/>
        <v>0</v>
      </c>
      <c r="L16" s="149"/>
      <c r="M16" s="39">
        <f t="shared" si="5"/>
        <v>0</v>
      </c>
      <c r="N16" s="146"/>
      <c r="O16" s="39">
        <f t="shared" si="13"/>
        <v>0</v>
      </c>
      <c r="P16" s="149"/>
      <c r="Q16" s="39">
        <f t="shared" si="6"/>
        <v>0</v>
      </c>
      <c r="R16" s="146"/>
      <c r="S16" s="39">
        <f t="shared" si="7"/>
        <v>0</v>
      </c>
      <c r="T16" s="146">
        <v>0</v>
      </c>
      <c r="U16" s="150"/>
      <c r="V16" s="146"/>
      <c r="W16" s="39">
        <f t="shared" si="8"/>
        <v>0</v>
      </c>
      <c r="X16" s="19">
        <f t="shared" si="9"/>
        <v>0</v>
      </c>
      <c r="Y16" s="151">
        <f t="shared" si="10"/>
        <v>0</v>
      </c>
      <c r="Z16" s="3">
        <f t="shared" si="11"/>
        <v>0</v>
      </c>
      <c r="AA16" s="3">
        <f>SUM(Z1:Z16)</f>
        <v>101932.83509760001</v>
      </c>
    </row>
    <row r="17" spans="1:27" s="131" customFormat="1" ht="16.5" thickBot="1" x14ac:dyDescent="0.3">
      <c r="A17" s="9">
        <v>44727</v>
      </c>
      <c r="B17" s="39"/>
      <c r="C17" s="145"/>
      <c r="D17" s="39">
        <f t="shared" si="1"/>
        <v>0</v>
      </c>
      <c r="E17" s="146"/>
      <c r="F17" s="39">
        <f t="shared" si="2"/>
        <v>0</v>
      </c>
      <c r="G17" s="147"/>
      <c r="H17" s="39">
        <f t="shared" si="3"/>
        <v>0</v>
      </c>
      <c r="I17" s="152">
        <f t="shared" si="4"/>
        <v>0</v>
      </c>
      <c r="J17" s="146"/>
      <c r="K17" s="130">
        <f t="shared" si="12"/>
        <v>0</v>
      </c>
      <c r="L17" s="149"/>
      <c r="M17" s="130">
        <f t="shared" si="5"/>
        <v>0</v>
      </c>
      <c r="N17" s="146"/>
      <c r="O17" s="130">
        <f t="shared" si="13"/>
        <v>0</v>
      </c>
      <c r="P17" s="149"/>
      <c r="Q17" s="130">
        <f t="shared" si="6"/>
        <v>0</v>
      </c>
      <c r="R17" s="146"/>
      <c r="S17" s="130">
        <f t="shared" si="7"/>
        <v>0</v>
      </c>
      <c r="T17" s="153">
        <v>0</v>
      </c>
      <c r="U17" s="150"/>
      <c r="V17" s="146"/>
      <c r="W17" s="130">
        <f t="shared" si="8"/>
        <v>0</v>
      </c>
      <c r="X17" s="19">
        <f t="shared" si="9"/>
        <v>0</v>
      </c>
      <c r="Y17" s="154">
        <f t="shared" si="10"/>
        <v>0</v>
      </c>
      <c r="Z17" s="155">
        <f t="shared" si="11"/>
        <v>0</v>
      </c>
      <c r="AA17" s="3">
        <f>SUM(Z1:Z17)</f>
        <v>101932.83509760001</v>
      </c>
    </row>
    <row r="18" spans="1:27" s="131" customFormat="1" ht="16.5" thickBot="1" x14ac:dyDescent="0.3">
      <c r="A18" s="9">
        <v>44728</v>
      </c>
      <c r="B18" s="39"/>
      <c r="C18" s="145"/>
      <c r="D18" s="39">
        <f t="shared" si="1"/>
        <v>0</v>
      </c>
      <c r="E18" s="146"/>
      <c r="F18" s="39">
        <f t="shared" si="2"/>
        <v>0</v>
      </c>
      <c r="G18" s="147"/>
      <c r="H18" s="39">
        <f t="shared" si="3"/>
        <v>0</v>
      </c>
      <c r="I18" s="152">
        <f t="shared" si="4"/>
        <v>0</v>
      </c>
      <c r="J18" s="146"/>
      <c r="K18" s="130">
        <f t="shared" si="12"/>
        <v>0</v>
      </c>
      <c r="L18" s="149"/>
      <c r="M18" s="130">
        <f t="shared" si="5"/>
        <v>0</v>
      </c>
      <c r="N18" s="146"/>
      <c r="O18" s="130">
        <f t="shared" si="13"/>
        <v>0</v>
      </c>
      <c r="P18" s="149"/>
      <c r="Q18" s="130">
        <f t="shared" si="6"/>
        <v>0</v>
      </c>
      <c r="R18" s="146"/>
      <c r="S18" s="130">
        <f t="shared" si="7"/>
        <v>0</v>
      </c>
      <c r="T18" s="153">
        <v>0</v>
      </c>
      <c r="U18" s="150"/>
      <c r="V18" s="146"/>
      <c r="W18" s="130">
        <f t="shared" si="8"/>
        <v>0</v>
      </c>
      <c r="X18" s="19">
        <f t="shared" si="9"/>
        <v>0</v>
      </c>
      <c r="Y18" s="154">
        <f t="shared" si="10"/>
        <v>0</v>
      </c>
      <c r="Z18" s="155">
        <f t="shared" si="11"/>
        <v>0</v>
      </c>
      <c r="AA18" s="3">
        <f>SUM(Z1:Z18)</f>
        <v>101932.83509760001</v>
      </c>
    </row>
    <row r="19" spans="1:27" s="131" customFormat="1" ht="16.5" thickBot="1" x14ac:dyDescent="0.3">
      <c r="A19" s="9">
        <v>44729</v>
      </c>
      <c r="B19" s="39"/>
      <c r="C19" s="145"/>
      <c r="D19" s="39">
        <f t="shared" si="1"/>
        <v>0</v>
      </c>
      <c r="E19" s="146"/>
      <c r="F19" s="39">
        <f t="shared" si="2"/>
        <v>0</v>
      </c>
      <c r="G19" s="147"/>
      <c r="H19" s="39">
        <f t="shared" si="3"/>
        <v>0</v>
      </c>
      <c r="I19" s="152">
        <f t="shared" si="4"/>
        <v>0</v>
      </c>
      <c r="J19" s="146"/>
      <c r="K19" s="130">
        <f t="shared" si="12"/>
        <v>0</v>
      </c>
      <c r="L19" s="149"/>
      <c r="M19" s="130">
        <f t="shared" si="5"/>
        <v>0</v>
      </c>
      <c r="N19" s="146"/>
      <c r="O19" s="130">
        <f t="shared" si="13"/>
        <v>0</v>
      </c>
      <c r="P19" s="149"/>
      <c r="Q19" s="130">
        <f t="shared" si="6"/>
        <v>0</v>
      </c>
      <c r="R19" s="146"/>
      <c r="S19" s="130">
        <f t="shared" si="7"/>
        <v>0</v>
      </c>
      <c r="T19" s="153">
        <v>0</v>
      </c>
      <c r="U19" s="150"/>
      <c r="V19" s="146"/>
      <c r="W19" s="130">
        <f t="shared" si="8"/>
        <v>0</v>
      </c>
      <c r="X19" s="19">
        <f t="shared" si="9"/>
        <v>0</v>
      </c>
      <c r="Y19" s="154">
        <f t="shared" si="10"/>
        <v>0</v>
      </c>
      <c r="Z19" s="155">
        <f t="shared" si="11"/>
        <v>0</v>
      </c>
      <c r="AA19" s="3">
        <f>SUM(Z1:Z19)</f>
        <v>101932.83509760001</v>
      </c>
    </row>
    <row r="20" spans="1:27" s="131" customFormat="1" ht="16.5" thickBot="1" x14ac:dyDescent="0.3">
      <c r="A20" s="9">
        <v>44730</v>
      </c>
      <c r="B20" s="39"/>
      <c r="C20" s="145"/>
      <c r="D20" s="39">
        <f t="shared" si="1"/>
        <v>0</v>
      </c>
      <c r="E20" s="146"/>
      <c r="F20" s="39">
        <f t="shared" si="2"/>
        <v>0</v>
      </c>
      <c r="G20" s="147"/>
      <c r="H20" s="39">
        <f t="shared" si="3"/>
        <v>0</v>
      </c>
      <c r="I20" s="152">
        <f t="shared" si="4"/>
        <v>0</v>
      </c>
      <c r="J20" s="146"/>
      <c r="K20" s="130">
        <f t="shared" si="12"/>
        <v>0</v>
      </c>
      <c r="L20" s="149"/>
      <c r="M20" s="130">
        <f t="shared" si="5"/>
        <v>0</v>
      </c>
      <c r="N20" s="146"/>
      <c r="O20" s="130">
        <f t="shared" si="13"/>
        <v>0</v>
      </c>
      <c r="P20" s="149"/>
      <c r="Q20" s="130">
        <f t="shared" si="6"/>
        <v>0</v>
      </c>
      <c r="R20" s="146"/>
      <c r="S20" s="130">
        <f t="shared" si="7"/>
        <v>0</v>
      </c>
      <c r="T20" s="153">
        <v>0</v>
      </c>
      <c r="U20" s="150"/>
      <c r="V20" s="146"/>
      <c r="W20" s="130">
        <f t="shared" si="8"/>
        <v>0</v>
      </c>
      <c r="X20" s="19">
        <f t="shared" si="9"/>
        <v>0</v>
      </c>
      <c r="Y20" s="154">
        <f t="shared" si="10"/>
        <v>0</v>
      </c>
      <c r="Z20" s="155">
        <f t="shared" si="11"/>
        <v>0</v>
      </c>
      <c r="AA20" s="3">
        <f>SUM(Z1:Z20)</f>
        <v>101932.83509760001</v>
      </c>
    </row>
    <row r="21" spans="1:27" s="131" customFormat="1" ht="16.5" thickBot="1" x14ac:dyDescent="0.3">
      <c r="A21" s="9">
        <v>44731</v>
      </c>
      <c r="B21" s="39"/>
      <c r="C21" s="145"/>
      <c r="D21" s="39">
        <f t="shared" si="1"/>
        <v>0</v>
      </c>
      <c r="E21" s="146"/>
      <c r="F21" s="39">
        <f t="shared" si="2"/>
        <v>0</v>
      </c>
      <c r="G21" s="147"/>
      <c r="H21" s="39">
        <f t="shared" si="3"/>
        <v>0</v>
      </c>
      <c r="I21" s="152">
        <f t="shared" si="4"/>
        <v>0</v>
      </c>
      <c r="J21" s="146"/>
      <c r="K21" s="130">
        <f t="shared" si="12"/>
        <v>0</v>
      </c>
      <c r="L21" s="149"/>
      <c r="M21" s="130">
        <f t="shared" si="5"/>
        <v>0</v>
      </c>
      <c r="N21" s="146"/>
      <c r="O21" s="130">
        <f t="shared" si="13"/>
        <v>0</v>
      </c>
      <c r="P21" s="149"/>
      <c r="Q21" s="130">
        <f t="shared" si="6"/>
        <v>0</v>
      </c>
      <c r="R21" s="146"/>
      <c r="S21" s="130">
        <f t="shared" si="7"/>
        <v>0</v>
      </c>
      <c r="T21" s="153">
        <v>0</v>
      </c>
      <c r="U21" s="150"/>
      <c r="V21" s="146"/>
      <c r="W21" s="130">
        <f t="shared" si="8"/>
        <v>0</v>
      </c>
      <c r="X21" s="19">
        <f t="shared" si="9"/>
        <v>0</v>
      </c>
      <c r="Y21" s="154">
        <f t="shared" si="10"/>
        <v>0</v>
      </c>
      <c r="Z21" s="155">
        <f t="shared" si="11"/>
        <v>0</v>
      </c>
      <c r="AA21" s="3">
        <f>SUM(Z1:Z21)</f>
        <v>101932.83509760001</v>
      </c>
    </row>
    <row r="22" spans="1:27" ht="16.5" thickBot="1" x14ac:dyDescent="0.3">
      <c r="A22" s="9">
        <v>44732</v>
      </c>
      <c r="B22" s="39"/>
      <c r="C22" s="145"/>
      <c r="D22" s="39">
        <f t="shared" si="1"/>
        <v>0</v>
      </c>
      <c r="E22" s="146"/>
      <c r="F22" s="39">
        <f t="shared" si="2"/>
        <v>0</v>
      </c>
      <c r="G22" s="147"/>
      <c r="H22" s="39">
        <f t="shared" si="3"/>
        <v>0</v>
      </c>
      <c r="I22" s="148">
        <f t="shared" si="4"/>
        <v>0</v>
      </c>
      <c r="J22" s="146"/>
      <c r="K22" s="39">
        <f t="shared" si="12"/>
        <v>0</v>
      </c>
      <c r="L22" s="149"/>
      <c r="M22" s="39">
        <f t="shared" si="5"/>
        <v>0</v>
      </c>
      <c r="N22" s="146"/>
      <c r="O22" s="39">
        <f t="shared" si="13"/>
        <v>0</v>
      </c>
      <c r="P22" s="149"/>
      <c r="Q22" s="39">
        <f t="shared" si="6"/>
        <v>0</v>
      </c>
      <c r="R22" s="146"/>
      <c r="S22" s="39">
        <f t="shared" si="7"/>
        <v>0</v>
      </c>
      <c r="T22" s="146">
        <v>0</v>
      </c>
      <c r="U22" s="150"/>
      <c r="V22" s="146"/>
      <c r="W22" s="39">
        <f t="shared" si="8"/>
        <v>0</v>
      </c>
      <c r="X22" s="19">
        <f t="shared" si="9"/>
        <v>0</v>
      </c>
      <c r="Y22" s="151">
        <f t="shared" si="10"/>
        <v>0</v>
      </c>
      <c r="Z22" s="3">
        <f t="shared" si="11"/>
        <v>0</v>
      </c>
      <c r="AA22" s="3">
        <f>SUM(Z1:Z22)</f>
        <v>101932.83509760001</v>
      </c>
    </row>
    <row r="23" spans="1:27" ht="16.5" thickBot="1" x14ac:dyDescent="0.3">
      <c r="A23" s="9">
        <v>44733</v>
      </c>
      <c r="B23" s="39"/>
      <c r="C23" s="145"/>
      <c r="D23" s="39">
        <f t="shared" si="1"/>
        <v>0</v>
      </c>
      <c r="E23" s="146"/>
      <c r="F23" s="39">
        <f t="shared" si="2"/>
        <v>0</v>
      </c>
      <c r="G23" s="147"/>
      <c r="H23" s="39">
        <f t="shared" si="3"/>
        <v>0</v>
      </c>
      <c r="I23" s="148">
        <f t="shared" si="4"/>
        <v>0</v>
      </c>
      <c r="J23" s="146"/>
      <c r="K23" s="39">
        <f t="shared" si="12"/>
        <v>0</v>
      </c>
      <c r="L23" s="149"/>
      <c r="M23" s="39">
        <f t="shared" si="5"/>
        <v>0</v>
      </c>
      <c r="N23" s="146"/>
      <c r="O23" s="39">
        <f t="shared" si="13"/>
        <v>0</v>
      </c>
      <c r="P23" s="149"/>
      <c r="Q23" s="39">
        <f t="shared" si="6"/>
        <v>0</v>
      </c>
      <c r="R23" s="146"/>
      <c r="S23" s="39">
        <f t="shared" si="7"/>
        <v>0</v>
      </c>
      <c r="T23" s="146">
        <v>0</v>
      </c>
      <c r="U23" s="150"/>
      <c r="V23" s="146"/>
      <c r="W23" s="39">
        <f t="shared" si="8"/>
        <v>0</v>
      </c>
      <c r="X23" s="19">
        <f t="shared" si="9"/>
        <v>0</v>
      </c>
      <c r="Y23" s="151">
        <f t="shared" si="10"/>
        <v>0</v>
      </c>
      <c r="Z23" s="3">
        <f t="shared" si="11"/>
        <v>0</v>
      </c>
      <c r="AA23" s="3">
        <f>SUM(Z1:Z23)</f>
        <v>101932.83509760001</v>
      </c>
    </row>
    <row r="24" spans="1:27" ht="16.5" thickBot="1" x14ac:dyDescent="0.3">
      <c r="A24" s="9">
        <v>44734</v>
      </c>
      <c r="B24" s="39"/>
      <c r="C24" s="145"/>
      <c r="D24" s="39">
        <f t="shared" si="1"/>
        <v>0</v>
      </c>
      <c r="E24" s="146"/>
      <c r="F24" s="39">
        <f t="shared" si="2"/>
        <v>0</v>
      </c>
      <c r="G24" s="147"/>
      <c r="H24" s="39">
        <f t="shared" si="3"/>
        <v>0</v>
      </c>
      <c r="I24" s="148">
        <f t="shared" si="4"/>
        <v>0</v>
      </c>
      <c r="J24" s="146"/>
      <c r="K24" s="39">
        <f t="shared" si="12"/>
        <v>0</v>
      </c>
      <c r="L24" s="149"/>
      <c r="M24" s="39">
        <f t="shared" si="5"/>
        <v>0</v>
      </c>
      <c r="N24" s="146"/>
      <c r="O24" s="39">
        <f t="shared" si="13"/>
        <v>0</v>
      </c>
      <c r="P24" s="149"/>
      <c r="Q24" s="39">
        <f t="shared" si="6"/>
        <v>0</v>
      </c>
      <c r="R24" s="146"/>
      <c r="S24" s="39">
        <f t="shared" si="7"/>
        <v>0</v>
      </c>
      <c r="T24" s="146">
        <v>0</v>
      </c>
      <c r="U24" s="150"/>
      <c r="V24" s="146"/>
      <c r="W24" s="39">
        <f t="shared" si="8"/>
        <v>0</v>
      </c>
      <c r="X24" s="19">
        <f t="shared" si="9"/>
        <v>0</v>
      </c>
      <c r="Y24" s="151">
        <f t="shared" si="10"/>
        <v>0</v>
      </c>
      <c r="Z24" s="3">
        <f t="shared" si="11"/>
        <v>0</v>
      </c>
      <c r="AA24" s="3">
        <f>SUM(Z1:Z24)</f>
        <v>101932.83509760001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>
        <f t="shared" si="2"/>
        <v>0</v>
      </c>
      <c r="G25" s="147"/>
      <c r="H25" s="39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>
        <f t="shared" si="5"/>
        <v>0</v>
      </c>
      <c r="N25" s="146"/>
      <c r="O25" s="39">
        <f t="shared" si="13"/>
        <v>0</v>
      </c>
      <c r="P25" s="149"/>
      <c r="Q25" s="39">
        <f t="shared" si="6"/>
        <v>0</v>
      </c>
      <c r="R25" s="146"/>
      <c r="S25" s="39">
        <f t="shared" si="7"/>
        <v>0</v>
      </c>
      <c r="T25" s="146">
        <v>0</v>
      </c>
      <c r="U25" s="150"/>
      <c r="V25" s="146"/>
      <c r="W25" s="39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101932.83509760001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101932.83509760001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101932.83509760001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101932.83509760001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101932.83509760001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101932.83509760001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101932.83509760001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101932.83509760001</v>
      </c>
    </row>
    <row r="33" spans="1:27" ht="16.5" thickBot="1" x14ac:dyDescent="0.3">
      <c r="A33" s="137" t="s">
        <v>23</v>
      </c>
      <c r="B33" s="137">
        <f>SUM(B3:B32)</f>
        <v>2343</v>
      </c>
      <c r="C33" s="137">
        <v>0</v>
      </c>
      <c r="D33" s="137">
        <f>SUM(D3:D32)</f>
        <v>6720</v>
      </c>
      <c r="E33" s="56">
        <v>0</v>
      </c>
      <c r="F33" s="56">
        <f>SUM(F3:F32)</f>
        <v>232175</v>
      </c>
      <c r="G33" s="56">
        <v>0</v>
      </c>
      <c r="H33" s="56">
        <f>SUM(H3:H32)</f>
        <v>574931</v>
      </c>
      <c r="I33" s="56">
        <f>SUM(I3:I32)</f>
        <v>807106</v>
      </c>
      <c r="J33" s="56">
        <v>0</v>
      </c>
      <c r="K33" s="56">
        <f>SUM(K2:K32)</f>
        <v>113494</v>
      </c>
      <c r="L33" s="56">
        <v>0</v>
      </c>
      <c r="M33" s="56">
        <f>SUM(M3:M32)</f>
        <v>73241</v>
      </c>
      <c r="N33" s="56">
        <v>0</v>
      </c>
      <c r="O33" s="56">
        <f>SUM(O3:O32)</f>
        <v>156818</v>
      </c>
      <c r="P33" s="56">
        <v>0</v>
      </c>
      <c r="Q33" s="56">
        <f>SUM(Q3:Q32)</f>
        <v>146041</v>
      </c>
      <c r="R33" s="56">
        <v>0</v>
      </c>
      <c r="S33" s="56">
        <f>SUM(S3:S32)</f>
        <v>116978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122350</v>
      </c>
      <c r="X33" s="56">
        <f>SUM(X3:X32)</f>
        <v>728922</v>
      </c>
      <c r="Y33" s="56">
        <f>SUM(Y3:Y32)</f>
        <v>78184</v>
      </c>
      <c r="Z33" s="56">
        <f>SUM(Z3:Z32)</f>
        <v>101932.83509760001</v>
      </c>
      <c r="AA33" s="56">
        <f>SUM(AA3:AA32)</f>
        <v>2556423.576927999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H22" sqref="H22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/>
      <c r="C14" s="39">
        <f t="shared" si="5"/>
        <v>0</v>
      </c>
      <c r="D14" s="3"/>
      <c r="E14" s="39">
        <f t="shared" si="0"/>
        <v>0</v>
      </c>
      <c r="F14" s="3"/>
      <c r="G14" s="39">
        <f t="shared" si="3"/>
        <v>0</v>
      </c>
      <c r="H14" s="3"/>
      <c r="I14" s="44">
        <f t="shared" si="4"/>
        <v>0</v>
      </c>
      <c r="J14" s="19">
        <f t="shared" si="1"/>
        <v>0</v>
      </c>
      <c r="K14" s="20">
        <f t="shared" si="2"/>
        <v>0</v>
      </c>
    </row>
    <row r="15" spans="1:14" ht="16.5" thickBot="1" x14ac:dyDescent="0.3">
      <c r="A15" s="9">
        <v>44725</v>
      </c>
      <c r="B15" s="3"/>
      <c r="C15" s="39">
        <f t="shared" si="5"/>
        <v>0</v>
      </c>
      <c r="D15" s="3"/>
      <c r="E15" s="39">
        <f t="shared" si="0"/>
        <v>0</v>
      </c>
      <c r="F15" s="3"/>
      <c r="G15" s="39">
        <f t="shared" si="3"/>
        <v>0</v>
      </c>
      <c r="H15" s="3"/>
      <c r="I15" s="44">
        <f t="shared" si="4"/>
        <v>0</v>
      </c>
      <c r="J15" s="19">
        <f t="shared" si="1"/>
        <v>0</v>
      </c>
      <c r="K15" s="20">
        <f t="shared" si="2"/>
        <v>0</v>
      </c>
    </row>
    <row r="16" spans="1:14" ht="16.5" thickBot="1" x14ac:dyDescent="0.3">
      <c r="A16" s="9">
        <v>44726</v>
      </c>
      <c r="B16" s="3"/>
      <c r="C16" s="39">
        <f t="shared" si="5"/>
        <v>0</v>
      </c>
      <c r="D16" s="3"/>
      <c r="E16" s="39">
        <f t="shared" si="0"/>
        <v>0</v>
      </c>
      <c r="F16" s="3"/>
      <c r="G16" s="39">
        <f t="shared" si="3"/>
        <v>0</v>
      </c>
      <c r="H16" s="3"/>
      <c r="I16" s="44">
        <f t="shared" si="4"/>
        <v>0</v>
      </c>
      <c r="J16" s="19">
        <f t="shared" si="1"/>
        <v>0</v>
      </c>
      <c r="K16" s="20">
        <f t="shared" si="2"/>
        <v>0</v>
      </c>
    </row>
    <row r="17" spans="1:25" ht="16.5" thickBot="1" x14ac:dyDescent="0.3">
      <c r="A17" s="9">
        <v>44727</v>
      </c>
      <c r="B17" s="3"/>
      <c r="C17" s="39">
        <f t="shared" si="5"/>
        <v>0</v>
      </c>
      <c r="D17" s="3"/>
      <c r="E17" s="39">
        <f t="shared" si="0"/>
        <v>0</v>
      </c>
      <c r="F17" s="3"/>
      <c r="G17" s="39">
        <f t="shared" si="3"/>
        <v>0</v>
      </c>
      <c r="H17" s="3"/>
      <c r="I17" s="44">
        <f t="shared" si="4"/>
        <v>0</v>
      </c>
      <c r="J17" s="19">
        <f t="shared" si="1"/>
        <v>0</v>
      </c>
      <c r="K17" s="20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/>
      <c r="C18" s="39">
        <f t="shared" si="5"/>
        <v>0</v>
      </c>
      <c r="D18" s="3"/>
      <c r="E18" s="39">
        <f t="shared" si="0"/>
        <v>0</v>
      </c>
      <c r="F18" s="3"/>
      <c r="G18" s="39">
        <f t="shared" si="3"/>
        <v>0</v>
      </c>
      <c r="H18" s="3"/>
      <c r="I18" s="44">
        <f t="shared" si="4"/>
        <v>0</v>
      </c>
      <c r="J18" s="19">
        <f t="shared" si="1"/>
        <v>0</v>
      </c>
      <c r="K18" s="20">
        <f t="shared" si="2"/>
        <v>0</v>
      </c>
      <c r="Q18" t="s">
        <v>43</v>
      </c>
    </row>
    <row r="19" spans="1:25" ht="16.5" thickBot="1" x14ac:dyDescent="0.3">
      <c r="A19" s="9">
        <v>44729</v>
      </c>
      <c r="B19" s="3"/>
      <c r="C19" s="39">
        <f t="shared" si="5"/>
        <v>0</v>
      </c>
      <c r="D19" s="3"/>
      <c r="E19" s="39">
        <f t="shared" ref="E19:E32" si="6">(IF((D19-D18)&lt;0,"0",(D19-D18)))*10</f>
        <v>0</v>
      </c>
      <c r="F19" s="3"/>
      <c r="G19" s="39">
        <f t="shared" si="3"/>
        <v>0</v>
      </c>
      <c r="H19" s="3"/>
      <c r="I19" s="44">
        <f t="shared" si="4"/>
        <v>0</v>
      </c>
      <c r="J19" s="19">
        <f t="shared" si="1"/>
        <v>0</v>
      </c>
      <c r="K19" s="20">
        <f t="shared" si="2"/>
        <v>0</v>
      </c>
      <c r="Q19" t="s">
        <v>12</v>
      </c>
    </row>
    <row r="20" spans="1:25" ht="16.5" thickBot="1" x14ac:dyDescent="0.3">
      <c r="A20" s="9">
        <v>44730</v>
      </c>
      <c r="B20" s="3"/>
      <c r="C20" s="39">
        <f t="shared" si="5"/>
        <v>0</v>
      </c>
      <c r="D20" s="3"/>
      <c r="E20" s="39">
        <f t="shared" si="6"/>
        <v>0</v>
      </c>
      <c r="F20" s="3"/>
      <c r="G20" s="39">
        <f t="shared" si="3"/>
        <v>0</v>
      </c>
      <c r="H20" s="3"/>
      <c r="I20" s="44">
        <f t="shared" si="4"/>
        <v>0</v>
      </c>
      <c r="J20" s="19">
        <f t="shared" si="1"/>
        <v>0</v>
      </c>
      <c r="K20" s="20">
        <f t="shared" si="2"/>
        <v>0</v>
      </c>
    </row>
    <row r="21" spans="1:25" ht="16.5" thickBot="1" x14ac:dyDescent="0.3">
      <c r="A21" s="9">
        <v>44731</v>
      </c>
      <c r="B21" s="3"/>
      <c r="C21" s="39">
        <f t="shared" si="5"/>
        <v>0</v>
      </c>
      <c r="D21" s="3"/>
      <c r="E21" s="39">
        <f t="shared" si="6"/>
        <v>0</v>
      </c>
      <c r="F21" s="3"/>
      <c r="G21" s="39">
        <f t="shared" si="3"/>
        <v>0</v>
      </c>
      <c r="H21" s="3"/>
      <c r="I21" s="44">
        <f t="shared" si="4"/>
        <v>0</v>
      </c>
      <c r="J21" s="19">
        <f t="shared" si="1"/>
        <v>0</v>
      </c>
      <c r="K21" s="20">
        <f t="shared" si="2"/>
        <v>0</v>
      </c>
    </row>
    <row r="22" spans="1:25" ht="16.5" thickBot="1" x14ac:dyDescent="0.3">
      <c r="A22" s="9">
        <v>44732</v>
      </c>
      <c r="B22" s="3"/>
      <c r="C22" s="39">
        <f t="shared" si="5"/>
        <v>0</v>
      </c>
      <c r="D22" s="3"/>
      <c r="E22" s="39">
        <f t="shared" si="6"/>
        <v>0</v>
      </c>
      <c r="F22" s="3"/>
      <c r="G22" s="39">
        <f t="shared" si="3"/>
        <v>0</v>
      </c>
      <c r="H22" s="3"/>
      <c r="I22" s="44">
        <f t="shared" si="4"/>
        <v>0</v>
      </c>
      <c r="J22" s="19">
        <f t="shared" si="1"/>
        <v>0</v>
      </c>
      <c r="K22" s="20">
        <f t="shared" si="2"/>
        <v>0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/>
      <c r="C23" s="39">
        <f t="shared" si="5"/>
        <v>0</v>
      </c>
      <c r="D23" s="3"/>
      <c r="E23" s="39">
        <f t="shared" si="6"/>
        <v>0</v>
      </c>
      <c r="F23" s="3"/>
      <c r="G23" s="39">
        <f t="shared" si="3"/>
        <v>0</v>
      </c>
      <c r="H23" s="3"/>
      <c r="I23" s="44">
        <f t="shared" si="4"/>
        <v>0</v>
      </c>
      <c r="J23" s="19">
        <f t="shared" si="1"/>
        <v>0</v>
      </c>
      <c r="K23" s="20">
        <f t="shared" si="2"/>
        <v>0</v>
      </c>
      <c r="Q23" t="s">
        <v>12</v>
      </c>
    </row>
    <row r="24" spans="1:25" ht="16.5" thickBot="1" x14ac:dyDescent="0.3">
      <c r="A24" s="9">
        <v>44734</v>
      </c>
      <c r="B24" s="3"/>
      <c r="C24" s="39">
        <f t="shared" si="5"/>
        <v>0</v>
      </c>
      <c r="D24" s="3"/>
      <c r="E24" s="39">
        <f t="shared" si="6"/>
        <v>0</v>
      </c>
      <c r="F24" s="3"/>
      <c r="G24" s="39">
        <f t="shared" si="3"/>
        <v>0</v>
      </c>
      <c r="H24" s="3"/>
      <c r="I24" s="44">
        <f t="shared" si="4"/>
        <v>0</v>
      </c>
      <c r="J24" s="19">
        <f t="shared" si="1"/>
        <v>0</v>
      </c>
      <c r="K24" s="20">
        <f t="shared" si="2"/>
        <v>0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12060</v>
      </c>
      <c r="D33" s="3"/>
      <c r="E33" s="56">
        <f>SUM(E3:E32)</f>
        <v>5580</v>
      </c>
      <c r="F33" s="3"/>
      <c r="G33" s="56">
        <f>SUM(G3:G32)</f>
        <v>5977.7999999999993</v>
      </c>
      <c r="H33" s="3"/>
      <c r="I33" s="56">
        <f>SUM(I3:I32)</f>
        <v>59.507999999999996</v>
      </c>
      <c r="J33" s="56">
        <f>SUM(J3:J32)</f>
        <v>23677.308000000001</v>
      </c>
      <c r="K33" s="56">
        <f>SUM(K3:K32)</f>
        <v>138749.02487999998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H18" sqref="H1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/>
      <c r="C14" s="45" t="str">
        <f t="shared" si="0"/>
        <v>0</v>
      </c>
    </row>
    <row r="15" spans="1:9" ht="24" thickBot="1" x14ac:dyDescent="0.4">
      <c r="A15" s="9">
        <v>44725</v>
      </c>
      <c r="B15" s="133"/>
      <c r="C15" s="45">
        <f t="shared" si="0"/>
        <v>0</v>
      </c>
      <c r="I15" t="s">
        <v>12</v>
      </c>
    </row>
    <row r="16" spans="1:9" ht="26.25" customHeight="1" thickBot="1" x14ac:dyDescent="0.4">
      <c r="A16" s="9">
        <v>44726</v>
      </c>
      <c r="B16" s="133"/>
      <c r="C16" s="45">
        <f t="shared" si="0"/>
        <v>0</v>
      </c>
      <c r="F16" s="156"/>
    </row>
    <row r="17" spans="1:9" ht="25.5" customHeight="1" thickBot="1" x14ac:dyDescent="0.4">
      <c r="A17" s="9">
        <v>44727</v>
      </c>
      <c r="B17" s="133"/>
      <c r="C17" s="45">
        <f t="shared" si="0"/>
        <v>0</v>
      </c>
    </row>
    <row r="18" spans="1:9" ht="24" thickBot="1" x14ac:dyDescent="0.4">
      <c r="A18" s="9">
        <v>44728</v>
      </c>
      <c r="B18" s="133"/>
      <c r="C18" s="45">
        <f t="shared" si="0"/>
        <v>0</v>
      </c>
      <c r="I18" s="35"/>
    </row>
    <row r="19" spans="1:9" ht="24" thickBot="1" x14ac:dyDescent="0.4">
      <c r="A19" s="9">
        <v>44729</v>
      </c>
      <c r="B19" s="133"/>
      <c r="C19" s="45">
        <f t="shared" si="0"/>
        <v>0</v>
      </c>
    </row>
    <row r="20" spans="1:9" ht="24" thickBot="1" x14ac:dyDescent="0.4">
      <c r="A20" s="9">
        <v>44730</v>
      </c>
      <c r="B20" s="133"/>
      <c r="C20" s="45">
        <f t="shared" si="0"/>
        <v>0</v>
      </c>
    </row>
    <row r="21" spans="1:9" ht="24" thickBot="1" x14ac:dyDescent="0.4">
      <c r="A21" s="9">
        <v>44731</v>
      </c>
      <c r="B21" s="133"/>
      <c r="C21" s="45">
        <f t="shared" si="0"/>
        <v>0</v>
      </c>
    </row>
    <row r="22" spans="1:9" ht="24" thickBot="1" x14ac:dyDescent="0.4">
      <c r="A22" s="9">
        <v>44732</v>
      </c>
      <c r="B22" s="133"/>
      <c r="C22" s="45">
        <f t="shared" si="0"/>
        <v>0</v>
      </c>
    </row>
    <row r="23" spans="1:9" ht="24" thickBot="1" x14ac:dyDescent="0.4">
      <c r="A23" s="9">
        <v>44733</v>
      </c>
      <c r="B23" s="133"/>
      <c r="C23" s="45">
        <f t="shared" si="0"/>
        <v>0</v>
      </c>
      <c r="F23" t="s">
        <v>12</v>
      </c>
    </row>
    <row r="24" spans="1:9" ht="24" thickBot="1" x14ac:dyDescent="0.4">
      <c r="A24" s="9">
        <v>44734</v>
      </c>
      <c r="B24" s="133"/>
      <c r="C24" s="45">
        <f t="shared" si="0"/>
        <v>0</v>
      </c>
      <c r="E24" t="s">
        <v>12</v>
      </c>
    </row>
    <row r="25" spans="1:9" ht="24" thickBot="1" x14ac:dyDescent="0.4">
      <c r="A25" s="9">
        <v>44735</v>
      </c>
      <c r="B25" s="133"/>
      <c r="C25" s="45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26185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H1" zoomScale="90" zoomScaleNormal="90" workbookViewId="0">
      <pane ySplit="1" topLeftCell="A2" activePane="bottomLeft" state="frozen"/>
      <selection pane="bottomLeft" activeCell="AG13" sqref="AG13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/>
      <c r="C14" s="44" t="str">
        <f t="shared" si="22"/>
        <v>0</v>
      </c>
      <c r="D14" s="28">
        <f t="shared" si="23"/>
        <v>0</v>
      </c>
      <c r="E14" s="160"/>
      <c r="F14" s="44" t="str">
        <f t="shared" si="24"/>
        <v>0</v>
      </c>
      <c r="G14" s="28">
        <f t="shared" si="25"/>
        <v>0</v>
      </c>
      <c r="H14" s="160"/>
      <c r="I14" s="44" t="str">
        <f t="shared" si="26"/>
        <v>0</v>
      </c>
      <c r="J14" s="28">
        <f t="shared" si="27"/>
        <v>0</v>
      </c>
      <c r="K14" s="7"/>
      <c r="L14" s="44" t="str">
        <f t="shared" si="28"/>
        <v>0</v>
      </c>
      <c r="M14" s="28">
        <f t="shared" si="29"/>
        <v>0</v>
      </c>
      <c r="N14" s="160"/>
      <c r="O14" s="44" t="str">
        <f>IF((N14-N13)&lt;0,"0",(N14-N13))</f>
        <v>0</v>
      </c>
      <c r="P14" s="28">
        <f t="shared" si="31"/>
        <v>0</v>
      </c>
      <c r="Q14" s="160"/>
      <c r="R14" s="44" t="str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7">
        <v>44724</v>
      </c>
      <c r="X14" s="158"/>
      <c r="Y14" s="163" t="str">
        <f t="shared" si="21"/>
        <v>0</v>
      </c>
      <c r="Z14" s="158"/>
      <c r="AA14" s="163" t="str">
        <f t="shared" si="21"/>
        <v>0</v>
      </c>
      <c r="AB14" s="158"/>
      <c r="AC14" s="163" t="str">
        <f t="shared" si="21"/>
        <v>0</v>
      </c>
      <c r="AD14" s="158"/>
      <c r="AE14" s="163" t="str">
        <f t="shared" si="21"/>
        <v>0</v>
      </c>
      <c r="AF14" s="158"/>
      <c r="AG14" s="163" t="str">
        <f t="shared" si="21"/>
        <v>0</v>
      </c>
    </row>
    <row r="15" spans="1:33" ht="16.5" thickBot="1" x14ac:dyDescent="0.25">
      <c r="A15" s="9">
        <v>44725</v>
      </c>
      <c r="B15" s="160"/>
      <c r="C15" s="44">
        <f t="shared" ref="C15" si="36">IF((B15-B14)&lt;0,"0",(B15-B14))</f>
        <v>0</v>
      </c>
      <c r="D15" s="28">
        <f t="shared" ref="D15" si="37">C15*1.9*1000</f>
        <v>0</v>
      </c>
      <c r="E15" s="160"/>
      <c r="F15" s="44">
        <f t="shared" ref="F15" si="38">IF((E15-E14)&lt;0,"0",(E15-E14))</f>
        <v>0</v>
      </c>
      <c r="G15" s="28">
        <f t="shared" ref="G15" si="39">F15*1.9*1000</f>
        <v>0</v>
      </c>
      <c r="H15" s="160"/>
      <c r="I15" s="44">
        <f t="shared" ref="I15" si="40">IF((H15-H14)&lt;0,"0",(H15-H14))</f>
        <v>0</v>
      </c>
      <c r="J15" s="28">
        <f t="shared" ref="J15" si="41">I15*1.9*1000</f>
        <v>0</v>
      </c>
      <c r="K15" s="7"/>
      <c r="L15" s="44">
        <f t="shared" ref="L15" si="42">IF((K15-K14)&lt;0,"0",(K15-K14))</f>
        <v>0</v>
      </c>
      <c r="M15" s="28">
        <f t="shared" ref="M15" si="43">L15*1.9*1000</f>
        <v>0</v>
      </c>
      <c r="N15" s="160"/>
      <c r="O15" s="44">
        <f>IF((N15-N14)&lt;0,"0",(N15-N14))</f>
        <v>0</v>
      </c>
      <c r="P15" s="28">
        <f t="shared" ref="P15" si="44">O15*1.9*1000</f>
        <v>0</v>
      </c>
      <c r="Q15" s="160"/>
      <c r="R15" s="44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7">
        <v>44725</v>
      </c>
      <c r="X15" s="158"/>
      <c r="Y15" s="163">
        <f t="shared" si="21"/>
        <v>0</v>
      </c>
      <c r="Z15" s="158"/>
      <c r="AA15" s="163">
        <f t="shared" si="21"/>
        <v>0</v>
      </c>
      <c r="AB15" s="158"/>
      <c r="AC15" s="163">
        <f t="shared" si="21"/>
        <v>0</v>
      </c>
      <c r="AD15" s="158"/>
      <c r="AE15" s="163">
        <f t="shared" si="21"/>
        <v>0</v>
      </c>
      <c r="AF15" s="158"/>
      <c r="AG15" s="163">
        <f t="shared" si="21"/>
        <v>0</v>
      </c>
    </row>
    <row r="16" spans="1:33" ht="16.5" thickBot="1" x14ac:dyDescent="0.25">
      <c r="A16" s="9">
        <v>44726</v>
      </c>
      <c r="B16" s="160"/>
      <c r="C16" s="44">
        <f t="shared" si="22"/>
        <v>0</v>
      </c>
      <c r="D16" s="28">
        <f t="shared" si="23"/>
        <v>0</v>
      </c>
      <c r="E16" s="160"/>
      <c r="F16" s="44">
        <f t="shared" si="24"/>
        <v>0</v>
      </c>
      <c r="G16" s="28">
        <f t="shared" si="25"/>
        <v>0</v>
      </c>
      <c r="H16" s="160"/>
      <c r="I16" s="44">
        <f t="shared" si="26"/>
        <v>0</v>
      </c>
      <c r="J16" s="28">
        <f t="shared" si="27"/>
        <v>0</v>
      </c>
      <c r="K16" s="7"/>
      <c r="L16" s="44">
        <f t="shared" si="28"/>
        <v>0</v>
      </c>
      <c r="M16" s="28">
        <f t="shared" si="29"/>
        <v>0</v>
      </c>
      <c r="N16" s="160"/>
      <c r="O16" s="44">
        <f t="shared" si="30"/>
        <v>0</v>
      </c>
      <c r="P16" s="28">
        <f t="shared" si="31"/>
        <v>0</v>
      </c>
      <c r="Q16" s="160"/>
      <c r="R16" s="44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7">
        <v>44726</v>
      </c>
      <c r="X16" s="158"/>
      <c r="Y16" s="163">
        <f t="shared" si="21"/>
        <v>0</v>
      </c>
      <c r="Z16" s="158"/>
      <c r="AA16" s="163">
        <f t="shared" si="21"/>
        <v>0</v>
      </c>
      <c r="AB16" s="158"/>
      <c r="AC16" s="163">
        <f t="shared" si="21"/>
        <v>0</v>
      </c>
      <c r="AD16" s="158"/>
      <c r="AE16" s="163">
        <f t="shared" si="21"/>
        <v>0</v>
      </c>
      <c r="AF16" s="158"/>
      <c r="AG16" s="163">
        <f t="shared" si="21"/>
        <v>0</v>
      </c>
    </row>
    <row r="17" spans="1:33" ht="16.5" thickBot="1" x14ac:dyDescent="0.25">
      <c r="A17" s="9">
        <v>44727</v>
      </c>
      <c r="B17" s="160"/>
      <c r="C17" s="44">
        <f t="shared" si="22"/>
        <v>0</v>
      </c>
      <c r="D17" s="28">
        <f t="shared" si="23"/>
        <v>0</v>
      </c>
      <c r="E17" s="160"/>
      <c r="F17" s="44">
        <f t="shared" si="24"/>
        <v>0</v>
      </c>
      <c r="G17" s="28">
        <f t="shared" si="25"/>
        <v>0</v>
      </c>
      <c r="H17" s="160"/>
      <c r="I17" s="44">
        <f t="shared" si="26"/>
        <v>0</v>
      </c>
      <c r="J17" s="28">
        <f t="shared" si="27"/>
        <v>0</v>
      </c>
      <c r="K17" s="7"/>
      <c r="L17" s="44">
        <f t="shared" si="28"/>
        <v>0</v>
      </c>
      <c r="M17" s="28">
        <f t="shared" si="29"/>
        <v>0</v>
      </c>
      <c r="N17" s="160"/>
      <c r="O17" s="44">
        <f t="shared" si="30"/>
        <v>0</v>
      </c>
      <c r="P17" s="28">
        <f t="shared" si="31"/>
        <v>0</v>
      </c>
      <c r="Q17" s="160"/>
      <c r="R17" s="44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7">
        <v>44727</v>
      </c>
      <c r="X17" s="158"/>
      <c r="Y17" s="163">
        <f t="shared" si="21"/>
        <v>0</v>
      </c>
      <c r="Z17" s="158"/>
      <c r="AA17" s="163">
        <f t="shared" si="21"/>
        <v>0</v>
      </c>
      <c r="AB17" s="158"/>
      <c r="AC17" s="163">
        <f t="shared" si="21"/>
        <v>0</v>
      </c>
      <c r="AD17" s="158"/>
      <c r="AE17" s="163">
        <f t="shared" si="21"/>
        <v>0</v>
      </c>
      <c r="AF17" s="158"/>
      <c r="AG17" s="163">
        <f t="shared" si="21"/>
        <v>0</v>
      </c>
    </row>
    <row r="18" spans="1:33" ht="16.5" thickBot="1" x14ac:dyDescent="0.25">
      <c r="A18" s="9">
        <v>44728</v>
      </c>
      <c r="B18" s="160"/>
      <c r="C18" s="44">
        <f t="shared" si="22"/>
        <v>0</v>
      </c>
      <c r="D18" s="28">
        <f t="shared" si="23"/>
        <v>0</v>
      </c>
      <c r="E18" s="160"/>
      <c r="F18" s="44">
        <f t="shared" si="24"/>
        <v>0</v>
      </c>
      <c r="G18" s="28">
        <f t="shared" si="25"/>
        <v>0</v>
      </c>
      <c r="H18" s="160"/>
      <c r="I18" s="44">
        <f t="shared" si="26"/>
        <v>0</v>
      </c>
      <c r="J18" s="28">
        <f t="shared" si="27"/>
        <v>0</v>
      </c>
      <c r="K18" s="7"/>
      <c r="L18" s="44">
        <f t="shared" si="28"/>
        <v>0</v>
      </c>
      <c r="M18" s="28">
        <f t="shared" si="29"/>
        <v>0</v>
      </c>
      <c r="N18" s="160"/>
      <c r="O18" s="44">
        <f t="shared" si="30"/>
        <v>0</v>
      </c>
      <c r="P18" s="28">
        <f t="shared" si="31"/>
        <v>0</v>
      </c>
      <c r="Q18" s="160"/>
      <c r="R18" s="44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7">
        <v>44728</v>
      </c>
      <c r="X18" s="158"/>
      <c r="Y18" s="163">
        <f t="shared" si="21"/>
        <v>0</v>
      </c>
      <c r="Z18" s="158"/>
      <c r="AA18" s="163">
        <f t="shared" si="21"/>
        <v>0</v>
      </c>
      <c r="AB18" s="158"/>
      <c r="AC18" s="163">
        <f t="shared" si="21"/>
        <v>0</v>
      </c>
      <c r="AD18" s="158"/>
      <c r="AE18" s="163">
        <f t="shared" si="21"/>
        <v>0</v>
      </c>
      <c r="AF18" s="158"/>
      <c r="AG18" s="163">
        <f t="shared" si="21"/>
        <v>0</v>
      </c>
    </row>
    <row r="19" spans="1:33" ht="16.5" thickBot="1" x14ac:dyDescent="0.25">
      <c r="A19" s="9">
        <v>44729</v>
      </c>
      <c r="B19" s="160"/>
      <c r="C19" s="44">
        <f t="shared" si="22"/>
        <v>0</v>
      </c>
      <c r="D19" s="28">
        <f t="shared" si="23"/>
        <v>0</v>
      </c>
      <c r="E19" s="160"/>
      <c r="F19" s="44">
        <f t="shared" si="24"/>
        <v>0</v>
      </c>
      <c r="G19" s="28">
        <f t="shared" si="25"/>
        <v>0</v>
      </c>
      <c r="H19" s="160"/>
      <c r="I19" s="44">
        <f t="shared" si="26"/>
        <v>0</v>
      </c>
      <c r="J19" s="28">
        <f t="shared" si="27"/>
        <v>0</v>
      </c>
      <c r="K19" s="7"/>
      <c r="L19" s="44">
        <f t="shared" si="28"/>
        <v>0</v>
      </c>
      <c r="M19" s="28">
        <f t="shared" si="29"/>
        <v>0</v>
      </c>
      <c r="N19" s="160"/>
      <c r="O19" s="44">
        <f t="shared" si="30"/>
        <v>0</v>
      </c>
      <c r="P19" s="28">
        <f t="shared" si="31"/>
        <v>0</v>
      </c>
      <c r="Q19" s="160"/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44729</v>
      </c>
      <c r="X19" s="158"/>
      <c r="Y19" s="163">
        <f t="shared" si="21"/>
        <v>0</v>
      </c>
      <c r="Z19" s="158"/>
      <c r="AA19" s="163">
        <f t="shared" si="21"/>
        <v>0</v>
      </c>
      <c r="AB19" s="158"/>
      <c r="AC19" s="163">
        <f t="shared" si="21"/>
        <v>0</v>
      </c>
      <c r="AD19" s="158"/>
      <c r="AE19" s="163">
        <f t="shared" si="21"/>
        <v>0</v>
      </c>
      <c r="AF19" s="158"/>
      <c r="AG19" s="163">
        <f t="shared" si="21"/>
        <v>0</v>
      </c>
    </row>
    <row r="20" spans="1:33" ht="16.5" thickBot="1" x14ac:dyDescent="0.25">
      <c r="A20" s="9">
        <v>44730</v>
      </c>
      <c r="B20" s="160"/>
      <c r="C20" s="44">
        <f t="shared" si="22"/>
        <v>0</v>
      </c>
      <c r="D20" s="28">
        <f t="shared" si="23"/>
        <v>0</v>
      </c>
      <c r="E20" s="160"/>
      <c r="F20" s="44">
        <f t="shared" si="24"/>
        <v>0</v>
      </c>
      <c r="G20" s="28">
        <f t="shared" si="25"/>
        <v>0</v>
      </c>
      <c r="H20" s="160"/>
      <c r="I20" s="44">
        <f t="shared" si="26"/>
        <v>0</v>
      </c>
      <c r="J20" s="28">
        <f t="shared" si="27"/>
        <v>0</v>
      </c>
      <c r="K20" s="7"/>
      <c r="L20" s="44">
        <f t="shared" si="28"/>
        <v>0</v>
      </c>
      <c r="M20" s="28">
        <f t="shared" si="29"/>
        <v>0</v>
      </c>
      <c r="N20" s="160"/>
      <c r="O20" s="44">
        <f t="shared" si="30"/>
        <v>0</v>
      </c>
      <c r="P20" s="28">
        <f t="shared" si="31"/>
        <v>0</v>
      </c>
      <c r="Q20" s="160"/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44730</v>
      </c>
      <c r="X20" s="158"/>
      <c r="Y20" s="163">
        <f t="shared" si="21"/>
        <v>0</v>
      </c>
      <c r="Z20" s="158"/>
      <c r="AA20" s="163">
        <f t="shared" si="21"/>
        <v>0</v>
      </c>
      <c r="AB20" s="158"/>
      <c r="AC20" s="163">
        <f t="shared" si="21"/>
        <v>0</v>
      </c>
      <c r="AD20" s="158"/>
      <c r="AE20" s="163">
        <f t="shared" si="21"/>
        <v>0</v>
      </c>
      <c r="AF20" s="158"/>
      <c r="AG20" s="163">
        <f t="shared" si="21"/>
        <v>0</v>
      </c>
    </row>
    <row r="21" spans="1:33" ht="16.5" thickBot="1" x14ac:dyDescent="0.25">
      <c r="A21" s="9">
        <v>44731</v>
      </c>
      <c r="B21" s="160"/>
      <c r="C21" s="44">
        <f t="shared" si="22"/>
        <v>0</v>
      </c>
      <c r="D21" s="28">
        <f t="shared" si="23"/>
        <v>0</v>
      </c>
      <c r="E21" s="160"/>
      <c r="F21" s="44">
        <f t="shared" si="24"/>
        <v>0</v>
      </c>
      <c r="G21" s="28">
        <f t="shared" si="25"/>
        <v>0</v>
      </c>
      <c r="H21" s="160"/>
      <c r="I21" s="44">
        <f t="shared" si="26"/>
        <v>0</v>
      </c>
      <c r="J21" s="28">
        <f t="shared" si="27"/>
        <v>0</v>
      </c>
      <c r="K21" s="7"/>
      <c r="L21" s="44">
        <f t="shared" si="28"/>
        <v>0</v>
      </c>
      <c r="M21" s="28">
        <f t="shared" si="29"/>
        <v>0</v>
      </c>
      <c r="N21" s="160"/>
      <c r="O21" s="44">
        <f t="shared" si="30"/>
        <v>0</v>
      </c>
      <c r="P21" s="28">
        <f t="shared" si="31"/>
        <v>0</v>
      </c>
      <c r="Q21" s="160"/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44731</v>
      </c>
      <c r="X21" s="158"/>
      <c r="Y21" s="163">
        <f t="shared" si="21"/>
        <v>0</v>
      </c>
      <c r="Z21" s="158"/>
      <c r="AA21" s="163">
        <f t="shared" si="21"/>
        <v>0</v>
      </c>
      <c r="AB21" s="158"/>
      <c r="AC21" s="163">
        <f t="shared" si="21"/>
        <v>0</v>
      </c>
      <c r="AD21" s="158"/>
      <c r="AE21" s="163">
        <f t="shared" si="21"/>
        <v>0</v>
      </c>
      <c r="AF21" s="158"/>
      <c r="AG21" s="163">
        <f t="shared" si="21"/>
        <v>0</v>
      </c>
    </row>
    <row r="22" spans="1:33" ht="16.5" thickBot="1" x14ac:dyDescent="0.25">
      <c r="A22" s="9">
        <v>44732</v>
      </c>
      <c r="B22" s="160"/>
      <c r="C22" s="44">
        <f t="shared" si="22"/>
        <v>0</v>
      </c>
      <c r="D22" s="28">
        <f t="shared" si="23"/>
        <v>0</v>
      </c>
      <c r="E22" s="160"/>
      <c r="F22" s="44">
        <f t="shared" si="24"/>
        <v>0</v>
      </c>
      <c r="G22" s="28">
        <f t="shared" si="25"/>
        <v>0</v>
      </c>
      <c r="H22" s="160"/>
      <c r="I22" s="44">
        <f t="shared" si="26"/>
        <v>0</v>
      </c>
      <c r="J22" s="28">
        <f t="shared" si="27"/>
        <v>0</v>
      </c>
      <c r="K22" s="7"/>
      <c r="L22" s="44">
        <f t="shared" si="28"/>
        <v>0</v>
      </c>
      <c r="M22" s="28">
        <f t="shared" si="29"/>
        <v>0</v>
      </c>
      <c r="N22" s="160"/>
      <c r="O22" s="44">
        <f t="shared" si="30"/>
        <v>0</v>
      </c>
      <c r="P22" s="28">
        <f t="shared" si="31"/>
        <v>0</v>
      </c>
      <c r="Q22" s="160"/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44732</v>
      </c>
      <c r="X22" s="158"/>
      <c r="Y22" s="163">
        <f t="shared" si="21"/>
        <v>0</v>
      </c>
      <c r="Z22" s="158"/>
      <c r="AA22" s="163">
        <f t="shared" si="21"/>
        <v>0</v>
      </c>
      <c r="AB22" s="158"/>
      <c r="AC22" s="163">
        <f t="shared" si="21"/>
        <v>0</v>
      </c>
      <c r="AD22" s="158"/>
      <c r="AE22" s="163">
        <f t="shared" si="21"/>
        <v>0</v>
      </c>
      <c r="AF22" s="158"/>
      <c r="AG22" s="163">
        <f t="shared" si="21"/>
        <v>0</v>
      </c>
    </row>
    <row r="23" spans="1:33" ht="16.5" thickBot="1" x14ac:dyDescent="0.25">
      <c r="A23" s="9">
        <v>44733</v>
      </c>
      <c r="B23" s="160"/>
      <c r="C23" s="44">
        <f t="shared" si="22"/>
        <v>0</v>
      </c>
      <c r="D23" s="28">
        <f t="shared" si="23"/>
        <v>0</v>
      </c>
      <c r="E23" s="160"/>
      <c r="F23" s="44">
        <f t="shared" si="24"/>
        <v>0</v>
      </c>
      <c r="G23" s="28">
        <f t="shared" si="25"/>
        <v>0</v>
      </c>
      <c r="H23" s="160"/>
      <c r="I23" s="44">
        <f t="shared" si="26"/>
        <v>0</v>
      </c>
      <c r="J23" s="28">
        <f t="shared" si="27"/>
        <v>0</v>
      </c>
      <c r="K23" s="7"/>
      <c r="L23" s="44">
        <f t="shared" si="28"/>
        <v>0</v>
      </c>
      <c r="M23" s="28">
        <f t="shared" si="29"/>
        <v>0</v>
      </c>
      <c r="N23" s="160"/>
      <c r="O23" s="44">
        <f t="shared" si="30"/>
        <v>0</v>
      </c>
      <c r="P23" s="28">
        <f t="shared" si="31"/>
        <v>0</v>
      </c>
      <c r="Q23" s="160"/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44733</v>
      </c>
      <c r="X23" s="158"/>
      <c r="Y23" s="163">
        <f t="shared" si="21"/>
        <v>0</v>
      </c>
      <c r="Z23" s="158"/>
      <c r="AA23" s="163">
        <f t="shared" si="21"/>
        <v>0</v>
      </c>
      <c r="AB23" s="158"/>
      <c r="AC23" s="163">
        <f t="shared" si="21"/>
        <v>0</v>
      </c>
      <c r="AD23" s="158"/>
      <c r="AE23" s="163">
        <f t="shared" si="21"/>
        <v>0</v>
      </c>
      <c r="AF23" s="158"/>
      <c r="AG23" s="163">
        <f t="shared" si="21"/>
        <v>0</v>
      </c>
    </row>
    <row r="24" spans="1:33" ht="16.5" thickBot="1" x14ac:dyDescent="0.25">
      <c r="A24" s="9">
        <v>44734</v>
      </c>
      <c r="B24" s="160"/>
      <c r="C24" s="44">
        <f t="shared" si="22"/>
        <v>0</v>
      </c>
      <c r="D24" s="28">
        <f t="shared" si="23"/>
        <v>0</v>
      </c>
      <c r="E24" s="160"/>
      <c r="F24" s="44">
        <f t="shared" si="24"/>
        <v>0</v>
      </c>
      <c r="G24" s="28">
        <f t="shared" si="25"/>
        <v>0</v>
      </c>
      <c r="H24" s="160"/>
      <c r="I24" s="44">
        <f t="shared" si="26"/>
        <v>0</v>
      </c>
      <c r="J24" s="28">
        <f t="shared" si="27"/>
        <v>0</v>
      </c>
      <c r="K24" s="7"/>
      <c r="L24" s="44">
        <f t="shared" si="28"/>
        <v>0</v>
      </c>
      <c r="M24" s="28">
        <f t="shared" si="29"/>
        <v>0</v>
      </c>
      <c r="N24" s="160"/>
      <c r="O24" s="44">
        <f t="shared" si="30"/>
        <v>0</v>
      </c>
      <c r="P24" s="28">
        <f t="shared" si="31"/>
        <v>0</v>
      </c>
      <c r="Q24" s="160"/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44734</v>
      </c>
      <c r="X24" s="158"/>
      <c r="Y24" s="163">
        <f t="shared" si="21"/>
        <v>0</v>
      </c>
      <c r="Z24" s="158"/>
      <c r="AA24" s="163">
        <f t="shared" si="21"/>
        <v>0</v>
      </c>
      <c r="AB24" s="158"/>
      <c r="AC24" s="163">
        <f t="shared" si="21"/>
        <v>0</v>
      </c>
      <c r="AD24" s="158"/>
      <c r="AE24" s="163">
        <f t="shared" si="21"/>
        <v>0</v>
      </c>
      <c r="AF24" s="158"/>
      <c r="AG24" s="163">
        <f t="shared" si="21"/>
        <v>0</v>
      </c>
    </row>
    <row r="25" spans="1:33" ht="16.5" thickBot="1" x14ac:dyDescent="0.25">
      <c r="A25" s="9">
        <v>44735</v>
      </c>
      <c r="B25" s="160"/>
      <c r="C25" s="44">
        <f t="shared" si="22"/>
        <v>0</v>
      </c>
      <c r="D25" s="28">
        <f t="shared" si="23"/>
        <v>0</v>
      </c>
      <c r="E25" s="160"/>
      <c r="F25" s="44">
        <f t="shared" si="24"/>
        <v>0</v>
      </c>
      <c r="G25" s="28">
        <f t="shared" si="25"/>
        <v>0</v>
      </c>
      <c r="H25" s="160"/>
      <c r="I25" s="44">
        <f t="shared" si="26"/>
        <v>0</v>
      </c>
      <c r="J25" s="28">
        <f t="shared" si="27"/>
        <v>0</v>
      </c>
      <c r="K25" s="7"/>
      <c r="L25" s="44">
        <f t="shared" si="28"/>
        <v>0</v>
      </c>
      <c r="M25" s="28">
        <f t="shared" si="29"/>
        <v>0</v>
      </c>
      <c r="N25" s="160"/>
      <c r="O25" s="44">
        <f t="shared" si="30"/>
        <v>0</v>
      </c>
      <c r="P25" s="28">
        <f t="shared" si="31"/>
        <v>0</v>
      </c>
      <c r="Q25" s="160"/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>
        <f t="shared" si="21"/>
        <v>0</v>
      </c>
      <c r="Z25" s="158"/>
      <c r="AA25" s="163">
        <f t="shared" si="21"/>
        <v>0</v>
      </c>
      <c r="AB25" s="158"/>
      <c r="AC25" s="163">
        <f t="shared" si="21"/>
        <v>0</v>
      </c>
      <c r="AD25" s="158"/>
      <c r="AE25" s="163">
        <f t="shared" si="21"/>
        <v>0</v>
      </c>
      <c r="AF25" s="158"/>
      <c r="AG25" s="163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150.35499999999956</v>
      </c>
      <c r="D33" s="137">
        <f>SUM(D3:D32)</f>
        <v>285674.49999999913</v>
      </c>
      <c r="E33" s="137"/>
      <c r="F33" s="44">
        <f>SUM(F2:F32)</f>
        <v>30.755000000000109</v>
      </c>
      <c r="G33" s="137">
        <f>SUM(G3:G32)</f>
        <v>58434.500000000189</v>
      </c>
      <c r="H33" s="137"/>
      <c r="I33" s="44">
        <f>SUM(I2:I32)</f>
        <v>89</v>
      </c>
      <c r="J33" s="137">
        <f>SUM(J3:J32)</f>
        <v>169100</v>
      </c>
      <c r="K33" s="137"/>
      <c r="L33" s="44">
        <f>SUM(L2:L32)</f>
        <v>26.260000000000218</v>
      </c>
      <c r="M33" s="137">
        <f>SUM(M3:M32)</f>
        <v>49894.000000000415</v>
      </c>
      <c r="N33" s="137"/>
      <c r="O33" s="44">
        <f>SUM(O2:O32)</f>
        <v>16.810999999999694</v>
      </c>
      <c r="P33" s="137">
        <f>SUM(P3:P32)</f>
        <v>31940.899999999412</v>
      </c>
      <c r="Q33" s="137"/>
      <c r="R33" s="44">
        <f>SUM(R3:R32)</f>
        <v>18.079999999999927</v>
      </c>
      <c r="S33" s="137">
        <f>SUM(S3:S32)</f>
        <v>34351.999999999862</v>
      </c>
      <c r="T33" s="137">
        <f>SUM(T3:T32)</f>
        <v>331.26099999999951</v>
      </c>
      <c r="U33" s="137">
        <f>SUM(U3:U32)</f>
        <v>629395.89999999909</v>
      </c>
      <c r="V33"/>
      <c r="W33" s="137" t="s">
        <v>141</v>
      </c>
      <c r="X33" s="137"/>
      <c r="Y33" s="137">
        <f>SUM(Y2:Y32)</f>
        <v>3028</v>
      </c>
      <c r="Z33" s="137"/>
      <c r="AA33" s="137">
        <f>SUM(AA2:AA32)</f>
        <v>75</v>
      </c>
      <c r="AB33" s="137"/>
      <c r="AC33" s="137">
        <f>SUM(AC2:AC32)</f>
        <v>0.30000000000000071</v>
      </c>
      <c r="AD33" s="137"/>
      <c r="AE33" s="137">
        <f>SUM(AE2:AE32)</f>
        <v>27</v>
      </c>
      <c r="AF33" s="137">
        <v>0</v>
      </c>
      <c r="AG33" s="137">
        <f>SUM(AG2:AG32)</f>
        <v>155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73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73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73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0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0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0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74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74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74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73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73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73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0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0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0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74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74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74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73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73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73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0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0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0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74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74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74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73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73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73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0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0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0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74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74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74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73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73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73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0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0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0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74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74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74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73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73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73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0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0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0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74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74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74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73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73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73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0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0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0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74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74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74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73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73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73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0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0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0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74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74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74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73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73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73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0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0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0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74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74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74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73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73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73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0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0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0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74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74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74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73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73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73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0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0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0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74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74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74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73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73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73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0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0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0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74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74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74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73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73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73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0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0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0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74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74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74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73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73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73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0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0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0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74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74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74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73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73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73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0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0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0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73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73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73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0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0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0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73">
        <v>23</v>
      </c>
      <c r="D49" s="61" t="s">
        <v>83</v>
      </c>
      <c r="E49" s="62"/>
      <c r="F49" s="76"/>
      <c r="G49" s="63">
        <f t="shared" si="4"/>
        <v>0</v>
      </c>
      <c r="H49" s="64"/>
      <c r="J49" s="173">
        <v>23</v>
      </c>
      <c r="K49" s="61" t="s">
        <v>83</v>
      </c>
      <c r="L49" s="76"/>
      <c r="M49" s="76"/>
      <c r="N49" s="63">
        <f t="shared" si="2"/>
        <v>0</v>
      </c>
      <c r="O49" s="64"/>
      <c r="Q49" s="173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0"/>
      <c r="D50" s="61" t="s">
        <v>82</v>
      </c>
      <c r="E50" s="62"/>
      <c r="F50" s="76"/>
      <c r="G50" s="63">
        <f t="shared" si="4"/>
        <v>0</v>
      </c>
      <c r="H50" s="64"/>
      <c r="J50" s="180"/>
      <c r="K50" s="61" t="s">
        <v>82</v>
      </c>
      <c r="L50" s="76"/>
      <c r="M50" s="76"/>
      <c r="N50" s="63">
        <f t="shared" si="2"/>
        <v>0</v>
      </c>
      <c r="O50" s="64"/>
      <c r="Q50" s="180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1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1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1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2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2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2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3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3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3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73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73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73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74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74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74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73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73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73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74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74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74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73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73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73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74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74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74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73">
        <v>28</v>
      </c>
      <c r="D62" s="175" t="s">
        <v>86</v>
      </c>
      <c r="E62" s="62"/>
      <c r="F62" s="62"/>
      <c r="G62" s="63"/>
      <c r="H62" s="177" t="s">
        <v>87</v>
      </c>
      <c r="I62" s="67"/>
      <c r="J62" s="173">
        <v>28</v>
      </c>
      <c r="K62" s="175" t="s">
        <v>86</v>
      </c>
      <c r="L62" s="62"/>
      <c r="M62" s="62"/>
      <c r="N62" s="63"/>
      <c r="O62" s="177" t="s">
        <v>87</v>
      </c>
      <c r="Q62" s="173">
        <v>28</v>
      </c>
      <c r="R62" s="175" t="s">
        <v>86</v>
      </c>
      <c r="S62" s="62"/>
      <c r="T62" s="62"/>
      <c r="U62" s="63">
        <f t="shared" si="3"/>
        <v>0</v>
      </c>
      <c r="V62" s="177" t="s">
        <v>87</v>
      </c>
    </row>
    <row r="63" spans="1:22" ht="15" x14ac:dyDescent="0.2">
      <c r="A63" s="67"/>
      <c r="B63" s="57"/>
      <c r="C63" s="174"/>
      <c r="D63" s="176"/>
      <c r="E63" s="62"/>
      <c r="F63" s="62"/>
      <c r="G63" s="63"/>
      <c r="H63" s="178"/>
      <c r="I63" s="67"/>
      <c r="J63" s="174"/>
      <c r="K63" s="176"/>
      <c r="L63" s="62"/>
      <c r="M63" s="62"/>
      <c r="N63" s="63"/>
      <c r="O63" s="178"/>
      <c r="Q63" s="174"/>
      <c r="R63" s="176"/>
      <c r="S63" s="62"/>
      <c r="T63" s="62"/>
      <c r="U63" s="63">
        <f t="shared" si="3"/>
        <v>0</v>
      </c>
      <c r="V63" s="178"/>
    </row>
    <row r="64" spans="1:22" x14ac:dyDescent="0.2">
      <c r="A64" s="67"/>
      <c r="B64" s="57"/>
      <c r="C64" s="179" t="s">
        <v>88</v>
      </c>
      <c r="D64" s="179"/>
      <c r="E64" s="179"/>
      <c r="F64" s="179"/>
      <c r="G64" s="81">
        <f>SUM(G2:G63)</f>
        <v>35162</v>
      </c>
      <c r="H64" s="82"/>
      <c r="I64" s="67"/>
      <c r="J64" s="179" t="s">
        <v>88</v>
      </c>
      <c r="K64" s="179"/>
      <c r="L64" s="179"/>
      <c r="M64" s="179"/>
      <c r="N64" s="81">
        <f>SUM(N2:N63)</f>
        <v>295061</v>
      </c>
      <c r="O64" s="82"/>
      <c r="Q64" s="179" t="s">
        <v>88</v>
      </c>
      <c r="R64" s="179"/>
      <c r="S64" s="179"/>
      <c r="T64" s="179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7">
        <v>44621</v>
      </c>
      <c r="C69" s="188"/>
      <c r="D69" s="188"/>
      <c r="E69" s="189"/>
      <c r="F69" s="85"/>
      <c r="G69" s="187">
        <v>44652</v>
      </c>
      <c r="H69" s="188"/>
      <c r="I69" s="188"/>
      <c r="J69" s="189"/>
      <c r="K69" s="85"/>
      <c r="L69" s="184" t="s">
        <v>25</v>
      </c>
      <c r="M69" s="185"/>
      <c r="N69" s="185"/>
      <c r="O69" s="186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-6890058</v>
      </c>
      <c r="D7" s="105">
        <f t="shared" si="0"/>
        <v>-8750373.6600000001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12855</v>
      </c>
      <c r="D8" s="105">
        <f t="shared" si="0"/>
        <v>16325.85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3032</v>
      </c>
      <c r="D9" s="105">
        <f t="shared" si="0"/>
        <v>3850.64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5440</v>
      </c>
      <c r="D10" s="105">
        <f t="shared" si="0"/>
        <v>6908.8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1212</v>
      </c>
      <c r="D11" s="105">
        <f t="shared" si="0"/>
        <v>1539.24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4005</v>
      </c>
      <c r="K16" s="94">
        <f>(J16-I16)*160</f>
        <v>1280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318121</v>
      </c>
      <c r="K17" s="94">
        <f>(J17-I17)</f>
        <v>1717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26205</v>
      </c>
      <c r="K18" s="94">
        <f>(J18-I18)*160</f>
        <v>5440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155578</v>
      </c>
      <c r="K19" s="94">
        <f>J19-I19</f>
        <v>1212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47138</v>
      </c>
      <c r="K21" s="94">
        <f>(J21-I21)*120</f>
        <v>6120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40673</v>
      </c>
      <c r="K22" s="94">
        <f>(J22-I22)*160</f>
        <v>5600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21727</v>
      </c>
      <c r="K23" s="94">
        <f>(J23-I23)*20</f>
        <v>800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255634</v>
      </c>
      <c r="K24" s="94">
        <f>J24-I24</f>
        <v>335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226071</v>
      </c>
      <c r="K25" s="94">
        <f>J25-I25</f>
        <v>35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2022-06-12T01:16:30Z</dcterms:modified>
</cp:coreProperties>
</file>