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esktop\Four Seasons Asia Pacific\Daily\"/>
    </mc:Choice>
  </mc:AlternateContent>
  <bookViews>
    <workbookView xWindow="0" yWindow="0" windowWidth="28800" windowHeight="12435"/>
  </bookViews>
  <sheets>
    <sheet name="TOTAL" sheetId="8" r:id="rId1"/>
    <sheet name="Total - FSH" sheetId="1" r:id="rId2"/>
    <sheet name="Total - FSP" sheetId="6" r:id="rId3"/>
    <sheet name="Athens Daily - EL" sheetId="3" r:id="rId4"/>
    <sheet name="Athens Daily - Water" sheetId="4" r:id="rId5"/>
    <sheet name="Athens Daily - Gas" sheetId="5" r:id="rId6"/>
    <sheet name="Submetering EL" sheetId="2" r:id="rId7"/>
    <sheet name="Submetering Water" sheetId="7" r:id="rId8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8" l="1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2" i="8"/>
  <c r="I31" i="1" l="1"/>
  <c r="N6" i="4" l="1"/>
  <c r="S6" i="4" s="1"/>
  <c r="L6" i="4"/>
  <c r="M6" i="4" s="1"/>
  <c r="J6" i="4"/>
  <c r="H6" i="4"/>
  <c r="F6" i="4"/>
  <c r="D6" i="4"/>
  <c r="R6" i="4" l="1"/>
  <c r="F36" i="4"/>
  <c r="H36" i="4"/>
  <c r="L36" i="4"/>
  <c r="M36" i="4" s="1"/>
  <c r="P36" i="4"/>
  <c r="D36" i="4"/>
  <c r="J36" i="4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F37" i="3"/>
  <c r="F36" i="3"/>
  <c r="F35" i="3"/>
  <c r="F34" i="3"/>
  <c r="F33" i="3"/>
  <c r="F32" i="3"/>
  <c r="F31" i="3"/>
  <c r="F30" i="3"/>
  <c r="F29" i="3"/>
  <c r="F28" i="3"/>
  <c r="F27" i="3"/>
  <c r="F26" i="3"/>
  <c r="F39" i="3" s="1"/>
  <c r="F25" i="3"/>
  <c r="H37" i="3"/>
  <c r="I37" i="3" s="1"/>
  <c r="H36" i="3"/>
  <c r="I36" i="3" s="1"/>
  <c r="H35" i="3"/>
  <c r="I35" i="3" s="1"/>
  <c r="H34" i="3"/>
  <c r="I34" i="3" s="1"/>
  <c r="H33" i="3"/>
  <c r="I33" i="3" s="1"/>
  <c r="H32" i="3"/>
  <c r="I32" i="3" s="1"/>
  <c r="H31" i="3"/>
  <c r="I31" i="3" s="1"/>
  <c r="H30" i="3"/>
  <c r="I30" i="3" s="1"/>
  <c r="H29" i="3"/>
  <c r="I29" i="3" s="1"/>
  <c r="H28" i="3"/>
  <c r="I28" i="3" s="1"/>
  <c r="H27" i="3"/>
  <c r="I27" i="3" s="1"/>
  <c r="H26" i="3"/>
  <c r="I26" i="3" s="1"/>
  <c r="H25" i="3"/>
  <c r="I25" i="3" s="1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O37" i="3"/>
  <c r="P37" i="3" s="1"/>
  <c r="O36" i="3"/>
  <c r="P36" i="3" s="1"/>
  <c r="O35" i="3"/>
  <c r="P35" i="3" s="1"/>
  <c r="O34" i="3"/>
  <c r="P34" i="3" s="1"/>
  <c r="O33" i="3"/>
  <c r="P33" i="3"/>
  <c r="O32" i="3"/>
  <c r="P32" i="3" s="1"/>
  <c r="O31" i="3"/>
  <c r="P31" i="3"/>
  <c r="O30" i="3"/>
  <c r="P30" i="3" s="1"/>
  <c r="O29" i="3"/>
  <c r="P29" i="3" s="1"/>
  <c r="O28" i="3"/>
  <c r="P28" i="3" s="1"/>
  <c r="O27" i="3"/>
  <c r="P27" i="3" s="1"/>
  <c r="O26" i="3"/>
  <c r="P26" i="3" s="1"/>
  <c r="O25" i="3"/>
  <c r="P25" i="3"/>
  <c r="R37" i="3"/>
  <c r="S37" i="3" s="1"/>
  <c r="R36" i="3"/>
  <c r="S36" i="3"/>
  <c r="R35" i="3"/>
  <c r="S35" i="3" s="1"/>
  <c r="R34" i="3"/>
  <c r="S34" i="3" s="1"/>
  <c r="R33" i="3"/>
  <c r="S33" i="3" s="1"/>
  <c r="R32" i="3"/>
  <c r="S32" i="3" s="1"/>
  <c r="R31" i="3"/>
  <c r="S31" i="3" s="1"/>
  <c r="R30" i="3"/>
  <c r="S30" i="3"/>
  <c r="R29" i="3"/>
  <c r="S29" i="3" s="1"/>
  <c r="R28" i="3"/>
  <c r="S28" i="3"/>
  <c r="R27" i="3"/>
  <c r="S27" i="3" s="1"/>
  <c r="R26" i="3"/>
  <c r="S26" i="3" s="1"/>
  <c r="R25" i="3"/>
  <c r="S25" i="3" s="1"/>
  <c r="U37" i="3"/>
  <c r="V37" i="3" s="1"/>
  <c r="U36" i="3"/>
  <c r="V36" i="3" s="1"/>
  <c r="U35" i="3"/>
  <c r="V35" i="3" s="1"/>
  <c r="U34" i="3"/>
  <c r="V34" i="3" s="1"/>
  <c r="U33" i="3"/>
  <c r="V33" i="3" s="1"/>
  <c r="U32" i="3"/>
  <c r="V32" i="3" s="1"/>
  <c r="U31" i="3"/>
  <c r="V31" i="3" s="1"/>
  <c r="U30" i="3"/>
  <c r="V30" i="3" s="1"/>
  <c r="U29" i="3"/>
  <c r="V29" i="3" s="1"/>
  <c r="U28" i="3"/>
  <c r="V28" i="3" s="1"/>
  <c r="U27" i="3"/>
  <c r="V27" i="3" s="1"/>
  <c r="U26" i="3"/>
  <c r="V26" i="3" s="1"/>
  <c r="U25" i="3"/>
  <c r="V25" i="3" s="1"/>
  <c r="X37" i="3"/>
  <c r="Y37" i="3" s="1"/>
  <c r="X36" i="3"/>
  <c r="Y36" i="3" s="1"/>
  <c r="X35" i="3"/>
  <c r="Y35" i="3" s="1"/>
  <c r="X34" i="3"/>
  <c r="Y34" i="3" s="1"/>
  <c r="X33" i="3"/>
  <c r="Y33" i="3" s="1"/>
  <c r="X32" i="3"/>
  <c r="Y32" i="3" s="1"/>
  <c r="X31" i="3"/>
  <c r="Y31" i="3" s="1"/>
  <c r="X30" i="3"/>
  <c r="Y30" i="3" s="1"/>
  <c r="X29" i="3"/>
  <c r="Y29" i="3" s="1"/>
  <c r="X28" i="3"/>
  <c r="Y28" i="3" s="1"/>
  <c r="X27" i="3"/>
  <c r="Y27" i="3" s="1"/>
  <c r="X26" i="3"/>
  <c r="Y26" i="3" s="1"/>
  <c r="X25" i="3"/>
  <c r="Y25" i="3" s="1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AE37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G37" i="3"/>
  <c r="AG36" i="3"/>
  <c r="AG35" i="3"/>
  <c r="AG34" i="3"/>
  <c r="AG33" i="3"/>
  <c r="AG32" i="3"/>
  <c r="AG31" i="3"/>
  <c r="AG30" i="3"/>
  <c r="AG29" i="3"/>
  <c r="AG28" i="3"/>
  <c r="AG27" i="3"/>
  <c r="AG26" i="3"/>
  <c r="AG25" i="3"/>
  <c r="AI37" i="3"/>
  <c r="AI36" i="3"/>
  <c r="AI35" i="3"/>
  <c r="AI34" i="3"/>
  <c r="AI33" i="3"/>
  <c r="AI32" i="3"/>
  <c r="AI31" i="3"/>
  <c r="AI30" i="3"/>
  <c r="AI29" i="3"/>
  <c r="AI28" i="3"/>
  <c r="AI27" i="3"/>
  <c r="AI26" i="3"/>
  <c r="AI25" i="3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I17" i="1" s="1"/>
  <c r="H21" i="4"/>
  <c r="H20" i="4"/>
  <c r="H19" i="4"/>
  <c r="H18" i="4"/>
  <c r="H17" i="4"/>
  <c r="I12" i="1" s="1"/>
  <c r="H16" i="4"/>
  <c r="H15" i="4"/>
  <c r="H14" i="4"/>
  <c r="I9" i="1" s="1"/>
  <c r="H13" i="4"/>
  <c r="H12" i="4"/>
  <c r="H11" i="4"/>
  <c r="H10" i="4"/>
  <c r="H9" i="4"/>
  <c r="H8" i="4"/>
  <c r="H7" i="4"/>
  <c r="P35" i="4"/>
  <c r="P34" i="4"/>
  <c r="P33" i="4"/>
  <c r="P32" i="4"/>
  <c r="P31" i="4"/>
  <c r="P30" i="4"/>
  <c r="P29" i="4"/>
  <c r="P28" i="4"/>
  <c r="P27" i="4"/>
  <c r="P26" i="4"/>
  <c r="P25" i="4"/>
  <c r="P24" i="4"/>
  <c r="L35" i="4"/>
  <c r="M35" i="4" s="1"/>
  <c r="L34" i="4"/>
  <c r="N34" i="4" s="1"/>
  <c r="L33" i="4"/>
  <c r="M33" i="4" s="1"/>
  <c r="L32" i="4"/>
  <c r="N32" i="4"/>
  <c r="L31" i="4"/>
  <c r="M31" i="4"/>
  <c r="L30" i="4"/>
  <c r="M30" i="4" s="1"/>
  <c r="L29" i="4"/>
  <c r="M29" i="4"/>
  <c r="L28" i="4"/>
  <c r="N28" i="4" s="1"/>
  <c r="L27" i="4"/>
  <c r="M27" i="4"/>
  <c r="L26" i="4"/>
  <c r="M26" i="4" s="1"/>
  <c r="L25" i="4"/>
  <c r="M25" i="4" s="1"/>
  <c r="L24" i="4"/>
  <c r="N24" i="4"/>
  <c r="S24" i="4"/>
  <c r="I19" i="6" s="1"/>
  <c r="F35" i="4"/>
  <c r="F34" i="4"/>
  <c r="I29" i="1" s="1"/>
  <c r="F33" i="4"/>
  <c r="F32" i="4"/>
  <c r="F31" i="4"/>
  <c r="F30" i="4"/>
  <c r="F29" i="4"/>
  <c r="F28" i="4"/>
  <c r="F27" i="4"/>
  <c r="F26" i="4"/>
  <c r="F25" i="4"/>
  <c r="F24" i="4"/>
  <c r="D35" i="4"/>
  <c r="I30" i="1" s="1"/>
  <c r="D34" i="4"/>
  <c r="D33" i="4"/>
  <c r="D32" i="4"/>
  <c r="D31" i="4"/>
  <c r="D30" i="4"/>
  <c r="D29" i="4"/>
  <c r="D28" i="4"/>
  <c r="D27" i="4"/>
  <c r="D26" i="4"/>
  <c r="D25" i="4"/>
  <c r="D24" i="4"/>
  <c r="M32" i="4"/>
  <c r="N29" i="4"/>
  <c r="V14" i="5"/>
  <c r="BF38" i="5"/>
  <c r="BF37" i="5"/>
  <c r="BF36" i="5"/>
  <c r="BF35" i="5"/>
  <c r="BF34" i="5"/>
  <c r="BF33" i="5"/>
  <c r="BF32" i="5"/>
  <c r="BF31" i="5"/>
  <c r="BF30" i="5"/>
  <c r="BF29" i="5"/>
  <c r="BF28" i="5"/>
  <c r="BF27" i="5"/>
  <c r="BF26" i="5"/>
  <c r="BF25" i="5"/>
  <c r="BF24" i="5"/>
  <c r="BF23" i="5"/>
  <c r="BF22" i="5"/>
  <c r="BF21" i="5"/>
  <c r="BF20" i="5"/>
  <c r="BF19" i="5"/>
  <c r="BF18" i="5"/>
  <c r="BF17" i="5"/>
  <c r="BF16" i="5"/>
  <c r="BF15" i="5"/>
  <c r="BF14" i="5"/>
  <c r="BF13" i="5"/>
  <c r="BF12" i="5"/>
  <c r="BF11" i="5"/>
  <c r="BF10" i="5"/>
  <c r="BF9" i="5"/>
  <c r="BD38" i="5"/>
  <c r="BD37" i="5"/>
  <c r="BD36" i="5"/>
  <c r="BD35" i="5"/>
  <c r="BD34" i="5"/>
  <c r="BD33" i="5"/>
  <c r="BD32" i="5"/>
  <c r="BD31" i="5"/>
  <c r="BD30" i="5"/>
  <c r="BD29" i="5"/>
  <c r="BD28" i="5"/>
  <c r="BD27" i="5"/>
  <c r="BD26" i="5"/>
  <c r="BD25" i="5"/>
  <c r="BD24" i="5"/>
  <c r="BD23" i="5"/>
  <c r="BD22" i="5"/>
  <c r="BD21" i="5"/>
  <c r="BD20" i="5"/>
  <c r="BD19" i="5"/>
  <c r="BD18" i="5"/>
  <c r="BD17" i="5"/>
  <c r="BD16" i="5"/>
  <c r="BD15" i="5"/>
  <c r="BD14" i="5"/>
  <c r="BD13" i="5"/>
  <c r="BD12" i="5"/>
  <c r="BD11" i="5"/>
  <c r="BD10" i="5"/>
  <c r="BD9" i="5"/>
  <c r="BB38" i="5"/>
  <c r="BB37" i="5"/>
  <c r="BB36" i="5"/>
  <c r="BB35" i="5"/>
  <c r="BB34" i="5"/>
  <c r="BB33" i="5"/>
  <c r="BB32" i="5"/>
  <c r="BB31" i="5"/>
  <c r="BB30" i="5"/>
  <c r="BB29" i="5"/>
  <c r="BB28" i="5"/>
  <c r="BB27" i="5"/>
  <c r="BB26" i="5"/>
  <c r="BB25" i="5"/>
  <c r="BB24" i="5"/>
  <c r="BB23" i="5"/>
  <c r="BB22" i="5"/>
  <c r="BB21" i="5"/>
  <c r="BB20" i="5"/>
  <c r="BB19" i="5"/>
  <c r="BB18" i="5"/>
  <c r="BB17" i="5"/>
  <c r="BB16" i="5"/>
  <c r="BB15" i="5"/>
  <c r="BB14" i="5"/>
  <c r="BB13" i="5"/>
  <c r="BB12" i="5"/>
  <c r="BB11" i="5"/>
  <c r="BB10" i="5"/>
  <c r="BB9" i="5"/>
  <c r="AZ38" i="5"/>
  <c r="AZ37" i="5"/>
  <c r="AZ36" i="5"/>
  <c r="AZ35" i="5"/>
  <c r="AZ34" i="5"/>
  <c r="AZ33" i="5"/>
  <c r="AZ32" i="5"/>
  <c r="AZ31" i="5"/>
  <c r="AZ30" i="5"/>
  <c r="AZ29" i="5"/>
  <c r="AZ28" i="5"/>
  <c r="AZ27" i="5"/>
  <c r="AZ26" i="5"/>
  <c r="AZ25" i="5"/>
  <c r="AZ24" i="5"/>
  <c r="AZ23" i="5"/>
  <c r="AZ22" i="5"/>
  <c r="AZ21" i="5"/>
  <c r="AZ20" i="5"/>
  <c r="AZ19" i="5"/>
  <c r="AZ18" i="5"/>
  <c r="AZ17" i="5"/>
  <c r="AZ16" i="5"/>
  <c r="AZ15" i="5"/>
  <c r="AZ14" i="5"/>
  <c r="AZ13" i="5"/>
  <c r="AZ12" i="5"/>
  <c r="AZ11" i="5"/>
  <c r="AZ10" i="5"/>
  <c r="AZ9" i="5"/>
  <c r="AJ38" i="5"/>
  <c r="AJ37" i="5"/>
  <c r="AJ36" i="5"/>
  <c r="AJ35" i="5"/>
  <c r="AJ34" i="5"/>
  <c r="AJ33" i="5"/>
  <c r="AJ32" i="5"/>
  <c r="AJ31" i="5"/>
  <c r="AJ30" i="5"/>
  <c r="AJ29" i="5"/>
  <c r="AJ28" i="5"/>
  <c r="AJ27" i="5"/>
  <c r="AJ26" i="5"/>
  <c r="AJ25" i="5"/>
  <c r="AJ24" i="5"/>
  <c r="AJ23" i="5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L38" i="5"/>
  <c r="AL37" i="5"/>
  <c r="AL36" i="5"/>
  <c r="AL35" i="5"/>
  <c r="AL34" i="5"/>
  <c r="AL33" i="5"/>
  <c r="AL32" i="5"/>
  <c r="AL31" i="5"/>
  <c r="AL30" i="5"/>
  <c r="AL29" i="5"/>
  <c r="AL28" i="5"/>
  <c r="AL27" i="5"/>
  <c r="AL26" i="5"/>
  <c r="AL25" i="5"/>
  <c r="AL24" i="5"/>
  <c r="AL23" i="5"/>
  <c r="AL22" i="5"/>
  <c r="AL21" i="5"/>
  <c r="AL20" i="5"/>
  <c r="AL19" i="5"/>
  <c r="AL18" i="5"/>
  <c r="AL17" i="5"/>
  <c r="AL16" i="5"/>
  <c r="AL15" i="5"/>
  <c r="AL14" i="5"/>
  <c r="AL13" i="5"/>
  <c r="AL12" i="5"/>
  <c r="AL11" i="5"/>
  <c r="AL10" i="5"/>
  <c r="AL9" i="5"/>
  <c r="AH38" i="5"/>
  <c r="AH37" i="5"/>
  <c r="AH36" i="5"/>
  <c r="AH35" i="5"/>
  <c r="AH34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15" i="5"/>
  <c r="AR14" i="5"/>
  <c r="AR13" i="5"/>
  <c r="AR12" i="5"/>
  <c r="AR11" i="5"/>
  <c r="AR10" i="5"/>
  <c r="AR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D38" i="5"/>
  <c r="F38" i="5" s="1"/>
  <c r="D37" i="5"/>
  <c r="E37" i="5" s="1"/>
  <c r="D36" i="5"/>
  <c r="E36" i="5" s="1"/>
  <c r="F36" i="5"/>
  <c r="D35" i="5"/>
  <c r="F35" i="5" s="1"/>
  <c r="D34" i="5"/>
  <c r="F34" i="5"/>
  <c r="D33" i="5"/>
  <c r="E33" i="5" s="1"/>
  <c r="D32" i="5"/>
  <c r="F32" i="5" s="1"/>
  <c r="D31" i="5"/>
  <c r="F31" i="5" s="1"/>
  <c r="D30" i="5"/>
  <c r="F30" i="5" s="1"/>
  <c r="D29" i="5"/>
  <c r="E29" i="5" s="1"/>
  <c r="D28" i="5"/>
  <c r="E28" i="5" s="1"/>
  <c r="F28" i="5"/>
  <c r="D27" i="5"/>
  <c r="E27" i="5" s="1"/>
  <c r="D26" i="5"/>
  <c r="F26" i="5" s="1"/>
  <c r="D25" i="5"/>
  <c r="E25" i="5" s="1"/>
  <c r="F25" i="5"/>
  <c r="D24" i="5"/>
  <c r="F24" i="5" s="1"/>
  <c r="BI24" i="5" s="1"/>
  <c r="G17" i="6" s="1"/>
  <c r="D23" i="5"/>
  <c r="F23" i="5"/>
  <c r="D22" i="5"/>
  <c r="F22" i="5" s="1"/>
  <c r="D21" i="5"/>
  <c r="F21" i="5"/>
  <c r="D20" i="5"/>
  <c r="F20" i="5" s="1"/>
  <c r="D19" i="5"/>
  <c r="F19" i="5"/>
  <c r="D18" i="5"/>
  <c r="F18" i="5" s="1"/>
  <c r="D17" i="5"/>
  <c r="F17" i="5"/>
  <c r="D16" i="5"/>
  <c r="F16" i="5" s="1"/>
  <c r="BI16" i="5" s="1"/>
  <c r="G9" i="6" s="1"/>
  <c r="D15" i="5"/>
  <c r="E15" i="5" s="1"/>
  <c r="F15" i="5"/>
  <c r="D14" i="5"/>
  <c r="F14" i="5" s="1"/>
  <c r="D13" i="5"/>
  <c r="E13" i="5" s="1"/>
  <c r="F13" i="5"/>
  <c r="D12" i="5"/>
  <c r="F12" i="5" s="1"/>
  <c r="D11" i="5"/>
  <c r="F11" i="5"/>
  <c r="D10" i="5"/>
  <c r="F10" i="5" s="1"/>
  <c r="D9" i="5"/>
  <c r="E9" i="5" s="1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AX38" i="5"/>
  <c r="AX37" i="5"/>
  <c r="AX36" i="5"/>
  <c r="AX35" i="5"/>
  <c r="AX34" i="5"/>
  <c r="AX33" i="5"/>
  <c r="AX32" i="5"/>
  <c r="AX31" i="5"/>
  <c r="AX30" i="5"/>
  <c r="AX29" i="5"/>
  <c r="AX28" i="5"/>
  <c r="AX27" i="5"/>
  <c r="AX26" i="5"/>
  <c r="AX25" i="5"/>
  <c r="AX24" i="5"/>
  <c r="AX23" i="5"/>
  <c r="AX22" i="5"/>
  <c r="AX21" i="5"/>
  <c r="AX20" i="5"/>
  <c r="AX19" i="5"/>
  <c r="AX18" i="5"/>
  <c r="AX17" i="5"/>
  <c r="AX16" i="5"/>
  <c r="AX15" i="5"/>
  <c r="AX14" i="5"/>
  <c r="AX13" i="5"/>
  <c r="AX12" i="5"/>
  <c r="AX11" i="5"/>
  <c r="AX10" i="5"/>
  <c r="AX9" i="5"/>
  <c r="AV38" i="5"/>
  <c r="AV37" i="5"/>
  <c r="AV36" i="5"/>
  <c r="AV35" i="5"/>
  <c r="AV34" i="5"/>
  <c r="AV33" i="5"/>
  <c r="AV32" i="5"/>
  <c r="AV31" i="5"/>
  <c r="AV30" i="5"/>
  <c r="AV29" i="5"/>
  <c r="AV28" i="5"/>
  <c r="AV27" i="5"/>
  <c r="AV26" i="5"/>
  <c r="AV25" i="5"/>
  <c r="AV24" i="5"/>
  <c r="AV23" i="5"/>
  <c r="AV22" i="5"/>
  <c r="AV21" i="5"/>
  <c r="AV20" i="5"/>
  <c r="AV19" i="5"/>
  <c r="AV18" i="5"/>
  <c r="AV17" i="5"/>
  <c r="AV16" i="5"/>
  <c r="AV15" i="5"/>
  <c r="AV14" i="5"/>
  <c r="AV13" i="5"/>
  <c r="AV12" i="5"/>
  <c r="AV11" i="5"/>
  <c r="AV10" i="5"/>
  <c r="AV9" i="5"/>
  <c r="AT38" i="5"/>
  <c r="AT37" i="5"/>
  <c r="AT36" i="5"/>
  <c r="AT35" i="5"/>
  <c r="AT34" i="5"/>
  <c r="AT33" i="5"/>
  <c r="AT32" i="5"/>
  <c r="AT31" i="5"/>
  <c r="AT30" i="5"/>
  <c r="AT29" i="5"/>
  <c r="AT28" i="5"/>
  <c r="AT27" i="5"/>
  <c r="AT26" i="5"/>
  <c r="AT25" i="5"/>
  <c r="AT24" i="5"/>
  <c r="AT23" i="5"/>
  <c r="AT22" i="5"/>
  <c r="AT21" i="5"/>
  <c r="AT20" i="5"/>
  <c r="AT19" i="5"/>
  <c r="AT18" i="5"/>
  <c r="AT17" i="5"/>
  <c r="AT16" i="5"/>
  <c r="AT15" i="5"/>
  <c r="AT14" i="5"/>
  <c r="AT13" i="5"/>
  <c r="AT12" i="5"/>
  <c r="AT11" i="5"/>
  <c r="AT10" i="5"/>
  <c r="AT9" i="5"/>
  <c r="AP38" i="5"/>
  <c r="AP37" i="5"/>
  <c r="AP36" i="5"/>
  <c r="AP35" i="5"/>
  <c r="AP34" i="5"/>
  <c r="AP33" i="5"/>
  <c r="AP32" i="5"/>
  <c r="AP31" i="5"/>
  <c r="AP30" i="5"/>
  <c r="AP29" i="5"/>
  <c r="AP28" i="5"/>
  <c r="AP27" i="5"/>
  <c r="AP26" i="5"/>
  <c r="AP25" i="5"/>
  <c r="AP24" i="5"/>
  <c r="AP23" i="5"/>
  <c r="AP22" i="5"/>
  <c r="AP21" i="5"/>
  <c r="AP20" i="5"/>
  <c r="AP19" i="5"/>
  <c r="AP18" i="5"/>
  <c r="AP17" i="5"/>
  <c r="AP16" i="5"/>
  <c r="AP15" i="5"/>
  <c r="AP14" i="5"/>
  <c r="AP13" i="5"/>
  <c r="AP12" i="5"/>
  <c r="AP11" i="5"/>
  <c r="BI11" i="5" s="1"/>
  <c r="G4" i="6" s="1"/>
  <c r="AP10" i="5"/>
  <c r="AP9" i="5"/>
  <c r="AN38" i="5"/>
  <c r="AN37" i="5"/>
  <c r="AN36" i="5"/>
  <c r="AN35" i="5"/>
  <c r="AN34" i="5"/>
  <c r="AN33" i="5"/>
  <c r="AN32" i="5"/>
  <c r="AN31" i="5"/>
  <c r="AN30" i="5"/>
  <c r="AN29" i="5"/>
  <c r="AN28" i="5"/>
  <c r="AN27" i="5"/>
  <c r="AN26" i="5"/>
  <c r="AN25" i="5"/>
  <c r="AN24" i="5"/>
  <c r="AN23" i="5"/>
  <c r="AN22" i="5"/>
  <c r="AN21" i="5"/>
  <c r="BI21" i="5" s="1"/>
  <c r="G14" i="6" s="1"/>
  <c r="AN20" i="5"/>
  <c r="AN19" i="5"/>
  <c r="AN18" i="5"/>
  <c r="AN17" i="5"/>
  <c r="AN16" i="5"/>
  <c r="AN15" i="5"/>
  <c r="AN14" i="5"/>
  <c r="AN13" i="5"/>
  <c r="BI13" i="5" s="1"/>
  <c r="G6" i="6" s="1"/>
  <c r="AN12" i="5"/>
  <c r="AN11" i="5"/>
  <c r="AN10" i="5"/>
  <c r="AN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AB38" i="5"/>
  <c r="AB37" i="5"/>
  <c r="AB36" i="5"/>
  <c r="AB35" i="5"/>
  <c r="AB34" i="5"/>
  <c r="AB33" i="5"/>
  <c r="AB32" i="5"/>
  <c r="AB31" i="5"/>
  <c r="AB30" i="5"/>
  <c r="AB29" i="5"/>
  <c r="AB28" i="5"/>
  <c r="AB27" i="5"/>
  <c r="AB26" i="5"/>
  <c r="AB25" i="5"/>
  <c r="AB24" i="5"/>
  <c r="AB23" i="5"/>
  <c r="AB22" i="5"/>
  <c r="AB21" i="5"/>
  <c r="AB20" i="5"/>
  <c r="AB19" i="5"/>
  <c r="AB18" i="5"/>
  <c r="AB17" i="5"/>
  <c r="AB16" i="5"/>
  <c r="AB15" i="5"/>
  <c r="AB14" i="5"/>
  <c r="AB13" i="5"/>
  <c r="AB12" i="5"/>
  <c r="AB11" i="5"/>
  <c r="AB10" i="5"/>
  <c r="AB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3" i="5"/>
  <c r="V12" i="5"/>
  <c r="V11" i="5"/>
  <c r="V10" i="5"/>
  <c r="V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AF38" i="5"/>
  <c r="AF37" i="5"/>
  <c r="AF36" i="5"/>
  <c r="AF35" i="5"/>
  <c r="AF34" i="5"/>
  <c r="AF33" i="5"/>
  <c r="AF32" i="5"/>
  <c r="AF31" i="5"/>
  <c r="AF30" i="5"/>
  <c r="AF29" i="5"/>
  <c r="AF28" i="5"/>
  <c r="AF27" i="5"/>
  <c r="AF26" i="5"/>
  <c r="AF25" i="5"/>
  <c r="AF24" i="5"/>
  <c r="AF23" i="5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D38" i="5"/>
  <c r="AD37" i="5"/>
  <c r="AD36" i="5"/>
  <c r="AD35" i="5"/>
  <c r="AD34" i="5"/>
  <c r="BH34" i="5" s="1"/>
  <c r="G27" i="1" s="1"/>
  <c r="AD33" i="5"/>
  <c r="AD32" i="5"/>
  <c r="AD31" i="5"/>
  <c r="AD30" i="5"/>
  <c r="AD29" i="5"/>
  <c r="AD28" i="5"/>
  <c r="AD27" i="5"/>
  <c r="AD26" i="5"/>
  <c r="AD25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P23" i="4"/>
  <c r="S23" i="4" s="1"/>
  <c r="I18" i="6" s="1"/>
  <c r="L23" i="4"/>
  <c r="N23" i="4"/>
  <c r="F23" i="4"/>
  <c r="D23" i="4"/>
  <c r="P22" i="4"/>
  <c r="S22" i="4" s="1"/>
  <c r="I17" i="6" s="1"/>
  <c r="L22" i="4"/>
  <c r="F22" i="4"/>
  <c r="D22" i="4"/>
  <c r="P21" i="4"/>
  <c r="L21" i="4"/>
  <c r="N21" i="4" s="1"/>
  <c r="F21" i="4"/>
  <c r="D21" i="4"/>
  <c r="P20" i="4"/>
  <c r="L20" i="4"/>
  <c r="M20" i="4" s="1"/>
  <c r="F20" i="4"/>
  <c r="D20" i="4"/>
  <c r="P19" i="4"/>
  <c r="L19" i="4"/>
  <c r="N19" i="4" s="1"/>
  <c r="F19" i="4"/>
  <c r="I14" i="1" s="1"/>
  <c r="D19" i="4"/>
  <c r="P18" i="4"/>
  <c r="L18" i="4"/>
  <c r="M18" i="4" s="1"/>
  <c r="F18" i="4"/>
  <c r="D18" i="4"/>
  <c r="P17" i="4"/>
  <c r="L17" i="4"/>
  <c r="M17" i="4" s="1"/>
  <c r="N17" i="4"/>
  <c r="F17" i="4"/>
  <c r="D17" i="4"/>
  <c r="P16" i="4"/>
  <c r="L16" i="4"/>
  <c r="F16" i="4"/>
  <c r="I11" i="1" s="1"/>
  <c r="D16" i="4"/>
  <c r="P15" i="4"/>
  <c r="L15" i="4"/>
  <c r="N15" i="4"/>
  <c r="S15" i="4"/>
  <c r="I10" i="6" s="1"/>
  <c r="F15" i="4"/>
  <c r="D15" i="4"/>
  <c r="P14" i="4"/>
  <c r="S14" i="4" s="1"/>
  <c r="I9" i="6" s="1"/>
  <c r="L14" i="4"/>
  <c r="F14" i="4"/>
  <c r="D14" i="4"/>
  <c r="P13" i="4"/>
  <c r="L13" i="4"/>
  <c r="N13" i="4"/>
  <c r="F13" i="4"/>
  <c r="D13" i="4"/>
  <c r="P12" i="4"/>
  <c r="L12" i="4"/>
  <c r="M12" i="4" s="1"/>
  <c r="F12" i="4"/>
  <c r="D12" i="4"/>
  <c r="P11" i="4"/>
  <c r="L11" i="4"/>
  <c r="N11" i="4" s="1"/>
  <c r="F11" i="4"/>
  <c r="I6" i="1" s="1"/>
  <c r="D11" i="4"/>
  <c r="P10" i="4"/>
  <c r="L10" i="4"/>
  <c r="M10" i="4" s="1"/>
  <c r="F10" i="4"/>
  <c r="D10" i="4"/>
  <c r="P9" i="4"/>
  <c r="L9" i="4"/>
  <c r="M9" i="4" s="1"/>
  <c r="N9" i="4"/>
  <c r="S9" i="4" s="1"/>
  <c r="I4" i="6" s="1"/>
  <c r="F9" i="4"/>
  <c r="D9" i="4"/>
  <c r="P8" i="4"/>
  <c r="L8" i="4"/>
  <c r="F8" i="4"/>
  <c r="R8" i="4" s="1"/>
  <c r="D8" i="4"/>
  <c r="P7" i="4"/>
  <c r="L7" i="4"/>
  <c r="N7" i="4" s="1"/>
  <c r="S7" i="4" s="1"/>
  <c r="I2" i="6" s="1"/>
  <c r="F7" i="4"/>
  <c r="R7" i="4" s="1"/>
  <c r="D7" i="4"/>
  <c r="N27" i="4"/>
  <c r="M28" i="4"/>
  <c r="I19" i="1"/>
  <c r="I23" i="1"/>
  <c r="I3" i="1"/>
  <c r="I7" i="1"/>
  <c r="I15" i="1"/>
  <c r="N31" i="4"/>
  <c r="S31" i="4"/>
  <c r="I26" i="6" s="1"/>
  <c r="M8" i="4"/>
  <c r="N8" i="4"/>
  <c r="S8" i="4"/>
  <c r="I3" i="6" s="1"/>
  <c r="M14" i="4"/>
  <c r="N14" i="4"/>
  <c r="M16" i="4"/>
  <c r="N16" i="4"/>
  <c r="S16" i="4"/>
  <c r="I11" i="6"/>
  <c r="M22" i="4"/>
  <c r="N22" i="4"/>
  <c r="I10" i="1"/>
  <c r="I18" i="1"/>
  <c r="M24" i="4"/>
  <c r="M13" i="4"/>
  <c r="M15" i="4"/>
  <c r="M21" i="4"/>
  <c r="M23" i="4"/>
  <c r="M7" i="4"/>
  <c r="E23" i="5"/>
  <c r="E11" i="5"/>
  <c r="E19" i="5"/>
  <c r="E35" i="5"/>
  <c r="E17" i="5"/>
  <c r="BH17" i="5" s="1"/>
  <c r="G10" i="1" s="1"/>
  <c r="E21" i="5"/>
  <c r="F29" i="5"/>
  <c r="F33" i="5"/>
  <c r="F37" i="5"/>
  <c r="E10" i="5"/>
  <c r="E12" i="5"/>
  <c r="E14" i="5"/>
  <c r="E16" i="5"/>
  <c r="E18" i="5"/>
  <c r="E20" i="5"/>
  <c r="E22" i="5"/>
  <c r="E24" i="5"/>
  <c r="E26" i="5"/>
  <c r="E32" i="5"/>
  <c r="E34" i="5"/>
  <c r="U24" i="3"/>
  <c r="V24" i="3" s="1"/>
  <c r="U23" i="3"/>
  <c r="V23" i="3"/>
  <c r="U22" i="3"/>
  <c r="V22" i="3" s="1"/>
  <c r="U21" i="3"/>
  <c r="V21" i="3"/>
  <c r="U20" i="3"/>
  <c r="V20" i="3" s="1"/>
  <c r="U19" i="3"/>
  <c r="V19" i="3"/>
  <c r="U18" i="3"/>
  <c r="V18" i="3" s="1"/>
  <c r="U17" i="3"/>
  <c r="V17" i="3"/>
  <c r="U16" i="3"/>
  <c r="V16" i="3" s="1"/>
  <c r="U15" i="3"/>
  <c r="V15" i="3"/>
  <c r="U14" i="3"/>
  <c r="V14" i="3" s="1"/>
  <c r="U13" i="3"/>
  <c r="V13" i="3"/>
  <c r="U12" i="3"/>
  <c r="V12" i="3" s="1"/>
  <c r="U11" i="3"/>
  <c r="V11" i="3"/>
  <c r="U10" i="3"/>
  <c r="V10" i="3" s="1"/>
  <c r="U9" i="3"/>
  <c r="V9" i="3"/>
  <c r="U8" i="3"/>
  <c r="V8" i="3" s="1"/>
  <c r="R24" i="3"/>
  <c r="S24" i="3"/>
  <c r="R23" i="3"/>
  <c r="S23" i="3" s="1"/>
  <c r="R22" i="3"/>
  <c r="S22" i="3"/>
  <c r="R21" i="3"/>
  <c r="S21" i="3" s="1"/>
  <c r="R20" i="3"/>
  <c r="S20" i="3"/>
  <c r="R19" i="3"/>
  <c r="S19" i="3" s="1"/>
  <c r="R18" i="3"/>
  <c r="S18" i="3"/>
  <c r="R17" i="3"/>
  <c r="S17" i="3" s="1"/>
  <c r="R16" i="3"/>
  <c r="S16" i="3"/>
  <c r="R15" i="3"/>
  <c r="S15" i="3" s="1"/>
  <c r="R14" i="3"/>
  <c r="S14" i="3"/>
  <c r="R13" i="3"/>
  <c r="S13" i="3" s="1"/>
  <c r="R12" i="3"/>
  <c r="S12" i="3"/>
  <c r="R11" i="3"/>
  <c r="S11" i="3" s="1"/>
  <c r="R10" i="3"/>
  <c r="R9" i="3"/>
  <c r="S9" i="3" s="1"/>
  <c r="R8" i="3"/>
  <c r="S8" i="3"/>
  <c r="O24" i="3"/>
  <c r="P24" i="3" s="1"/>
  <c r="O23" i="3"/>
  <c r="P23" i="3"/>
  <c r="O22" i="3"/>
  <c r="P22" i="3" s="1"/>
  <c r="O21" i="3"/>
  <c r="P21" i="3"/>
  <c r="O20" i="3"/>
  <c r="P20" i="3" s="1"/>
  <c r="O19" i="3"/>
  <c r="P19" i="3"/>
  <c r="O18" i="3"/>
  <c r="P18" i="3" s="1"/>
  <c r="O17" i="3"/>
  <c r="P17" i="3"/>
  <c r="O16" i="3"/>
  <c r="P16" i="3" s="1"/>
  <c r="O15" i="3"/>
  <c r="P15" i="3"/>
  <c r="O14" i="3"/>
  <c r="P14" i="3" s="1"/>
  <c r="O13" i="3"/>
  <c r="P13" i="3"/>
  <c r="O12" i="3"/>
  <c r="P12" i="3" s="1"/>
  <c r="O11" i="3"/>
  <c r="P11" i="3"/>
  <c r="O10" i="3"/>
  <c r="P10" i="3" s="1"/>
  <c r="O9" i="3"/>
  <c r="P9" i="3"/>
  <c r="O8" i="3"/>
  <c r="P8" i="3" s="1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H24" i="3"/>
  <c r="I24" i="3" s="1"/>
  <c r="H23" i="3"/>
  <c r="I23" i="3"/>
  <c r="H22" i="3"/>
  <c r="I22" i="3" s="1"/>
  <c r="H21" i="3"/>
  <c r="I21" i="3"/>
  <c r="H20" i="3"/>
  <c r="I20" i="3" s="1"/>
  <c r="H19" i="3"/>
  <c r="I19" i="3"/>
  <c r="H18" i="3"/>
  <c r="I18" i="3" s="1"/>
  <c r="H17" i="3"/>
  <c r="I17" i="3"/>
  <c r="H16" i="3"/>
  <c r="I16" i="3" s="1"/>
  <c r="H15" i="3"/>
  <c r="I15" i="3"/>
  <c r="H14" i="3"/>
  <c r="I14" i="3" s="1"/>
  <c r="H13" i="3"/>
  <c r="I13" i="3"/>
  <c r="H12" i="3"/>
  <c r="I12" i="3" s="1"/>
  <c r="H11" i="3"/>
  <c r="I11" i="3"/>
  <c r="H10" i="3"/>
  <c r="I10" i="3" s="1"/>
  <c r="H9" i="3"/>
  <c r="I9" i="3"/>
  <c r="H8" i="3"/>
  <c r="I8" i="3" s="1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X8" i="3"/>
  <c r="Y8" i="3"/>
  <c r="D8" i="3"/>
  <c r="AI24" i="3"/>
  <c r="AI23" i="3"/>
  <c r="AI22" i="3"/>
  <c r="AI21" i="3"/>
  <c r="AI20" i="3"/>
  <c r="AI19" i="3"/>
  <c r="AI18" i="3"/>
  <c r="AI17" i="3"/>
  <c r="AI16" i="3"/>
  <c r="AI15" i="3"/>
  <c r="AI14" i="3"/>
  <c r="AI13" i="3"/>
  <c r="AI12" i="3"/>
  <c r="AI11" i="3"/>
  <c r="AI10" i="3"/>
  <c r="AI9" i="3"/>
  <c r="AI8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10" i="3"/>
  <c r="AE9" i="3"/>
  <c r="AE8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X24" i="3"/>
  <c r="Y24" i="3"/>
  <c r="X23" i="3"/>
  <c r="Y23" i="3" s="1"/>
  <c r="X22" i="3"/>
  <c r="Y22" i="3"/>
  <c r="X21" i="3"/>
  <c r="Y21" i="3" s="1"/>
  <c r="X20" i="3"/>
  <c r="Y20" i="3"/>
  <c r="X19" i="3"/>
  <c r="Y19" i="3" s="1"/>
  <c r="X18" i="3"/>
  <c r="Y18" i="3"/>
  <c r="X17" i="3"/>
  <c r="Y17" i="3" s="1"/>
  <c r="X16" i="3"/>
  <c r="Y16" i="3"/>
  <c r="X15" i="3"/>
  <c r="Y15" i="3" s="1"/>
  <c r="X14" i="3"/>
  <c r="Y14" i="3"/>
  <c r="X13" i="3"/>
  <c r="Y13" i="3" s="1"/>
  <c r="X12" i="3"/>
  <c r="Y12" i="3"/>
  <c r="X11" i="3"/>
  <c r="Y11" i="3" s="1"/>
  <c r="X10" i="3"/>
  <c r="Y10" i="3"/>
  <c r="X9" i="3"/>
  <c r="Y9" i="3" s="1"/>
  <c r="S10" i="3"/>
  <c r="I3" i="8" l="1"/>
  <c r="I2" i="1"/>
  <c r="E31" i="5"/>
  <c r="E38" i="5"/>
  <c r="E30" i="5"/>
  <c r="BH30" i="5"/>
  <c r="G23" i="1" s="1"/>
  <c r="BI29" i="5"/>
  <c r="G22" i="6" s="1"/>
  <c r="BI37" i="5"/>
  <c r="G30" i="6" s="1"/>
  <c r="S28" i="4"/>
  <c r="I23" i="6" s="1"/>
  <c r="S29" i="4"/>
  <c r="I24" i="6" s="1"/>
  <c r="S32" i="4"/>
  <c r="I27" i="6" s="1"/>
  <c r="I31" i="6"/>
  <c r="N36" i="4"/>
  <c r="M34" i="4"/>
  <c r="N30" i="4"/>
  <c r="S30" i="4" s="1"/>
  <c r="I25" i="6" s="1"/>
  <c r="I24" i="1"/>
  <c r="I28" i="1"/>
  <c r="I26" i="1"/>
  <c r="I25" i="1"/>
  <c r="I27" i="1"/>
  <c r="AI39" i="3"/>
  <c r="O39" i="3"/>
  <c r="BI19" i="5"/>
  <c r="G12" i="6" s="1"/>
  <c r="AA39" i="3"/>
  <c r="M39" i="3"/>
  <c r="S27" i="4"/>
  <c r="I22" i="6" s="1"/>
  <c r="N26" i="4"/>
  <c r="S26" i="4" s="1"/>
  <c r="I21" i="6" s="1"/>
  <c r="I20" i="1"/>
  <c r="I21" i="1"/>
  <c r="S11" i="4"/>
  <c r="I6" i="6" s="1"/>
  <c r="BH36" i="5"/>
  <c r="G29" i="1" s="1"/>
  <c r="BI32" i="5"/>
  <c r="G25" i="6" s="1"/>
  <c r="BI36" i="5"/>
  <c r="G29" i="6" s="1"/>
  <c r="BI30" i="5"/>
  <c r="G23" i="6" s="1"/>
  <c r="BH33" i="5"/>
  <c r="G26" i="1" s="1"/>
  <c r="BI33" i="5"/>
  <c r="G26" i="6" s="1"/>
  <c r="F27" i="5"/>
  <c r="BI27" i="5" s="1"/>
  <c r="G20" i="6" s="1"/>
  <c r="BH28" i="5"/>
  <c r="G21" i="1" s="1"/>
  <c r="BH38" i="5"/>
  <c r="G31" i="1" s="1"/>
  <c r="BH29" i="5"/>
  <c r="G22" i="1" s="1"/>
  <c r="BH37" i="5"/>
  <c r="G30" i="1" s="1"/>
  <c r="BH31" i="5"/>
  <c r="G24" i="1" s="1"/>
  <c r="BH35" i="5"/>
  <c r="G28" i="1" s="1"/>
  <c r="BH32" i="5"/>
  <c r="G25" i="1" s="1"/>
  <c r="BI38" i="5"/>
  <c r="G31" i="6" s="1"/>
  <c r="BI34" i="5"/>
  <c r="G27" i="6" s="1"/>
  <c r="BI31" i="5"/>
  <c r="G24" i="6" s="1"/>
  <c r="BI35" i="5"/>
  <c r="G28" i="6" s="1"/>
  <c r="BI28" i="5"/>
  <c r="G21" i="6" s="1"/>
  <c r="BI14" i="5"/>
  <c r="G7" i="6" s="1"/>
  <c r="BI17" i="5"/>
  <c r="G10" i="6" s="1"/>
  <c r="BI25" i="5"/>
  <c r="G18" i="6" s="1"/>
  <c r="BI12" i="5"/>
  <c r="G5" i="6" s="1"/>
  <c r="BI15" i="5"/>
  <c r="G8" i="6" s="1"/>
  <c r="BI20" i="5"/>
  <c r="G13" i="6" s="1"/>
  <c r="BI23" i="5"/>
  <c r="G16" i="6" s="1"/>
  <c r="BI22" i="5"/>
  <c r="G15" i="6" s="1"/>
  <c r="BI10" i="5"/>
  <c r="G3" i="6" s="1"/>
  <c r="BI18" i="5"/>
  <c r="G11" i="6" s="1"/>
  <c r="BI26" i="5"/>
  <c r="G19" i="6" s="1"/>
  <c r="BH10" i="5"/>
  <c r="G3" i="1" s="1"/>
  <c r="BH22" i="5"/>
  <c r="G15" i="1" s="1"/>
  <c r="BH26" i="5"/>
  <c r="G19" i="1" s="1"/>
  <c r="BH18" i="5"/>
  <c r="G11" i="1" s="1"/>
  <c r="BH14" i="5"/>
  <c r="G7" i="1" s="1"/>
  <c r="BH13" i="5"/>
  <c r="G6" i="1" s="1"/>
  <c r="BH21" i="5"/>
  <c r="G14" i="1" s="1"/>
  <c r="BH12" i="5"/>
  <c r="G5" i="1" s="1"/>
  <c r="BH20" i="5"/>
  <c r="G13" i="1" s="1"/>
  <c r="BH23" i="5"/>
  <c r="G16" i="1" s="1"/>
  <c r="BH19" i="5"/>
  <c r="G12" i="1" s="1"/>
  <c r="BH16" i="5"/>
  <c r="G9" i="1" s="1"/>
  <c r="BH11" i="5"/>
  <c r="G4" i="1" s="1"/>
  <c r="BH24" i="5"/>
  <c r="G17" i="1" s="1"/>
  <c r="BH27" i="5"/>
  <c r="G20" i="1" s="1"/>
  <c r="BH9" i="5"/>
  <c r="G2" i="1" s="1"/>
  <c r="BH25" i="5"/>
  <c r="G18" i="1" s="1"/>
  <c r="BH15" i="5"/>
  <c r="G8" i="1" s="1"/>
  <c r="F9" i="5"/>
  <c r="BI9" i="5" s="1"/>
  <c r="G2" i="6" s="1"/>
  <c r="J38" i="4"/>
  <c r="I22" i="1"/>
  <c r="H38" i="4"/>
  <c r="D38" i="4"/>
  <c r="N35" i="4"/>
  <c r="S35" i="4" s="1"/>
  <c r="I30" i="6" s="1"/>
  <c r="S34" i="4"/>
  <c r="I29" i="6" s="1"/>
  <c r="S36" i="4"/>
  <c r="N33" i="4"/>
  <c r="S33" i="4" s="1"/>
  <c r="I28" i="6" s="1"/>
  <c r="P38" i="4"/>
  <c r="S13" i="4"/>
  <c r="I8" i="6" s="1"/>
  <c r="S17" i="4"/>
  <c r="I12" i="6" s="1"/>
  <c r="S19" i="4"/>
  <c r="I14" i="6" s="1"/>
  <c r="S21" i="4"/>
  <c r="I16" i="6" s="1"/>
  <c r="M19" i="4"/>
  <c r="M11" i="4"/>
  <c r="N20" i="4"/>
  <c r="S20" i="4" s="1"/>
  <c r="I15" i="6" s="1"/>
  <c r="N18" i="4"/>
  <c r="S18" i="4" s="1"/>
  <c r="I13" i="6" s="1"/>
  <c r="N12" i="4"/>
  <c r="S12" i="4" s="1"/>
  <c r="I7" i="6" s="1"/>
  <c r="N10" i="4"/>
  <c r="S10" i="4" s="1"/>
  <c r="I5" i="6" s="1"/>
  <c r="N25" i="4"/>
  <c r="S25" i="4" s="1"/>
  <c r="I20" i="6" s="1"/>
  <c r="I4" i="1"/>
  <c r="I8" i="1"/>
  <c r="I16" i="1"/>
  <c r="I5" i="1"/>
  <c r="I13" i="1"/>
  <c r="F38" i="4"/>
  <c r="L38" i="4"/>
  <c r="AL30" i="3"/>
  <c r="E24" i="6" s="1"/>
  <c r="AL35" i="3"/>
  <c r="E29" i="6" s="1"/>
  <c r="AL28" i="3"/>
  <c r="E22" i="6" s="1"/>
  <c r="AL34" i="3"/>
  <c r="E28" i="6" s="1"/>
  <c r="AL33" i="3"/>
  <c r="E27" i="6" s="1"/>
  <c r="AL32" i="3"/>
  <c r="E26" i="6" s="1"/>
  <c r="AK29" i="3"/>
  <c r="E23" i="1" s="1"/>
  <c r="AK33" i="3"/>
  <c r="E27" i="1" s="1"/>
  <c r="AK37" i="3"/>
  <c r="E31" i="1" s="1"/>
  <c r="AL26" i="3"/>
  <c r="E20" i="6" s="1"/>
  <c r="AL29" i="3"/>
  <c r="E23" i="6" s="1"/>
  <c r="AL37" i="3"/>
  <c r="E31" i="6" s="1"/>
  <c r="AL31" i="3"/>
  <c r="E25" i="6" s="1"/>
  <c r="AL36" i="3"/>
  <c r="E30" i="6" s="1"/>
  <c r="AC39" i="3"/>
  <c r="AL27" i="3"/>
  <c r="E21" i="6" s="1"/>
  <c r="AG39" i="3"/>
  <c r="AE39" i="3"/>
  <c r="X39" i="3"/>
  <c r="AL9" i="3"/>
  <c r="E3" i="6" s="1"/>
  <c r="AL16" i="3"/>
  <c r="E10" i="6" s="1"/>
  <c r="U39" i="3"/>
  <c r="AL8" i="3"/>
  <c r="E2" i="6" s="1"/>
  <c r="AL24" i="3"/>
  <c r="E18" i="6" s="1"/>
  <c r="AL25" i="3"/>
  <c r="E19" i="6" s="1"/>
  <c r="AL11" i="3"/>
  <c r="E5" i="6" s="1"/>
  <c r="AL19" i="3"/>
  <c r="E13" i="6" s="1"/>
  <c r="R39" i="3"/>
  <c r="AL14" i="3"/>
  <c r="E8" i="6" s="1"/>
  <c r="AL12" i="3"/>
  <c r="E6" i="6" s="1"/>
  <c r="AL15" i="3"/>
  <c r="E9" i="6" s="1"/>
  <c r="AL20" i="3"/>
  <c r="E14" i="6" s="1"/>
  <c r="AL23" i="3"/>
  <c r="E17" i="6" s="1"/>
  <c r="AL17" i="3"/>
  <c r="E11" i="6" s="1"/>
  <c r="AL22" i="3"/>
  <c r="E16" i="6" s="1"/>
  <c r="AL10" i="3"/>
  <c r="E4" i="6" s="1"/>
  <c r="AL13" i="3"/>
  <c r="E7" i="6" s="1"/>
  <c r="AL18" i="3"/>
  <c r="E12" i="6" s="1"/>
  <c r="AL21" i="3"/>
  <c r="E15" i="6" s="1"/>
  <c r="AK24" i="3"/>
  <c r="E18" i="1" s="1"/>
  <c r="AK15" i="3"/>
  <c r="E9" i="1" s="1"/>
  <c r="AK14" i="3"/>
  <c r="E8" i="1" s="1"/>
  <c r="AK22" i="3"/>
  <c r="E16" i="1" s="1"/>
  <c r="AK18" i="3"/>
  <c r="E12" i="1" s="1"/>
  <c r="AK26" i="3"/>
  <c r="E20" i="1" s="1"/>
  <c r="AK12" i="3"/>
  <c r="E6" i="1" s="1"/>
  <c r="K39" i="3"/>
  <c r="AK20" i="3"/>
  <c r="E14" i="1" s="1"/>
  <c r="AK28" i="3"/>
  <c r="E22" i="1" s="1"/>
  <c r="AK27" i="3"/>
  <c r="E21" i="1" s="1"/>
  <c r="AK35" i="3"/>
  <c r="E29" i="1" s="1"/>
  <c r="AK32" i="3"/>
  <c r="E26" i="1" s="1"/>
  <c r="H39" i="3"/>
  <c r="AK30" i="3"/>
  <c r="E24" i="1" s="1"/>
  <c r="AK34" i="3"/>
  <c r="E28" i="1" s="1"/>
  <c r="AK36" i="3"/>
  <c r="E30" i="1" s="1"/>
  <c r="AK31" i="3"/>
  <c r="E25" i="1" s="1"/>
  <c r="AK10" i="3"/>
  <c r="E4" i="1" s="1"/>
  <c r="AK25" i="3"/>
  <c r="E19" i="1" s="1"/>
  <c r="AK11" i="3"/>
  <c r="E5" i="1" s="1"/>
  <c r="AK19" i="3"/>
  <c r="E13" i="1" s="1"/>
  <c r="AK23" i="3"/>
  <c r="E17" i="1" s="1"/>
  <c r="AK9" i="3"/>
  <c r="E3" i="1" s="1"/>
  <c r="AK13" i="3"/>
  <c r="E7" i="1" s="1"/>
  <c r="AK17" i="3"/>
  <c r="E11" i="1" s="1"/>
  <c r="AK21" i="3"/>
  <c r="E15" i="1" s="1"/>
  <c r="AK16" i="3"/>
  <c r="E10" i="1" s="1"/>
  <c r="D39" i="3"/>
  <c r="AK8" i="3"/>
  <c r="E2" i="1" s="1"/>
</calcChain>
</file>

<file path=xl/sharedStrings.xml><?xml version="1.0" encoding="utf-8"?>
<sst xmlns="http://schemas.openxmlformats.org/spreadsheetml/2006/main" count="822" uniqueCount="237">
  <si>
    <t>Site Name</t>
  </si>
  <si>
    <t>Day</t>
  </si>
  <si>
    <t>Month</t>
  </si>
  <si>
    <t>Year</t>
  </si>
  <si>
    <t>Total Electricity
 Kwh</t>
  </si>
  <si>
    <t>Electricity Tariff 
($/Kwh)</t>
  </si>
  <si>
    <t>Town Gas 
(m3)</t>
  </si>
  <si>
    <t>Town Gas 
$/m3</t>
  </si>
  <si>
    <t>Water Utility supply 
(m3)</t>
  </si>
  <si>
    <t>Water Utility (m3) 
$/m3</t>
  </si>
  <si>
    <t>Rooms Nights</t>
  </si>
  <si>
    <t>Total Guests</t>
  </si>
  <si>
    <t>FSHK</t>
  </si>
  <si>
    <t>FSH</t>
  </si>
  <si>
    <t>FSH &amp; FSP</t>
  </si>
  <si>
    <t>FSP</t>
  </si>
  <si>
    <t xml:space="preserve">HOT Normal and Essential power for linen chute(9/F-45/F), 
HOT water pump at 8/F, 
Podium dimmer supply(P1-P6), 
MVAC system(B1/F-B2/F), 
Bus station BPTT supply. </t>
  </si>
  <si>
    <t>HOT Normal Power for Guest rooms supply (9/F-45/F), 
MVAC system (2/F &amp; 46/F), 
P&amp;D system(46/F) 
Podium MVAC system (P1/F-P6/F)</t>
  </si>
  <si>
    <t>P5 Pool Plant, 
Laundry (hotel 70%,Place 30%), 
9/F - 28/F public area,
29/F 46/F Public area
Podium normal power supply for water feature(G/F), 
Chiller WCC-01(B2/F)(FSH 50%, FSP 50%)</t>
  </si>
  <si>
    <t>Podium normal power for Administration office(P5/F &amp; P6/F), 
P&amp;D system supply(B2/F), 
Planter lighting supply(Open Space), 
Kitchen public supply(B1/F, P1/F, P2/F, P3/F, P4/F &amp; P6/F), 
BMS room supply(B1/F), 
Security room supply(G/F), 
Computer &amp; PABX room</t>
  </si>
  <si>
    <t>Podium normal power supply for Public supply(P1/F - P6/F), 
Kitchen(B1/F, P1/F, P2/F, P3/F, P4/F &amp; P6/F), 
P&amp;D system supply(B1/F), 
Refuse room supply(G/F), 
Gas boiler supply(B2/F) and 
MVAC system supply(P1/F-P6/F).</t>
  </si>
  <si>
    <t>Podium normal power supply for main P&amp;D system supply(B1/F), MVAC chilled water pump(B1/F)
Chiller WCC-02(B2/F) (FSH 50%, FSP 50%)</t>
  </si>
  <si>
    <t>Chiller # 3 
(FSH 50%, FSP 50%)</t>
  </si>
  <si>
    <t>Chiller # 4
(FSH 50%, FSP 50%)</t>
  </si>
  <si>
    <t>Chiller # 5
(FSH 50%, FSP 50%)</t>
  </si>
  <si>
    <t>SHT normal power for Guest rooms supply (11/F-23/F).</t>
  </si>
  <si>
    <t>SHT normal power for Guest rooms supply (25/F-57/F).</t>
  </si>
  <si>
    <t xml:space="preserve">SHT Essential Power for Public Power supply, 
F.S. Pump (9/F, 57/F &amp; 39/F), 
Podium F.S. pump(P1M), 
Lift LT/S1-LT/S7(LM/F), 
Lift LT/S8-S9(59/F) and 
Lift LT/S10(8/F). </t>
  </si>
  <si>
    <t>SHT normal power for MVAC System(8/F &amp; 40/F), 
Public supply (8-R/F), 
P&amp;D system(40/F &amp; 60/F), 
swimming pool(57/F), 
SWB 3&amp;4(40/F)</t>
  </si>
  <si>
    <t>Daily Total consumption</t>
  </si>
  <si>
    <t>TXW1</t>
  </si>
  <si>
    <t>TXW4</t>
  </si>
  <si>
    <t>TXW2</t>
  </si>
  <si>
    <t>TXC2</t>
  </si>
  <si>
    <t>TXC1</t>
  </si>
  <si>
    <t>TXW3</t>
  </si>
  <si>
    <t>TXN1</t>
  </si>
  <si>
    <t>TXN2</t>
  </si>
  <si>
    <t>TXN3</t>
  </si>
  <si>
    <t>TXN4</t>
  </si>
  <si>
    <t>TXE1</t>
  </si>
  <si>
    <t>TXE2</t>
  </si>
  <si>
    <t>TXE3</t>
  </si>
  <si>
    <t>TXE4</t>
  </si>
  <si>
    <t>Tariff Type</t>
  </si>
  <si>
    <t>MD-LV</t>
  </si>
  <si>
    <t>Non-Residential</t>
  </si>
  <si>
    <t>Date</t>
  </si>
  <si>
    <t>Reading Kwh</t>
  </si>
  <si>
    <t>Differecne Kwh</t>
  </si>
  <si>
    <t>FSH 50% / FSP 50%</t>
  </si>
  <si>
    <t>Hotel &amp; podium Fresh Water</t>
  </si>
  <si>
    <t>Food &amp; Beverage Outlets</t>
  </si>
  <si>
    <t>Fountains</t>
  </si>
  <si>
    <t xml:space="preserve">Swimming Pool </t>
  </si>
  <si>
    <t>Laundry  
(FSH 55% : FSP 45%)</t>
  </si>
  <si>
    <t xml:space="preserve">Place - Guest Floor Fresh Water </t>
  </si>
  <si>
    <t>M16601852</t>
  </si>
  <si>
    <t>M118410300</t>
  </si>
  <si>
    <t>M16449102</t>
  </si>
  <si>
    <t>M9192527</t>
  </si>
  <si>
    <t>M16601455</t>
  </si>
  <si>
    <t>M16601818</t>
  </si>
  <si>
    <t>Reading</t>
  </si>
  <si>
    <t>Differecne m3</t>
  </si>
  <si>
    <t>B2/F Steam Boiler Room</t>
  </si>
  <si>
    <t>B1/F Main Kitchen</t>
  </si>
  <si>
    <t>P1/F Lobby Lounge</t>
  </si>
  <si>
    <t>P2/F Grand Ball Room</t>
  </si>
  <si>
    <t>P3 Steward</t>
  </si>
  <si>
    <t>P4/F Chinese Restaurant</t>
  </si>
  <si>
    <t>P4/F Junior Ball Room</t>
  </si>
  <si>
    <t xml:space="preserve">P5/F Staff Dining </t>
  </si>
  <si>
    <t>P6/F Pool side bar pantry</t>
  </si>
  <si>
    <t>P6/F French Restaurant</t>
  </si>
  <si>
    <t>P5/F Condensing Boiler Room</t>
  </si>
  <si>
    <t>P5/F Filtration Plan Room</t>
  </si>
  <si>
    <t>L8/F Plant Room</t>
  </si>
  <si>
    <t>L46/F Plant Room</t>
  </si>
  <si>
    <t>SHT 8/F Plant Room</t>
  </si>
  <si>
    <t>SHT 40/F Plant Room</t>
  </si>
  <si>
    <t>SHT 57/F Condensing Boiler Room</t>
  </si>
  <si>
    <t>SHT 60/F - Room 6023                  
( Penhouse 1 )</t>
  </si>
  <si>
    <t>SHT 60/F - Room 6038                  
( Penhouse 2 )</t>
  </si>
  <si>
    <t>L40/F Plant Room</t>
  </si>
  <si>
    <t>L57/F Plant Room</t>
  </si>
  <si>
    <t>Steam Boiler for Hot Water &amp; Laundry
( FSH 60% : FSP 40%)</t>
  </si>
  <si>
    <t>Kitchen</t>
  </si>
  <si>
    <t>Dish Washing area</t>
  </si>
  <si>
    <t>Condensing Boiler for 
P6 Swimming Pool &amp; Jacuzzi</t>
  </si>
  <si>
    <t>6/F Patio Spaces heater</t>
  </si>
  <si>
    <t>Dehumidifier for Guest Rooms RH Control</t>
  </si>
  <si>
    <t>Presidential Room    
Room  4305</t>
  </si>
  <si>
    <t>New Gas Heat Pump</t>
  </si>
  <si>
    <t>New Gas Heat Pump     
( Heater )</t>
  </si>
  <si>
    <t>Dehumidifier For Guest Rooms RH Control</t>
  </si>
  <si>
    <t>Condensing Boiler for 
59/F Swimming Pool &amp; Jacuzzis</t>
  </si>
  <si>
    <t>59/F Patio Spaces heater</t>
  </si>
  <si>
    <t>Gas appliances 
( Include Patio Space Heater )</t>
  </si>
  <si>
    <t>0234229050</t>
  </si>
  <si>
    <t>Ratio</t>
  </si>
  <si>
    <t>0234229130</t>
  </si>
  <si>
    <t>0234230090</t>
  </si>
  <si>
    <t>0234229210</t>
  </si>
  <si>
    <t>0234229460</t>
  </si>
  <si>
    <t>0234229380</t>
  </si>
  <si>
    <t>0234229540</t>
  </si>
  <si>
    <t>0234229620</t>
  </si>
  <si>
    <t>0234230740</t>
  </si>
  <si>
    <t>0234229870</t>
  </si>
  <si>
    <t>0234229790</t>
  </si>
  <si>
    <t>0234228820</t>
  </si>
  <si>
    <t>0234228990</t>
  </si>
  <si>
    <t>0234230820</t>
  </si>
  <si>
    <t>0234230170</t>
  </si>
  <si>
    <t>0234230250</t>
  </si>
  <si>
    <t>0234230330</t>
  </si>
  <si>
    <t>0234230410</t>
  </si>
  <si>
    <t>0234230580</t>
  </si>
  <si>
    <t>0234230660</t>
  </si>
  <si>
    <t>Gas Meter</t>
  </si>
  <si>
    <t>9955475</t>
  </si>
  <si>
    <t>436641</t>
  </si>
  <si>
    <t>436656</t>
  </si>
  <si>
    <t>431271</t>
  </si>
  <si>
    <t>1038664</t>
  </si>
  <si>
    <t>522469</t>
  </si>
  <si>
    <t>431269</t>
  </si>
  <si>
    <t>436624</t>
  </si>
  <si>
    <t>5399693</t>
  </si>
  <si>
    <t>522607</t>
  </si>
  <si>
    <t>436606</t>
  </si>
  <si>
    <t>432481</t>
  </si>
  <si>
    <t>410677</t>
  </si>
  <si>
    <t>431229</t>
  </si>
  <si>
    <t>522557</t>
  </si>
  <si>
    <t>0333732</t>
  </si>
  <si>
    <t>0655375</t>
  </si>
  <si>
    <t>431241</t>
  </si>
  <si>
    <t>410724</t>
  </si>
  <si>
    <t>9313879</t>
  </si>
  <si>
    <t>4500420S</t>
  </si>
  <si>
    <t>436758</t>
  </si>
  <si>
    <t>431227</t>
  </si>
  <si>
    <t>Differecne MJ</t>
  </si>
  <si>
    <t>Sub- meter</t>
  </si>
  <si>
    <t xml:space="preserve">HOT Normal and Essential power for linen chute(9/F-45/F), 
</t>
  </si>
  <si>
    <t xml:space="preserve">
HOT water pump at 8/F, 
</t>
  </si>
  <si>
    <t xml:space="preserve">
Podium dimmer supply(P1-P6)
</t>
  </si>
  <si>
    <t xml:space="preserve">
MVAC system(B1/F-B2/F), 
</t>
  </si>
  <si>
    <t>Bus station BPTT supply.</t>
  </si>
  <si>
    <t xml:space="preserve">HOT Normal Power for Guest rooms supply (9/F-45/F), 
</t>
  </si>
  <si>
    <t xml:space="preserve">
MVAC system (2/F &amp; 46/F), 
</t>
  </si>
  <si>
    <t xml:space="preserve">
P&amp;D system(46/F) 
</t>
  </si>
  <si>
    <t xml:space="preserve"> 
Podium MVAC system (P1/F-P6/F)</t>
  </si>
  <si>
    <t xml:space="preserve">P5 Pool Plant, 
</t>
  </si>
  <si>
    <t xml:space="preserve">
Laundry (hotel 70%,Place 30%), 
</t>
  </si>
  <si>
    <t xml:space="preserve">
9/F - 28/F public area,
</t>
  </si>
  <si>
    <t xml:space="preserve">
29/F 46/F Public area
</t>
  </si>
  <si>
    <t xml:space="preserve">
Podium normal power supply for water feature(G/F), 
</t>
  </si>
  <si>
    <t xml:space="preserve">
Chiller WCC-01(B2/F)(FSH 50%, FSP 50%)</t>
  </si>
  <si>
    <t xml:space="preserve">Podium normal power for Administration office(P5/F &amp; P6/F), 
</t>
  </si>
  <si>
    <t xml:space="preserve"> 
P&amp;D system supply(B2/F), 
</t>
  </si>
  <si>
    <t xml:space="preserve"> 
Planter lighting supply(Open Space), 
</t>
  </si>
  <si>
    <t xml:space="preserve"> 
Kitchen public supply(B1/F, P1/F, P2/F, P3/F, P4/F &amp; P6/F), 
</t>
  </si>
  <si>
    <t xml:space="preserve">
BMS room supply(B1/F), 
</t>
  </si>
  <si>
    <t xml:space="preserve">
Security room supply(G/F), 
</t>
  </si>
  <si>
    <t xml:space="preserve">
Computer &amp; PABX room</t>
  </si>
  <si>
    <t xml:space="preserve">Podium normal power supply for main P&amp;D system supply(B1/F), </t>
  </si>
  <si>
    <t>MVAC chilled water pump(B1/F)</t>
  </si>
  <si>
    <t>Chiller WCC-02(B2/F) (FSH 50%, FSP 50%)</t>
  </si>
  <si>
    <t xml:space="preserve">SHT Essential Power for Public Power supply, 
</t>
  </si>
  <si>
    <t xml:space="preserve">
F.S. Pump (9/F, 57/F &amp; 39/F), 
</t>
  </si>
  <si>
    <t xml:space="preserve">
Podium F.S. pump(P1M), 
</t>
  </si>
  <si>
    <t xml:space="preserve">
Lift LT/S1-LT/S7(LM/F), 
</t>
  </si>
  <si>
    <t xml:space="preserve">
Lift LT/S8-S9(59/F) and 
</t>
  </si>
  <si>
    <t xml:space="preserve">Lift LT/S10(8/F). </t>
  </si>
  <si>
    <t xml:space="preserve">SHT normal power for MVAC System(8/F &amp; 40/F), 
</t>
  </si>
  <si>
    <t xml:space="preserve">Public supply (8-R/F), 
</t>
  </si>
  <si>
    <t xml:space="preserve">P&amp;D system(40/F &amp; 60/F), 
</t>
  </si>
  <si>
    <t xml:space="preserve">swimming pool(57/F), 
</t>
  </si>
  <si>
    <t>SWB 3&amp;4(40/F)</t>
  </si>
  <si>
    <t>Cleansing &amp; EP</t>
  </si>
  <si>
    <t xml:space="preserve">Water Feature Make Up        </t>
  </si>
  <si>
    <t>Irrigation</t>
  </si>
  <si>
    <t>Laundry</t>
  </si>
  <si>
    <t>A/C Make Up</t>
  </si>
  <si>
    <t>P1 Water Feature A</t>
  </si>
  <si>
    <t>P1 Water Feature C</t>
  </si>
  <si>
    <t>Fresh Water Supply for FSP Guest Room Floor</t>
  </si>
  <si>
    <t>Condensate Boiler</t>
  </si>
  <si>
    <t>Fresh Water Supply for Hotel &amp; Podium</t>
  </si>
  <si>
    <t>Fresh Water Supply for Hotel</t>
  </si>
  <si>
    <t>Fresh Water Supply for Podium</t>
  </si>
  <si>
    <t>Condensate Steam Boiler</t>
  </si>
  <si>
    <t>P5 staff changing room - Cold water supply</t>
  </si>
  <si>
    <t>P5 staff changing room - Hot water supply</t>
  </si>
  <si>
    <t>P5 staff changing room - Hot water return</t>
  </si>
  <si>
    <t>P4 LKH Feature</t>
  </si>
  <si>
    <t>All FSH Guest Room &amp; Podium Toilet</t>
  </si>
  <si>
    <t>Swimming Pool Make Up</t>
  </si>
  <si>
    <t>60/F Penthouse Swimming Pools</t>
  </si>
  <si>
    <t>59/F Swimming Pool sub-meter</t>
  </si>
  <si>
    <t>59/F Jacuzzis Pool</t>
  </si>
  <si>
    <t>P6 Swimming Pool (Infinite Pool )</t>
  </si>
  <si>
    <t>P6 Water Feature 1</t>
  </si>
  <si>
    <t>P6 Water Feature 2</t>
  </si>
  <si>
    <t xml:space="preserve">P6 Jacuzzi Pool </t>
  </si>
  <si>
    <t xml:space="preserve">P6 Spa Vitality Pool </t>
  </si>
  <si>
    <t>Canteen Dishwash Area - Cold water supply</t>
  </si>
  <si>
    <t>Canteen Dishwash Area - Hot water supply</t>
  </si>
  <si>
    <t>Canteen Dishwash Area - Hot water return</t>
  </si>
  <si>
    <t>Canteen kitchen / Dishwash Area - Cold water supply</t>
  </si>
  <si>
    <t>Canteen kitchen / Dishwash Area - Hot water supply</t>
  </si>
  <si>
    <t>Canteen kitchen / Dishwash Area - Hot water return</t>
  </si>
  <si>
    <t>LKH kitchen - Cold water supply</t>
  </si>
  <si>
    <t>LKH kitchen - Hot water supply</t>
  </si>
  <si>
    <t>LKH kitchen - Hot Water Return</t>
  </si>
  <si>
    <t>LKH Pantry - Cold water Supply</t>
  </si>
  <si>
    <t>LKH Pantry - Hot water Supply</t>
  </si>
  <si>
    <t>LKH Pantry - Hot water Return</t>
  </si>
  <si>
    <t>LKH Dish washing machine - Water supply</t>
  </si>
  <si>
    <t>Dish Washing Machine - Cold water supply</t>
  </si>
  <si>
    <t>Dish Washing Machine - Hot water supply</t>
  </si>
  <si>
    <t>Dish Washing Machine - Hot water Return</t>
  </si>
  <si>
    <t>Hydro Vent System for LKH, Pool side pantry, P5 Canteen</t>
  </si>
  <si>
    <t>F&amp;B Other Outlet</t>
  </si>
  <si>
    <t>Differecne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</si>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</sst>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\-mmm\-yy;@"/>
    <numFmt numFmtId="165" formatCode="0.0"/>
    <numFmt numFmtId="166" formatCode="0.0000"/>
  </numFmts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sz val="24"/>
      <color theme="1"/>
      <name val="Calibri"/>
      <family val="2"/>
      <scheme val="minor"/>
    </font>
    <font>
      <b/>
      <sz val="24"/>
      <name val="Times New Roman"/>
      <family val="1"/>
    </font>
    <font>
      <b/>
      <sz val="24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6"/>
      <name val="Arial"/>
      <family val="2"/>
    </font>
    <font>
      <b/>
      <sz val="20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sz val="24"/>
      <name val="Times New Roman"/>
      <family val="1"/>
    </font>
    <font>
      <b/>
      <sz val="24"/>
      <color theme="1"/>
      <name val="Times New Roman"/>
      <family val="1"/>
    </font>
    <font>
      <sz val="20"/>
      <color theme="1"/>
      <name val="Times New Roman"/>
      <family val="1"/>
    </font>
    <font>
      <sz val="20"/>
      <name val="Times New Roman"/>
      <family val="1"/>
    </font>
    <font>
      <sz val="24"/>
      <color theme="1"/>
      <name val="Times New Roman"/>
      <family val="1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8" fillId="0" borderId="2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9" fontId="6" fillId="0" borderId="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 applyProtection="1">
      <alignment horizontal="center" vertical="center"/>
      <protection locked="0"/>
    </xf>
    <xf numFmtId="0" fontId="16" fillId="0" borderId="2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/>
    <xf numFmtId="0" fontId="4" fillId="0" borderId="0" xfId="0" applyFont="1"/>
    <xf numFmtId="164" fontId="4" fillId="0" borderId="0" xfId="0" applyNumberFormat="1" applyFont="1" applyAlignment="1">
      <alignment horizontal="center"/>
    </xf>
    <xf numFmtId="165" fontId="4" fillId="0" borderId="2" xfId="0" applyNumberFormat="1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2" fontId="9" fillId="3" borderId="2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7" fillId="0" borderId="0" xfId="0" applyFont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>
      <alignment horizontal="center" vertical="center"/>
    </xf>
    <xf numFmtId="0" fontId="0" fillId="0" borderId="0" xfId="0" applyBorder="1"/>
    <xf numFmtId="164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8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2" fillId="0" borderId="0" xfId="0" applyFont="1" applyBorder="1"/>
    <xf numFmtId="0" fontId="21" fillId="0" borderId="0" xfId="0" applyFont="1" applyBorder="1" applyAlignment="1">
      <alignment vertical="center"/>
    </xf>
    <xf numFmtId="0" fontId="12" fillId="0" borderId="0" xfId="0" applyFont="1"/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22" fillId="0" borderId="2" xfId="0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vertical="center"/>
    </xf>
    <xf numFmtId="0" fontId="12" fillId="5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2" fillId="4" borderId="3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66" fontId="12" fillId="0" borderId="2" xfId="0" applyNumberFormat="1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6" fillId="0" borderId="2" xfId="0" applyFont="1" applyBorder="1"/>
    <xf numFmtId="0" fontId="26" fillId="0" borderId="0" xfId="0" applyFont="1"/>
    <xf numFmtId="165" fontId="26" fillId="0" borderId="2" xfId="0" applyNumberFormat="1" applyFont="1" applyBorder="1" applyAlignment="1">
      <alignment horizontal="center" vertical="center"/>
    </xf>
    <xf numFmtId="0" fontId="18" fillId="0" borderId="2" xfId="0" applyFont="1" applyFill="1" applyBorder="1" applyAlignment="1" applyProtection="1">
      <alignment horizontal="center" vertical="center"/>
      <protection locked="0"/>
    </xf>
    <xf numFmtId="0" fontId="18" fillId="0" borderId="13" xfId="0" applyFont="1" applyFill="1" applyBorder="1" applyAlignment="1" applyProtection="1">
      <alignment horizontal="center" vertical="center"/>
      <protection locked="0"/>
    </xf>
    <xf numFmtId="0" fontId="18" fillId="5" borderId="2" xfId="0" applyFont="1" applyFill="1" applyBorder="1" applyAlignment="1" applyProtection="1">
      <alignment horizontal="center" vertical="center"/>
    </xf>
    <xf numFmtId="0" fontId="27" fillId="0" borderId="2" xfId="0" applyNumberFormat="1" applyFont="1" applyFill="1" applyBorder="1" applyAlignment="1" applyProtection="1">
      <alignment horizontal="center" vertical="center"/>
      <protection locked="0"/>
    </xf>
    <xf numFmtId="2" fontId="27" fillId="0" borderId="2" xfId="0" applyNumberFormat="1" applyFont="1" applyFill="1" applyBorder="1" applyAlignment="1" applyProtection="1">
      <alignment horizontal="center" vertical="center"/>
      <protection locked="0"/>
    </xf>
    <xf numFmtId="0" fontId="27" fillId="0" borderId="2" xfId="0" applyNumberFormat="1" applyFont="1" applyBorder="1" applyAlignment="1" applyProtection="1">
      <alignment horizontal="center" vertical="center"/>
      <protection locked="0"/>
    </xf>
    <xf numFmtId="2" fontId="27" fillId="0" borderId="2" xfId="0" applyNumberFormat="1" applyFont="1" applyBorder="1" applyAlignment="1" applyProtection="1">
      <alignment horizontal="center" vertical="center"/>
      <protection locked="0"/>
    </xf>
    <xf numFmtId="0" fontId="28" fillId="0" borderId="2" xfId="0" applyFont="1" applyBorder="1" applyAlignment="1">
      <alignment horizontal="center" vertical="center"/>
    </xf>
    <xf numFmtId="2" fontId="28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0" fontId="0" fillId="4" borderId="0" xfId="0" applyFill="1" applyBorder="1"/>
    <xf numFmtId="0" fontId="18" fillId="4" borderId="2" xfId="0" applyFont="1" applyFill="1" applyBorder="1" applyAlignment="1" applyProtection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4" borderId="0" xfId="0" applyFill="1"/>
    <xf numFmtId="0" fontId="10" fillId="4" borderId="2" xfId="0" applyFont="1" applyFill="1" applyBorder="1" applyAlignment="1">
      <alignment horizontal="center" vertical="center"/>
    </xf>
    <xf numFmtId="0" fontId="19" fillId="0" borderId="2" xfId="0" applyNumberFormat="1" applyFont="1" applyBorder="1" applyAlignment="1" applyProtection="1">
      <alignment horizontal="center" vertical="center"/>
      <protection locked="0"/>
    </xf>
    <xf numFmtId="0" fontId="19" fillId="0" borderId="2" xfId="0" applyNumberFormat="1" applyFont="1" applyFill="1" applyBorder="1" applyAlignment="1" applyProtection="1">
      <alignment horizontal="center" vertical="center"/>
      <protection locked="0"/>
    </xf>
    <xf numFmtId="0" fontId="27" fillId="0" borderId="2" xfId="0" applyFont="1" applyFill="1" applyBorder="1" applyAlignment="1" applyProtection="1">
      <alignment horizontal="center" vertical="center"/>
      <protection locked="0"/>
    </xf>
    <xf numFmtId="0" fontId="27" fillId="0" borderId="2" xfId="0" applyFont="1" applyBorder="1" applyAlignment="1" applyProtection="1">
      <alignment horizontal="center" vertical="center"/>
      <protection locked="0"/>
    </xf>
    <xf numFmtId="0" fontId="3" fillId="0" borderId="0" xfId="0" applyFont="1"/>
    <xf numFmtId="9" fontId="4" fillId="0" borderId="2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26" fillId="5" borderId="2" xfId="0" applyNumberFormat="1" applyFont="1" applyFill="1" applyBorder="1" applyAlignment="1">
      <alignment horizontal="center" vertical="center"/>
    </xf>
    <xf numFmtId="0" fontId="3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3" fillId="2" borderId="3" xfId="0" applyFont="1" applyFill="1" applyBorder="1" applyAlignment="1" applyProtection="1">
      <alignment horizontal="center" vertical="center" wrapText="1"/>
    </xf>
    <xf numFmtId="0" fontId="13" fillId="2" borderId="4" xfId="0" applyFont="1" applyFill="1" applyBorder="1" applyAlignment="1" applyProtection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 applyProtection="1">
      <alignment horizontal="center" vertical="center" wrapText="1"/>
    </xf>
    <xf numFmtId="0" fontId="17" fillId="0" borderId="4" xfId="0" applyFont="1" applyFill="1" applyBorder="1" applyAlignment="1" applyProtection="1">
      <alignment horizontal="center" vertical="center" wrapText="1"/>
    </xf>
    <xf numFmtId="0" fontId="17" fillId="0" borderId="3" xfId="0" applyFont="1" applyBorder="1" applyAlignment="1" applyProtection="1">
      <alignment horizontal="center" vertical="center" wrapText="1"/>
    </xf>
    <xf numFmtId="0" fontId="17" fillId="0" borderId="4" xfId="0" applyFont="1" applyBorder="1" applyAlignment="1" applyProtection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0" borderId="2" xfId="0" applyFont="1" applyFill="1" applyBorder="1" applyAlignment="1" applyProtection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3" fillId="0" borderId="2" xfId="0" applyFont="1" applyBorder="1" applyAlignment="1" applyProtection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26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2" fontId="30" fillId="0" borderId="2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29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I3" sqref="I3"/>
    </sheetView>
  </sheetViews>
  <sheetFormatPr defaultRowHeight="15" x14ac:dyDescent="0.25"/>
  <cols>
    <col min="1" max="1" width="12" customWidth="1"/>
    <col min="5" max="5" width="11.28515625" customWidth="1"/>
    <col min="6" max="6" width="11.85546875" customWidth="1"/>
    <col min="9" max="9" width="11.7109375" customWidth="1"/>
    <col min="10" max="10" width="11.5703125" customWidth="1"/>
  </cols>
  <sheetData>
    <row r="1" spans="1:12" ht="60" x14ac:dyDescent="0.25">
      <c r="A1" s="198" t="s">
        <v>0</v>
      </c>
      <c r="B1" s="198" t="s">
        <v>1</v>
      </c>
      <c r="C1" s="199" t="s">
        <v>2</v>
      </c>
      <c r="D1" s="198" t="s">
        <v>3</v>
      </c>
      <c r="E1" s="200" t="s">
        <v>228</v>
      </c>
      <c r="F1" s="201" t="s">
        <v>229</v>
      </c>
      <c r="G1" s="200" t="s">
        <v>230</v>
      </c>
      <c r="H1" s="201" t="s">
        <v>231</v>
      </c>
      <c r="I1" s="200" t="s">
        <v>232</v>
      </c>
      <c r="J1" s="202" t="s">
        <v>233</v>
      </c>
      <c r="K1" s="200" t="s">
        <v>234</v>
      </c>
      <c r="L1" s="200" t="s">
        <v>235</v>
      </c>
    </row>
    <row r="2" spans="1:12" x14ac:dyDescent="0.25">
      <c r="A2" s="203" t="s">
        <v>236</v>
      </c>
      <c r="B2" s="204">
        <v>1</v>
      </c>
      <c r="C2" s="205">
        <v>11</v>
      </c>
      <c r="D2" s="204">
        <v>2020</v>
      </c>
      <c r="E2" s="206">
        <f>'Total - FSH'!E2</f>
        <v>35365</v>
      </c>
      <c r="F2" s="207"/>
      <c r="G2" s="206">
        <f>'Total - FSH'!G2/38.3</f>
        <v>3442.5888250652624</v>
      </c>
      <c r="H2" s="207"/>
      <c r="I2" s="206">
        <f>'Athens Daily - Water'!R7</f>
        <v>3809.7780000000021</v>
      </c>
      <c r="J2" s="207"/>
      <c r="K2" s="206"/>
      <c r="L2" s="206"/>
    </row>
    <row r="3" spans="1:12" x14ac:dyDescent="0.25">
      <c r="A3" s="203" t="s">
        <v>236</v>
      </c>
      <c r="B3" s="204">
        <v>2</v>
      </c>
      <c r="C3" s="205">
        <v>11</v>
      </c>
      <c r="D3" s="204">
        <v>2020</v>
      </c>
      <c r="E3" s="206">
        <f>'Total - FSH'!E3</f>
        <v>29587</v>
      </c>
      <c r="F3" s="207"/>
      <c r="G3" s="206">
        <f>'Total - FSH'!G3/38.3</f>
        <v>3274.7956135770255</v>
      </c>
      <c r="H3" s="207"/>
      <c r="I3" s="206">
        <f>'Athens Daily - Water'!R8</f>
        <v>5471.0279999999984</v>
      </c>
      <c r="J3" s="207"/>
      <c r="K3" s="206"/>
      <c r="L3" s="206"/>
    </row>
    <row r="4" spans="1:12" x14ac:dyDescent="0.25">
      <c r="A4" s="203" t="s">
        <v>236</v>
      </c>
      <c r="B4" s="204">
        <v>3</v>
      </c>
      <c r="C4" s="205">
        <v>11</v>
      </c>
      <c r="D4" s="204">
        <v>2020</v>
      </c>
      <c r="E4" s="206">
        <f>'Total - FSH'!E4</f>
        <v>29603</v>
      </c>
      <c r="F4" s="207"/>
      <c r="G4" s="206">
        <f>'Total - FSH'!G4/38.3</f>
        <v>3009.4195300261104</v>
      </c>
      <c r="H4" s="207"/>
      <c r="I4" s="206">
        <f>'Athens Daily - Water'!R9</f>
        <v>4729.3670000000002</v>
      </c>
      <c r="J4" s="207"/>
      <c r="K4" s="206"/>
      <c r="L4" s="206"/>
    </row>
    <row r="5" spans="1:12" x14ac:dyDescent="0.25">
      <c r="A5" s="203" t="s">
        <v>236</v>
      </c>
      <c r="B5" s="204">
        <v>4</v>
      </c>
      <c r="C5" s="205">
        <v>11</v>
      </c>
      <c r="D5" s="204">
        <v>2020</v>
      </c>
      <c r="E5" s="206">
        <f>'Total - FSH'!E5</f>
        <v>32463.5</v>
      </c>
      <c r="F5" s="207"/>
      <c r="G5" s="206">
        <f>'Total - FSH'!G5/38.3</f>
        <v>2954.9263707571849</v>
      </c>
      <c r="H5" s="207"/>
      <c r="I5" s="206">
        <f>'Athens Daily - Water'!R10</f>
        <v>4280.9309999999932</v>
      </c>
      <c r="J5" s="207"/>
      <c r="K5" s="206"/>
      <c r="L5" s="206"/>
    </row>
    <row r="6" spans="1:12" x14ac:dyDescent="0.25">
      <c r="A6" s="203" t="s">
        <v>236</v>
      </c>
      <c r="B6" s="204">
        <v>5</v>
      </c>
      <c r="C6" s="205">
        <v>11</v>
      </c>
      <c r="D6" s="204">
        <v>2020</v>
      </c>
      <c r="E6" s="206">
        <f>'Total - FSH'!E6</f>
        <v>32059</v>
      </c>
      <c r="F6" s="207"/>
      <c r="G6" s="206">
        <f>'Total - FSH'!G6/38.3</f>
        <v>3188.1662663185311</v>
      </c>
      <c r="H6" s="207"/>
      <c r="I6" s="206">
        <f>'Athens Daily - Water'!R11</f>
        <v>4295.8290000000052</v>
      </c>
      <c r="J6" s="207"/>
      <c r="K6" s="206"/>
      <c r="L6" s="206"/>
    </row>
    <row r="7" spans="1:12" x14ac:dyDescent="0.25">
      <c r="A7" s="203" t="s">
        <v>236</v>
      </c>
      <c r="B7" s="204">
        <v>6</v>
      </c>
      <c r="C7" s="205">
        <v>11</v>
      </c>
      <c r="D7" s="204">
        <v>2020</v>
      </c>
      <c r="E7" s="206">
        <f>'Total - FSH'!E7</f>
        <v>32332</v>
      </c>
      <c r="F7" s="207"/>
      <c r="G7" s="206">
        <f>'Total - FSH'!G7/38.3</f>
        <v>3046.3507049608424</v>
      </c>
      <c r="H7" s="207"/>
      <c r="I7" s="206">
        <f>'Athens Daily - Water'!R12</f>
        <v>4217.5179999999982</v>
      </c>
      <c r="J7" s="207"/>
      <c r="K7" s="206"/>
      <c r="L7" s="206"/>
    </row>
    <row r="8" spans="1:12" x14ac:dyDescent="0.25">
      <c r="A8" s="203" t="s">
        <v>236</v>
      </c>
      <c r="B8" s="204">
        <v>7</v>
      </c>
      <c r="C8" s="205">
        <v>11</v>
      </c>
      <c r="D8" s="204">
        <v>2020</v>
      </c>
      <c r="E8" s="206">
        <f>'Total - FSH'!E8</f>
        <v>34820.5</v>
      </c>
      <c r="F8" s="207"/>
      <c r="G8" s="206">
        <f>'Total - FSH'!G8/38.3</f>
        <v>2850.1422454308035</v>
      </c>
      <c r="H8" s="207"/>
      <c r="I8" s="206">
        <f>'Athens Daily - Water'!R13</f>
        <v>4374.7999999999975</v>
      </c>
      <c r="J8" s="207"/>
      <c r="K8" s="206"/>
      <c r="L8" s="206"/>
    </row>
    <row r="9" spans="1:12" x14ac:dyDescent="0.25">
      <c r="A9" s="203" t="s">
        <v>236</v>
      </c>
      <c r="B9" s="204">
        <v>8</v>
      </c>
      <c r="C9" s="205">
        <v>11</v>
      </c>
      <c r="D9" s="204">
        <v>2020</v>
      </c>
      <c r="E9" s="206">
        <f>'Total - FSH'!E9</f>
        <v>35531.5</v>
      </c>
      <c r="F9" s="207"/>
      <c r="G9" s="206">
        <f>'Total - FSH'!G9/38.3</f>
        <v>2921.4040731070454</v>
      </c>
      <c r="H9" s="207"/>
      <c r="I9" s="206">
        <f>'Athens Daily - Water'!R14</f>
        <v>5201.1100000000024</v>
      </c>
      <c r="J9" s="207"/>
      <c r="K9" s="206"/>
      <c r="L9" s="206"/>
    </row>
    <row r="10" spans="1:12" x14ac:dyDescent="0.25">
      <c r="A10" s="203" t="s">
        <v>236</v>
      </c>
      <c r="B10" s="204">
        <v>9</v>
      </c>
      <c r="C10" s="205">
        <v>11</v>
      </c>
      <c r="D10" s="204">
        <v>2020</v>
      </c>
      <c r="E10" s="206">
        <f>'Total - FSH'!E10</f>
        <v>29839</v>
      </c>
      <c r="F10" s="207"/>
      <c r="G10" s="206">
        <f>'Total - FSH'!G10/38.3</f>
        <v>2983.4368668407451</v>
      </c>
      <c r="H10" s="207"/>
      <c r="I10" s="206">
        <f>'Athens Daily - Water'!R15</f>
        <v>4863.2260000000024</v>
      </c>
      <c r="J10" s="207"/>
      <c r="K10" s="206"/>
      <c r="L10" s="206"/>
    </row>
    <row r="11" spans="1:12" x14ac:dyDescent="0.25">
      <c r="A11" s="203" t="s">
        <v>236</v>
      </c>
      <c r="B11" s="204">
        <v>10</v>
      </c>
      <c r="C11" s="205">
        <v>11</v>
      </c>
      <c r="D11" s="204">
        <v>2020</v>
      </c>
      <c r="E11" s="206">
        <f>'Total - FSH'!E11</f>
        <v>28978</v>
      </c>
      <c r="F11" s="207"/>
      <c r="G11" s="206">
        <f>'Total - FSH'!G11/38.3</f>
        <v>2913.9672062663185</v>
      </c>
      <c r="H11" s="207"/>
      <c r="I11" s="206">
        <f>'Athens Daily - Water'!R16</f>
        <v>4208.3510000000024</v>
      </c>
      <c r="J11" s="207"/>
      <c r="K11" s="206"/>
      <c r="L11" s="206"/>
    </row>
    <row r="12" spans="1:12" x14ac:dyDescent="0.25">
      <c r="A12" s="203" t="s">
        <v>236</v>
      </c>
      <c r="B12" s="204">
        <v>11</v>
      </c>
      <c r="C12" s="205">
        <v>11</v>
      </c>
      <c r="D12" s="204">
        <v>2020</v>
      </c>
      <c r="E12" s="206">
        <f>'Total - FSH'!E12</f>
        <v>28806.5</v>
      </c>
      <c r="F12" s="207"/>
      <c r="G12" s="206">
        <f>'Total - FSH'!G12/38.3</f>
        <v>2990.4175456918924</v>
      </c>
      <c r="H12" s="207"/>
      <c r="I12" s="206">
        <f>'Athens Daily - Water'!R17</f>
        <v>4480.5869999999941</v>
      </c>
      <c r="J12" s="207"/>
      <c r="K12" s="206"/>
      <c r="L12" s="206"/>
    </row>
    <row r="13" spans="1:12" x14ac:dyDescent="0.25">
      <c r="A13" s="203" t="s">
        <v>236</v>
      </c>
      <c r="B13" s="204">
        <v>12</v>
      </c>
      <c r="C13" s="205">
        <v>11</v>
      </c>
      <c r="D13" s="204">
        <v>2020</v>
      </c>
      <c r="E13" s="206">
        <f>'Total - FSH'!E13</f>
        <v>27811</v>
      </c>
      <c r="F13" s="207"/>
      <c r="G13" s="206">
        <f>'Total - FSH'!G13/38.3</f>
        <v>3192.3910182767695</v>
      </c>
      <c r="H13" s="207"/>
      <c r="I13" s="206">
        <f>'Athens Daily - Water'!R18</f>
        <v>5048.0290000000005</v>
      </c>
      <c r="J13" s="207"/>
      <c r="K13" s="206"/>
      <c r="L13" s="206"/>
    </row>
    <row r="14" spans="1:12" x14ac:dyDescent="0.25">
      <c r="A14" s="203" t="s">
        <v>236</v>
      </c>
      <c r="B14" s="204">
        <v>13</v>
      </c>
      <c r="C14" s="205">
        <v>11</v>
      </c>
      <c r="D14" s="204">
        <v>2020</v>
      </c>
      <c r="E14" s="206">
        <f>'Total - FSH'!E14</f>
        <v>27969</v>
      </c>
      <c r="F14" s="207"/>
      <c r="G14" s="206">
        <f>'Total - FSH'!G14/38.3</f>
        <v>3118.884595300266</v>
      </c>
      <c r="H14" s="207"/>
      <c r="I14" s="206">
        <f>'Athens Daily - Water'!R19</f>
        <v>4991.9290000000001</v>
      </c>
      <c r="J14" s="207"/>
      <c r="K14" s="206"/>
      <c r="L14" s="206"/>
    </row>
    <row r="15" spans="1:12" x14ac:dyDescent="0.25">
      <c r="A15" s="203" t="s">
        <v>236</v>
      </c>
      <c r="B15" s="204">
        <v>14</v>
      </c>
      <c r="C15" s="205">
        <v>11</v>
      </c>
      <c r="D15" s="204">
        <v>2020</v>
      </c>
      <c r="E15" s="206">
        <f>'Total - FSH'!E15</f>
        <v>28930.5</v>
      </c>
      <c r="F15" s="207"/>
      <c r="G15" s="206">
        <f>'Total - FSH'!G15/38.3</f>
        <v>3124.3037075717939</v>
      </c>
      <c r="H15" s="207"/>
      <c r="I15" s="206">
        <f>'Athens Daily - Water'!R20</f>
        <v>4886.5300000000025</v>
      </c>
      <c r="J15" s="207"/>
      <c r="K15" s="206"/>
      <c r="L15" s="206"/>
    </row>
    <row r="16" spans="1:12" x14ac:dyDescent="0.25">
      <c r="A16" s="203" t="s">
        <v>236</v>
      </c>
      <c r="B16" s="204">
        <v>15</v>
      </c>
      <c r="C16" s="205">
        <v>11</v>
      </c>
      <c r="D16" s="204">
        <v>2020</v>
      </c>
      <c r="E16" s="206">
        <f>'Total - FSH'!E16</f>
        <v>30663</v>
      </c>
      <c r="F16" s="207"/>
      <c r="G16" s="206">
        <f>'Total - FSH'!G16/38.3</f>
        <v>3361.8736292428248</v>
      </c>
      <c r="H16" s="207"/>
      <c r="I16" s="206">
        <f>'Athens Daily - Water'!R21</f>
        <v>5482.0199999999968</v>
      </c>
      <c r="J16" s="207"/>
      <c r="K16" s="206"/>
      <c r="L16" s="206"/>
    </row>
    <row r="17" spans="1:12" x14ac:dyDescent="0.25">
      <c r="A17" s="203" t="s">
        <v>236</v>
      </c>
      <c r="B17" s="204">
        <v>16</v>
      </c>
      <c r="C17" s="205">
        <v>11</v>
      </c>
      <c r="D17" s="204">
        <v>2020</v>
      </c>
      <c r="E17" s="206">
        <f>'Total - FSH'!E17</f>
        <v>29998</v>
      </c>
      <c r="F17" s="207"/>
      <c r="G17" s="206">
        <f>'Total - FSH'!G17/38.3</f>
        <v>3453.6664229765024</v>
      </c>
      <c r="H17" s="207"/>
      <c r="I17" s="206">
        <f>'Athens Daily - Water'!R22</f>
        <v>5816.073000000004</v>
      </c>
      <c r="J17" s="207"/>
      <c r="K17" s="206"/>
      <c r="L17" s="206"/>
    </row>
    <row r="18" spans="1:12" x14ac:dyDescent="0.25">
      <c r="A18" s="203" t="s">
        <v>236</v>
      </c>
      <c r="B18" s="204">
        <v>17</v>
      </c>
      <c r="C18" s="205">
        <v>11</v>
      </c>
      <c r="D18" s="204">
        <v>2020</v>
      </c>
      <c r="E18" s="206">
        <f>'Total - FSH'!E18</f>
        <v>31812.5</v>
      </c>
      <c r="F18" s="207"/>
      <c r="G18" s="206">
        <f>'Total - FSH'!G18/38.3</f>
        <v>3275.6553524804144</v>
      </c>
      <c r="H18" s="207"/>
      <c r="I18" s="206">
        <f>'Athens Daily - Water'!R23</f>
        <v>5273.2289999999975</v>
      </c>
      <c r="J18" s="207"/>
      <c r="K18" s="206"/>
      <c r="L18" s="206"/>
    </row>
    <row r="19" spans="1:12" x14ac:dyDescent="0.25">
      <c r="A19" s="203" t="s">
        <v>236</v>
      </c>
      <c r="B19" s="204">
        <v>18</v>
      </c>
      <c r="C19" s="205">
        <v>11</v>
      </c>
      <c r="D19" s="204">
        <v>2020</v>
      </c>
      <c r="E19" s="206">
        <f>'Total - FSH'!E19</f>
        <v>36363</v>
      </c>
      <c r="F19" s="207"/>
      <c r="G19" s="206">
        <f>'Total - FSH'!G19/38.3</f>
        <v>3019.4017754569154</v>
      </c>
      <c r="H19" s="207"/>
      <c r="I19" s="206">
        <f>'Athens Daily - Water'!R24</f>
        <v>4577.9359999999997</v>
      </c>
      <c r="J19" s="207"/>
      <c r="K19" s="206"/>
      <c r="L19" s="206"/>
    </row>
    <row r="20" spans="1:12" x14ac:dyDescent="0.25">
      <c r="A20" s="203" t="s">
        <v>236</v>
      </c>
      <c r="B20" s="204">
        <v>19</v>
      </c>
      <c r="C20" s="205">
        <v>11</v>
      </c>
      <c r="D20" s="204">
        <v>2020</v>
      </c>
      <c r="E20" s="206">
        <f>'Total - FSH'!E20</f>
        <v>36858</v>
      </c>
      <c r="F20" s="207"/>
      <c r="G20" s="206">
        <f>'Total - FSH'!G20/38.3</f>
        <v>3031.0834464752015</v>
      </c>
      <c r="H20" s="207"/>
      <c r="I20" s="206">
        <f>'Athens Daily - Water'!R25</f>
        <v>4701.2239999999965</v>
      </c>
      <c r="J20" s="207"/>
      <c r="K20" s="206"/>
      <c r="L20" s="206"/>
    </row>
    <row r="21" spans="1:12" x14ac:dyDescent="0.25">
      <c r="A21" s="203" t="s">
        <v>236</v>
      </c>
      <c r="B21" s="204">
        <v>20</v>
      </c>
      <c r="C21" s="205">
        <v>11</v>
      </c>
      <c r="D21" s="204">
        <v>2020</v>
      </c>
      <c r="E21" s="206">
        <f>'Total - FSH'!E21</f>
        <v>38830.5</v>
      </c>
      <c r="F21" s="207"/>
      <c r="G21" s="206">
        <f>'Total - FSH'!G21/38.3</f>
        <v>2854.8507571801515</v>
      </c>
      <c r="H21" s="207"/>
      <c r="I21" s="206">
        <f>'Athens Daily - Water'!R26</f>
        <v>4867.7910000000065</v>
      </c>
      <c r="J21" s="207"/>
      <c r="K21" s="206"/>
      <c r="L21" s="206"/>
    </row>
    <row r="22" spans="1:12" x14ac:dyDescent="0.25">
      <c r="A22" s="203" t="s">
        <v>236</v>
      </c>
      <c r="B22" s="204">
        <v>21</v>
      </c>
      <c r="C22" s="205">
        <v>11</v>
      </c>
      <c r="D22" s="204">
        <v>2020</v>
      </c>
      <c r="E22" s="206">
        <f>'Total - FSH'!E22</f>
        <v>37337</v>
      </c>
      <c r="F22" s="207"/>
      <c r="G22" s="206">
        <f>'Total - FSH'!G22/38.3</f>
        <v>3175.7100783289843</v>
      </c>
      <c r="H22" s="207"/>
      <c r="I22" s="206">
        <f>'Athens Daily - Water'!R27</f>
        <v>5024.8459999999977</v>
      </c>
      <c r="J22" s="207"/>
      <c r="K22" s="206"/>
      <c r="L22" s="206"/>
    </row>
    <row r="23" spans="1:12" x14ac:dyDescent="0.25">
      <c r="A23" s="203" t="s">
        <v>236</v>
      </c>
      <c r="B23" s="204">
        <v>22</v>
      </c>
      <c r="C23" s="205">
        <v>11</v>
      </c>
      <c r="D23" s="204">
        <v>2020</v>
      </c>
      <c r="E23" s="206">
        <f>'Total - FSH'!E23</f>
        <v>37716</v>
      </c>
      <c r="F23" s="207"/>
      <c r="G23" s="206">
        <f>'Total - FSH'!G23/38.3</f>
        <v>3442.1965535248028</v>
      </c>
      <c r="H23" s="207"/>
      <c r="I23" s="206">
        <f>'Athens Daily - Water'!R28</f>
        <v>5994.7479999999996</v>
      </c>
      <c r="J23" s="207"/>
      <c r="K23" s="206"/>
      <c r="L23" s="206"/>
    </row>
    <row r="24" spans="1:12" x14ac:dyDescent="0.25">
      <c r="A24" s="203" t="s">
        <v>236</v>
      </c>
      <c r="B24" s="204">
        <v>23</v>
      </c>
      <c r="C24" s="205">
        <v>11</v>
      </c>
      <c r="D24" s="204">
        <v>2020</v>
      </c>
      <c r="E24" s="206">
        <f>'Total - FSH'!E24</f>
        <v>36138</v>
      </c>
      <c r="F24" s="207"/>
      <c r="G24" s="206">
        <f>'Total - FSH'!G24/38.3</f>
        <v>3274.4421932114892</v>
      </c>
      <c r="H24" s="207"/>
      <c r="I24" s="206">
        <f>'Athens Daily - Water'!R29</f>
        <v>6053.2790000000023</v>
      </c>
      <c r="J24" s="207"/>
      <c r="K24" s="206"/>
      <c r="L24" s="206"/>
    </row>
    <row r="25" spans="1:12" x14ac:dyDescent="0.25">
      <c r="A25" s="203" t="s">
        <v>236</v>
      </c>
      <c r="B25" s="204">
        <v>24</v>
      </c>
      <c r="C25" s="205">
        <v>11</v>
      </c>
      <c r="D25" s="204">
        <v>2020</v>
      </c>
      <c r="E25" s="206">
        <f>'Total - FSH'!E25</f>
        <v>33848.5</v>
      </c>
      <c r="F25" s="207"/>
      <c r="G25" s="206">
        <f>'Total - FSH'!G25/38.3</f>
        <v>3257.5995822454338</v>
      </c>
      <c r="H25" s="207"/>
      <c r="I25" s="206">
        <f>'Athens Daily - Water'!R30</f>
        <v>5035.5449999999946</v>
      </c>
      <c r="J25" s="207"/>
      <c r="K25" s="206"/>
      <c r="L25" s="206"/>
    </row>
    <row r="26" spans="1:12" x14ac:dyDescent="0.25">
      <c r="A26" s="203" t="s">
        <v>236</v>
      </c>
      <c r="B26" s="204">
        <v>25</v>
      </c>
      <c r="C26" s="205">
        <v>11</v>
      </c>
      <c r="D26" s="204">
        <v>2020</v>
      </c>
      <c r="E26" s="206">
        <f>'Total - FSH'!E26</f>
        <v>34127.5</v>
      </c>
      <c r="F26" s="207"/>
      <c r="G26" s="206">
        <f>'Total - FSH'!G26/38.3</f>
        <v>3019.0207832898163</v>
      </c>
      <c r="H26" s="207"/>
      <c r="I26" s="206">
        <f>'Athens Daily - Water'!R31</f>
        <v>4706.8430000000044</v>
      </c>
      <c r="J26" s="207"/>
      <c r="K26" s="206"/>
      <c r="L26" s="206"/>
    </row>
    <row r="27" spans="1:12" x14ac:dyDescent="0.25">
      <c r="A27" s="203" t="s">
        <v>236</v>
      </c>
      <c r="B27" s="204">
        <v>26</v>
      </c>
      <c r="C27" s="205">
        <v>11</v>
      </c>
      <c r="D27" s="204">
        <v>2020</v>
      </c>
      <c r="E27" s="206">
        <f>'Total - FSH'!E27</f>
        <v>34086</v>
      </c>
      <c r="F27" s="207"/>
      <c r="G27" s="206">
        <f>'Total - FSH'!G27/38.3</f>
        <v>3000.863498694519</v>
      </c>
      <c r="H27" s="207"/>
      <c r="I27" s="206">
        <f>'Athens Daily - Water'!R32</f>
        <v>4570.2580000000034</v>
      </c>
      <c r="J27" s="207"/>
      <c r="K27" s="206"/>
      <c r="L27" s="206"/>
    </row>
    <row r="28" spans="1:12" x14ac:dyDescent="0.25">
      <c r="A28" s="203" t="s">
        <v>236</v>
      </c>
      <c r="B28" s="204">
        <v>27</v>
      </c>
      <c r="C28" s="205">
        <v>11</v>
      </c>
      <c r="D28" s="204">
        <v>2020</v>
      </c>
      <c r="E28" s="206">
        <f>'Total - FSH'!E28</f>
        <v>33191.5</v>
      </c>
      <c r="F28" s="207"/>
      <c r="G28" s="206">
        <f>'Total - FSH'!G28/38.3</f>
        <v>2975.4084595300264</v>
      </c>
      <c r="H28" s="207"/>
      <c r="I28" s="206">
        <f>'Athens Daily - Water'!R33</f>
        <v>4745.014999999994</v>
      </c>
      <c r="J28" s="207"/>
      <c r="K28" s="206"/>
      <c r="L28" s="206"/>
    </row>
    <row r="29" spans="1:12" x14ac:dyDescent="0.25">
      <c r="A29" s="203" t="s">
        <v>236</v>
      </c>
      <c r="B29" s="204">
        <v>28</v>
      </c>
      <c r="C29" s="205">
        <v>11</v>
      </c>
      <c r="D29" s="204">
        <v>2020</v>
      </c>
      <c r="E29" s="206">
        <f>'Total - FSH'!E29</f>
        <v>27698</v>
      </c>
      <c r="F29" s="207"/>
      <c r="G29" s="206">
        <f>'Total - FSH'!G29/38.3</f>
        <v>2965.754569190608</v>
      </c>
      <c r="H29" s="207"/>
      <c r="I29" s="206">
        <f>'Athens Daily - Water'!R34</f>
        <v>4733.2739999999976</v>
      </c>
      <c r="J29" s="207"/>
      <c r="K29" s="206"/>
      <c r="L29" s="206"/>
    </row>
    <row r="30" spans="1:12" x14ac:dyDescent="0.25">
      <c r="A30" s="203" t="s">
        <v>236</v>
      </c>
      <c r="B30" s="204">
        <v>29</v>
      </c>
      <c r="C30" s="205">
        <v>11</v>
      </c>
      <c r="D30" s="204">
        <v>2020</v>
      </c>
      <c r="E30" s="206">
        <f>'Total - FSH'!E30</f>
        <v>29077</v>
      </c>
      <c r="F30" s="207"/>
      <c r="G30" s="206">
        <f>'Total - FSH'!G30/38.3</f>
        <v>3165.6313315926795</v>
      </c>
      <c r="H30" s="207"/>
      <c r="I30" s="206">
        <f>'Athens Daily - Water'!R35</f>
        <v>5966.6240000000053</v>
      </c>
      <c r="J30" s="207"/>
      <c r="K30" s="206"/>
      <c r="L30" s="206"/>
    </row>
    <row r="31" spans="1:12" x14ac:dyDescent="0.25">
      <c r="A31" s="203" t="s">
        <v>236</v>
      </c>
      <c r="B31" s="204">
        <v>30</v>
      </c>
      <c r="C31" s="205">
        <v>11</v>
      </c>
      <c r="D31" s="204">
        <v>2020</v>
      </c>
      <c r="E31" s="206">
        <f>'Total - FSH'!E31</f>
        <v>31511</v>
      </c>
      <c r="F31" s="207"/>
      <c r="G31" s="206">
        <f>'Total - FSH'!G31/38.3</f>
        <v>3086.9476762402041</v>
      </c>
      <c r="H31" s="207"/>
      <c r="I31" s="206">
        <f>'Athens Daily - Water'!R36</f>
        <v>5177.9149999999954</v>
      </c>
      <c r="J31" s="207"/>
      <c r="K31" s="206"/>
      <c r="L31" s="20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activeCell="G33" sqref="G33:G34"/>
    </sheetView>
  </sheetViews>
  <sheetFormatPr defaultRowHeight="15" x14ac:dyDescent="0.25"/>
  <cols>
    <col min="1" max="1" width="23.140625" customWidth="1"/>
    <col min="2" max="4" width="12.140625" style="1" customWidth="1"/>
    <col min="5" max="12" width="15.7109375" style="1" customWidth="1"/>
  </cols>
  <sheetData>
    <row r="1" spans="1:12" s="2" customFormat="1" ht="60" customHeight="1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5" t="s">
        <v>11</v>
      </c>
    </row>
    <row r="2" spans="1:12" x14ac:dyDescent="0.25">
      <c r="A2" s="7" t="s">
        <v>12</v>
      </c>
      <c r="B2" s="7">
        <v>1</v>
      </c>
      <c r="C2" s="7">
        <v>9</v>
      </c>
      <c r="D2" s="7">
        <v>2020</v>
      </c>
      <c r="E2" s="47">
        <f>'Athens Daily - EL'!AK8</f>
        <v>35365</v>
      </c>
      <c r="F2" s="7"/>
      <c r="G2" s="46">
        <f>'Athens Daily - Gas'!BH9</f>
        <v>131851.15199999954</v>
      </c>
      <c r="H2" s="7"/>
      <c r="I2" s="46">
        <f>'Athens Daily - Water'!R8</f>
        <v>5471.0279999999984</v>
      </c>
      <c r="J2" s="7"/>
      <c r="K2" s="7"/>
      <c r="L2" s="7"/>
    </row>
    <row r="3" spans="1:12" x14ac:dyDescent="0.25">
      <c r="A3" s="7" t="s">
        <v>12</v>
      </c>
      <c r="B3" s="7">
        <v>2</v>
      </c>
      <c r="C3" s="7">
        <v>9</v>
      </c>
      <c r="D3" s="7">
        <v>2020</v>
      </c>
      <c r="E3" s="47">
        <f>'Athens Daily - EL'!AK9</f>
        <v>29587</v>
      </c>
      <c r="F3" s="7"/>
      <c r="G3" s="46">
        <f>'Athens Daily - Gas'!BH10</f>
        <v>125424.67200000006</v>
      </c>
      <c r="H3" s="7"/>
      <c r="I3" s="7">
        <f>'Athens Daily - Water'!R8</f>
        <v>5471.0279999999984</v>
      </c>
      <c r="J3" s="7"/>
      <c r="K3" s="7"/>
      <c r="L3" s="7"/>
    </row>
    <row r="4" spans="1:12" x14ac:dyDescent="0.25">
      <c r="A4" s="7" t="s">
        <v>12</v>
      </c>
      <c r="B4" s="7">
        <v>3</v>
      </c>
      <c r="C4" s="7">
        <v>9</v>
      </c>
      <c r="D4" s="7">
        <v>2020</v>
      </c>
      <c r="E4" s="47">
        <f>'Athens Daily - EL'!AK10</f>
        <v>29603</v>
      </c>
      <c r="F4" s="7"/>
      <c r="G4" s="46">
        <f>'Athens Daily - Gas'!BH11</f>
        <v>115260.76800000001</v>
      </c>
      <c r="H4" s="7"/>
      <c r="I4" s="7">
        <f>'Athens Daily - Water'!R9</f>
        <v>4729.3670000000002</v>
      </c>
      <c r="J4" s="7"/>
      <c r="K4" s="7"/>
      <c r="L4" s="7"/>
    </row>
    <row r="5" spans="1:12" x14ac:dyDescent="0.25">
      <c r="A5" s="7" t="s">
        <v>12</v>
      </c>
      <c r="B5" s="7">
        <v>4</v>
      </c>
      <c r="C5" s="7">
        <v>9</v>
      </c>
      <c r="D5" s="7">
        <v>2020</v>
      </c>
      <c r="E5" s="47">
        <f>'Athens Daily - EL'!AK11</f>
        <v>32463.5</v>
      </c>
      <c r="F5" s="7"/>
      <c r="G5" s="46">
        <f>'Athens Daily - Gas'!BH12</f>
        <v>113173.68000000017</v>
      </c>
      <c r="H5" s="7"/>
      <c r="I5" s="7">
        <f>'Athens Daily - Water'!R10</f>
        <v>4280.9309999999932</v>
      </c>
      <c r="J5" s="7"/>
      <c r="K5" s="7"/>
      <c r="L5" s="7"/>
    </row>
    <row r="6" spans="1:12" x14ac:dyDescent="0.25">
      <c r="A6" s="7" t="s">
        <v>12</v>
      </c>
      <c r="B6" s="7">
        <v>5</v>
      </c>
      <c r="C6" s="7">
        <v>9</v>
      </c>
      <c r="D6" s="7">
        <v>2020</v>
      </c>
      <c r="E6" s="47">
        <f>'Athens Daily - EL'!AK12</f>
        <v>32059</v>
      </c>
      <c r="F6" s="7"/>
      <c r="G6" s="46">
        <f>'Athens Daily - Gas'!BH13</f>
        <v>122106.76799999973</v>
      </c>
      <c r="H6" s="7"/>
      <c r="I6" s="7">
        <f>'Athens Daily - Water'!R11</f>
        <v>4295.8290000000052</v>
      </c>
      <c r="J6" s="7"/>
      <c r="K6" s="7"/>
      <c r="L6" s="7"/>
    </row>
    <row r="7" spans="1:12" x14ac:dyDescent="0.25">
      <c r="A7" s="7" t="s">
        <v>12</v>
      </c>
      <c r="B7" s="7">
        <v>6</v>
      </c>
      <c r="C7" s="7">
        <v>9</v>
      </c>
      <c r="D7" s="7">
        <v>2020</v>
      </c>
      <c r="E7" s="47">
        <f>'Athens Daily - EL'!AK13</f>
        <v>32332</v>
      </c>
      <c r="F7" s="7"/>
      <c r="G7" s="46">
        <f>'Athens Daily - Gas'!BH14</f>
        <v>116675.23200000025</v>
      </c>
      <c r="H7" s="7"/>
      <c r="I7" s="7">
        <f>'Athens Daily - Water'!R12</f>
        <v>4217.5179999999982</v>
      </c>
      <c r="J7" s="7"/>
      <c r="K7" s="7"/>
      <c r="L7" s="7"/>
    </row>
    <row r="8" spans="1:12" x14ac:dyDescent="0.25">
      <c r="A8" s="7" t="s">
        <v>12</v>
      </c>
      <c r="B8" s="7">
        <v>7</v>
      </c>
      <c r="C8" s="7">
        <v>9</v>
      </c>
      <c r="D8" s="7">
        <v>2020</v>
      </c>
      <c r="E8" s="47">
        <f>'Athens Daily - EL'!AK14</f>
        <v>34820.5</v>
      </c>
      <c r="F8" s="7"/>
      <c r="G8" s="46">
        <f>'Athens Daily - Gas'!BH15</f>
        <v>109160.44799999977</v>
      </c>
      <c r="H8" s="7"/>
      <c r="I8" s="7">
        <f>'Athens Daily - Water'!R13</f>
        <v>4374.7999999999975</v>
      </c>
      <c r="J8" s="7"/>
      <c r="K8" s="7"/>
      <c r="L8" s="7"/>
    </row>
    <row r="9" spans="1:12" x14ac:dyDescent="0.25">
      <c r="A9" s="7" t="s">
        <v>12</v>
      </c>
      <c r="B9" s="7">
        <v>8</v>
      </c>
      <c r="C9" s="7">
        <v>9</v>
      </c>
      <c r="D9" s="7">
        <v>2020</v>
      </c>
      <c r="E9" s="47">
        <f>'Athens Daily - EL'!AK15</f>
        <v>35531.5</v>
      </c>
      <c r="F9" s="7"/>
      <c r="G9" s="46">
        <f>'Athens Daily - Gas'!BH16</f>
        <v>111889.77599999984</v>
      </c>
      <c r="H9" s="7"/>
      <c r="I9" s="7">
        <f>'Athens Daily - Water'!R14</f>
        <v>5201.1100000000024</v>
      </c>
      <c r="J9" s="7"/>
      <c r="K9" s="7"/>
      <c r="L9" s="7"/>
    </row>
    <row r="10" spans="1:12" x14ac:dyDescent="0.25">
      <c r="A10" s="7" t="s">
        <v>12</v>
      </c>
      <c r="B10" s="7">
        <v>9</v>
      </c>
      <c r="C10" s="7">
        <v>9</v>
      </c>
      <c r="D10" s="7">
        <v>2020</v>
      </c>
      <c r="E10" s="47">
        <f>'Athens Daily - EL'!AK16</f>
        <v>29839</v>
      </c>
      <c r="F10" s="7"/>
      <c r="G10" s="46">
        <f>'Athens Daily - Gas'!BH17</f>
        <v>114265.63200000054</v>
      </c>
      <c r="H10" s="7"/>
      <c r="I10" s="7">
        <f>'Athens Daily - Water'!R15</f>
        <v>4863.2260000000024</v>
      </c>
      <c r="J10" s="7"/>
      <c r="K10" s="7"/>
      <c r="L10" s="7"/>
    </row>
    <row r="11" spans="1:12" x14ac:dyDescent="0.25">
      <c r="A11" s="7" t="s">
        <v>12</v>
      </c>
      <c r="B11" s="7">
        <v>10</v>
      </c>
      <c r="C11" s="7">
        <v>9</v>
      </c>
      <c r="D11" s="7">
        <v>2020</v>
      </c>
      <c r="E11" s="47">
        <f>'Athens Daily - EL'!AK17</f>
        <v>28978</v>
      </c>
      <c r="F11" s="7"/>
      <c r="G11" s="46">
        <f>'Athens Daily - Gas'!BH18</f>
        <v>111604.94399999999</v>
      </c>
      <c r="H11" s="7"/>
      <c r="I11" s="7">
        <f>'Athens Daily - Water'!R16</f>
        <v>4208.3510000000024</v>
      </c>
      <c r="J11" s="7"/>
      <c r="K11" s="7"/>
      <c r="L11" s="7"/>
    </row>
    <row r="12" spans="1:12" x14ac:dyDescent="0.25">
      <c r="A12" s="7" t="s">
        <v>12</v>
      </c>
      <c r="B12" s="7">
        <v>11</v>
      </c>
      <c r="C12" s="7">
        <v>9</v>
      </c>
      <c r="D12" s="7">
        <v>2020</v>
      </c>
      <c r="E12" s="47">
        <f>'Athens Daily - EL'!AK18</f>
        <v>28806.5</v>
      </c>
      <c r="F12" s="7"/>
      <c r="G12" s="46">
        <f>'Athens Daily - Gas'!BH19</f>
        <v>114532.99199999947</v>
      </c>
      <c r="H12" s="7"/>
      <c r="I12" s="7">
        <f>'Athens Daily - Water'!R17</f>
        <v>4480.5869999999941</v>
      </c>
      <c r="J12" s="7"/>
      <c r="K12" s="7"/>
      <c r="L12" s="7"/>
    </row>
    <row r="13" spans="1:12" x14ac:dyDescent="0.25">
      <c r="A13" s="7" t="s">
        <v>12</v>
      </c>
      <c r="B13" s="7">
        <v>12</v>
      </c>
      <c r="C13" s="7">
        <v>9</v>
      </c>
      <c r="D13" s="7">
        <v>2020</v>
      </c>
      <c r="E13" s="47">
        <f>'Athens Daily - EL'!AK19</f>
        <v>27811</v>
      </c>
      <c r="F13" s="7"/>
      <c r="G13" s="46">
        <f>'Athens Daily - Gas'!BH20</f>
        <v>122268.57600000026</v>
      </c>
      <c r="H13" s="7"/>
      <c r="I13" s="7">
        <f>'Athens Daily - Water'!R18</f>
        <v>5048.0290000000005</v>
      </c>
      <c r="J13" s="7"/>
      <c r="K13" s="7"/>
      <c r="L13" s="7"/>
    </row>
    <row r="14" spans="1:12" x14ac:dyDescent="0.25">
      <c r="A14" s="7" t="s">
        <v>12</v>
      </c>
      <c r="B14" s="7">
        <v>13</v>
      </c>
      <c r="C14" s="7">
        <v>9</v>
      </c>
      <c r="D14" s="7">
        <v>2020</v>
      </c>
      <c r="E14" s="47">
        <f>'Athens Daily - EL'!AK20</f>
        <v>27969</v>
      </c>
      <c r="F14" s="7"/>
      <c r="G14" s="46">
        <f>'Athens Daily - Gas'!BH21</f>
        <v>119453.28000000017</v>
      </c>
      <c r="H14" s="7"/>
      <c r="I14" s="7">
        <f>'Athens Daily - Water'!R19</f>
        <v>4991.9290000000001</v>
      </c>
      <c r="J14" s="7"/>
      <c r="K14" s="7"/>
      <c r="L14" s="7"/>
    </row>
    <row r="15" spans="1:12" x14ac:dyDescent="0.25">
      <c r="A15" s="7" t="s">
        <v>12</v>
      </c>
      <c r="B15" s="7">
        <v>14</v>
      </c>
      <c r="C15" s="7">
        <v>9</v>
      </c>
      <c r="D15" s="7">
        <v>2020</v>
      </c>
      <c r="E15" s="47">
        <f>'Athens Daily - EL'!AK21</f>
        <v>28930.5</v>
      </c>
      <c r="F15" s="7"/>
      <c r="G15" s="46">
        <f>'Athens Daily - Gas'!BH22</f>
        <v>119660.8319999997</v>
      </c>
      <c r="H15" s="7"/>
      <c r="I15" s="7">
        <f>'Athens Daily - Water'!R20</f>
        <v>4886.5300000000025</v>
      </c>
      <c r="J15" s="7"/>
      <c r="K15" s="7"/>
      <c r="L15" s="7"/>
    </row>
    <row r="16" spans="1:12" x14ac:dyDescent="0.25">
      <c r="A16" s="7" t="s">
        <v>12</v>
      </c>
      <c r="B16" s="7">
        <v>15</v>
      </c>
      <c r="C16" s="7">
        <v>9</v>
      </c>
      <c r="D16" s="7">
        <v>2020</v>
      </c>
      <c r="E16" s="47">
        <f>'Athens Daily - EL'!AK22</f>
        <v>30663</v>
      </c>
      <c r="F16" s="7"/>
      <c r="G16" s="46">
        <f>'Athens Daily - Gas'!BH23</f>
        <v>128759.76000000018</v>
      </c>
      <c r="H16" s="7"/>
      <c r="I16" s="7">
        <f>'Athens Daily - Water'!R21</f>
        <v>5482.0199999999968</v>
      </c>
      <c r="J16" s="7"/>
      <c r="K16" s="7"/>
      <c r="L16" s="7"/>
    </row>
    <row r="17" spans="1:12" x14ac:dyDescent="0.25">
      <c r="A17" s="7" t="s">
        <v>12</v>
      </c>
      <c r="B17" s="7">
        <v>16</v>
      </c>
      <c r="C17" s="7">
        <v>9</v>
      </c>
      <c r="D17" s="7">
        <v>2020</v>
      </c>
      <c r="E17" s="47">
        <f>'Athens Daily - EL'!AK23</f>
        <v>29998</v>
      </c>
      <c r="F17" s="7"/>
      <c r="G17" s="46">
        <f>'Athens Daily - Gas'!BH24</f>
        <v>132275.42400000003</v>
      </c>
      <c r="H17" s="7"/>
      <c r="I17" s="7">
        <f>'Athens Daily - Water'!R22</f>
        <v>5816.073000000004</v>
      </c>
      <c r="J17" s="7"/>
      <c r="K17" s="7"/>
      <c r="L17" s="7"/>
    </row>
    <row r="18" spans="1:12" x14ac:dyDescent="0.25">
      <c r="A18" s="7" t="s">
        <v>12</v>
      </c>
      <c r="B18" s="7">
        <v>17</v>
      </c>
      <c r="C18" s="7">
        <v>9</v>
      </c>
      <c r="D18" s="7">
        <v>2020</v>
      </c>
      <c r="E18" s="47">
        <f>'Athens Daily - EL'!AK24</f>
        <v>31812.5</v>
      </c>
      <c r="F18" s="7"/>
      <c r="G18" s="46">
        <f>'Athens Daily - Gas'!BH25</f>
        <v>125457.59999999986</v>
      </c>
      <c r="H18" s="7"/>
      <c r="I18" s="7">
        <f>'Athens Daily - Water'!R23</f>
        <v>5273.2289999999975</v>
      </c>
      <c r="J18" s="7"/>
      <c r="K18" s="7"/>
      <c r="L18" s="7"/>
    </row>
    <row r="19" spans="1:12" x14ac:dyDescent="0.25">
      <c r="A19" s="7" t="s">
        <v>12</v>
      </c>
      <c r="B19" s="7">
        <v>18</v>
      </c>
      <c r="C19" s="7">
        <v>9</v>
      </c>
      <c r="D19" s="7">
        <v>2020</v>
      </c>
      <c r="E19" s="47">
        <f>'Athens Daily - EL'!AK25</f>
        <v>36363</v>
      </c>
      <c r="F19" s="7"/>
      <c r="G19" s="46">
        <f>'Athens Daily - Gas'!BH26</f>
        <v>115643.08799999984</v>
      </c>
      <c r="H19" s="7"/>
      <c r="I19" s="7">
        <f>'Athens Daily - Water'!R24</f>
        <v>4577.9359999999997</v>
      </c>
      <c r="J19" s="7"/>
      <c r="K19" s="7"/>
      <c r="L19" s="7"/>
    </row>
    <row r="20" spans="1:12" x14ac:dyDescent="0.25">
      <c r="A20" s="7" t="s">
        <v>12</v>
      </c>
      <c r="B20" s="7">
        <v>19</v>
      </c>
      <c r="C20" s="7">
        <v>9</v>
      </c>
      <c r="D20" s="7">
        <v>2020</v>
      </c>
      <c r="E20" s="47">
        <f>'Athens Daily - EL'!AK26</f>
        <v>36858</v>
      </c>
      <c r="F20" s="7"/>
      <c r="G20" s="46">
        <f>'Athens Daily - Gas'!BH27</f>
        <v>116090.49600000022</v>
      </c>
      <c r="H20" s="7"/>
      <c r="I20" s="7">
        <f>'Athens Daily - Water'!R25</f>
        <v>4701.2239999999965</v>
      </c>
      <c r="J20" s="7"/>
      <c r="K20" s="7"/>
      <c r="L20" s="7"/>
    </row>
    <row r="21" spans="1:12" x14ac:dyDescent="0.25">
      <c r="A21" s="7" t="s">
        <v>12</v>
      </c>
      <c r="B21" s="7">
        <v>20</v>
      </c>
      <c r="C21" s="7">
        <v>9</v>
      </c>
      <c r="D21" s="7">
        <v>2020</v>
      </c>
      <c r="E21" s="47">
        <f>'Athens Daily - EL'!AK27</f>
        <v>38830.5</v>
      </c>
      <c r="F21" s="7"/>
      <c r="G21" s="46">
        <f>'Athens Daily - Gas'!BH28</f>
        <v>109340.7839999998</v>
      </c>
      <c r="H21" s="7"/>
      <c r="I21" s="7">
        <f>'Athens Daily - Water'!R26</f>
        <v>4867.7910000000065</v>
      </c>
      <c r="J21" s="7"/>
      <c r="K21" s="7"/>
      <c r="L21" s="7"/>
    </row>
    <row r="22" spans="1:12" x14ac:dyDescent="0.25">
      <c r="A22" s="7" t="s">
        <v>12</v>
      </c>
      <c r="B22" s="7">
        <v>21</v>
      </c>
      <c r="C22" s="7">
        <v>9</v>
      </c>
      <c r="D22" s="7">
        <v>2020</v>
      </c>
      <c r="E22" s="47">
        <f>'Athens Daily - EL'!AK28</f>
        <v>37337</v>
      </c>
      <c r="F22" s="7"/>
      <c r="G22" s="46">
        <f>'Athens Daily - Gas'!BH29</f>
        <v>121629.69600000008</v>
      </c>
      <c r="H22" s="7"/>
      <c r="I22" s="7">
        <f>'Athens Daily - Water'!R27</f>
        <v>5024.8459999999977</v>
      </c>
      <c r="J22" s="7"/>
      <c r="K22" s="7"/>
      <c r="L22" s="7"/>
    </row>
    <row r="23" spans="1:12" x14ac:dyDescent="0.25">
      <c r="A23" s="7" t="s">
        <v>12</v>
      </c>
      <c r="B23" s="7">
        <v>22</v>
      </c>
      <c r="C23" s="7">
        <v>9</v>
      </c>
      <c r="D23" s="7">
        <v>2020</v>
      </c>
      <c r="E23" s="47">
        <f>'Athens Daily - EL'!AK29</f>
        <v>37716</v>
      </c>
      <c r="F23" s="7"/>
      <c r="G23" s="46">
        <f>'Athens Daily - Gas'!BH30</f>
        <v>131836.12799999994</v>
      </c>
      <c r="H23" s="7"/>
      <c r="I23" s="7">
        <f>'Athens Daily - Water'!R28</f>
        <v>5994.7479999999996</v>
      </c>
      <c r="J23" s="7"/>
      <c r="K23" s="7"/>
      <c r="L23" s="7"/>
    </row>
    <row r="24" spans="1:12" x14ac:dyDescent="0.25">
      <c r="A24" s="7" t="s">
        <v>12</v>
      </c>
      <c r="B24" s="7">
        <v>23</v>
      </c>
      <c r="C24" s="7">
        <v>9</v>
      </c>
      <c r="D24" s="7">
        <v>2020</v>
      </c>
      <c r="E24" s="47">
        <f>'Athens Daily - EL'!AK30</f>
        <v>36138</v>
      </c>
      <c r="F24" s="7"/>
      <c r="G24" s="46">
        <f>'Athens Daily - Gas'!BH31</f>
        <v>125411.13600000003</v>
      </c>
      <c r="H24" s="7"/>
      <c r="I24" s="7">
        <f>'Athens Daily - Water'!R29</f>
        <v>6053.2790000000023</v>
      </c>
      <c r="J24" s="7"/>
      <c r="K24" s="7"/>
      <c r="L24" s="7"/>
    </row>
    <row r="25" spans="1:12" x14ac:dyDescent="0.25">
      <c r="A25" s="7" t="s">
        <v>12</v>
      </c>
      <c r="B25" s="7">
        <v>24</v>
      </c>
      <c r="C25" s="7">
        <v>9</v>
      </c>
      <c r="D25" s="7">
        <v>2020</v>
      </c>
      <c r="E25" s="47">
        <f>'Athens Daily - EL'!AK31</f>
        <v>33848.5</v>
      </c>
      <c r="F25" s="7"/>
      <c r="G25" s="46">
        <f>'Athens Daily - Gas'!BH32</f>
        <v>124766.0640000001</v>
      </c>
      <c r="H25" s="7"/>
      <c r="I25" s="7">
        <f>'Athens Daily - Water'!R30</f>
        <v>5035.5449999999946</v>
      </c>
      <c r="J25" s="7"/>
      <c r="K25" s="7"/>
      <c r="L25" s="7"/>
    </row>
    <row r="26" spans="1:12" x14ac:dyDescent="0.25">
      <c r="A26" s="7" t="s">
        <v>12</v>
      </c>
      <c r="B26" s="7">
        <v>25</v>
      </c>
      <c r="C26" s="7">
        <v>9</v>
      </c>
      <c r="D26" s="7">
        <v>2020</v>
      </c>
      <c r="E26" s="47">
        <f>'Athens Daily - EL'!AK32</f>
        <v>34127.5</v>
      </c>
      <c r="F26" s="7"/>
      <c r="G26" s="46">
        <f>'Athens Daily - Gas'!BH33</f>
        <v>115628.49599999996</v>
      </c>
      <c r="H26" s="7"/>
      <c r="I26" s="7">
        <f>'Athens Daily - Water'!R31</f>
        <v>4706.8430000000044</v>
      </c>
      <c r="J26" s="7"/>
      <c r="K26" s="7"/>
      <c r="L26" s="7"/>
    </row>
    <row r="27" spans="1:12" x14ac:dyDescent="0.25">
      <c r="A27" s="7" t="s">
        <v>12</v>
      </c>
      <c r="B27" s="7">
        <v>26</v>
      </c>
      <c r="C27" s="7">
        <v>9</v>
      </c>
      <c r="D27" s="7">
        <v>2020</v>
      </c>
      <c r="E27" s="47">
        <f>'Athens Daily - EL'!AK33</f>
        <v>34086</v>
      </c>
      <c r="F27" s="7"/>
      <c r="G27" s="46">
        <f>'Athens Daily - Gas'!BH34</f>
        <v>114933.07200000007</v>
      </c>
      <c r="H27" s="7"/>
      <c r="I27" s="7">
        <f>'Athens Daily - Water'!R32</f>
        <v>4570.2580000000034</v>
      </c>
      <c r="J27" s="7"/>
      <c r="K27" s="7"/>
      <c r="L27" s="7"/>
    </row>
    <row r="28" spans="1:12" x14ac:dyDescent="0.25">
      <c r="A28" s="7" t="s">
        <v>12</v>
      </c>
      <c r="B28" s="7">
        <v>27</v>
      </c>
      <c r="C28" s="7">
        <v>9</v>
      </c>
      <c r="D28" s="7">
        <v>2020</v>
      </c>
      <c r="E28" s="47">
        <f>'Athens Daily - EL'!AK34</f>
        <v>33191.5</v>
      </c>
      <c r="F28" s="7"/>
      <c r="G28" s="46">
        <f>'Athens Daily - Gas'!BH35</f>
        <v>113958.144</v>
      </c>
      <c r="H28" s="7"/>
      <c r="I28" s="7">
        <f>'Athens Daily - Water'!R33</f>
        <v>4745.014999999994</v>
      </c>
      <c r="J28" s="7"/>
      <c r="K28" s="7"/>
      <c r="L28" s="7"/>
    </row>
    <row r="29" spans="1:12" x14ac:dyDescent="0.25">
      <c r="A29" s="7" t="s">
        <v>12</v>
      </c>
      <c r="B29" s="7">
        <v>28</v>
      </c>
      <c r="C29" s="7">
        <v>9</v>
      </c>
      <c r="D29" s="7">
        <v>2020</v>
      </c>
      <c r="E29" s="47">
        <f>'Athens Daily - EL'!AK35</f>
        <v>27698</v>
      </c>
      <c r="F29" s="7"/>
      <c r="G29" s="46">
        <f>'Athens Daily - Gas'!BH36</f>
        <v>113588.40000000029</v>
      </c>
      <c r="H29" s="7"/>
      <c r="I29" s="7">
        <f>'Athens Daily - Water'!R34</f>
        <v>4733.2739999999976</v>
      </c>
      <c r="J29" s="7"/>
      <c r="K29" s="7"/>
      <c r="L29" s="7"/>
    </row>
    <row r="30" spans="1:12" x14ac:dyDescent="0.25">
      <c r="A30" s="7" t="s">
        <v>12</v>
      </c>
      <c r="B30" s="7">
        <v>29</v>
      </c>
      <c r="C30" s="7">
        <v>9</v>
      </c>
      <c r="D30" s="7">
        <v>2020</v>
      </c>
      <c r="E30" s="47">
        <f>'Athens Daily - EL'!AK36</f>
        <v>29077</v>
      </c>
      <c r="F30" s="7"/>
      <c r="G30" s="46">
        <f>'Athens Daily - Gas'!BH37</f>
        <v>121243.67999999961</v>
      </c>
      <c r="H30" s="7"/>
      <c r="I30" s="7">
        <f>'Athens Daily - Water'!R35</f>
        <v>5966.6240000000053</v>
      </c>
      <c r="J30" s="7"/>
      <c r="K30" s="7"/>
      <c r="L30" s="7"/>
    </row>
    <row r="31" spans="1:12" x14ac:dyDescent="0.25">
      <c r="A31" s="7" t="s">
        <v>12</v>
      </c>
      <c r="B31" s="7">
        <v>30</v>
      </c>
      <c r="C31" s="7">
        <v>9</v>
      </c>
      <c r="D31" s="7">
        <v>2020</v>
      </c>
      <c r="E31" s="47">
        <f>'Athens Daily - EL'!AK37</f>
        <v>31511</v>
      </c>
      <c r="F31" s="7"/>
      <c r="G31" s="46">
        <f>'Athens Daily - Gas'!BH38</f>
        <v>118230.09599999982</v>
      </c>
      <c r="H31" s="7"/>
      <c r="I31" s="7">
        <f>'Athens Daily - Water'!R36</f>
        <v>5177.9149999999954</v>
      </c>
      <c r="J31" s="7"/>
      <c r="K31" s="7"/>
      <c r="L31" s="7"/>
    </row>
    <row r="33" spans="5:9" x14ac:dyDescent="0.25">
      <c r="E33" s="197"/>
      <c r="G33" s="197"/>
      <c r="I33" s="19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opLeftCell="A28" workbookViewId="0">
      <selection activeCell="B5" sqref="B5"/>
    </sheetView>
  </sheetViews>
  <sheetFormatPr defaultRowHeight="15" x14ac:dyDescent="0.25"/>
  <cols>
    <col min="1" max="1" width="23.140625" customWidth="1"/>
    <col min="2" max="4" width="12.140625" style="1" customWidth="1"/>
    <col min="5" max="12" width="15.7109375" style="1" customWidth="1"/>
  </cols>
  <sheetData>
    <row r="1" spans="1:12" s="2" customFormat="1" ht="60" customHeight="1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5" t="s">
        <v>11</v>
      </c>
    </row>
    <row r="2" spans="1:12" x14ac:dyDescent="0.25">
      <c r="A2" s="7" t="s">
        <v>12</v>
      </c>
      <c r="B2" s="7">
        <v>1</v>
      </c>
      <c r="C2" s="7">
        <v>9</v>
      </c>
      <c r="D2" s="7">
        <v>2020</v>
      </c>
      <c r="E2" s="7">
        <f>'Athens Daily - EL'!AL8</f>
        <v>10331</v>
      </c>
      <c r="F2" s="7"/>
      <c r="G2" s="46">
        <f>'Athens Daily - Gas'!BI9</f>
        <v>68976</v>
      </c>
      <c r="H2" s="7"/>
      <c r="I2" s="47">
        <f>'Athens Daily - Water'!S7</f>
        <v>1556.5</v>
      </c>
      <c r="J2" s="7"/>
      <c r="K2" s="7"/>
      <c r="L2" s="7"/>
    </row>
    <row r="3" spans="1:12" x14ac:dyDescent="0.25">
      <c r="A3" s="7" t="s">
        <v>12</v>
      </c>
      <c r="B3" s="7">
        <v>2</v>
      </c>
      <c r="C3" s="7">
        <v>9</v>
      </c>
      <c r="D3" s="7">
        <v>2020</v>
      </c>
      <c r="E3" s="7">
        <f>'Athens Daily - EL'!AL9</f>
        <v>6272</v>
      </c>
      <c r="F3" s="7"/>
      <c r="G3" s="46">
        <f>'Athens Daily - Gas'!BI10</f>
        <v>71932.800000000003</v>
      </c>
      <c r="H3" s="7"/>
      <c r="I3" s="47">
        <f>'Athens Daily - Water'!S8</f>
        <v>1498</v>
      </c>
      <c r="J3" s="7"/>
      <c r="K3" s="7"/>
      <c r="L3" s="7"/>
    </row>
    <row r="4" spans="1:12" x14ac:dyDescent="0.25">
      <c r="A4" s="7" t="s">
        <v>12</v>
      </c>
      <c r="B4" s="7">
        <v>3</v>
      </c>
      <c r="C4" s="7">
        <v>9</v>
      </c>
      <c r="D4" s="7">
        <v>2020</v>
      </c>
      <c r="E4" s="7">
        <f>'Athens Daily - EL'!AL10</f>
        <v>5831</v>
      </c>
      <c r="F4" s="7"/>
      <c r="G4" s="46">
        <f>'Athens Daily - Gas'!BI11</f>
        <v>60537.600000000006</v>
      </c>
      <c r="H4" s="7"/>
      <c r="I4" s="47">
        <f>'Athens Daily - Water'!S9</f>
        <v>1454.5</v>
      </c>
      <c r="J4" s="7"/>
      <c r="K4" s="7"/>
      <c r="L4" s="7"/>
    </row>
    <row r="5" spans="1:12" x14ac:dyDescent="0.25">
      <c r="A5" s="7" t="s">
        <v>12</v>
      </c>
      <c r="B5" s="7">
        <v>4</v>
      </c>
      <c r="C5" s="7">
        <v>9</v>
      </c>
      <c r="D5" s="7">
        <v>2020</v>
      </c>
      <c r="E5" s="7">
        <f>'Athens Daily - EL'!AL11</f>
        <v>9032.5</v>
      </c>
      <c r="F5" s="7"/>
      <c r="G5" s="46">
        <f>'Athens Daily - Gas'!BI12</f>
        <v>63312</v>
      </c>
      <c r="H5" s="7"/>
      <c r="I5" s="47">
        <f>'Athens Daily - Water'!S10</f>
        <v>1428</v>
      </c>
      <c r="J5" s="7"/>
      <c r="K5" s="7"/>
      <c r="L5" s="7"/>
    </row>
    <row r="6" spans="1:12" x14ac:dyDescent="0.25">
      <c r="A6" s="7" t="s">
        <v>12</v>
      </c>
      <c r="B6" s="7">
        <v>5</v>
      </c>
      <c r="C6" s="7">
        <v>9</v>
      </c>
      <c r="D6" s="7">
        <v>2020</v>
      </c>
      <c r="E6" s="7">
        <f>'Athens Daily - EL'!AL12</f>
        <v>8976</v>
      </c>
      <c r="F6" s="7"/>
      <c r="G6" s="46">
        <f>'Athens Daily - Gas'!BI13</f>
        <v>66028.800000000003</v>
      </c>
      <c r="H6" s="7"/>
      <c r="I6" s="47">
        <f>'Athens Daily - Water'!S11</f>
        <v>1313</v>
      </c>
      <c r="J6" s="7"/>
      <c r="K6" s="7"/>
      <c r="L6" s="7"/>
    </row>
    <row r="7" spans="1:12" x14ac:dyDescent="0.25">
      <c r="A7" s="7" t="s">
        <v>12</v>
      </c>
      <c r="B7" s="7">
        <v>6</v>
      </c>
      <c r="C7" s="7">
        <v>9</v>
      </c>
      <c r="D7" s="7">
        <v>2020</v>
      </c>
      <c r="E7" s="7">
        <f>'Athens Daily - EL'!AL13</f>
        <v>8668</v>
      </c>
      <c r="F7" s="7"/>
      <c r="G7" s="46">
        <f>'Athens Daily - Gas'!BI14</f>
        <v>60835.200000000004</v>
      </c>
      <c r="H7" s="7"/>
      <c r="I7" s="47">
        <f>'Athens Daily - Water'!S12</f>
        <v>1489.5</v>
      </c>
      <c r="J7" s="7"/>
      <c r="K7" s="7"/>
      <c r="L7" s="7"/>
    </row>
    <row r="8" spans="1:12" x14ac:dyDescent="0.25">
      <c r="A8" s="7" t="s">
        <v>12</v>
      </c>
      <c r="B8" s="7">
        <v>7</v>
      </c>
      <c r="C8" s="7">
        <v>9</v>
      </c>
      <c r="D8" s="7">
        <v>2020</v>
      </c>
      <c r="E8" s="7">
        <f>'Athens Daily - EL'!AL14</f>
        <v>10686.5</v>
      </c>
      <c r="F8" s="7"/>
      <c r="G8" s="46">
        <f>'Athens Daily - Gas'!BI15</f>
        <v>62390.400000000001</v>
      </c>
      <c r="H8" s="7"/>
      <c r="I8" s="47">
        <f>'Athens Daily - Water'!S13</f>
        <v>1505.5</v>
      </c>
      <c r="J8" s="7"/>
      <c r="K8" s="7"/>
      <c r="L8" s="7"/>
    </row>
    <row r="9" spans="1:12" x14ac:dyDescent="0.25">
      <c r="A9" s="7" t="s">
        <v>12</v>
      </c>
      <c r="B9" s="7">
        <v>8</v>
      </c>
      <c r="C9" s="7">
        <v>9</v>
      </c>
      <c r="D9" s="7">
        <v>2020</v>
      </c>
      <c r="E9" s="7">
        <f>'Athens Daily - EL'!AL15</f>
        <v>10433.5</v>
      </c>
      <c r="F9" s="7"/>
      <c r="G9" s="46">
        <f>'Athens Daily - Gas'!BI16</f>
        <v>58752</v>
      </c>
      <c r="H9" s="7"/>
      <c r="I9" s="47">
        <f>'Athens Daily - Water'!S14</f>
        <v>1511</v>
      </c>
      <c r="J9" s="7"/>
      <c r="K9" s="7"/>
      <c r="L9" s="7"/>
    </row>
    <row r="10" spans="1:12" x14ac:dyDescent="0.25">
      <c r="A10" s="7" t="s">
        <v>12</v>
      </c>
      <c r="B10" s="7">
        <v>9</v>
      </c>
      <c r="C10" s="7">
        <v>9</v>
      </c>
      <c r="D10" s="7">
        <v>2020</v>
      </c>
      <c r="E10" s="7">
        <f>'Athens Daily - EL'!AL16</f>
        <v>7043</v>
      </c>
      <c r="F10" s="7"/>
      <c r="G10" s="46">
        <f>'Athens Daily - Gas'!BI17</f>
        <v>57417.599999999999</v>
      </c>
      <c r="H10" s="7"/>
      <c r="I10" s="47">
        <f>'Athens Daily - Water'!S15</f>
        <v>1362</v>
      </c>
      <c r="J10" s="7"/>
      <c r="K10" s="7"/>
      <c r="L10" s="7"/>
    </row>
    <row r="11" spans="1:12" x14ac:dyDescent="0.25">
      <c r="A11" s="7" t="s">
        <v>12</v>
      </c>
      <c r="B11" s="7">
        <v>10</v>
      </c>
      <c r="C11" s="7">
        <v>9</v>
      </c>
      <c r="D11" s="7">
        <v>2020</v>
      </c>
      <c r="E11" s="7">
        <f>'Athens Daily - EL'!AL17</f>
        <v>4654</v>
      </c>
      <c r="F11" s="7"/>
      <c r="G11" s="46">
        <f>'Athens Daily - Gas'!BI18</f>
        <v>59337.599999999999</v>
      </c>
      <c r="H11" s="7"/>
      <c r="I11" s="47">
        <f>'Athens Daily - Water'!S16</f>
        <v>1337.5</v>
      </c>
      <c r="J11" s="7"/>
      <c r="K11" s="7"/>
      <c r="L11" s="7"/>
    </row>
    <row r="12" spans="1:12" x14ac:dyDescent="0.25">
      <c r="A12" s="7" t="s">
        <v>12</v>
      </c>
      <c r="B12" s="7">
        <v>11</v>
      </c>
      <c r="C12" s="7">
        <v>9</v>
      </c>
      <c r="D12" s="7">
        <v>2020</v>
      </c>
      <c r="E12" s="7">
        <f>'Athens Daily - EL'!AL18</f>
        <v>5064.5</v>
      </c>
      <c r="F12" s="7"/>
      <c r="G12" s="46">
        <f>'Athens Daily - Gas'!BI19</f>
        <v>60201.599999999999</v>
      </c>
      <c r="H12" s="7"/>
      <c r="I12" s="47">
        <f>'Athens Daily - Water'!S17</f>
        <v>1419.5</v>
      </c>
      <c r="J12" s="7"/>
      <c r="K12" s="7"/>
      <c r="L12" s="7"/>
    </row>
    <row r="13" spans="1:12" x14ac:dyDescent="0.25">
      <c r="A13" s="7" t="s">
        <v>12</v>
      </c>
      <c r="B13" s="7">
        <v>12</v>
      </c>
      <c r="C13" s="7">
        <v>9</v>
      </c>
      <c r="D13" s="7">
        <v>2020</v>
      </c>
      <c r="E13" s="7">
        <f>'Athens Daily - EL'!AL19</f>
        <v>4875</v>
      </c>
      <c r="F13" s="7"/>
      <c r="G13" s="46">
        <f>'Athens Daily - Gas'!BI20</f>
        <v>62390.400000000001</v>
      </c>
      <c r="H13" s="7"/>
      <c r="I13" s="47">
        <f>'Athens Daily - Water'!S18</f>
        <v>1431</v>
      </c>
      <c r="J13" s="7"/>
      <c r="K13" s="7"/>
      <c r="L13" s="7"/>
    </row>
    <row r="14" spans="1:12" x14ac:dyDescent="0.25">
      <c r="A14" s="7" t="s">
        <v>12</v>
      </c>
      <c r="B14" s="7">
        <v>13</v>
      </c>
      <c r="C14" s="7">
        <v>9</v>
      </c>
      <c r="D14" s="7">
        <v>2020</v>
      </c>
      <c r="E14" s="7">
        <f>'Athens Daily - EL'!AL20</f>
        <v>4270</v>
      </c>
      <c r="F14" s="7"/>
      <c r="G14" s="46">
        <f>'Athens Daily - Gas'!BI21</f>
        <v>63110.400000000001</v>
      </c>
      <c r="H14" s="7"/>
      <c r="I14" s="47">
        <f>'Athens Daily - Water'!S19</f>
        <v>1397.5</v>
      </c>
      <c r="J14" s="7"/>
      <c r="K14" s="7"/>
      <c r="L14" s="7"/>
    </row>
    <row r="15" spans="1:12" x14ac:dyDescent="0.25">
      <c r="A15" s="7" t="s">
        <v>12</v>
      </c>
      <c r="B15" s="7">
        <v>14</v>
      </c>
      <c r="C15" s="7">
        <v>9</v>
      </c>
      <c r="D15" s="7">
        <v>2020</v>
      </c>
      <c r="E15" s="7">
        <f>'Athens Daily - EL'!AL21</f>
        <v>4560.5</v>
      </c>
      <c r="F15" s="7"/>
      <c r="G15" s="46">
        <f>'Athens Daily - Gas'!BI22</f>
        <v>65424</v>
      </c>
      <c r="H15" s="7"/>
      <c r="I15" s="47">
        <f>'Athens Daily - Water'!S20</f>
        <v>1872.5</v>
      </c>
      <c r="J15" s="7"/>
      <c r="K15" s="7"/>
      <c r="L15" s="7"/>
    </row>
    <row r="16" spans="1:12" x14ac:dyDescent="0.25">
      <c r="A16" s="7" t="s">
        <v>12</v>
      </c>
      <c r="B16" s="7">
        <v>15</v>
      </c>
      <c r="C16" s="7">
        <v>9</v>
      </c>
      <c r="D16" s="7">
        <v>2020</v>
      </c>
      <c r="E16" s="7">
        <f>'Athens Daily - EL'!AL22</f>
        <v>4931</v>
      </c>
      <c r="F16" s="7"/>
      <c r="G16" s="46">
        <f>'Athens Daily - Gas'!BI23</f>
        <v>65011.200000000004</v>
      </c>
      <c r="H16" s="7"/>
      <c r="I16" s="47">
        <f>'Athens Daily - Water'!S21</f>
        <v>1493.5</v>
      </c>
      <c r="J16" s="7"/>
      <c r="K16" s="7"/>
      <c r="L16" s="7"/>
    </row>
    <row r="17" spans="1:12" x14ac:dyDescent="0.25">
      <c r="A17" s="7" t="s">
        <v>12</v>
      </c>
      <c r="B17" s="7">
        <v>16</v>
      </c>
      <c r="C17" s="7">
        <v>9</v>
      </c>
      <c r="D17" s="7">
        <v>2020</v>
      </c>
      <c r="E17" s="7">
        <f>'Athens Daily - EL'!AL23</f>
        <v>6110</v>
      </c>
      <c r="F17" s="7"/>
      <c r="G17" s="46">
        <f>'Athens Daily - Gas'!BI24</f>
        <v>72086.399999999994</v>
      </c>
      <c r="H17" s="7"/>
      <c r="I17" s="47">
        <f>'Athens Daily - Water'!S22</f>
        <v>1477</v>
      </c>
      <c r="J17" s="7"/>
      <c r="K17" s="7"/>
      <c r="L17" s="7"/>
    </row>
    <row r="18" spans="1:12" x14ac:dyDescent="0.25">
      <c r="A18" s="7" t="s">
        <v>12</v>
      </c>
      <c r="B18" s="7">
        <v>17</v>
      </c>
      <c r="C18" s="7">
        <v>9</v>
      </c>
      <c r="D18" s="7">
        <v>2020</v>
      </c>
      <c r="E18" s="7">
        <f>'Athens Daily - EL'!AL24</f>
        <v>7881.5</v>
      </c>
      <c r="F18" s="7"/>
      <c r="G18" s="46">
        <f>'Athens Daily - Gas'!BI25</f>
        <v>68064</v>
      </c>
      <c r="H18" s="7"/>
      <c r="I18" s="47">
        <f>'Athens Daily - Water'!S23</f>
        <v>1536.5</v>
      </c>
      <c r="J18" s="7"/>
      <c r="K18" s="7"/>
      <c r="L18" s="7"/>
    </row>
    <row r="19" spans="1:12" x14ac:dyDescent="0.25">
      <c r="A19" s="7" t="s">
        <v>12</v>
      </c>
      <c r="B19" s="7">
        <v>18</v>
      </c>
      <c r="C19" s="7">
        <v>9</v>
      </c>
      <c r="D19" s="7">
        <v>2020</v>
      </c>
      <c r="E19" s="7">
        <f>'Athens Daily - EL'!AL25</f>
        <v>11826</v>
      </c>
      <c r="F19" s="7"/>
      <c r="G19" s="46">
        <f>'Athens Daily - Gas'!BI26</f>
        <v>64473.599999999999</v>
      </c>
      <c r="H19" s="7"/>
      <c r="I19" s="47">
        <f>'Athens Daily - Water'!S24</f>
        <v>1350</v>
      </c>
      <c r="J19" s="7"/>
      <c r="K19" s="7"/>
      <c r="L19" s="7"/>
    </row>
    <row r="20" spans="1:12" x14ac:dyDescent="0.25">
      <c r="A20" s="7" t="s">
        <v>12</v>
      </c>
      <c r="B20" s="7">
        <v>19</v>
      </c>
      <c r="C20" s="7">
        <v>9</v>
      </c>
      <c r="D20" s="7">
        <v>2020</v>
      </c>
      <c r="E20" s="7">
        <f>'Athens Daily - EL'!AL26</f>
        <v>12795</v>
      </c>
      <c r="F20" s="7"/>
      <c r="G20" s="46">
        <f>'Athens Daily - Gas'!BI27</f>
        <v>64915.200000000004</v>
      </c>
      <c r="H20" s="7"/>
      <c r="I20" s="47">
        <f>'Athens Daily - Water'!S25</f>
        <v>1586</v>
      </c>
      <c r="J20" s="7"/>
      <c r="K20" s="7"/>
      <c r="L20" s="7"/>
    </row>
    <row r="21" spans="1:12" x14ac:dyDescent="0.25">
      <c r="A21" s="7" t="s">
        <v>12</v>
      </c>
      <c r="B21" s="7">
        <v>20</v>
      </c>
      <c r="C21" s="7">
        <v>9</v>
      </c>
      <c r="D21" s="7">
        <v>2020</v>
      </c>
      <c r="E21" s="7">
        <f>'Athens Daily - EL'!AL27</f>
        <v>13976.5</v>
      </c>
      <c r="F21" s="7"/>
      <c r="G21" s="46">
        <f>'Athens Daily - Gas'!BI28</f>
        <v>63772.800000000003</v>
      </c>
      <c r="H21" s="7"/>
      <c r="I21" s="47">
        <f>'Athens Daily - Water'!S26</f>
        <v>1405</v>
      </c>
      <c r="J21" s="7"/>
      <c r="K21" s="7"/>
      <c r="L21" s="7"/>
    </row>
    <row r="22" spans="1:12" x14ac:dyDescent="0.25">
      <c r="A22" s="7" t="s">
        <v>12</v>
      </c>
      <c r="B22" s="7">
        <v>21</v>
      </c>
      <c r="C22" s="7">
        <v>9</v>
      </c>
      <c r="D22" s="7">
        <v>2020</v>
      </c>
      <c r="E22" s="7">
        <f>'Athens Daily - EL'!AL28</f>
        <v>11555</v>
      </c>
      <c r="F22" s="7"/>
      <c r="G22" s="46">
        <f>'Athens Daily - Gas'!BI29</f>
        <v>70617.600000000006</v>
      </c>
      <c r="H22" s="7"/>
      <c r="I22" s="47">
        <f>'Athens Daily - Water'!S27</f>
        <v>1430</v>
      </c>
      <c r="J22" s="7"/>
      <c r="K22" s="7"/>
      <c r="L22" s="7"/>
    </row>
    <row r="23" spans="1:12" x14ac:dyDescent="0.25">
      <c r="A23" s="7" t="s">
        <v>12</v>
      </c>
      <c r="B23" s="7">
        <v>22</v>
      </c>
      <c r="C23" s="7">
        <v>9</v>
      </c>
      <c r="D23" s="7">
        <v>2020</v>
      </c>
      <c r="E23" s="7">
        <f>'Athens Daily - EL'!AL29</f>
        <v>11914</v>
      </c>
      <c r="F23" s="7"/>
      <c r="G23" s="46">
        <f>'Athens Daily - Gas'!BI30</f>
        <v>68438.399999999994</v>
      </c>
      <c r="H23" s="7"/>
      <c r="I23" s="47">
        <f>'Athens Daily - Water'!S28</f>
        <v>1472.5</v>
      </c>
      <c r="J23" s="7"/>
      <c r="K23" s="7"/>
      <c r="L23" s="7"/>
    </row>
    <row r="24" spans="1:12" x14ac:dyDescent="0.25">
      <c r="A24" s="7" t="s">
        <v>12</v>
      </c>
      <c r="B24" s="7">
        <v>23</v>
      </c>
      <c r="C24" s="7">
        <v>9</v>
      </c>
      <c r="D24" s="7">
        <v>2020</v>
      </c>
      <c r="E24" s="7">
        <f>'Athens Daily - EL'!AL30</f>
        <v>9521</v>
      </c>
      <c r="F24" s="7"/>
      <c r="G24" s="46">
        <f>'Athens Daily - Gas'!BI31</f>
        <v>67305.600000000006</v>
      </c>
      <c r="H24" s="7"/>
      <c r="I24" s="47">
        <f>'Athens Daily - Water'!S29</f>
        <v>1365</v>
      </c>
      <c r="J24" s="7"/>
      <c r="K24" s="7"/>
      <c r="L24" s="7"/>
    </row>
    <row r="25" spans="1:12" x14ac:dyDescent="0.25">
      <c r="A25" s="7" t="s">
        <v>12</v>
      </c>
      <c r="B25" s="7">
        <v>24</v>
      </c>
      <c r="C25" s="7">
        <v>9</v>
      </c>
      <c r="D25" s="7">
        <v>2020</v>
      </c>
      <c r="E25" s="7">
        <f>'Athens Daily - EL'!AL31</f>
        <v>5893.5</v>
      </c>
      <c r="F25" s="7"/>
      <c r="G25" s="46">
        <f>'Athens Daily - Gas'!BI32</f>
        <v>68937.600000000006</v>
      </c>
      <c r="H25" s="7"/>
      <c r="I25" s="47">
        <f>'Athens Daily - Water'!S30</f>
        <v>1375.5</v>
      </c>
      <c r="J25" s="7"/>
      <c r="K25" s="7"/>
      <c r="L25" s="7"/>
    </row>
    <row r="26" spans="1:12" x14ac:dyDescent="0.25">
      <c r="A26" s="7" t="s">
        <v>12</v>
      </c>
      <c r="B26" s="7">
        <v>25</v>
      </c>
      <c r="C26" s="7">
        <v>9</v>
      </c>
      <c r="D26" s="7">
        <v>2020</v>
      </c>
      <c r="E26" s="7">
        <f>'Athens Daily - EL'!AL32</f>
        <v>5988.5</v>
      </c>
      <c r="F26" s="7"/>
      <c r="G26" s="46">
        <f>'Athens Daily - Gas'!BI33</f>
        <v>65942.399999999994</v>
      </c>
      <c r="H26" s="7"/>
      <c r="I26" s="47">
        <f>'Athens Daily - Water'!S31</f>
        <v>1599</v>
      </c>
      <c r="J26" s="7"/>
      <c r="K26" s="7"/>
      <c r="L26" s="7"/>
    </row>
    <row r="27" spans="1:12" x14ac:dyDescent="0.25">
      <c r="A27" s="7" t="s">
        <v>12</v>
      </c>
      <c r="B27" s="7">
        <v>26</v>
      </c>
      <c r="C27" s="7">
        <v>9</v>
      </c>
      <c r="D27" s="7">
        <v>2020</v>
      </c>
      <c r="E27" s="7">
        <f>'Athens Daily - EL'!AL33</f>
        <v>4917</v>
      </c>
      <c r="F27" s="7"/>
      <c r="G27" s="46">
        <f>'Athens Daily - Gas'!BI34</f>
        <v>65366.400000000001</v>
      </c>
      <c r="H27" s="7"/>
      <c r="I27" s="47">
        <f>'Athens Daily - Water'!S32</f>
        <v>1327.5</v>
      </c>
      <c r="J27" s="7"/>
      <c r="K27" s="7"/>
      <c r="L27" s="7"/>
    </row>
    <row r="28" spans="1:12" x14ac:dyDescent="0.25">
      <c r="A28" s="7" t="s">
        <v>12</v>
      </c>
      <c r="B28" s="7">
        <v>27</v>
      </c>
      <c r="C28" s="7">
        <v>9</v>
      </c>
      <c r="D28" s="7">
        <v>2020</v>
      </c>
      <c r="E28" s="7">
        <f>'Athens Daily - EL'!AL34</f>
        <v>5139.5</v>
      </c>
      <c r="F28" s="7"/>
      <c r="G28" s="46">
        <f>'Athens Daily - Gas'!BI35</f>
        <v>62822.400000000001</v>
      </c>
      <c r="H28" s="7"/>
      <c r="I28" s="47">
        <f>'Athens Daily - Water'!S33</f>
        <v>1407.5</v>
      </c>
      <c r="J28" s="7"/>
      <c r="K28" s="7"/>
      <c r="L28" s="7"/>
    </row>
    <row r="29" spans="1:12" x14ac:dyDescent="0.25">
      <c r="A29" s="7" t="s">
        <v>12</v>
      </c>
      <c r="B29" s="7">
        <v>28</v>
      </c>
      <c r="C29" s="7">
        <v>9</v>
      </c>
      <c r="D29" s="7">
        <v>2020</v>
      </c>
      <c r="E29" s="7">
        <f>'Athens Daily - EL'!AL35</f>
        <v>4149</v>
      </c>
      <c r="F29" s="7"/>
      <c r="G29" s="46">
        <f>'Athens Daily - Gas'!BI36</f>
        <v>66854.399999999994</v>
      </c>
      <c r="H29" s="7"/>
      <c r="I29" s="47">
        <f>'Athens Daily - Water'!S34</f>
        <v>1456.5</v>
      </c>
      <c r="J29" s="7"/>
      <c r="K29" s="7"/>
      <c r="L29" s="7"/>
    </row>
    <row r="30" spans="1:12" x14ac:dyDescent="0.25">
      <c r="A30" s="7" t="s">
        <v>12</v>
      </c>
      <c r="B30" s="7">
        <v>29</v>
      </c>
      <c r="C30" s="7">
        <v>9</v>
      </c>
      <c r="D30" s="7">
        <v>2020</v>
      </c>
      <c r="E30" s="7">
        <f>'Athens Daily - EL'!AL36</f>
        <v>4324</v>
      </c>
      <c r="F30" s="7"/>
      <c r="G30" s="46">
        <f>'Athens Daily - Gas'!BI37</f>
        <v>62486.400000000001</v>
      </c>
      <c r="H30" s="7"/>
      <c r="I30" s="47">
        <f>'Athens Daily - Water'!S35</f>
        <v>1581</v>
      </c>
      <c r="J30" s="7"/>
      <c r="K30" s="7"/>
      <c r="L30" s="7"/>
    </row>
    <row r="31" spans="1:12" x14ac:dyDescent="0.25">
      <c r="A31" s="7" t="s">
        <v>12</v>
      </c>
      <c r="B31" s="7">
        <v>30</v>
      </c>
      <c r="C31" s="7">
        <v>9</v>
      </c>
      <c r="D31" s="7">
        <v>2020</v>
      </c>
      <c r="E31" s="7">
        <f>'Athens Daily - EL'!AL37</f>
        <v>4127</v>
      </c>
      <c r="F31" s="7"/>
      <c r="G31" s="46">
        <f>'Athens Daily - Gas'!BI38</f>
        <v>65222.400000000001</v>
      </c>
      <c r="H31" s="7"/>
      <c r="I31" s="47">
        <f>'Athens Daily - Water'!S37</f>
        <v>0</v>
      </c>
      <c r="J31" s="7"/>
      <c r="K31" s="7"/>
      <c r="L3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0"/>
  <sheetViews>
    <sheetView topLeftCell="A2" zoomScale="55" zoomScaleNormal="55" workbookViewId="0">
      <pane xSplit="2" ySplit="5" topLeftCell="E25" activePane="bottomRight" state="frozen"/>
      <selection activeCell="A2" sqref="A2"/>
      <selection pane="topRight" activeCell="C2" sqref="C2"/>
      <selection pane="bottomLeft" activeCell="A7" sqref="A7"/>
      <selection pane="bottomRight" activeCell="A38" sqref="A38:XFD38"/>
    </sheetView>
  </sheetViews>
  <sheetFormatPr defaultRowHeight="21" x14ac:dyDescent="0.35"/>
  <cols>
    <col min="1" max="1" width="15.7109375" style="9" customWidth="1"/>
    <col min="2" max="2" width="2.42578125" customWidth="1"/>
    <col min="3" max="3" width="30.7109375" customWidth="1"/>
    <col min="4" max="4" width="30.7109375" style="1" customWidth="1"/>
    <col min="5" max="35" width="30.7109375" customWidth="1"/>
    <col min="37" max="38" width="35.7109375" customWidth="1"/>
  </cols>
  <sheetData>
    <row r="1" spans="1:38" s="12" customFormat="1" ht="49.5" customHeight="1" x14ac:dyDescent="0.25">
      <c r="A1" s="75"/>
      <c r="B1" s="75"/>
      <c r="C1" s="160" t="s">
        <v>13</v>
      </c>
      <c r="D1" s="160"/>
      <c r="E1" s="160" t="s">
        <v>13</v>
      </c>
      <c r="F1" s="160"/>
      <c r="G1" s="160" t="s">
        <v>13</v>
      </c>
      <c r="H1" s="160"/>
      <c r="I1" s="75"/>
      <c r="J1" s="160" t="s">
        <v>13</v>
      </c>
      <c r="K1" s="160"/>
      <c r="L1" s="160" t="s">
        <v>13</v>
      </c>
      <c r="M1" s="160"/>
      <c r="N1" s="146" t="s">
        <v>14</v>
      </c>
      <c r="O1" s="147"/>
      <c r="P1" s="148"/>
      <c r="Q1" s="146" t="s">
        <v>14</v>
      </c>
      <c r="R1" s="147"/>
      <c r="S1" s="148"/>
      <c r="T1" s="146" t="s">
        <v>14</v>
      </c>
      <c r="U1" s="147"/>
      <c r="V1" s="148"/>
      <c r="W1" s="146" t="s">
        <v>14</v>
      </c>
      <c r="X1" s="147"/>
      <c r="Y1" s="148"/>
      <c r="Z1" s="160" t="s">
        <v>15</v>
      </c>
      <c r="AA1" s="160"/>
      <c r="AB1" s="160" t="s">
        <v>15</v>
      </c>
      <c r="AC1" s="160"/>
      <c r="AD1" s="160" t="s">
        <v>15</v>
      </c>
      <c r="AE1" s="160"/>
      <c r="AF1" s="160" t="s">
        <v>15</v>
      </c>
      <c r="AG1" s="160"/>
      <c r="AH1" s="160" t="s">
        <v>15</v>
      </c>
      <c r="AI1" s="160"/>
    </row>
    <row r="2" spans="1:38" s="3" customFormat="1" ht="113.25" customHeight="1" x14ac:dyDescent="0.25">
      <c r="A2" s="13"/>
      <c r="B2" s="14"/>
      <c r="C2" s="159" t="s">
        <v>16</v>
      </c>
      <c r="D2" s="159"/>
      <c r="E2" s="159" t="s">
        <v>17</v>
      </c>
      <c r="F2" s="159"/>
      <c r="G2" s="149" t="s">
        <v>18</v>
      </c>
      <c r="H2" s="150"/>
      <c r="I2" s="151"/>
      <c r="J2" s="159" t="s">
        <v>19</v>
      </c>
      <c r="K2" s="159"/>
      <c r="L2" s="159" t="s">
        <v>20</v>
      </c>
      <c r="M2" s="159"/>
      <c r="N2" s="149" t="s">
        <v>21</v>
      </c>
      <c r="O2" s="150"/>
      <c r="P2" s="151"/>
      <c r="Q2" s="149" t="s">
        <v>22</v>
      </c>
      <c r="R2" s="150"/>
      <c r="S2" s="151"/>
      <c r="T2" s="149" t="s">
        <v>23</v>
      </c>
      <c r="U2" s="150"/>
      <c r="V2" s="151"/>
      <c r="W2" s="149" t="s">
        <v>24</v>
      </c>
      <c r="X2" s="150"/>
      <c r="Y2" s="151"/>
      <c r="Z2" s="159" t="s">
        <v>25</v>
      </c>
      <c r="AA2" s="159"/>
      <c r="AB2" s="159" t="s">
        <v>26</v>
      </c>
      <c r="AC2" s="159"/>
      <c r="AD2" s="159" t="s">
        <v>27</v>
      </c>
      <c r="AE2" s="159"/>
      <c r="AF2" s="159" t="s">
        <v>26</v>
      </c>
      <c r="AG2" s="159"/>
      <c r="AH2" s="159" t="s">
        <v>28</v>
      </c>
      <c r="AI2" s="159"/>
    </row>
    <row r="3" spans="1:38" s="26" customFormat="1" ht="30" customHeight="1" x14ac:dyDescent="0.25">
      <c r="A3" s="76"/>
      <c r="B3" s="83"/>
      <c r="C3" s="152">
        <v>5065546</v>
      </c>
      <c r="D3" s="154"/>
      <c r="E3" s="152">
        <v>5065547</v>
      </c>
      <c r="F3" s="154"/>
      <c r="G3" s="152">
        <v>5008272</v>
      </c>
      <c r="H3" s="153"/>
      <c r="I3" s="154"/>
      <c r="J3" s="152">
        <v>5065548</v>
      </c>
      <c r="K3" s="154"/>
      <c r="L3" s="152">
        <v>5465545</v>
      </c>
      <c r="M3" s="154"/>
      <c r="N3" s="152">
        <v>5008273</v>
      </c>
      <c r="O3" s="153"/>
      <c r="P3" s="154"/>
      <c r="Q3" s="152">
        <v>5018351</v>
      </c>
      <c r="R3" s="153"/>
      <c r="S3" s="154"/>
      <c r="T3" s="152">
        <v>5018354</v>
      </c>
      <c r="U3" s="153"/>
      <c r="V3" s="154"/>
      <c r="W3" s="152">
        <v>5018350</v>
      </c>
      <c r="X3" s="153"/>
      <c r="Y3" s="154"/>
      <c r="Z3" s="152">
        <v>5065543</v>
      </c>
      <c r="AA3" s="154"/>
      <c r="AB3" s="152">
        <v>5065544</v>
      </c>
      <c r="AC3" s="154"/>
      <c r="AD3" s="152">
        <v>5065541</v>
      </c>
      <c r="AE3" s="154"/>
      <c r="AF3" s="152">
        <v>5065542</v>
      </c>
      <c r="AG3" s="154"/>
      <c r="AH3" s="152">
        <v>5065540</v>
      </c>
      <c r="AI3" s="154"/>
      <c r="AK3" s="161" t="s">
        <v>29</v>
      </c>
      <c r="AL3" s="161"/>
    </row>
    <row r="4" spans="1:38" s="25" customFormat="1" ht="30" customHeight="1" x14ac:dyDescent="0.25">
      <c r="A4" s="76"/>
      <c r="B4" s="84"/>
      <c r="C4" s="155" t="s">
        <v>30</v>
      </c>
      <c r="D4" s="157"/>
      <c r="E4" s="155" t="s">
        <v>31</v>
      </c>
      <c r="F4" s="157"/>
      <c r="G4" s="155" t="s">
        <v>32</v>
      </c>
      <c r="H4" s="156"/>
      <c r="I4" s="157"/>
      <c r="J4" s="155" t="s">
        <v>33</v>
      </c>
      <c r="K4" s="157"/>
      <c r="L4" s="155" t="s">
        <v>34</v>
      </c>
      <c r="M4" s="157"/>
      <c r="N4" s="155" t="s">
        <v>35</v>
      </c>
      <c r="O4" s="156"/>
      <c r="P4" s="157"/>
      <c r="Q4" s="155" t="s">
        <v>36</v>
      </c>
      <c r="R4" s="156"/>
      <c r="S4" s="157"/>
      <c r="T4" s="155" t="s">
        <v>37</v>
      </c>
      <c r="U4" s="156"/>
      <c r="V4" s="157"/>
      <c r="W4" s="155" t="s">
        <v>38</v>
      </c>
      <c r="X4" s="156"/>
      <c r="Y4" s="157"/>
      <c r="Z4" s="155" t="s">
        <v>39</v>
      </c>
      <c r="AA4" s="157"/>
      <c r="AB4" s="155" t="s">
        <v>40</v>
      </c>
      <c r="AC4" s="157"/>
      <c r="AD4" s="155" t="s">
        <v>41</v>
      </c>
      <c r="AE4" s="157"/>
      <c r="AF4" s="155" t="s">
        <v>42</v>
      </c>
      <c r="AG4" s="157"/>
      <c r="AH4" s="155" t="s">
        <v>43</v>
      </c>
      <c r="AI4" s="157"/>
      <c r="AK4" s="161"/>
      <c r="AL4" s="161"/>
    </row>
    <row r="5" spans="1:38" s="8" customFormat="1" ht="30" customHeight="1" x14ac:dyDescent="0.25">
      <c r="A5" s="76" t="s">
        <v>44</v>
      </c>
      <c r="B5" s="85"/>
      <c r="C5" s="144" t="s">
        <v>45</v>
      </c>
      <c r="D5" s="145"/>
      <c r="E5" s="144" t="s">
        <v>45</v>
      </c>
      <c r="F5" s="145"/>
      <c r="G5" s="144" t="s">
        <v>45</v>
      </c>
      <c r="H5" s="158"/>
      <c r="I5" s="145"/>
      <c r="J5" s="85" t="s">
        <v>45</v>
      </c>
      <c r="K5" s="85"/>
      <c r="L5" s="144" t="s">
        <v>45</v>
      </c>
      <c r="M5" s="145"/>
      <c r="N5" s="144" t="s">
        <v>45</v>
      </c>
      <c r="O5" s="158"/>
      <c r="P5" s="145"/>
      <c r="Q5" s="144" t="s">
        <v>46</v>
      </c>
      <c r="R5" s="158"/>
      <c r="S5" s="145"/>
      <c r="T5" s="144" t="s">
        <v>46</v>
      </c>
      <c r="U5" s="158"/>
      <c r="V5" s="145"/>
      <c r="W5" s="144" t="s">
        <v>46</v>
      </c>
      <c r="X5" s="158"/>
      <c r="Y5" s="145"/>
      <c r="Z5" s="144" t="s">
        <v>45</v>
      </c>
      <c r="AA5" s="145"/>
      <c r="AB5" s="144" t="s">
        <v>45</v>
      </c>
      <c r="AC5" s="145"/>
      <c r="AD5" s="144" t="s">
        <v>45</v>
      </c>
      <c r="AE5" s="145"/>
      <c r="AF5" s="144" t="s">
        <v>45</v>
      </c>
      <c r="AG5" s="145"/>
      <c r="AH5" s="144" t="s">
        <v>45</v>
      </c>
      <c r="AI5" s="145"/>
    </row>
    <row r="6" spans="1:38" s="10" customFormat="1" ht="50.1" customHeight="1" x14ac:dyDescent="0.25">
      <c r="A6" s="76" t="s">
        <v>47</v>
      </c>
      <c r="B6" s="76"/>
      <c r="C6" s="76" t="s">
        <v>48</v>
      </c>
      <c r="D6" s="76" t="s">
        <v>49</v>
      </c>
      <c r="E6" s="76" t="s">
        <v>48</v>
      </c>
      <c r="F6" s="76" t="s">
        <v>49</v>
      </c>
      <c r="G6" s="76" t="s">
        <v>48</v>
      </c>
      <c r="H6" s="76" t="s">
        <v>49</v>
      </c>
      <c r="I6" s="76" t="s">
        <v>50</v>
      </c>
      <c r="J6" s="76" t="s">
        <v>48</v>
      </c>
      <c r="K6" s="76" t="s">
        <v>49</v>
      </c>
      <c r="L6" s="76" t="s">
        <v>48</v>
      </c>
      <c r="M6" s="76" t="s">
        <v>49</v>
      </c>
      <c r="N6" s="76" t="s">
        <v>48</v>
      </c>
      <c r="O6" s="76" t="s">
        <v>49</v>
      </c>
      <c r="P6" s="76" t="s">
        <v>50</v>
      </c>
      <c r="Q6" s="76" t="s">
        <v>48</v>
      </c>
      <c r="R6" s="76" t="s">
        <v>49</v>
      </c>
      <c r="S6" s="76" t="s">
        <v>50</v>
      </c>
      <c r="T6" s="76" t="s">
        <v>48</v>
      </c>
      <c r="U6" s="76" t="s">
        <v>49</v>
      </c>
      <c r="V6" s="76" t="s">
        <v>50</v>
      </c>
      <c r="W6" s="76" t="s">
        <v>48</v>
      </c>
      <c r="X6" s="76" t="s">
        <v>49</v>
      </c>
      <c r="Y6" s="76" t="s">
        <v>50</v>
      </c>
      <c r="Z6" s="76" t="s">
        <v>48</v>
      </c>
      <c r="AA6" s="76" t="s">
        <v>49</v>
      </c>
      <c r="AB6" s="76" t="s">
        <v>48</v>
      </c>
      <c r="AC6" s="76" t="s">
        <v>49</v>
      </c>
      <c r="AD6" s="76" t="s">
        <v>48</v>
      </c>
      <c r="AE6" s="76" t="s">
        <v>49</v>
      </c>
      <c r="AF6" s="76" t="s">
        <v>48</v>
      </c>
      <c r="AG6" s="76" t="s">
        <v>49</v>
      </c>
      <c r="AH6" s="76" t="s">
        <v>48</v>
      </c>
      <c r="AI6" s="76" t="s">
        <v>49</v>
      </c>
      <c r="AK6" s="76" t="s">
        <v>13</v>
      </c>
      <c r="AL6" s="76" t="s">
        <v>15</v>
      </c>
    </row>
    <row r="7" spans="1:38" s="133" customFormat="1" ht="39.950000000000003" customHeight="1" x14ac:dyDescent="0.25">
      <c r="A7" s="129">
        <v>44135</v>
      </c>
      <c r="B7" s="130"/>
      <c r="C7" s="131">
        <v>29805</v>
      </c>
      <c r="D7" s="132"/>
      <c r="E7" s="131">
        <v>45475</v>
      </c>
      <c r="F7" s="132"/>
      <c r="G7" s="131">
        <v>794369</v>
      </c>
      <c r="H7" s="132"/>
      <c r="I7" s="132"/>
      <c r="J7" s="131">
        <v>42175</v>
      </c>
      <c r="K7" s="132"/>
      <c r="L7" s="131">
        <v>65994</v>
      </c>
      <c r="M7" s="132"/>
      <c r="N7" s="131">
        <v>778213</v>
      </c>
      <c r="O7" s="132"/>
      <c r="P7" s="132"/>
      <c r="Q7" s="131">
        <v>117549</v>
      </c>
      <c r="R7" s="132"/>
      <c r="S7" s="132"/>
      <c r="T7" s="131">
        <v>64311</v>
      </c>
      <c r="U7" s="132"/>
      <c r="V7" s="132"/>
      <c r="W7" s="131">
        <v>128275</v>
      </c>
      <c r="X7" s="132"/>
      <c r="Y7" s="132"/>
      <c r="Z7" s="131">
        <v>11481</v>
      </c>
      <c r="AA7" s="132"/>
      <c r="AB7" s="131">
        <v>22861</v>
      </c>
      <c r="AC7" s="132"/>
      <c r="AD7" s="131">
        <v>42225</v>
      </c>
      <c r="AE7" s="132"/>
      <c r="AF7" s="131">
        <v>23284</v>
      </c>
      <c r="AG7" s="132"/>
      <c r="AH7" s="131">
        <v>112404</v>
      </c>
      <c r="AI7" s="132"/>
      <c r="AK7" s="132"/>
      <c r="AL7" s="134"/>
    </row>
    <row r="8" spans="1:38" s="2" customFormat="1" ht="39.950000000000003" customHeight="1" x14ac:dyDescent="0.25">
      <c r="A8" s="15">
        <v>44136</v>
      </c>
      <c r="B8" s="16"/>
      <c r="C8" s="68">
        <v>30182</v>
      </c>
      <c r="D8" s="18">
        <f>(C8-C7)*10</f>
        <v>3770</v>
      </c>
      <c r="E8" s="68">
        <v>46104</v>
      </c>
      <c r="F8" s="18">
        <f>(E8-E7)*10</f>
        <v>6290</v>
      </c>
      <c r="G8" s="68">
        <v>794700</v>
      </c>
      <c r="H8" s="18">
        <f>(G8-G7)*10</f>
        <v>3310</v>
      </c>
      <c r="I8" s="18">
        <f>H8*50%</f>
        <v>1655</v>
      </c>
      <c r="J8" s="68">
        <v>42759</v>
      </c>
      <c r="K8" s="18">
        <f>(J8-J7)*10</f>
        <v>5840</v>
      </c>
      <c r="L8" s="68">
        <v>66920</v>
      </c>
      <c r="M8" s="18">
        <f>(L8-L7)*10</f>
        <v>9260</v>
      </c>
      <c r="N8" s="68">
        <v>778618</v>
      </c>
      <c r="O8" s="18">
        <f t="shared" ref="O8:O24" si="0">(N8-N7)*10</f>
        <v>4050</v>
      </c>
      <c r="P8" s="18">
        <f>O8*50%</f>
        <v>2025</v>
      </c>
      <c r="Q8" s="68">
        <v>117851</v>
      </c>
      <c r="R8" s="18">
        <f t="shared" ref="R8:R24" si="1">(Q8-Q7)*10</f>
        <v>3020</v>
      </c>
      <c r="S8" s="18">
        <f>R8*50%</f>
        <v>1510</v>
      </c>
      <c r="T8" s="68">
        <v>64313</v>
      </c>
      <c r="U8" s="18">
        <f>(T8-T7)*10</f>
        <v>20</v>
      </c>
      <c r="V8" s="18">
        <f>U8*50%</f>
        <v>10</v>
      </c>
      <c r="W8" s="68">
        <v>129276</v>
      </c>
      <c r="X8" s="18">
        <f>(W8-W7)*10</f>
        <v>10010</v>
      </c>
      <c r="Y8" s="18">
        <f>X8*50%</f>
        <v>5005</v>
      </c>
      <c r="Z8" s="68">
        <v>11587</v>
      </c>
      <c r="AA8" s="18">
        <f>Z8-Z7</f>
        <v>106</v>
      </c>
      <c r="AB8" s="68">
        <v>23059</v>
      </c>
      <c r="AC8" s="18">
        <f>AB8-AB7</f>
        <v>198</v>
      </c>
      <c r="AD8" s="68">
        <v>42577</v>
      </c>
      <c r="AE8" s="18">
        <f>AD8-AD7</f>
        <v>352</v>
      </c>
      <c r="AF8" s="68">
        <v>23489</v>
      </c>
      <c r="AG8" s="18">
        <f>AF8-AF7</f>
        <v>205</v>
      </c>
      <c r="AH8" s="68">
        <v>113324</v>
      </c>
      <c r="AI8" s="18">
        <f>AH8-AH7</f>
        <v>920</v>
      </c>
      <c r="AK8" s="18">
        <f>SUM(D8,F8,I8,K8,M8,P8,S8,V8,Y8)</f>
        <v>35365</v>
      </c>
      <c r="AL8" s="84">
        <f>SUM(P8,S8,V8,Y8,AA8,AC8,AE8,AG8,AI8)</f>
        <v>10331</v>
      </c>
    </row>
    <row r="9" spans="1:38" ht="39.950000000000003" customHeight="1" x14ac:dyDescent="0.25">
      <c r="A9" s="15">
        <v>44137</v>
      </c>
      <c r="B9" s="17"/>
      <c r="C9" s="68">
        <v>30540</v>
      </c>
      <c r="D9" s="18">
        <f t="shared" ref="D9:F25" si="2">(C9-C8)*10</f>
        <v>3580</v>
      </c>
      <c r="E9" s="68">
        <v>46692</v>
      </c>
      <c r="F9" s="18">
        <f t="shared" si="2"/>
        <v>5880</v>
      </c>
      <c r="G9" s="68">
        <v>795033</v>
      </c>
      <c r="H9" s="18">
        <f t="shared" ref="H9" si="3">(G9-G8)*10</f>
        <v>3330</v>
      </c>
      <c r="I9" s="18">
        <f t="shared" ref="I9:I24" si="4">H9*50%</f>
        <v>1665</v>
      </c>
      <c r="J9" s="68">
        <v>43289</v>
      </c>
      <c r="K9" s="18">
        <f t="shared" ref="K9" si="5">(J9-J8)*10</f>
        <v>5300</v>
      </c>
      <c r="L9" s="68">
        <v>67787</v>
      </c>
      <c r="M9" s="18">
        <f t="shared" ref="M9" si="6">(L9-L8)*10</f>
        <v>8670</v>
      </c>
      <c r="N9" s="68">
        <v>779004</v>
      </c>
      <c r="O9" s="18">
        <f t="shared" si="0"/>
        <v>3860</v>
      </c>
      <c r="P9" s="18">
        <f t="shared" ref="P9:P24" si="7">O9*50%</f>
        <v>1930</v>
      </c>
      <c r="Q9" s="68">
        <v>118272</v>
      </c>
      <c r="R9" s="18">
        <f t="shared" si="1"/>
        <v>4210</v>
      </c>
      <c r="S9" s="18">
        <f t="shared" ref="S9:S24" si="8">R9*50%</f>
        <v>2105</v>
      </c>
      <c r="T9" s="68">
        <v>64315</v>
      </c>
      <c r="U9" s="18">
        <f t="shared" ref="U9" si="9">(T9-T8)*10</f>
        <v>20</v>
      </c>
      <c r="V9" s="18">
        <f t="shared" ref="V9:V24" si="10">U9*50%</f>
        <v>10</v>
      </c>
      <c r="W9" s="68">
        <v>130170</v>
      </c>
      <c r="X9" s="18">
        <f t="shared" ref="X9" si="11">W9-W8</f>
        <v>894</v>
      </c>
      <c r="Y9" s="18">
        <f t="shared" ref="Y9:Y24" si="12">X9*50%</f>
        <v>447</v>
      </c>
      <c r="Z9" s="68">
        <v>11677</v>
      </c>
      <c r="AA9" s="18">
        <f t="shared" ref="AA9" si="13">Z9-Z8</f>
        <v>90</v>
      </c>
      <c r="AB9" s="68">
        <v>23256</v>
      </c>
      <c r="AC9" s="18">
        <f t="shared" ref="AC9" si="14">AB9-AB8</f>
        <v>197</v>
      </c>
      <c r="AD9" s="68">
        <v>42947</v>
      </c>
      <c r="AE9" s="18">
        <f t="shared" ref="AE9" si="15">AD9-AD8</f>
        <v>370</v>
      </c>
      <c r="AF9" s="68">
        <v>23690</v>
      </c>
      <c r="AG9" s="18">
        <f t="shared" ref="AG9" si="16">AF9-AF8</f>
        <v>201</v>
      </c>
      <c r="AH9" s="68">
        <v>114246</v>
      </c>
      <c r="AI9" s="18">
        <f t="shared" ref="AI9" si="17">AH9-AH8</f>
        <v>922</v>
      </c>
      <c r="AK9" s="18">
        <f t="shared" ref="AK9:AK24" si="18">SUM(D9,F9,I9,K9,M9,P9,S9,V9,Y9)</f>
        <v>29587</v>
      </c>
      <c r="AL9" s="84">
        <f t="shared" ref="AL9:AL24" si="19">SUM(P9,S9,V9,Y9,AA9,AC9,AE9,AG9,AI9)</f>
        <v>6272</v>
      </c>
    </row>
    <row r="10" spans="1:38" ht="39.950000000000003" customHeight="1" x14ac:dyDescent="0.25">
      <c r="A10" s="15">
        <v>44138</v>
      </c>
      <c r="B10" s="17"/>
      <c r="C10" s="68">
        <v>30887</v>
      </c>
      <c r="D10" s="18">
        <f t="shared" si="2"/>
        <v>3470</v>
      </c>
      <c r="E10" s="68">
        <v>47266</v>
      </c>
      <c r="F10" s="18">
        <f t="shared" si="2"/>
        <v>5740</v>
      </c>
      <c r="G10" s="68">
        <v>795356</v>
      </c>
      <c r="H10" s="18">
        <f t="shared" ref="H10" si="20">(G10-G9)*10</f>
        <v>3230</v>
      </c>
      <c r="I10" s="18">
        <f t="shared" si="4"/>
        <v>1615</v>
      </c>
      <c r="J10" s="68">
        <v>43849</v>
      </c>
      <c r="K10" s="18">
        <f t="shared" ref="K10" si="21">(J10-J9)*10</f>
        <v>5600</v>
      </c>
      <c r="L10" s="68">
        <v>68702</v>
      </c>
      <c r="M10" s="18">
        <f t="shared" ref="M10" si="22">(L10-L9)*10</f>
        <v>9150</v>
      </c>
      <c r="N10" s="68">
        <v>779405</v>
      </c>
      <c r="O10" s="18">
        <f t="shared" si="0"/>
        <v>4010</v>
      </c>
      <c r="P10" s="18">
        <f t="shared" si="7"/>
        <v>2005</v>
      </c>
      <c r="Q10" s="68">
        <v>118584</v>
      </c>
      <c r="R10" s="18">
        <f t="shared" si="1"/>
        <v>3120</v>
      </c>
      <c r="S10" s="18">
        <f t="shared" si="8"/>
        <v>1560</v>
      </c>
      <c r="T10" s="68">
        <v>64318</v>
      </c>
      <c r="U10" s="18">
        <f t="shared" ref="U10" si="23">(T10-T9)*10</f>
        <v>30</v>
      </c>
      <c r="V10" s="18">
        <f t="shared" si="10"/>
        <v>15</v>
      </c>
      <c r="W10" s="68">
        <v>131066</v>
      </c>
      <c r="X10" s="18">
        <f t="shared" ref="X10" si="24">W10-W9</f>
        <v>896</v>
      </c>
      <c r="Y10" s="18">
        <f t="shared" si="12"/>
        <v>448</v>
      </c>
      <c r="Z10" s="68">
        <v>11772</v>
      </c>
      <c r="AA10" s="18">
        <f t="shared" ref="AA10" si="25">Z10-Z9</f>
        <v>95</v>
      </c>
      <c r="AB10" s="68">
        <v>23463</v>
      </c>
      <c r="AC10" s="18">
        <f t="shared" ref="AC10" si="26">AB10-AB9</f>
        <v>207</v>
      </c>
      <c r="AD10" s="68">
        <v>43322</v>
      </c>
      <c r="AE10" s="18">
        <f t="shared" ref="AE10" si="27">AD10-AD9</f>
        <v>375</v>
      </c>
      <c r="AF10" s="68">
        <v>23888</v>
      </c>
      <c r="AG10" s="18">
        <f t="shared" ref="AG10" si="28">AF10-AF9</f>
        <v>198</v>
      </c>
      <c r="AH10" s="68">
        <v>115174</v>
      </c>
      <c r="AI10" s="18">
        <f t="shared" ref="AI10" si="29">AH10-AH9</f>
        <v>928</v>
      </c>
      <c r="AK10" s="18">
        <f t="shared" si="18"/>
        <v>29603</v>
      </c>
      <c r="AL10" s="84">
        <f t="shared" si="19"/>
        <v>5831</v>
      </c>
    </row>
    <row r="11" spans="1:38" ht="39.950000000000003" customHeight="1" x14ac:dyDescent="0.25">
      <c r="A11" s="15">
        <v>44139</v>
      </c>
      <c r="B11" s="17"/>
      <c r="C11" s="68">
        <v>31232</v>
      </c>
      <c r="D11" s="18">
        <f t="shared" si="2"/>
        <v>3450</v>
      </c>
      <c r="E11" s="68">
        <v>47824</v>
      </c>
      <c r="F11" s="18">
        <f t="shared" si="2"/>
        <v>5580</v>
      </c>
      <c r="G11" s="68">
        <v>795707</v>
      </c>
      <c r="H11" s="18">
        <f t="shared" ref="H11" si="30">(G11-G10)*10</f>
        <v>3510</v>
      </c>
      <c r="I11" s="18">
        <f t="shared" si="4"/>
        <v>1755</v>
      </c>
      <c r="J11" s="68">
        <v>44411</v>
      </c>
      <c r="K11" s="18">
        <f t="shared" ref="K11" si="31">(J11-J10)*10</f>
        <v>5620</v>
      </c>
      <c r="L11" s="68">
        <v>69588</v>
      </c>
      <c r="M11" s="18">
        <f t="shared" ref="M11" si="32">(L11-L10)*10</f>
        <v>8860</v>
      </c>
      <c r="N11" s="68">
        <v>779823</v>
      </c>
      <c r="O11" s="18">
        <f t="shared" si="0"/>
        <v>4180</v>
      </c>
      <c r="P11" s="18">
        <f t="shared" si="7"/>
        <v>2090</v>
      </c>
      <c r="Q11" s="68">
        <v>119603</v>
      </c>
      <c r="R11" s="18">
        <f t="shared" si="1"/>
        <v>10190</v>
      </c>
      <c r="S11" s="18">
        <f t="shared" si="8"/>
        <v>5095</v>
      </c>
      <c r="T11" s="68">
        <v>64320</v>
      </c>
      <c r="U11" s="18">
        <f t="shared" ref="U11" si="33">(T11-T10)*10</f>
        <v>20</v>
      </c>
      <c r="V11" s="18">
        <f t="shared" si="10"/>
        <v>10</v>
      </c>
      <c r="W11" s="68">
        <v>131073</v>
      </c>
      <c r="X11" s="18">
        <f t="shared" ref="X11" si="34">W11-W10</f>
        <v>7</v>
      </c>
      <c r="Y11" s="18">
        <f t="shared" si="12"/>
        <v>3.5</v>
      </c>
      <c r="Z11" s="68">
        <v>11869</v>
      </c>
      <c r="AA11" s="18">
        <f t="shared" ref="AA11" si="35">Z11-Z10</f>
        <v>97</v>
      </c>
      <c r="AB11" s="68">
        <v>23678</v>
      </c>
      <c r="AC11" s="18">
        <f t="shared" ref="AC11" si="36">AB11-AB10</f>
        <v>215</v>
      </c>
      <c r="AD11" s="68">
        <v>43700</v>
      </c>
      <c r="AE11" s="18">
        <f t="shared" ref="AE11" si="37">AD11-AD10</f>
        <v>378</v>
      </c>
      <c r="AF11" s="68">
        <v>24093</v>
      </c>
      <c r="AG11" s="18">
        <f t="shared" ref="AG11" si="38">AF11-AF10</f>
        <v>205</v>
      </c>
      <c r="AH11" s="68">
        <v>116113</v>
      </c>
      <c r="AI11" s="18">
        <f t="shared" ref="AI11" si="39">AH11-AH10</f>
        <v>939</v>
      </c>
      <c r="AK11" s="18">
        <f t="shared" si="18"/>
        <v>32463.5</v>
      </c>
      <c r="AL11" s="84">
        <f t="shared" si="19"/>
        <v>9032.5</v>
      </c>
    </row>
    <row r="12" spans="1:38" ht="39.950000000000003" customHeight="1" x14ac:dyDescent="0.25">
      <c r="A12" s="15">
        <v>44140</v>
      </c>
      <c r="B12" s="17"/>
      <c r="C12" s="68">
        <v>31571</v>
      </c>
      <c r="D12" s="18">
        <f t="shared" si="2"/>
        <v>3390</v>
      </c>
      <c r="E12" s="68">
        <v>48366</v>
      </c>
      <c r="F12" s="18">
        <f t="shared" si="2"/>
        <v>5420</v>
      </c>
      <c r="G12" s="68">
        <v>796055</v>
      </c>
      <c r="H12" s="18">
        <f t="shared" ref="H12" si="40">(G12-G11)*10</f>
        <v>3480</v>
      </c>
      <c r="I12" s="18">
        <f t="shared" si="4"/>
        <v>1740</v>
      </c>
      <c r="J12" s="68">
        <v>44963</v>
      </c>
      <c r="K12" s="18">
        <f t="shared" ref="K12" si="41">(J12-J11)*10</f>
        <v>5520</v>
      </c>
      <c r="L12" s="68">
        <v>70469</v>
      </c>
      <c r="M12" s="18">
        <f t="shared" ref="M12" si="42">(L12-L11)*10</f>
        <v>8810</v>
      </c>
      <c r="N12" s="68">
        <v>780267</v>
      </c>
      <c r="O12" s="18">
        <f t="shared" si="0"/>
        <v>4440</v>
      </c>
      <c r="P12" s="18">
        <f t="shared" si="7"/>
        <v>2220</v>
      </c>
      <c r="Q12" s="68">
        <v>120592</v>
      </c>
      <c r="R12" s="18">
        <f t="shared" si="1"/>
        <v>9890</v>
      </c>
      <c r="S12" s="18">
        <f t="shared" si="8"/>
        <v>4945</v>
      </c>
      <c r="T12" s="68">
        <v>64322</v>
      </c>
      <c r="U12" s="18">
        <f t="shared" ref="U12" si="43">(T12-T11)*10</f>
        <v>20</v>
      </c>
      <c r="V12" s="18">
        <f t="shared" si="10"/>
        <v>10</v>
      </c>
      <c r="W12" s="68">
        <v>131081</v>
      </c>
      <c r="X12" s="18">
        <f t="shared" ref="X12" si="44">W12-W11</f>
        <v>8</v>
      </c>
      <c r="Y12" s="18">
        <f t="shared" si="12"/>
        <v>4</v>
      </c>
      <c r="Z12" s="68">
        <v>11960</v>
      </c>
      <c r="AA12" s="18">
        <f t="shared" ref="AA12" si="45">Z12-Z11</f>
        <v>91</v>
      </c>
      <c r="AB12" s="68">
        <v>23890</v>
      </c>
      <c r="AC12" s="18">
        <f t="shared" ref="AC12" si="46">AB12-AB11</f>
        <v>212</v>
      </c>
      <c r="AD12" s="68">
        <v>44071</v>
      </c>
      <c r="AE12" s="18">
        <f t="shared" ref="AE12" si="47">AD12-AD11</f>
        <v>371</v>
      </c>
      <c r="AF12" s="68">
        <v>24296</v>
      </c>
      <c r="AG12" s="18">
        <f t="shared" ref="AG12" si="48">AF12-AF11</f>
        <v>203</v>
      </c>
      <c r="AH12" s="68">
        <v>117033</v>
      </c>
      <c r="AI12" s="18">
        <f t="shared" ref="AI12" si="49">AH12-AH11</f>
        <v>920</v>
      </c>
      <c r="AK12" s="18">
        <f t="shared" si="18"/>
        <v>32059</v>
      </c>
      <c r="AL12" s="84">
        <f t="shared" si="19"/>
        <v>8976</v>
      </c>
    </row>
    <row r="13" spans="1:38" ht="39.950000000000003" customHeight="1" x14ac:dyDescent="0.25">
      <c r="A13" s="15">
        <v>44141</v>
      </c>
      <c r="B13" s="17"/>
      <c r="C13" s="68">
        <v>31921</v>
      </c>
      <c r="D13" s="18">
        <f t="shared" si="2"/>
        <v>3500</v>
      </c>
      <c r="E13" s="68">
        <v>48923</v>
      </c>
      <c r="F13" s="18">
        <f t="shared" si="2"/>
        <v>5570</v>
      </c>
      <c r="G13" s="68">
        <v>796405</v>
      </c>
      <c r="H13" s="18">
        <f t="shared" ref="H13" si="50">(G13-G12)*10</f>
        <v>3500</v>
      </c>
      <c r="I13" s="18">
        <f t="shared" si="4"/>
        <v>1750</v>
      </c>
      <c r="J13" s="68">
        <v>45532</v>
      </c>
      <c r="K13" s="18">
        <f t="shared" ref="K13" si="51">(J13-J12)*10</f>
        <v>5690</v>
      </c>
      <c r="L13" s="68">
        <v>71368</v>
      </c>
      <c r="M13" s="18">
        <f t="shared" ref="M13" si="52">(L13-L12)*10</f>
        <v>8990</v>
      </c>
      <c r="N13" s="68">
        <v>780757</v>
      </c>
      <c r="O13" s="18">
        <f t="shared" si="0"/>
        <v>4900</v>
      </c>
      <c r="P13" s="18">
        <f t="shared" si="7"/>
        <v>2450</v>
      </c>
      <c r="Q13" s="68">
        <v>121424</v>
      </c>
      <c r="R13" s="18">
        <f t="shared" si="1"/>
        <v>8320</v>
      </c>
      <c r="S13" s="18">
        <f t="shared" si="8"/>
        <v>4160</v>
      </c>
      <c r="T13" s="68">
        <v>64324</v>
      </c>
      <c r="U13" s="18">
        <f t="shared" ref="U13" si="53">(T13-T12)*10</f>
        <v>20</v>
      </c>
      <c r="V13" s="18">
        <f t="shared" si="10"/>
        <v>10</v>
      </c>
      <c r="W13" s="68">
        <v>131505</v>
      </c>
      <c r="X13" s="18">
        <f t="shared" ref="X13" si="54">W13-W12</f>
        <v>424</v>
      </c>
      <c r="Y13" s="18">
        <f t="shared" si="12"/>
        <v>212</v>
      </c>
      <c r="Z13" s="68">
        <v>12059</v>
      </c>
      <c r="AA13" s="18">
        <f t="shared" ref="AA13" si="55">Z13-Z12</f>
        <v>99</v>
      </c>
      <c r="AB13" s="68">
        <v>24101</v>
      </c>
      <c r="AC13" s="18">
        <f t="shared" ref="AC13" si="56">AB13-AB12</f>
        <v>211</v>
      </c>
      <c r="AD13" s="68">
        <v>44447</v>
      </c>
      <c r="AE13" s="18">
        <f t="shared" ref="AE13" si="57">AD13-AD12</f>
        <v>376</v>
      </c>
      <c r="AF13" s="68">
        <v>24500</v>
      </c>
      <c r="AG13" s="18">
        <f t="shared" ref="AG13" si="58">AF13-AF12</f>
        <v>204</v>
      </c>
      <c r="AH13" s="68">
        <v>117979</v>
      </c>
      <c r="AI13" s="18">
        <f t="shared" ref="AI13" si="59">AH13-AH12</f>
        <v>946</v>
      </c>
      <c r="AK13" s="18">
        <f t="shared" si="18"/>
        <v>32332</v>
      </c>
      <c r="AL13" s="84">
        <f t="shared" si="19"/>
        <v>8668</v>
      </c>
    </row>
    <row r="14" spans="1:38" ht="39.950000000000003" customHeight="1" x14ac:dyDescent="0.25">
      <c r="A14" s="15">
        <v>44142</v>
      </c>
      <c r="B14" s="17"/>
      <c r="C14" s="68">
        <v>32282</v>
      </c>
      <c r="D14" s="18">
        <f t="shared" si="2"/>
        <v>3610</v>
      </c>
      <c r="E14" s="68">
        <v>49507</v>
      </c>
      <c r="F14" s="18">
        <f t="shared" si="2"/>
        <v>5840</v>
      </c>
      <c r="G14" s="68">
        <v>796770</v>
      </c>
      <c r="H14" s="18">
        <f t="shared" ref="H14" si="60">(G14-G13)*10</f>
        <v>3650</v>
      </c>
      <c r="I14" s="18">
        <f t="shared" si="4"/>
        <v>1825</v>
      </c>
      <c r="J14" s="68">
        <v>46085</v>
      </c>
      <c r="K14" s="18">
        <f t="shared" ref="K14" si="61">(J14-J13)*10</f>
        <v>5530</v>
      </c>
      <c r="L14" s="68">
        <v>72281</v>
      </c>
      <c r="M14" s="18">
        <f t="shared" ref="M14" si="62">(L14-L13)*10</f>
        <v>9130</v>
      </c>
      <c r="N14" s="68">
        <v>781257</v>
      </c>
      <c r="O14" s="18">
        <f t="shared" si="0"/>
        <v>5000</v>
      </c>
      <c r="P14" s="18">
        <f t="shared" si="7"/>
        <v>2500</v>
      </c>
      <c r="Q14" s="68">
        <v>122236</v>
      </c>
      <c r="R14" s="18">
        <f t="shared" si="1"/>
        <v>8120</v>
      </c>
      <c r="S14" s="18">
        <f t="shared" si="8"/>
        <v>4060</v>
      </c>
      <c r="T14" s="68">
        <v>64783</v>
      </c>
      <c r="U14" s="18">
        <f t="shared" ref="U14" si="63">(T14-T13)*10</f>
        <v>4590</v>
      </c>
      <c r="V14" s="18">
        <f t="shared" si="10"/>
        <v>2295</v>
      </c>
      <c r="W14" s="68">
        <v>131566</v>
      </c>
      <c r="X14" s="18">
        <f t="shared" ref="X14" si="64">W14-W13</f>
        <v>61</v>
      </c>
      <c r="Y14" s="18">
        <f t="shared" si="12"/>
        <v>30.5</v>
      </c>
      <c r="Z14" s="68">
        <v>12158</v>
      </c>
      <c r="AA14" s="18">
        <f t="shared" ref="AA14" si="65">Z14-Z13</f>
        <v>99</v>
      </c>
      <c r="AB14" s="68">
        <v>24298</v>
      </c>
      <c r="AC14" s="18">
        <f t="shared" ref="AC14" si="66">AB14-AB13</f>
        <v>197</v>
      </c>
      <c r="AD14" s="68">
        <v>44817</v>
      </c>
      <c r="AE14" s="18">
        <f t="shared" ref="AE14" si="67">AD14-AD13</f>
        <v>370</v>
      </c>
      <c r="AF14" s="68">
        <v>24695</v>
      </c>
      <c r="AG14" s="18">
        <f t="shared" ref="AG14" si="68">AF14-AF13</f>
        <v>195</v>
      </c>
      <c r="AH14" s="68">
        <v>118919</v>
      </c>
      <c r="AI14" s="18">
        <f t="shared" ref="AI14" si="69">AH14-AH13</f>
        <v>940</v>
      </c>
      <c r="AK14" s="18">
        <f t="shared" si="18"/>
        <v>34820.5</v>
      </c>
      <c r="AL14" s="84">
        <f t="shared" si="19"/>
        <v>10686.5</v>
      </c>
    </row>
    <row r="15" spans="1:38" ht="39.950000000000003" customHeight="1" x14ac:dyDescent="0.25">
      <c r="A15" s="15">
        <v>44143</v>
      </c>
      <c r="B15" s="17"/>
      <c r="C15" s="68">
        <v>32640</v>
      </c>
      <c r="D15" s="18">
        <f t="shared" si="2"/>
        <v>3580</v>
      </c>
      <c r="E15" s="68">
        <v>50127</v>
      </c>
      <c r="F15" s="18">
        <f t="shared" si="2"/>
        <v>6200</v>
      </c>
      <c r="G15" s="68">
        <v>797125</v>
      </c>
      <c r="H15" s="18">
        <f t="shared" ref="H15" si="70">(G15-G14)*10</f>
        <v>3550</v>
      </c>
      <c r="I15" s="18">
        <f t="shared" si="4"/>
        <v>1775</v>
      </c>
      <c r="J15" s="68">
        <v>46675</v>
      </c>
      <c r="K15" s="18">
        <f t="shared" ref="K15" si="71">(J15-J14)*10</f>
        <v>5900</v>
      </c>
      <c r="L15" s="68">
        <v>73224</v>
      </c>
      <c r="M15" s="18">
        <f t="shared" ref="M15" si="72">(L15-L14)*10</f>
        <v>9430</v>
      </c>
      <c r="N15" s="68">
        <v>781717</v>
      </c>
      <c r="O15" s="18">
        <f t="shared" si="0"/>
        <v>4600</v>
      </c>
      <c r="P15" s="18">
        <f t="shared" si="7"/>
        <v>2300</v>
      </c>
      <c r="Q15" s="68">
        <v>123134</v>
      </c>
      <c r="R15" s="18">
        <f t="shared" si="1"/>
        <v>8980</v>
      </c>
      <c r="S15" s="18">
        <f t="shared" si="8"/>
        <v>4490</v>
      </c>
      <c r="T15" s="68">
        <v>65151</v>
      </c>
      <c r="U15" s="18">
        <f t="shared" ref="U15" si="73">(T15-T14)*10</f>
        <v>3680</v>
      </c>
      <c r="V15" s="18">
        <f t="shared" si="10"/>
        <v>1840</v>
      </c>
      <c r="W15" s="68">
        <v>131599</v>
      </c>
      <c r="X15" s="18">
        <f t="shared" ref="X15" si="74">W15-W14</f>
        <v>33</v>
      </c>
      <c r="Y15" s="18">
        <f t="shared" si="12"/>
        <v>16.5</v>
      </c>
      <c r="Z15" s="68">
        <v>12260</v>
      </c>
      <c r="AA15" s="18">
        <f t="shared" ref="AA15" si="75">Z15-Z14</f>
        <v>102</v>
      </c>
      <c r="AB15" s="68">
        <v>24490</v>
      </c>
      <c r="AC15" s="18">
        <f t="shared" ref="AC15" si="76">AB15-AB14</f>
        <v>192</v>
      </c>
      <c r="AD15" s="68">
        <v>45180</v>
      </c>
      <c r="AE15" s="18">
        <f t="shared" ref="AE15" si="77">AD15-AD14</f>
        <v>363</v>
      </c>
      <c r="AF15" s="68">
        <v>24890</v>
      </c>
      <c r="AG15" s="18">
        <f t="shared" ref="AG15" si="78">AF15-AF14</f>
        <v>195</v>
      </c>
      <c r="AH15" s="68">
        <v>119854</v>
      </c>
      <c r="AI15" s="18">
        <f t="shared" ref="AI15" si="79">AH15-AH14</f>
        <v>935</v>
      </c>
      <c r="AK15" s="18">
        <f t="shared" si="18"/>
        <v>35531.5</v>
      </c>
      <c r="AL15" s="84">
        <f t="shared" si="19"/>
        <v>10433.5</v>
      </c>
    </row>
    <row r="16" spans="1:38" ht="39.950000000000003" customHeight="1" x14ac:dyDescent="0.25">
      <c r="A16" s="15">
        <v>44144</v>
      </c>
      <c r="B16" s="17"/>
      <c r="C16" s="68">
        <v>32928</v>
      </c>
      <c r="D16" s="18">
        <f t="shared" si="2"/>
        <v>2880</v>
      </c>
      <c r="E16" s="68">
        <v>50685</v>
      </c>
      <c r="F16" s="18">
        <f t="shared" si="2"/>
        <v>5580</v>
      </c>
      <c r="G16" s="68">
        <v>797479</v>
      </c>
      <c r="H16" s="18">
        <f t="shared" ref="H16" si="80">(G16-G15)*10</f>
        <v>3540</v>
      </c>
      <c r="I16" s="18">
        <f t="shared" si="4"/>
        <v>1770</v>
      </c>
      <c r="J16" s="68">
        <v>47230</v>
      </c>
      <c r="K16" s="18">
        <f t="shared" ref="K16" si="81">(J16-J15)*10</f>
        <v>5550</v>
      </c>
      <c r="L16" s="68">
        <v>74100</v>
      </c>
      <c r="M16" s="18">
        <f t="shared" ref="M16" si="82">(L16-L15)*10</f>
        <v>8760</v>
      </c>
      <c r="N16" s="68">
        <v>782161</v>
      </c>
      <c r="O16" s="18">
        <f t="shared" si="0"/>
        <v>4440</v>
      </c>
      <c r="P16" s="18">
        <f t="shared" si="7"/>
        <v>2220</v>
      </c>
      <c r="Q16" s="68">
        <v>123678</v>
      </c>
      <c r="R16" s="18">
        <f t="shared" si="1"/>
        <v>5440</v>
      </c>
      <c r="S16" s="18">
        <f t="shared" si="8"/>
        <v>2720</v>
      </c>
      <c r="T16" s="68">
        <v>65178</v>
      </c>
      <c r="U16" s="18">
        <f t="shared" ref="U16" si="83">(T16-T15)*10</f>
        <v>270</v>
      </c>
      <c r="V16" s="18">
        <f t="shared" si="10"/>
        <v>135</v>
      </c>
      <c r="W16" s="68">
        <v>132047</v>
      </c>
      <c r="X16" s="18">
        <f t="shared" ref="X16" si="84">W16-W15</f>
        <v>448</v>
      </c>
      <c r="Y16" s="18">
        <f t="shared" si="12"/>
        <v>224</v>
      </c>
      <c r="Z16" s="68">
        <v>12349</v>
      </c>
      <c r="AA16" s="18">
        <f t="shared" ref="AA16" si="85">Z16-Z15</f>
        <v>89</v>
      </c>
      <c r="AB16" s="68">
        <v>24687</v>
      </c>
      <c r="AC16" s="18">
        <f t="shared" ref="AC16" si="86">AB16-AB15</f>
        <v>197</v>
      </c>
      <c r="AD16" s="68">
        <v>45544</v>
      </c>
      <c r="AE16" s="18">
        <f t="shared" ref="AE16" si="87">AD16-AD15</f>
        <v>364</v>
      </c>
      <c r="AF16" s="68">
        <v>25079</v>
      </c>
      <c r="AG16" s="18">
        <f t="shared" ref="AG16" si="88">AF16-AF15</f>
        <v>189</v>
      </c>
      <c r="AH16" s="68">
        <v>120759</v>
      </c>
      <c r="AI16" s="18">
        <f t="shared" ref="AI16" si="89">AH16-AH15</f>
        <v>905</v>
      </c>
      <c r="AK16" s="18">
        <f t="shared" si="18"/>
        <v>29839</v>
      </c>
      <c r="AL16" s="84">
        <f t="shared" si="19"/>
        <v>7043</v>
      </c>
    </row>
    <row r="17" spans="1:38" ht="39.950000000000003" customHeight="1" x14ac:dyDescent="0.25">
      <c r="A17" s="15">
        <v>44145</v>
      </c>
      <c r="B17" s="17"/>
      <c r="C17" s="68">
        <v>33336</v>
      </c>
      <c r="D17" s="18">
        <f t="shared" si="2"/>
        <v>4080</v>
      </c>
      <c r="E17" s="68">
        <v>51276</v>
      </c>
      <c r="F17" s="18">
        <f t="shared" si="2"/>
        <v>5910</v>
      </c>
      <c r="G17" s="68">
        <v>797778</v>
      </c>
      <c r="H17" s="18">
        <f t="shared" ref="H17" si="90">(G17-G16)*10</f>
        <v>2990</v>
      </c>
      <c r="I17" s="18">
        <f t="shared" si="4"/>
        <v>1495</v>
      </c>
      <c r="J17" s="68">
        <v>47796</v>
      </c>
      <c r="K17" s="18">
        <f t="shared" ref="K17" si="91">(J17-J16)*10</f>
        <v>5660</v>
      </c>
      <c r="L17" s="68">
        <v>74998</v>
      </c>
      <c r="M17" s="18">
        <f t="shared" ref="M17" si="92">(L17-L16)*10</f>
        <v>8980</v>
      </c>
      <c r="N17" s="68">
        <v>782631</v>
      </c>
      <c r="O17" s="18">
        <f t="shared" si="0"/>
        <v>4700</v>
      </c>
      <c r="P17" s="18">
        <f t="shared" si="7"/>
        <v>2350</v>
      </c>
      <c r="Q17" s="68">
        <v>123680</v>
      </c>
      <c r="R17" s="18">
        <f t="shared" si="1"/>
        <v>20</v>
      </c>
      <c r="S17" s="18">
        <f t="shared" si="8"/>
        <v>10</v>
      </c>
      <c r="T17" s="68">
        <v>65180</v>
      </c>
      <c r="U17" s="18">
        <f t="shared" ref="U17" si="93">(T17-T16)*10</f>
        <v>20</v>
      </c>
      <c r="V17" s="18">
        <f t="shared" si="10"/>
        <v>10</v>
      </c>
      <c r="W17" s="68">
        <v>133013</v>
      </c>
      <c r="X17" s="18">
        <f t="shared" ref="X17" si="94">W17-W16</f>
        <v>966</v>
      </c>
      <c r="Y17" s="18">
        <f t="shared" si="12"/>
        <v>483</v>
      </c>
      <c r="Z17" s="68">
        <v>12445</v>
      </c>
      <c r="AA17" s="18">
        <f t="shared" ref="AA17" si="95">Z17-Z16</f>
        <v>96</v>
      </c>
      <c r="AB17" s="68">
        <v>24894</v>
      </c>
      <c r="AC17" s="18">
        <f t="shared" ref="AC17" si="96">AB17-AB16</f>
        <v>207</v>
      </c>
      <c r="AD17" s="68">
        <v>45920</v>
      </c>
      <c r="AE17" s="18">
        <f t="shared" ref="AE17" si="97">AD17-AD16</f>
        <v>376</v>
      </c>
      <c r="AF17" s="68">
        <v>25284</v>
      </c>
      <c r="AG17" s="18">
        <f t="shared" ref="AG17" si="98">AF17-AF16</f>
        <v>205</v>
      </c>
      <c r="AH17" s="68">
        <v>121676</v>
      </c>
      <c r="AI17" s="18">
        <f t="shared" ref="AI17" si="99">AH17-AH16</f>
        <v>917</v>
      </c>
      <c r="AK17" s="18">
        <f t="shared" si="18"/>
        <v>28978</v>
      </c>
      <c r="AL17" s="84">
        <f t="shared" si="19"/>
        <v>4654</v>
      </c>
    </row>
    <row r="18" spans="1:38" ht="39.950000000000003" customHeight="1" x14ac:dyDescent="0.25">
      <c r="A18" s="15">
        <v>44146</v>
      </c>
      <c r="B18" s="17"/>
      <c r="C18" s="68">
        <v>33671</v>
      </c>
      <c r="D18" s="18">
        <f t="shared" si="2"/>
        <v>3350</v>
      </c>
      <c r="E18" s="68">
        <v>51836</v>
      </c>
      <c r="F18" s="18">
        <f t="shared" si="2"/>
        <v>5600</v>
      </c>
      <c r="G18" s="68">
        <v>798057</v>
      </c>
      <c r="H18" s="18">
        <f t="shared" ref="H18" si="100">(G18-G17)*10</f>
        <v>2790</v>
      </c>
      <c r="I18" s="18">
        <f t="shared" si="4"/>
        <v>1395</v>
      </c>
      <c r="J18" s="68">
        <v>48384</v>
      </c>
      <c r="K18" s="18">
        <f t="shared" ref="K18" si="101">(J18-J17)*10</f>
        <v>5880</v>
      </c>
      <c r="L18" s="68">
        <v>75933</v>
      </c>
      <c r="M18" s="18">
        <f t="shared" ref="M18" si="102">(L18-L17)*10</f>
        <v>9350</v>
      </c>
      <c r="N18" s="68">
        <v>783068</v>
      </c>
      <c r="O18" s="18">
        <f t="shared" si="0"/>
        <v>4370</v>
      </c>
      <c r="P18" s="18">
        <f t="shared" si="7"/>
        <v>2185</v>
      </c>
      <c r="Q18" s="68">
        <v>123682</v>
      </c>
      <c r="R18" s="18">
        <f t="shared" si="1"/>
        <v>20</v>
      </c>
      <c r="S18" s="18">
        <f t="shared" si="8"/>
        <v>10</v>
      </c>
      <c r="T18" s="68">
        <v>65295</v>
      </c>
      <c r="U18" s="18">
        <f t="shared" ref="U18" si="103">(T18-T17)*10</f>
        <v>1150</v>
      </c>
      <c r="V18" s="18">
        <f t="shared" si="10"/>
        <v>575</v>
      </c>
      <c r="W18" s="68">
        <v>133936</v>
      </c>
      <c r="X18" s="18">
        <f t="shared" ref="X18" si="104">W18-W17</f>
        <v>923</v>
      </c>
      <c r="Y18" s="18">
        <f t="shared" si="12"/>
        <v>461.5</v>
      </c>
      <c r="Z18" s="68">
        <v>12542</v>
      </c>
      <c r="AA18" s="18">
        <f t="shared" ref="AA18" si="105">Z18-Z17</f>
        <v>97</v>
      </c>
      <c r="AB18" s="68">
        <v>25111</v>
      </c>
      <c r="AC18" s="18">
        <f t="shared" ref="AC18" si="106">AB18-AB17</f>
        <v>217</v>
      </c>
      <c r="AD18" s="68">
        <v>46294</v>
      </c>
      <c r="AE18" s="18">
        <f t="shared" ref="AE18" si="107">AD18-AD17</f>
        <v>374</v>
      </c>
      <c r="AF18" s="68">
        <v>25493</v>
      </c>
      <c r="AG18" s="18">
        <f t="shared" ref="AG18" si="108">AF18-AF17</f>
        <v>209</v>
      </c>
      <c r="AH18" s="68">
        <v>122612</v>
      </c>
      <c r="AI18" s="18">
        <f t="shared" ref="AI18" si="109">AH18-AH17</f>
        <v>936</v>
      </c>
      <c r="AK18" s="18">
        <f t="shared" si="18"/>
        <v>28806.5</v>
      </c>
      <c r="AL18" s="84">
        <f t="shared" si="19"/>
        <v>5064.5</v>
      </c>
    </row>
    <row r="19" spans="1:38" ht="39.950000000000003" customHeight="1" x14ac:dyDescent="0.25">
      <c r="A19" s="15">
        <v>44147</v>
      </c>
      <c r="B19" s="17"/>
      <c r="C19" s="68">
        <v>34013</v>
      </c>
      <c r="D19" s="18">
        <f t="shared" si="2"/>
        <v>3420</v>
      </c>
      <c r="E19" s="68">
        <v>52394</v>
      </c>
      <c r="F19" s="18">
        <f t="shared" si="2"/>
        <v>5580</v>
      </c>
      <c r="G19" s="68">
        <v>798337</v>
      </c>
      <c r="H19" s="18">
        <f t="shared" ref="H19" si="110">(G19-G18)*10</f>
        <v>2800</v>
      </c>
      <c r="I19" s="18">
        <f t="shared" si="4"/>
        <v>1400</v>
      </c>
      <c r="J19" s="68">
        <v>48944</v>
      </c>
      <c r="K19" s="18">
        <f t="shared" ref="K19" si="111">(J19-J18)*10</f>
        <v>5600</v>
      </c>
      <c r="L19" s="68">
        <v>76837</v>
      </c>
      <c r="M19" s="18">
        <f t="shared" ref="M19" si="112">(L19-L18)*10</f>
        <v>9040</v>
      </c>
      <c r="N19" s="68">
        <v>783519</v>
      </c>
      <c r="O19" s="18">
        <f t="shared" si="0"/>
        <v>4510</v>
      </c>
      <c r="P19" s="18">
        <f t="shared" si="7"/>
        <v>2255</v>
      </c>
      <c r="Q19" s="68">
        <v>123684</v>
      </c>
      <c r="R19" s="18">
        <f t="shared" si="1"/>
        <v>20</v>
      </c>
      <c r="S19" s="18">
        <f t="shared" si="8"/>
        <v>10</v>
      </c>
      <c r="T19" s="68">
        <v>65297</v>
      </c>
      <c r="U19" s="18">
        <f t="shared" ref="U19" si="113">(T19-T18)*10</f>
        <v>20</v>
      </c>
      <c r="V19" s="18">
        <f t="shared" si="10"/>
        <v>10</v>
      </c>
      <c r="W19" s="68">
        <v>134928</v>
      </c>
      <c r="X19" s="18">
        <f t="shared" ref="X19" si="114">W19-W18</f>
        <v>992</v>
      </c>
      <c r="Y19" s="18">
        <f t="shared" si="12"/>
        <v>496</v>
      </c>
      <c r="Z19" s="68">
        <v>12639</v>
      </c>
      <c r="AA19" s="18">
        <f t="shared" ref="AA19" si="115">Z19-Z18</f>
        <v>97</v>
      </c>
      <c r="AB19" s="68">
        <v>25327</v>
      </c>
      <c r="AC19" s="18">
        <f t="shared" ref="AC19" si="116">AB19-AB18</f>
        <v>216</v>
      </c>
      <c r="AD19" s="68">
        <v>46664</v>
      </c>
      <c r="AE19" s="18">
        <f t="shared" ref="AE19" si="117">AD19-AD18</f>
        <v>370</v>
      </c>
      <c r="AF19" s="68">
        <v>25696</v>
      </c>
      <c r="AG19" s="18">
        <f t="shared" ref="AG19" si="118">AF19-AF18</f>
        <v>203</v>
      </c>
      <c r="AH19" s="68">
        <v>123830</v>
      </c>
      <c r="AI19" s="18">
        <f t="shared" ref="AI19" si="119">AH19-AH18</f>
        <v>1218</v>
      </c>
      <c r="AK19" s="18">
        <f t="shared" si="18"/>
        <v>27811</v>
      </c>
      <c r="AL19" s="84">
        <f t="shared" si="19"/>
        <v>4875</v>
      </c>
    </row>
    <row r="20" spans="1:38" ht="39.950000000000003" customHeight="1" x14ac:dyDescent="0.25">
      <c r="A20" s="15">
        <v>44148</v>
      </c>
      <c r="B20" s="17"/>
      <c r="C20" s="68">
        <v>34359</v>
      </c>
      <c r="D20" s="18">
        <f t="shared" si="2"/>
        <v>3460</v>
      </c>
      <c r="E20" s="68">
        <v>52947</v>
      </c>
      <c r="F20" s="18">
        <f t="shared" si="2"/>
        <v>5530</v>
      </c>
      <c r="G20" s="68">
        <v>798630</v>
      </c>
      <c r="H20" s="18">
        <f t="shared" ref="H20" si="120">(G20-G19)*10</f>
        <v>2930</v>
      </c>
      <c r="I20" s="18">
        <f t="shared" si="4"/>
        <v>1465</v>
      </c>
      <c r="J20" s="68">
        <v>49514</v>
      </c>
      <c r="K20" s="18">
        <f t="shared" ref="K20" si="121">(J20-J19)*10</f>
        <v>5700</v>
      </c>
      <c r="L20" s="68">
        <v>77740</v>
      </c>
      <c r="M20" s="18">
        <f t="shared" ref="M20" si="122">(L20-L19)*10</f>
        <v>9030</v>
      </c>
      <c r="N20" s="68">
        <v>783975</v>
      </c>
      <c r="O20" s="18">
        <f t="shared" si="0"/>
        <v>4560</v>
      </c>
      <c r="P20" s="18">
        <f t="shared" si="7"/>
        <v>2280</v>
      </c>
      <c r="Q20" s="68">
        <v>123686</v>
      </c>
      <c r="R20" s="18">
        <f t="shared" si="1"/>
        <v>20</v>
      </c>
      <c r="S20" s="18">
        <f t="shared" si="8"/>
        <v>10</v>
      </c>
      <c r="T20" s="68">
        <v>65299</v>
      </c>
      <c r="U20" s="18">
        <f t="shared" ref="U20" si="123">(T20-T19)*10</f>
        <v>20</v>
      </c>
      <c r="V20" s="18">
        <f t="shared" si="10"/>
        <v>10</v>
      </c>
      <c r="W20" s="68">
        <v>135896</v>
      </c>
      <c r="X20" s="18">
        <f t="shared" ref="X20" si="124">W20-W19</f>
        <v>968</v>
      </c>
      <c r="Y20" s="18">
        <f t="shared" si="12"/>
        <v>484</v>
      </c>
      <c r="Z20" s="68">
        <v>12730</v>
      </c>
      <c r="AA20" s="18">
        <f t="shared" ref="AA20" si="125">Z20-Z19</f>
        <v>91</v>
      </c>
      <c r="AB20" s="68">
        <v>25539</v>
      </c>
      <c r="AC20" s="18">
        <f t="shared" ref="AC20" si="126">AB20-AB19</f>
        <v>212</v>
      </c>
      <c r="AD20" s="68">
        <v>47032</v>
      </c>
      <c r="AE20" s="18">
        <f t="shared" ref="AE20" si="127">AD20-AD19</f>
        <v>368</v>
      </c>
      <c r="AF20" s="68">
        <v>25895</v>
      </c>
      <c r="AG20" s="18">
        <f t="shared" ref="AG20" si="128">AF20-AF19</f>
        <v>199</v>
      </c>
      <c r="AH20" s="68">
        <v>124446</v>
      </c>
      <c r="AI20" s="18">
        <f t="shared" ref="AI20" si="129">AH20-AH19</f>
        <v>616</v>
      </c>
      <c r="AK20" s="18">
        <f t="shared" si="18"/>
        <v>27969</v>
      </c>
      <c r="AL20" s="84">
        <f t="shared" si="19"/>
        <v>4270</v>
      </c>
    </row>
    <row r="21" spans="1:38" ht="39.950000000000003" customHeight="1" x14ac:dyDescent="0.25">
      <c r="A21" s="15">
        <v>44149</v>
      </c>
      <c r="B21" s="17"/>
      <c r="C21" s="68">
        <v>34716</v>
      </c>
      <c r="D21" s="18">
        <f t="shared" si="2"/>
        <v>3570</v>
      </c>
      <c r="E21" s="68">
        <v>53541</v>
      </c>
      <c r="F21" s="18">
        <f t="shared" si="2"/>
        <v>5940</v>
      </c>
      <c r="G21" s="68">
        <v>798920</v>
      </c>
      <c r="H21" s="18">
        <f t="shared" ref="H21" si="130">(G21-G20)*10</f>
        <v>2900</v>
      </c>
      <c r="I21" s="18">
        <f t="shared" si="4"/>
        <v>1450</v>
      </c>
      <c r="J21" s="68">
        <v>50100</v>
      </c>
      <c r="K21" s="18">
        <f t="shared" ref="K21" si="131">(J21-J20)*10</f>
        <v>5860</v>
      </c>
      <c r="L21" s="68">
        <v>78673</v>
      </c>
      <c r="M21" s="18">
        <f t="shared" ref="M21" si="132">(L21-L20)*10</f>
        <v>9330</v>
      </c>
      <c r="N21" s="68">
        <v>784425</v>
      </c>
      <c r="O21" s="18">
        <f t="shared" si="0"/>
        <v>4500</v>
      </c>
      <c r="P21" s="18">
        <f t="shared" si="7"/>
        <v>2250</v>
      </c>
      <c r="Q21" s="68">
        <v>123688</v>
      </c>
      <c r="R21" s="18">
        <f t="shared" si="1"/>
        <v>20</v>
      </c>
      <c r="S21" s="18">
        <f t="shared" si="8"/>
        <v>10</v>
      </c>
      <c r="T21" s="68">
        <v>65301</v>
      </c>
      <c r="U21" s="18">
        <f t="shared" ref="U21" si="133">(T21-T20)*10</f>
        <v>20</v>
      </c>
      <c r="V21" s="18">
        <f t="shared" si="10"/>
        <v>10</v>
      </c>
      <c r="W21" s="68">
        <v>136917</v>
      </c>
      <c r="X21" s="18">
        <f t="shared" ref="X21" si="134">W21-W20</f>
        <v>1021</v>
      </c>
      <c r="Y21" s="18">
        <f t="shared" si="12"/>
        <v>510.5</v>
      </c>
      <c r="Z21" s="68">
        <v>12831</v>
      </c>
      <c r="AA21" s="18">
        <f t="shared" ref="AA21" si="135">Z21-Z20</f>
        <v>101</v>
      </c>
      <c r="AB21" s="68">
        <v>25740</v>
      </c>
      <c r="AC21" s="18">
        <f t="shared" ref="AC21" si="136">AB21-AB20</f>
        <v>201</v>
      </c>
      <c r="AD21" s="68">
        <v>47397</v>
      </c>
      <c r="AE21" s="18">
        <f t="shared" ref="AE21" si="137">AD21-AD20</f>
        <v>365</v>
      </c>
      <c r="AF21" s="68">
        <v>26093</v>
      </c>
      <c r="AG21" s="18">
        <f t="shared" ref="AG21" si="138">AF21-AF20</f>
        <v>198</v>
      </c>
      <c r="AH21" s="68">
        <v>125361</v>
      </c>
      <c r="AI21" s="18">
        <f t="shared" ref="AI21" si="139">AH21-AH20</f>
        <v>915</v>
      </c>
      <c r="AK21" s="18">
        <f t="shared" si="18"/>
        <v>28930.5</v>
      </c>
      <c r="AL21" s="84">
        <f t="shared" si="19"/>
        <v>4560.5</v>
      </c>
    </row>
    <row r="22" spans="1:38" ht="39.950000000000003" customHeight="1" x14ac:dyDescent="0.25">
      <c r="A22" s="15">
        <v>44150</v>
      </c>
      <c r="B22" s="17"/>
      <c r="C22" s="68">
        <v>35079</v>
      </c>
      <c r="D22" s="18">
        <f t="shared" si="2"/>
        <v>3630</v>
      </c>
      <c r="E22" s="68">
        <v>54165</v>
      </c>
      <c r="F22" s="18">
        <f t="shared" si="2"/>
        <v>6240</v>
      </c>
      <c r="G22" s="68">
        <v>799220</v>
      </c>
      <c r="H22" s="18">
        <f t="shared" ref="H22" si="140">(G22-G21)*10</f>
        <v>3000</v>
      </c>
      <c r="I22" s="18">
        <f t="shared" si="4"/>
        <v>1500</v>
      </c>
      <c r="J22" s="68">
        <v>50714</v>
      </c>
      <c r="K22" s="18">
        <f t="shared" ref="K22" si="141">(J22-J21)*10</f>
        <v>6140</v>
      </c>
      <c r="L22" s="68">
        <v>79675</v>
      </c>
      <c r="M22" s="18">
        <f t="shared" ref="M22" si="142">(L22-L21)*10</f>
        <v>10020</v>
      </c>
      <c r="N22" s="68">
        <v>784880</v>
      </c>
      <c r="O22" s="18">
        <f t="shared" si="0"/>
        <v>4550</v>
      </c>
      <c r="P22" s="18">
        <f t="shared" si="7"/>
        <v>2275</v>
      </c>
      <c r="Q22" s="68">
        <v>123746</v>
      </c>
      <c r="R22" s="18">
        <f t="shared" si="1"/>
        <v>580</v>
      </c>
      <c r="S22" s="18">
        <f t="shared" si="8"/>
        <v>290</v>
      </c>
      <c r="T22" s="68">
        <v>65303</v>
      </c>
      <c r="U22" s="18">
        <f t="shared" ref="U22" si="143">(T22-T21)*10</f>
        <v>20</v>
      </c>
      <c r="V22" s="18">
        <f t="shared" si="10"/>
        <v>10</v>
      </c>
      <c r="W22" s="68">
        <v>138033</v>
      </c>
      <c r="X22" s="18">
        <f t="shared" ref="X22" si="144">W22-W21</f>
        <v>1116</v>
      </c>
      <c r="Y22" s="18">
        <f t="shared" si="12"/>
        <v>558</v>
      </c>
      <c r="Z22" s="68">
        <v>12939</v>
      </c>
      <c r="AA22" s="18">
        <f t="shared" ref="AA22" si="145">Z22-Z21</f>
        <v>108</v>
      </c>
      <c r="AB22" s="68">
        <v>25940</v>
      </c>
      <c r="AC22" s="18">
        <f t="shared" ref="AC22" si="146">AB22-AB21</f>
        <v>200</v>
      </c>
      <c r="AD22" s="68">
        <v>47759</v>
      </c>
      <c r="AE22" s="18">
        <f t="shared" ref="AE22" si="147">AD22-AD21</f>
        <v>362</v>
      </c>
      <c r="AF22" s="68">
        <v>26289</v>
      </c>
      <c r="AG22" s="18">
        <f t="shared" ref="AG22" si="148">AF22-AF21</f>
        <v>196</v>
      </c>
      <c r="AH22" s="68">
        <v>126293</v>
      </c>
      <c r="AI22" s="18">
        <f t="shared" ref="AI22" si="149">AH22-AH21</f>
        <v>932</v>
      </c>
      <c r="AK22" s="18">
        <f t="shared" si="18"/>
        <v>30663</v>
      </c>
      <c r="AL22" s="84">
        <f t="shared" si="19"/>
        <v>4931</v>
      </c>
    </row>
    <row r="23" spans="1:38" ht="39.950000000000003" customHeight="1" x14ac:dyDescent="0.25">
      <c r="A23" s="15">
        <v>44151</v>
      </c>
      <c r="B23" s="17"/>
      <c r="C23" s="68">
        <v>35431</v>
      </c>
      <c r="D23" s="18">
        <f t="shared" si="2"/>
        <v>3520</v>
      </c>
      <c r="E23" s="68">
        <v>54757</v>
      </c>
      <c r="F23" s="18">
        <f t="shared" si="2"/>
        <v>5920</v>
      </c>
      <c r="G23" s="68">
        <v>799535</v>
      </c>
      <c r="H23" s="18">
        <f t="shared" ref="H23" si="150">(G23-G22)*10</f>
        <v>3150</v>
      </c>
      <c r="I23" s="18">
        <f t="shared" si="4"/>
        <v>1575</v>
      </c>
      <c r="J23" s="68">
        <v>51298</v>
      </c>
      <c r="K23" s="18">
        <f t="shared" ref="K23" si="151">(J23-J22)*10</f>
        <v>5840</v>
      </c>
      <c r="L23" s="68">
        <v>80556</v>
      </c>
      <c r="M23" s="18">
        <f t="shared" ref="M23" si="152">(L23-L22)*10</f>
        <v>8810</v>
      </c>
      <c r="N23" s="68">
        <v>785321</v>
      </c>
      <c r="O23" s="18">
        <f t="shared" si="0"/>
        <v>4410</v>
      </c>
      <c r="P23" s="18">
        <f t="shared" si="7"/>
        <v>2205</v>
      </c>
      <c r="Q23" s="68">
        <v>124075</v>
      </c>
      <c r="R23" s="18">
        <f t="shared" si="1"/>
        <v>3290</v>
      </c>
      <c r="S23" s="18">
        <f t="shared" si="8"/>
        <v>1645</v>
      </c>
      <c r="T23" s="68">
        <v>65306</v>
      </c>
      <c r="U23" s="18">
        <f t="shared" ref="U23" si="153">(T23-T22)*10</f>
        <v>30</v>
      </c>
      <c r="V23" s="18">
        <f t="shared" si="10"/>
        <v>15</v>
      </c>
      <c r="W23" s="68">
        <v>138969</v>
      </c>
      <c r="X23" s="18">
        <f t="shared" ref="X23" si="154">W23-W22</f>
        <v>936</v>
      </c>
      <c r="Y23" s="18">
        <f t="shared" si="12"/>
        <v>468</v>
      </c>
      <c r="Z23" s="68">
        <v>13041</v>
      </c>
      <c r="AA23" s="18">
        <f t="shared" ref="AA23" si="155">Z23-Z22</f>
        <v>102</v>
      </c>
      <c r="AB23" s="68">
        <v>26142</v>
      </c>
      <c r="AC23" s="18">
        <f t="shared" ref="AC23" si="156">AB23-AB22</f>
        <v>202</v>
      </c>
      <c r="AD23" s="68">
        <v>48126</v>
      </c>
      <c r="AE23" s="18">
        <f t="shared" ref="AE23" si="157">AD23-AD22</f>
        <v>367</v>
      </c>
      <c r="AF23" s="68">
        <v>26481</v>
      </c>
      <c r="AG23" s="18">
        <f t="shared" ref="AG23" si="158">AF23-AF22</f>
        <v>192</v>
      </c>
      <c r="AH23" s="68">
        <v>127207</v>
      </c>
      <c r="AI23" s="18">
        <f t="shared" ref="AI23" si="159">AH23-AH22</f>
        <v>914</v>
      </c>
      <c r="AK23" s="18">
        <f t="shared" si="18"/>
        <v>29998</v>
      </c>
      <c r="AL23" s="84">
        <f t="shared" si="19"/>
        <v>6110</v>
      </c>
    </row>
    <row r="24" spans="1:38" ht="39.950000000000003" customHeight="1" x14ac:dyDescent="0.25">
      <c r="A24" s="15">
        <v>44152</v>
      </c>
      <c r="B24" s="17"/>
      <c r="C24" s="68">
        <v>35778</v>
      </c>
      <c r="D24" s="18">
        <f t="shared" si="2"/>
        <v>3470</v>
      </c>
      <c r="E24" s="68">
        <v>55338</v>
      </c>
      <c r="F24" s="18">
        <f t="shared" si="2"/>
        <v>5810</v>
      </c>
      <c r="G24" s="68">
        <v>799825</v>
      </c>
      <c r="H24" s="18">
        <f t="shared" ref="H24" si="160">(G24-G23)*10</f>
        <v>2900</v>
      </c>
      <c r="I24" s="18">
        <f t="shared" si="4"/>
        <v>1450</v>
      </c>
      <c r="J24" s="68">
        <v>51885</v>
      </c>
      <c r="K24" s="18">
        <f t="shared" ref="K24:K37" si="161">(J24-J23)*10</f>
        <v>5870</v>
      </c>
      <c r="L24" s="68">
        <v>81470</v>
      </c>
      <c r="M24" s="18">
        <f t="shared" ref="M24:M37" si="162">(L24-L23)*10</f>
        <v>9140</v>
      </c>
      <c r="N24" s="68">
        <v>785791</v>
      </c>
      <c r="O24" s="18">
        <f t="shared" si="0"/>
        <v>4700</v>
      </c>
      <c r="P24" s="18">
        <f t="shared" si="7"/>
        <v>2350</v>
      </c>
      <c r="Q24" s="68">
        <v>124352</v>
      </c>
      <c r="R24" s="18">
        <f t="shared" si="1"/>
        <v>2770</v>
      </c>
      <c r="S24" s="18">
        <f t="shared" si="8"/>
        <v>1385</v>
      </c>
      <c r="T24" s="68">
        <v>65705</v>
      </c>
      <c r="U24" s="18">
        <f t="shared" ref="U24" si="163">(T24-T23)*10</f>
        <v>3990</v>
      </c>
      <c r="V24" s="18">
        <f t="shared" si="10"/>
        <v>1995</v>
      </c>
      <c r="W24" s="68">
        <v>139654</v>
      </c>
      <c r="X24" s="18">
        <f t="shared" ref="X24" si="164">W24-W23</f>
        <v>685</v>
      </c>
      <c r="Y24" s="18">
        <f t="shared" si="12"/>
        <v>342.5</v>
      </c>
      <c r="Z24" s="68">
        <v>13142</v>
      </c>
      <c r="AA24" s="18">
        <f t="shared" ref="AA24:AA37" si="165">Z24-Z23</f>
        <v>101</v>
      </c>
      <c r="AB24" s="68">
        <v>26352</v>
      </c>
      <c r="AC24" s="18">
        <f t="shared" ref="AC24:AC37" si="166">AB24-AB23</f>
        <v>210</v>
      </c>
      <c r="AD24" s="68">
        <v>48501</v>
      </c>
      <c r="AE24" s="18">
        <f t="shared" ref="AE24:AE37" si="167">AD24-AD23</f>
        <v>375</v>
      </c>
      <c r="AF24" s="68">
        <v>26676</v>
      </c>
      <c r="AG24" s="18">
        <f t="shared" ref="AG24:AG37" si="168">AF24-AF23</f>
        <v>195</v>
      </c>
      <c r="AH24" s="68">
        <v>128135</v>
      </c>
      <c r="AI24" s="18">
        <f t="shared" ref="AI24:AI37" si="169">AH24-AH23</f>
        <v>928</v>
      </c>
      <c r="AK24" s="18">
        <f t="shared" si="18"/>
        <v>31812.5</v>
      </c>
      <c r="AL24" s="84">
        <f t="shared" si="19"/>
        <v>7881.5</v>
      </c>
    </row>
    <row r="25" spans="1:38" ht="39.950000000000003" customHeight="1" x14ac:dyDescent="0.25">
      <c r="A25" s="15">
        <v>44153</v>
      </c>
      <c r="B25" s="17"/>
      <c r="C25" s="68">
        <v>36130</v>
      </c>
      <c r="D25" s="18">
        <f t="shared" si="2"/>
        <v>3520</v>
      </c>
      <c r="E25" s="68">
        <v>55909</v>
      </c>
      <c r="F25" s="18">
        <f t="shared" si="2"/>
        <v>5710</v>
      </c>
      <c r="G25" s="68">
        <v>800174</v>
      </c>
      <c r="H25" s="18">
        <f t="shared" ref="H25:H37" si="170">(G25-G24)*10</f>
        <v>3490</v>
      </c>
      <c r="I25" s="18">
        <f t="shared" ref="I25:I37" si="171">H25*50%</f>
        <v>1745</v>
      </c>
      <c r="J25" s="68">
        <v>52486</v>
      </c>
      <c r="K25" s="18">
        <f t="shared" si="161"/>
        <v>6010</v>
      </c>
      <c r="L25" s="68">
        <v>82412</v>
      </c>
      <c r="M25" s="18">
        <f t="shared" si="162"/>
        <v>9420</v>
      </c>
      <c r="N25" s="68">
        <v>786283</v>
      </c>
      <c r="O25" s="18">
        <f t="shared" ref="O25:O37" si="172">(N25-N24)*10</f>
        <v>4920</v>
      </c>
      <c r="P25" s="18">
        <f t="shared" ref="P25:P37" si="173">O25*50%</f>
        <v>2460</v>
      </c>
      <c r="Q25" s="68">
        <v>125365</v>
      </c>
      <c r="R25" s="18">
        <f t="shared" ref="R25:R37" si="174">(Q25-Q24)*10</f>
        <v>10130</v>
      </c>
      <c r="S25" s="18">
        <f t="shared" ref="S25:S37" si="175">R25*50%</f>
        <v>5065</v>
      </c>
      <c r="T25" s="68">
        <v>66188</v>
      </c>
      <c r="U25" s="18">
        <f t="shared" ref="U25:U37" si="176">(T25-T24)*10</f>
        <v>4830</v>
      </c>
      <c r="V25" s="18">
        <f t="shared" ref="V25:V37" si="177">U25*50%</f>
        <v>2415</v>
      </c>
      <c r="W25" s="68">
        <v>139690</v>
      </c>
      <c r="X25" s="18">
        <f t="shared" ref="X25:X37" si="178">W25-W24</f>
        <v>36</v>
      </c>
      <c r="Y25" s="18">
        <f t="shared" ref="Y25:Y37" si="179">X25*50%</f>
        <v>18</v>
      </c>
      <c r="Z25" s="68">
        <v>13249</v>
      </c>
      <c r="AA25" s="18">
        <f t="shared" si="165"/>
        <v>107</v>
      </c>
      <c r="AB25" s="68">
        <v>26579</v>
      </c>
      <c r="AC25" s="18">
        <f t="shared" si="166"/>
        <v>227</v>
      </c>
      <c r="AD25" s="68">
        <v>48879</v>
      </c>
      <c r="AE25" s="18">
        <f t="shared" si="167"/>
        <v>378</v>
      </c>
      <c r="AF25" s="68">
        <v>26873</v>
      </c>
      <c r="AG25" s="18">
        <f t="shared" si="168"/>
        <v>197</v>
      </c>
      <c r="AH25" s="68">
        <v>129094</v>
      </c>
      <c r="AI25" s="18">
        <f t="shared" si="169"/>
        <v>959</v>
      </c>
      <c r="AK25" s="18">
        <f t="shared" ref="AK25:AK37" si="180">SUM(D25,F25,I25,K25,M25,P25,S25,V25,Y25)</f>
        <v>36363</v>
      </c>
      <c r="AL25" s="84">
        <f t="shared" ref="AL25:AL37" si="181">SUM(P25,S25,V25,Y25,AA25,AC25,AE25,AG25,AI25)</f>
        <v>11826</v>
      </c>
    </row>
    <row r="26" spans="1:38" ht="39.950000000000003" customHeight="1" x14ac:dyDescent="0.25">
      <c r="A26" s="15">
        <v>44154</v>
      </c>
      <c r="B26" s="17"/>
      <c r="C26" s="68">
        <v>36489</v>
      </c>
      <c r="D26" s="18">
        <f t="shared" ref="D26:D37" si="182">(C26-C25)*10</f>
        <v>3590</v>
      </c>
      <c r="E26" s="68">
        <v>56479</v>
      </c>
      <c r="F26" s="18">
        <f t="shared" ref="F26:F37" si="183">(E26-E25)*10</f>
        <v>5700</v>
      </c>
      <c r="G26" s="68">
        <v>800515</v>
      </c>
      <c r="H26" s="18">
        <f t="shared" si="170"/>
        <v>3410</v>
      </c>
      <c r="I26" s="18">
        <f t="shared" si="171"/>
        <v>1705</v>
      </c>
      <c r="J26" s="68">
        <v>53070</v>
      </c>
      <c r="K26" s="18">
        <f t="shared" si="161"/>
        <v>5840</v>
      </c>
      <c r="L26" s="68">
        <v>83314</v>
      </c>
      <c r="M26" s="18">
        <f t="shared" si="162"/>
        <v>9020</v>
      </c>
      <c r="N26" s="68">
        <v>786777</v>
      </c>
      <c r="O26" s="18">
        <f t="shared" si="172"/>
        <v>4940</v>
      </c>
      <c r="P26" s="18">
        <f t="shared" si="173"/>
        <v>2470</v>
      </c>
      <c r="Q26" s="68">
        <v>126409</v>
      </c>
      <c r="R26" s="18">
        <f t="shared" si="174"/>
        <v>10440</v>
      </c>
      <c r="S26" s="18">
        <f t="shared" si="175"/>
        <v>5220</v>
      </c>
      <c r="T26" s="68">
        <v>66845</v>
      </c>
      <c r="U26" s="18">
        <f t="shared" si="176"/>
        <v>6570</v>
      </c>
      <c r="V26" s="18">
        <f t="shared" si="177"/>
        <v>3285</v>
      </c>
      <c r="W26" s="68">
        <v>139746</v>
      </c>
      <c r="X26" s="18">
        <f t="shared" si="178"/>
        <v>56</v>
      </c>
      <c r="Y26" s="18">
        <f t="shared" si="179"/>
        <v>28</v>
      </c>
      <c r="Z26" s="68">
        <v>13353</v>
      </c>
      <c r="AA26" s="18">
        <f t="shared" si="165"/>
        <v>104</v>
      </c>
      <c r="AB26" s="68">
        <v>26791</v>
      </c>
      <c r="AC26" s="18">
        <f t="shared" si="166"/>
        <v>212</v>
      </c>
      <c r="AD26" s="68">
        <v>49238</v>
      </c>
      <c r="AE26" s="18">
        <f t="shared" si="167"/>
        <v>359</v>
      </c>
      <c r="AF26" s="68">
        <v>27064</v>
      </c>
      <c r="AG26" s="18">
        <f t="shared" si="168"/>
        <v>191</v>
      </c>
      <c r="AH26" s="68">
        <v>130020</v>
      </c>
      <c r="AI26" s="18">
        <f t="shared" si="169"/>
        <v>926</v>
      </c>
      <c r="AK26" s="18">
        <f t="shared" si="180"/>
        <v>36858</v>
      </c>
      <c r="AL26" s="84">
        <f t="shared" si="181"/>
        <v>12795</v>
      </c>
    </row>
    <row r="27" spans="1:38" ht="39.950000000000003" customHeight="1" x14ac:dyDescent="0.25">
      <c r="A27" s="15">
        <v>44155</v>
      </c>
      <c r="B27" s="17"/>
      <c r="C27" s="68">
        <v>36852</v>
      </c>
      <c r="D27" s="18">
        <f t="shared" si="182"/>
        <v>3630</v>
      </c>
      <c r="E27" s="68">
        <v>57071</v>
      </c>
      <c r="F27" s="18">
        <f t="shared" si="183"/>
        <v>5920</v>
      </c>
      <c r="G27" s="68">
        <v>800864</v>
      </c>
      <c r="H27" s="18">
        <f t="shared" si="170"/>
        <v>3490</v>
      </c>
      <c r="I27" s="18">
        <f t="shared" si="171"/>
        <v>1745</v>
      </c>
      <c r="J27" s="68">
        <v>53663</v>
      </c>
      <c r="K27" s="18">
        <f t="shared" si="161"/>
        <v>5930</v>
      </c>
      <c r="L27" s="68">
        <v>84259</v>
      </c>
      <c r="M27" s="18">
        <f t="shared" si="162"/>
        <v>9450</v>
      </c>
      <c r="N27" s="68">
        <v>787260</v>
      </c>
      <c r="O27" s="18">
        <f t="shared" si="172"/>
        <v>4830</v>
      </c>
      <c r="P27" s="18">
        <f t="shared" si="173"/>
        <v>2415</v>
      </c>
      <c r="Q27" s="68">
        <v>127495</v>
      </c>
      <c r="R27" s="18">
        <f t="shared" si="174"/>
        <v>10860</v>
      </c>
      <c r="S27" s="18">
        <f t="shared" si="175"/>
        <v>5430</v>
      </c>
      <c r="T27" s="68">
        <v>67702</v>
      </c>
      <c r="U27" s="18">
        <f t="shared" si="176"/>
        <v>8570</v>
      </c>
      <c r="V27" s="18">
        <f t="shared" si="177"/>
        <v>4285</v>
      </c>
      <c r="W27" s="68">
        <v>139797</v>
      </c>
      <c r="X27" s="18">
        <f t="shared" si="178"/>
        <v>51</v>
      </c>
      <c r="Y27" s="18">
        <f t="shared" si="179"/>
        <v>25.5</v>
      </c>
      <c r="Z27" s="68">
        <v>13453</v>
      </c>
      <c r="AA27" s="18">
        <f t="shared" si="165"/>
        <v>100</v>
      </c>
      <c r="AB27" s="68">
        <v>27009</v>
      </c>
      <c r="AC27" s="18">
        <f t="shared" si="166"/>
        <v>218</v>
      </c>
      <c r="AD27" s="68">
        <v>49606</v>
      </c>
      <c r="AE27" s="18">
        <f t="shared" si="167"/>
        <v>368</v>
      </c>
      <c r="AF27" s="68">
        <v>27265</v>
      </c>
      <c r="AG27" s="18">
        <f t="shared" si="168"/>
        <v>201</v>
      </c>
      <c r="AH27" s="68">
        <v>130954</v>
      </c>
      <c r="AI27" s="18">
        <f t="shared" si="169"/>
        <v>934</v>
      </c>
      <c r="AK27" s="18">
        <f t="shared" si="180"/>
        <v>38830.5</v>
      </c>
      <c r="AL27" s="84">
        <f t="shared" si="181"/>
        <v>13976.5</v>
      </c>
    </row>
    <row r="28" spans="1:38" ht="39.950000000000003" customHeight="1" x14ac:dyDescent="0.25">
      <c r="A28" s="15">
        <v>44156</v>
      </c>
      <c r="B28" s="17"/>
      <c r="C28" s="68">
        <v>37222</v>
      </c>
      <c r="D28" s="18">
        <f t="shared" si="182"/>
        <v>3700</v>
      </c>
      <c r="E28" s="68">
        <v>57706</v>
      </c>
      <c r="F28" s="18">
        <f t="shared" si="183"/>
        <v>6350</v>
      </c>
      <c r="G28" s="68">
        <v>801202</v>
      </c>
      <c r="H28" s="18">
        <f t="shared" si="170"/>
        <v>3380</v>
      </c>
      <c r="I28" s="18">
        <f t="shared" si="171"/>
        <v>1690</v>
      </c>
      <c r="J28" s="68">
        <v>54277</v>
      </c>
      <c r="K28" s="18">
        <f t="shared" si="161"/>
        <v>6140</v>
      </c>
      <c r="L28" s="68">
        <v>85227</v>
      </c>
      <c r="M28" s="18">
        <f t="shared" si="162"/>
        <v>9680</v>
      </c>
      <c r="N28" s="68">
        <v>787749</v>
      </c>
      <c r="O28" s="18">
        <f t="shared" si="172"/>
        <v>4890</v>
      </c>
      <c r="P28" s="18">
        <f t="shared" si="173"/>
        <v>2445</v>
      </c>
      <c r="Q28" s="68">
        <v>128421</v>
      </c>
      <c r="R28" s="18">
        <f t="shared" si="174"/>
        <v>9260</v>
      </c>
      <c r="S28" s="18">
        <f t="shared" si="175"/>
        <v>4630</v>
      </c>
      <c r="T28" s="68">
        <v>68238</v>
      </c>
      <c r="U28" s="18">
        <f t="shared" si="176"/>
        <v>5360</v>
      </c>
      <c r="V28" s="18">
        <f t="shared" si="177"/>
        <v>2680</v>
      </c>
      <c r="W28" s="68">
        <v>139841</v>
      </c>
      <c r="X28" s="18">
        <f t="shared" si="178"/>
        <v>44</v>
      </c>
      <c r="Y28" s="18">
        <f t="shared" si="179"/>
        <v>22</v>
      </c>
      <c r="Z28" s="68">
        <v>13558</v>
      </c>
      <c r="AA28" s="18">
        <f t="shared" si="165"/>
        <v>105</v>
      </c>
      <c r="AB28" s="68">
        <v>27220</v>
      </c>
      <c r="AC28" s="18">
        <f t="shared" si="166"/>
        <v>211</v>
      </c>
      <c r="AD28" s="68">
        <v>49964</v>
      </c>
      <c r="AE28" s="18">
        <f t="shared" si="167"/>
        <v>358</v>
      </c>
      <c r="AF28" s="68">
        <v>27463</v>
      </c>
      <c r="AG28" s="18">
        <f t="shared" si="168"/>
        <v>198</v>
      </c>
      <c r="AH28" s="68">
        <v>131860</v>
      </c>
      <c r="AI28" s="18">
        <f t="shared" si="169"/>
        <v>906</v>
      </c>
      <c r="AK28" s="18">
        <f t="shared" si="180"/>
        <v>37337</v>
      </c>
      <c r="AL28" s="84">
        <f t="shared" si="181"/>
        <v>11555</v>
      </c>
    </row>
    <row r="29" spans="1:38" ht="39.950000000000003" customHeight="1" x14ac:dyDescent="0.25">
      <c r="A29" s="15">
        <v>44157</v>
      </c>
      <c r="B29" s="17"/>
      <c r="C29" s="68">
        <v>37594</v>
      </c>
      <c r="D29" s="18">
        <f t="shared" si="182"/>
        <v>3720</v>
      </c>
      <c r="E29" s="68">
        <v>58345</v>
      </c>
      <c r="F29" s="18">
        <f t="shared" si="183"/>
        <v>6390</v>
      </c>
      <c r="G29" s="68">
        <v>801521</v>
      </c>
      <c r="H29" s="18">
        <f t="shared" si="170"/>
        <v>3190</v>
      </c>
      <c r="I29" s="18">
        <f t="shared" si="171"/>
        <v>1595</v>
      </c>
      <c r="J29" s="68">
        <v>54902</v>
      </c>
      <c r="K29" s="18">
        <f t="shared" si="161"/>
        <v>6250</v>
      </c>
      <c r="L29" s="68">
        <v>86189</v>
      </c>
      <c r="M29" s="18">
        <f t="shared" si="162"/>
        <v>9620</v>
      </c>
      <c r="N29" s="68">
        <v>788247</v>
      </c>
      <c r="O29" s="18">
        <f t="shared" si="172"/>
        <v>4980</v>
      </c>
      <c r="P29" s="18">
        <f t="shared" si="173"/>
        <v>2490</v>
      </c>
      <c r="Q29" s="68">
        <v>129034</v>
      </c>
      <c r="R29" s="18">
        <f t="shared" si="174"/>
        <v>6130</v>
      </c>
      <c r="S29" s="18">
        <f t="shared" si="175"/>
        <v>3065</v>
      </c>
      <c r="T29" s="68">
        <v>69149</v>
      </c>
      <c r="U29" s="18">
        <f t="shared" si="176"/>
        <v>9110</v>
      </c>
      <c r="V29" s="18">
        <f t="shared" si="177"/>
        <v>4555</v>
      </c>
      <c r="W29" s="68">
        <v>139903</v>
      </c>
      <c r="X29" s="18">
        <f t="shared" si="178"/>
        <v>62</v>
      </c>
      <c r="Y29" s="18">
        <f t="shared" si="179"/>
        <v>31</v>
      </c>
      <c r="Z29" s="68">
        <v>13662</v>
      </c>
      <c r="AA29" s="18">
        <f t="shared" si="165"/>
        <v>104</v>
      </c>
      <c r="AB29" s="68">
        <v>27418</v>
      </c>
      <c r="AC29" s="18">
        <f t="shared" si="166"/>
        <v>198</v>
      </c>
      <c r="AD29" s="68">
        <v>50308</v>
      </c>
      <c r="AE29" s="18">
        <f t="shared" si="167"/>
        <v>344</v>
      </c>
      <c r="AF29" s="68">
        <v>27655</v>
      </c>
      <c r="AG29" s="18">
        <f t="shared" si="168"/>
        <v>192</v>
      </c>
      <c r="AH29" s="68">
        <v>132795</v>
      </c>
      <c r="AI29" s="18">
        <f t="shared" si="169"/>
        <v>935</v>
      </c>
      <c r="AK29" s="18">
        <f t="shared" si="180"/>
        <v>37716</v>
      </c>
      <c r="AL29" s="84">
        <f t="shared" si="181"/>
        <v>11914</v>
      </c>
    </row>
    <row r="30" spans="1:38" ht="39.950000000000003" customHeight="1" x14ac:dyDescent="0.25">
      <c r="A30" s="15">
        <v>44158</v>
      </c>
      <c r="B30" s="17"/>
      <c r="C30" s="68">
        <v>37957</v>
      </c>
      <c r="D30" s="18">
        <f t="shared" si="182"/>
        <v>3630</v>
      </c>
      <c r="E30" s="68">
        <v>59024</v>
      </c>
      <c r="F30" s="18">
        <f t="shared" si="183"/>
        <v>6790</v>
      </c>
      <c r="G30" s="68">
        <v>802030</v>
      </c>
      <c r="H30" s="18">
        <f t="shared" si="170"/>
        <v>5090</v>
      </c>
      <c r="I30" s="18">
        <f t="shared" si="171"/>
        <v>2545</v>
      </c>
      <c r="J30" s="68">
        <v>55511</v>
      </c>
      <c r="K30" s="18">
        <f t="shared" si="161"/>
        <v>6090</v>
      </c>
      <c r="L30" s="68">
        <v>87128</v>
      </c>
      <c r="M30" s="18">
        <f t="shared" si="162"/>
        <v>9390</v>
      </c>
      <c r="N30" s="68">
        <v>788747</v>
      </c>
      <c r="O30" s="18">
        <f t="shared" si="172"/>
        <v>5000</v>
      </c>
      <c r="P30" s="18">
        <f t="shared" si="173"/>
        <v>2500</v>
      </c>
      <c r="Q30" s="68">
        <v>129448</v>
      </c>
      <c r="R30" s="18">
        <f t="shared" si="174"/>
        <v>4140</v>
      </c>
      <c r="S30" s="18">
        <f t="shared" si="175"/>
        <v>2070</v>
      </c>
      <c r="T30" s="68">
        <v>69769</v>
      </c>
      <c r="U30" s="18">
        <f t="shared" si="176"/>
        <v>6200</v>
      </c>
      <c r="V30" s="18">
        <f t="shared" si="177"/>
        <v>3100</v>
      </c>
      <c r="W30" s="68">
        <v>139949</v>
      </c>
      <c r="X30" s="18">
        <f t="shared" si="178"/>
        <v>46</v>
      </c>
      <c r="Y30" s="18">
        <f t="shared" si="179"/>
        <v>23</v>
      </c>
      <c r="Z30" s="68">
        <v>13763</v>
      </c>
      <c r="AA30" s="18">
        <f t="shared" si="165"/>
        <v>101</v>
      </c>
      <c r="AB30" s="68">
        <v>27635</v>
      </c>
      <c r="AC30" s="18">
        <f t="shared" si="166"/>
        <v>217</v>
      </c>
      <c r="AD30" s="68">
        <v>50679</v>
      </c>
      <c r="AE30" s="18">
        <f t="shared" si="167"/>
        <v>371</v>
      </c>
      <c r="AF30" s="68">
        <v>27857</v>
      </c>
      <c r="AG30" s="18">
        <f t="shared" si="168"/>
        <v>202</v>
      </c>
      <c r="AH30" s="68">
        <v>133732</v>
      </c>
      <c r="AI30" s="18">
        <f t="shared" si="169"/>
        <v>937</v>
      </c>
      <c r="AK30" s="18">
        <f t="shared" si="180"/>
        <v>36138</v>
      </c>
      <c r="AL30" s="84">
        <f t="shared" si="181"/>
        <v>9521</v>
      </c>
    </row>
    <row r="31" spans="1:38" ht="39.950000000000003" customHeight="1" x14ac:dyDescent="0.25">
      <c r="A31" s="15">
        <v>44159</v>
      </c>
      <c r="B31" s="17"/>
      <c r="C31" s="68">
        <v>38301</v>
      </c>
      <c r="D31" s="18">
        <f t="shared" si="182"/>
        <v>3440</v>
      </c>
      <c r="E31" s="68">
        <v>59631</v>
      </c>
      <c r="F31" s="18">
        <f t="shared" si="183"/>
        <v>6070</v>
      </c>
      <c r="G31" s="68">
        <v>803177</v>
      </c>
      <c r="H31" s="18">
        <f t="shared" si="170"/>
        <v>11470</v>
      </c>
      <c r="I31" s="18">
        <f t="shared" si="171"/>
        <v>5735</v>
      </c>
      <c r="J31" s="68">
        <v>56072</v>
      </c>
      <c r="K31" s="18">
        <f t="shared" si="161"/>
        <v>5610</v>
      </c>
      <c r="L31" s="68">
        <v>88015</v>
      </c>
      <c r="M31" s="18">
        <f t="shared" si="162"/>
        <v>8870</v>
      </c>
      <c r="N31" s="68">
        <v>789224</v>
      </c>
      <c r="O31" s="18">
        <f t="shared" si="172"/>
        <v>4770</v>
      </c>
      <c r="P31" s="18">
        <f t="shared" si="173"/>
        <v>2385</v>
      </c>
      <c r="Q31" s="68">
        <v>129793</v>
      </c>
      <c r="R31" s="18">
        <f t="shared" si="174"/>
        <v>3450</v>
      </c>
      <c r="S31" s="18">
        <f t="shared" si="175"/>
        <v>1725</v>
      </c>
      <c r="T31" s="68">
        <v>69771</v>
      </c>
      <c r="U31" s="18">
        <f t="shared" si="176"/>
        <v>20</v>
      </c>
      <c r="V31" s="18">
        <f t="shared" si="177"/>
        <v>10</v>
      </c>
      <c r="W31" s="68">
        <v>139956</v>
      </c>
      <c r="X31" s="18">
        <f t="shared" si="178"/>
        <v>7</v>
      </c>
      <c r="Y31" s="18">
        <f t="shared" si="179"/>
        <v>3.5</v>
      </c>
      <c r="Z31" s="68">
        <v>13859</v>
      </c>
      <c r="AA31" s="18">
        <f t="shared" si="165"/>
        <v>96</v>
      </c>
      <c r="AB31" s="68">
        <v>27842</v>
      </c>
      <c r="AC31" s="18">
        <f t="shared" si="166"/>
        <v>207</v>
      </c>
      <c r="AD31" s="68">
        <v>51032</v>
      </c>
      <c r="AE31" s="18">
        <f t="shared" si="167"/>
        <v>353</v>
      </c>
      <c r="AF31" s="68">
        <v>28051</v>
      </c>
      <c r="AG31" s="18">
        <f t="shared" si="168"/>
        <v>194</v>
      </c>
      <c r="AH31" s="68">
        <v>134652</v>
      </c>
      <c r="AI31" s="18">
        <f t="shared" si="169"/>
        <v>920</v>
      </c>
      <c r="AK31" s="18">
        <f t="shared" si="180"/>
        <v>33848.5</v>
      </c>
      <c r="AL31" s="84">
        <f t="shared" si="181"/>
        <v>5893.5</v>
      </c>
    </row>
    <row r="32" spans="1:38" ht="39.950000000000003" customHeight="1" x14ac:dyDescent="0.25">
      <c r="A32" s="15">
        <v>44160</v>
      </c>
      <c r="B32" s="17"/>
      <c r="C32" s="119">
        <v>38655</v>
      </c>
      <c r="D32" s="18">
        <f t="shared" si="182"/>
        <v>3540</v>
      </c>
      <c r="E32" s="119">
        <v>60214</v>
      </c>
      <c r="F32" s="18">
        <f t="shared" si="183"/>
        <v>5830</v>
      </c>
      <c r="G32" s="119">
        <v>804306</v>
      </c>
      <c r="H32" s="18">
        <f t="shared" si="170"/>
        <v>11290</v>
      </c>
      <c r="I32" s="18">
        <f t="shared" si="171"/>
        <v>5645</v>
      </c>
      <c r="J32" s="119">
        <v>56644</v>
      </c>
      <c r="K32" s="18">
        <f t="shared" si="161"/>
        <v>5720</v>
      </c>
      <c r="L32" s="119">
        <v>88933</v>
      </c>
      <c r="M32" s="18">
        <f t="shared" si="162"/>
        <v>9180</v>
      </c>
      <c r="N32" s="119">
        <v>789700</v>
      </c>
      <c r="O32" s="18">
        <f t="shared" si="172"/>
        <v>4760</v>
      </c>
      <c r="P32" s="18">
        <f t="shared" si="173"/>
        <v>2380</v>
      </c>
      <c r="Q32" s="119">
        <v>129795</v>
      </c>
      <c r="R32" s="18">
        <f t="shared" si="174"/>
        <v>20</v>
      </c>
      <c r="S32" s="18">
        <f t="shared" si="175"/>
        <v>10</v>
      </c>
      <c r="T32" s="119">
        <v>70132</v>
      </c>
      <c r="U32" s="18">
        <f t="shared" si="176"/>
        <v>3610</v>
      </c>
      <c r="V32" s="18">
        <f t="shared" si="177"/>
        <v>1805</v>
      </c>
      <c r="W32" s="119">
        <v>139991</v>
      </c>
      <c r="X32" s="18">
        <f t="shared" si="178"/>
        <v>35</v>
      </c>
      <c r="Y32" s="18">
        <f t="shared" si="179"/>
        <v>17.5</v>
      </c>
      <c r="Z32" s="119">
        <v>13956</v>
      </c>
      <c r="AA32" s="18">
        <f t="shared" si="165"/>
        <v>97</v>
      </c>
      <c r="AB32" s="119">
        <v>28052</v>
      </c>
      <c r="AC32" s="18">
        <f t="shared" si="166"/>
        <v>210</v>
      </c>
      <c r="AD32" s="119">
        <v>51385</v>
      </c>
      <c r="AE32" s="18">
        <f t="shared" si="167"/>
        <v>353</v>
      </c>
      <c r="AF32" s="119">
        <v>28247</v>
      </c>
      <c r="AG32" s="18">
        <f t="shared" si="168"/>
        <v>196</v>
      </c>
      <c r="AH32" s="119">
        <v>135572</v>
      </c>
      <c r="AI32" s="18">
        <f t="shared" si="169"/>
        <v>920</v>
      </c>
      <c r="AK32" s="18">
        <f t="shared" si="180"/>
        <v>34127.5</v>
      </c>
      <c r="AL32" s="84">
        <f t="shared" si="181"/>
        <v>5988.5</v>
      </c>
    </row>
    <row r="33" spans="1:38" ht="39.950000000000003" customHeight="1" x14ac:dyDescent="0.25">
      <c r="A33" s="15">
        <v>44161</v>
      </c>
      <c r="B33" s="17"/>
      <c r="C33" s="119">
        <v>39035</v>
      </c>
      <c r="D33" s="18">
        <f t="shared" si="182"/>
        <v>3800</v>
      </c>
      <c r="E33" s="119">
        <v>60849</v>
      </c>
      <c r="F33" s="18">
        <f t="shared" si="183"/>
        <v>6350</v>
      </c>
      <c r="G33" s="119">
        <v>805496</v>
      </c>
      <c r="H33" s="18">
        <f t="shared" si="170"/>
        <v>11900</v>
      </c>
      <c r="I33" s="18">
        <f t="shared" si="171"/>
        <v>5950</v>
      </c>
      <c r="J33" s="119">
        <v>57221</v>
      </c>
      <c r="K33" s="18">
        <f t="shared" si="161"/>
        <v>5770</v>
      </c>
      <c r="L33" s="119">
        <v>89846</v>
      </c>
      <c r="M33" s="18">
        <f t="shared" si="162"/>
        <v>9130</v>
      </c>
      <c r="N33" s="119">
        <v>790193</v>
      </c>
      <c r="O33" s="18">
        <f t="shared" si="172"/>
        <v>4930</v>
      </c>
      <c r="P33" s="18">
        <f t="shared" si="173"/>
        <v>2465</v>
      </c>
      <c r="Q33" s="119">
        <v>129872</v>
      </c>
      <c r="R33" s="18">
        <f t="shared" si="174"/>
        <v>770</v>
      </c>
      <c r="S33" s="18">
        <f t="shared" si="175"/>
        <v>385</v>
      </c>
      <c r="T33" s="119">
        <v>70134</v>
      </c>
      <c r="U33" s="18">
        <f t="shared" si="176"/>
        <v>20</v>
      </c>
      <c r="V33" s="18">
        <f t="shared" si="177"/>
        <v>10</v>
      </c>
      <c r="W33" s="119">
        <v>140443</v>
      </c>
      <c r="X33" s="18">
        <f t="shared" si="178"/>
        <v>452</v>
      </c>
      <c r="Y33" s="18">
        <f t="shared" si="179"/>
        <v>226</v>
      </c>
      <c r="Z33" s="119">
        <v>14051</v>
      </c>
      <c r="AA33" s="18">
        <f t="shared" si="165"/>
        <v>95</v>
      </c>
      <c r="AB33" s="119">
        <v>28266</v>
      </c>
      <c r="AC33" s="18">
        <f t="shared" si="166"/>
        <v>214</v>
      </c>
      <c r="AD33" s="119">
        <v>51757</v>
      </c>
      <c r="AE33" s="18">
        <f t="shared" si="167"/>
        <v>372</v>
      </c>
      <c r="AF33" s="119">
        <v>28442</v>
      </c>
      <c r="AG33" s="18">
        <f t="shared" si="168"/>
        <v>195</v>
      </c>
      <c r="AH33" s="119">
        <v>136527</v>
      </c>
      <c r="AI33" s="18">
        <f t="shared" si="169"/>
        <v>955</v>
      </c>
      <c r="AK33" s="18">
        <f t="shared" si="180"/>
        <v>34086</v>
      </c>
      <c r="AL33" s="84">
        <f t="shared" si="181"/>
        <v>4917</v>
      </c>
    </row>
    <row r="34" spans="1:38" ht="39.950000000000003" customHeight="1" x14ac:dyDescent="0.25">
      <c r="A34" s="15">
        <v>44162</v>
      </c>
      <c r="B34" s="17"/>
      <c r="C34" s="119">
        <v>39434</v>
      </c>
      <c r="D34" s="18">
        <f t="shared" si="182"/>
        <v>3990</v>
      </c>
      <c r="E34" s="119">
        <v>61560</v>
      </c>
      <c r="F34" s="18">
        <f t="shared" si="183"/>
        <v>7110</v>
      </c>
      <c r="G34" s="119">
        <v>806091</v>
      </c>
      <c r="H34" s="18">
        <f t="shared" si="170"/>
        <v>5950</v>
      </c>
      <c r="I34" s="18">
        <f t="shared" si="171"/>
        <v>2975</v>
      </c>
      <c r="J34" s="119">
        <v>57840</v>
      </c>
      <c r="K34" s="18">
        <f t="shared" si="161"/>
        <v>6190</v>
      </c>
      <c r="L34" s="119">
        <v>90819</v>
      </c>
      <c r="M34" s="18">
        <f t="shared" si="162"/>
        <v>9730</v>
      </c>
      <c r="N34" s="119">
        <v>790731</v>
      </c>
      <c r="O34" s="18">
        <f t="shared" si="172"/>
        <v>5380</v>
      </c>
      <c r="P34" s="18">
        <f t="shared" si="173"/>
        <v>2690</v>
      </c>
      <c r="Q34" s="119">
        <v>129874</v>
      </c>
      <c r="R34" s="18">
        <f t="shared" si="174"/>
        <v>20</v>
      </c>
      <c r="S34" s="18">
        <f t="shared" si="175"/>
        <v>10</v>
      </c>
      <c r="T34" s="119">
        <v>70136</v>
      </c>
      <c r="U34" s="18">
        <f t="shared" si="176"/>
        <v>20</v>
      </c>
      <c r="V34" s="18">
        <f t="shared" si="177"/>
        <v>10</v>
      </c>
      <c r="W34" s="119">
        <v>141416</v>
      </c>
      <c r="X34" s="18">
        <f t="shared" si="178"/>
        <v>973</v>
      </c>
      <c r="Y34" s="18">
        <f t="shared" si="179"/>
        <v>486.5</v>
      </c>
      <c r="Z34" s="119">
        <v>14157</v>
      </c>
      <c r="AA34" s="18">
        <f t="shared" si="165"/>
        <v>106</v>
      </c>
      <c r="AB34" s="119">
        <v>28491</v>
      </c>
      <c r="AC34" s="18">
        <f t="shared" si="166"/>
        <v>225</v>
      </c>
      <c r="AD34" s="119">
        <v>52148</v>
      </c>
      <c r="AE34" s="18">
        <f t="shared" si="167"/>
        <v>391</v>
      </c>
      <c r="AF34" s="119">
        <v>28651</v>
      </c>
      <c r="AG34" s="18">
        <f t="shared" si="168"/>
        <v>209</v>
      </c>
      <c r="AH34" s="119">
        <v>137539</v>
      </c>
      <c r="AI34" s="18">
        <f t="shared" si="169"/>
        <v>1012</v>
      </c>
      <c r="AK34" s="18">
        <f t="shared" si="180"/>
        <v>33191.5</v>
      </c>
      <c r="AL34" s="84">
        <f t="shared" si="181"/>
        <v>5139.5</v>
      </c>
    </row>
    <row r="35" spans="1:38" ht="39.950000000000003" customHeight="1" x14ac:dyDescent="0.25">
      <c r="A35" s="15">
        <v>44163</v>
      </c>
      <c r="B35" s="17"/>
      <c r="C35" s="119">
        <v>39754</v>
      </c>
      <c r="D35" s="18">
        <f t="shared" si="182"/>
        <v>3200</v>
      </c>
      <c r="E35" s="119">
        <v>62158</v>
      </c>
      <c r="F35" s="18">
        <f t="shared" si="183"/>
        <v>5980</v>
      </c>
      <c r="G35" s="119">
        <v>806385</v>
      </c>
      <c r="H35" s="18">
        <f t="shared" si="170"/>
        <v>2940</v>
      </c>
      <c r="I35" s="18">
        <f t="shared" si="171"/>
        <v>1470</v>
      </c>
      <c r="J35" s="119">
        <v>58391</v>
      </c>
      <c r="K35" s="18">
        <f t="shared" si="161"/>
        <v>5510</v>
      </c>
      <c r="L35" s="119">
        <v>91716</v>
      </c>
      <c r="M35" s="18">
        <f t="shared" si="162"/>
        <v>8970</v>
      </c>
      <c r="N35" s="119">
        <v>791158</v>
      </c>
      <c r="O35" s="18">
        <f t="shared" si="172"/>
        <v>4270</v>
      </c>
      <c r="P35" s="18">
        <f t="shared" si="173"/>
        <v>2135</v>
      </c>
      <c r="Q35" s="119">
        <v>129876</v>
      </c>
      <c r="R35" s="18">
        <f t="shared" si="174"/>
        <v>20</v>
      </c>
      <c r="S35" s="18">
        <f t="shared" si="175"/>
        <v>10</v>
      </c>
      <c r="T35" s="119">
        <v>70138</v>
      </c>
      <c r="U35" s="18">
        <f t="shared" si="176"/>
        <v>20</v>
      </c>
      <c r="V35" s="18">
        <f t="shared" si="177"/>
        <v>10</v>
      </c>
      <c r="W35" s="119">
        <v>142242</v>
      </c>
      <c r="X35" s="18">
        <f t="shared" si="178"/>
        <v>826</v>
      </c>
      <c r="Y35" s="18">
        <f t="shared" si="179"/>
        <v>413</v>
      </c>
      <c r="Z35" s="119">
        <v>14258</v>
      </c>
      <c r="AA35" s="18">
        <f t="shared" si="165"/>
        <v>101</v>
      </c>
      <c r="AB35" s="119">
        <v>28662</v>
      </c>
      <c r="AC35" s="18">
        <f t="shared" si="166"/>
        <v>171</v>
      </c>
      <c r="AD35" s="119">
        <v>52470</v>
      </c>
      <c r="AE35" s="18">
        <f t="shared" si="167"/>
        <v>322</v>
      </c>
      <c r="AF35" s="119">
        <v>28813</v>
      </c>
      <c r="AG35" s="18">
        <f t="shared" si="168"/>
        <v>162</v>
      </c>
      <c r="AH35" s="119">
        <v>138364</v>
      </c>
      <c r="AI35" s="18">
        <f t="shared" si="169"/>
        <v>825</v>
      </c>
      <c r="AK35" s="18">
        <f t="shared" si="180"/>
        <v>27698</v>
      </c>
      <c r="AL35" s="84">
        <f t="shared" si="181"/>
        <v>4149</v>
      </c>
    </row>
    <row r="36" spans="1:38" ht="39.950000000000003" customHeight="1" x14ac:dyDescent="0.25">
      <c r="A36" s="15">
        <v>44164</v>
      </c>
      <c r="B36" s="17"/>
      <c r="C36" s="119">
        <v>40119</v>
      </c>
      <c r="D36" s="18">
        <f t="shared" si="182"/>
        <v>3650</v>
      </c>
      <c r="E36" s="119">
        <v>62806</v>
      </c>
      <c r="F36" s="18">
        <f t="shared" si="183"/>
        <v>6480</v>
      </c>
      <c r="G36" s="119">
        <v>806695</v>
      </c>
      <c r="H36" s="18">
        <f t="shared" si="170"/>
        <v>3100</v>
      </c>
      <c r="I36" s="18">
        <f t="shared" si="171"/>
        <v>1550</v>
      </c>
      <c r="J36" s="119">
        <v>58960</v>
      </c>
      <c r="K36" s="18">
        <f t="shared" si="161"/>
        <v>5690</v>
      </c>
      <c r="L36" s="119">
        <v>92624</v>
      </c>
      <c r="M36" s="18">
        <f t="shared" si="162"/>
        <v>9080</v>
      </c>
      <c r="N36" s="119">
        <v>791601</v>
      </c>
      <c r="O36" s="18">
        <f t="shared" si="172"/>
        <v>4430</v>
      </c>
      <c r="P36" s="18">
        <f t="shared" si="173"/>
        <v>2215</v>
      </c>
      <c r="Q36" s="119">
        <v>129878</v>
      </c>
      <c r="R36" s="18">
        <f t="shared" si="174"/>
        <v>20</v>
      </c>
      <c r="S36" s="18">
        <f t="shared" si="175"/>
        <v>10</v>
      </c>
      <c r="T36" s="119">
        <v>70140</v>
      </c>
      <c r="U36" s="18">
        <f t="shared" si="176"/>
        <v>20</v>
      </c>
      <c r="V36" s="18">
        <f t="shared" si="177"/>
        <v>10</v>
      </c>
      <c r="W36" s="119">
        <v>143026</v>
      </c>
      <c r="X36" s="18">
        <f t="shared" si="178"/>
        <v>784</v>
      </c>
      <c r="Y36" s="18">
        <f t="shared" si="179"/>
        <v>392</v>
      </c>
      <c r="Z36" s="119">
        <v>14358</v>
      </c>
      <c r="AA36" s="18">
        <f t="shared" si="165"/>
        <v>100</v>
      </c>
      <c r="AB36" s="119">
        <v>28852</v>
      </c>
      <c r="AC36" s="18">
        <f t="shared" si="166"/>
        <v>190</v>
      </c>
      <c r="AD36" s="119">
        <v>52802</v>
      </c>
      <c r="AE36" s="18">
        <f t="shared" si="167"/>
        <v>332</v>
      </c>
      <c r="AF36" s="119">
        <v>28994</v>
      </c>
      <c r="AG36" s="18">
        <f t="shared" si="168"/>
        <v>181</v>
      </c>
      <c r="AH36" s="119">
        <v>139258</v>
      </c>
      <c r="AI36" s="18">
        <f t="shared" si="169"/>
        <v>894</v>
      </c>
      <c r="AK36" s="18">
        <f t="shared" si="180"/>
        <v>29077</v>
      </c>
      <c r="AL36" s="84">
        <f t="shared" si="181"/>
        <v>4324</v>
      </c>
    </row>
    <row r="37" spans="1:38" ht="39.950000000000003" customHeight="1" x14ac:dyDescent="0.25">
      <c r="A37" s="15">
        <v>44165</v>
      </c>
      <c r="B37" s="17"/>
      <c r="C37" s="119">
        <v>40471</v>
      </c>
      <c r="D37" s="18">
        <f t="shared" si="182"/>
        <v>3520</v>
      </c>
      <c r="E37" s="119">
        <v>63494</v>
      </c>
      <c r="F37" s="18">
        <f t="shared" si="183"/>
        <v>6880</v>
      </c>
      <c r="G37" s="119">
        <v>807551</v>
      </c>
      <c r="H37" s="18">
        <f t="shared" si="170"/>
        <v>8560</v>
      </c>
      <c r="I37" s="18">
        <f t="shared" si="171"/>
        <v>4280</v>
      </c>
      <c r="J37" s="119">
        <v>59521</v>
      </c>
      <c r="K37" s="18">
        <f t="shared" si="161"/>
        <v>5610</v>
      </c>
      <c r="L37" s="119">
        <v>93510</v>
      </c>
      <c r="M37" s="18">
        <f t="shared" si="162"/>
        <v>8860</v>
      </c>
      <c r="N37" s="119">
        <v>792045</v>
      </c>
      <c r="O37" s="18">
        <f t="shared" si="172"/>
        <v>4440</v>
      </c>
      <c r="P37" s="18">
        <f t="shared" si="173"/>
        <v>2220</v>
      </c>
      <c r="Q37" s="119">
        <v>129880</v>
      </c>
      <c r="R37" s="18">
        <f t="shared" si="174"/>
        <v>20</v>
      </c>
      <c r="S37" s="18">
        <f t="shared" si="175"/>
        <v>10</v>
      </c>
      <c r="T37" s="119">
        <v>70143</v>
      </c>
      <c r="U37" s="18">
        <f t="shared" si="176"/>
        <v>30</v>
      </c>
      <c r="V37" s="18">
        <f t="shared" si="177"/>
        <v>15</v>
      </c>
      <c r="W37" s="119">
        <v>143258</v>
      </c>
      <c r="X37" s="18">
        <f t="shared" si="178"/>
        <v>232</v>
      </c>
      <c r="Y37" s="18">
        <f t="shared" si="179"/>
        <v>116</v>
      </c>
      <c r="Z37" s="119">
        <v>14454</v>
      </c>
      <c r="AA37" s="18">
        <f t="shared" si="165"/>
        <v>96</v>
      </c>
      <c r="AB37" s="119">
        <v>29064</v>
      </c>
      <c r="AC37" s="18">
        <f t="shared" si="166"/>
        <v>212</v>
      </c>
      <c r="AD37" s="119">
        <v>53161</v>
      </c>
      <c r="AE37" s="18">
        <f t="shared" si="167"/>
        <v>359</v>
      </c>
      <c r="AF37" s="119">
        <v>29188</v>
      </c>
      <c r="AG37" s="18">
        <f t="shared" si="168"/>
        <v>194</v>
      </c>
      <c r="AH37" s="119">
        <v>140163</v>
      </c>
      <c r="AI37" s="18">
        <f t="shared" si="169"/>
        <v>905</v>
      </c>
      <c r="AK37" s="18">
        <f t="shared" si="180"/>
        <v>31511</v>
      </c>
      <c r="AL37" s="84">
        <f t="shared" si="181"/>
        <v>4127</v>
      </c>
    </row>
    <row r="38" spans="1:38" ht="39.950000000000003" customHeight="1" x14ac:dyDescent="0.25">
      <c r="A38" s="15"/>
      <c r="B38" s="57"/>
      <c r="C38" s="121"/>
      <c r="D38" s="18"/>
      <c r="E38" s="121"/>
      <c r="F38" s="18"/>
      <c r="G38" s="121"/>
      <c r="H38" s="18"/>
      <c r="I38" s="18"/>
      <c r="J38" s="121"/>
      <c r="K38" s="18"/>
      <c r="L38" s="121"/>
      <c r="M38" s="18"/>
      <c r="N38" s="121"/>
      <c r="O38" s="18"/>
      <c r="P38" s="18"/>
      <c r="Q38" s="121"/>
      <c r="R38" s="18"/>
      <c r="S38" s="18"/>
      <c r="T38" s="121"/>
      <c r="U38" s="18"/>
      <c r="V38" s="18"/>
      <c r="W38" s="121"/>
      <c r="X38" s="18"/>
      <c r="Y38" s="18"/>
      <c r="Z38" s="121"/>
      <c r="AA38" s="18"/>
      <c r="AB38" s="121"/>
      <c r="AC38" s="18"/>
      <c r="AD38" s="121"/>
      <c r="AE38" s="18"/>
      <c r="AF38" s="121"/>
      <c r="AG38" s="18"/>
      <c r="AH38" s="121"/>
      <c r="AI38" s="18"/>
      <c r="AK38" s="18"/>
      <c r="AL38" s="115"/>
    </row>
    <row r="39" spans="1:38" s="23" customFormat="1" ht="39.950000000000003" customHeight="1" x14ac:dyDescent="0.25">
      <c r="A39" s="22"/>
      <c r="C39" s="120">
        <v>17521</v>
      </c>
      <c r="D39" s="24">
        <f>SUM(D8:D37)</f>
        <v>106660</v>
      </c>
      <c r="F39" s="24">
        <f>SUM(F8:F37)</f>
        <v>180190</v>
      </c>
      <c r="H39" s="24">
        <f>SUM(H8:H37)</f>
        <v>131820</v>
      </c>
      <c r="I39" s="24"/>
      <c r="K39" s="24">
        <f>SUM(K8:K37)</f>
        <v>173460</v>
      </c>
      <c r="M39" s="24">
        <f>SUM(M8:M37)</f>
        <v>275160</v>
      </c>
      <c r="O39" s="24">
        <f>SUM(O8:O37)</f>
        <v>138320</v>
      </c>
      <c r="P39" s="24"/>
      <c r="R39" s="24">
        <f>SUM(R8:R37)</f>
        <v>123310</v>
      </c>
      <c r="S39" s="24"/>
      <c r="U39" s="24">
        <f>SUM(U8:U37)</f>
        <v>58320</v>
      </c>
      <c r="V39" s="24"/>
      <c r="X39" s="24">
        <f>SUM(X8:X37)</f>
        <v>23992</v>
      </c>
      <c r="Y39" s="24"/>
      <c r="AA39" s="24">
        <f>SUM(AA8:AA37)</f>
        <v>2973</v>
      </c>
      <c r="AC39" s="24">
        <f>SUM(AC8:AC37)</f>
        <v>6203</v>
      </c>
      <c r="AE39" s="24">
        <f>SUM(AE8:AE37)</f>
        <v>10936</v>
      </c>
      <c r="AG39" s="24">
        <f>SUM(AG8:AG37)</f>
        <v>5904</v>
      </c>
      <c r="AI39" s="24">
        <f>SUM(AI8:AI37)</f>
        <v>27759</v>
      </c>
    </row>
    <row r="40" spans="1:38" s="20" customFormat="1" ht="39.950000000000003" customHeight="1" x14ac:dyDescent="0.3">
      <c r="A40" s="19"/>
      <c r="D40" s="21"/>
    </row>
    <row r="41" spans="1:38" s="20" customFormat="1" ht="39.950000000000003" customHeight="1" x14ac:dyDescent="0.3">
      <c r="A41" s="19"/>
      <c r="D41" s="21"/>
    </row>
    <row r="42" spans="1:38" ht="39.950000000000003" customHeight="1" x14ac:dyDescent="0.35">
      <c r="A42" s="11"/>
    </row>
    <row r="43" spans="1:38" x14ac:dyDescent="0.35">
      <c r="A43" s="11"/>
    </row>
    <row r="44" spans="1:38" x14ac:dyDescent="0.35">
      <c r="A44" s="11"/>
    </row>
    <row r="45" spans="1:38" x14ac:dyDescent="0.35">
      <c r="A45" s="11"/>
    </row>
    <row r="46" spans="1:38" x14ac:dyDescent="0.35">
      <c r="A46" s="11"/>
    </row>
    <row r="47" spans="1:38" x14ac:dyDescent="0.35">
      <c r="A47" s="11"/>
    </row>
    <row r="48" spans="1:38" x14ac:dyDescent="0.35">
      <c r="A48" s="11"/>
    </row>
    <row r="49" spans="1:1" x14ac:dyDescent="0.35">
      <c r="A49" s="11"/>
    </row>
    <row r="50" spans="1:1" x14ac:dyDescent="0.35">
      <c r="A50" s="11"/>
    </row>
    <row r="51" spans="1:1" x14ac:dyDescent="0.35">
      <c r="A51" s="11"/>
    </row>
    <row r="52" spans="1:1" x14ac:dyDescent="0.35">
      <c r="A52" s="11"/>
    </row>
    <row r="53" spans="1:1" x14ac:dyDescent="0.35">
      <c r="A53" s="11"/>
    </row>
    <row r="54" spans="1:1" x14ac:dyDescent="0.35">
      <c r="A54" s="11"/>
    </row>
    <row r="55" spans="1:1" x14ac:dyDescent="0.35">
      <c r="A55" s="11"/>
    </row>
    <row r="56" spans="1:1" x14ac:dyDescent="0.35">
      <c r="A56" s="11"/>
    </row>
    <row r="57" spans="1:1" x14ac:dyDescent="0.35">
      <c r="A57" s="11"/>
    </row>
    <row r="58" spans="1:1" x14ac:dyDescent="0.35">
      <c r="A58" s="11"/>
    </row>
    <row r="59" spans="1:1" x14ac:dyDescent="0.35">
      <c r="A59" s="11"/>
    </row>
    <row r="60" spans="1:1" x14ac:dyDescent="0.35">
      <c r="A60" s="11"/>
    </row>
    <row r="61" spans="1:1" x14ac:dyDescent="0.35">
      <c r="A61" s="11"/>
    </row>
    <row r="62" spans="1:1" x14ac:dyDescent="0.35">
      <c r="A62" s="11"/>
    </row>
    <row r="63" spans="1:1" x14ac:dyDescent="0.35">
      <c r="A63" s="11"/>
    </row>
    <row r="64" spans="1:1" x14ac:dyDescent="0.35">
      <c r="A64" s="11"/>
    </row>
    <row r="65" spans="1:1" x14ac:dyDescent="0.35">
      <c r="A65" s="11"/>
    </row>
    <row r="66" spans="1:1" x14ac:dyDescent="0.35">
      <c r="A66" s="11"/>
    </row>
    <row r="67" spans="1:1" x14ac:dyDescent="0.35">
      <c r="A67" s="11"/>
    </row>
    <row r="68" spans="1:1" x14ac:dyDescent="0.35">
      <c r="A68" s="11"/>
    </row>
    <row r="69" spans="1:1" x14ac:dyDescent="0.35">
      <c r="A69" s="11"/>
    </row>
    <row r="70" spans="1:1" x14ac:dyDescent="0.35">
      <c r="A70" s="11"/>
    </row>
    <row r="71" spans="1:1" x14ac:dyDescent="0.35">
      <c r="A71" s="11"/>
    </row>
    <row r="72" spans="1:1" x14ac:dyDescent="0.35">
      <c r="A72" s="11"/>
    </row>
    <row r="73" spans="1:1" x14ac:dyDescent="0.35">
      <c r="A73" s="11"/>
    </row>
    <row r="74" spans="1:1" x14ac:dyDescent="0.35">
      <c r="A74" s="11"/>
    </row>
    <row r="75" spans="1:1" x14ac:dyDescent="0.35">
      <c r="A75" s="11"/>
    </row>
    <row r="76" spans="1:1" x14ac:dyDescent="0.35">
      <c r="A76" s="11"/>
    </row>
    <row r="77" spans="1:1" x14ac:dyDescent="0.35">
      <c r="A77" s="11"/>
    </row>
    <row r="78" spans="1:1" x14ac:dyDescent="0.35">
      <c r="A78" s="11"/>
    </row>
    <row r="79" spans="1:1" x14ac:dyDescent="0.35">
      <c r="A79" s="11"/>
    </row>
    <row r="80" spans="1:1" x14ac:dyDescent="0.35">
      <c r="A80" s="11"/>
    </row>
    <row r="81" spans="1:1" x14ac:dyDescent="0.35">
      <c r="A81" s="11"/>
    </row>
    <row r="82" spans="1:1" x14ac:dyDescent="0.35">
      <c r="A82" s="11"/>
    </row>
    <row r="83" spans="1:1" x14ac:dyDescent="0.35">
      <c r="A83" s="11"/>
    </row>
    <row r="84" spans="1:1" x14ac:dyDescent="0.35">
      <c r="A84" s="11"/>
    </row>
    <row r="85" spans="1:1" x14ac:dyDescent="0.35">
      <c r="A85" s="11"/>
    </row>
    <row r="86" spans="1:1" x14ac:dyDescent="0.35">
      <c r="A86" s="11"/>
    </row>
    <row r="87" spans="1:1" x14ac:dyDescent="0.35">
      <c r="A87" s="11"/>
    </row>
    <row r="88" spans="1:1" x14ac:dyDescent="0.35">
      <c r="A88" s="11"/>
    </row>
    <row r="89" spans="1:1" x14ac:dyDescent="0.35">
      <c r="A89" s="11"/>
    </row>
    <row r="90" spans="1:1" x14ac:dyDescent="0.35">
      <c r="A90" s="11"/>
    </row>
  </sheetData>
  <mergeCells count="70">
    <mergeCell ref="AK3:AL4"/>
    <mergeCell ref="E2:F2"/>
    <mergeCell ref="L2:M2"/>
    <mergeCell ref="J2:K2"/>
    <mergeCell ref="G1:H1"/>
    <mergeCell ref="E1:F1"/>
    <mergeCell ref="L1:M1"/>
    <mergeCell ref="J1:K1"/>
    <mergeCell ref="AH2:AI2"/>
    <mergeCell ref="AD2:AE2"/>
    <mergeCell ref="AH1:AI1"/>
    <mergeCell ref="AD1:AE1"/>
    <mergeCell ref="AF2:AG2"/>
    <mergeCell ref="AB2:AC2"/>
    <mergeCell ref="AB1:AC1"/>
    <mergeCell ref="AF1:AG1"/>
    <mergeCell ref="G3:I3"/>
    <mergeCell ref="N2:P2"/>
    <mergeCell ref="N3:P3"/>
    <mergeCell ref="C5:D5"/>
    <mergeCell ref="E3:F3"/>
    <mergeCell ref="E4:F4"/>
    <mergeCell ref="E5:F5"/>
    <mergeCell ref="J3:K3"/>
    <mergeCell ref="J4:K4"/>
    <mergeCell ref="C3:D3"/>
    <mergeCell ref="C4:D4"/>
    <mergeCell ref="G4:I4"/>
    <mergeCell ref="G5:I5"/>
    <mergeCell ref="N4:P4"/>
    <mergeCell ref="N5:P5"/>
    <mergeCell ref="L4:M4"/>
    <mergeCell ref="Z2:AA2"/>
    <mergeCell ref="C2:D2"/>
    <mergeCell ref="C1:D1"/>
    <mergeCell ref="Z1:AA1"/>
    <mergeCell ref="G2:I2"/>
    <mergeCell ref="Q1:S1"/>
    <mergeCell ref="N1:P1"/>
    <mergeCell ref="Q2:S2"/>
    <mergeCell ref="T1:V1"/>
    <mergeCell ref="T2:V2"/>
    <mergeCell ref="Z4:AA4"/>
    <mergeCell ref="Z5:AA5"/>
    <mergeCell ref="Q3:S3"/>
    <mergeCell ref="Q4:S4"/>
    <mergeCell ref="Q5:S5"/>
    <mergeCell ref="T3:V3"/>
    <mergeCell ref="T4:V4"/>
    <mergeCell ref="T5:V5"/>
    <mergeCell ref="Z3:AA3"/>
    <mergeCell ref="AB3:AC3"/>
    <mergeCell ref="AB4:AC4"/>
    <mergeCell ref="AB5:AC5"/>
    <mergeCell ref="AD3:AE3"/>
    <mergeCell ref="AD4:AE4"/>
    <mergeCell ref="AD5:AE5"/>
    <mergeCell ref="AF3:AG3"/>
    <mergeCell ref="AF4:AG4"/>
    <mergeCell ref="AF5:AG5"/>
    <mergeCell ref="AH3:AI3"/>
    <mergeCell ref="AH4:AI4"/>
    <mergeCell ref="AH5:AI5"/>
    <mergeCell ref="L5:M5"/>
    <mergeCell ref="W1:Y1"/>
    <mergeCell ref="W2:Y2"/>
    <mergeCell ref="W3:Y3"/>
    <mergeCell ref="W4:Y4"/>
    <mergeCell ref="W5:Y5"/>
    <mergeCell ref="L3:M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zoomScale="55" zoomScaleNormal="55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R8" sqref="R8"/>
    </sheetView>
  </sheetViews>
  <sheetFormatPr defaultRowHeight="21" x14ac:dyDescent="0.35"/>
  <cols>
    <col min="1" max="1" width="15.7109375" style="9" customWidth="1"/>
    <col min="2" max="2" width="2.42578125" customWidth="1"/>
    <col min="3" max="3" width="30.7109375" customWidth="1"/>
    <col min="4" max="4" width="30.7109375" style="1" customWidth="1"/>
    <col min="5" max="16" width="30.7109375" customWidth="1"/>
    <col min="18" max="19" width="20.7109375" customWidth="1"/>
  </cols>
  <sheetData>
    <row r="1" spans="1:19" s="12" customFormat="1" ht="49.5" customHeight="1" x14ac:dyDescent="0.25">
      <c r="A1" s="75"/>
      <c r="B1" s="75"/>
      <c r="C1" s="160" t="s">
        <v>13</v>
      </c>
      <c r="D1" s="160"/>
      <c r="E1" s="160" t="s">
        <v>13</v>
      </c>
      <c r="F1" s="160"/>
      <c r="G1" s="160" t="s">
        <v>13</v>
      </c>
      <c r="H1" s="160"/>
      <c r="I1" s="160" t="s">
        <v>13</v>
      </c>
      <c r="J1" s="160"/>
      <c r="K1" s="146" t="s">
        <v>14</v>
      </c>
      <c r="L1" s="147"/>
      <c r="M1" s="147"/>
      <c r="N1" s="148"/>
      <c r="O1" s="160" t="s">
        <v>15</v>
      </c>
      <c r="P1" s="160"/>
    </row>
    <row r="2" spans="1:19" s="28" customFormat="1" ht="113.25" customHeight="1" x14ac:dyDescent="0.25">
      <c r="A2" s="27"/>
      <c r="B2" s="27"/>
      <c r="C2" s="162" t="s">
        <v>51</v>
      </c>
      <c r="D2" s="163"/>
      <c r="E2" s="162" t="s">
        <v>52</v>
      </c>
      <c r="F2" s="163"/>
      <c r="G2" s="162" t="s">
        <v>53</v>
      </c>
      <c r="H2" s="163"/>
      <c r="I2" s="162" t="s">
        <v>54</v>
      </c>
      <c r="J2" s="163"/>
      <c r="K2" s="164" t="s">
        <v>55</v>
      </c>
      <c r="L2" s="165"/>
      <c r="M2" s="165"/>
      <c r="N2" s="166"/>
      <c r="O2" s="162" t="s">
        <v>56</v>
      </c>
      <c r="P2" s="163"/>
    </row>
    <row r="3" spans="1:19" s="33" customFormat="1" ht="50.1" customHeight="1" x14ac:dyDescent="0.25">
      <c r="A3" s="48"/>
      <c r="B3" s="48"/>
      <c r="C3" s="167" t="s">
        <v>57</v>
      </c>
      <c r="D3" s="168"/>
      <c r="E3" s="169" t="s">
        <v>58</v>
      </c>
      <c r="F3" s="170"/>
      <c r="G3" s="169" t="s">
        <v>59</v>
      </c>
      <c r="H3" s="170"/>
      <c r="I3" s="169" t="s">
        <v>60</v>
      </c>
      <c r="J3" s="170"/>
      <c r="K3" s="171" t="s">
        <v>61</v>
      </c>
      <c r="L3" s="172"/>
      <c r="M3" s="172"/>
      <c r="N3" s="173"/>
      <c r="O3" s="167" t="s">
        <v>62</v>
      </c>
      <c r="P3" s="168"/>
      <c r="R3" s="161" t="s">
        <v>29</v>
      </c>
      <c r="S3" s="161"/>
    </row>
    <row r="4" spans="1:19" s="8" customFormat="1" ht="30" customHeight="1" x14ac:dyDescent="0.25">
      <c r="A4" s="76" t="s">
        <v>44</v>
      </c>
      <c r="B4" s="85"/>
      <c r="C4" s="144"/>
      <c r="D4" s="145"/>
      <c r="E4" s="144"/>
      <c r="F4" s="145"/>
      <c r="G4" s="144"/>
      <c r="H4" s="145"/>
      <c r="I4" s="144"/>
      <c r="J4" s="145"/>
      <c r="K4" s="144"/>
      <c r="L4" s="158"/>
      <c r="M4" s="158"/>
      <c r="N4" s="145"/>
      <c r="O4" s="85"/>
      <c r="P4" s="85"/>
      <c r="R4" s="161"/>
      <c r="S4" s="161"/>
    </row>
    <row r="5" spans="1:19" s="10" customFormat="1" ht="50.1" customHeight="1" x14ac:dyDescent="0.25">
      <c r="A5" s="76" t="s">
        <v>47</v>
      </c>
      <c r="B5" s="76"/>
      <c r="C5" s="76" t="s">
        <v>63</v>
      </c>
      <c r="D5" s="76" t="s">
        <v>64</v>
      </c>
      <c r="E5" s="76" t="s">
        <v>63</v>
      </c>
      <c r="F5" s="76" t="s">
        <v>64</v>
      </c>
      <c r="G5" s="76" t="s">
        <v>63</v>
      </c>
      <c r="H5" s="76" t="s">
        <v>64</v>
      </c>
      <c r="I5" s="76" t="s">
        <v>63</v>
      </c>
      <c r="J5" s="76" t="s">
        <v>64</v>
      </c>
      <c r="K5" s="76" t="s">
        <v>63</v>
      </c>
      <c r="L5" s="76" t="s">
        <v>64</v>
      </c>
      <c r="M5" s="76" t="s">
        <v>13</v>
      </c>
      <c r="N5" s="76" t="s">
        <v>15</v>
      </c>
      <c r="O5" s="76" t="s">
        <v>63</v>
      </c>
      <c r="P5" s="76" t="s">
        <v>64</v>
      </c>
      <c r="R5" s="76"/>
      <c r="S5" s="76"/>
    </row>
    <row r="6" spans="1:19" ht="39.950000000000003" customHeight="1" x14ac:dyDescent="0.25">
      <c r="A6" s="15">
        <v>44135</v>
      </c>
      <c r="B6" s="17"/>
      <c r="C6" s="124">
        <v>180882</v>
      </c>
      <c r="D6" s="126">
        <f>(C6-C4)*10</f>
        <v>1808820</v>
      </c>
      <c r="E6" s="124">
        <v>164390</v>
      </c>
      <c r="F6" s="126">
        <f>(E6-E4)*10</f>
        <v>1643900</v>
      </c>
      <c r="G6" s="125">
        <v>5471.1867000000002</v>
      </c>
      <c r="H6" s="127">
        <f>(G6-G4)*10</f>
        <v>54711.866999999998</v>
      </c>
      <c r="I6" s="124">
        <v>11022</v>
      </c>
      <c r="J6" s="127">
        <f>(I6-I4)*10</f>
        <v>110220</v>
      </c>
      <c r="K6" s="124">
        <v>122848</v>
      </c>
      <c r="L6" s="126">
        <f>(K6-K4)*10</f>
        <v>1228480</v>
      </c>
      <c r="M6" s="127">
        <f t="shared" ref="M6" si="0">L6*55%</f>
        <v>675664</v>
      </c>
      <c r="N6" s="126">
        <f t="shared" ref="N6" si="1">L6*45%</f>
        <v>552816</v>
      </c>
      <c r="O6" s="124">
        <v>89935</v>
      </c>
      <c r="P6" s="126"/>
      <c r="R6" s="49">
        <f t="shared" ref="R6" si="2">SUM(D6,F6,M69,H6)</f>
        <v>3507431.8670000001</v>
      </c>
      <c r="S6" s="50">
        <f t="shared" ref="S6" si="3">SUM(N6,P6)</f>
        <v>552816</v>
      </c>
    </row>
    <row r="7" spans="1:19" s="2" customFormat="1" ht="39.950000000000003" customHeight="1" x14ac:dyDescent="0.25">
      <c r="A7" s="15">
        <v>44136</v>
      </c>
      <c r="B7" s="16"/>
      <c r="C7" s="124">
        <v>181086</v>
      </c>
      <c r="D7" s="126">
        <f>(C7-C6)*10</f>
        <v>2040</v>
      </c>
      <c r="E7" s="124">
        <v>164463</v>
      </c>
      <c r="F7" s="126">
        <f>(E7-E6)*10</f>
        <v>730</v>
      </c>
      <c r="G7" s="125">
        <v>5474.8145000000004</v>
      </c>
      <c r="H7" s="127">
        <f>(G7-G6)*10</f>
        <v>36.278000000002066</v>
      </c>
      <c r="I7" s="135">
        <v>11036</v>
      </c>
      <c r="J7" s="127">
        <f>(I7-I6)*10</f>
        <v>140</v>
      </c>
      <c r="K7" s="124">
        <v>123005</v>
      </c>
      <c r="L7" s="126">
        <f>(K7-K6)*10</f>
        <v>1570</v>
      </c>
      <c r="M7" s="127">
        <f>L7*55%</f>
        <v>863.50000000000011</v>
      </c>
      <c r="N7" s="127">
        <f>L7*45%</f>
        <v>706.5</v>
      </c>
      <c r="O7" s="135">
        <v>90020</v>
      </c>
      <c r="P7" s="126">
        <f>(O7-O6)*10</f>
        <v>850</v>
      </c>
      <c r="R7" s="49">
        <f>SUM(D7,F7,J7,M7,H7)</f>
        <v>3809.7780000000021</v>
      </c>
      <c r="S7" s="50">
        <f>SUM(N7,P7)</f>
        <v>1556.5</v>
      </c>
    </row>
    <row r="8" spans="1:19" ht="39.950000000000003" customHeight="1" x14ac:dyDescent="0.25">
      <c r="A8" s="15">
        <v>44137</v>
      </c>
      <c r="B8" s="17"/>
      <c r="C8" s="124">
        <v>181282</v>
      </c>
      <c r="D8" s="126">
        <f t="shared" ref="D8:F24" si="4">(C8-C7)*10</f>
        <v>1960</v>
      </c>
      <c r="E8" s="124">
        <v>164719</v>
      </c>
      <c r="F8" s="126">
        <f t="shared" si="4"/>
        <v>2560</v>
      </c>
      <c r="G8" s="125">
        <v>5478.7173000000003</v>
      </c>
      <c r="H8" s="127">
        <f t="shared" ref="H8:H36" si="5">(G8-G7)*10</f>
        <v>39.027999999998428</v>
      </c>
      <c r="I8" s="135">
        <v>11048</v>
      </c>
      <c r="J8" s="127">
        <f t="shared" ref="J8:J36" si="6">(I8-I7)*10</f>
        <v>120</v>
      </c>
      <c r="K8" s="124">
        <v>123149</v>
      </c>
      <c r="L8" s="126">
        <f t="shared" ref="L8:L35" si="7">(K8-K7)*10</f>
        <v>1440</v>
      </c>
      <c r="M8" s="127">
        <f t="shared" ref="M8:M35" si="8">L8*55%</f>
        <v>792.00000000000011</v>
      </c>
      <c r="N8" s="127">
        <f t="shared" ref="N8:N35" si="9">L8*45%</f>
        <v>648</v>
      </c>
      <c r="O8" s="135">
        <v>90105</v>
      </c>
      <c r="P8" s="126">
        <f t="shared" ref="P8:P36" si="10">(O8-O7)*10</f>
        <v>850</v>
      </c>
      <c r="R8" s="49">
        <f>SUM(D8,F8,J8,M8,H8)</f>
        <v>5471.0279999999984</v>
      </c>
      <c r="S8" s="50">
        <f t="shared" ref="S8:S35" si="11">SUM(N8,P8)</f>
        <v>1498</v>
      </c>
    </row>
    <row r="9" spans="1:19" ht="39.950000000000003" customHeight="1" x14ac:dyDescent="0.25">
      <c r="A9" s="15">
        <v>44138</v>
      </c>
      <c r="B9" s="17"/>
      <c r="C9" s="124">
        <v>181407</v>
      </c>
      <c r="D9" s="126">
        <f t="shared" si="4"/>
        <v>1250</v>
      </c>
      <c r="E9" s="124">
        <v>164978</v>
      </c>
      <c r="F9" s="126">
        <f t="shared" si="4"/>
        <v>2590</v>
      </c>
      <c r="G9" s="125">
        <v>5482.1040000000003</v>
      </c>
      <c r="H9" s="127">
        <f t="shared" si="5"/>
        <v>33.867000000000189</v>
      </c>
      <c r="I9" s="135">
        <v>11067</v>
      </c>
      <c r="J9" s="127">
        <f t="shared" si="6"/>
        <v>190</v>
      </c>
      <c r="K9" s="124">
        <v>123270</v>
      </c>
      <c r="L9" s="126">
        <f t="shared" si="7"/>
        <v>1210</v>
      </c>
      <c r="M9" s="127">
        <f t="shared" si="8"/>
        <v>665.5</v>
      </c>
      <c r="N9" s="127">
        <f t="shared" si="9"/>
        <v>544.5</v>
      </c>
      <c r="O9" s="135">
        <v>90196</v>
      </c>
      <c r="P9" s="126">
        <f t="shared" si="10"/>
        <v>910</v>
      </c>
      <c r="R9" s="49">
        <f t="shared" ref="R9:R36" si="12">SUM(D9,F9,J9,M9,H9)</f>
        <v>4729.3670000000002</v>
      </c>
      <c r="S9" s="50">
        <f t="shared" si="11"/>
        <v>1454.5</v>
      </c>
    </row>
    <row r="10" spans="1:19" ht="39.950000000000003" customHeight="1" x14ac:dyDescent="0.25">
      <c r="A10" s="15">
        <v>44139</v>
      </c>
      <c r="B10" s="17"/>
      <c r="C10" s="122">
        <v>181513</v>
      </c>
      <c r="D10" s="126">
        <f t="shared" si="4"/>
        <v>1060</v>
      </c>
      <c r="E10" s="122">
        <v>165217</v>
      </c>
      <c r="F10" s="126">
        <f t="shared" si="4"/>
        <v>2390</v>
      </c>
      <c r="G10" s="123">
        <v>5485.9970999999996</v>
      </c>
      <c r="H10" s="127">
        <f t="shared" si="5"/>
        <v>38.930999999993219</v>
      </c>
      <c r="I10" s="136">
        <v>11078</v>
      </c>
      <c r="J10" s="127">
        <f t="shared" si="6"/>
        <v>110</v>
      </c>
      <c r="K10" s="122">
        <v>123394</v>
      </c>
      <c r="L10" s="126">
        <f t="shared" si="7"/>
        <v>1240</v>
      </c>
      <c r="M10" s="127">
        <f t="shared" si="8"/>
        <v>682</v>
      </c>
      <c r="N10" s="127">
        <f t="shared" si="9"/>
        <v>558</v>
      </c>
      <c r="O10" s="136">
        <v>90283</v>
      </c>
      <c r="P10" s="126">
        <f t="shared" si="10"/>
        <v>870</v>
      </c>
      <c r="R10" s="49">
        <f t="shared" si="12"/>
        <v>4280.9309999999932</v>
      </c>
      <c r="S10" s="50">
        <f t="shared" si="11"/>
        <v>1428</v>
      </c>
    </row>
    <row r="11" spans="1:19" ht="39.950000000000003" customHeight="1" x14ac:dyDescent="0.25">
      <c r="A11" s="15">
        <v>44140</v>
      </c>
      <c r="B11" s="17"/>
      <c r="C11" s="122">
        <v>181628</v>
      </c>
      <c r="D11" s="126">
        <f t="shared" si="4"/>
        <v>1150</v>
      </c>
      <c r="E11" s="122">
        <v>165448</v>
      </c>
      <c r="F11" s="126">
        <f t="shared" si="4"/>
        <v>2310</v>
      </c>
      <c r="G11" s="123">
        <v>5488.88</v>
      </c>
      <c r="H11" s="127">
        <f t="shared" si="5"/>
        <v>28.82900000000518</v>
      </c>
      <c r="I11" s="122">
        <v>11096</v>
      </c>
      <c r="J11" s="127">
        <f t="shared" si="6"/>
        <v>180</v>
      </c>
      <c r="K11" s="122">
        <v>123508</v>
      </c>
      <c r="L11" s="126">
        <f t="shared" si="7"/>
        <v>1140</v>
      </c>
      <c r="M11" s="127">
        <f t="shared" si="8"/>
        <v>627</v>
      </c>
      <c r="N11" s="127">
        <f t="shared" si="9"/>
        <v>513</v>
      </c>
      <c r="O11" s="122">
        <v>90363</v>
      </c>
      <c r="P11" s="126">
        <f t="shared" si="10"/>
        <v>800</v>
      </c>
      <c r="R11" s="49">
        <f t="shared" si="12"/>
        <v>4295.8290000000052</v>
      </c>
      <c r="S11" s="50">
        <f t="shared" si="11"/>
        <v>1313</v>
      </c>
    </row>
    <row r="12" spans="1:19" ht="39.950000000000003" customHeight="1" x14ac:dyDescent="0.25">
      <c r="A12" s="15">
        <v>44141</v>
      </c>
      <c r="B12" s="17"/>
      <c r="C12" s="122">
        <v>181732</v>
      </c>
      <c r="D12" s="126">
        <f t="shared" si="4"/>
        <v>1040</v>
      </c>
      <c r="E12" s="122">
        <v>165674</v>
      </c>
      <c r="F12" s="126">
        <f t="shared" si="4"/>
        <v>2260</v>
      </c>
      <c r="G12" s="123">
        <v>5491.5817999999999</v>
      </c>
      <c r="H12" s="127">
        <f t="shared" si="5"/>
        <v>27.01799999999821</v>
      </c>
      <c r="I12" s="122">
        <v>11113</v>
      </c>
      <c r="J12" s="127">
        <f t="shared" si="6"/>
        <v>170</v>
      </c>
      <c r="K12" s="122">
        <v>123639</v>
      </c>
      <c r="L12" s="126">
        <f t="shared" si="7"/>
        <v>1310</v>
      </c>
      <c r="M12" s="127">
        <f t="shared" si="8"/>
        <v>720.50000000000011</v>
      </c>
      <c r="N12" s="127">
        <f t="shared" si="9"/>
        <v>589.5</v>
      </c>
      <c r="O12" s="124">
        <v>90453</v>
      </c>
      <c r="P12" s="126">
        <f t="shared" si="10"/>
        <v>900</v>
      </c>
      <c r="R12" s="49">
        <f t="shared" si="12"/>
        <v>4217.5179999999982</v>
      </c>
      <c r="S12" s="50">
        <f t="shared" si="11"/>
        <v>1489.5</v>
      </c>
    </row>
    <row r="13" spans="1:19" ht="39.950000000000003" customHeight="1" x14ac:dyDescent="0.25">
      <c r="A13" s="15">
        <v>44142</v>
      </c>
      <c r="B13" s="17"/>
      <c r="C13" s="122">
        <v>181841</v>
      </c>
      <c r="D13" s="126">
        <f t="shared" si="4"/>
        <v>1090</v>
      </c>
      <c r="E13" s="122">
        <v>165903</v>
      </c>
      <c r="F13" s="126">
        <f t="shared" si="4"/>
        <v>2290</v>
      </c>
      <c r="G13" s="123">
        <v>5494.6117999999997</v>
      </c>
      <c r="H13" s="127">
        <f t="shared" si="5"/>
        <v>30.299999999997453</v>
      </c>
      <c r="I13" s="122">
        <v>11144</v>
      </c>
      <c r="J13" s="127">
        <f t="shared" si="6"/>
        <v>310</v>
      </c>
      <c r="K13" s="122">
        <v>123758</v>
      </c>
      <c r="L13" s="126">
        <f t="shared" si="7"/>
        <v>1190</v>
      </c>
      <c r="M13" s="127">
        <f t="shared" si="8"/>
        <v>654.5</v>
      </c>
      <c r="N13" s="127">
        <f t="shared" si="9"/>
        <v>535.5</v>
      </c>
      <c r="O13" s="124">
        <v>90550</v>
      </c>
      <c r="P13" s="126">
        <f t="shared" si="10"/>
        <v>970</v>
      </c>
      <c r="R13" s="49">
        <f t="shared" si="12"/>
        <v>4374.7999999999975</v>
      </c>
      <c r="S13" s="50">
        <f t="shared" si="11"/>
        <v>1505.5</v>
      </c>
    </row>
    <row r="14" spans="1:19" ht="39.950000000000003" customHeight="1" x14ac:dyDescent="0.25">
      <c r="A14" s="15">
        <v>44143</v>
      </c>
      <c r="B14" s="17"/>
      <c r="C14" s="122">
        <v>181989</v>
      </c>
      <c r="D14" s="126">
        <f t="shared" si="4"/>
        <v>1480</v>
      </c>
      <c r="E14" s="122">
        <v>166169</v>
      </c>
      <c r="F14" s="126">
        <f t="shared" si="4"/>
        <v>2660</v>
      </c>
      <c r="G14" s="123">
        <v>5497.8227999999999</v>
      </c>
      <c r="H14" s="127">
        <f t="shared" si="5"/>
        <v>32.110000000002401</v>
      </c>
      <c r="I14" s="122">
        <v>11171</v>
      </c>
      <c r="J14" s="127">
        <f t="shared" si="6"/>
        <v>270</v>
      </c>
      <c r="K14" s="122">
        <v>123896</v>
      </c>
      <c r="L14" s="126">
        <f t="shared" si="7"/>
        <v>1380</v>
      </c>
      <c r="M14" s="127">
        <f t="shared" si="8"/>
        <v>759.00000000000011</v>
      </c>
      <c r="N14" s="127">
        <f t="shared" si="9"/>
        <v>621</v>
      </c>
      <c r="O14" s="124">
        <v>90639</v>
      </c>
      <c r="P14" s="126">
        <f t="shared" si="10"/>
        <v>890</v>
      </c>
      <c r="R14" s="49">
        <f t="shared" si="12"/>
        <v>5201.1100000000024</v>
      </c>
      <c r="S14" s="50">
        <f t="shared" si="11"/>
        <v>1511</v>
      </c>
    </row>
    <row r="15" spans="1:19" ht="39.950000000000003" customHeight="1" x14ac:dyDescent="0.25">
      <c r="A15" s="15">
        <v>44144</v>
      </c>
      <c r="B15" s="17"/>
      <c r="C15" s="122">
        <v>182113</v>
      </c>
      <c r="D15" s="126">
        <f t="shared" si="4"/>
        <v>1240</v>
      </c>
      <c r="E15" s="122">
        <v>166437</v>
      </c>
      <c r="F15" s="126">
        <f t="shared" si="4"/>
        <v>2680</v>
      </c>
      <c r="G15" s="123">
        <v>5501.3454000000002</v>
      </c>
      <c r="H15" s="127">
        <f t="shared" si="5"/>
        <v>35.226000000002387</v>
      </c>
      <c r="I15" s="122">
        <v>11198</v>
      </c>
      <c r="J15" s="127">
        <f t="shared" si="6"/>
        <v>270</v>
      </c>
      <c r="K15" s="122">
        <v>124012</v>
      </c>
      <c r="L15" s="126">
        <f t="shared" si="7"/>
        <v>1160</v>
      </c>
      <c r="M15" s="127">
        <f t="shared" si="8"/>
        <v>638</v>
      </c>
      <c r="N15" s="127">
        <f t="shared" si="9"/>
        <v>522</v>
      </c>
      <c r="O15" s="124">
        <v>90723</v>
      </c>
      <c r="P15" s="126">
        <f t="shared" si="10"/>
        <v>840</v>
      </c>
      <c r="R15" s="49">
        <f t="shared" si="12"/>
        <v>4863.2260000000024</v>
      </c>
      <c r="S15" s="50">
        <f t="shared" si="11"/>
        <v>1362</v>
      </c>
    </row>
    <row r="16" spans="1:19" ht="39.950000000000003" customHeight="1" x14ac:dyDescent="0.25">
      <c r="A16" s="15">
        <v>44145</v>
      </c>
      <c r="B16" s="17"/>
      <c r="C16" s="122">
        <v>182233</v>
      </c>
      <c r="D16" s="126">
        <f t="shared" si="4"/>
        <v>1200</v>
      </c>
      <c r="E16" s="122">
        <v>166665</v>
      </c>
      <c r="F16" s="126">
        <f t="shared" si="4"/>
        <v>2280</v>
      </c>
      <c r="G16" s="123">
        <v>5504.9305000000004</v>
      </c>
      <c r="H16" s="127">
        <f t="shared" si="5"/>
        <v>35.851000000002387</v>
      </c>
      <c r="I16" s="122">
        <v>11204</v>
      </c>
      <c r="J16" s="127">
        <f t="shared" si="6"/>
        <v>60</v>
      </c>
      <c r="K16" s="122">
        <v>124127</v>
      </c>
      <c r="L16" s="126">
        <f t="shared" si="7"/>
        <v>1150</v>
      </c>
      <c r="M16" s="127">
        <f t="shared" si="8"/>
        <v>632.5</v>
      </c>
      <c r="N16" s="127">
        <f t="shared" si="9"/>
        <v>517.5</v>
      </c>
      <c r="O16" s="124">
        <v>90805</v>
      </c>
      <c r="P16" s="126">
        <f t="shared" si="10"/>
        <v>820</v>
      </c>
      <c r="R16" s="49">
        <f t="shared" si="12"/>
        <v>4208.3510000000024</v>
      </c>
      <c r="S16" s="50">
        <f t="shared" si="11"/>
        <v>1337.5</v>
      </c>
    </row>
    <row r="17" spans="1:19" ht="39.950000000000003" customHeight="1" x14ac:dyDescent="0.25">
      <c r="A17" s="15">
        <v>44146</v>
      </c>
      <c r="B17" s="17"/>
      <c r="C17" s="122">
        <v>182349</v>
      </c>
      <c r="D17" s="126">
        <f t="shared" si="4"/>
        <v>1160</v>
      </c>
      <c r="E17" s="122">
        <v>166913</v>
      </c>
      <c r="F17" s="126">
        <f t="shared" si="4"/>
        <v>2480</v>
      </c>
      <c r="G17" s="123">
        <v>5507.9391999999998</v>
      </c>
      <c r="H17" s="127">
        <f t="shared" si="5"/>
        <v>30.086999999994077</v>
      </c>
      <c r="I17" s="122">
        <v>11224</v>
      </c>
      <c r="J17" s="127">
        <f t="shared" si="6"/>
        <v>200</v>
      </c>
      <c r="K17" s="122">
        <v>124238</v>
      </c>
      <c r="L17" s="126">
        <f t="shared" si="7"/>
        <v>1110</v>
      </c>
      <c r="M17" s="127">
        <f t="shared" si="8"/>
        <v>610.5</v>
      </c>
      <c r="N17" s="127">
        <f t="shared" si="9"/>
        <v>499.5</v>
      </c>
      <c r="O17" s="124">
        <v>90897</v>
      </c>
      <c r="P17" s="126">
        <f t="shared" si="10"/>
        <v>920</v>
      </c>
      <c r="R17" s="49">
        <f t="shared" si="12"/>
        <v>4480.5869999999941</v>
      </c>
      <c r="S17" s="50">
        <f t="shared" si="11"/>
        <v>1419.5</v>
      </c>
    </row>
    <row r="18" spans="1:19" ht="39.950000000000003" customHeight="1" x14ac:dyDescent="0.25">
      <c r="A18" s="15">
        <v>44147</v>
      </c>
      <c r="B18" s="17"/>
      <c r="C18" s="124">
        <v>182502</v>
      </c>
      <c r="D18" s="126">
        <f t="shared" si="4"/>
        <v>1530</v>
      </c>
      <c r="E18" s="124">
        <v>167169</v>
      </c>
      <c r="F18" s="126">
        <f t="shared" si="4"/>
        <v>2560</v>
      </c>
      <c r="G18" s="125">
        <v>5535.8420999999998</v>
      </c>
      <c r="H18" s="127">
        <f t="shared" si="5"/>
        <v>279.02900000000045</v>
      </c>
      <c r="I18" s="124">
        <v>11227</v>
      </c>
      <c r="J18" s="127">
        <f t="shared" si="6"/>
        <v>30</v>
      </c>
      <c r="K18" s="124">
        <v>124356</v>
      </c>
      <c r="L18" s="126">
        <f t="shared" si="7"/>
        <v>1180</v>
      </c>
      <c r="M18" s="127">
        <f t="shared" si="8"/>
        <v>649</v>
      </c>
      <c r="N18" s="127">
        <f t="shared" si="9"/>
        <v>531</v>
      </c>
      <c r="O18" s="124">
        <v>90987</v>
      </c>
      <c r="P18" s="126">
        <f t="shared" si="10"/>
        <v>900</v>
      </c>
      <c r="R18" s="49">
        <f t="shared" si="12"/>
        <v>5048.0290000000005</v>
      </c>
      <c r="S18" s="50">
        <f t="shared" si="11"/>
        <v>1431</v>
      </c>
    </row>
    <row r="19" spans="1:19" ht="39.950000000000003" customHeight="1" x14ac:dyDescent="0.25">
      <c r="A19" s="15">
        <v>44148</v>
      </c>
      <c r="B19" s="17"/>
      <c r="C19" s="124">
        <v>182650</v>
      </c>
      <c r="D19" s="126">
        <f t="shared" si="4"/>
        <v>1480</v>
      </c>
      <c r="E19" s="124">
        <v>167407</v>
      </c>
      <c r="F19" s="126">
        <f t="shared" si="4"/>
        <v>2380</v>
      </c>
      <c r="G19" s="125">
        <v>5571.7849999999999</v>
      </c>
      <c r="H19" s="127">
        <f t="shared" si="5"/>
        <v>359.42900000000009</v>
      </c>
      <c r="I19" s="124">
        <v>11241</v>
      </c>
      <c r="J19" s="127">
        <f t="shared" si="6"/>
        <v>140</v>
      </c>
      <c r="K19" s="124">
        <v>124471</v>
      </c>
      <c r="L19" s="126">
        <f t="shared" si="7"/>
        <v>1150</v>
      </c>
      <c r="M19" s="127">
        <f t="shared" si="8"/>
        <v>632.5</v>
      </c>
      <c r="N19" s="127">
        <f t="shared" si="9"/>
        <v>517.5</v>
      </c>
      <c r="O19" s="124">
        <v>91075</v>
      </c>
      <c r="P19" s="126">
        <f t="shared" si="10"/>
        <v>880</v>
      </c>
      <c r="R19" s="49">
        <f t="shared" si="12"/>
        <v>4991.9290000000001</v>
      </c>
      <c r="S19" s="50">
        <f t="shared" si="11"/>
        <v>1397.5</v>
      </c>
    </row>
    <row r="20" spans="1:19" ht="39.950000000000003" customHeight="1" x14ac:dyDescent="0.25">
      <c r="A20" s="15">
        <v>44149</v>
      </c>
      <c r="B20" s="17"/>
      <c r="C20" s="124">
        <v>182781</v>
      </c>
      <c r="D20" s="126">
        <f t="shared" si="4"/>
        <v>1310</v>
      </c>
      <c r="E20" s="124">
        <v>167660</v>
      </c>
      <c r="F20" s="126">
        <f t="shared" si="4"/>
        <v>2530</v>
      </c>
      <c r="G20" s="125">
        <v>5597.6880000000001</v>
      </c>
      <c r="H20" s="127">
        <f t="shared" si="5"/>
        <v>259.03000000000247</v>
      </c>
      <c r="I20" s="124">
        <v>11251</v>
      </c>
      <c r="J20" s="127">
        <f t="shared" si="6"/>
        <v>100</v>
      </c>
      <c r="K20" s="124">
        <v>124596</v>
      </c>
      <c r="L20" s="126">
        <f t="shared" si="7"/>
        <v>1250</v>
      </c>
      <c r="M20" s="127">
        <f t="shared" si="8"/>
        <v>687.5</v>
      </c>
      <c r="N20" s="127">
        <f t="shared" si="9"/>
        <v>562.5</v>
      </c>
      <c r="O20" s="124">
        <v>91206</v>
      </c>
      <c r="P20" s="126">
        <f t="shared" si="10"/>
        <v>1310</v>
      </c>
      <c r="R20" s="49">
        <f t="shared" si="12"/>
        <v>4886.5300000000025</v>
      </c>
      <c r="S20" s="50">
        <f t="shared" si="11"/>
        <v>1872.5</v>
      </c>
    </row>
    <row r="21" spans="1:19" ht="39.950000000000003" customHeight="1" x14ac:dyDescent="0.25">
      <c r="A21" s="15">
        <v>44150</v>
      </c>
      <c r="B21" s="17"/>
      <c r="C21" s="124">
        <v>182939</v>
      </c>
      <c r="D21" s="126">
        <f t="shared" si="4"/>
        <v>1580</v>
      </c>
      <c r="E21" s="124">
        <v>167920</v>
      </c>
      <c r="F21" s="126">
        <f t="shared" si="4"/>
        <v>2600</v>
      </c>
      <c r="G21" s="125">
        <v>5642.24</v>
      </c>
      <c r="H21" s="127">
        <f t="shared" si="5"/>
        <v>445.5199999999968</v>
      </c>
      <c r="I21" s="124">
        <v>11269</v>
      </c>
      <c r="J21" s="127">
        <f t="shared" si="6"/>
        <v>180</v>
      </c>
      <c r="K21" s="124">
        <v>124719</v>
      </c>
      <c r="L21" s="126">
        <f t="shared" si="7"/>
        <v>1230</v>
      </c>
      <c r="M21" s="127">
        <f t="shared" si="8"/>
        <v>676.5</v>
      </c>
      <c r="N21" s="127">
        <f t="shared" si="9"/>
        <v>553.5</v>
      </c>
      <c r="O21" s="124">
        <v>91300</v>
      </c>
      <c r="P21" s="126">
        <f t="shared" si="10"/>
        <v>940</v>
      </c>
      <c r="R21" s="49">
        <f t="shared" si="12"/>
        <v>5482.0199999999968</v>
      </c>
      <c r="S21" s="50">
        <f t="shared" si="11"/>
        <v>1493.5</v>
      </c>
    </row>
    <row r="22" spans="1:19" ht="39.950000000000003" customHeight="1" x14ac:dyDescent="0.25">
      <c r="A22" s="15">
        <v>44151</v>
      </c>
      <c r="B22" s="17"/>
      <c r="C22" s="124">
        <v>183118</v>
      </c>
      <c r="D22" s="126">
        <f t="shared" si="4"/>
        <v>1790</v>
      </c>
      <c r="E22" s="124">
        <v>168207</v>
      </c>
      <c r="F22" s="126">
        <f t="shared" si="4"/>
        <v>2870</v>
      </c>
      <c r="G22" s="125">
        <v>5667.5473000000002</v>
      </c>
      <c r="H22" s="127">
        <f t="shared" si="5"/>
        <v>253.07300000000396</v>
      </c>
      <c r="I22" s="124">
        <v>11290</v>
      </c>
      <c r="J22" s="127">
        <f t="shared" si="6"/>
        <v>210</v>
      </c>
      <c r="K22" s="124">
        <v>124845</v>
      </c>
      <c r="L22" s="126">
        <f t="shared" si="7"/>
        <v>1260</v>
      </c>
      <c r="M22" s="127">
        <f t="shared" si="8"/>
        <v>693</v>
      </c>
      <c r="N22" s="127">
        <f t="shared" si="9"/>
        <v>567</v>
      </c>
      <c r="O22" s="124">
        <v>91391</v>
      </c>
      <c r="P22" s="126">
        <f t="shared" si="10"/>
        <v>910</v>
      </c>
      <c r="R22" s="49">
        <f t="shared" si="12"/>
        <v>5816.073000000004</v>
      </c>
      <c r="S22" s="50">
        <f t="shared" si="11"/>
        <v>1477</v>
      </c>
    </row>
    <row r="23" spans="1:19" ht="39.950000000000003" customHeight="1" x14ac:dyDescent="0.25">
      <c r="A23" s="15">
        <v>44152</v>
      </c>
      <c r="B23" s="17"/>
      <c r="C23" s="124">
        <v>183268</v>
      </c>
      <c r="D23" s="126">
        <f t="shared" si="4"/>
        <v>1500</v>
      </c>
      <c r="E23" s="124">
        <v>168504</v>
      </c>
      <c r="F23" s="126">
        <f t="shared" si="4"/>
        <v>2970</v>
      </c>
      <c r="G23" s="125">
        <v>5670.5201999999999</v>
      </c>
      <c r="H23" s="127">
        <f t="shared" si="5"/>
        <v>29.728999999997541</v>
      </c>
      <c r="I23" s="124">
        <v>11303</v>
      </c>
      <c r="J23" s="127">
        <f t="shared" si="6"/>
        <v>130</v>
      </c>
      <c r="K23" s="124">
        <v>124962</v>
      </c>
      <c r="L23" s="126">
        <f t="shared" si="7"/>
        <v>1170</v>
      </c>
      <c r="M23" s="127">
        <f t="shared" si="8"/>
        <v>643.5</v>
      </c>
      <c r="N23" s="127">
        <f t="shared" si="9"/>
        <v>526.5</v>
      </c>
      <c r="O23" s="124">
        <v>91492</v>
      </c>
      <c r="P23" s="126">
        <f t="shared" si="10"/>
        <v>1010</v>
      </c>
      <c r="R23" s="49">
        <f t="shared" si="12"/>
        <v>5273.2289999999975</v>
      </c>
      <c r="S23" s="50">
        <f t="shared" si="11"/>
        <v>1536.5</v>
      </c>
    </row>
    <row r="24" spans="1:19" ht="39.950000000000003" customHeight="1" x14ac:dyDescent="0.25">
      <c r="A24" s="15">
        <v>44153</v>
      </c>
      <c r="B24" s="17"/>
      <c r="C24" s="124">
        <v>183388</v>
      </c>
      <c r="D24" s="126">
        <f t="shared" ref="D24:D36" si="13">(C24-C23)*10</f>
        <v>1200</v>
      </c>
      <c r="E24" s="124">
        <v>168769</v>
      </c>
      <c r="F24" s="126">
        <f t="shared" si="4"/>
        <v>2650</v>
      </c>
      <c r="G24" s="125">
        <v>5675.3137999999999</v>
      </c>
      <c r="H24" s="127">
        <f t="shared" si="5"/>
        <v>47.935999999999694</v>
      </c>
      <c r="I24" s="124">
        <v>11316</v>
      </c>
      <c r="J24" s="127">
        <f t="shared" si="6"/>
        <v>130</v>
      </c>
      <c r="K24" s="124">
        <v>125062</v>
      </c>
      <c r="L24" s="126">
        <f t="shared" si="7"/>
        <v>1000</v>
      </c>
      <c r="M24" s="127">
        <f t="shared" si="8"/>
        <v>550</v>
      </c>
      <c r="N24" s="127">
        <f t="shared" si="9"/>
        <v>450</v>
      </c>
      <c r="O24" s="124">
        <v>91582</v>
      </c>
      <c r="P24" s="126">
        <f t="shared" si="10"/>
        <v>900</v>
      </c>
      <c r="R24" s="49">
        <f t="shared" si="12"/>
        <v>4577.9359999999997</v>
      </c>
      <c r="S24" s="50">
        <f t="shared" si="11"/>
        <v>1350</v>
      </c>
    </row>
    <row r="25" spans="1:19" ht="39.950000000000003" customHeight="1" x14ac:dyDescent="0.25">
      <c r="A25" s="15">
        <v>44154</v>
      </c>
      <c r="B25" s="17"/>
      <c r="C25" s="124">
        <v>183521</v>
      </c>
      <c r="D25" s="126">
        <f t="shared" si="13"/>
        <v>1330</v>
      </c>
      <c r="E25" s="124">
        <v>169019</v>
      </c>
      <c r="F25" s="126">
        <f t="shared" ref="F25:F36" si="14">(E25-E24)*10</f>
        <v>2500</v>
      </c>
      <c r="G25" s="125">
        <v>5678.0361999999996</v>
      </c>
      <c r="H25" s="127">
        <f t="shared" si="5"/>
        <v>27.223999999996522</v>
      </c>
      <c r="I25" s="124">
        <v>11330</v>
      </c>
      <c r="J25" s="127">
        <f t="shared" si="6"/>
        <v>140</v>
      </c>
      <c r="K25" s="124">
        <v>125190</v>
      </c>
      <c r="L25" s="126">
        <f t="shared" si="7"/>
        <v>1280</v>
      </c>
      <c r="M25" s="127">
        <f t="shared" si="8"/>
        <v>704</v>
      </c>
      <c r="N25" s="127">
        <f t="shared" si="9"/>
        <v>576</v>
      </c>
      <c r="O25" s="124">
        <v>91683</v>
      </c>
      <c r="P25" s="126">
        <f t="shared" si="10"/>
        <v>1010</v>
      </c>
      <c r="R25" s="49">
        <f t="shared" si="12"/>
        <v>4701.2239999999965</v>
      </c>
      <c r="S25" s="50">
        <f t="shared" si="11"/>
        <v>1586</v>
      </c>
    </row>
    <row r="26" spans="1:19" ht="39.950000000000003" customHeight="1" x14ac:dyDescent="0.35">
      <c r="A26" s="15">
        <v>44155</v>
      </c>
      <c r="B26" s="143"/>
      <c r="C26" s="124">
        <v>183659</v>
      </c>
      <c r="D26" s="126">
        <f t="shared" si="13"/>
        <v>1380</v>
      </c>
      <c r="E26" s="124">
        <v>169293</v>
      </c>
      <c r="F26" s="126">
        <f t="shared" si="14"/>
        <v>2740</v>
      </c>
      <c r="G26" s="125">
        <v>5681.3153000000002</v>
      </c>
      <c r="H26" s="127">
        <f t="shared" si="5"/>
        <v>32.791000000006534</v>
      </c>
      <c r="I26" s="124">
        <v>11341</v>
      </c>
      <c r="J26" s="127">
        <f t="shared" si="6"/>
        <v>110</v>
      </c>
      <c r="K26" s="124">
        <v>125300</v>
      </c>
      <c r="L26" s="126">
        <f t="shared" si="7"/>
        <v>1100</v>
      </c>
      <c r="M26" s="127">
        <f t="shared" si="8"/>
        <v>605</v>
      </c>
      <c r="N26" s="127">
        <f t="shared" si="9"/>
        <v>495</v>
      </c>
      <c r="O26" s="124">
        <v>91774</v>
      </c>
      <c r="P26" s="126">
        <f t="shared" si="10"/>
        <v>910</v>
      </c>
      <c r="R26" s="49">
        <f t="shared" si="12"/>
        <v>4867.7910000000065</v>
      </c>
      <c r="S26" s="50">
        <f t="shared" si="11"/>
        <v>1405</v>
      </c>
    </row>
    <row r="27" spans="1:19" ht="39.950000000000003" customHeight="1" x14ac:dyDescent="0.35">
      <c r="A27" s="15">
        <v>44156</v>
      </c>
      <c r="B27" s="143"/>
      <c r="C27" s="124">
        <v>183806</v>
      </c>
      <c r="D27" s="126">
        <f t="shared" si="13"/>
        <v>1470</v>
      </c>
      <c r="E27" s="124">
        <v>169563</v>
      </c>
      <c r="F27" s="126">
        <f t="shared" si="14"/>
        <v>2700</v>
      </c>
      <c r="G27" s="125">
        <v>5684.7999</v>
      </c>
      <c r="H27" s="127">
        <f t="shared" si="5"/>
        <v>34.84599999999773</v>
      </c>
      <c r="I27" s="124">
        <v>11357</v>
      </c>
      <c r="J27" s="127">
        <f t="shared" si="6"/>
        <v>160</v>
      </c>
      <c r="K27" s="124">
        <v>125420</v>
      </c>
      <c r="L27" s="126">
        <f t="shared" si="7"/>
        <v>1200</v>
      </c>
      <c r="M27" s="127">
        <f t="shared" si="8"/>
        <v>660</v>
      </c>
      <c r="N27" s="127">
        <f t="shared" si="9"/>
        <v>540</v>
      </c>
      <c r="O27" s="124">
        <v>91863</v>
      </c>
      <c r="P27" s="126">
        <f t="shared" si="10"/>
        <v>890</v>
      </c>
      <c r="R27" s="49">
        <f t="shared" si="12"/>
        <v>5024.8459999999977</v>
      </c>
      <c r="S27" s="50">
        <f t="shared" si="11"/>
        <v>1430</v>
      </c>
    </row>
    <row r="28" spans="1:19" ht="39.950000000000003" customHeight="1" x14ac:dyDescent="0.35">
      <c r="A28" s="15">
        <v>44157</v>
      </c>
      <c r="B28" s="143"/>
      <c r="C28" s="124">
        <v>183982</v>
      </c>
      <c r="D28" s="126">
        <f t="shared" si="13"/>
        <v>1760</v>
      </c>
      <c r="E28" s="124">
        <v>169898</v>
      </c>
      <c r="F28" s="126">
        <f t="shared" si="14"/>
        <v>3350</v>
      </c>
      <c r="G28" s="125">
        <v>5688.5246999999999</v>
      </c>
      <c r="H28" s="127">
        <f t="shared" si="5"/>
        <v>37.247999999999593</v>
      </c>
      <c r="I28" s="124">
        <v>11373</v>
      </c>
      <c r="J28" s="127">
        <f t="shared" si="6"/>
        <v>160</v>
      </c>
      <c r="K28" s="124">
        <v>125545</v>
      </c>
      <c r="L28" s="126">
        <f t="shared" si="7"/>
        <v>1250</v>
      </c>
      <c r="M28" s="127">
        <f t="shared" si="8"/>
        <v>687.5</v>
      </c>
      <c r="N28" s="127">
        <f t="shared" si="9"/>
        <v>562.5</v>
      </c>
      <c r="O28" s="124">
        <v>91954</v>
      </c>
      <c r="P28" s="126">
        <f t="shared" si="10"/>
        <v>910</v>
      </c>
      <c r="R28" s="49">
        <f t="shared" si="12"/>
        <v>5994.7479999999996</v>
      </c>
      <c r="S28" s="50">
        <f t="shared" si="11"/>
        <v>1472.5</v>
      </c>
    </row>
    <row r="29" spans="1:19" ht="39.950000000000003" customHeight="1" x14ac:dyDescent="0.35">
      <c r="A29" s="15">
        <v>44158</v>
      </c>
      <c r="B29" s="143"/>
      <c r="C29" s="124">
        <v>184156</v>
      </c>
      <c r="D29" s="126">
        <f t="shared" si="13"/>
        <v>1740</v>
      </c>
      <c r="E29" s="124">
        <v>170233</v>
      </c>
      <c r="F29" s="126">
        <f t="shared" si="14"/>
        <v>3350</v>
      </c>
      <c r="G29" s="125">
        <v>5692.3526000000002</v>
      </c>
      <c r="H29" s="127">
        <f t="shared" si="5"/>
        <v>38.27900000000227</v>
      </c>
      <c r="I29" s="124">
        <v>11394</v>
      </c>
      <c r="J29" s="127">
        <f t="shared" si="6"/>
        <v>210</v>
      </c>
      <c r="K29" s="124">
        <v>125675</v>
      </c>
      <c r="L29" s="126">
        <f t="shared" si="7"/>
        <v>1300</v>
      </c>
      <c r="M29" s="127">
        <f t="shared" si="8"/>
        <v>715.00000000000011</v>
      </c>
      <c r="N29" s="127">
        <f t="shared" si="9"/>
        <v>585</v>
      </c>
      <c r="O29" s="124">
        <v>92032</v>
      </c>
      <c r="P29" s="126">
        <f t="shared" si="10"/>
        <v>780</v>
      </c>
      <c r="R29" s="49">
        <f t="shared" si="12"/>
        <v>6053.2790000000023</v>
      </c>
      <c r="S29" s="50">
        <f t="shared" si="11"/>
        <v>1365</v>
      </c>
    </row>
    <row r="30" spans="1:19" ht="39.950000000000003" customHeight="1" x14ac:dyDescent="0.35">
      <c r="A30" s="15">
        <v>44159</v>
      </c>
      <c r="B30" s="143"/>
      <c r="C30" s="124">
        <v>184308</v>
      </c>
      <c r="D30" s="126">
        <f t="shared" si="13"/>
        <v>1520</v>
      </c>
      <c r="E30" s="124">
        <v>170502</v>
      </c>
      <c r="F30" s="126">
        <f t="shared" si="14"/>
        <v>2690</v>
      </c>
      <c r="G30" s="125">
        <v>5695.4570999999996</v>
      </c>
      <c r="H30" s="127">
        <f t="shared" si="5"/>
        <v>31.044999999994616</v>
      </c>
      <c r="I30" s="124">
        <v>11408</v>
      </c>
      <c r="J30" s="127">
        <f t="shared" si="6"/>
        <v>140</v>
      </c>
      <c r="K30" s="124">
        <v>125794</v>
      </c>
      <c r="L30" s="126">
        <f t="shared" si="7"/>
        <v>1190</v>
      </c>
      <c r="M30" s="127">
        <f t="shared" si="8"/>
        <v>654.5</v>
      </c>
      <c r="N30" s="127">
        <f t="shared" si="9"/>
        <v>535.5</v>
      </c>
      <c r="O30" s="124">
        <v>92116</v>
      </c>
      <c r="P30" s="126">
        <f t="shared" si="10"/>
        <v>840</v>
      </c>
      <c r="R30" s="49">
        <f t="shared" si="12"/>
        <v>5035.5449999999946</v>
      </c>
      <c r="S30" s="50">
        <f t="shared" si="11"/>
        <v>1375.5</v>
      </c>
    </row>
    <row r="31" spans="1:19" ht="39.950000000000003" customHeight="1" x14ac:dyDescent="0.35">
      <c r="A31" s="15">
        <v>44160</v>
      </c>
      <c r="B31" s="143"/>
      <c r="C31" s="124">
        <v>184440</v>
      </c>
      <c r="D31" s="126">
        <f t="shared" si="13"/>
        <v>1320</v>
      </c>
      <c r="E31" s="124">
        <v>170752</v>
      </c>
      <c r="F31" s="126">
        <f t="shared" si="14"/>
        <v>2500</v>
      </c>
      <c r="G31" s="125">
        <v>5699.0414000000001</v>
      </c>
      <c r="H31" s="127">
        <f t="shared" si="5"/>
        <v>35.843000000004395</v>
      </c>
      <c r="I31" s="124">
        <v>11426</v>
      </c>
      <c r="J31" s="127">
        <f t="shared" si="6"/>
        <v>180</v>
      </c>
      <c r="K31" s="124">
        <v>125916</v>
      </c>
      <c r="L31" s="126">
        <f t="shared" si="7"/>
        <v>1220</v>
      </c>
      <c r="M31" s="127">
        <f t="shared" si="8"/>
        <v>671</v>
      </c>
      <c r="N31" s="127">
        <f t="shared" si="9"/>
        <v>549</v>
      </c>
      <c r="O31" s="124">
        <v>92221</v>
      </c>
      <c r="P31" s="126">
        <f t="shared" si="10"/>
        <v>1050</v>
      </c>
      <c r="R31" s="49">
        <f t="shared" si="12"/>
        <v>4706.8430000000044</v>
      </c>
      <c r="S31" s="50">
        <f t="shared" si="11"/>
        <v>1599</v>
      </c>
    </row>
    <row r="32" spans="1:19" ht="39.950000000000003" customHeight="1" x14ac:dyDescent="0.35">
      <c r="A32" s="15">
        <v>44161</v>
      </c>
      <c r="B32" s="143"/>
      <c r="C32" s="124">
        <v>184584</v>
      </c>
      <c r="D32" s="126">
        <f t="shared" si="13"/>
        <v>1440</v>
      </c>
      <c r="E32" s="124">
        <v>170987</v>
      </c>
      <c r="F32" s="126">
        <f t="shared" si="14"/>
        <v>2350</v>
      </c>
      <c r="G32" s="125">
        <v>5702.8172000000004</v>
      </c>
      <c r="H32" s="127">
        <f t="shared" si="5"/>
        <v>37.758000000003449</v>
      </c>
      <c r="I32" s="124">
        <v>11437</v>
      </c>
      <c r="J32" s="127">
        <f t="shared" si="6"/>
        <v>110</v>
      </c>
      <c r="K32" s="124">
        <v>126031</v>
      </c>
      <c r="L32" s="126">
        <f t="shared" si="7"/>
        <v>1150</v>
      </c>
      <c r="M32" s="127">
        <f t="shared" si="8"/>
        <v>632.5</v>
      </c>
      <c r="N32" s="127">
        <f t="shared" si="9"/>
        <v>517.5</v>
      </c>
      <c r="O32" s="124">
        <v>92302</v>
      </c>
      <c r="P32" s="126">
        <f t="shared" si="10"/>
        <v>810</v>
      </c>
      <c r="R32" s="49">
        <f t="shared" si="12"/>
        <v>4570.2580000000034</v>
      </c>
      <c r="S32" s="50">
        <f t="shared" si="11"/>
        <v>1327.5</v>
      </c>
    </row>
    <row r="33" spans="1:19" ht="39.950000000000003" customHeight="1" x14ac:dyDescent="0.35">
      <c r="A33" s="15">
        <v>44162</v>
      </c>
      <c r="B33" s="143"/>
      <c r="C33" s="124">
        <v>184736</v>
      </c>
      <c r="D33" s="126">
        <f t="shared" si="13"/>
        <v>1520</v>
      </c>
      <c r="E33" s="124">
        <v>171223</v>
      </c>
      <c r="F33" s="126">
        <f t="shared" si="14"/>
        <v>2360</v>
      </c>
      <c r="G33" s="125">
        <v>5706.0686999999998</v>
      </c>
      <c r="H33" s="127">
        <f t="shared" si="5"/>
        <v>32.514999999993961</v>
      </c>
      <c r="I33" s="124">
        <v>11457</v>
      </c>
      <c r="J33" s="127">
        <f t="shared" si="6"/>
        <v>200</v>
      </c>
      <c r="K33" s="124">
        <v>126146</v>
      </c>
      <c r="L33" s="126">
        <f t="shared" si="7"/>
        <v>1150</v>
      </c>
      <c r="M33" s="127">
        <f t="shared" si="8"/>
        <v>632.5</v>
      </c>
      <c r="N33" s="127">
        <f t="shared" si="9"/>
        <v>517.5</v>
      </c>
      <c r="O33" s="124">
        <v>92391</v>
      </c>
      <c r="P33" s="126">
        <f t="shared" si="10"/>
        <v>890</v>
      </c>
      <c r="R33" s="49">
        <f t="shared" si="12"/>
        <v>4745.014999999994</v>
      </c>
      <c r="S33" s="50">
        <f t="shared" si="11"/>
        <v>1407.5</v>
      </c>
    </row>
    <row r="34" spans="1:19" ht="39.950000000000003" customHeight="1" x14ac:dyDescent="0.35">
      <c r="A34" s="15">
        <v>44163</v>
      </c>
      <c r="B34" s="143"/>
      <c r="C34" s="124">
        <v>184875</v>
      </c>
      <c r="D34" s="126">
        <f t="shared" si="13"/>
        <v>1390</v>
      </c>
      <c r="E34" s="124">
        <v>171469</v>
      </c>
      <c r="F34" s="126">
        <f t="shared" si="14"/>
        <v>2460</v>
      </c>
      <c r="G34" s="125">
        <v>5709.0460999999996</v>
      </c>
      <c r="H34" s="127">
        <f t="shared" si="5"/>
        <v>29.773999999997613</v>
      </c>
      <c r="I34" s="124">
        <v>11478</v>
      </c>
      <c r="J34" s="127">
        <f t="shared" si="6"/>
        <v>210</v>
      </c>
      <c r="K34" s="124">
        <v>126263</v>
      </c>
      <c r="L34" s="126">
        <f t="shared" si="7"/>
        <v>1170</v>
      </c>
      <c r="M34" s="127">
        <f t="shared" si="8"/>
        <v>643.5</v>
      </c>
      <c r="N34" s="127">
        <f t="shared" si="9"/>
        <v>526.5</v>
      </c>
      <c r="O34" s="124">
        <v>92484</v>
      </c>
      <c r="P34" s="126">
        <f t="shared" si="10"/>
        <v>930</v>
      </c>
      <c r="R34" s="49">
        <f t="shared" si="12"/>
        <v>4733.2739999999976</v>
      </c>
      <c r="S34" s="50">
        <f t="shared" si="11"/>
        <v>1456.5</v>
      </c>
    </row>
    <row r="35" spans="1:19" ht="39.950000000000003" customHeight="1" x14ac:dyDescent="0.35">
      <c r="A35" s="15">
        <v>44164</v>
      </c>
      <c r="B35" s="143"/>
      <c r="C35" s="124">
        <v>185052</v>
      </c>
      <c r="D35" s="126">
        <f t="shared" si="13"/>
        <v>1770</v>
      </c>
      <c r="E35" s="124">
        <v>171725</v>
      </c>
      <c r="F35" s="126">
        <f t="shared" si="14"/>
        <v>2560</v>
      </c>
      <c r="G35" s="125">
        <v>5713.8085000000001</v>
      </c>
      <c r="H35" s="127">
        <f t="shared" si="5"/>
        <v>47.624000000005253</v>
      </c>
      <c r="I35" s="124">
        <v>11561</v>
      </c>
      <c r="J35" s="127">
        <f t="shared" si="6"/>
        <v>830</v>
      </c>
      <c r="K35" s="124">
        <v>126401</v>
      </c>
      <c r="L35" s="126">
        <f t="shared" si="7"/>
        <v>1380</v>
      </c>
      <c r="M35" s="127">
        <f t="shared" si="8"/>
        <v>759.00000000000011</v>
      </c>
      <c r="N35" s="127">
        <f t="shared" si="9"/>
        <v>621</v>
      </c>
      <c r="O35" s="124">
        <v>92580</v>
      </c>
      <c r="P35" s="126">
        <f t="shared" si="10"/>
        <v>960</v>
      </c>
      <c r="R35" s="49">
        <f t="shared" si="12"/>
        <v>5966.6240000000053</v>
      </c>
      <c r="S35" s="50">
        <f t="shared" si="11"/>
        <v>1581</v>
      </c>
    </row>
    <row r="36" spans="1:19" ht="39.950000000000003" customHeight="1" x14ac:dyDescent="0.35">
      <c r="A36" s="15">
        <v>44165</v>
      </c>
      <c r="B36" s="143"/>
      <c r="C36" s="124">
        <v>185208</v>
      </c>
      <c r="D36" s="126">
        <f t="shared" si="13"/>
        <v>1560</v>
      </c>
      <c r="E36" s="124">
        <v>171979</v>
      </c>
      <c r="F36" s="126">
        <f t="shared" si="14"/>
        <v>2540</v>
      </c>
      <c r="G36" s="125">
        <v>5716.9</v>
      </c>
      <c r="H36" s="127">
        <f t="shared" si="5"/>
        <v>30.914999999995416</v>
      </c>
      <c r="I36" s="124">
        <v>11581</v>
      </c>
      <c r="J36" s="127">
        <f t="shared" si="6"/>
        <v>200</v>
      </c>
      <c r="K36" s="124">
        <v>126555</v>
      </c>
      <c r="L36" s="126">
        <f t="shared" ref="L36" si="15">(K36-K35)*10</f>
        <v>1540</v>
      </c>
      <c r="M36" s="127">
        <f t="shared" ref="M36" si="16">L36*55%</f>
        <v>847.00000000000011</v>
      </c>
      <c r="N36" s="127">
        <f t="shared" ref="N36" si="17">L36*45%</f>
        <v>693</v>
      </c>
      <c r="O36" s="124">
        <v>92677</v>
      </c>
      <c r="P36" s="126">
        <f t="shared" si="10"/>
        <v>970</v>
      </c>
      <c r="R36" s="49">
        <f t="shared" si="12"/>
        <v>5177.9149999999954</v>
      </c>
      <c r="S36" s="50">
        <f t="shared" ref="S36" si="18">SUM(N36,P36)</f>
        <v>1663</v>
      </c>
    </row>
    <row r="37" spans="1:19" ht="39.950000000000003" customHeight="1" x14ac:dyDescent="0.25">
      <c r="A37" s="15"/>
      <c r="B37" s="17"/>
      <c r="C37" s="124"/>
      <c r="D37" s="126"/>
      <c r="E37" s="124"/>
      <c r="F37" s="126"/>
      <c r="G37" s="125"/>
      <c r="H37" s="127"/>
      <c r="I37" s="124"/>
      <c r="J37" s="127"/>
      <c r="K37" s="124"/>
      <c r="L37" s="126"/>
      <c r="M37" s="127"/>
      <c r="N37" s="126"/>
      <c r="O37" s="124"/>
      <c r="P37" s="126"/>
      <c r="R37" s="49"/>
      <c r="S37" s="50"/>
    </row>
    <row r="38" spans="1:19" s="23" customFormat="1" ht="39.950000000000003" customHeight="1" x14ac:dyDescent="0.25">
      <c r="A38" s="22"/>
      <c r="D38" s="24">
        <f>SUM(D7:D37)</f>
        <v>43260</v>
      </c>
      <c r="F38" s="24">
        <f>SUM(F7:F37)</f>
        <v>75890</v>
      </c>
      <c r="H38" s="24">
        <f>SUM(H7:H37)</f>
        <v>2457.1329999999944</v>
      </c>
      <c r="J38" s="24">
        <f>SUM(J7:J37)</f>
        <v>5590</v>
      </c>
      <c r="L38" s="24">
        <f>SUM(L7:L37)</f>
        <v>37070</v>
      </c>
      <c r="M38" s="24"/>
      <c r="N38" s="24"/>
      <c r="P38" s="24">
        <f>SUM(P7:P37)</f>
        <v>27420</v>
      </c>
    </row>
    <row r="39" spans="1:19" s="20" customFormat="1" ht="39.950000000000003" customHeight="1" x14ac:dyDescent="0.3">
      <c r="A39" s="19"/>
      <c r="D39" s="21"/>
    </row>
    <row r="40" spans="1:19" s="20" customFormat="1" ht="39.950000000000003" customHeight="1" x14ac:dyDescent="0.3">
      <c r="A40" s="19"/>
      <c r="D40" s="21"/>
    </row>
    <row r="41" spans="1:19" ht="39.950000000000003" customHeight="1" x14ac:dyDescent="0.35">
      <c r="A41" s="11"/>
    </row>
    <row r="42" spans="1:19" x14ac:dyDescent="0.35">
      <c r="A42" s="11"/>
    </row>
    <row r="43" spans="1:19" x14ac:dyDescent="0.35">
      <c r="A43" s="11"/>
    </row>
    <row r="44" spans="1:19" x14ac:dyDescent="0.35">
      <c r="A44" s="11"/>
    </row>
    <row r="45" spans="1:19" x14ac:dyDescent="0.35">
      <c r="A45" s="11"/>
    </row>
    <row r="46" spans="1:19" x14ac:dyDescent="0.35">
      <c r="A46" s="11"/>
    </row>
    <row r="47" spans="1:19" x14ac:dyDescent="0.35">
      <c r="A47" s="11"/>
    </row>
    <row r="48" spans="1:19" x14ac:dyDescent="0.35">
      <c r="A48" s="11"/>
    </row>
    <row r="49" spans="1:1" x14ac:dyDescent="0.35">
      <c r="A49" s="11"/>
    </row>
    <row r="50" spans="1:1" x14ac:dyDescent="0.35">
      <c r="A50" s="11"/>
    </row>
    <row r="51" spans="1:1" x14ac:dyDescent="0.35">
      <c r="A51" s="11"/>
    </row>
    <row r="52" spans="1:1" x14ac:dyDescent="0.35">
      <c r="A52" s="11"/>
    </row>
    <row r="53" spans="1:1" x14ac:dyDescent="0.35">
      <c r="A53" s="11"/>
    </row>
    <row r="54" spans="1:1" x14ac:dyDescent="0.35">
      <c r="A54" s="11"/>
    </row>
    <row r="55" spans="1:1" x14ac:dyDescent="0.35">
      <c r="A55" s="11"/>
    </row>
    <row r="56" spans="1:1" x14ac:dyDescent="0.35">
      <c r="A56" s="11"/>
    </row>
    <row r="57" spans="1:1" x14ac:dyDescent="0.35">
      <c r="A57" s="11"/>
    </row>
    <row r="58" spans="1:1" x14ac:dyDescent="0.35">
      <c r="A58" s="11"/>
    </row>
    <row r="59" spans="1:1" x14ac:dyDescent="0.35">
      <c r="A59" s="11"/>
    </row>
    <row r="60" spans="1:1" x14ac:dyDescent="0.35">
      <c r="A60" s="11"/>
    </row>
    <row r="61" spans="1:1" x14ac:dyDescent="0.35">
      <c r="A61" s="11"/>
    </row>
    <row r="62" spans="1:1" x14ac:dyDescent="0.35">
      <c r="A62" s="11"/>
    </row>
    <row r="63" spans="1:1" x14ac:dyDescent="0.35">
      <c r="A63" s="11"/>
    </row>
    <row r="64" spans="1:1" x14ac:dyDescent="0.35">
      <c r="A64" s="11"/>
    </row>
    <row r="65" spans="1:1" x14ac:dyDescent="0.35">
      <c r="A65" s="11"/>
    </row>
    <row r="66" spans="1:1" x14ac:dyDescent="0.35">
      <c r="A66" s="11"/>
    </row>
    <row r="67" spans="1:1" x14ac:dyDescent="0.35">
      <c r="A67" s="11"/>
    </row>
    <row r="68" spans="1:1" x14ac:dyDescent="0.35">
      <c r="A68" s="11"/>
    </row>
    <row r="69" spans="1:1" x14ac:dyDescent="0.35">
      <c r="A69" s="11"/>
    </row>
    <row r="70" spans="1:1" x14ac:dyDescent="0.35">
      <c r="A70" s="11"/>
    </row>
    <row r="71" spans="1:1" x14ac:dyDescent="0.35">
      <c r="A71" s="11"/>
    </row>
    <row r="72" spans="1:1" x14ac:dyDescent="0.35">
      <c r="A72" s="11"/>
    </row>
    <row r="73" spans="1:1" x14ac:dyDescent="0.35">
      <c r="A73" s="11"/>
    </row>
    <row r="74" spans="1:1" x14ac:dyDescent="0.35">
      <c r="A74" s="11"/>
    </row>
    <row r="75" spans="1:1" x14ac:dyDescent="0.35">
      <c r="A75" s="11"/>
    </row>
    <row r="76" spans="1:1" x14ac:dyDescent="0.35">
      <c r="A76" s="11"/>
    </row>
    <row r="77" spans="1:1" x14ac:dyDescent="0.35">
      <c r="A77" s="11"/>
    </row>
    <row r="78" spans="1:1" x14ac:dyDescent="0.35">
      <c r="A78" s="11"/>
    </row>
    <row r="79" spans="1:1" x14ac:dyDescent="0.35">
      <c r="A79" s="11"/>
    </row>
    <row r="80" spans="1:1" x14ac:dyDescent="0.35">
      <c r="A80" s="11"/>
    </row>
    <row r="81" spans="1:1" x14ac:dyDescent="0.35">
      <c r="A81" s="11"/>
    </row>
    <row r="82" spans="1:1" x14ac:dyDescent="0.35">
      <c r="A82" s="11"/>
    </row>
    <row r="83" spans="1:1" x14ac:dyDescent="0.35">
      <c r="A83" s="11"/>
    </row>
    <row r="84" spans="1:1" x14ac:dyDescent="0.35">
      <c r="A84" s="11"/>
    </row>
    <row r="85" spans="1:1" x14ac:dyDescent="0.35">
      <c r="A85" s="11"/>
    </row>
    <row r="86" spans="1:1" x14ac:dyDescent="0.35">
      <c r="A86" s="11"/>
    </row>
    <row r="87" spans="1:1" x14ac:dyDescent="0.35">
      <c r="A87" s="11"/>
    </row>
    <row r="88" spans="1:1" x14ac:dyDescent="0.35">
      <c r="A88" s="11"/>
    </row>
    <row r="89" spans="1:1" x14ac:dyDescent="0.35">
      <c r="A89" s="11"/>
    </row>
  </sheetData>
  <mergeCells count="24">
    <mergeCell ref="R3:S4"/>
    <mergeCell ref="K1:N1"/>
    <mergeCell ref="G2:H2"/>
    <mergeCell ref="G3:H3"/>
    <mergeCell ref="G4:H4"/>
    <mergeCell ref="I1:J1"/>
    <mergeCell ref="I2:J2"/>
    <mergeCell ref="I3:J3"/>
    <mergeCell ref="O3:P3"/>
    <mergeCell ref="C4:D4"/>
    <mergeCell ref="E4:F4"/>
    <mergeCell ref="K4:N4"/>
    <mergeCell ref="I4:J4"/>
    <mergeCell ref="C3:D3"/>
    <mergeCell ref="E3:F3"/>
    <mergeCell ref="K3:N3"/>
    <mergeCell ref="C2:D2"/>
    <mergeCell ref="E2:F2"/>
    <mergeCell ref="K2:N2"/>
    <mergeCell ref="O2:P2"/>
    <mergeCell ref="C1:D1"/>
    <mergeCell ref="E1:F1"/>
    <mergeCell ref="G1:H1"/>
    <mergeCell ref="O1:P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0"/>
  <sheetViews>
    <sheetView zoomScale="55" zoomScaleNormal="55" workbookViewId="0">
      <pane xSplit="2" ySplit="7" topLeftCell="AT8" activePane="bottomRight" state="frozen"/>
      <selection pane="topRight" activeCell="C1" sqref="C1"/>
      <selection pane="bottomLeft" activeCell="A8" sqref="A8"/>
      <selection pane="bottomRight" activeCell="BH9" sqref="BH9"/>
    </sheetView>
  </sheetViews>
  <sheetFormatPr defaultRowHeight="31.5" x14ac:dyDescent="0.5"/>
  <cols>
    <col min="1" max="1" width="15.7109375" style="9" customWidth="1"/>
    <col min="2" max="2" width="2.42578125" customWidth="1"/>
    <col min="3" max="3" width="30.7109375" style="139" customWidth="1"/>
    <col min="4" max="4" width="30.7109375" customWidth="1"/>
    <col min="5" max="5" width="30.7109375" style="139" customWidth="1"/>
    <col min="6" max="6" width="30.7109375" customWidth="1"/>
    <col min="7" max="7" width="30.7109375" style="139" customWidth="1"/>
    <col min="8" max="8" width="30.7109375" customWidth="1"/>
    <col min="9" max="9" width="30.7109375" style="139" customWidth="1"/>
    <col min="10" max="10" width="30.7109375" customWidth="1"/>
    <col min="11" max="11" width="30.7109375" style="139" customWidth="1"/>
    <col min="12" max="12" width="30.7109375" customWidth="1"/>
    <col min="13" max="13" width="30.7109375" style="139" customWidth="1"/>
    <col min="14" max="14" width="30.7109375" customWidth="1"/>
    <col min="15" max="15" width="30.7109375" style="139" customWidth="1"/>
    <col min="16" max="16" width="30.7109375" customWidth="1"/>
    <col min="17" max="17" width="30.7109375" style="139" customWidth="1"/>
    <col min="18" max="18" width="30.7109375" customWidth="1"/>
    <col min="19" max="19" width="30.7109375" style="139" customWidth="1"/>
    <col min="20" max="20" width="30.7109375" customWidth="1"/>
    <col min="21" max="21" width="30.7109375" style="139" customWidth="1"/>
    <col min="22" max="22" width="30.7109375" customWidth="1"/>
    <col min="23" max="23" width="30.7109375" style="139" customWidth="1"/>
    <col min="24" max="24" width="30.7109375" customWidth="1"/>
    <col min="25" max="25" width="30.7109375" style="139" customWidth="1"/>
    <col min="26" max="26" width="30.7109375" customWidth="1"/>
    <col min="27" max="27" width="30.7109375" style="139" customWidth="1"/>
    <col min="28" max="28" width="30.7109375" customWidth="1"/>
    <col min="29" max="29" width="30.7109375" style="139" customWidth="1"/>
    <col min="30" max="30" width="30.7109375" style="1" customWidth="1"/>
    <col min="31" max="31" width="30.7109375" style="139" customWidth="1"/>
    <col min="32" max="32" width="30.7109375" customWidth="1"/>
    <col min="33" max="33" width="30.7109375" style="139" customWidth="1"/>
    <col min="34" max="34" width="30.7109375" customWidth="1"/>
    <col min="35" max="35" width="30.7109375" style="139" customWidth="1"/>
    <col min="36" max="36" width="30.7109375" customWidth="1"/>
    <col min="37" max="37" width="30.7109375" style="139" customWidth="1"/>
    <col min="38" max="38" width="30.7109375" customWidth="1"/>
    <col min="39" max="39" width="30.7109375" style="139" customWidth="1"/>
    <col min="40" max="40" width="30.7109375" customWidth="1"/>
    <col min="41" max="41" width="30.7109375" style="139" customWidth="1"/>
    <col min="42" max="42" width="30.7109375" customWidth="1"/>
    <col min="43" max="43" width="30.7109375" style="139" customWidth="1"/>
    <col min="44" max="44" width="30.7109375" customWidth="1"/>
    <col min="45" max="45" width="30.7109375" style="139" customWidth="1"/>
    <col min="46" max="46" width="30.7109375" customWidth="1"/>
    <col min="47" max="47" width="30.7109375" style="139" customWidth="1"/>
    <col min="48" max="48" width="30.7109375" customWidth="1"/>
    <col min="49" max="49" width="30.7109375" style="139" customWidth="1"/>
    <col min="50" max="50" width="30.7109375" customWidth="1"/>
    <col min="51" max="51" width="30.7109375" style="139" customWidth="1"/>
    <col min="52" max="52" width="30.7109375" customWidth="1"/>
    <col min="53" max="53" width="30.7109375" style="139" customWidth="1"/>
    <col min="54" max="54" width="30.7109375" customWidth="1"/>
    <col min="55" max="55" width="30.7109375" style="139" customWidth="1"/>
    <col min="56" max="56" width="30.7109375" customWidth="1"/>
    <col min="57" max="57" width="30.7109375" style="139" customWidth="1"/>
    <col min="58" max="58" width="30.7109375" customWidth="1"/>
    <col min="60" max="61" width="30.7109375" style="35" customWidth="1"/>
  </cols>
  <sheetData>
    <row r="1" spans="1:61" s="12" customFormat="1" ht="49.5" customHeight="1" x14ac:dyDescent="0.25">
      <c r="A1" s="75"/>
      <c r="B1" s="75"/>
      <c r="C1" s="160" t="s">
        <v>14</v>
      </c>
      <c r="D1" s="160"/>
      <c r="E1" s="160"/>
      <c r="F1" s="160"/>
      <c r="G1" s="160" t="s">
        <v>13</v>
      </c>
      <c r="H1" s="160"/>
      <c r="I1" s="160" t="s">
        <v>13</v>
      </c>
      <c r="J1" s="160"/>
      <c r="K1" s="160" t="s">
        <v>13</v>
      </c>
      <c r="L1" s="160"/>
      <c r="M1" s="160" t="s">
        <v>13</v>
      </c>
      <c r="N1" s="160"/>
      <c r="O1" s="160" t="s">
        <v>13</v>
      </c>
      <c r="P1" s="160"/>
      <c r="Q1" s="146" t="s">
        <v>13</v>
      </c>
      <c r="R1" s="147"/>
      <c r="S1" s="146" t="s">
        <v>13</v>
      </c>
      <c r="T1" s="147"/>
      <c r="U1" s="146" t="s">
        <v>13</v>
      </c>
      <c r="V1" s="147"/>
      <c r="W1" s="146" t="s">
        <v>13</v>
      </c>
      <c r="X1" s="148"/>
      <c r="Y1" s="160" t="s">
        <v>13</v>
      </c>
      <c r="Z1" s="160"/>
      <c r="AA1" s="146" t="s">
        <v>13</v>
      </c>
      <c r="AB1" s="147"/>
      <c r="AC1" s="160" t="s">
        <v>13</v>
      </c>
      <c r="AD1" s="160"/>
      <c r="AE1" s="160" t="s">
        <v>13</v>
      </c>
      <c r="AF1" s="160"/>
      <c r="AG1" s="160" t="s">
        <v>13</v>
      </c>
      <c r="AH1" s="160"/>
      <c r="AI1" s="160" t="s">
        <v>13</v>
      </c>
      <c r="AJ1" s="160"/>
      <c r="AK1" s="160" t="s">
        <v>13</v>
      </c>
      <c r="AL1" s="160"/>
      <c r="AM1" s="160" t="s">
        <v>15</v>
      </c>
      <c r="AN1" s="160"/>
      <c r="AO1" s="160" t="s">
        <v>15</v>
      </c>
      <c r="AP1" s="160"/>
      <c r="AQ1" s="160" t="s">
        <v>15</v>
      </c>
      <c r="AR1" s="160"/>
      <c r="AS1" s="160" t="s">
        <v>15</v>
      </c>
      <c r="AT1" s="160"/>
      <c r="AU1" s="160" t="s">
        <v>15</v>
      </c>
      <c r="AV1" s="160"/>
      <c r="AW1" s="160" t="s">
        <v>15</v>
      </c>
      <c r="AX1" s="160"/>
      <c r="AY1" s="160" t="s">
        <v>15</v>
      </c>
      <c r="AZ1" s="160"/>
      <c r="BA1" s="160" t="s">
        <v>15</v>
      </c>
      <c r="BB1" s="160"/>
      <c r="BC1" s="160" t="s">
        <v>15</v>
      </c>
      <c r="BD1" s="160"/>
      <c r="BE1" s="160" t="s">
        <v>15</v>
      </c>
      <c r="BF1" s="160"/>
      <c r="BH1" s="34"/>
      <c r="BI1" s="34"/>
    </row>
    <row r="2" spans="1:61" s="26" customFormat="1" ht="75.75" customHeight="1" x14ac:dyDescent="0.25">
      <c r="A2" s="83"/>
      <c r="B2" s="83"/>
      <c r="C2" s="176" t="s">
        <v>65</v>
      </c>
      <c r="D2" s="176"/>
      <c r="E2" s="176"/>
      <c r="F2" s="176"/>
      <c r="G2" s="176" t="s">
        <v>66</v>
      </c>
      <c r="H2" s="176"/>
      <c r="I2" s="176" t="s">
        <v>67</v>
      </c>
      <c r="J2" s="176"/>
      <c r="K2" s="176" t="s">
        <v>68</v>
      </c>
      <c r="L2" s="176"/>
      <c r="M2" s="176" t="s">
        <v>69</v>
      </c>
      <c r="N2" s="176"/>
      <c r="O2" s="174" t="s">
        <v>70</v>
      </c>
      <c r="P2" s="175"/>
      <c r="Q2" s="174" t="s">
        <v>71</v>
      </c>
      <c r="R2" s="175"/>
      <c r="S2" s="174" t="s">
        <v>72</v>
      </c>
      <c r="T2" s="175"/>
      <c r="U2" s="174" t="s">
        <v>73</v>
      </c>
      <c r="V2" s="175"/>
      <c r="W2" s="174" t="s">
        <v>74</v>
      </c>
      <c r="X2" s="177"/>
      <c r="Y2" s="176" t="s">
        <v>75</v>
      </c>
      <c r="Z2" s="176"/>
      <c r="AA2" s="174" t="s">
        <v>76</v>
      </c>
      <c r="AB2" s="175"/>
      <c r="AC2" s="176" t="s">
        <v>77</v>
      </c>
      <c r="AD2" s="176"/>
      <c r="AE2" s="176" t="s">
        <v>78</v>
      </c>
      <c r="AF2" s="176"/>
      <c r="AG2" s="176" t="s">
        <v>78</v>
      </c>
      <c r="AH2" s="176"/>
      <c r="AI2" s="176" t="s">
        <v>78</v>
      </c>
      <c r="AJ2" s="176"/>
      <c r="AK2" s="176" t="s">
        <v>78</v>
      </c>
      <c r="AL2" s="176"/>
      <c r="AM2" s="176" t="s">
        <v>79</v>
      </c>
      <c r="AN2" s="176"/>
      <c r="AO2" s="176" t="s">
        <v>80</v>
      </c>
      <c r="AP2" s="176"/>
      <c r="AQ2" s="176" t="s">
        <v>81</v>
      </c>
      <c r="AR2" s="176"/>
      <c r="AS2" s="176" t="s">
        <v>81</v>
      </c>
      <c r="AT2" s="176"/>
      <c r="AU2" s="176" t="s">
        <v>82</v>
      </c>
      <c r="AV2" s="176"/>
      <c r="AW2" s="176" t="s">
        <v>83</v>
      </c>
      <c r="AX2" s="176"/>
      <c r="AY2" s="176" t="s">
        <v>84</v>
      </c>
      <c r="AZ2" s="176"/>
      <c r="BA2" s="176" t="s">
        <v>84</v>
      </c>
      <c r="BB2" s="176"/>
      <c r="BC2" s="176" t="s">
        <v>85</v>
      </c>
      <c r="BD2" s="176"/>
      <c r="BE2" s="176" t="s">
        <v>85</v>
      </c>
      <c r="BF2" s="176"/>
      <c r="BH2" s="34"/>
      <c r="BI2" s="34"/>
    </row>
    <row r="3" spans="1:61" s="10" customFormat="1" ht="87.75" customHeight="1" x14ac:dyDescent="0.25">
      <c r="A3" s="76"/>
      <c r="B3" s="76"/>
      <c r="C3" s="181" t="s">
        <v>86</v>
      </c>
      <c r="D3" s="182"/>
      <c r="E3" s="128" t="s">
        <v>13</v>
      </c>
      <c r="F3" s="75" t="s">
        <v>15</v>
      </c>
      <c r="G3" s="180" t="s">
        <v>87</v>
      </c>
      <c r="H3" s="179"/>
      <c r="I3" s="180" t="s">
        <v>87</v>
      </c>
      <c r="J3" s="179"/>
      <c r="K3" s="180" t="s">
        <v>87</v>
      </c>
      <c r="L3" s="179"/>
      <c r="M3" s="183" t="s">
        <v>88</v>
      </c>
      <c r="N3" s="184"/>
      <c r="O3" s="180" t="s">
        <v>87</v>
      </c>
      <c r="P3" s="179"/>
      <c r="Q3" s="180" t="s">
        <v>87</v>
      </c>
      <c r="R3" s="179"/>
      <c r="S3" s="187" t="s">
        <v>87</v>
      </c>
      <c r="T3" s="188"/>
      <c r="U3" s="180" t="s">
        <v>87</v>
      </c>
      <c r="V3" s="179"/>
      <c r="W3" s="180" t="s">
        <v>87</v>
      </c>
      <c r="X3" s="179"/>
      <c r="Y3" s="178" t="s">
        <v>89</v>
      </c>
      <c r="Z3" s="179"/>
      <c r="AA3" s="180" t="s">
        <v>90</v>
      </c>
      <c r="AB3" s="179"/>
      <c r="AC3" s="180" t="s">
        <v>91</v>
      </c>
      <c r="AD3" s="179"/>
      <c r="AE3" s="180" t="s">
        <v>91</v>
      </c>
      <c r="AF3" s="179"/>
      <c r="AG3" s="178" t="s">
        <v>92</v>
      </c>
      <c r="AH3" s="179"/>
      <c r="AI3" s="180" t="s">
        <v>93</v>
      </c>
      <c r="AJ3" s="179"/>
      <c r="AK3" s="178" t="s">
        <v>94</v>
      </c>
      <c r="AL3" s="179"/>
      <c r="AM3" s="180" t="s">
        <v>95</v>
      </c>
      <c r="AN3" s="179"/>
      <c r="AO3" s="180" t="s">
        <v>95</v>
      </c>
      <c r="AP3" s="179"/>
      <c r="AQ3" s="178" t="s">
        <v>96</v>
      </c>
      <c r="AR3" s="179"/>
      <c r="AS3" s="180" t="s">
        <v>97</v>
      </c>
      <c r="AT3" s="179"/>
      <c r="AU3" s="178" t="s">
        <v>98</v>
      </c>
      <c r="AV3" s="179"/>
      <c r="AW3" s="178" t="s">
        <v>98</v>
      </c>
      <c r="AX3" s="179"/>
      <c r="AY3" s="180" t="s">
        <v>93</v>
      </c>
      <c r="AZ3" s="179"/>
      <c r="BA3" s="178" t="s">
        <v>94</v>
      </c>
      <c r="BB3" s="179"/>
      <c r="BC3" s="180" t="s">
        <v>93</v>
      </c>
      <c r="BD3" s="179"/>
      <c r="BE3" s="178" t="s">
        <v>94</v>
      </c>
      <c r="BF3" s="179"/>
      <c r="BH3" s="34"/>
      <c r="BI3" s="34"/>
    </row>
    <row r="4" spans="1:61" s="26" customFormat="1" ht="50.1" customHeight="1" x14ac:dyDescent="0.25">
      <c r="A4" s="76"/>
      <c r="B4" s="83"/>
      <c r="C4" s="152" t="s">
        <v>99</v>
      </c>
      <c r="D4" s="154"/>
      <c r="E4" s="185" t="s">
        <v>100</v>
      </c>
      <c r="F4" s="186"/>
      <c r="G4" s="152" t="s">
        <v>101</v>
      </c>
      <c r="H4" s="154"/>
      <c r="I4" s="152" t="s">
        <v>102</v>
      </c>
      <c r="J4" s="154"/>
      <c r="K4" s="152" t="s">
        <v>103</v>
      </c>
      <c r="L4" s="154"/>
      <c r="M4" s="152">
        <v>7092801222</v>
      </c>
      <c r="N4" s="154"/>
      <c r="O4" s="152" t="s">
        <v>104</v>
      </c>
      <c r="P4" s="153"/>
      <c r="Q4" s="152" t="s">
        <v>105</v>
      </c>
      <c r="R4" s="153"/>
      <c r="S4" s="152" t="s">
        <v>106</v>
      </c>
      <c r="T4" s="153"/>
      <c r="U4" s="152" t="s">
        <v>107</v>
      </c>
      <c r="V4" s="153"/>
      <c r="W4" s="152" t="s">
        <v>108</v>
      </c>
      <c r="X4" s="154"/>
      <c r="Y4" s="152" t="s">
        <v>109</v>
      </c>
      <c r="Z4" s="154"/>
      <c r="AA4" s="152" t="s">
        <v>110</v>
      </c>
      <c r="AB4" s="153"/>
      <c r="AC4" s="152" t="s">
        <v>111</v>
      </c>
      <c r="AD4" s="154"/>
      <c r="AE4" s="152" t="s">
        <v>112</v>
      </c>
      <c r="AF4" s="154"/>
      <c r="AG4" s="152" t="s">
        <v>113</v>
      </c>
      <c r="AH4" s="154"/>
      <c r="AI4" s="152">
        <v>7105826734</v>
      </c>
      <c r="AJ4" s="154"/>
      <c r="AK4" s="152">
        <v>7105825932</v>
      </c>
      <c r="AL4" s="154"/>
      <c r="AM4" s="152" t="s">
        <v>114</v>
      </c>
      <c r="AN4" s="154"/>
      <c r="AO4" s="152" t="s">
        <v>115</v>
      </c>
      <c r="AP4" s="154"/>
      <c r="AQ4" s="152" t="s">
        <v>116</v>
      </c>
      <c r="AR4" s="154"/>
      <c r="AS4" s="152" t="s">
        <v>117</v>
      </c>
      <c r="AT4" s="154"/>
      <c r="AU4" s="152" t="s">
        <v>118</v>
      </c>
      <c r="AV4" s="154"/>
      <c r="AW4" s="152" t="s">
        <v>119</v>
      </c>
      <c r="AX4" s="154"/>
      <c r="AY4" s="152">
        <v>7111912486</v>
      </c>
      <c r="AZ4" s="154"/>
      <c r="BA4" s="152">
        <v>7111911842</v>
      </c>
      <c r="BB4" s="154"/>
      <c r="BC4" s="152">
        <v>7111913281</v>
      </c>
      <c r="BD4" s="154"/>
      <c r="BE4" s="152">
        <v>7111912723</v>
      </c>
      <c r="BF4" s="154"/>
      <c r="BH4" s="161" t="s">
        <v>29</v>
      </c>
      <c r="BI4" s="161"/>
    </row>
    <row r="5" spans="1:61" s="26" customFormat="1" ht="50.1" customHeight="1" x14ac:dyDescent="0.25">
      <c r="A5" s="83" t="s">
        <v>120</v>
      </c>
      <c r="B5" s="83"/>
      <c r="C5" s="152" t="s">
        <v>121</v>
      </c>
      <c r="D5" s="154"/>
      <c r="E5" s="140">
        <v>0.6</v>
      </c>
      <c r="F5" s="32">
        <v>0.4</v>
      </c>
      <c r="G5" s="152" t="s">
        <v>122</v>
      </c>
      <c r="H5" s="154"/>
      <c r="I5" s="152" t="s">
        <v>123</v>
      </c>
      <c r="J5" s="154"/>
      <c r="K5" s="152" t="s">
        <v>124</v>
      </c>
      <c r="L5" s="154"/>
      <c r="M5" s="152" t="s">
        <v>125</v>
      </c>
      <c r="N5" s="154"/>
      <c r="O5" s="152" t="s">
        <v>126</v>
      </c>
      <c r="P5" s="153"/>
      <c r="Q5" s="152" t="s">
        <v>127</v>
      </c>
      <c r="R5" s="153"/>
      <c r="S5" s="152" t="s">
        <v>128</v>
      </c>
      <c r="T5" s="153"/>
      <c r="U5" s="152" t="s">
        <v>129</v>
      </c>
      <c r="V5" s="153"/>
      <c r="W5" s="152" t="s">
        <v>130</v>
      </c>
      <c r="X5" s="154"/>
      <c r="Y5" s="152" t="s">
        <v>131</v>
      </c>
      <c r="Z5" s="154"/>
      <c r="AA5" s="152" t="s">
        <v>132</v>
      </c>
      <c r="AB5" s="153"/>
      <c r="AC5" s="152" t="s">
        <v>133</v>
      </c>
      <c r="AD5" s="154"/>
      <c r="AE5" s="152" t="s">
        <v>134</v>
      </c>
      <c r="AF5" s="154"/>
      <c r="AG5" s="152" t="s">
        <v>135</v>
      </c>
      <c r="AH5" s="154"/>
      <c r="AI5" s="152" t="s">
        <v>136</v>
      </c>
      <c r="AJ5" s="154"/>
      <c r="AK5" s="152" t="s">
        <v>137</v>
      </c>
      <c r="AL5" s="154"/>
      <c r="AM5" s="152" t="s">
        <v>138</v>
      </c>
      <c r="AN5" s="154"/>
      <c r="AO5" s="152" t="s">
        <v>139</v>
      </c>
      <c r="AP5" s="154"/>
      <c r="AQ5" s="152" t="s">
        <v>140</v>
      </c>
      <c r="AR5" s="154"/>
      <c r="AS5" s="152" t="s">
        <v>141</v>
      </c>
      <c r="AT5" s="154"/>
      <c r="AU5" s="152" t="s">
        <v>142</v>
      </c>
      <c r="AV5" s="154"/>
      <c r="AW5" s="152" t="s">
        <v>143</v>
      </c>
      <c r="AX5" s="154"/>
      <c r="AY5" s="152">
        <v>744483</v>
      </c>
      <c r="AZ5" s="154"/>
      <c r="BA5" s="152">
        <v>119314</v>
      </c>
      <c r="BB5" s="154"/>
      <c r="BC5" s="152">
        <v>1053229</v>
      </c>
      <c r="BD5" s="154"/>
      <c r="BE5" s="152">
        <v>1053215</v>
      </c>
      <c r="BF5" s="154"/>
      <c r="BH5" s="161"/>
      <c r="BI5" s="161"/>
    </row>
    <row r="6" spans="1:61" s="8" customFormat="1" ht="30" customHeight="1" x14ac:dyDescent="0.25">
      <c r="A6" s="76" t="s">
        <v>44</v>
      </c>
      <c r="B6" s="85"/>
      <c r="C6" s="144"/>
      <c r="D6" s="145"/>
      <c r="E6" s="141"/>
      <c r="F6" s="74"/>
      <c r="G6" s="128"/>
      <c r="H6" s="85"/>
      <c r="I6" s="144"/>
      <c r="J6" s="145"/>
      <c r="K6" s="144"/>
      <c r="L6" s="145"/>
      <c r="M6" s="144"/>
      <c r="N6" s="145"/>
      <c r="O6" s="144"/>
      <c r="P6" s="158"/>
      <c r="Q6" s="144"/>
      <c r="R6" s="158"/>
      <c r="S6" s="144"/>
      <c r="T6" s="158"/>
      <c r="U6" s="144"/>
      <c r="V6" s="158"/>
      <c r="W6" s="144"/>
      <c r="X6" s="145"/>
      <c r="Y6" s="144"/>
      <c r="Z6" s="145"/>
      <c r="AA6" s="144"/>
      <c r="AB6" s="158"/>
      <c r="AC6" s="144"/>
      <c r="AD6" s="145"/>
      <c r="AE6" s="144"/>
      <c r="AF6" s="145"/>
      <c r="AG6" s="144"/>
      <c r="AH6" s="145"/>
      <c r="AI6" s="144"/>
      <c r="AJ6" s="145"/>
      <c r="AK6" s="144"/>
      <c r="AL6" s="145"/>
      <c r="AM6" s="144"/>
      <c r="AN6" s="145"/>
      <c r="AO6" s="144"/>
      <c r="AP6" s="145"/>
      <c r="AQ6" s="144"/>
      <c r="AR6" s="145"/>
      <c r="AS6" s="144"/>
      <c r="AT6" s="145"/>
      <c r="AU6" s="144"/>
      <c r="AV6" s="145"/>
      <c r="AW6" s="144"/>
      <c r="AX6" s="145"/>
      <c r="AY6" s="144"/>
      <c r="AZ6" s="145"/>
      <c r="BA6" s="144"/>
      <c r="BB6" s="145"/>
      <c r="BC6" s="144"/>
      <c r="BD6" s="145"/>
      <c r="BE6" s="144"/>
      <c r="BF6" s="145"/>
      <c r="BH6" s="34"/>
      <c r="BI6" s="34"/>
    </row>
    <row r="7" spans="1:61" s="10" customFormat="1" ht="50.1" customHeight="1" x14ac:dyDescent="0.25">
      <c r="A7" s="76" t="s">
        <v>47</v>
      </c>
      <c r="B7" s="76"/>
      <c r="C7" s="128" t="s">
        <v>63</v>
      </c>
      <c r="D7" s="76" t="s">
        <v>144</v>
      </c>
      <c r="E7" s="128" t="s">
        <v>144</v>
      </c>
      <c r="F7" s="76" t="s">
        <v>144</v>
      </c>
      <c r="G7" s="128" t="s">
        <v>63</v>
      </c>
      <c r="H7" s="76" t="s">
        <v>144</v>
      </c>
      <c r="I7" s="128" t="s">
        <v>63</v>
      </c>
      <c r="J7" s="76" t="s">
        <v>144</v>
      </c>
      <c r="K7" s="128" t="s">
        <v>63</v>
      </c>
      <c r="L7" s="76" t="s">
        <v>144</v>
      </c>
      <c r="M7" s="128" t="s">
        <v>63</v>
      </c>
      <c r="N7" s="76" t="s">
        <v>144</v>
      </c>
      <c r="O7" s="128" t="s">
        <v>63</v>
      </c>
      <c r="P7" s="76" t="s">
        <v>144</v>
      </c>
      <c r="Q7" s="128" t="s">
        <v>63</v>
      </c>
      <c r="R7" s="76" t="s">
        <v>144</v>
      </c>
      <c r="S7" s="128" t="s">
        <v>63</v>
      </c>
      <c r="T7" s="76" t="s">
        <v>144</v>
      </c>
      <c r="U7" s="128" t="s">
        <v>63</v>
      </c>
      <c r="V7" s="76" t="s">
        <v>144</v>
      </c>
      <c r="W7" s="128" t="s">
        <v>63</v>
      </c>
      <c r="X7" s="76" t="s">
        <v>144</v>
      </c>
      <c r="Y7" s="128" t="s">
        <v>63</v>
      </c>
      <c r="Z7" s="76" t="s">
        <v>144</v>
      </c>
      <c r="AA7" s="128" t="s">
        <v>63</v>
      </c>
      <c r="AB7" s="76" t="s">
        <v>144</v>
      </c>
      <c r="AC7" s="128" t="s">
        <v>63</v>
      </c>
      <c r="AD7" s="76" t="s">
        <v>144</v>
      </c>
      <c r="AE7" s="13" t="s">
        <v>63</v>
      </c>
      <c r="AF7" s="76" t="s">
        <v>144</v>
      </c>
      <c r="AG7" s="13" t="s">
        <v>63</v>
      </c>
      <c r="AH7" s="76" t="s">
        <v>144</v>
      </c>
      <c r="AI7" s="13" t="s">
        <v>63</v>
      </c>
      <c r="AJ7" s="76" t="s">
        <v>144</v>
      </c>
      <c r="AK7" s="13" t="s">
        <v>63</v>
      </c>
      <c r="AL7" s="76" t="s">
        <v>144</v>
      </c>
      <c r="AM7" s="13" t="s">
        <v>63</v>
      </c>
      <c r="AN7" s="76" t="s">
        <v>144</v>
      </c>
      <c r="AO7" s="13" t="s">
        <v>63</v>
      </c>
      <c r="AP7" s="76" t="s">
        <v>144</v>
      </c>
      <c r="AQ7" s="13" t="s">
        <v>63</v>
      </c>
      <c r="AR7" s="76" t="s">
        <v>144</v>
      </c>
      <c r="AS7" s="13" t="s">
        <v>63</v>
      </c>
      <c r="AT7" s="76" t="s">
        <v>144</v>
      </c>
      <c r="AU7" s="13" t="s">
        <v>63</v>
      </c>
      <c r="AV7" s="76" t="s">
        <v>144</v>
      </c>
      <c r="AW7" s="13" t="s">
        <v>63</v>
      </c>
      <c r="AX7" s="76" t="s">
        <v>144</v>
      </c>
      <c r="AY7" s="13" t="s">
        <v>63</v>
      </c>
      <c r="AZ7" s="76" t="s">
        <v>144</v>
      </c>
      <c r="BA7" s="13" t="s">
        <v>63</v>
      </c>
      <c r="BB7" s="76" t="s">
        <v>144</v>
      </c>
      <c r="BC7" s="13" t="s">
        <v>63</v>
      </c>
      <c r="BD7" s="76" t="s">
        <v>144</v>
      </c>
      <c r="BE7" s="13" t="s">
        <v>63</v>
      </c>
      <c r="BF7" s="76" t="s">
        <v>144</v>
      </c>
      <c r="BH7" s="76" t="s">
        <v>13</v>
      </c>
      <c r="BI7" s="76" t="s">
        <v>15</v>
      </c>
    </row>
    <row r="8" spans="1:61" s="117" customFormat="1" ht="39.950000000000003" customHeight="1" x14ac:dyDescent="0.25">
      <c r="A8" s="37">
        <v>44135</v>
      </c>
      <c r="B8" s="116"/>
      <c r="C8" s="137">
        <v>5566794</v>
      </c>
      <c r="D8" s="44"/>
      <c r="E8" s="36"/>
      <c r="F8" s="44"/>
      <c r="G8" s="137">
        <v>275933</v>
      </c>
      <c r="H8" s="44"/>
      <c r="I8" s="137">
        <v>90532</v>
      </c>
      <c r="J8" s="44"/>
      <c r="K8" s="137">
        <v>255291</v>
      </c>
      <c r="L8" s="44"/>
      <c r="M8" s="137">
        <v>24387</v>
      </c>
      <c r="N8" s="44"/>
      <c r="O8" s="137">
        <v>226556</v>
      </c>
      <c r="P8" s="44"/>
      <c r="Q8" s="137">
        <v>435434</v>
      </c>
      <c r="R8" s="44"/>
      <c r="S8" s="137">
        <v>698814</v>
      </c>
      <c r="T8" s="44"/>
      <c r="U8" s="137">
        <v>95388.142000000007</v>
      </c>
      <c r="V8" s="45"/>
      <c r="W8" s="137">
        <v>78217</v>
      </c>
      <c r="X8" s="44"/>
      <c r="Y8" s="137">
        <v>1484465</v>
      </c>
      <c r="Z8" s="44"/>
      <c r="AA8" s="38">
        <v>13166</v>
      </c>
      <c r="AB8" s="44"/>
      <c r="AC8" s="137">
        <v>434301</v>
      </c>
      <c r="AD8" s="44"/>
      <c r="AE8" s="137">
        <v>511909</v>
      </c>
      <c r="AF8" s="44"/>
      <c r="AG8" s="137">
        <v>48868</v>
      </c>
      <c r="AH8" s="44"/>
      <c r="AI8" s="137">
        <v>394107</v>
      </c>
      <c r="AJ8" s="44"/>
      <c r="AK8" s="138">
        <v>102371</v>
      </c>
      <c r="AL8" s="44"/>
      <c r="AM8" s="137">
        <v>558480</v>
      </c>
      <c r="AN8" s="44"/>
      <c r="AO8" s="137">
        <v>897214</v>
      </c>
      <c r="AP8" s="44"/>
      <c r="AQ8" s="137">
        <v>70227</v>
      </c>
      <c r="AR8" s="44"/>
      <c r="AS8" s="138">
        <v>2204</v>
      </c>
      <c r="AT8" s="44"/>
      <c r="AU8" s="138">
        <v>918</v>
      </c>
      <c r="AV8" s="44"/>
      <c r="AW8" s="138">
        <v>3108</v>
      </c>
      <c r="AX8" s="44"/>
      <c r="AY8" s="137">
        <v>301169</v>
      </c>
      <c r="AZ8" s="44"/>
      <c r="BA8" s="138">
        <v>160171</v>
      </c>
      <c r="BB8" s="44"/>
      <c r="BC8" s="137">
        <v>206260</v>
      </c>
      <c r="BD8" s="44"/>
      <c r="BE8" s="138">
        <v>5347</v>
      </c>
      <c r="BF8" s="44"/>
      <c r="BH8" s="142"/>
      <c r="BI8" s="142"/>
    </row>
    <row r="9" spans="1:61" s="30" customFormat="1" ht="39.950000000000003" customHeight="1" x14ac:dyDescent="0.25">
      <c r="A9" s="37">
        <v>44136</v>
      </c>
      <c r="B9" s="29"/>
      <c r="C9" s="138">
        <v>5569014</v>
      </c>
      <c r="D9" s="44">
        <f>(+C9-+C8)*48</f>
        <v>106560</v>
      </c>
      <c r="E9" s="36">
        <f>D9*0.6</f>
        <v>63936</v>
      </c>
      <c r="F9" s="44">
        <f>D9*0.4</f>
        <v>42624</v>
      </c>
      <c r="G9" s="138">
        <v>275969</v>
      </c>
      <c r="H9" s="44">
        <f>(+G9-+G8)*48</f>
        <v>1728</v>
      </c>
      <c r="I9" s="138">
        <v>90699</v>
      </c>
      <c r="J9" s="44">
        <f>(+I9-+I8)*48</f>
        <v>8016</v>
      </c>
      <c r="K9" s="138">
        <v>255299</v>
      </c>
      <c r="L9" s="44">
        <f t="shared" ref="L9:L37" si="0">(+K9-+K8)*48</f>
        <v>384</v>
      </c>
      <c r="M9" s="138">
        <v>24390</v>
      </c>
      <c r="N9" s="44">
        <f>(+M9-+M8)*48</f>
        <v>144</v>
      </c>
      <c r="O9" s="138">
        <v>226747</v>
      </c>
      <c r="P9" s="44">
        <f>(+O9-+O8)*48</f>
        <v>9168</v>
      </c>
      <c r="Q9" s="138">
        <v>435547</v>
      </c>
      <c r="R9" s="44">
        <f>(+Q9-+Q8)*48</f>
        <v>5424</v>
      </c>
      <c r="S9" s="138">
        <v>698938</v>
      </c>
      <c r="T9" s="44">
        <f>(+S9-+S8)*48</f>
        <v>5952</v>
      </c>
      <c r="U9" s="138">
        <v>95412.040999999997</v>
      </c>
      <c r="V9" s="45">
        <f>(+U9-+U8)*48</f>
        <v>1147.1519999995362</v>
      </c>
      <c r="W9" s="138">
        <v>78242</v>
      </c>
      <c r="X9" s="44">
        <f>(+W9-+W8)*48</f>
        <v>1200</v>
      </c>
      <c r="Y9" s="138">
        <v>1484856</v>
      </c>
      <c r="Z9" s="44">
        <f>(+Y9-+Y8)*48</f>
        <v>18768</v>
      </c>
      <c r="AA9" s="38">
        <v>13166</v>
      </c>
      <c r="AB9" s="44">
        <f>(+AA9-+AA8)*48</f>
        <v>0</v>
      </c>
      <c r="AC9" s="138">
        <v>434407</v>
      </c>
      <c r="AD9" s="44">
        <f>(+AC9-+AC8)*48</f>
        <v>5088</v>
      </c>
      <c r="AE9" s="138">
        <v>511998</v>
      </c>
      <c r="AF9" s="44">
        <f>(+AE9-+AE8)*48</f>
        <v>4272</v>
      </c>
      <c r="AG9" s="138">
        <v>48872</v>
      </c>
      <c r="AH9" s="44">
        <f>(+AG9-+AG8)*48</f>
        <v>192</v>
      </c>
      <c r="AI9" s="138">
        <v>394241</v>
      </c>
      <c r="AJ9" s="44">
        <f>(+AI9-+AI8)*48</f>
        <v>6432</v>
      </c>
      <c r="AK9" s="138">
        <v>102371</v>
      </c>
      <c r="AL9" s="44">
        <f>(+AK9-+AK8)*48</f>
        <v>0</v>
      </c>
      <c r="AM9" s="138">
        <v>558582</v>
      </c>
      <c r="AN9" s="44">
        <f>(+AM9-+AM8)*48</f>
        <v>4896</v>
      </c>
      <c r="AO9" s="138">
        <v>897413</v>
      </c>
      <c r="AP9" s="44">
        <f>(+AO9-+AO8)*48</f>
        <v>9552</v>
      </c>
      <c r="AQ9" s="138">
        <v>70339</v>
      </c>
      <c r="AR9" s="44">
        <f>(+AQ9-+AQ8)*48</f>
        <v>5376</v>
      </c>
      <c r="AS9" s="138">
        <v>2204</v>
      </c>
      <c r="AT9" s="44">
        <f>(+AS9-+AS8)*48</f>
        <v>0</v>
      </c>
      <c r="AU9" s="138">
        <v>918</v>
      </c>
      <c r="AV9" s="44">
        <f>(+AU9-+AU8)*48</f>
        <v>0</v>
      </c>
      <c r="AW9" s="138">
        <v>3108</v>
      </c>
      <c r="AX9" s="44">
        <f>(+AW9-+AW8)*48</f>
        <v>0</v>
      </c>
      <c r="AY9" s="138">
        <v>301251</v>
      </c>
      <c r="AZ9" s="44">
        <f>(+AY9-+AY8)*48</f>
        <v>3936</v>
      </c>
      <c r="BA9" s="138">
        <v>160171</v>
      </c>
      <c r="BB9" s="44">
        <f>(+BA9-+BA8)*48</f>
        <v>0</v>
      </c>
      <c r="BC9" s="138">
        <v>206314</v>
      </c>
      <c r="BD9" s="44">
        <f>(+BC9-+BC8)*48</f>
        <v>2592</v>
      </c>
      <c r="BE9" s="138">
        <v>5347</v>
      </c>
      <c r="BF9" s="44">
        <f>(+BE9-+BE8)*48</f>
        <v>0</v>
      </c>
      <c r="BH9" s="43">
        <f t="shared" ref="BH9:BH38" si="1">SUM(E9,J9,P9,H9,L9,R9,T9,V9,X9,N9,AB9,Z9,AD9,AF9,AH9,AL9,AJ9)</f>
        <v>131851.15199999954</v>
      </c>
      <c r="BI9" s="43">
        <f t="shared" ref="BI9:BI38" si="2">SUM(F9,AN9,AP9,AT9,AV9,AX9,AR9,AZ9,BB9,BD9,BF9)</f>
        <v>68976</v>
      </c>
    </row>
    <row r="10" spans="1:61" s="41" customFormat="1" ht="39.950000000000003" customHeight="1" x14ac:dyDescent="0.35">
      <c r="A10" s="37">
        <v>44137</v>
      </c>
      <c r="B10" s="40"/>
      <c r="C10" s="137">
        <v>5571283</v>
      </c>
      <c r="D10" s="44">
        <f t="shared" ref="D10" si="3">(+C10-+C9)*48</f>
        <v>108912</v>
      </c>
      <c r="E10" s="36">
        <f t="shared" ref="E10:E38" si="4">D10*0.6</f>
        <v>65347.199999999997</v>
      </c>
      <c r="F10" s="44">
        <f t="shared" ref="F10:F38" si="5">D10*0.4</f>
        <v>43564.800000000003</v>
      </c>
      <c r="G10" s="137">
        <v>276000</v>
      </c>
      <c r="H10" s="44">
        <f t="shared" ref="H10" si="6">(+G10-+G9)*48</f>
        <v>1488</v>
      </c>
      <c r="I10" s="137">
        <v>90877</v>
      </c>
      <c r="J10" s="44">
        <f t="shared" ref="J10" si="7">(+I10-+I9)*48</f>
        <v>8544</v>
      </c>
      <c r="K10" s="137">
        <v>255302</v>
      </c>
      <c r="L10" s="44">
        <f t="shared" si="0"/>
        <v>144</v>
      </c>
      <c r="M10" s="137">
        <v>24394</v>
      </c>
      <c r="N10" s="44">
        <f t="shared" ref="N10" si="8">(+M10-+M9)*48</f>
        <v>192</v>
      </c>
      <c r="O10" s="137">
        <v>226944</v>
      </c>
      <c r="P10" s="44">
        <f t="shared" ref="P10" si="9">(+O10-+O9)*48</f>
        <v>9456</v>
      </c>
      <c r="Q10" s="137">
        <v>435619</v>
      </c>
      <c r="R10" s="44">
        <f t="shared" ref="R10" si="10">(+Q10-+Q9)*48</f>
        <v>3456</v>
      </c>
      <c r="S10" s="137">
        <v>699047</v>
      </c>
      <c r="T10" s="44">
        <f t="shared" ref="T10" si="11">(+S10-+S9)*48</f>
        <v>5232</v>
      </c>
      <c r="U10" s="137">
        <v>95435.654999999999</v>
      </c>
      <c r="V10" s="45">
        <f t="shared" ref="V10" si="12">(+U10-+U9)*48</f>
        <v>1133.4720000000671</v>
      </c>
      <c r="W10" s="137">
        <v>78266</v>
      </c>
      <c r="X10" s="44">
        <f t="shared" ref="X10" si="13">(+W10-+W9)*48</f>
        <v>1152</v>
      </c>
      <c r="Y10" s="137">
        <v>1485126</v>
      </c>
      <c r="Z10" s="44">
        <f t="shared" ref="Z10" si="14">(+Y10-+Y9)*48</f>
        <v>12960</v>
      </c>
      <c r="AA10" s="39">
        <v>13166</v>
      </c>
      <c r="AB10" s="44">
        <f t="shared" ref="AB10" si="15">(+AA10-+AA9)*48</f>
        <v>0</v>
      </c>
      <c r="AC10" s="137">
        <v>434516</v>
      </c>
      <c r="AD10" s="44">
        <f t="shared" ref="AD10:AF37" si="16">(+AC10-+AC9)*48</f>
        <v>5232</v>
      </c>
      <c r="AE10" s="137">
        <v>512073</v>
      </c>
      <c r="AF10" s="44">
        <f t="shared" si="16"/>
        <v>3600</v>
      </c>
      <c r="AG10" s="137">
        <v>48878</v>
      </c>
      <c r="AH10" s="44">
        <f t="shared" ref="AH10" si="17">(+AG10-+AG9)*48</f>
        <v>288</v>
      </c>
      <c r="AI10" s="137">
        <v>394391</v>
      </c>
      <c r="AJ10" s="44">
        <f t="shared" ref="AJ10" si="18">(+AI10-+AI9)*48</f>
        <v>7200</v>
      </c>
      <c r="AK10" s="137">
        <v>102371</v>
      </c>
      <c r="AL10" s="44">
        <f t="shared" ref="AL10" si="19">(+AK10-+AK9)*48</f>
        <v>0</v>
      </c>
      <c r="AM10" s="137">
        <v>558694</v>
      </c>
      <c r="AN10" s="44">
        <f t="shared" ref="AN10" si="20">(+AM10-+AM9)*48</f>
        <v>5376</v>
      </c>
      <c r="AO10" s="137">
        <v>897624</v>
      </c>
      <c r="AP10" s="44">
        <f t="shared" ref="AP10" si="21">(+AO10-+AO9)*48</f>
        <v>10128</v>
      </c>
      <c r="AQ10" s="137">
        <v>70457</v>
      </c>
      <c r="AR10" s="44">
        <f t="shared" ref="AR10" si="22">(+AQ10-+AQ9)*48</f>
        <v>5664</v>
      </c>
      <c r="AS10" s="137">
        <v>2204</v>
      </c>
      <c r="AT10" s="44">
        <f t="shared" ref="AT10" si="23">(+AS10-+AS9)*48</f>
        <v>0</v>
      </c>
      <c r="AU10" s="137">
        <v>918</v>
      </c>
      <c r="AV10" s="44">
        <f t="shared" ref="AV10" si="24">(+AU10-+AU9)*48</f>
        <v>0</v>
      </c>
      <c r="AW10" s="137">
        <v>3108</v>
      </c>
      <c r="AX10" s="44">
        <f t="shared" ref="AX10" si="25">(+AW10-+AW9)*48</f>
        <v>0</v>
      </c>
      <c r="AY10" s="137">
        <v>301350</v>
      </c>
      <c r="AZ10" s="44">
        <f t="shared" ref="AZ10" si="26">(+AY10-+AY9)*48</f>
        <v>4752</v>
      </c>
      <c r="BA10" s="138">
        <v>160171</v>
      </c>
      <c r="BB10" s="44">
        <f t="shared" ref="BB10" si="27">(+BA10-+BA9)*48</f>
        <v>0</v>
      </c>
      <c r="BC10" s="137">
        <v>206365</v>
      </c>
      <c r="BD10" s="44">
        <f t="shared" ref="BD10" si="28">(+BC10-+BC9)*48</f>
        <v>2448</v>
      </c>
      <c r="BE10" s="137">
        <v>5347</v>
      </c>
      <c r="BF10" s="44">
        <f t="shared" ref="BF10" si="29">(+BE10-+BE9)*48</f>
        <v>0</v>
      </c>
      <c r="BH10" s="43">
        <f t="shared" si="1"/>
        <v>125424.67200000006</v>
      </c>
      <c r="BI10" s="43">
        <f t="shared" si="2"/>
        <v>71932.800000000003</v>
      </c>
    </row>
    <row r="11" spans="1:61" s="41" customFormat="1" ht="39.950000000000003" customHeight="1" x14ac:dyDescent="0.35">
      <c r="A11" s="37">
        <v>44138</v>
      </c>
      <c r="B11" s="40"/>
      <c r="C11" s="137">
        <v>5573331</v>
      </c>
      <c r="D11" s="44">
        <f t="shared" ref="D11" si="30">(+C11-+C10)*48</f>
        <v>98304</v>
      </c>
      <c r="E11" s="36">
        <f t="shared" si="4"/>
        <v>58982.399999999994</v>
      </c>
      <c r="F11" s="44">
        <f t="shared" si="5"/>
        <v>39321.600000000006</v>
      </c>
      <c r="G11" s="137">
        <v>276029</v>
      </c>
      <c r="H11" s="44">
        <f t="shared" ref="H11" si="31">(+G11-+G10)*48</f>
        <v>1392</v>
      </c>
      <c r="I11" s="137">
        <v>91057</v>
      </c>
      <c r="J11" s="44">
        <f t="shared" ref="J11" si="32">(+I11-+I10)*48</f>
        <v>8640</v>
      </c>
      <c r="K11" s="137">
        <v>255305</v>
      </c>
      <c r="L11" s="44">
        <f t="shared" si="0"/>
        <v>144</v>
      </c>
      <c r="M11" s="137">
        <v>24397</v>
      </c>
      <c r="N11" s="44">
        <f t="shared" ref="N11" si="33">(+M11-+M10)*48</f>
        <v>144</v>
      </c>
      <c r="O11" s="137">
        <v>227115</v>
      </c>
      <c r="P11" s="44">
        <f t="shared" ref="P11" si="34">(+O11-+O10)*48</f>
        <v>8208</v>
      </c>
      <c r="Q11" s="137">
        <v>435640</v>
      </c>
      <c r="R11" s="44">
        <f t="shared" ref="R11" si="35">(+Q11-+Q10)*48</f>
        <v>1008</v>
      </c>
      <c r="S11" s="137">
        <v>699180</v>
      </c>
      <c r="T11" s="44">
        <f t="shared" ref="T11" si="36">(+S11-+S10)*48</f>
        <v>6384</v>
      </c>
      <c r="U11" s="137">
        <v>95454.120999999999</v>
      </c>
      <c r="V11" s="45">
        <f t="shared" ref="V11" si="37">(+U11-+U10)*48</f>
        <v>886.36800000001676</v>
      </c>
      <c r="W11" s="137">
        <v>78292</v>
      </c>
      <c r="X11" s="44">
        <f t="shared" ref="X11" si="38">(+W11-+W10)*48</f>
        <v>1248</v>
      </c>
      <c r="Y11" s="137">
        <v>1485404</v>
      </c>
      <c r="Z11" s="44">
        <f t="shared" ref="Z11" si="39">(+Y11-+Y10)*48</f>
        <v>13344</v>
      </c>
      <c r="AA11" s="39">
        <v>13166</v>
      </c>
      <c r="AB11" s="44">
        <f t="shared" ref="AB11" si="40">(+AA11-+AA10)*48</f>
        <v>0</v>
      </c>
      <c r="AC11" s="137">
        <v>434621</v>
      </c>
      <c r="AD11" s="44">
        <f t="shared" si="16"/>
        <v>5040</v>
      </c>
      <c r="AE11" s="137">
        <v>512171</v>
      </c>
      <c r="AF11" s="44">
        <f t="shared" si="16"/>
        <v>4704</v>
      </c>
      <c r="AG11" s="137">
        <v>48880</v>
      </c>
      <c r="AH11" s="44">
        <f t="shared" ref="AH11" si="41">(+AG11-+AG10)*48</f>
        <v>96</v>
      </c>
      <c r="AI11" s="137">
        <v>394496</v>
      </c>
      <c r="AJ11" s="44">
        <f t="shared" ref="AJ11" si="42">(+AI11-+AI10)*48</f>
        <v>5040</v>
      </c>
      <c r="AK11" s="137">
        <v>102371</v>
      </c>
      <c r="AL11" s="44">
        <f t="shared" ref="AL11" si="43">(+AK11-+AK10)*48</f>
        <v>0</v>
      </c>
      <c r="AM11" s="137">
        <v>558781</v>
      </c>
      <c r="AN11" s="44">
        <f t="shared" ref="AN11" si="44">(+AM11-+AM10)*48</f>
        <v>4176</v>
      </c>
      <c r="AO11" s="137">
        <v>897808</v>
      </c>
      <c r="AP11" s="44">
        <f t="shared" ref="AP11" si="45">(+AO11-+AO10)*48</f>
        <v>8832</v>
      </c>
      <c r="AQ11" s="137">
        <v>70514</v>
      </c>
      <c r="AR11" s="44">
        <f t="shared" ref="AR11" si="46">(+AQ11-+AQ10)*48</f>
        <v>2736</v>
      </c>
      <c r="AS11" s="137">
        <v>2204</v>
      </c>
      <c r="AT11" s="44">
        <f t="shared" ref="AT11" si="47">(+AS11-+AS10)*48</f>
        <v>0</v>
      </c>
      <c r="AU11" s="137">
        <v>918</v>
      </c>
      <c r="AV11" s="44">
        <f t="shared" ref="AV11" si="48">(+AU11-+AU10)*48</f>
        <v>0</v>
      </c>
      <c r="AW11" s="137">
        <v>3108</v>
      </c>
      <c r="AX11" s="44">
        <f t="shared" ref="AX11" si="49">(+AW11-+AW10)*48</f>
        <v>0</v>
      </c>
      <c r="AY11" s="137">
        <v>301412</v>
      </c>
      <c r="AZ11" s="44">
        <f t="shared" ref="AZ11" si="50">(+AY11-+AY10)*48</f>
        <v>2976</v>
      </c>
      <c r="BA11" s="138">
        <v>160171</v>
      </c>
      <c r="BB11" s="44">
        <f t="shared" ref="BB11" si="51">(+BA11-+BA10)*48</f>
        <v>0</v>
      </c>
      <c r="BC11" s="137">
        <v>206417</v>
      </c>
      <c r="BD11" s="44">
        <f t="shared" ref="BD11" si="52">(+BC11-+BC10)*48</f>
        <v>2496</v>
      </c>
      <c r="BE11" s="137">
        <v>5347</v>
      </c>
      <c r="BF11" s="44">
        <f t="shared" ref="BF11" si="53">(+BE11-+BE10)*48</f>
        <v>0</v>
      </c>
      <c r="BH11" s="43">
        <f t="shared" si="1"/>
        <v>115260.76800000001</v>
      </c>
      <c r="BI11" s="43">
        <f t="shared" si="2"/>
        <v>60537.600000000006</v>
      </c>
    </row>
    <row r="12" spans="1:61" s="41" customFormat="1" ht="39.950000000000003" customHeight="1" x14ac:dyDescent="0.35">
      <c r="A12" s="37">
        <v>44139</v>
      </c>
      <c r="B12" s="40"/>
      <c r="C12" s="137">
        <v>5575266</v>
      </c>
      <c r="D12" s="44">
        <f t="shared" ref="D12" si="54">(+C12-+C11)*48</f>
        <v>92880</v>
      </c>
      <c r="E12" s="36">
        <f t="shared" si="4"/>
        <v>55728</v>
      </c>
      <c r="F12" s="44">
        <f t="shared" si="5"/>
        <v>37152</v>
      </c>
      <c r="G12" s="137">
        <v>276057</v>
      </c>
      <c r="H12" s="44">
        <f t="shared" ref="H12" si="55">(+G12-+G11)*48</f>
        <v>1344</v>
      </c>
      <c r="I12" s="137">
        <v>91229</v>
      </c>
      <c r="J12" s="44">
        <f t="shared" ref="J12" si="56">(+I12-+I11)*48</f>
        <v>8256</v>
      </c>
      <c r="K12" s="137">
        <v>255308</v>
      </c>
      <c r="L12" s="44">
        <f t="shared" si="0"/>
        <v>144</v>
      </c>
      <c r="M12" s="137">
        <v>24397</v>
      </c>
      <c r="N12" s="44">
        <f t="shared" ref="N12" si="57">(+M12-+M11)*48</f>
        <v>0</v>
      </c>
      <c r="O12" s="137">
        <v>227288</v>
      </c>
      <c r="P12" s="44">
        <f t="shared" ref="P12" si="58">(+O12-+O11)*48</f>
        <v>8304</v>
      </c>
      <c r="Q12" s="137">
        <v>435686</v>
      </c>
      <c r="R12" s="44">
        <f t="shared" ref="R12" si="59">(+Q12-+Q11)*48</f>
        <v>2208</v>
      </c>
      <c r="S12" s="137">
        <v>699319</v>
      </c>
      <c r="T12" s="44">
        <f t="shared" ref="T12" si="60">(+S12-+S11)*48</f>
        <v>6672</v>
      </c>
      <c r="U12" s="137">
        <v>95472.906000000003</v>
      </c>
      <c r="V12" s="45">
        <f t="shared" ref="V12" si="61">(+U12-+U11)*48</f>
        <v>901.68000000016764</v>
      </c>
      <c r="W12" s="137">
        <v>78318</v>
      </c>
      <c r="X12" s="44">
        <f t="shared" ref="X12" si="62">(+W12-+W11)*48</f>
        <v>1248</v>
      </c>
      <c r="Y12" s="137">
        <v>1485694</v>
      </c>
      <c r="Z12" s="44">
        <f t="shared" ref="Z12" si="63">(+Y12-+Y11)*48</f>
        <v>13920</v>
      </c>
      <c r="AA12" s="39">
        <v>13166</v>
      </c>
      <c r="AB12" s="44">
        <f t="shared" ref="AB12" si="64">(+AA12-+AA11)*48</f>
        <v>0</v>
      </c>
      <c r="AC12" s="137">
        <v>434730</v>
      </c>
      <c r="AD12" s="44">
        <f t="shared" si="16"/>
        <v>5232</v>
      </c>
      <c r="AE12" s="137">
        <v>512278</v>
      </c>
      <c r="AF12" s="44">
        <f t="shared" si="16"/>
        <v>5136</v>
      </c>
      <c r="AG12" s="137">
        <v>48884</v>
      </c>
      <c r="AH12" s="44">
        <f t="shared" ref="AH12" si="65">(+AG12-+AG11)*48</f>
        <v>192</v>
      </c>
      <c r="AI12" s="137">
        <v>394577</v>
      </c>
      <c r="AJ12" s="44">
        <f t="shared" ref="AJ12" si="66">(+AI12-+AI11)*48</f>
        <v>3888</v>
      </c>
      <c r="AK12" s="137">
        <v>102371</v>
      </c>
      <c r="AL12" s="44">
        <f t="shared" ref="AL12" si="67">(+AK12-+AK11)*48</f>
        <v>0</v>
      </c>
      <c r="AM12" s="137">
        <v>558879</v>
      </c>
      <c r="AN12" s="44">
        <f t="shared" ref="AN12" si="68">(+AM12-+AM11)*48</f>
        <v>4704</v>
      </c>
      <c r="AO12" s="137">
        <v>897999</v>
      </c>
      <c r="AP12" s="44">
        <f t="shared" ref="AP12" si="69">(+AO12-+AO11)*48</f>
        <v>9168</v>
      </c>
      <c r="AQ12" s="137">
        <v>70632</v>
      </c>
      <c r="AR12" s="44">
        <f t="shared" ref="AR12" si="70">(+AQ12-+AQ11)*48</f>
        <v>5664</v>
      </c>
      <c r="AS12" s="137">
        <v>2204</v>
      </c>
      <c r="AT12" s="44">
        <f t="shared" ref="AT12" si="71">(+AS12-+AS11)*48</f>
        <v>0</v>
      </c>
      <c r="AU12" s="137">
        <v>918</v>
      </c>
      <c r="AV12" s="44">
        <f t="shared" ref="AV12" si="72">(+AU12-+AU11)*48</f>
        <v>0</v>
      </c>
      <c r="AW12" s="137">
        <v>3108</v>
      </c>
      <c r="AX12" s="44">
        <f t="shared" ref="AX12" si="73">(+AW12-+AW11)*48</f>
        <v>0</v>
      </c>
      <c r="AY12" s="137">
        <v>301497</v>
      </c>
      <c r="AZ12" s="44">
        <f t="shared" ref="AZ12" si="74">(+AY12-+AY11)*48</f>
        <v>4080</v>
      </c>
      <c r="BA12" s="138">
        <v>160171</v>
      </c>
      <c r="BB12" s="44">
        <f t="shared" ref="BB12" si="75">(+BA12-+BA11)*48</f>
        <v>0</v>
      </c>
      <c r="BC12" s="137">
        <v>206470</v>
      </c>
      <c r="BD12" s="44">
        <f t="shared" ref="BD12" si="76">(+BC12-+BC11)*48</f>
        <v>2544</v>
      </c>
      <c r="BE12" s="137">
        <v>5347</v>
      </c>
      <c r="BF12" s="44">
        <f t="shared" ref="BF12" si="77">(+BE12-+BE11)*48</f>
        <v>0</v>
      </c>
      <c r="BH12" s="43">
        <f t="shared" si="1"/>
        <v>113173.68000000017</v>
      </c>
      <c r="BI12" s="43">
        <f t="shared" si="2"/>
        <v>63312</v>
      </c>
    </row>
    <row r="13" spans="1:61" s="41" customFormat="1" ht="39.950000000000003" customHeight="1" x14ac:dyDescent="0.35">
      <c r="A13" s="37">
        <v>44140</v>
      </c>
      <c r="B13" s="40"/>
      <c r="C13" s="138">
        <v>5577365</v>
      </c>
      <c r="D13" s="44">
        <f t="shared" ref="D13" si="78">(+C13-+C12)*48</f>
        <v>100752</v>
      </c>
      <c r="E13" s="36">
        <f t="shared" si="4"/>
        <v>60451.199999999997</v>
      </c>
      <c r="F13" s="44">
        <f t="shared" si="5"/>
        <v>40300.800000000003</v>
      </c>
      <c r="G13" s="138">
        <v>276091</v>
      </c>
      <c r="H13" s="44">
        <f t="shared" ref="H13" si="79">(+G13-+G12)*48</f>
        <v>1632</v>
      </c>
      <c r="I13" s="138">
        <v>91404</v>
      </c>
      <c r="J13" s="44">
        <f t="shared" ref="J13" si="80">(+I13-+I12)*48</f>
        <v>8400</v>
      </c>
      <c r="K13" s="138">
        <v>255315</v>
      </c>
      <c r="L13" s="44">
        <f t="shared" si="0"/>
        <v>336</v>
      </c>
      <c r="M13" s="138">
        <v>24397</v>
      </c>
      <c r="N13" s="44">
        <f t="shared" ref="N13" si="81">(+M13-+M12)*48</f>
        <v>0</v>
      </c>
      <c r="O13" s="138">
        <v>227457</v>
      </c>
      <c r="P13" s="44">
        <f t="shared" ref="P13" si="82">(+O13-+O12)*48</f>
        <v>8112</v>
      </c>
      <c r="Q13" s="138">
        <v>435752</v>
      </c>
      <c r="R13" s="44">
        <f t="shared" ref="R13" si="83">(+Q13-+Q12)*48</f>
        <v>3168</v>
      </c>
      <c r="S13" s="138">
        <v>699445</v>
      </c>
      <c r="T13" s="44">
        <f t="shared" ref="T13" si="84">(+S13-+S12)*48</f>
        <v>6048</v>
      </c>
      <c r="U13" s="138">
        <v>95492.396999999997</v>
      </c>
      <c r="V13" s="45">
        <f t="shared" ref="V13" si="85">(+U13-+U12)*48</f>
        <v>935.56799999973737</v>
      </c>
      <c r="W13" s="138">
        <v>78345</v>
      </c>
      <c r="X13" s="44">
        <f t="shared" ref="X13" si="86">(+W13-+W12)*48</f>
        <v>1296</v>
      </c>
      <c r="Y13" s="138">
        <v>1486059</v>
      </c>
      <c r="Z13" s="44">
        <f t="shared" ref="Z13" si="87">(+Y13-+Y12)*48</f>
        <v>17520</v>
      </c>
      <c r="AA13" s="38">
        <v>13166</v>
      </c>
      <c r="AB13" s="44">
        <f t="shared" ref="AB13" si="88">(+AA13-+AA12)*48</f>
        <v>0</v>
      </c>
      <c r="AC13" s="138">
        <v>434835</v>
      </c>
      <c r="AD13" s="44">
        <f t="shared" si="16"/>
        <v>5040</v>
      </c>
      <c r="AE13" s="138">
        <v>512384</v>
      </c>
      <c r="AF13" s="44">
        <f t="shared" si="16"/>
        <v>5088</v>
      </c>
      <c r="AG13" s="138">
        <v>48888</v>
      </c>
      <c r="AH13" s="44">
        <f t="shared" ref="AH13" si="89">(+AG13-+AG12)*48</f>
        <v>192</v>
      </c>
      <c r="AI13" s="138">
        <v>394658</v>
      </c>
      <c r="AJ13" s="44">
        <f t="shared" ref="AJ13" si="90">(+AI13-+AI12)*48</f>
        <v>3888</v>
      </c>
      <c r="AK13" s="138">
        <v>102371</v>
      </c>
      <c r="AL13" s="44">
        <f t="shared" ref="AL13" si="91">(+AK13-+AK12)*48</f>
        <v>0</v>
      </c>
      <c r="AM13" s="138">
        <v>558967</v>
      </c>
      <c r="AN13" s="44">
        <f t="shared" ref="AN13" si="92">(+AM13-+AM12)*48</f>
        <v>4224</v>
      </c>
      <c r="AO13" s="138">
        <v>898158</v>
      </c>
      <c r="AP13" s="44">
        <f t="shared" ref="AP13" si="93">(+AO13-+AO12)*48</f>
        <v>7632</v>
      </c>
      <c r="AQ13" s="138">
        <v>70782</v>
      </c>
      <c r="AR13" s="44">
        <f t="shared" ref="AR13" si="94">(+AQ13-+AQ12)*48</f>
        <v>7200</v>
      </c>
      <c r="AS13" s="138">
        <v>2204</v>
      </c>
      <c r="AT13" s="44">
        <f t="shared" ref="AT13" si="95">(+AS13-+AS12)*48</f>
        <v>0</v>
      </c>
      <c r="AU13" s="138">
        <v>918</v>
      </c>
      <c r="AV13" s="44">
        <f t="shared" ref="AV13" si="96">(+AU13-+AU12)*48</f>
        <v>0</v>
      </c>
      <c r="AW13" s="138">
        <v>3108</v>
      </c>
      <c r="AX13" s="44">
        <f t="shared" ref="AX13" si="97">(+AW13-+AW12)*48</f>
        <v>0</v>
      </c>
      <c r="AY13" s="138">
        <v>301583</v>
      </c>
      <c r="AZ13" s="44">
        <f t="shared" ref="AZ13" si="98">(+AY13-+AY12)*48</f>
        <v>4128</v>
      </c>
      <c r="BA13" s="138">
        <v>160171</v>
      </c>
      <c r="BB13" s="44">
        <f t="shared" ref="BB13" si="99">(+BA13-+BA12)*48</f>
        <v>0</v>
      </c>
      <c r="BC13" s="138">
        <v>206523</v>
      </c>
      <c r="BD13" s="44">
        <f t="shared" ref="BD13" si="100">(+BC13-+BC12)*48</f>
        <v>2544</v>
      </c>
      <c r="BE13" s="138">
        <v>5347</v>
      </c>
      <c r="BF13" s="44">
        <f t="shared" ref="BF13" si="101">(+BE13-+BE12)*48</f>
        <v>0</v>
      </c>
      <c r="BH13" s="43">
        <f t="shared" si="1"/>
        <v>122106.76799999973</v>
      </c>
      <c r="BI13" s="43">
        <f t="shared" si="2"/>
        <v>66028.800000000003</v>
      </c>
    </row>
    <row r="14" spans="1:61" s="41" customFormat="1" ht="39.950000000000003" customHeight="1" x14ac:dyDescent="0.35">
      <c r="A14" s="37">
        <v>44141</v>
      </c>
      <c r="B14" s="40"/>
      <c r="C14" s="138">
        <v>5579266</v>
      </c>
      <c r="D14" s="44">
        <f t="shared" ref="D14" si="102">(+C14-+C13)*48</f>
        <v>91248</v>
      </c>
      <c r="E14" s="36">
        <f t="shared" si="4"/>
        <v>54748.799999999996</v>
      </c>
      <c r="F14" s="44">
        <f t="shared" si="5"/>
        <v>36499.200000000004</v>
      </c>
      <c r="G14" s="138">
        <v>276122</v>
      </c>
      <c r="H14" s="44">
        <f t="shared" ref="H14" si="103">(+G14-+G13)*48</f>
        <v>1488</v>
      </c>
      <c r="I14" s="138">
        <v>91575</v>
      </c>
      <c r="J14" s="44">
        <f t="shared" ref="J14" si="104">(+I14-+I13)*48</f>
        <v>8208</v>
      </c>
      <c r="K14" s="138">
        <v>255319</v>
      </c>
      <c r="L14" s="44">
        <f t="shared" si="0"/>
        <v>192</v>
      </c>
      <c r="M14" s="138">
        <v>24397</v>
      </c>
      <c r="N14" s="44">
        <f t="shared" ref="N14" si="105">(+M14-+M13)*48</f>
        <v>0</v>
      </c>
      <c r="O14" s="138">
        <v>227645</v>
      </c>
      <c r="P14" s="44">
        <f t="shared" ref="P14" si="106">(+O14-+O13)*48</f>
        <v>9024</v>
      </c>
      <c r="Q14" s="138">
        <v>435775</v>
      </c>
      <c r="R14" s="44">
        <f t="shared" ref="R14" si="107">(+Q14-+Q13)*48</f>
        <v>1104</v>
      </c>
      <c r="S14" s="138">
        <v>699571</v>
      </c>
      <c r="T14" s="44">
        <f t="shared" ref="T14" si="108">(+S14-+S13)*48</f>
        <v>6048</v>
      </c>
      <c r="U14" s="138">
        <v>95512.531000000003</v>
      </c>
      <c r="V14" s="45">
        <f>(+U14-+U13)*48</f>
        <v>966.43200000026263</v>
      </c>
      <c r="W14" s="138">
        <v>78371</v>
      </c>
      <c r="X14" s="44">
        <f t="shared" ref="X14" si="109">(+W14-+W13)*48</f>
        <v>1248</v>
      </c>
      <c r="Y14" s="138">
        <v>1486451</v>
      </c>
      <c r="Z14" s="44">
        <f t="shared" ref="Z14" si="110">(+Y14-+Y13)*48</f>
        <v>18816</v>
      </c>
      <c r="AA14" s="38">
        <v>13166</v>
      </c>
      <c r="AB14" s="44">
        <f t="shared" ref="AB14" si="111">(+AA14-+AA13)*48</f>
        <v>0</v>
      </c>
      <c r="AC14" s="138">
        <v>434939</v>
      </c>
      <c r="AD14" s="44">
        <f t="shared" si="16"/>
        <v>4992</v>
      </c>
      <c r="AE14" s="138">
        <v>512487</v>
      </c>
      <c r="AF14" s="44">
        <f t="shared" si="16"/>
        <v>4944</v>
      </c>
      <c r="AG14" s="138">
        <v>48892</v>
      </c>
      <c r="AH14" s="44">
        <f t="shared" ref="AH14" si="112">(+AG14-+AG13)*48</f>
        <v>192</v>
      </c>
      <c r="AI14" s="138">
        <v>394756</v>
      </c>
      <c r="AJ14" s="44">
        <f t="shared" ref="AJ14" si="113">(+AI14-+AI13)*48</f>
        <v>4704</v>
      </c>
      <c r="AK14" s="138">
        <v>102371</v>
      </c>
      <c r="AL14" s="44">
        <f t="shared" ref="AL14" si="114">(+AK14-+AK13)*48</f>
        <v>0</v>
      </c>
      <c r="AM14" s="138">
        <v>559053</v>
      </c>
      <c r="AN14" s="44">
        <f t="shared" ref="AN14" si="115">(+AM14-+AM13)*48</f>
        <v>4128</v>
      </c>
      <c r="AO14" s="138">
        <v>898312</v>
      </c>
      <c r="AP14" s="44">
        <f t="shared" ref="AP14" si="116">(+AO14-+AO13)*48</f>
        <v>7392</v>
      </c>
      <c r="AQ14" s="138">
        <v>70917</v>
      </c>
      <c r="AR14" s="44">
        <f t="shared" ref="AR14" si="117">(+AQ14-+AQ13)*48</f>
        <v>6480</v>
      </c>
      <c r="AS14" s="138">
        <v>2204</v>
      </c>
      <c r="AT14" s="44">
        <f t="shared" ref="AT14" si="118">(+AS14-+AS13)*48</f>
        <v>0</v>
      </c>
      <c r="AU14" s="138">
        <v>918</v>
      </c>
      <c r="AV14" s="44">
        <f t="shared" ref="AV14" si="119">(+AU14-+AU13)*48</f>
        <v>0</v>
      </c>
      <c r="AW14" s="138">
        <v>3108</v>
      </c>
      <c r="AX14" s="44">
        <f t="shared" ref="AX14" si="120">(+AW14-+AW13)*48</f>
        <v>0</v>
      </c>
      <c r="AY14" s="138">
        <v>301664</v>
      </c>
      <c r="AZ14" s="44">
        <f t="shared" ref="AZ14" si="121">(+AY14-+AY13)*48</f>
        <v>3888</v>
      </c>
      <c r="BA14" s="138">
        <v>160171</v>
      </c>
      <c r="BB14" s="44">
        <f t="shared" ref="BB14" si="122">(+BA14-+BA13)*48</f>
        <v>0</v>
      </c>
      <c r="BC14" s="138">
        <v>206574</v>
      </c>
      <c r="BD14" s="44">
        <f t="shared" ref="BD14" si="123">(+BC14-+BC13)*48</f>
        <v>2448</v>
      </c>
      <c r="BE14" s="138">
        <v>5347</v>
      </c>
      <c r="BF14" s="44">
        <f t="shared" ref="BF14" si="124">(+BE14-+BE13)*48</f>
        <v>0</v>
      </c>
      <c r="BH14" s="43">
        <f t="shared" si="1"/>
        <v>116675.23200000025</v>
      </c>
      <c r="BI14" s="43">
        <f t="shared" si="2"/>
        <v>60835.200000000004</v>
      </c>
    </row>
    <row r="15" spans="1:61" s="41" customFormat="1" ht="39.950000000000003" customHeight="1" x14ac:dyDescent="0.35">
      <c r="A15" s="37">
        <v>44142</v>
      </c>
      <c r="B15" s="40"/>
      <c r="C15" s="138">
        <v>5581183</v>
      </c>
      <c r="D15" s="44">
        <f t="shared" ref="D15" si="125">(+C15-+C14)*48</f>
        <v>92016</v>
      </c>
      <c r="E15" s="36">
        <f t="shared" si="4"/>
        <v>55209.599999999999</v>
      </c>
      <c r="F15" s="44">
        <f t="shared" si="5"/>
        <v>36806.400000000001</v>
      </c>
      <c r="G15" s="138">
        <v>276152</v>
      </c>
      <c r="H15" s="44">
        <f t="shared" ref="H15" si="126">(+G15-+G14)*48</f>
        <v>1440</v>
      </c>
      <c r="I15" s="138">
        <v>91743</v>
      </c>
      <c r="J15" s="44">
        <f t="shared" ref="J15" si="127">(+I15-+I14)*48</f>
        <v>8064</v>
      </c>
      <c r="K15" s="138">
        <v>255322</v>
      </c>
      <c r="L15" s="44">
        <f t="shared" si="0"/>
        <v>144</v>
      </c>
      <c r="M15" s="138">
        <v>24397</v>
      </c>
      <c r="N15" s="44">
        <f t="shared" ref="N15" si="128">(+M15-+M14)*48</f>
        <v>0</v>
      </c>
      <c r="O15" s="138">
        <v>227830</v>
      </c>
      <c r="P15" s="44">
        <f t="shared" ref="P15" si="129">(+O15-+O14)*48</f>
        <v>8880</v>
      </c>
      <c r="Q15" s="138">
        <v>435792</v>
      </c>
      <c r="R15" s="44">
        <f t="shared" ref="R15" si="130">(+Q15-+Q14)*48</f>
        <v>816</v>
      </c>
      <c r="S15" s="138">
        <v>699686</v>
      </c>
      <c r="T15" s="44">
        <f t="shared" ref="T15" si="131">(+S15-+S14)*48</f>
        <v>5520</v>
      </c>
      <c r="U15" s="138">
        <v>95533.506999999998</v>
      </c>
      <c r="V15" s="45">
        <f t="shared" ref="V15" si="132">(+U15-+U14)*48</f>
        <v>1006.8479999997653</v>
      </c>
      <c r="W15" s="138">
        <v>78396</v>
      </c>
      <c r="X15" s="44">
        <f t="shared" ref="X15" si="133">(+W15-+W14)*48</f>
        <v>1200</v>
      </c>
      <c r="Y15" s="138">
        <v>1486688</v>
      </c>
      <c r="Z15" s="44">
        <f t="shared" ref="Z15" si="134">(+Y15-+Y14)*48</f>
        <v>11376</v>
      </c>
      <c r="AA15" s="38">
        <v>13166</v>
      </c>
      <c r="AB15" s="44">
        <f t="shared" ref="AB15" si="135">(+AA15-+AA14)*48</f>
        <v>0</v>
      </c>
      <c r="AC15" s="138">
        <v>435044</v>
      </c>
      <c r="AD15" s="44">
        <f t="shared" si="16"/>
        <v>5040</v>
      </c>
      <c r="AE15" s="138">
        <v>512595</v>
      </c>
      <c r="AF15" s="44">
        <f t="shared" si="16"/>
        <v>5184</v>
      </c>
      <c r="AG15" s="138">
        <v>48896</v>
      </c>
      <c r="AH15" s="44">
        <f t="shared" ref="AH15" si="136">(+AG15-+AG14)*48</f>
        <v>192</v>
      </c>
      <c r="AI15" s="138">
        <v>394862</v>
      </c>
      <c r="AJ15" s="44">
        <f t="shared" ref="AJ15" si="137">(+AI15-+AI14)*48</f>
        <v>5088</v>
      </c>
      <c r="AK15" s="138">
        <v>102371</v>
      </c>
      <c r="AL15" s="44">
        <f t="shared" ref="AL15" si="138">(+AK15-+AK14)*48</f>
        <v>0</v>
      </c>
      <c r="AM15" s="138">
        <v>559152</v>
      </c>
      <c r="AN15" s="44">
        <f t="shared" ref="AN15" si="139">(+AM15-+AM14)*48</f>
        <v>4752</v>
      </c>
      <c r="AO15" s="138">
        <v>898486</v>
      </c>
      <c r="AP15" s="44">
        <f t="shared" ref="AP15" si="140">(+AO15-+AO14)*48</f>
        <v>8352</v>
      </c>
      <c r="AQ15" s="138">
        <v>71042</v>
      </c>
      <c r="AR15" s="44">
        <f t="shared" ref="AR15" si="141">(+AQ15-+AQ14)*48</f>
        <v>6000</v>
      </c>
      <c r="AS15" s="138">
        <v>2204</v>
      </c>
      <c r="AT15" s="44">
        <f t="shared" ref="AT15" si="142">(+AS15-+AS14)*48</f>
        <v>0</v>
      </c>
      <c r="AU15" s="138">
        <v>918</v>
      </c>
      <c r="AV15" s="44">
        <f t="shared" ref="AV15" si="143">(+AU15-+AU14)*48</f>
        <v>0</v>
      </c>
      <c r="AW15" s="138">
        <v>3108</v>
      </c>
      <c r="AX15" s="44">
        <f t="shared" ref="AX15" si="144">(+AW15-+AW14)*48</f>
        <v>0</v>
      </c>
      <c r="AY15" s="138">
        <v>301745</v>
      </c>
      <c r="AZ15" s="44">
        <f t="shared" ref="AZ15" si="145">(+AY15-+AY14)*48</f>
        <v>3888</v>
      </c>
      <c r="BA15" s="138">
        <v>160171</v>
      </c>
      <c r="BB15" s="44">
        <f t="shared" ref="BB15" si="146">(+BA15-+BA14)*48</f>
        <v>0</v>
      </c>
      <c r="BC15" s="138">
        <v>206628</v>
      </c>
      <c r="BD15" s="44">
        <f t="shared" ref="BD15" si="147">(+BC15-+BC14)*48</f>
        <v>2592</v>
      </c>
      <c r="BE15" s="138">
        <v>5347</v>
      </c>
      <c r="BF15" s="44">
        <f t="shared" ref="BF15" si="148">(+BE15-+BE14)*48</f>
        <v>0</v>
      </c>
      <c r="BH15" s="43">
        <f t="shared" si="1"/>
        <v>109160.44799999977</v>
      </c>
      <c r="BI15" s="43">
        <f t="shared" si="2"/>
        <v>62390.400000000001</v>
      </c>
    </row>
    <row r="16" spans="1:61" s="41" customFormat="1" ht="39.950000000000003" customHeight="1" x14ac:dyDescent="0.35">
      <c r="A16" s="37">
        <v>44143</v>
      </c>
      <c r="B16" s="40"/>
      <c r="C16" s="138">
        <v>5583208</v>
      </c>
      <c r="D16" s="44">
        <f t="shared" ref="D16" si="149">(+C16-+C15)*48</f>
        <v>97200</v>
      </c>
      <c r="E16" s="36">
        <f t="shared" si="4"/>
        <v>58320</v>
      </c>
      <c r="F16" s="44">
        <f t="shared" si="5"/>
        <v>38880</v>
      </c>
      <c r="G16" s="138">
        <v>276182</v>
      </c>
      <c r="H16" s="44">
        <f t="shared" ref="H16" si="150">(+G16-+G15)*48</f>
        <v>1440</v>
      </c>
      <c r="I16" s="138">
        <v>91917</v>
      </c>
      <c r="J16" s="44">
        <f t="shared" ref="J16" si="151">(+I16-+I15)*48</f>
        <v>8352</v>
      </c>
      <c r="K16" s="138">
        <v>255324</v>
      </c>
      <c r="L16" s="44">
        <f t="shared" si="0"/>
        <v>96</v>
      </c>
      <c r="M16" s="138">
        <v>24397</v>
      </c>
      <c r="N16" s="44">
        <f t="shared" ref="N16" si="152">(+M16-+M15)*48</f>
        <v>0</v>
      </c>
      <c r="O16" s="138">
        <v>228033</v>
      </c>
      <c r="P16" s="44">
        <f t="shared" ref="P16" si="153">(+O16-+O15)*48</f>
        <v>9744</v>
      </c>
      <c r="Q16" s="138">
        <v>435823</v>
      </c>
      <c r="R16" s="44">
        <f t="shared" ref="R16" si="154">(+Q16-+Q15)*48</f>
        <v>1488</v>
      </c>
      <c r="S16" s="138">
        <v>699799</v>
      </c>
      <c r="T16" s="44">
        <f t="shared" ref="T16" si="155">(+S16-+S15)*48</f>
        <v>5424</v>
      </c>
      <c r="U16" s="138">
        <v>95558.543999999994</v>
      </c>
      <c r="V16" s="45">
        <f t="shared" ref="V16" si="156">(+U16-+U15)*48</f>
        <v>1201.7759999998379</v>
      </c>
      <c r="W16" s="138">
        <v>78424</v>
      </c>
      <c r="X16" s="44">
        <f t="shared" ref="X16" si="157">(+W16-+W15)*48</f>
        <v>1344</v>
      </c>
      <c r="Y16" s="138">
        <v>1486919</v>
      </c>
      <c r="Z16" s="44">
        <f t="shared" ref="Z16" si="158">(+Y16-+Y15)*48</f>
        <v>11088</v>
      </c>
      <c r="AA16" s="38">
        <v>13166</v>
      </c>
      <c r="AB16" s="44">
        <f t="shared" ref="AB16" si="159">(+AA16-+AA15)*48</f>
        <v>0</v>
      </c>
      <c r="AC16" s="138">
        <v>435135</v>
      </c>
      <c r="AD16" s="44">
        <f t="shared" si="16"/>
        <v>4368</v>
      </c>
      <c r="AE16" s="138">
        <v>512681</v>
      </c>
      <c r="AF16" s="44">
        <f t="shared" si="16"/>
        <v>4128</v>
      </c>
      <c r="AG16" s="138">
        <v>48900</v>
      </c>
      <c r="AH16" s="44">
        <f t="shared" ref="AH16" si="160">(+AG16-+AG15)*48</f>
        <v>192</v>
      </c>
      <c r="AI16" s="138">
        <v>394960</v>
      </c>
      <c r="AJ16" s="44">
        <f t="shared" ref="AJ16" si="161">(+AI16-+AI15)*48</f>
        <v>4704</v>
      </c>
      <c r="AK16" s="138">
        <v>102371</v>
      </c>
      <c r="AL16" s="44">
        <f t="shared" ref="AL16" si="162">(+AK16-+AK15)*48</f>
        <v>0</v>
      </c>
      <c r="AM16" s="138">
        <v>559214</v>
      </c>
      <c r="AN16" s="44">
        <f t="shared" ref="AN16" si="163">(+AM16-+AM15)*48</f>
        <v>2976</v>
      </c>
      <c r="AO16" s="138">
        <v>898630</v>
      </c>
      <c r="AP16" s="44">
        <f t="shared" ref="AP16" si="164">(+AO16-+AO15)*48</f>
        <v>6912</v>
      </c>
      <c r="AQ16" s="138">
        <v>71116</v>
      </c>
      <c r="AR16" s="44">
        <f t="shared" ref="AR16" si="165">(+AQ16-+AQ15)*48</f>
        <v>3552</v>
      </c>
      <c r="AS16" s="138">
        <v>2204</v>
      </c>
      <c r="AT16" s="44">
        <f t="shared" ref="AT16" si="166">(+AS16-+AS15)*48</f>
        <v>0</v>
      </c>
      <c r="AU16" s="138">
        <v>918</v>
      </c>
      <c r="AV16" s="44">
        <f t="shared" ref="AV16" si="167">(+AU16-+AU15)*48</f>
        <v>0</v>
      </c>
      <c r="AW16" s="138">
        <v>3108</v>
      </c>
      <c r="AX16" s="44">
        <f t="shared" ref="AX16" si="168">(+AW16-+AW15)*48</f>
        <v>0</v>
      </c>
      <c r="AY16" s="138">
        <v>301827</v>
      </c>
      <c r="AZ16" s="44">
        <f t="shared" ref="AZ16" si="169">(+AY16-+AY15)*48</f>
        <v>3936</v>
      </c>
      <c r="BA16" s="138">
        <v>160171</v>
      </c>
      <c r="BB16" s="44">
        <f t="shared" ref="BB16" si="170">(+BA16-+BA15)*48</f>
        <v>0</v>
      </c>
      <c r="BC16" s="138">
        <v>206680</v>
      </c>
      <c r="BD16" s="44">
        <f t="shared" ref="BD16" si="171">(+BC16-+BC15)*48</f>
        <v>2496</v>
      </c>
      <c r="BE16" s="138">
        <v>5347</v>
      </c>
      <c r="BF16" s="44">
        <f t="shared" ref="BF16" si="172">(+BE16-+BE15)*48</f>
        <v>0</v>
      </c>
      <c r="BH16" s="43">
        <f t="shared" si="1"/>
        <v>111889.77599999984</v>
      </c>
      <c r="BI16" s="43">
        <f t="shared" si="2"/>
        <v>58752</v>
      </c>
    </row>
    <row r="17" spans="1:61" s="41" customFormat="1" ht="39.950000000000003" customHeight="1" x14ac:dyDescent="0.35">
      <c r="A17" s="37">
        <v>44144</v>
      </c>
      <c r="B17" s="40"/>
      <c r="C17" s="138">
        <v>5585156</v>
      </c>
      <c r="D17" s="44">
        <f t="shared" ref="D17" si="173">(+C17-+C16)*48</f>
        <v>93504</v>
      </c>
      <c r="E17" s="36">
        <f t="shared" si="4"/>
        <v>56102.400000000001</v>
      </c>
      <c r="F17" s="44">
        <f t="shared" si="5"/>
        <v>37401.599999999999</v>
      </c>
      <c r="G17" s="138">
        <v>276210</v>
      </c>
      <c r="H17" s="44">
        <f t="shared" ref="H17" si="174">(+G17-+G16)*48</f>
        <v>1344</v>
      </c>
      <c r="I17" s="138">
        <v>92076</v>
      </c>
      <c r="J17" s="44">
        <f t="shared" ref="J17" si="175">(+I17-+I16)*48</f>
        <v>7632</v>
      </c>
      <c r="K17" s="138">
        <v>255336</v>
      </c>
      <c r="L17" s="44">
        <f t="shared" si="0"/>
        <v>576</v>
      </c>
      <c r="M17" s="138">
        <v>24397</v>
      </c>
      <c r="N17" s="44">
        <f t="shared" ref="N17" si="176">(+M17-+M16)*48</f>
        <v>0</v>
      </c>
      <c r="O17" s="138">
        <v>228232</v>
      </c>
      <c r="P17" s="44">
        <f t="shared" ref="P17" si="177">(+O17-+O16)*48</f>
        <v>9552</v>
      </c>
      <c r="Q17" s="138">
        <v>435874</v>
      </c>
      <c r="R17" s="44">
        <f t="shared" ref="R17" si="178">(+Q17-+Q16)*48</f>
        <v>2448</v>
      </c>
      <c r="S17" s="138">
        <v>699909</v>
      </c>
      <c r="T17" s="44">
        <f t="shared" ref="T17" si="179">(+S17-+S16)*48</f>
        <v>5280</v>
      </c>
      <c r="U17" s="138">
        <v>95582.278000000006</v>
      </c>
      <c r="V17" s="45">
        <f t="shared" ref="V17" si="180">(+U17-+U16)*48</f>
        <v>1139.232000000542</v>
      </c>
      <c r="W17" s="138">
        <v>78451</v>
      </c>
      <c r="X17" s="44">
        <f t="shared" ref="X17" si="181">(+W17-+W16)*48</f>
        <v>1296</v>
      </c>
      <c r="Y17" s="138">
        <v>1487222</v>
      </c>
      <c r="Z17" s="44">
        <f t="shared" ref="Z17" si="182">(+Y17-+Y16)*48</f>
        <v>14544</v>
      </c>
      <c r="AA17" s="38">
        <v>13166</v>
      </c>
      <c r="AB17" s="44">
        <f t="shared" ref="AB17" si="183">(+AA17-+AA16)*48</f>
        <v>0</v>
      </c>
      <c r="AC17" s="138">
        <v>435224</v>
      </c>
      <c r="AD17" s="44">
        <f t="shared" si="16"/>
        <v>4272</v>
      </c>
      <c r="AE17" s="138">
        <v>512777</v>
      </c>
      <c r="AF17" s="44">
        <f t="shared" si="16"/>
        <v>4608</v>
      </c>
      <c r="AG17" s="138">
        <v>48904</v>
      </c>
      <c r="AH17" s="44">
        <f t="shared" ref="AH17" si="184">(+AG17-+AG16)*48</f>
        <v>192</v>
      </c>
      <c r="AI17" s="138">
        <v>395070</v>
      </c>
      <c r="AJ17" s="44">
        <f t="shared" ref="AJ17" si="185">(+AI17-+AI16)*48</f>
        <v>5280</v>
      </c>
      <c r="AK17" s="138">
        <v>102371</v>
      </c>
      <c r="AL17" s="44">
        <f t="shared" ref="AL17" si="186">(+AK17-+AK16)*48</f>
        <v>0</v>
      </c>
      <c r="AM17" s="138">
        <v>559276</v>
      </c>
      <c r="AN17" s="44">
        <f t="shared" ref="AN17" si="187">(+AM17-+AM16)*48</f>
        <v>2976</v>
      </c>
      <c r="AO17" s="138">
        <v>898769</v>
      </c>
      <c r="AP17" s="44">
        <f t="shared" ref="AP17" si="188">(+AO17-+AO16)*48</f>
        <v>6672</v>
      </c>
      <c r="AQ17" s="138">
        <v>71206</v>
      </c>
      <c r="AR17" s="44">
        <f t="shared" ref="AR17" si="189">(+AQ17-+AQ16)*48</f>
        <v>4320</v>
      </c>
      <c r="AS17" s="138">
        <v>2204</v>
      </c>
      <c r="AT17" s="44">
        <f t="shared" ref="AT17" si="190">(+AS17-+AS16)*48</f>
        <v>0</v>
      </c>
      <c r="AU17" s="138">
        <v>918</v>
      </c>
      <c r="AV17" s="44">
        <f t="shared" ref="AV17" si="191">(+AU17-+AU16)*48</f>
        <v>0</v>
      </c>
      <c r="AW17" s="138">
        <v>3108</v>
      </c>
      <c r="AX17" s="44">
        <f t="shared" ref="AX17" si="192">(+AW17-+AW16)*48</f>
        <v>0</v>
      </c>
      <c r="AY17" s="138">
        <v>301905</v>
      </c>
      <c r="AZ17" s="44">
        <f t="shared" ref="AZ17" si="193">(+AY17-+AY16)*48</f>
        <v>3744</v>
      </c>
      <c r="BA17" s="138">
        <v>160171</v>
      </c>
      <c r="BB17" s="44">
        <f t="shared" ref="BB17" si="194">(+BA17-+BA16)*48</f>
        <v>0</v>
      </c>
      <c r="BC17" s="138">
        <v>206728</v>
      </c>
      <c r="BD17" s="44">
        <f t="shared" ref="BD17" si="195">(+BC17-+BC16)*48</f>
        <v>2304</v>
      </c>
      <c r="BE17" s="138">
        <v>5347</v>
      </c>
      <c r="BF17" s="44">
        <f t="shared" ref="BF17" si="196">(+BE17-+BE16)*48</f>
        <v>0</v>
      </c>
      <c r="BH17" s="43">
        <f t="shared" si="1"/>
        <v>114265.63200000054</v>
      </c>
      <c r="BI17" s="43">
        <f t="shared" si="2"/>
        <v>57417.599999999999</v>
      </c>
    </row>
    <row r="18" spans="1:61" s="41" customFormat="1" ht="39.950000000000003" customHeight="1" x14ac:dyDescent="0.35">
      <c r="A18" s="37">
        <v>44145</v>
      </c>
      <c r="B18" s="40"/>
      <c r="C18" s="138">
        <v>5587074</v>
      </c>
      <c r="D18" s="44">
        <f t="shared" ref="D18" si="197">(+C18-+C17)*48</f>
        <v>92064</v>
      </c>
      <c r="E18" s="36">
        <f t="shared" si="4"/>
        <v>55238.400000000001</v>
      </c>
      <c r="F18" s="44">
        <f t="shared" si="5"/>
        <v>36825.599999999999</v>
      </c>
      <c r="G18" s="138">
        <v>276239</v>
      </c>
      <c r="H18" s="44">
        <f t="shared" ref="H18" si="198">(+G18-+G17)*48</f>
        <v>1392</v>
      </c>
      <c r="I18" s="138">
        <v>92236</v>
      </c>
      <c r="J18" s="44">
        <f t="shared" ref="J18" si="199">(+I18-+I17)*48</f>
        <v>7680</v>
      </c>
      <c r="K18" s="138">
        <v>255339</v>
      </c>
      <c r="L18" s="44">
        <f t="shared" si="0"/>
        <v>144</v>
      </c>
      <c r="M18" s="138">
        <v>24397</v>
      </c>
      <c r="N18" s="44">
        <f t="shared" ref="N18" si="200">(+M18-+M17)*48</f>
        <v>0</v>
      </c>
      <c r="O18" s="138">
        <v>228406</v>
      </c>
      <c r="P18" s="44">
        <f t="shared" ref="P18" si="201">(+O18-+O17)*48</f>
        <v>8352</v>
      </c>
      <c r="Q18" s="138">
        <v>435909</v>
      </c>
      <c r="R18" s="44">
        <f t="shared" ref="R18" si="202">(+Q18-+Q17)*48</f>
        <v>1680</v>
      </c>
      <c r="S18" s="138">
        <v>700039</v>
      </c>
      <c r="T18" s="44">
        <f t="shared" ref="T18" si="203">(+S18-+S17)*48</f>
        <v>6240</v>
      </c>
      <c r="U18" s="138">
        <v>95602.581000000006</v>
      </c>
      <c r="V18" s="45">
        <f t="shared" ref="V18" si="204">(+U18-+U17)*48</f>
        <v>974.54399999999441</v>
      </c>
      <c r="W18" s="138">
        <v>78477</v>
      </c>
      <c r="X18" s="44">
        <f t="shared" ref="X18" si="205">(+W18-+W17)*48</f>
        <v>1248</v>
      </c>
      <c r="Y18" s="138">
        <v>1487586</v>
      </c>
      <c r="Z18" s="44">
        <f t="shared" ref="Z18" si="206">(+Y18-+Y17)*48</f>
        <v>17472</v>
      </c>
      <c r="AA18" s="38">
        <v>13166</v>
      </c>
      <c r="AB18" s="44">
        <f t="shared" ref="AB18" si="207">(+AA18-+AA17)*48</f>
        <v>0</v>
      </c>
      <c r="AC18" s="138">
        <v>435292</v>
      </c>
      <c r="AD18" s="44">
        <f t="shared" si="16"/>
        <v>3264</v>
      </c>
      <c r="AE18" s="138">
        <v>512850</v>
      </c>
      <c r="AF18" s="44">
        <f t="shared" si="16"/>
        <v>3504</v>
      </c>
      <c r="AG18" s="138">
        <v>48908</v>
      </c>
      <c r="AH18" s="44">
        <f t="shared" ref="AH18" si="208">(+AG18-+AG17)*48</f>
        <v>192</v>
      </c>
      <c r="AI18" s="138">
        <v>395158</v>
      </c>
      <c r="AJ18" s="44">
        <f t="shared" ref="AJ18" si="209">(+AI18-+AI17)*48</f>
        <v>4224</v>
      </c>
      <c r="AK18" s="138">
        <v>102371</v>
      </c>
      <c r="AL18" s="44">
        <f t="shared" ref="AL18" si="210">(+AK18-+AK17)*48</f>
        <v>0</v>
      </c>
      <c r="AM18" s="138">
        <v>559334</v>
      </c>
      <c r="AN18" s="44">
        <f t="shared" ref="AN18" si="211">(+AM18-+AM17)*48</f>
        <v>2784</v>
      </c>
      <c r="AO18" s="138">
        <v>898890</v>
      </c>
      <c r="AP18" s="44">
        <f t="shared" ref="AP18" si="212">(+AO18-+AO17)*48</f>
        <v>5808</v>
      </c>
      <c r="AQ18" s="138">
        <v>71360</v>
      </c>
      <c r="AR18" s="44">
        <f t="shared" ref="AR18" si="213">(+AQ18-+AQ17)*48</f>
        <v>7392</v>
      </c>
      <c r="AS18" s="138">
        <v>2204</v>
      </c>
      <c r="AT18" s="44">
        <f t="shared" ref="AT18" si="214">(+AS18-+AS17)*48</f>
        <v>0</v>
      </c>
      <c r="AU18" s="138">
        <v>918</v>
      </c>
      <c r="AV18" s="44">
        <f t="shared" ref="AV18" si="215">(+AU18-+AU17)*48</f>
        <v>0</v>
      </c>
      <c r="AW18" s="138">
        <v>3108</v>
      </c>
      <c r="AX18" s="44">
        <f t="shared" ref="AX18" si="216">(+AW18-+AW17)*48</f>
        <v>0</v>
      </c>
      <c r="AY18" s="138">
        <v>301989</v>
      </c>
      <c r="AZ18" s="44">
        <f t="shared" ref="AZ18" si="217">(+AY18-+AY17)*48</f>
        <v>4032</v>
      </c>
      <c r="BA18" s="138">
        <v>160171</v>
      </c>
      <c r="BB18" s="44">
        <f t="shared" ref="BB18" si="218">(+BA18-+BA17)*48</f>
        <v>0</v>
      </c>
      <c r="BC18" s="138">
        <v>206780</v>
      </c>
      <c r="BD18" s="44">
        <f t="shared" ref="BD18" si="219">(+BC18-+BC17)*48</f>
        <v>2496</v>
      </c>
      <c r="BE18" s="138">
        <v>5347</v>
      </c>
      <c r="BF18" s="44">
        <f t="shared" ref="BF18" si="220">(+BE18-+BE17)*48</f>
        <v>0</v>
      </c>
      <c r="BH18" s="43">
        <f t="shared" si="1"/>
        <v>111604.94399999999</v>
      </c>
      <c r="BI18" s="43">
        <f t="shared" si="2"/>
        <v>59337.599999999999</v>
      </c>
    </row>
    <row r="19" spans="1:61" s="41" customFormat="1" ht="39.950000000000003" customHeight="1" x14ac:dyDescent="0.35">
      <c r="A19" s="37">
        <v>44146</v>
      </c>
      <c r="B19" s="40"/>
      <c r="C19" s="138">
        <v>5589057</v>
      </c>
      <c r="D19" s="44">
        <f t="shared" ref="D19" si="221">(+C19-+C18)*48</f>
        <v>95184</v>
      </c>
      <c r="E19" s="36">
        <f t="shared" si="4"/>
        <v>57110.400000000001</v>
      </c>
      <c r="F19" s="44">
        <f t="shared" si="5"/>
        <v>38073.599999999999</v>
      </c>
      <c r="G19" s="138">
        <v>276268</v>
      </c>
      <c r="H19" s="44">
        <f t="shared" ref="H19" si="222">(+G19-+G18)*48</f>
        <v>1392</v>
      </c>
      <c r="I19" s="138">
        <v>92404</v>
      </c>
      <c r="J19" s="44">
        <f t="shared" ref="J19" si="223">(+I19-+I18)*48</f>
        <v>8064</v>
      </c>
      <c r="K19" s="138">
        <v>255346</v>
      </c>
      <c r="L19" s="44">
        <f t="shared" si="0"/>
        <v>336</v>
      </c>
      <c r="M19" s="138">
        <v>24397</v>
      </c>
      <c r="N19" s="44">
        <f t="shared" ref="N19" si="224">(+M19-+M18)*48</f>
        <v>0</v>
      </c>
      <c r="O19" s="138">
        <v>228562</v>
      </c>
      <c r="P19" s="44">
        <f t="shared" ref="P19" si="225">(+O19-+O18)*48</f>
        <v>7488</v>
      </c>
      <c r="Q19" s="138">
        <v>435939</v>
      </c>
      <c r="R19" s="44">
        <f t="shared" ref="R19" si="226">(+Q19-+Q18)*48</f>
        <v>1440</v>
      </c>
      <c r="S19" s="138">
        <v>700167</v>
      </c>
      <c r="T19" s="44">
        <f t="shared" ref="T19" si="227">(+S19-+S18)*48</f>
        <v>6144</v>
      </c>
      <c r="U19" s="138">
        <v>95622.884999999995</v>
      </c>
      <c r="V19" s="45">
        <f t="shared" ref="V19" si="228">(+U19-+U18)*48</f>
        <v>974.59199999948032</v>
      </c>
      <c r="W19" s="138">
        <v>78503</v>
      </c>
      <c r="X19" s="44">
        <f t="shared" ref="X19" si="229">(+W19-+W18)*48</f>
        <v>1248</v>
      </c>
      <c r="Y19" s="138">
        <v>1487991</v>
      </c>
      <c r="Z19" s="44">
        <f t="shared" ref="Z19" si="230">(+Y19-+Y18)*48</f>
        <v>19440</v>
      </c>
      <c r="AA19" s="38">
        <v>13166</v>
      </c>
      <c r="AB19" s="44">
        <f t="shared" ref="AB19" si="231">(+AA19-+AA18)*48</f>
        <v>0</v>
      </c>
      <c r="AC19" s="138">
        <v>435358</v>
      </c>
      <c r="AD19" s="44">
        <f t="shared" si="16"/>
        <v>3168</v>
      </c>
      <c r="AE19" s="138">
        <v>512919</v>
      </c>
      <c r="AF19" s="44">
        <f t="shared" si="16"/>
        <v>3312</v>
      </c>
      <c r="AG19" s="138">
        <v>48911</v>
      </c>
      <c r="AH19" s="44">
        <f t="shared" ref="AH19" si="232">(+AG19-+AG18)*48</f>
        <v>144</v>
      </c>
      <c r="AI19" s="138">
        <v>395247</v>
      </c>
      <c r="AJ19" s="44">
        <f t="shared" ref="AJ19" si="233">(+AI19-+AI18)*48</f>
        <v>4272</v>
      </c>
      <c r="AK19" s="138">
        <v>102371</v>
      </c>
      <c r="AL19" s="44">
        <f t="shared" ref="AL19" si="234">(+AK19-+AK18)*48</f>
        <v>0</v>
      </c>
      <c r="AM19" s="138">
        <v>559377</v>
      </c>
      <c r="AN19" s="44">
        <f t="shared" ref="AN19" si="235">(+AM19-+AM18)*48</f>
        <v>2064</v>
      </c>
      <c r="AO19" s="138">
        <v>899008</v>
      </c>
      <c r="AP19" s="44">
        <f t="shared" ref="AP19" si="236">(+AO19-+AO18)*48</f>
        <v>5664</v>
      </c>
      <c r="AQ19" s="138">
        <v>71523</v>
      </c>
      <c r="AR19" s="44">
        <f t="shared" ref="AR19" si="237">(+AQ19-+AQ18)*48</f>
        <v>7824</v>
      </c>
      <c r="AS19" s="138">
        <v>2204</v>
      </c>
      <c r="AT19" s="44">
        <f t="shared" ref="AT19" si="238">(+AS19-+AS18)*48</f>
        <v>0</v>
      </c>
      <c r="AU19" s="138">
        <v>918</v>
      </c>
      <c r="AV19" s="44">
        <f t="shared" ref="AV19" si="239">(+AU19-+AU18)*48</f>
        <v>0</v>
      </c>
      <c r="AW19" s="138">
        <v>3108</v>
      </c>
      <c r="AX19" s="44">
        <f t="shared" ref="AX19" si="240">(+AW19-+AW18)*48</f>
        <v>0</v>
      </c>
      <c r="AY19" s="138">
        <v>302075</v>
      </c>
      <c r="AZ19" s="44">
        <f t="shared" ref="AZ19" si="241">(+AY19-+AY18)*48</f>
        <v>4128</v>
      </c>
      <c r="BA19" s="138">
        <v>160171</v>
      </c>
      <c r="BB19" s="44">
        <f t="shared" ref="BB19" si="242">(+BA19-+BA18)*48</f>
        <v>0</v>
      </c>
      <c r="BC19" s="138">
        <v>206831</v>
      </c>
      <c r="BD19" s="44">
        <f t="shared" ref="BD19" si="243">(+BC19-+BC18)*48</f>
        <v>2448</v>
      </c>
      <c r="BE19" s="138">
        <v>5347</v>
      </c>
      <c r="BF19" s="44">
        <f t="shared" ref="BF19" si="244">(+BE19-+BE18)*48</f>
        <v>0</v>
      </c>
      <c r="BH19" s="43">
        <f t="shared" si="1"/>
        <v>114532.99199999947</v>
      </c>
      <c r="BI19" s="43">
        <f t="shared" si="2"/>
        <v>60201.599999999999</v>
      </c>
    </row>
    <row r="20" spans="1:61" s="41" customFormat="1" ht="39.950000000000003" customHeight="1" x14ac:dyDescent="0.35">
      <c r="A20" s="37">
        <v>44147</v>
      </c>
      <c r="B20" s="40"/>
      <c r="C20" s="138">
        <v>5591124</v>
      </c>
      <c r="D20" s="44">
        <f t="shared" ref="D20" si="245">(+C20-+C19)*48</f>
        <v>99216</v>
      </c>
      <c r="E20" s="36">
        <f t="shared" si="4"/>
        <v>59529.599999999999</v>
      </c>
      <c r="F20" s="44">
        <f t="shared" si="5"/>
        <v>39686.400000000001</v>
      </c>
      <c r="G20" s="138">
        <v>276299</v>
      </c>
      <c r="H20" s="44">
        <f t="shared" ref="H20" si="246">(+G20-+G19)*48</f>
        <v>1488</v>
      </c>
      <c r="I20" s="138">
        <v>92574</v>
      </c>
      <c r="J20" s="44">
        <f t="shared" ref="J20" si="247">(+I20-+I19)*48</f>
        <v>8160</v>
      </c>
      <c r="K20" s="138">
        <v>255387</v>
      </c>
      <c r="L20" s="44">
        <f t="shared" si="0"/>
        <v>1968</v>
      </c>
      <c r="M20" s="138">
        <v>24397</v>
      </c>
      <c r="N20" s="44">
        <f t="shared" ref="N20" si="248">(+M20-+M19)*48</f>
        <v>0</v>
      </c>
      <c r="O20" s="138">
        <v>228751</v>
      </c>
      <c r="P20" s="44">
        <f t="shared" ref="P20" si="249">(+O20-+O19)*48</f>
        <v>9072</v>
      </c>
      <c r="Q20" s="138">
        <v>435987</v>
      </c>
      <c r="R20" s="44">
        <f t="shared" ref="R20" si="250">(+Q20-+Q19)*48</f>
        <v>2304</v>
      </c>
      <c r="S20" s="138">
        <v>700316</v>
      </c>
      <c r="T20" s="44">
        <f t="shared" ref="T20" si="251">(+S20-+S19)*48</f>
        <v>7152</v>
      </c>
      <c r="U20" s="138">
        <v>95641.947</v>
      </c>
      <c r="V20" s="45">
        <f t="shared" ref="V20" si="252">(+U20-+U19)*48</f>
        <v>914.97600000025705</v>
      </c>
      <c r="W20" s="138">
        <v>78521</v>
      </c>
      <c r="X20" s="44">
        <f t="shared" ref="X20" si="253">(+W20-+W19)*48</f>
        <v>864</v>
      </c>
      <c r="Y20" s="138">
        <v>1488340</v>
      </c>
      <c r="Z20" s="44">
        <f t="shared" ref="Z20" si="254">(+Y20-+Y19)*48</f>
        <v>16752</v>
      </c>
      <c r="AA20" s="38">
        <v>13166</v>
      </c>
      <c r="AB20" s="44">
        <f t="shared" ref="AB20" si="255">(+AA20-+AA19)*48</f>
        <v>0</v>
      </c>
      <c r="AC20" s="138">
        <v>435462</v>
      </c>
      <c r="AD20" s="44">
        <f t="shared" si="16"/>
        <v>4992</v>
      </c>
      <c r="AE20" s="138">
        <v>513020</v>
      </c>
      <c r="AF20" s="44">
        <f t="shared" si="16"/>
        <v>4848</v>
      </c>
      <c r="AG20" s="138">
        <v>48916</v>
      </c>
      <c r="AH20" s="44">
        <f t="shared" ref="AH20" si="256">(+AG20-+AG19)*48</f>
        <v>240</v>
      </c>
      <c r="AI20" s="138">
        <v>395330</v>
      </c>
      <c r="AJ20" s="44">
        <f t="shared" ref="AJ20" si="257">(+AI20-+AI19)*48</f>
        <v>3984</v>
      </c>
      <c r="AK20" s="138">
        <v>102371</v>
      </c>
      <c r="AL20" s="44">
        <f t="shared" ref="AL20" si="258">(+AK20-+AK19)*48</f>
        <v>0</v>
      </c>
      <c r="AM20" s="138">
        <v>559417</v>
      </c>
      <c r="AN20" s="44">
        <f t="shared" ref="AN20" si="259">(+AM20-+AM19)*48</f>
        <v>1920</v>
      </c>
      <c r="AO20" s="138">
        <v>899184</v>
      </c>
      <c r="AP20" s="44">
        <f t="shared" ref="AP20" si="260">(+AO20-+AO19)*48</f>
        <v>8448</v>
      </c>
      <c r="AQ20" s="138">
        <v>71641</v>
      </c>
      <c r="AR20" s="44">
        <f t="shared" ref="AR20" si="261">(+AQ20-+AQ19)*48</f>
        <v>5664</v>
      </c>
      <c r="AS20" s="138">
        <v>2204</v>
      </c>
      <c r="AT20" s="44">
        <f t="shared" ref="AT20" si="262">(+AS20-+AS19)*48</f>
        <v>0</v>
      </c>
      <c r="AU20" s="138">
        <v>918</v>
      </c>
      <c r="AV20" s="44">
        <f t="shared" ref="AV20" si="263">(+AU20-+AU19)*48</f>
        <v>0</v>
      </c>
      <c r="AW20" s="138">
        <v>3108</v>
      </c>
      <c r="AX20" s="44">
        <f t="shared" ref="AX20" si="264">(+AW20-+AW19)*48</f>
        <v>0</v>
      </c>
      <c r="AY20" s="138">
        <v>302159</v>
      </c>
      <c r="AZ20" s="44">
        <f t="shared" ref="AZ20" si="265">(+AY20-+AY19)*48</f>
        <v>4032</v>
      </c>
      <c r="BA20" s="138">
        <v>160171</v>
      </c>
      <c r="BB20" s="44">
        <f t="shared" ref="BB20" si="266">(+BA20-+BA19)*48</f>
        <v>0</v>
      </c>
      <c r="BC20" s="138">
        <v>206886</v>
      </c>
      <c r="BD20" s="44">
        <f t="shared" ref="BD20" si="267">(+BC20-+BC19)*48</f>
        <v>2640</v>
      </c>
      <c r="BE20" s="138">
        <v>5347</v>
      </c>
      <c r="BF20" s="44">
        <f t="shared" ref="BF20" si="268">(+BE20-+BE19)*48</f>
        <v>0</v>
      </c>
      <c r="BH20" s="43">
        <f t="shared" si="1"/>
        <v>122268.57600000026</v>
      </c>
      <c r="BI20" s="43">
        <f t="shared" si="2"/>
        <v>62390.400000000001</v>
      </c>
    </row>
    <row r="21" spans="1:61" s="41" customFormat="1" ht="39.950000000000003" customHeight="1" x14ac:dyDescent="0.35">
      <c r="A21" s="37">
        <v>44148</v>
      </c>
      <c r="B21" s="40"/>
      <c r="C21" s="138">
        <v>5593161</v>
      </c>
      <c r="D21" s="44">
        <f t="shared" ref="D21" si="269">(+C21-+C20)*48</f>
        <v>97776</v>
      </c>
      <c r="E21" s="36">
        <f t="shared" si="4"/>
        <v>58665.599999999999</v>
      </c>
      <c r="F21" s="44">
        <f t="shared" si="5"/>
        <v>39110.400000000001</v>
      </c>
      <c r="G21" s="138">
        <v>276335</v>
      </c>
      <c r="H21" s="44">
        <f t="shared" ref="H21" si="270">(+G21-+G20)*48</f>
        <v>1728</v>
      </c>
      <c r="I21" s="138">
        <v>92747</v>
      </c>
      <c r="J21" s="44">
        <f t="shared" ref="J21" si="271">(+I21-+I20)*48</f>
        <v>8304</v>
      </c>
      <c r="K21" s="138">
        <v>255392</v>
      </c>
      <c r="L21" s="44">
        <f t="shared" si="0"/>
        <v>240</v>
      </c>
      <c r="M21" s="138">
        <v>24397</v>
      </c>
      <c r="N21" s="44">
        <f t="shared" ref="N21" si="272">(+M21-+M20)*48</f>
        <v>0</v>
      </c>
      <c r="O21" s="138">
        <v>228972</v>
      </c>
      <c r="P21" s="44">
        <f t="shared" ref="P21" si="273">(+O21-+O20)*48</f>
        <v>10608</v>
      </c>
      <c r="Q21" s="138">
        <v>436032</v>
      </c>
      <c r="R21" s="44">
        <f t="shared" ref="R21" si="274">(+Q21-+Q20)*48</f>
        <v>2160</v>
      </c>
      <c r="S21" s="138">
        <v>700431</v>
      </c>
      <c r="T21" s="44">
        <f t="shared" ref="T21" si="275">(+S21-+S20)*48</f>
        <v>5520</v>
      </c>
      <c r="U21" s="138">
        <v>95668.357000000004</v>
      </c>
      <c r="V21" s="45">
        <f t="shared" ref="V21" si="276">(+U21-+U20)*48</f>
        <v>1267.6800000001676</v>
      </c>
      <c r="W21" s="138">
        <v>78549</v>
      </c>
      <c r="X21" s="44">
        <f t="shared" ref="X21" si="277">(+W21-+W20)*48</f>
        <v>1344</v>
      </c>
      <c r="Y21" s="138">
        <v>1488701</v>
      </c>
      <c r="Z21" s="44">
        <f t="shared" ref="Z21" si="278">(+Y21-+Y20)*48</f>
        <v>17328</v>
      </c>
      <c r="AA21" s="38">
        <v>13166</v>
      </c>
      <c r="AB21" s="44">
        <f t="shared" ref="AB21" si="279">(+AA21-+AA20)*48</f>
        <v>0</v>
      </c>
      <c r="AC21" s="138">
        <v>435542</v>
      </c>
      <c r="AD21" s="44">
        <f t="shared" si="16"/>
        <v>3840</v>
      </c>
      <c r="AE21" s="138">
        <v>513098</v>
      </c>
      <c r="AF21" s="44">
        <f t="shared" si="16"/>
        <v>3744</v>
      </c>
      <c r="AG21" s="138">
        <v>48920</v>
      </c>
      <c r="AH21" s="44">
        <f t="shared" ref="AH21" si="280">(+AG21-+AG20)*48</f>
        <v>192</v>
      </c>
      <c r="AI21" s="138">
        <v>395424</v>
      </c>
      <c r="AJ21" s="44">
        <f t="shared" ref="AJ21" si="281">(+AI21-+AI20)*48</f>
        <v>4512</v>
      </c>
      <c r="AK21" s="138">
        <v>102371</v>
      </c>
      <c r="AL21" s="44">
        <f t="shared" ref="AL21" si="282">(+AK21-+AK20)*48</f>
        <v>0</v>
      </c>
      <c r="AM21" s="138">
        <v>559517</v>
      </c>
      <c r="AN21" s="44">
        <f t="shared" ref="AN21" si="283">(+AM21-+AM20)*48</f>
        <v>4800</v>
      </c>
      <c r="AO21" s="138">
        <v>899318</v>
      </c>
      <c r="AP21" s="44">
        <f t="shared" ref="AP21" si="284">(+AO21-+AO20)*48</f>
        <v>6432</v>
      </c>
      <c r="AQ21" s="138">
        <v>71767</v>
      </c>
      <c r="AR21" s="44">
        <f t="shared" ref="AR21" si="285">(+AQ21-+AQ20)*48</f>
        <v>6048</v>
      </c>
      <c r="AS21" s="138">
        <v>2204</v>
      </c>
      <c r="AT21" s="44">
        <f t="shared" ref="AT21" si="286">(+AS21-+AS20)*48</f>
        <v>0</v>
      </c>
      <c r="AU21" s="138">
        <v>918</v>
      </c>
      <c r="AV21" s="44">
        <f t="shared" ref="AV21" si="287">(+AU21-+AU20)*48</f>
        <v>0</v>
      </c>
      <c r="AW21" s="138">
        <v>3108</v>
      </c>
      <c r="AX21" s="44">
        <f t="shared" ref="AX21" si="288">(+AW21-+AW20)*48</f>
        <v>0</v>
      </c>
      <c r="AY21" s="138">
        <v>302244</v>
      </c>
      <c r="AZ21" s="44">
        <f t="shared" ref="AZ21" si="289">(+AY21-+AY20)*48</f>
        <v>4080</v>
      </c>
      <c r="BA21" s="138">
        <v>160171</v>
      </c>
      <c r="BB21" s="44">
        <f t="shared" ref="BB21" si="290">(+BA21-+BA20)*48</f>
        <v>0</v>
      </c>
      <c r="BC21" s="138">
        <v>206941</v>
      </c>
      <c r="BD21" s="44">
        <f t="shared" ref="BD21" si="291">(+BC21-+BC20)*48</f>
        <v>2640</v>
      </c>
      <c r="BE21" s="138">
        <v>5347</v>
      </c>
      <c r="BF21" s="44">
        <f t="shared" ref="BF21" si="292">(+BE21-+BE20)*48</f>
        <v>0</v>
      </c>
      <c r="BH21" s="43">
        <f t="shared" si="1"/>
        <v>119453.28000000017</v>
      </c>
      <c r="BI21" s="43">
        <f t="shared" si="2"/>
        <v>63110.400000000001</v>
      </c>
    </row>
    <row r="22" spans="1:61" s="41" customFormat="1" ht="39.950000000000003" customHeight="1" x14ac:dyDescent="0.35">
      <c r="A22" s="37">
        <v>44149</v>
      </c>
      <c r="B22" s="40"/>
      <c r="C22" s="138">
        <v>5595331</v>
      </c>
      <c r="D22" s="44">
        <f t="shared" ref="D22" si="293">(+C22-+C21)*48</f>
        <v>104160</v>
      </c>
      <c r="E22" s="36">
        <f t="shared" si="4"/>
        <v>62496</v>
      </c>
      <c r="F22" s="44">
        <f t="shared" si="5"/>
        <v>41664</v>
      </c>
      <c r="G22" s="138">
        <v>276364</v>
      </c>
      <c r="H22" s="44">
        <f t="shared" ref="H22" si="294">(+G22-+G21)*48</f>
        <v>1392</v>
      </c>
      <c r="I22" s="138">
        <v>92918</v>
      </c>
      <c r="J22" s="44">
        <f t="shared" ref="J22" si="295">(+I22-+I21)*48</f>
        <v>8208</v>
      </c>
      <c r="K22" s="138">
        <v>255401</v>
      </c>
      <c r="L22" s="44">
        <f t="shared" si="0"/>
        <v>432</v>
      </c>
      <c r="M22" s="138">
        <v>24397</v>
      </c>
      <c r="N22" s="44">
        <f t="shared" ref="N22" si="296">(+M22-+M21)*48</f>
        <v>0</v>
      </c>
      <c r="O22" s="138">
        <v>229130</v>
      </c>
      <c r="P22" s="44">
        <f t="shared" ref="P22" si="297">(+O22-+O21)*48</f>
        <v>7584</v>
      </c>
      <c r="Q22" s="138">
        <v>436072</v>
      </c>
      <c r="R22" s="44">
        <f t="shared" ref="R22" si="298">(+Q22-+Q21)*48</f>
        <v>1920</v>
      </c>
      <c r="S22" s="138">
        <v>700559</v>
      </c>
      <c r="T22" s="44">
        <f t="shared" ref="T22" si="299">(+S22-+S21)*48</f>
        <v>6144</v>
      </c>
      <c r="U22" s="138">
        <v>95695.290999999997</v>
      </c>
      <c r="V22" s="45">
        <f t="shared" ref="V22" si="300">(+U22-+U21)*48</f>
        <v>1292.8319999997038</v>
      </c>
      <c r="W22" s="138">
        <v>78575</v>
      </c>
      <c r="X22" s="44">
        <f t="shared" ref="X22" si="301">(+W22-+W21)*48</f>
        <v>1248</v>
      </c>
      <c r="Y22" s="138">
        <v>1489068</v>
      </c>
      <c r="Z22" s="44">
        <f t="shared" ref="Z22" si="302">(+Y22-+Y21)*48</f>
        <v>17616</v>
      </c>
      <c r="AA22" s="38">
        <v>13166</v>
      </c>
      <c r="AB22" s="44">
        <f t="shared" ref="AB22" si="303">(+AA22-+AA21)*48</f>
        <v>0</v>
      </c>
      <c r="AC22" s="138">
        <v>435611</v>
      </c>
      <c r="AD22" s="44">
        <f t="shared" si="16"/>
        <v>3312</v>
      </c>
      <c r="AE22" s="138">
        <v>513167</v>
      </c>
      <c r="AF22" s="44">
        <f t="shared" si="16"/>
        <v>3312</v>
      </c>
      <c r="AG22" s="138">
        <v>48924</v>
      </c>
      <c r="AH22" s="44">
        <f t="shared" ref="AH22" si="304">(+AG22-+AG21)*48</f>
        <v>192</v>
      </c>
      <c r="AI22" s="138">
        <v>395518</v>
      </c>
      <c r="AJ22" s="44">
        <f t="shared" ref="AJ22" si="305">(+AI22-+AI21)*48</f>
        <v>4512</v>
      </c>
      <c r="AK22" s="138">
        <v>102371</v>
      </c>
      <c r="AL22" s="44">
        <f t="shared" ref="AL22" si="306">(+AK22-+AK21)*48</f>
        <v>0</v>
      </c>
      <c r="AM22" s="138">
        <v>559564</v>
      </c>
      <c r="AN22" s="44">
        <f t="shared" ref="AN22" si="307">(+AM22-+AM21)*48</f>
        <v>2256</v>
      </c>
      <c r="AO22" s="138">
        <v>899444</v>
      </c>
      <c r="AP22" s="44">
        <f t="shared" ref="AP22" si="308">(+AO22-+AO21)*48</f>
        <v>6048</v>
      </c>
      <c r="AQ22" s="138">
        <v>71951</v>
      </c>
      <c r="AR22" s="44">
        <f t="shared" ref="AR22" si="309">(+AQ22-+AQ21)*48</f>
        <v>8832</v>
      </c>
      <c r="AS22" s="138">
        <v>2204</v>
      </c>
      <c r="AT22" s="44">
        <f t="shared" ref="AT22" si="310">(+AS22-+AS21)*48</f>
        <v>0</v>
      </c>
      <c r="AU22" s="138">
        <v>918</v>
      </c>
      <c r="AV22" s="44">
        <f t="shared" ref="AV22" si="311">(+AU22-+AU21)*48</f>
        <v>0</v>
      </c>
      <c r="AW22" s="138">
        <v>3108</v>
      </c>
      <c r="AX22" s="44">
        <f t="shared" ref="AX22" si="312">(+AW22-+AW21)*48</f>
        <v>0</v>
      </c>
      <c r="AY22" s="138">
        <v>302328</v>
      </c>
      <c r="AZ22" s="44">
        <f t="shared" ref="AZ22" si="313">(+AY22-+AY21)*48</f>
        <v>4032</v>
      </c>
      <c r="BA22" s="138">
        <v>160171</v>
      </c>
      <c r="BB22" s="44">
        <f t="shared" ref="BB22" si="314">(+BA22-+BA21)*48</f>
        <v>0</v>
      </c>
      <c r="BC22" s="138">
        <v>206995</v>
      </c>
      <c r="BD22" s="44">
        <f t="shared" ref="BD22" si="315">(+BC22-+BC21)*48</f>
        <v>2592</v>
      </c>
      <c r="BE22" s="138">
        <v>5347</v>
      </c>
      <c r="BF22" s="44">
        <f t="shared" ref="BF22" si="316">(+BE22-+BE21)*48</f>
        <v>0</v>
      </c>
      <c r="BH22" s="43">
        <f t="shared" si="1"/>
        <v>119660.8319999997</v>
      </c>
      <c r="BI22" s="43">
        <f t="shared" si="2"/>
        <v>65424</v>
      </c>
    </row>
    <row r="23" spans="1:61" s="41" customFormat="1" ht="39.950000000000003" customHeight="1" x14ac:dyDescent="0.35">
      <c r="A23" s="37">
        <v>44150</v>
      </c>
      <c r="B23" s="40"/>
      <c r="C23" s="138">
        <v>5597462</v>
      </c>
      <c r="D23" s="44">
        <f t="shared" ref="D23" si="317">(+C23-+C22)*48</f>
        <v>102288</v>
      </c>
      <c r="E23" s="36">
        <f t="shared" si="4"/>
        <v>61372.799999999996</v>
      </c>
      <c r="F23" s="44">
        <f t="shared" si="5"/>
        <v>40915.200000000004</v>
      </c>
      <c r="G23" s="138">
        <v>276404</v>
      </c>
      <c r="H23" s="44">
        <f t="shared" ref="H23" si="318">(+G23-+G22)*48</f>
        <v>1920</v>
      </c>
      <c r="I23" s="138">
        <v>93094</v>
      </c>
      <c r="J23" s="44">
        <f t="shared" ref="J23" si="319">(+I23-+I22)*48</f>
        <v>8448</v>
      </c>
      <c r="K23" s="138">
        <v>255420</v>
      </c>
      <c r="L23" s="44">
        <f t="shared" si="0"/>
        <v>912</v>
      </c>
      <c r="M23" s="138">
        <v>24397</v>
      </c>
      <c r="N23" s="44">
        <f t="shared" ref="N23" si="320">(+M23-+M22)*48</f>
        <v>0</v>
      </c>
      <c r="O23" s="138">
        <v>229335</v>
      </c>
      <c r="P23" s="44">
        <f t="shared" ref="P23" si="321">(+O23-+O22)*48</f>
        <v>9840</v>
      </c>
      <c r="Q23" s="138">
        <v>436169</v>
      </c>
      <c r="R23" s="44">
        <f t="shared" ref="R23" si="322">(+Q23-+Q22)*48</f>
        <v>4656</v>
      </c>
      <c r="S23" s="138">
        <v>700681</v>
      </c>
      <c r="T23" s="44">
        <f t="shared" ref="T23" si="323">(+S23-+S22)*48</f>
        <v>5856</v>
      </c>
      <c r="U23" s="138">
        <v>95724.186000000002</v>
      </c>
      <c r="V23" s="45">
        <f t="shared" ref="V23" si="324">(+U23-+U22)*48</f>
        <v>1386.9600000001956</v>
      </c>
      <c r="W23" s="138">
        <v>78604</v>
      </c>
      <c r="X23" s="44">
        <f t="shared" ref="X23" si="325">(+W23-+W22)*48</f>
        <v>1392</v>
      </c>
      <c r="Y23" s="138">
        <v>1489445</v>
      </c>
      <c r="Z23" s="44">
        <f t="shared" ref="Z23" si="326">(+Y23-+Y22)*48</f>
        <v>18096</v>
      </c>
      <c r="AA23" s="38">
        <v>13166</v>
      </c>
      <c r="AB23" s="44">
        <f t="shared" ref="AB23" si="327">(+AA23-+AA22)*48</f>
        <v>0</v>
      </c>
      <c r="AC23" s="138">
        <v>435707</v>
      </c>
      <c r="AD23" s="44">
        <f t="shared" si="16"/>
        <v>4608</v>
      </c>
      <c r="AE23" s="138">
        <v>513267</v>
      </c>
      <c r="AF23" s="44">
        <f t="shared" si="16"/>
        <v>4800</v>
      </c>
      <c r="AG23" s="138">
        <v>48928</v>
      </c>
      <c r="AH23" s="44">
        <f t="shared" ref="AH23" si="328">(+AG23-+AG22)*48</f>
        <v>192</v>
      </c>
      <c r="AI23" s="138">
        <v>395628</v>
      </c>
      <c r="AJ23" s="44">
        <f t="shared" ref="AJ23" si="329">(+AI23-+AI22)*48</f>
        <v>5280</v>
      </c>
      <c r="AK23" s="138">
        <v>102371</v>
      </c>
      <c r="AL23" s="44">
        <f t="shared" ref="AL23" si="330">(+AK23-+AK22)*48</f>
        <v>0</v>
      </c>
      <c r="AM23" s="138">
        <v>559639</v>
      </c>
      <c r="AN23" s="44">
        <f t="shared" ref="AN23" si="331">(+AM23-+AM22)*48</f>
        <v>3600</v>
      </c>
      <c r="AO23" s="138">
        <v>899613</v>
      </c>
      <c r="AP23" s="44">
        <f t="shared" ref="AP23" si="332">(+AO23-+AO22)*48</f>
        <v>8112</v>
      </c>
      <c r="AQ23" s="138">
        <v>72076</v>
      </c>
      <c r="AR23" s="44">
        <f t="shared" ref="AR23" si="333">(+AQ23-+AQ22)*48</f>
        <v>6000</v>
      </c>
      <c r="AS23" s="138">
        <v>2204</v>
      </c>
      <c r="AT23" s="44">
        <f t="shared" ref="AT23" si="334">(+AS23-+AS22)*48</f>
        <v>0</v>
      </c>
      <c r="AU23" s="138">
        <v>918</v>
      </c>
      <c r="AV23" s="44">
        <f t="shared" ref="AV23" si="335">(+AU23-+AU22)*48</f>
        <v>0</v>
      </c>
      <c r="AW23" s="138">
        <v>3108</v>
      </c>
      <c r="AX23" s="44">
        <f t="shared" ref="AX23" si="336">(+AW23-+AW22)*48</f>
        <v>0</v>
      </c>
      <c r="AY23" s="138">
        <v>302408</v>
      </c>
      <c r="AZ23" s="44">
        <f t="shared" ref="AZ23" si="337">(+AY23-+AY22)*48</f>
        <v>3840</v>
      </c>
      <c r="BA23" s="138">
        <v>160171</v>
      </c>
      <c r="BB23" s="44">
        <f t="shared" ref="BB23" si="338">(+BA23-+BA22)*48</f>
        <v>0</v>
      </c>
      <c r="BC23" s="138">
        <v>207048</v>
      </c>
      <c r="BD23" s="44">
        <f t="shared" ref="BD23" si="339">(+BC23-+BC22)*48</f>
        <v>2544</v>
      </c>
      <c r="BE23" s="138">
        <v>5347</v>
      </c>
      <c r="BF23" s="44">
        <f t="shared" ref="BF23" si="340">(+BE23-+BE22)*48</f>
        <v>0</v>
      </c>
      <c r="BH23" s="43">
        <f t="shared" si="1"/>
        <v>128759.76000000018</v>
      </c>
      <c r="BI23" s="43">
        <f t="shared" si="2"/>
        <v>65011.200000000004</v>
      </c>
    </row>
    <row r="24" spans="1:61" s="41" customFormat="1" ht="39.950000000000003" customHeight="1" x14ac:dyDescent="0.35">
      <c r="A24" s="37">
        <v>44151</v>
      </c>
      <c r="B24" s="40"/>
      <c r="C24" s="138">
        <v>5599574</v>
      </c>
      <c r="D24" s="44">
        <f t="shared" ref="D24" si="341">(+C24-+C23)*48</f>
        <v>101376</v>
      </c>
      <c r="E24" s="36">
        <f t="shared" si="4"/>
        <v>60825.599999999999</v>
      </c>
      <c r="F24" s="44">
        <f t="shared" si="5"/>
        <v>40550.400000000001</v>
      </c>
      <c r="G24" s="138">
        <v>276447</v>
      </c>
      <c r="H24" s="44">
        <f t="shared" ref="H24" si="342">(+G24-+G23)*48</f>
        <v>2064</v>
      </c>
      <c r="I24" s="138">
        <v>93265</v>
      </c>
      <c r="J24" s="44">
        <f t="shared" ref="J24" si="343">(+I24-+I23)*48</f>
        <v>8208</v>
      </c>
      <c r="K24" s="138">
        <v>255486</v>
      </c>
      <c r="L24" s="44">
        <f t="shared" si="0"/>
        <v>3168</v>
      </c>
      <c r="M24" s="138">
        <v>24406</v>
      </c>
      <c r="N24" s="44">
        <f t="shared" ref="N24" si="344">(+M24-+M23)*48</f>
        <v>432</v>
      </c>
      <c r="O24" s="138">
        <v>229543</v>
      </c>
      <c r="P24" s="44">
        <f t="shared" ref="P24" si="345">(+O24-+O23)*48</f>
        <v>9984</v>
      </c>
      <c r="Q24" s="138">
        <v>436258</v>
      </c>
      <c r="R24" s="44">
        <f t="shared" ref="R24" si="346">(+Q24-+Q23)*48</f>
        <v>4272</v>
      </c>
      <c r="S24" s="138">
        <v>700815</v>
      </c>
      <c r="T24" s="44">
        <f t="shared" ref="T24" si="347">(+S24-+S23)*48</f>
        <v>6432</v>
      </c>
      <c r="U24" s="138">
        <v>95747.724000000002</v>
      </c>
      <c r="V24" s="45">
        <f t="shared" ref="V24" si="348">(+U24-+U23)*48</f>
        <v>1129.8240000000224</v>
      </c>
      <c r="W24" s="138">
        <v>78629</v>
      </c>
      <c r="X24" s="44">
        <f t="shared" ref="X24" si="349">(+W24-+W23)*48</f>
        <v>1200</v>
      </c>
      <c r="Y24" s="138">
        <v>1489836</v>
      </c>
      <c r="Z24" s="44">
        <f t="shared" ref="Z24" si="350">(+Y24-+Y23)*48</f>
        <v>18768</v>
      </c>
      <c r="AA24" s="38">
        <v>13166</v>
      </c>
      <c r="AB24" s="44">
        <f t="shared" ref="AB24" si="351">(+AA24-+AA23)*48</f>
        <v>0</v>
      </c>
      <c r="AC24" s="138">
        <v>435815</v>
      </c>
      <c r="AD24" s="44">
        <f t="shared" si="16"/>
        <v>5184</v>
      </c>
      <c r="AE24" s="138">
        <v>513354</v>
      </c>
      <c r="AF24" s="44">
        <f t="shared" si="16"/>
        <v>4176</v>
      </c>
      <c r="AG24" s="138">
        <v>48933</v>
      </c>
      <c r="AH24" s="44">
        <f t="shared" ref="AH24" si="352">(+AG24-+AG23)*48</f>
        <v>240</v>
      </c>
      <c r="AI24" s="138">
        <v>395757</v>
      </c>
      <c r="AJ24" s="44">
        <f t="shared" ref="AJ24" si="353">(+AI24-+AI23)*48</f>
        <v>6192</v>
      </c>
      <c r="AK24" s="138">
        <v>102371</v>
      </c>
      <c r="AL24" s="44">
        <f t="shared" ref="AL24" si="354">(+AK24-+AK23)*48</f>
        <v>0</v>
      </c>
      <c r="AM24" s="138">
        <v>559787</v>
      </c>
      <c r="AN24" s="44">
        <f t="shared" ref="AN24" si="355">(+AM24-+AM23)*48</f>
        <v>7104</v>
      </c>
      <c r="AO24" s="138">
        <v>899819</v>
      </c>
      <c r="AP24" s="44">
        <f t="shared" ref="AP24" si="356">(+AO24-+AO23)*48</f>
        <v>9888</v>
      </c>
      <c r="AQ24" s="138">
        <v>72245</v>
      </c>
      <c r="AR24" s="44">
        <f t="shared" ref="AR24" si="357">(+AQ24-+AQ23)*48</f>
        <v>8112</v>
      </c>
      <c r="AS24" s="138">
        <v>2204</v>
      </c>
      <c r="AT24" s="44">
        <f t="shared" ref="AT24" si="358">(+AS24-+AS23)*48</f>
        <v>0</v>
      </c>
      <c r="AU24" s="138">
        <v>918</v>
      </c>
      <c r="AV24" s="44">
        <f t="shared" ref="AV24" si="359">(+AU24-+AU23)*48</f>
        <v>0</v>
      </c>
      <c r="AW24" s="138">
        <v>3108</v>
      </c>
      <c r="AX24" s="44">
        <f t="shared" ref="AX24" si="360">(+AW24-+AW23)*48</f>
        <v>0</v>
      </c>
      <c r="AY24" s="138">
        <v>302491</v>
      </c>
      <c r="AZ24" s="44">
        <f t="shared" ref="AZ24" si="361">(+AY24-+AY23)*48</f>
        <v>3984</v>
      </c>
      <c r="BA24" s="138">
        <v>160171</v>
      </c>
      <c r="BB24" s="44">
        <f t="shared" ref="BB24" si="362">(+BA24-+BA23)*48</f>
        <v>0</v>
      </c>
      <c r="BC24" s="138">
        <v>207099</v>
      </c>
      <c r="BD24" s="44">
        <f t="shared" ref="BD24" si="363">(+BC24-+BC23)*48</f>
        <v>2448</v>
      </c>
      <c r="BE24" s="138">
        <v>5347</v>
      </c>
      <c r="BF24" s="44">
        <f t="shared" ref="BF24" si="364">(+BE24-+BE23)*48</f>
        <v>0</v>
      </c>
      <c r="BH24" s="43">
        <f t="shared" si="1"/>
        <v>132275.42400000003</v>
      </c>
      <c r="BI24" s="43">
        <f t="shared" si="2"/>
        <v>72086.399999999994</v>
      </c>
    </row>
    <row r="25" spans="1:61" s="41" customFormat="1" ht="39.950000000000003" customHeight="1" x14ac:dyDescent="0.35">
      <c r="A25" s="37">
        <v>44152</v>
      </c>
      <c r="B25" s="40"/>
      <c r="C25" s="138">
        <v>5601839</v>
      </c>
      <c r="D25" s="44">
        <f t="shared" ref="D25" si="365">(+C25-+C24)*48</f>
        <v>108720</v>
      </c>
      <c r="E25" s="36">
        <f t="shared" si="4"/>
        <v>65232</v>
      </c>
      <c r="F25" s="44">
        <f t="shared" si="5"/>
        <v>43488</v>
      </c>
      <c r="G25" s="138">
        <v>276483</v>
      </c>
      <c r="H25" s="44">
        <f t="shared" ref="H25" si="366">(+G25-+G24)*48</f>
        <v>1728</v>
      </c>
      <c r="I25" s="138">
        <v>93436</v>
      </c>
      <c r="J25" s="44">
        <f t="shared" ref="J25" si="367">(+I25-+I24)*48</f>
        <v>8208</v>
      </c>
      <c r="K25" s="138">
        <v>255495</v>
      </c>
      <c r="L25" s="44">
        <f t="shared" si="0"/>
        <v>432</v>
      </c>
      <c r="M25" s="138">
        <v>24419</v>
      </c>
      <c r="N25" s="44">
        <f t="shared" ref="N25" si="368">(+M25-+M24)*48</f>
        <v>624</v>
      </c>
      <c r="O25" s="138">
        <v>229737</v>
      </c>
      <c r="P25" s="44">
        <f t="shared" ref="P25" si="369">(+O25-+O24)*48</f>
        <v>9312</v>
      </c>
      <c r="Q25" s="138">
        <v>436316</v>
      </c>
      <c r="R25" s="44">
        <f t="shared" ref="R25" si="370">(+Q25-+Q24)*48</f>
        <v>2784</v>
      </c>
      <c r="S25" s="138">
        <v>700942</v>
      </c>
      <c r="T25" s="44">
        <f t="shared" ref="T25" si="371">(+S25-+S24)*48</f>
        <v>6096</v>
      </c>
      <c r="U25" s="138">
        <v>95767.423999999999</v>
      </c>
      <c r="V25" s="45">
        <f t="shared" ref="V25" si="372">(+U25-+U24)*48</f>
        <v>945.5999999998603</v>
      </c>
      <c r="W25" s="138">
        <v>78644</v>
      </c>
      <c r="X25" s="44">
        <f t="shared" ref="X25" si="373">(+W25-+W24)*48</f>
        <v>720</v>
      </c>
      <c r="Y25" s="138">
        <v>1490129</v>
      </c>
      <c r="Z25" s="44">
        <f t="shared" ref="Z25" si="374">(+Y25-+Y24)*48</f>
        <v>14064</v>
      </c>
      <c r="AA25" s="38">
        <v>13166</v>
      </c>
      <c r="AB25" s="44">
        <f t="shared" ref="AB25" si="375">(+AA25-+AA24)*48</f>
        <v>0</v>
      </c>
      <c r="AC25" s="138">
        <v>435921</v>
      </c>
      <c r="AD25" s="44">
        <f t="shared" si="16"/>
        <v>5088</v>
      </c>
      <c r="AE25" s="138">
        <v>513459</v>
      </c>
      <c r="AF25" s="44">
        <f t="shared" si="16"/>
        <v>5040</v>
      </c>
      <c r="AG25" s="138">
        <v>48939</v>
      </c>
      <c r="AH25" s="44">
        <f t="shared" ref="AH25" si="376">(+AG25-+AG24)*48</f>
        <v>288</v>
      </c>
      <c r="AI25" s="138">
        <v>395859</v>
      </c>
      <c r="AJ25" s="44">
        <f t="shared" ref="AJ25" si="377">(+AI25-+AI24)*48</f>
        <v>4896</v>
      </c>
      <c r="AK25" s="138">
        <v>102371</v>
      </c>
      <c r="AL25" s="44">
        <f t="shared" ref="AL25" si="378">(+AK25-+AK24)*48</f>
        <v>0</v>
      </c>
      <c r="AM25" s="138">
        <v>559874</v>
      </c>
      <c r="AN25" s="44">
        <f t="shared" ref="AN25" si="379">(+AM25-+AM24)*48</f>
        <v>4176</v>
      </c>
      <c r="AO25" s="138">
        <v>900010</v>
      </c>
      <c r="AP25" s="44">
        <f t="shared" ref="AP25" si="380">(+AO25-+AO24)*48</f>
        <v>9168</v>
      </c>
      <c r="AQ25" s="138">
        <v>72338</v>
      </c>
      <c r="AR25" s="44">
        <f t="shared" ref="AR25" si="381">(+AQ25-+AQ24)*48</f>
        <v>4464</v>
      </c>
      <c r="AS25" s="138">
        <v>2204</v>
      </c>
      <c r="AT25" s="44">
        <f t="shared" ref="AT25" si="382">(+AS25-+AS24)*48</f>
        <v>0</v>
      </c>
      <c r="AU25" s="138">
        <v>918</v>
      </c>
      <c r="AV25" s="44">
        <f t="shared" ref="AV25" si="383">(+AU25-+AU24)*48</f>
        <v>0</v>
      </c>
      <c r="AW25" s="138">
        <v>3108</v>
      </c>
      <c r="AX25" s="44">
        <f t="shared" ref="AX25" si="384">(+AW25-+AW24)*48</f>
        <v>0</v>
      </c>
      <c r="AY25" s="138">
        <v>302577</v>
      </c>
      <c r="AZ25" s="44">
        <f t="shared" ref="AZ25" si="385">(+AY25-+AY24)*48</f>
        <v>4128</v>
      </c>
      <c r="BA25" s="138">
        <v>160171</v>
      </c>
      <c r="BB25" s="44">
        <f t="shared" ref="BB25" si="386">(+BA25-+BA24)*48</f>
        <v>0</v>
      </c>
      <c r="BC25" s="138">
        <v>207154</v>
      </c>
      <c r="BD25" s="44">
        <f t="shared" ref="BD25" si="387">(+BC25-+BC24)*48</f>
        <v>2640</v>
      </c>
      <c r="BE25" s="138">
        <v>5347</v>
      </c>
      <c r="BF25" s="44">
        <f t="shared" ref="BF25" si="388">(+BE25-+BE24)*48</f>
        <v>0</v>
      </c>
      <c r="BH25" s="43">
        <f t="shared" si="1"/>
        <v>125457.59999999986</v>
      </c>
      <c r="BI25" s="43">
        <f t="shared" si="2"/>
        <v>68064</v>
      </c>
    </row>
    <row r="26" spans="1:61" s="41" customFormat="1" ht="39.950000000000003" customHeight="1" x14ac:dyDescent="0.35">
      <c r="A26" s="37">
        <v>44153</v>
      </c>
      <c r="B26" s="40"/>
      <c r="C26" s="138">
        <v>5603752</v>
      </c>
      <c r="D26" s="44">
        <f t="shared" ref="D26" si="389">(+C26-+C25)*48</f>
        <v>91824</v>
      </c>
      <c r="E26" s="36">
        <f t="shared" si="4"/>
        <v>55094.400000000001</v>
      </c>
      <c r="F26" s="44">
        <f t="shared" si="5"/>
        <v>36729.599999999999</v>
      </c>
      <c r="G26" s="138">
        <v>276522</v>
      </c>
      <c r="H26" s="44">
        <f t="shared" ref="H26" si="390">(+G26-+G25)*48</f>
        <v>1872</v>
      </c>
      <c r="I26" s="138">
        <v>93602</v>
      </c>
      <c r="J26" s="44">
        <f t="shared" ref="J26" si="391">(+I26-+I25)*48</f>
        <v>7968</v>
      </c>
      <c r="K26" s="138">
        <v>255504</v>
      </c>
      <c r="L26" s="44">
        <f t="shared" si="0"/>
        <v>432</v>
      </c>
      <c r="M26" s="138">
        <v>24431</v>
      </c>
      <c r="N26" s="44">
        <f t="shared" ref="N26" si="392">(+M26-+M25)*48</f>
        <v>576</v>
      </c>
      <c r="O26" s="138">
        <v>229935</v>
      </c>
      <c r="P26" s="44">
        <f t="shared" ref="P26" si="393">(+O26-+O25)*48</f>
        <v>9504</v>
      </c>
      <c r="Q26" s="138">
        <v>436366</v>
      </c>
      <c r="R26" s="44">
        <f t="shared" ref="R26" si="394">(+Q26-+Q25)*48</f>
        <v>2400</v>
      </c>
      <c r="S26" s="138">
        <v>701065</v>
      </c>
      <c r="T26" s="44">
        <f t="shared" ref="T26" si="395">(+S26-+S25)*48</f>
        <v>5904</v>
      </c>
      <c r="U26" s="138">
        <v>95787.854999999996</v>
      </c>
      <c r="V26" s="45">
        <f t="shared" ref="V26" si="396">(+U26-+U25)*48</f>
        <v>980.68799999984913</v>
      </c>
      <c r="W26" s="138">
        <v>78671</v>
      </c>
      <c r="X26" s="44">
        <f t="shared" ref="X26" si="397">(+W26-+W25)*48</f>
        <v>1296</v>
      </c>
      <c r="Y26" s="138">
        <v>1490451</v>
      </c>
      <c r="Z26" s="44">
        <f t="shared" ref="Z26" si="398">(+Y26-+Y25)*48</f>
        <v>15456</v>
      </c>
      <c r="AA26" s="38">
        <v>13166</v>
      </c>
      <c r="AB26" s="44">
        <f t="shared" ref="AB26" si="399">(+AA26-+AA25)*48</f>
        <v>0</v>
      </c>
      <c r="AC26" s="138">
        <v>436020</v>
      </c>
      <c r="AD26" s="44">
        <f t="shared" si="16"/>
        <v>4752</v>
      </c>
      <c r="AE26" s="138">
        <v>513560</v>
      </c>
      <c r="AF26" s="44">
        <f t="shared" si="16"/>
        <v>4848</v>
      </c>
      <c r="AG26" s="138">
        <v>48943</v>
      </c>
      <c r="AH26" s="44">
        <f t="shared" ref="AH26" si="400">(+AG26-+AG25)*48</f>
        <v>192</v>
      </c>
      <c r="AI26" s="138">
        <v>395950</v>
      </c>
      <c r="AJ26" s="44">
        <f t="shared" ref="AJ26" si="401">(+AI26-+AI25)*48</f>
        <v>4368</v>
      </c>
      <c r="AK26" s="138">
        <v>102371</v>
      </c>
      <c r="AL26" s="44">
        <f t="shared" ref="AL26" si="402">(+AK26-+AK25)*48</f>
        <v>0</v>
      </c>
      <c r="AM26" s="138">
        <v>559997</v>
      </c>
      <c r="AN26" s="44">
        <f t="shared" ref="AN26" si="403">(+AM26-+AM25)*48</f>
        <v>5904</v>
      </c>
      <c r="AO26" s="138">
        <v>900212</v>
      </c>
      <c r="AP26" s="44">
        <f t="shared" ref="AP26" si="404">(+AO26-+AO25)*48</f>
        <v>9696</v>
      </c>
      <c r="AQ26" s="138">
        <v>72452</v>
      </c>
      <c r="AR26" s="44">
        <f t="shared" ref="AR26" si="405">(+AQ26-+AQ25)*48</f>
        <v>5472</v>
      </c>
      <c r="AS26" s="138">
        <v>2204</v>
      </c>
      <c r="AT26" s="44">
        <f t="shared" ref="AT26" si="406">(+AS26-+AS25)*48</f>
        <v>0</v>
      </c>
      <c r="AU26" s="138">
        <v>918</v>
      </c>
      <c r="AV26" s="44">
        <f t="shared" ref="AV26" si="407">(+AU26-+AU25)*48</f>
        <v>0</v>
      </c>
      <c r="AW26" s="138">
        <v>3108</v>
      </c>
      <c r="AX26" s="44">
        <f t="shared" ref="AX26" si="408">(+AW26-+AW25)*48</f>
        <v>0</v>
      </c>
      <c r="AY26" s="138">
        <v>302660</v>
      </c>
      <c r="AZ26" s="44">
        <f t="shared" ref="AZ26" si="409">(+AY26-+AY25)*48</f>
        <v>3984</v>
      </c>
      <c r="BA26" s="138">
        <v>160171</v>
      </c>
      <c r="BB26" s="44">
        <f t="shared" ref="BB26" si="410">(+BA26-+BA25)*48</f>
        <v>0</v>
      </c>
      <c r="BC26" s="138">
        <v>207210</v>
      </c>
      <c r="BD26" s="44">
        <f t="shared" ref="BD26" si="411">(+BC26-+BC25)*48</f>
        <v>2688</v>
      </c>
      <c r="BE26" s="138">
        <v>5347</v>
      </c>
      <c r="BF26" s="44">
        <f t="shared" ref="BF26" si="412">(+BE26-+BE25)*48</f>
        <v>0</v>
      </c>
      <c r="BH26" s="43">
        <f t="shared" si="1"/>
        <v>115643.08799999984</v>
      </c>
      <c r="BI26" s="43">
        <f t="shared" si="2"/>
        <v>64473.599999999999</v>
      </c>
    </row>
    <row r="27" spans="1:61" s="41" customFormat="1" ht="39.950000000000003" customHeight="1" x14ac:dyDescent="0.35">
      <c r="A27" s="37">
        <v>44154</v>
      </c>
      <c r="B27" s="40"/>
      <c r="C27" s="138">
        <v>5605838</v>
      </c>
      <c r="D27" s="44">
        <f t="shared" ref="D27" si="413">(+C27-+C26)*48</f>
        <v>100128</v>
      </c>
      <c r="E27" s="36">
        <f t="shared" si="4"/>
        <v>60076.799999999996</v>
      </c>
      <c r="F27" s="44">
        <f t="shared" si="5"/>
        <v>40051.200000000004</v>
      </c>
      <c r="G27" s="138">
        <v>276558</v>
      </c>
      <c r="H27" s="44">
        <f t="shared" ref="H27" si="414">(+G27-+G26)*48</f>
        <v>1728</v>
      </c>
      <c r="I27" s="138">
        <v>93769</v>
      </c>
      <c r="J27" s="44">
        <f t="shared" ref="J27" si="415">(+I27-+I26)*48</f>
        <v>8016</v>
      </c>
      <c r="K27" s="138">
        <v>255535</v>
      </c>
      <c r="L27" s="44">
        <f t="shared" si="0"/>
        <v>1488</v>
      </c>
      <c r="M27" s="138">
        <v>24442</v>
      </c>
      <c r="N27" s="44">
        <f t="shared" ref="N27" si="416">(+M27-+M26)*48</f>
        <v>528</v>
      </c>
      <c r="O27" s="138">
        <v>230116</v>
      </c>
      <c r="P27" s="44">
        <f t="shared" ref="P27" si="417">(+O27-+O26)*48</f>
        <v>8688</v>
      </c>
      <c r="Q27" s="138">
        <v>436417</v>
      </c>
      <c r="R27" s="44">
        <f t="shared" ref="R27" si="418">(+Q27-+Q26)*48</f>
        <v>2448</v>
      </c>
      <c r="S27" s="138">
        <v>701181</v>
      </c>
      <c r="T27" s="44">
        <f t="shared" ref="T27" si="419">(+S27-+S26)*48</f>
        <v>5568</v>
      </c>
      <c r="U27" s="138">
        <v>95806.807000000001</v>
      </c>
      <c r="V27" s="45">
        <f t="shared" ref="V27" si="420">(+U27-+U26)*48</f>
        <v>909.69600000022911</v>
      </c>
      <c r="W27" s="138">
        <v>78697</v>
      </c>
      <c r="X27" s="44">
        <f t="shared" ref="X27" si="421">(+W27-+W26)*48</f>
        <v>1248</v>
      </c>
      <c r="Y27" s="138">
        <v>1490696</v>
      </c>
      <c r="Z27" s="44">
        <f t="shared" ref="Z27" si="422">(+Y27-+Y26)*48</f>
        <v>11760</v>
      </c>
      <c r="AA27" s="38">
        <v>13166</v>
      </c>
      <c r="AB27" s="44">
        <f t="shared" ref="AB27" si="423">(+AA27-+AA26)*48</f>
        <v>0</v>
      </c>
      <c r="AC27" s="138">
        <v>436116</v>
      </c>
      <c r="AD27" s="44">
        <f t="shared" si="16"/>
        <v>4608</v>
      </c>
      <c r="AE27" s="138">
        <v>513660</v>
      </c>
      <c r="AF27" s="44">
        <f t="shared" si="16"/>
        <v>4800</v>
      </c>
      <c r="AG27" s="138">
        <v>48947</v>
      </c>
      <c r="AH27" s="44">
        <f t="shared" ref="AH27" si="424">(+AG27-+AG26)*48</f>
        <v>192</v>
      </c>
      <c r="AI27" s="138">
        <v>396034</v>
      </c>
      <c r="AJ27" s="44">
        <f t="shared" ref="AJ27" si="425">(+AI27-+AI26)*48</f>
        <v>4032</v>
      </c>
      <c r="AK27" s="138">
        <v>102371</v>
      </c>
      <c r="AL27" s="44">
        <f t="shared" ref="AL27" si="426">(+AK27-+AK26)*48</f>
        <v>0</v>
      </c>
      <c r="AM27" s="138">
        <v>560126</v>
      </c>
      <c r="AN27" s="44">
        <f t="shared" ref="AN27" si="427">(+AM27-+AM26)*48</f>
        <v>6192</v>
      </c>
      <c r="AO27" s="138">
        <v>900416</v>
      </c>
      <c r="AP27" s="44">
        <f t="shared" ref="AP27" si="428">(+AO27-+AO26)*48</f>
        <v>9792</v>
      </c>
      <c r="AQ27" s="138">
        <v>72494</v>
      </c>
      <c r="AR27" s="44">
        <f t="shared" ref="AR27" si="429">(+AQ27-+AQ26)*48</f>
        <v>2016</v>
      </c>
      <c r="AS27" s="138">
        <v>2204</v>
      </c>
      <c r="AT27" s="44">
        <f t="shared" ref="AT27" si="430">(+AS27-+AS26)*48</f>
        <v>0</v>
      </c>
      <c r="AU27" s="138">
        <v>918</v>
      </c>
      <c r="AV27" s="44">
        <f t="shared" ref="AV27" si="431">(+AU27-+AU26)*48</f>
        <v>0</v>
      </c>
      <c r="AW27" s="138">
        <v>3108</v>
      </c>
      <c r="AX27" s="44">
        <f t="shared" ref="AX27" si="432">(+AW27-+AW26)*48</f>
        <v>0</v>
      </c>
      <c r="AY27" s="138">
        <v>302745</v>
      </c>
      <c r="AZ27" s="44">
        <f t="shared" ref="AZ27" si="433">(+AY27-+AY26)*48</f>
        <v>4080</v>
      </c>
      <c r="BA27" s="138">
        <v>160171</v>
      </c>
      <c r="BB27" s="44">
        <f t="shared" ref="BB27" si="434">(+BA27-+BA26)*48</f>
        <v>0</v>
      </c>
      <c r="BC27" s="138">
        <v>207268</v>
      </c>
      <c r="BD27" s="44">
        <f t="shared" ref="BD27" si="435">(+BC27-+BC26)*48</f>
        <v>2784</v>
      </c>
      <c r="BE27" s="138">
        <v>5347</v>
      </c>
      <c r="BF27" s="44">
        <f t="shared" ref="BF27" si="436">(+BE27-+BE26)*48</f>
        <v>0</v>
      </c>
      <c r="BH27" s="43">
        <f t="shared" si="1"/>
        <v>116090.49600000022</v>
      </c>
      <c r="BI27" s="43">
        <f t="shared" si="2"/>
        <v>64915.200000000004</v>
      </c>
    </row>
    <row r="28" spans="1:61" s="41" customFormat="1" ht="39.950000000000003" customHeight="1" x14ac:dyDescent="0.35">
      <c r="A28" s="37">
        <v>44155</v>
      </c>
      <c r="B28" s="40"/>
      <c r="C28" s="138">
        <v>5607807</v>
      </c>
      <c r="D28" s="44">
        <f t="shared" ref="D28" si="437">(+C28-+C27)*48</f>
        <v>94512</v>
      </c>
      <c r="E28" s="36">
        <f t="shared" si="4"/>
        <v>56707.199999999997</v>
      </c>
      <c r="F28" s="44">
        <f t="shared" si="5"/>
        <v>37804.800000000003</v>
      </c>
      <c r="G28" s="138">
        <v>276587</v>
      </c>
      <c r="H28" s="44">
        <f t="shared" ref="H28" si="438">(+G28-+G27)*48</f>
        <v>1392</v>
      </c>
      <c r="I28" s="138">
        <v>93942</v>
      </c>
      <c r="J28" s="44">
        <f t="shared" ref="J28" si="439">(+I28-+I27)*48</f>
        <v>8304</v>
      </c>
      <c r="K28" s="138">
        <v>255547</v>
      </c>
      <c r="L28" s="44">
        <f t="shared" si="0"/>
        <v>576</v>
      </c>
      <c r="M28" s="138">
        <v>24442</v>
      </c>
      <c r="N28" s="44">
        <f t="shared" ref="N28" si="440">(+M28-+M27)*48</f>
        <v>0</v>
      </c>
      <c r="O28" s="138">
        <v>230308</v>
      </c>
      <c r="P28" s="44">
        <f t="shared" ref="P28" si="441">(+O28-+O27)*48</f>
        <v>9216</v>
      </c>
      <c r="Q28" s="138">
        <v>436462</v>
      </c>
      <c r="R28" s="44">
        <f t="shared" ref="R28" si="442">(+Q28-+Q27)*48</f>
        <v>2160</v>
      </c>
      <c r="S28" s="138">
        <v>701296</v>
      </c>
      <c r="T28" s="44">
        <f t="shared" ref="T28" si="443">(+S28-+S27)*48</f>
        <v>5520</v>
      </c>
      <c r="U28" s="138">
        <v>95833.34</v>
      </c>
      <c r="V28" s="45">
        <f t="shared" ref="V28" si="444">(+U28-+U27)*48</f>
        <v>1273.5839999997988</v>
      </c>
      <c r="W28" s="138">
        <v>78723</v>
      </c>
      <c r="X28" s="44">
        <f t="shared" ref="X28" si="445">(+W28-+W27)*48</f>
        <v>1248</v>
      </c>
      <c r="Y28" s="138">
        <v>1490892</v>
      </c>
      <c r="Z28" s="44">
        <f t="shared" ref="Z28" si="446">(+Y28-+Y27)*48</f>
        <v>9408</v>
      </c>
      <c r="AA28" s="138">
        <v>13166</v>
      </c>
      <c r="AB28" s="44">
        <f t="shared" ref="AB28" si="447">(+AA28-+AA27)*48</f>
        <v>0</v>
      </c>
      <c r="AC28" s="138">
        <v>436201</v>
      </c>
      <c r="AD28" s="44">
        <f t="shared" si="16"/>
        <v>4080</v>
      </c>
      <c r="AE28" s="138">
        <v>513757</v>
      </c>
      <c r="AF28" s="44">
        <f t="shared" si="16"/>
        <v>4656</v>
      </c>
      <c r="AG28" s="138">
        <v>48951</v>
      </c>
      <c r="AH28" s="44">
        <f t="shared" ref="AH28" si="448">(+AG28-+AG27)*48</f>
        <v>192</v>
      </c>
      <c r="AI28" s="138">
        <v>396130</v>
      </c>
      <c r="AJ28" s="44">
        <f t="shared" ref="AJ28" si="449">(+AI28-+AI27)*48</f>
        <v>4608</v>
      </c>
      <c r="AK28" s="138">
        <v>102371</v>
      </c>
      <c r="AL28" s="44">
        <f t="shared" ref="AL28" si="450">(+AK28-+AK27)*48</f>
        <v>0</v>
      </c>
      <c r="AM28" s="138">
        <v>560250</v>
      </c>
      <c r="AN28" s="44">
        <f t="shared" ref="AN28" si="451">(+AM28-+AM27)*48</f>
        <v>5952</v>
      </c>
      <c r="AO28" s="138">
        <v>900616</v>
      </c>
      <c r="AP28" s="44">
        <f t="shared" ref="AP28" si="452">(+AO28-+AO27)*48</f>
        <v>9600</v>
      </c>
      <c r="AQ28" s="138">
        <v>72574</v>
      </c>
      <c r="AR28" s="44">
        <f t="shared" ref="AR28" si="453">(+AQ28-+AQ27)*48</f>
        <v>3840</v>
      </c>
      <c r="AS28" s="138">
        <v>2206</v>
      </c>
      <c r="AT28" s="44">
        <f t="shared" ref="AT28" si="454">(+AS28-+AS27)*48</f>
        <v>96</v>
      </c>
      <c r="AU28" s="138">
        <v>918</v>
      </c>
      <c r="AV28" s="44">
        <f t="shared" ref="AV28" si="455">(+AU28-+AU27)*48</f>
        <v>0</v>
      </c>
      <c r="AW28" s="138">
        <v>3108</v>
      </c>
      <c r="AX28" s="44">
        <f t="shared" ref="AX28" si="456">(+AW28-+AW27)*48</f>
        <v>0</v>
      </c>
      <c r="AY28" s="138">
        <v>302827</v>
      </c>
      <c r="AZ28" s="44">
        <f t="shared" ref="AZ28" si="457">(+AY28-+AY27)*48</f>
        <v>3936</v>
      </c>
      <c r="BA28" s="138">
        <v>160171</v>
      </c>
      <c r="BB28" s="44">
        <f t="shared" ref="BB28" si="458">(+BA28-+BA27)*48</f>
        <v>0</v>
      </c>
      <c r="BC28" s="138">
        <v>207321</v>
      </c>
      <c r="BD28" s="44">
        <f t="shared" ref="BD28" si="459">(+BC28-+BC27)*48</f>
        <v>2544</v>
      </c>
      <c r="BE28" s="138">
        <v>5347</v>
      </c>
      <c r="BF28" s="44">
        <f t="shared" ref="BF28" si="460">(+BE28-+BE27)*48</f>
        <v>0</v>
      </c>
      <c r="BH28" s="43">
        <f t="shared" si="1"/>
        <v>109340.7839999998</v>
      </c>
      <c r="BI28" s="43">
        <f t="shared" si="2"/>
        <v>63772.800000000003</v>
      </c>
    </row>
    <row r="29" spans="1:61" s="41" customFormat="1" ht="39.950000000000003" customHeight="1" x14ac:dyDescent="0.35">
      <c r="A29" s="37">
        <v>44156</v>
      </c>
      <c r="B29" s="40"/>
      <c r="C29" s="138">
        <v>5610025</v>
      </c>
      <c r="D29" s="44">
        <f t="shared" ref="D29" si="461">(+C29-+C28)*48</f>
        <v>106464</v>
      </c>
      <c r="E29" s="36">
        <f t="shared" si="4"/>
        <v>63878.399999999994</v>
      </c>
      <c r="F29" s="44">
        <f t="shared" si="5"/>
        <v>42585.600000000006</v>
      </c>
      <c r="G29" s="138">
        <v>276637</v>
      </c>
      <c r="H29" s="44">
        <f t="shared" ref="H29" si="462">(+G29-+G28)*48</f>
        <v>2400</v>
      </c>
      <c r="I29" s="138">
        <v>94111</v>
      </c>
      <c r="J29" s="44">
        <f t="shared" ref="J29" si="463">(+I29-+I28)*48</f>
        <v>8112</v>
      </c>
      <c r="K29" s="138">
        <v>255605</v>
      </c>
      <c r="L29" s="44">
        <f t="shared" si="0"/>
        <v>2784</v>
      </c>
      <c r="M29" s="138">
        <v>24442</v>
      </c>
      <c r="N29" s="44">
        <f t="shared" ref="N29" si="464">(+M29-+M28)*48</f>
        <v>0</v>
      </c>
      <c r="O29" s="138">
        <v>230519</v>
      </c>
      <c r="P29" s="44">
        <f t="shared" ref="P29" si="465">(+O29-+O28)*48</f>
        <v>10128</v>
      </c>
      <c r="Q29" s="138">
        <v>436514</v>
      </c>
      <c r="R29" s="44">
        <f t="shared" ref="R29" si="466">(+Q29-+Q28)*48</f>
        <v>2496</v>
      </c>
      <c r="S29" s="138">
        <v>701423</v>
      </c>
      <c r="T29" s="44">
        <f t="shared" ref="T29" si="467">(+S29-+S28)*48</f>
        <v>6096</v>
      </c>
      <c r="U29" s="138">
        <v>95859.491999999998</v>
      </c>
      <c r="V29" s="45">
        <f t="shared" ref="V29" si="468">(+U29-+U28)*48</f>
        <v>1255.2960000000894</v>
      </c>
      <c r="W29" s="138">
        <v>78749</v>
      </c>
      <c r="X29" s="44">
        <f t="shared" ref="X29" si="469">(+W29-+W28)*48</f>
        <v>1248</v>
      </c>
      <c r="Y29" s="138">
        <v>1491075</v>
      </c>
      <c r="Z29" s="44">
        <f t="shared" ref="Z29" si="470">(+Y29-+Y28)*48</f>
        <v>8784</v>
      </c>
      <c r="AA29" s="138">
        <v>13166</v>
      </c>
      <c r="AB29" s="44">
        <f t="shared" ref="AB29" si="471">(+AA29-+AA28)*48</f>
        <v>0</v>
      </c>
      <c r="AC29" s="138">
        <v>436295</v>
      </c>
      <c r="AD29" s="44">
        <f t="shared" si="16"/>
        <v>4512</v>
      </c>
      <c r="AE29" s="138">
        <v>513854</v>
      </c>
      <c r="AF29" s="44">
        <f t="shared" si="16"/>
        <v>4656</v>
      </c>
      <c r="AG29" s="138">
        <v>48955</v>
      </c>
      <c r="AH29" s="44">
        <f t="shared" ref="AH29" si="472">(+AG29-+AG28)*48</f>
        <v>192</v>
      </c>
      <c r="AI29" s="138">
        <v>396236</v>
      </c>
      <c r="AJ29" s="44">
        <f t="shared" ref="AJ29" si="473">(+AI29-+AI28)*48</f>
        <v>5088</v>
      </c>
      <c r="AK29" s="138">
        <v>102371</v>
      </c>
      <c r="AL29" s="44">
        <f t="shared" ref="AL29" si="474">(+AK29-+AK28)*48</f>
        <v>0</v>
      </c>
      <c r="AM29" s="138">
        <v>560372</v>
      </c>
      <c r="AN29" s="44">
        <f t="shared" ref="AN29" si="475">(+AM29-+AM28)*48</f>
        <v>5856</v>
      </c>
      <c r="AO29" s="138">
        <v>900824</v>
      </c>
      <c r="AP29" s="44">
        <f t="shared" ref="AP29" si="476">(+AO29-+AO28)*48</f>
        <v>9984</v>
      </c>
      <c r="AQ29" s="138">
        <v>72690</v>
      </c>
      <c r="AR29" s="44">
        <f t="shared" ref="AR29" si="477">(+AQ29-+AQ28)*48</f>
        <v>5568</v>
      </c>
      <c r="AS29" s="138">
        <v>2210</v>
      </c>
      <c r="AT29" s="44">
        <f t="shared" ref="AT29" si="478">(+AS29-+AS28)*48</f>
        <v>192</v>
      </c>
      <c r="AU29" s="138">
        <v>918</v>
      </c>
      <c r="AV29" s="44">
        <f t="shared" ref="AV29" si="479">(+AU29-+AU28)*48</f>
        <v>0</v>
      </c>
      <c r="AW29" s="138">
        <v>3108</v>
      </c>
      <c r="AX29" s="44">
        <f t="shared" ref="AX29" si="480">(+AW29-+AW28)*48</f>
        <v>0</v>
      </c>
      <c r="AY29" s="138">
        <v>302909</v>
      </c>
      <c r="AZ29" s="44">
        <f t="shared" ref="AZ29" si="481">(+AY29-+AY28)*48</f>
        <v>3936</v>
      </c>
      <c r="BA29" s="138">
        <v>160171</v>
      </c>
      <c r="BB29" s="44">
        <f t="shared" ref="BB29" si="482">(+BA29-+BA28)*48</f>
        <v>0</v>
      </c>
      <c r="BC29" s="138">
        <v>207373</v>
      </c>
      <c r="BD29" s="44">
        <f t="shared" ref="BD29" si="483">(+BC29-+BC28)*48</f>
        <v>2496</v>
      </c>
      <c r="BE29" s="138">
        <v>5347</v>
      </c>
      <c r="BF29" s="44">
        <f t="shared" ref="BF29" si="484">(+BE29-+BE28)*48</f>
        <v>0</v>
      </c>
      <c r="BH29" s="43">
        <f t="shared" si="1"/>
        <v>121629.69600000008</v>
      </c>
      <c r="BI29" s="43">
        <f t="shared" si="2"/>
        <v>70617.600000000006</v>
      </c>
    </row>
    <row r="30" spans="1:61" s="41" customFormat="1" ht="39.950000000000003" customHeight="1" x14ac:dyDescent="0.35">
      <c r="A30" s="37">
        <v>44157</v>
      </c>
      <c r="B30" s="40"/>
      <c r="C30" s="138">
        <v>5612172</v>
      </c>
      <c r="D30" s="44">
        <f t="shared" ref="D30" si="485">(+C30-+C29)*48</f>
        <v>103056</v>
      </c>
      <c r="E30" s="36">
        <f t="shared" si="4"/>
        <v>61833.599999999999</v>
      </c>
      <c r="F30" s="44">
        <f t="shared" si="5"/>
        <v>41222.400000000001</v>
      </c>
      <c r="G30" s="138">
        <v>276696</v>
      </c>
      <c r="H30" s="44">
        <f t="shared" ref="H30" si="486">(+G30-+G29)*48</f>
        <v>2832</v>
      </c>
      <c r="I30" s="138">
        <v>94282</v>
      </c>
      <c r="J30" s="44">
        <f t="shared" ref="J30" si="487">(+I30-+I29)*48</f>
        <v>8208</v>
      </c>
      <c r="K30" s="138">
        <v>255674</v>
      </c>
      <c r="L30" s="44">
        <f t="shared" si="0"/>
        <v>3312</v>
      </c>
      <c r="M30" s="138">
        <v>24452</v>
      </c>
      <c r="N30" s="44">
        <f t="shared" ref="N30" si="488">(+M30-+M29)*48</f>
        <v>480</v>
      </c>
      <c r="O30" s="138">
        <v>230731</v>
      </c>
      <c r="P30" s="44">
        <f t="shared" ref="P30" si="489">(+O30-+O29)*48</f>
        <v>10176</v>
      </c>
      <c r="Q30" s="138">
        <v>436618</v>
      </c>
      <c r="R30" s="44">
        <f t="shared" ref="R30" si="490">(+Q30-+Q29)*48</f>
        <v>4992</v>
      </c>
      <c r="S30" s="138">
        <v>701562</v>
      </c>
      <c r="T30" s="44">
        <f t="shared" ref="T30" si="491">(+S30-+S29)*48</f>
        <v>6672</v>
      </c>
      <c r="U30" s="138">
        <v>95887.877999999997</v>
      </c>
      <c r="V30" s="45">
        <f t="shared" ref="V30" si="492">(+U30-+U29)*48</f>
        <v>1362.5279999999329</v>
      </c>
      <c r="W30" s="138">
        <v>78774</v>
      </c>
      <c r="X30" s="44">
        <f t="shared" ref="X30" si="493">(+W30-+W29)*48</f>
        <v>1200</v>
      </c>
      <c r="Y30" s="138">
        <v>1491404</v>
      </c>
      <c r="Z30" s="44">
        <f t="shared" ref="Z30" si="494">(+Y30-+Y29)*48</f>
        <v>15792</v>
      </c>
      <c r="AA30" s="138">
        <v>13166</v>
      </c>
      <c r="AB30" s="44">
        <f t="shared" ref="AB30" si="495">(+AA30-+AA29)*48</f>
        <v>0</v>
      </c>
      <c r="AC30" s="138">
        <v>436394</v>
      </c>
      <c r="AD30" s="44">
        <f t="shared" si="16"/>
        <v>4752</v>
      </c>
      <c r="AE30" s="138">
        <v>513956</v>
      </c>
      <c r="AF30" s="44">
        <f t="shared" si="16"/>
        <v>4896</v>
      </c>
      <c r="AG30" s="138">
        <v>48959</v>
      </c>
      <c r="AH30" s="44">
        <f t="shared" ref="AH30" si="496">(+AG30-+AG29)*48</f>
        <v>192</v>
      </c>
      <c r="AI30" s="138">
        <v>396343</v>
      </c>
      <c r="AJ30" s="44">
        <f t="shared" ref="AJ30" si="497">(+AI30-+AI29)*48</f>
        <v>5136</v>
      </c>
      <c r="AK30" s="138">
        <v>102371</v>
      </c>
      <c r="AL30" s="44">
        <f t="shared" ref="AL30" si="498">(+AK30-+AK29)*48</f>
        <v>0</v>
      </c>
      <c r="AM30" s="138">
        <v>560504</v>
      </c>
      <c r="AN30" s="44">
        <f t="shared" ref="AN30" si="499">(+AM30-+AM29)*48</f>
        <v>6336</v>
      </c>
      <c r="AO30" s="138">
        <v>901036</v>
      </c>
      <c r="AP30" s="44">
        <f t="shared" ref="AP30" si="500">(+AO30-+AO29)*48</f>
        <v>10176</v>
      </c>
      <c r="AQ30" s="138">
        <v>72775</v>
      </c>
      <c r="AR30" s="44">
        <f t="shared" ref="AR30" si="501">(+AQ30-+AQ29)*48</f>
        <v>4080</v>
      </c>
      <c r="AS30" s="138">
        <v>2211</v>
      </c>
      <c r="AT30" s="44">
        <f t="shared" ref="AT30" si="502">(+AS30-+AS29)*48</f>
        <v>48</v>
      </c>
      <c r="AU30" s="138">
        <v>918</v>
      </c>
      <c r="AV30" s="44">
        <f t="shared" ref="AV30" si="503">(+AU30-+AU29)*48</f>
        <v>0</v>
      </c>
      <c r="AW30" s="138">
        <v>3108</v>
      </c>
      <c r="AX30" s="44">
        <f t="shared" ref="AX30" si="504">(+AW30-+AW29)*48</f>
        <v>0</v>
      </c>
      <c r="AY30" s="138">
        <v>302992</v>
      </c>
      <c r="AZ30" s="44">
        <f t="shared" ref="AZ30" si="505">(+AY30-+AY29)*48</f>
        <v>3984</v>
      </c>
      <c r="BA30" s="138">
        <v>160171</v>
      </c>
      <c r="BB30" s="44">
        <f t="shared" ref="BB30" si="506">(+BA30-+BA29)*48</f>
        <v>0</v>
      </c>
      <c r="BC30" s="138">
        <v>207427</v>
      </c>
      <c r="BD30" s="44">
        <f t="shared" ref="BD30" si="507">(+BC30-+BC29)*48</f>
        <v>2592</v>
      </c>
      <c r="BE30" s="138">
        <v>5347</v>
      </c>
      <c r="BF30" s="44">
        <f t="shared" ref="BF30" si="508">(+BE30-+BE29)*48</f>
        <v>0</v>
      </c>
      <c r="BH30" s="43">
        <f t="shared" si="1"/>
        <v>131836.12799999994</v>
      </c>
      <c r="BI30" s="43">
        <f t="shared" si="2"/>
        <v>68438.399999999994</v>
      </c>
    </row>
    <row r="31" spans="1:61" s="41" customFormat="1" ht="39.950000000000003" customHeight="1" x14ac:dyDescent="0.35">
      <c r="A31" s="37">
        <v>44158</v>
      </c>
      <c r="B31" s="40"/>
      <c r="C31" s="138">
        <v>5614280</v>
      </c>
      <c r="D31" s="44">
        <f t="shared" ref="D31" si="509">(+C31-+C30)*48</f>
        <v>101184</v>
      </c>
      <c r="E31" s="36">
        <f t="shared" si="4"/>
        <v>60710.399999999994</v>
      </c>
      <c r="F31" s="44">
        <f t="shared" si="5"/>
        <v>40473.600000000006</v>
      </c>
      <c r="G31" s="138">
        <v>276753</v>
      </c>
      <c r="H31" s="44">
        <f t="shared" ref="H31" si="510">(+G31-+G30)*48</f>
        <v>2736</v>
      </c>
      <c r="I31" s="138">
        <v>94459</v>
      </c>
      <c r="J31" s="44">
        <f t="shared" ref="J31" si="511">(+I31-+I30)*48</f>
        <v>8496</v>
      </c>
      <c r="K31" s="138">
        <v>255748</v>
      </c>
      <c r="L31" s="44">
        <f t="shared" si="0"/>
        <v>3552</v>
      </c>
      <c r="M31" s="138">
        <v>24455</v>
      </c>
      <c r="N31" s="44">
        <f t="shared" ref="N31" si="512">(+M31-+M30)*48</f>
        <v>144</v>
      </c>
      <c r="O31" s="138">
        <v>230935</v>
      </c>
      <c r="P31" s="44">
        <f t="shared" ref="P31" si="513">(+O31-+O30)*48</f>
        <v>9792</v>
      </c>
      <c r="Q31" s="138">
        <v>436721</v>
      </c>
      <c r="R31" s="44">
        <f t="shared" ref="R31" si="514">(+Q31-+Q30)*48</f>
        <v>4944</v>
      </c>
      <c r="S31" s="138">
        <v>701716</v>
      </c>
      <c r="T31" s="44">
        <f t="shared" ref="T31" si="515">(+S31-+S30)*48</f>
        <v>7392</v>
      </c>
      <c r="U31" s="138">
        <v>95911.81</v>
      </c>
      <c r="V31" s="45">
        <f t="shared" ref="V31" si="516">(+U31-+U30)*48</f>
        <v>1148.7360000000335</v>
      </c>
      <c r="W31" s="138">
        <v>78796</v>
      </c>
      <c r="X31" s="44">
        <f t="shared" ref="X31" si="517">(+W31-+W30)*48</f>
        <v>1056</v>
      </c>
      <c r="Y31" s="138">
        <v>1491625</v>
      </c>
      <c r="Z31" s="44">
        <f t="shared" ref="Z31" si="518">(+Y31-+Y30)*48</f>
        <v>10608</v>
      </c>
      <c r="AA31" s="138">
        <v>13166</v>
      </c>
      <c r="AB31" s="44">
        <f t="shared" ref="AB31" si="519">(+AA31-+AA30)*48</f>
        <v>0</v>
      </c>
      <c r="AC31" s="138">
        <v>436490</v>
      </c>
      <c r="AD31" s="44">
        <f t="shared" si="16"/>
        <v>4608</v>
      </c>
      <c r="AE31" s="138">
        <v>514043</v>
      </c>
      <c r="AF31" s="44">
        <f t="shared" si="16"/>
        <v>4176</v>
      </c>
      <c r="AG31" s="138">
        <v>48963</v>
      </c>
      <c r="AH31" s="44">
        <f t="shared" ref="AH31" si="520">(+AG31-+AG30)*48</f>
        <v>192</v>
      </c>
      <c r="AI31" s="138">
        <v>396465</v>
      </c>
      <c r="AJ31" s="44">
        <f t="shared" ref="AJ31" si="521">(+AI31-+AI30)*48</f>
        <v>5856</v>
      </c>
      <c r="AK31" s="138">
        <v>102371</v>
      </c>
      <c r="AL31" s="44">
        <f t="shared" ref="AL31" si="522">(+AK31-+AK30)*48</f>
        <v>0</v>
      </c>
      <c r="AM31" s="138">
        <v>560631</v>
      </c>
      <c r="AN31" s="44">
        <f t="shared" ref="AN31" si="523">(+AM31-+AM30)*48</f>
        <v>6096</v>
      </c>
      <c r="AO31" s="138">
        <v>901250</v>
      </c>
      <c r="AP31" s="44">
        <f t="shared" ref="AP31" si="524">(+AO31-+AO30)*48</f>
        <v>10272</v>
      </c>
      <c r="AQ31" s="138">
        <v>72857</v>
      </c>
      <c r="AR31" s="44">
        <f t="shared" ref="AR31" si="525">(+AQ31-+AQ30)*48</f>
        <v>3936</v>
      </c>
      <c r="AS31" s="138">
        <v>2213</v>
      </c>
      <c r="AT31" s="44">
        <f t="shared" ref="AT31" si="526">(+AS31-+AS30)*48</f>
        <v>96</v>
      </c>
      <c r="AU31" s="138">
        <v>918</v>
      </c>
      <c r="AV31" s="44">
        <f t="shared" ref="AV31" si="527">(+AU31-+AU30)*48</f>
        <v>0</v>
      </c>
      <c r="AW31" s="138">
        <v>3108</v>
      </c>
      <c r="AX31" s="44">
        <f t="shared" ref="AX31" si="528">(+AW31-+AW30)*48</f>
        <v>0</v>
      </c>
      <c r="AY31" s="138">
        <v>303073</v>
      </c>
      <c r="AZ31" s="44">
        <f t="shared" ref="AZ31" si="529">(+AY31-+AY30)*48</f>
        <v>3888</v>
      </c>
      <c r="BA31" s="138">
        <v>160171</v>
      </c>
      <c r="BB31" s="44">
        <f t="shared" ref="BB31" si="530">(+BA31-+BA30)*48</f>
        <v>0</v>
      </c>
      <c r="BC31" s="138">
        <v>207480</v>
      </c>
      <c r="BD31" s="44">
        <f t="shared" ref="BD31" si="531">(+BC31-+BC30)*48</f>
        <v>2544</v>
      </c>
      <c r="BE31" s="138">
        <v>5347</v>
      </c>
      <c r="BF31" s="44">
        <f t="shared" ref="BF31" si="532">(+BE31-+BE30)*48</f>
        <v>0</v>
      </c>
      <c r="BH31" s="43">
        <f t="shared" si="1"/>
        <v>125411.13600000003</v>
      </c>
      <c r="BI31" s="43">
        <f t="shared" si="2"/>
        <v>67305.600000000006</v>
      </c>
    </row>
    <row r="32" spans="1:61" s="41" customFormat="1" ht="39.950000000000003" customHeight="1" x14ac:dyDescent="0.35">
      <c r="A32" s="37">
        <v>44159</v>
      </c>
      <c r="B32" s="40"/>
      <c r="C32" s="138">
        <v>5616293</v>
      </c>
      <c r="D32" s="44">
        <f t="shared" ref="D32" si="533">(+C32-+C31)*48</f>
        <v>96624</v>
      </c>
      <c r="E32" s="36">
        <f t="shared" si="4"/>
        <v>57974.400000000001</v>
      </c>
      <c r="F32" s="44">
        <f t="shared" si="5"/>
        <v>38649.599999999999</v>
      </c>
      <c r="G32" s="138">
        <v>276789</v>
      </c>
      <c r="H32" s="44">
        <f t="shared" ref="H32" si="534">(+G32-+G31)*48</f>
        <v>1728</v>
      </c>
      <c r="I32" s="138">
        <v>94620</v>
      </c>
      <c r="J32" s="44">
        <f t="shared" ref="J32" si="535">(+I32-+I31)*48</f>
        <v>7728</v>
      </c>
      <c r="K32" s="138">
        <v>255790</v>
      </c>
      <c r="L32" s="44">
        <f t="shared" si="0"/>
        <v>2016</v>
      </c>
      <c r="M32" s="138">
        <v>24460</v>
      </c>
      <c r="N32" s="44">
        <f t="shared" ref="N32" si="536">(+M32-+M31)*48</f>
        <v>240</v>
      </c>
      <c r="O32" s="138">
        <v>231117</v>
      </c>
      <c r="P32" s="44">
        <f t="shared" ref="P32" si="537">(+O32-+O31)*48</f>
        <v>8736</v>
      </c>
      <c r="Q32" s="138">
        <v>436793</v>
      </c>
      <c r="R32" s="44">
        <f t="shared" ref="R32" si="538">(+Q32-+Q31)*48</f>
        <v>3456</v>
      </c>
      <c r="S32" s="138">
        <v>701868</v>
      </c>
      <c r="T32" s="44">
        <f t="shared" ref="T32" si="539">(+S32-+S31)*48</f>
        <v>7296</v>
      </c>
      <c r="U32" s="138">
        <v>95927.303</v>
      </c>
      <c r="V32" s="45">
        <f t="shared" ref="V32" si="540">(+U32-+U31)*48</f>
        <v>743.66400000010617</v>
      </c>
      <c r="W32" s="138">
        <v>78820</v>
      </c>
      <c r="X32" s="44">
        <f t="shared" ref="X32" si="541">(+W32-+W31)*48</f>
        <v>1152</v>
      </c>
      <c r="Y32" s="138">
        <v>1492015</v>
      </c>
      <c r="Z32" s="44">
        <f t="shared" ref="Z32" si="542">(+Y32-+Y31)*48</f>
        <v>18720</v>
      </c>
      <c r="AA32" s="138">
        <v>13166</v>
      </c>
      <c r="AB32" s="44">
        <f t="shared" ref="AB32" si="543">(+AA32-+AA31)*48</f>
        <v>0</v>
      </c>
      <c r="AC32" s="138">
        <v>436589</v>
      </c>
      <c r="AD32" s="44">
        <f t="shared" si="16"/>
        <v>4752</v>
      </c>
      <c r="AE32" s="138">
        <v>514145</v>
      </c>
      <c r="AF32" s="44">
        <f t="shared" si="16"/>
        <v>4896</v>
      </c>
      <c r="AG32" s="138">
        <v>48967</v>
      </c>
      <c r="AH32" s="44">
        <f t="shared" ref="AH32" si="544">(+AG32-+AG31)*48</f>
        <v>192</v>
      </c>
      <c r="AI32" s="138">
        <v>396572</v>
      </c>
      <c r="AJ32" s="44">
        <f t="shared" ref="AJ32" si="545">(+AI32-+AI31)*48</f>
        <v>5136</v>
      </c>
      <c r="AK32" s="138">
        <v>102371</v>
      </c>
      <c r="AL32" s="44">
        <f t="shared" ref="AL32" si="546">(+AK32-+AK31)*48</f>
        <v>0</v>
      </c>
      <c r="AM32" s="138">
        <v>560761</v>
      </c>
      <c r="AN32" s="44">
        <f t="shared" ref="AN32" si="547">(+AM32-+AM31)*48</f>
        <v>6240</v>
      </c>
      <c r="AO32" s="138">
        <v>901462</v>
      </c>
      <c r="AP32" s="44">
        <f t="shared" ref="AP32" si="548">(+AO32-+AO31)*48</f>
        <v>10176</v>
      </c>
      <c r="AQ32" s="138">
        <v>73009</v>
      </c>
      <c r="AR32" s="44">
        <f t="shared" ref="AR32" si="549">(+AQ32-+AQ31)*48</f>
        <v>7296</v>
      </c>
      <c r="AS32" s="138">
        <v>2216</v>
      </c>
      <c r="AT32" s="44">
        <f t="shared" ref="AT32" si="550">(+AS32-+AS31)*48</f>
        <v>144</v>
      </c>
      <c r="AU32" s="138">
        <v>918</v>
      </c>
      <c r="AV32" s="44">
        <f t="shared" ref="AV32" si="551">(+AU32-+AU31)*48</f>
        <v>0</v>
      </c>
      <c r="AW32" s="138">
        <v>3108</v>
      </c>
      <c r="AX32" s="44">
        <f t="shared" ref="AX32" si="552">(+AW32-+AW31)*48</f>
        <v>0</v>
      </c>
      <c r="AY32" s="138">
        <v>303156</v>
      </c>
      <c r="AZ32" s="44">
        <f t="shared" ref="AZ32" si="553">(+AY32-+AY31)*48</f>
        <v>3984</v>
      </c>
      <c r="BA32" s="138">
        <v>160171</v>
      </c>
      <c r="BB32" s="44">
        <f t="shared" ref="BB32" si="554">(+BA32-+BA31)*48</f>
        <v>0</v>
      </c>
      <c r="BC32" s="138">
        <v>207531</v>
      </c>
      <c r="BD32" s="44">
        <f t="shared" ref="BD32" si="555">(+BC32-+BC31)*48</f>
        <v>2448</v>
      </c>
      <c r="BE32" s="138">
        <v>5347</v>
      </c>
      <c r="BF32" s="44">
        <f t="shared" ref="BF32" si="556">(+BE32-+BE31)*48</f>
        <v>0</v>
      </c>
      <c r="BH32" s="43">
        <f t="shared" si="1"/>
        <v>124766.0640000001</v>
      </c>
      <c r="BI32" s="43">
        <f t="shared" si="2"/>
        <v>68937.600000000006</v>
      </c>
    </row>
    <row r="33" spans="1:61" s="41" customFormat="1" ht="39.950000000000003" customHeight="1" x14ac:dyDescent="0.35">
      <c r="A33" s="37">
        <v>44160</v>
      </c>
      <c r="B33" s="40"/>
      <c r="C33" s="138">
        <v>5618300</v>
      </c>
      <c r="D33" s="44">
        <f t="shared" ref="D33" si="557">(+C33-+C32)*48</f>
        <v>96336</v>
      </c>
      <c r="E33" s="36">
        <f t="shared" si="4"/>
        <v>57801.599999999999</v>
      </c>
      <c r="F33" s="44">
        <f t="shared" si="5"/>
        <v>38534.400000000001</v>
      </c>
      <c r="G33" s="138">
        <v>276818</v>
      </c>
      <c r="H33" s="44">
        <f t="shared" ref="H33" si="558">(+G33-+G32)*48</f>
        <v>1392</v>
      </c>
      <c r="I33" s="138">
        <v>94795</v>
      </c>
      <c r="J33" s="44">
        <f t="shared" ref="J33" si="559">(+I33-+I32)*48</f>
        <v>8400</v>
      </c>
      <c r="K33" s="138">
        <v>255794</v>
      </c>
      <c r="L33" s="44">
        <f t="shared" si="0"/>
        <v>192</v>
      </c>
      <c r="M33" s="138">
        <v>24460</v>
      </c>
      <c r="N33" s="44">
        <f t="shared" ref="N33" si="560">(+M33-+M32)*48</f>
        <v>0</v>
      </c>
      <c r="O33" s="138">
        <v>231305</v>
      </c>
      <c r="P33" s="44">
        <f t="shared" ref="P33" si="561">(+O33-+O32)*48</f>
        <v>9024</v>
      </c>
      <c r="Q33" s="138">
        <v>436840</v>
      </c>
      <c r="R33" s="44">
        <f t="shared" ref="R33" si="562">(+Q33-+Q32)*48</f>
        <v>2256</v>
      </c>
      <c r="S33" s="138">
        <v>702002</v>
      </c>
      <c r="T33" s="44">
        <f t="shared" ref="T33" si="563">(+S33-+S32)*48</f>
        <v>6432</v>
      </c>
      <c r="U33" s="138">
        <v>95946.03</v>
      </c>
      <c r="V33" s="45">
        <f t="shared" ref="V33" si="564">(+U33-+U32)*48</f>
        <v>898.89599999994971</v>
      </c>
      <c r="W33" s="138">
        <v>78846</v>
      </c>
      <c r="X33" s="44">
        <f t="shared" ref="X33" si="565">(+W33-+W32)*48</f>
        <v>1248</v>
      </c>
      <c r="Y33" s="138">
        <v>1492270</v>
      </c>
      <c r="Z33" s="44">
        <f t="shared" ref="Z33" si="566">(+Y33-+Y32)*48</f>
        <v>12240</v>
      </c>
      <c r="AA33" s="138">
        <v>13191</v>
      </c>
      <c r="AB33" s="44">
        <f t="shared" ref="AB33" si="567">(+AA33-+AA32)*48</f>
        <v>1200</v>
      </c>
      <c r="AC33" s="138">
        <v>436691</v>
      </c>
      <c r="AD33" s="44">
        <f t="shared" si="16"/>
        <v>4896</v>
      </c>
      <c r="AE33" s="138">
        <v>514250</v>
      </c>
      <c r="AF33" s="44">
        <f t="shared" si="16"/>
        <v>5040</v>
      </c>
      <c r="AG33" s="138">
        <v>48971</v>
      </c>
      <c r="AH33" s="44">
        <f t="shared" ref="AH33" si="568">(+AG33-+AG32)*48</f>
        <v>192</v>
      </c>
      <c r="AI33" s="138">
        <v>396664</v>
      </c>
      <c r="AJ33" s="44">
        <f t="shared" ref="AJ33" si="569">(+AI33-+AI32)*48</f>
        <v>4416</v>
      </c>
      <c r="AK33" s="138">
        <v>102371</v>
      </c>
      <c r="AL33" s="44">
        <f t="shared" ref="AL33" si="570">(+AK33-+AK32)*48</f>
        <v>0</v>
      </c>
      <c r="AM33" s="138">
        <v>560887</v>
      </c>
      <c r="AN33" s="44">
        <f t="shared" ref="AN33" si="571">(+AM33-+AM32)*48</f>
        <v>6048</v>
      </c>
      <c r="AO33" s="138">
        <v>901672</v>
      </c>
      <c r="AP33" s="44">
        <f t="shared" ref="AP33" si="572">(+AO33-+AO32)*48</f>
        <v>10080</v>
      </c>
      <c r="AQ33" s="138">
        <v>73104</v>
      </c>
      <c r="AR33" s="44">
        <f t="shared" ref="AR33" si="573">(+AQ33-+AQ32)*48</f>
        <v>4560</v>
      </c>
      <c r="AS33" s="138">
        <v>2219</v>
      </c>
      <c r="AT33" s="44">
        <f t="shared" ref="AT33" si="574">(+AS33-+AS32)*48</f>
        <v>144</v>
      </c>
      <c r="AU33" s="138">
        <v>918</v>
      </c>
      <c r="AV33" s="44">
        <f t="shared" ref="AV33" si="575">(+AU33-+AU32)*48</f>
        <v>0</v>
      </c>
      <c r="AW33" s="138">
        <v>3108</v>
      </c>
      <c r="AX33" s="44">
        <f t="shared" ref="AX33" si="576">(+AW33-+AW32)*48</f>
        <v>0</v>
      </c>
      <c r="AY33" s="138">
        <v>303238</v>
      </c>
      <c r="AZ33" s="44">
        <f t="shared" ref="AZ33" si="577">(+AY33-+AY32)*48</f>
        <v>3936</v>
      </c>
      <c r="BA33" s="138">
        <v>160171</v>
      </c>
      <c r="BB33" s="44">
        <f t="shared" ref="BB33" si="578">(+BA33-+BA32)*48</f>
        <v>0</v>
      </c>
      <c r="BC33" s="138">
        <v>207586</v>
      </c>
      <c r="BD33" s="44">
        <f t="shared" ref="BD33" si="579">(+BC33-+BC32)*48</f>
        <v>2640</v>
      </c>
      <c r="BE33" s="138">
        <v>5347</v>
      </c>
      <c r="BF33" s="44">
        <f t="shared" ref="BF33" si="580">(+BE33-+BE32)*48</f>
        <v>0</v>
      </c>
      <c r="BH33" s="43">
        <f t="shared" si="1"/>
        <v>115628.49599999996</v>
      </c>
      <c r="BI33" s="43">
        <f t="shared" si="2"/>
        <v>65942.399999999994</v>
      </c>
    </row>
    <row r="34" spans="1:61" s="41" customFormat="1" ht="39.950000000000003" customHeight="1" x14ac:dyDescent="0.35">
      <c r="A34" s="37">
        <v>44161</v>
      </c>
      <c r="B34" s="40"/>
      <c r="C34" s="138">
        <v>5620312</v>
      </c>
      <c r="D34" s="44">
        <f t="shared" ref="D34" si="581">(+C34-+C33)*48</f>
        <v>96576</v>
      </c>
      <c r="E34" s="36">
        <f t="shared" si="4"/>
        <v>57945.599999999999</v>
      </c>
      <c r="F34" s="44">
        <f t="shared" si="5"/>
        <v>38630.400000000001</v>
      </c>
      <c r="G34" s="138">
        <v>276848</v>
      </c>
      <c r="H34" s="44">
        <f t="shared" ref="H34" si="582">(+G34-+G33)*48</f>
        <v>1440</v>
      </c>
      <c r="I34" s="138">
        <v>94961</v>
      </c>
      <c r="J34" s="44">
        <f t="shared" ref="J34" si="583">(+I34-+I33)*48</f>
        <v>7968</v>
      </c>
      <c r="K34" s="138">
        <v>255797</v>
      </c>
      <c r="L34" s="44">
        <f t="shared" si="0"/>
        <v>144</v>
      </c>
      <c r="M34" s="138">
        <v>24465</v>
      </c>
      <c r="N34" s="44">
        <f t="shared" ref="N34" si="584">(+M34-+M33)*48</f>
        <v>240</v>
      </c>
      <c r="O34" s="138">
        <v>231492</v>
      </c>
      <c r="P34" s="44">
        <f t="shared" ref="P34" si="585">(+O34-+O33)*48</f>
        <v>8976</v>
      </c>
      <c r="Q34" s="138">
        <v>436873</v>
      </c>
      <c r="R34" s="44">
        <f t="shared" ref="R34" si="586">(+Q34-+Q33)*48</f>
        <v>1584</v>
      </c>
      <c r="S34" s="138">
        <v>702141</v>
      </c>
      <c r="T34" s="44">
        <f t="shared" ref="T34" si="587">(+S34-+S33)*48</f>
        <v>6672</v>
      </c>
      <c r="U34" s="138">
        <v>95967.269</v>
      </c>
      <c r="V34" s="45">
        <f t="shared" ref="V34" si="588">(+U34-+U33)*48</f>
        <v>1019.4720000000671</v>
      </c>
      <c r="W34" s="138">
        <v>78859</v>
      </c>
      <c r="X34" s="44">
        <f t="shared" ref="X34" si="589">(+W34-+W33)*48</f>
        <v>624</v>
      </c>
      <c r="Y34" s="138">
        <v>1492559</v>
      </c>
      <c r="Z34" s="44">
        <f t="shared" ref="Z34" si="590">(+Y34-+Y33)*48</f>
        <v>13872</v>
      </c>
      <c r="AA34" s="138">
        <v>13193</v>
      </c>
      <c r="AB34" s="44">
        <f t="shared" ref="AB34" si="591">(+AA34-+AA33)*48</f>
        <v>96</v>
      </c>
      <c r="AC34" s="138">
        <v>436791</v>
      </c>
      <c r="AD34" s="44">
        <f t="shared" si="16"/>
        <v>4800</v>
      </c>
      <c r="AE34" s="138">
        <v>514353</v>
      </c>
      <c r="AF34" s="44">
        <f t="shared" si="16"/>
        <v>4944</v>
      </c>
      <c r="AG34" s="138">
        <v>48975</v>
      </c>
      <c r="AH34" s="44">
        <f t="shared" ref="AH34" si="592">(+AG34-+AG33)*48</f>
        <v>192</v>
      </c>
      <c r="AI34" s="138">
        <v>396756</v>
      </c>
      <c r="AJ34" s="44">
        <f t="shared" ref="AJ34" si="593">(+AI34-+AI33)*48</f>
        <v>4416</v>
      </c>
      <c r="AK34" s="138">
        <v>102371</v>
      </c>
      <c r="AL34" s="44">
        <f t="shared" ref="AL34" si="594">(+AK34-+AK33)*48</f>
        <v>0</v>
      </c>
      <c r="AM34" s="138">
        <v>561004</v>
      </c>
      <c r="AN34" s="44">
        <f t="shared" ref="AN34" si="595">(+AM34-+AM33)*48</f>
        <v>5616</v>
      </c>
      <c r="AO34" s="138">
        <v>901876</v>
      </c>
      <c r="AP34" s="44">
        <f t="shared" ref="AP34" si="596">(+AO34-+AO33)*48</f>
        <v>9792</v>
      </c>
      <c r="AQ34" s="138">
        <v>73207</v>
      </c>
      <c r="AR34" s="44">
        <f t="shared" ref="AR34" si="597">(+AQ34-+AQ33)*48</f>
        <v>4944</v>
      </c>
      <c r="AS34" s="138">
        <v>2220</v>
      </c>
      <c r="AT34" s="44">
        <f t="shared" ref="AT34" si="598">(+AS34-+AS33)*48</f>
        <v>48</v>
      </c>
      <c r="AU34" s="138">
        <v>918</v>
      </c>
      <c r="AV34" s="44">
        <f t="shared" ref="AV34" si="599">(+AU34-+AU33)*48</f>
        <v>0</v>
      </c>
      <c r="AW34" s="138">
        <v>3108</v>
      </c>
      <c r="AX34" s="44">
        <f t="shared" ref="AX34" si="600">(+AW34-+AW33)*48</f>
        <v>0</v>
      </c>
      <c r="AY34" s="138">
        <v>303319</v>
      </c>
      <c r="AZ34" s="44">
        <f t="shared" ref="AZ34" si="601">(+AY34-+AY33)*48</f>
        <v>3888</v>
      </c>
      <c r="BA34" s="138">
        <v>160171</v>
      </c>
      <c r="BB34" s="44">
        <f t="shared" ref="BB34" si="602">(+BA34-+BA33)*48</f>
        <v>0</v>
      </c>
      <c r="BC34" s="138">
        <v>207637</v>
      </c>
      <c r="BD34" s="44">
        <f t="shared" ref="BD34" si="603">(+BC34-+BC33)*48</f>
        <v>2448</v>
      </c>
      <c r="BE34" s="138">
        <v>5347</v>
      </c>
      <c r="BF34" s="44">
        <f t="shared" ref="BF34" si="604">(+BE34-+BE33)*48</f>
        <v>0</v>
      </c>
      <c r="BH34" s="43">
        <f t="shared" si="1"/>
        <v>114933.07200000007</v>
      </c>
      <c r="BI34" s="43">
        <f t="shared" si="2"/>
        <v>65366.400000000001</v>
      </c>
    </row>
    <row r="35" spans="1:61" s="41" customFormat="1" ht="39.950000000000003" customHeight="1" x14ac:dyDescent="0.35">
      <c r="A35" s="37">
        <v>44162</v>
      </c>
      <c r="B35" s="40"/>
      <c r="C35" s="138">
        <v>5622224</v>
      </c>
      <c r="D35" s="44">
        <f t="shared" ref="D35" si="605">(+C35-+C34)*48</f>
        <v>91776</v>
      </c>
      <c r="E35" s="36">
        <f t="shared" si="4"/>
        <v>55065.599999999999</v>
      </c>
      <c r="F35" s="44">
        <f t="shared" si="5"/>
        <v>36710.400000000001</v>
      </c>
      <c r="G35" s="138">
        <v>276884</v>
      </c>
      <c r="H35" s="44">
        <f t="shared" ref="H35" si="606">(+G35-+G34)*48</f>
        <v>1728</v>
      </c>
      <c r="I35" s="138">
        <v>95130</v>
      </c>
      <c r="J35" s="44">
        <f t="shared" ref="J35" si="607">(+I35-+I34)*48</f>
        <v>8112</v>
      </c>
      <c r="K35" s="138">
        <v>255801</v>
      </c>
      <c r="L35" s="44">
        <f t="shared" si="0"/>
        <v>192</v>
      </c>
      <c r="M35" s="138">
        <v>24465</v>
      </c>
      <c r="N35" s="44">
        <f t="shared" ref="N35" si="608">(+M35-+M34)*48</f>
        <v>0</v>
      </c>
      <c r="O35" s="138">
        <v>231674</v>
      </c>
      <c r="P35" s="44">
        <f t="shared" ref="P35" si="609">(+O35-+O34)*48</f>
        <v>8736</v>
      </c>
      <c r="Q35" s="138">
        <v>436909</v>
      </c>
      <c r="R35" s="44">
        <f t="shared" ref="R35" si="610">(+Q35-+Q34)*48</f>
        <v>1728</v>
      </c>
      <c r="S35" s="138">
        <v>702272</v>
      </c>
      <c r="T35" s="44">
        <f t="shared" ref="T35" si="611">(+S35-+S34)*48</f>
        <v>6288</v>
      </c>
      <c r="U35" s="138">
        <v>95984.197</v>
      </c>
      <c r="V35" s="45">
        <f t="shared" ref="V35" si="612">(+U35-+U34)*48</f>
        <v>812.54399999999441</v>
      </c>
      <c r="W35" s="138">
        <v>78884</v>
      </c>
      <c r="X35" s="44">
        <f t="shared" ref="X35" si="613">(+W35-+W34)*48</f>
        <v>1200</v>
      </c>
      <c r="Y35" s="138">
        <v>1492806</v>
      </c>
      <c r="Z35" s="44">
        <f t="shared" ref="Z35" si="614">(+Y35-+Y34)*48</f>
        <v>11856</v>
      </c>
      <c r="AA35" s="138">
        <v>13193</v>
      </c>
      <c r="AB35" s="44">
        <f t="shared" ref="AB35" si="615">(+AA35-+AA34)*48</f>
        <v>0</v>
      </c>
      <c r="AC35" s="138">
        <v>436954</v>
      </c>
      <c r="AD35" s="44">
        <f t="shared" si="16"/>
        <v>7824</v>
      </c>
      <c r="AE35" s="138">
        <v>514467</v>
      </c>
      <c r="AF35" s="44">
        <f t="shared" si="16"/>
        <v>5472</v>
      </c>
      <c r="AG35" s="138">
        <v>48979</v>
      </c>
      <c r="AH35" s="44">
        <f t="shared" ref="AH35" si="616">(+AG35-+AG34)*48</f>
        <v>192</v>
      </c>
      <c r="AI35" s="138">
        <v>396855</v>
      </c>
      <c r="AJ35" s="44">
        <f t="shared" ref="AJ35" si="617">(+AI35-+AI34)*48</f>
        <v>4752</v>
      </c>
      <c r="AK35" s="138">
        <v>102371</v>
      </c>
      <c r="AL35" s="44">
        <f t="shared" ref="AL35" si="618">(+AK35-+AK34)*48</f>
        <v>0</v>
      </c>
      <c r="AM35" s="138">
        <v>561125</v>
      </c>
      <c r="AN35" s="44">
        <f t="shared" ref="AN35" si="619">(+AM35-+AM34)*48</f>
        <v>5808</v>
      </c>
      <c r="AO35" s="138">
        <v>902083</v>
      </c>
      <c r="AP35" s="44">
        <f t="shared" ref="AP35" si="620">(+AO35-+AO34)*48</f>
        <v>9936</v>
      </c>
      <c r="AQ35" s="138">
        <v>73284</v>
      </c>
      <c r="AR35" s="44">
        <f t="shared" ref="AR35" si="621">(+AQ35-+AQ34)*48</f>
        <v>3696</v>
      </c>
      <c r="AS35" s="138">
        <v>2225</v>
      </c>
      <c r="AT35" s="44">
        <f t="shared" ref="AT35" si="622">(+AS35-+AS34)*48</f>
        <v>240</v>
      </c>
      <c r="AU35" s="138">
        <v>918</v>
      </c>
      <c r="AV35" s="44">
        <f t="shared" ref="AV35" si="623">(+AU35-+AU34)*48</f>
        <v>0</v>
      </c>
      <c r="AW35" s="138">
        <v>3108</v>
      </c>
      <c r="AX35" s="44">
        <f t="shared" ref="AX35" si="624">(+AW35-+AW34)*48</f>
        <v>0</v>
      </c>
      <c r="AY35" s="138">
        <v>303398</v>
      </c>
      <c r="AZ35" s="44">
        <f t="shared" ref="AZ35" si="625">(+AY35-+AY34)*48</f>
        <v>3792</v>
      </c>
      <c r="BA35" s="138">
        <v>160171</v>
      </c>
      <c r="BB35" s="44">
        <f t="shared" ref="BB35" si="626">(+BA35-+BA34)*48</f>
        <v>0</v>
      </c>
      <c r="BC35" s="138">
        <v>207692</v>
      </c>
      <c r="BD35" s="44">
        <f t="shared" ref="BD35" si="627">(+BC35-+BC34)*48</f>
        <v>2640</v>
      </c>
      <c r="BE35" s="138">
        <v>5347</v>
      </c>
      <c r="BF35" s="44">
        <f t="shared" ref="BF35" si="628">(+BE35-+BE34)*48</f>
        <v>0</v>
      </c>
      <c r="BH35" s="43">
        <f t="shared" si="1"/>
        <v>113958.144</v>
      </c>
      <c r="BI35" s="43">
        <f t="shared" si="2"/>
        <v>62822.400000000001</v>
      </c>
    </row>
    <row r="36" spans="1:61" s="41" customFormat="1" ht="39.950000000000003" customHeight="1" x14ac:dyDescent="0.35">
      <c r="A36" s="37">
        <v>44163</v>
      </c>
      <c r="B36" s="40"/>
      <c r="C36" s="138">
        <v>5624241</v>
      </c>
      <c r="D36" s="44">
        <f t="shared" ref="D36" si="629">(+C36-+C35)*48</f>
        <v>96816</v>
      </c>
      <c r="E36" s="36">
        <f t="shared" si="4"/>
        <v>58089.599999999999</v>
      </c>
      <c r="F36" s="44">
        <f t="shared" si="5"/>
        <v>38726.400000000001</v>
      </c>
      <c r="G36" s="138">
        <v>276917</v>
      </c>
      <c r="H36" s="44">
        <f t="shared" ref="H36" si="630">(+G36-+G35)*48</f>
        <v>1584</v>
      </c>
      <c r="I36" s="138">
        <v>95303</v>
      </c>
      <c r="J36" s="44">
        <f t="shared" ref="J36" si="631">(+I36-+I35)*48</f>
        <v>8304</v>
      </c>
      <c r="K36" s="138">
        <v>255822</v>
      </c>
      <c r="L36" s="44">
        <f t="shared" si="0"/>
        <v>1008</v>
      </c>
      <c r="M36" s="138">
        <v>24465</v>
      </c>
      <c r="N36" s="44">
        <f t="shared" ref="N36" si="632">(+M36-+M35)*48</f>
        <v>0</v>
      </c>
      <c r="O36" s="138">
        <v>231862</v>
      </c>
      <c r="P36" s="44">
        <f t="shared" ref="P36" si="633">(+O36-+O35)*48</f>
        <v>9024</v>
      </c>
      <c r="Q36" s="138">
        <v>437025</v>
      </c>
      <c r="R36" s="44">
        <f t="shared" ref="R36" si="634">(+Q36-+Q35)*48</f>
        <v>5568</v>
      </c>
      <c r="S36" s="138">
        <v>702385</v>
      </c>
      <c r="T36" s="44">
        <f t="shared" ref="T36" si="635">(+S36-+S35)*48</f>
        <v>5424</v>
      </c>
      <c r="U36" s="138">
        <v>96004.422000000006</v>
      </c>
      <c r="V36" s="45">
        <f t="shared" ref="V36" si="636">(+U36-+U35)*48</f>
        <v>970.8000000002794</v>
      </c>
      <c r="W36" s="138">
        <v>78889</v>
      </c>
      <c r="X36" s="44">
        <f t="shared" ref="X36" si="637">(+W36-+W35)*48</f>
        <v>240</v>
      </c>
      <c r="Y36" s="138">
        <v>1493004</v>
      </c>
      <c r="Z36" s="44">
        <f t="shared" ref="Z36" si="638">(+Y36-+Y35)*48</f>
        <v>9504</v>
      </c>
      <c r="AA36" s="138">
        <v>13196</v>
      </c>
      <c r="AB36" s="44">
        <f t="shared" ref="AB36" si="639">(+AA36-+AA35)*48</f>
        <v>144</v>
      </c>
      <c r="AC36" s="138">
        <v>437025</v>
      </c>
      <c r="AD36" s="44">
        <f t="shared" si="16"/>
        <v>3408</v>
      </c>
      <c r="AE36" s="138">
        <v>514574</v>
      </c>
      <c r="AF36" s="44">
        <f t="shared" si="16"/>
        <v>5136</v>
      </c>
      <c r="AG36" s="138">
        <v>48983</v>
      </c>
      <c r="AH36" s="44">
        <f t="shared" ref="AH36" si="640">(+AG36-+AG35)*48</f>
        <v>192</v>
      </c>
      <c r="AI36" s="138">
        <v>396959</v>
      </c>
      <c r="AJ36" s="44">
        <f t="shared" ref="AJ36" si="641">(+AI36-+AI35)*48</f>
        <v>4992</v>
      </c>
      <c r="AK36" s="138">
        <v>102371</v>
      </c>
      <c r="AL36" s="44">
        <f t="shared" ref="AL36" si="642">(+AK36-+AK35)*48</f>
        <v>0</v>
      </c>
      <c r="AM36" s="138">
        <v>561216</v>
      </c>
      <c r="AN36" s="44">
        <f t="shared" ref="AN36" si="643">(+AM36-+AM35)*48</f>
        <v>4368</v>
      </c>
      <c r="AO36" s="138">
        <v>902266</v>
      </c>
      <c r="AP36" s="44">
        <f t="shared" ref="AP36" si="644">(+AO36-+AO35)*48</f>
        <v>8784</v>
      </c>
      <c r="AQ36" s="138">
        <v>73463</v>
      </c>
      <c r="AR36" s="44">
        <f t="shared" ref="AR36" si="645">(+AQ36-+AQ35)*48</f>
        <v>8592</v>
      </c>
      <c r="AS36" s="138">
        <v>2227</v>
      </c>
      <c r="AT36" s="44">
        <f t="shared" ref="AT36" si="646">(+AS36-+AS35)*48</f>
        <v>96</v>
      </c>
      <c r="AU36" s="138">
        <v>918</v>
      </c>
      <c r="AV36" s="44">
        <f t="shared" ref="AV36" si="647">(+AU36-+AU35)*48</f>
        <v>0</v>
      </c>
      <c r="AW36" s="138">
        <v>3108</v>
      </c>
      <c r="AX36" s="44">
        <f t="shared" ref="AX36" si="648">(+AW36-+AW35)*48</f>
        <v>0</v>
      </c>
      <c r="AY36" s="138">
        <v>303475</v>
      </c>
      <c r="AZ36" s="44">
        <f t="shared" ref="AZ36" si="649">(+AY36-+AY35)*48</f>
        <v>3696</v>
      </c>
      <c r="BA36" s="138">
        <v>160171</v>
      </c>
      <c r="BB36" s="44">
        <f t="shared" ref="BB36" si="650">(+BA36-+BA35)*48</f>
        <v>0</v>
      </c>
      <c r="BC36" s="138">
        <v>207746</v>
      </c>
      <c r="BD36" s="44">
        <f t="shared" ref="BD36" si="651">(+BC36-+BC35)*48</f>
        <v>2592</v>
      </c>
      <c r="BE36" s="138">
        <v>5347</v>
      </c>
      <c r="BF36" s="44">
        <f t="shared" ref="BF36" si="652">(+BE36-+BE35)*48</f>
        <v>0</v>
      </c>
      <c r="BH36" s="43">
        <f t="shared" si="1"/>
        <v>113588.40000000029</v>
      </c>
      <c r="BI36" s="43">
        <f t="shared" si="2"/>
        <v>66854.399999999994</v>
      </c>
    </row>
    <row r="37" spans="1:61" s="41" customFormat="1" ht="39.950000000000003" customHeight="1" x14ac:dyDescent="0.35">
      <c r="A37" s="37">
        <v>44164</v>
      </c>
      <c r="B37" s="40"/>
      <c r="C37" s="138">
        <v>5626303</v>
      </c>
      <c r="D37" s="44">
        <f t="shared" ref="D37" si="653">(+C37-+C36)*48</f>
        <v>98976</v>
      </c>
      <c r="E37" s="36">
        <f t="shared" si="4"/>
        <v>59385.599999999999</v>
      </c>
      <c r="F37" s="44">
        <f t="shared" si="5"/>
        <v>39590.400000000001</v>
      </c>
      <c r="G37" s="138">
        <v>276959</v>
      </c>
      <c r="H37" s="44">
        <f t="shared" ref="H37" si="654">(+G37-+G36)*48</f>
        <v>2016</v>
      </c>
      <c r="I37" s="138">
        <v>95471</v>
      </c>
      <c r="J37" s="44">
        <f t="shared" ref="J37" si="655">(+I37-+I36)*48</f>
        <v>8064</v>
      </c>
      <c r="K37" s="138">
        <v>255826</v>
      </c>
      <c r="L37" s="44">
        <f t="shared" si="0"/>
        <v>192</v>
      </c>
      <c r="M37" s="138">
        <v>24465</v>
      </c>
      <c r="N37" s="44">
        <f t="shared" ref="N37" si="656">(+M37-+M36)*48</f>
        <v>0</v>
      </c>
      <c r="O37" s="138">
        <v>232076</v>
      </c>
      <c r="P37" s="44">
        <f t="shared" ref="P37" si="657">(+O37-+O36)*48</f>
        <v>10272</v>
      </c>
      <c r="Q37" s="138">
        <v>437113</v>
      </c>
      <c r="R37" s="44">
        <f t="shared" ref="R37" si="658">(+Q37-+Q36)*48</f>
        <v>4224</v>
      </c>
      <c r="S37" s="138">
        <v>702497</v>
      </c>
      <c r="T37" s="44">
        <f t="shared" ref="T37" si="659">(+S37-+S36)*48</f>
        <v>5376</v>
      </c>
      <c r="U37" s="138">
        <v>96025.131999999998</v>
      </c>
      <c r="V37" s="45">
        <f t="shared" ref="V37" si="660">(+U37-+U36)*48</f>
        <v>994.07999999960884</v>
      </c>
      <c r="W37" s="138">
        <v>78894</v>
      </c>
      <c r="X37" s="44">
        <f t="shared" ref="X37" si="661">(+W37-+W36)*48</f>
        <v>240</v>
      </c>
      <c r="Y37" s="138">
        <v>1493291</v>
      </c>
      <c r="Z37" s="44">
        <f t="shared" ref="Z37" si="662">(+Y37-+Y36)*48</f>
        <v>13776</v>
      </c>
      <c r="AA37" s="138">
        <v>13201</v>
      </c>
      <c r="AB37" s="44">
        <f t="shared" ref="AB37" si="663">(+AA37-+AA36)*48</f>
        <v>240</v>
      </c>
      <c r="AC37" s="138">
        <v>437173</v>
      </c>
      <c r="AD37" s="44">
        <f t="shared" si="16"/>
        <v>7104</v>
      </c>
      <c r="AE37" s="138">
        <v>514666</v>
      </c>
      <c r="AF37" s="44">
        <f t="shared" si="16"/>
        <v>4416</v>
      </c>
      <c r="AG37" s="138">
        <v>48987</v>
      </c>
      <c r="AH37" s="44">
        <f t="shared" ref="AH37" si="664">(+AG37-+AG36)*48</f>
        <v>192</v>
      </c>
      <c r="AI37" s="138">
        <v>397058</v>
      </c>
      <c r="AJ37" s="44">
        <f t="shared" ref="AJ37" si="665">(+AI37-+AI36)*48</f>
        <v>4752</v>
      </c>
      <c r="AK37" s="138">
        <v>102371</v>
      </c>
      <c r="AL37" s="44">
        <f t="shared" ref="AL37" si="666">(+AK37-+AK36)*48</f>
        <v>0</v>
      </c>
      <c r="AM37" s="138">
        <v>561266</v>
      </c>
      <c r="AN37" s="44">
        <f t="shared" ref="AN37" si="667">(+AM37-+AM36)*48</f>
        <v>2400</v>
      </c>
      <c r="AO37" s="138">
        <v>902406</v>
      </c>
      <c r="AP37" s="44">
        <f t="shared" ref="AP37" si="668">(+AO37-+AO36)*48</f>
        <v>6720</v>
      </c>
      <c r="AQ37" s="138">
        <v>73610</v>
      </c>
      <c r="AR37" s="44">
        <f t="shared" ref="AR37" si="669">(+AQ37-+AQ36)*48</f>
        <v>7056</v>
      </c>
      <c r="AS37" s="138">
        <v>2233</v>
      </c>
      <c r="AT37" s="44">
        <f t="shared" ref="AT37" si="670">(+AS37-+AS36)*48</f>
        <v>288</v>
      </c>
      <c r="AU37" s="138">
        <v>918</v>
      </c>
      <c r="AV37" s="44">
        <f t="shared" ref="AV37" si="671">(+AU37-+AU36)*48</f>
        <v>0</v>
      </c>
      <c r="AW37" s="138">
        <v>3108</v>
      </c>
      <c r="AX37" s="44">
        <f t="shared" ref="AX37" si="672">(+AW37-+AW36)*48</f>
        <v>0</v>
      </c>
      <c r="AY37" s="138">
        <v>303557</v>
      </c>
      <c r="AZ37" s="44">
        <f t="shared" ref="AZ37" si="673">(+AY37-+AY36)*48</f>
        <v>3936</v>
      </c>
      <c r="BA37" s="138">
        <v>160171</v>
      </c>
      <c r="BB37" s="44">
        <f t="shared" ref="BB37" si="674">(+BA37-+BA36)*48</f>
        <v>0</v>
      </c>
      <c r="BC37" s="138">
        <v>207798</v>
      </c>
      <c r="BD37" s="44">
        <f t="shared" ref="BD37" si="675">(+BC37-+BC36)*48</f>
        <v>2496</v>
      </c>
      <c r="BE37" s="138">
        <v>5347</v>
      </c>
      <c r="BF37" s="44">
        <f t="shared" ref="BF37" si="676">(+BE37-+BE36)*48</f>
        <v>0</v>
      </c>
      <c r="BH37" s="43">
        <f t="shared" si="1"/>
        <v>121243.67999999961</v>
      </c>
      <c r="BI37" s="43">
        <f t="shared" si="2"/>
        <v>62486.400000000001</v>
      </c>
    </row>
    <row r="38" spans="1:61" s="41" customFormat="1" ht="39.950000000000003" customHeight="1" x14ac:dyDescent="0.35">
      <c r="A38" s="37">
        <v>44165</v>
      </c>
      <c r="B38" s="40"/>
      <c r="C38" s="138">
        <v>5628460</v>
      </c>
      <c r="D38" s="44">
        <f>(+C38-+C37)*48</f>
        <v>103536</v>
      </c>
      <c r="E38" s="36">
        <f t="shared" si="4"/>
        <v>62121.599999999999</v>
      </c>
      <c r="F38" s="44">
        <f t="shared" si="5"/>
        <v>41414.400000000001</v>
      </c>
      <c r="G38" s="138">
        <v>276989</v>
      </c>
      <c r="H38" s="44">
        <f>(+G38-+G37)*48</f>
        <v>1440</v>
      </c>
      <c r="I38" s="138">
        <v>95642</v>
      </c>
      <c r="J38" s="44">
        <f>(+I38-+I37)*48</f>
        <v>8208</v>
      </c>
      <c r="K38" s="138">
        <v>255835</v>
      </c>
      <c r="L38" s="44">
        <f>(+K38-+K37)*48</f>
        <v>432</v>
      </c>
      <c r="M38" s="138">
        <v>24465</v>
      </c>
      <c r="N38" s="44">
        <f>(+M38-+M37)*48</f>
        <v>0</v>
      </c>
      <c r="O38" s="138">
        <v>232269</v>
      </c>
      <c r="P38" s="44">
        <f>(+O38-+O37)*48</f>
        <v>9264</v>
      </c>
      <c r="Q38" s="138">
        <v>437196</v>
      </c>
      <c r="R38" s="44">
        <f>(+Q38-+Q37)*48</f>
        <v>3984</v>
      </c>
      <c r="S38" s="138">
        <v>702616</v>
      </c>
      <c r="T38" s="44">
        <f>(+S38-+S37)*48</f>
        <v>5712</v>
      </c>
      <c r="U38" s="138">
        <v>96046.058999999994</v>
      </c>
      <c r="V38" s="45">
        <f>(+U38-+U37)*48</f>
        <v>1004.49599999981</v>
      </c>
      <c r="W38" s="138">
        <v>78897</v>
      </c>
      <c r="X38" s="44">
        <f>(+W38-+W37)*48</f>
        <v>144</v>
      </c>
      <c r="Y38" s="138">
        <v>1493535</v>
      </c>
      <c r="Z38" s="44">
        <f>(+Y38-+Y37)*48</f>
        <v>11712</v>
      </c>
      <c r="AA38" s="138">
        <v>13204</v>
      </c>
      <c r="AB38" s="44">
        <f>(+AA38-+AA37)*48</f>
        <v>144</v>
      </c>
      <c r="AC38" s="138">
        <v>437267</v>
      </c>
      <c r="AD38" s="44">
        <f>(+AC38-+AC37)*48</f>
        <v>4512</v>
      </c>
      <c r="AE38" s="138">
        <v>514736</v>
      </c>
      <c r="AF38" s="44">
        <f>(+AE38-+AE37)*48</f>
        <v>3360</v>
      </c>
      <c r="AG38" s="138">
        <v>48992</v>
      </c>
      <c r="AH38" s="44">
        <f>(+AG38-+AG37)*48</f>
        <v>240</v>
      </c>
      <c r="AI38" s="138">
        <v>397182</v>
      </c>
      <c r="AJ38" s="44">
        <f>(+AI38-+AI37)*48</f>
        <v>5952</v>
      </c>
      <c r="AK38" s="138">
        <v>102371</v>
      </c>
      <c r="AL38" s="44">
        <f>(+AK38-+AK37)*48</f>
        <v>0</v>
      </c>
      <c r="AM38" s="138">
        <v>561285</v>
      </c>
      <c r="AN38" s="44">
        <f>(+AM38-+AM37)*48</f>
        <v>912</v>
      </c>
      <c r="AO38" s="138">
        <v>902511</v>
      </c>
      <c r="AP38" s="44">
        <f>(+AO38-+AO37)*48</f>
        <v>5040</v>
      </c>
      <c r="AQ38" s="138">
        <v>73842</v>
      </c>
      <c r="AR38" s="44">
        <f>(+AQ38-+AQ37)*48</f>
        <v>11136</v>
      </c>
      <c r="AS38" s="138">
        <v>2235</v>
      </c>
      <c r="AT38" s="44">
        <f>(+AS38-+AS37)*48</f>
        <v>96</v>
      </c>
      <c r="AU38" s="138">
        <v>918</v>
      </c>
      <c r="AV38" s="44">
        <f>(+AU38-+AU37)*48</f>
        <v>0</v>
      </c>
      <c r="AW38" s="138">
        <v>3108</v>
      </c>
      <c r="AX38" s="44">
        <f>(+AW38-+AW37)*48</f>
        <v>0</v>
      </c>
      <c r="AY38" s="138">
        <v>303642</v>
      </c>
      <c r="AZ38" s="44">
        <f>(+AY38-+AY37)*48</f>
        <v>4080</v>
      </c>
      <c r="BA38" s="138">
        <v>160171</v>
      </c>
      <c r="BB38" s="44">
        <f>(+BA38-+BA37)*48</f>
        <v>0</v>
      </c>
      <c r="BC38" s="138">
        <v>207851</v>
      </c>
      <c r="BD38" s="44">
        <f>(+BC38-+BC37)*48</f>
        <v>2544</v>
      </c>
      <c r="BE38" s="138">
        <v>5347</v>
      </c>
      <c r="BF38" s="44">
        <f>(+BE38-+BE37)*48</f>
        <v>0</v>
      </c>
      <c r="BH38" s="43">
        <f t="shared" si="1"/>
        <v>118230.09599999982</v>
      </c>
      <c r="BI38" s="43">
        <f t="shared" si="2"/>
        <v>65222.400000000001</v>
      </c>
    </row>
    <row r="39" spans="1:61" s="117" customFormat="1" ht="39.950000000000003" customHeight="1" x14ac:dyDescent="0.25">
      <c r="A39" s="37"/>
      <c r="B39" s="116"/>
      <c r="C39" s="137"/>
      <c r="D39" s="44"/>
      <c r="E39" s="36"/>
      <c r="F39" s="44"/>
      <c r="G39" s="137"/>
      <c r="H39" s="44"/>
      <c r="I39" s="137"/>
      <c r="J39" s="44"/>
      <c r="K39" s="137"/>
      <c r="L39" s="44"/>
      <c r="M39" s="137"/>
      <c r="N39" s="44"/>
      <c r="O39" s="137"/>
      <c r="P39" s="44"/>
      <c r="Q39" s="137"/>
      <c r="R39" s="44"/>
      <c r="S39" s="137"/>
      <c r="T39" s="44"/>
      <c r="U39" s="137"/>
      <c r="V39" s="45"/>
      <c r="W39" s="137"/>
      <c r="X39" s="44"/>
      <c r="Y39" s="137"/>
      <c r="Z39" s="44"/>
      <c r="AA39" s="38"/>
      <c r="AB39" s="44"/>
      <c r="AC39" s="137"/>
      <c r="AD39" s="44"/>
      <c r="AE39" s="137"/>
      <c r="AF39" s="44"/>
      <c r="AG39" s="137"/>
      <c r="AH39" s="44"/>
      <c r="AI39" s="137"/>
      <c r="AJ39" s="44"/>
      <c r="AK39" s="138"/>
      <c r="AL39" s="44"/>
      <c r="AM39" s="137"/>
      <c r="AN39" s="44"/>
      <c r="AO39" s="137"/>
      <c r="AP39" s="44"/>
      <c r="AQ39" s="137"/>
      <c r="AR39" s="44"/>
      <c r="AS39" s="138"/>
      <c r="AT39" s="44"/>
      <c r="AU39" s="138"/>
      <c r="AV39" s="44"/>
      <c r="AW39" s="138"/>
      <c r="AX39" s="44"/>
      <c r="AY39" s="137"/>
      <c r="AZ39" s="44"/>
      <c r="BA39" s="138"/>
      <c r="BB39" s="44"/>
      <c r="BC39" s="137"/>
      <c r="BD39" s="44"/>
      <c r="BE39" s="138"/>
      <c r="BF39" s="44"/>
      <c r="BH39" s="118"/>
      <c r="BI39" s="118"/>
    </row>
    <row r="40" spans="1:61" s="41" customFormat="1" ht="39.950000000000003" customHeight="1" x14ac:dyDescent="0.35">
      <c r="A40" s="42"/>
      <c r="AD40" s="31"/>
      <c r="AE40" s="139"/>
      <c r="AG40" s="139"/>
      <c r="AI40" s="139"/>
      <c r="AK40" s="139"/>
      <c r="AM40" s="139"/>
      <c r="AO40" s="139"/>
      <c r="AQ40" s="139"/>
      <c r="AS40" s="139"/>
      <c r="AU40" s="139"/>
      <c r="AW40" s="139"/>
      <c r="AY40" s="139"/>
      <c r="BA40" s="139"/>
      <c r="BC40" s="139"/>
      <c r="BE40" s="139"/>
      <c r="BH40" s="24"/>
      <c r="BI40" s="24"/>
    </row>
    <row r="41" spans="1:61" s="41" customFormat="1" ht="39.950000000000003" customHeight="1" x14ac:dyDescent="0.35">
      <c r="A41" s="42"/>
      <c r="AD41" s="31"/>
      <c r="AE41" s="139"/>
      <c r="AG41" s="139"/>
      <c r="AI41" s="139"/>
      <c r="AK41" s="139"/>
      <c r="AM41" s="139"/>
      <c r="AO41" s="139"/>
      <c r="AQ41" s="139"/>
      <c r="AS41" s="139"/>
      <c r="AU41" s="139"/>
      <c r="AW41" s="139"/>
      <c r="AY41" s="139"/>
      <c r="BA41" s="139"/>
      <c r="BC41" s="139"/>
      <c r="BE41" s="139"/>
      <c r="BH41" s="31"/>
      <c r="BI41" s="31"/>
    </row>
    <row r="42" spans="1:61" s="41" customFormat="1" ht="39.950000000000003" customHeight="1" x14ac:dyDescent="0.35">
      <c r="A42" s="42"/>
      <c r="AD42" s="31"/>
      <c r="AE42" s="139"/>
      <c r="AG42" s="139"/>
      <c r="AI42" s="139"/>
      <c r="AK42" s="139"/>
      <c r="AM42" s="139"/>
      <c r="AO42" s="139"/>
      <c r="AQ42" s="139"/>
      <c r="AS42" s="139"/>
      <c r="AU42" s="139"/>
      <c r="AW42" s="139"/>
      <c r="AY42" s="139"/>
      <c r="BA42" s="139"/>
      <c r="BC42" s="139"/>
      <c r="BE42" s="139"/>
      <c r="BH42" s="31"/>
      <c r="BI42" s="31"/>
    </row>
    <row r="43" spans="1:61" s="41" customFormat="1" ht="21" x14ac:dyDescent="0.35">
      <c r="A43" s="42"/>
      <c r="AD43" s="31"/>
      <c r="AE43" s="139"/>
      <c r="AG43" s="139"/>
      <c r="AI43" s="139"/>
      <c r="AK43" s="139"/>
      <c r="AM43" s="139"/>
      <c r="AO43" s="139"/>
      <c r="AQ43" s="139"/>
      <c r="AS43" s="139"/>
      <c r="AU43" s="139"/>
      <c r="AW43" s="139"/>
      <c r="AY43" s="139"/>
      <c r="BA43" s="139"/>
      <c r="BC43" s="139"/>
      <c r="BE43" s="139"/>
      <c r="BH43" s="31"/>
      <c r="BI43" s="31"/>
    </row>
    <row r="44" spans="1:61" s="41" customFormat="1" ht="21" x14ac:dyDescent="0.35">
      <c r="A44" s="42"/>
      <c r="AD44" s="31"/>
      <c r="AE44" s="139"/>
      <c r="AG44" s="139"/>
      <c r="AI44" s="139"/>
      <c r="AK44" s="139"/>
      <c r="AM44" s="139"/>
      <c r="AO44" s="139"/>
      <c r="AQ44" s="139"/>
      <c r="AS44" s="139"/>
      <c r="AU44" s="139"/>
      <c r="AW44" s="139"/>
      <c r="AY44" s="139"/>
      <c r="BA44" s="139"/>
      <c r="BC44" s="139"/>
      <c r="BE44" s="139"/>
      <c r="BH44" s="31"/>
      <c r="BI44" s="31"/>
    </row>
    <row r="45" spans="1:61" s="41" customFormat="1" ht="21" x14ac:dyDescent="0.35">
      <c r="A45" s="42"/>
      <c r="AD45" s="31"/>
      <c r="AE45" s="139"/>
      <c r="AG45" s="139"/>
      <c r="AI45" s="139"/>
      <c r="AK45" s="139"/>
      <c r="AM45" s="139"/>
      <c r="AO45" s="139"/>
      <c r="AQ45" s="139"/>
      <c r="AS45" s="139"/>
      <c r="AU45" s="139"/>
      <c r="AW45" s="139"/>
      <c r="AY45" s="139"/>
      <c r="BA45" s="139"/>
      <c r="BC45" s="139"/>
      <c r="BE45" s="139"/>
      <c r="BH45" s="31"/>
      <c r="BI45" s="31"/>
    </row>
    <row r="46" spans="1:61" s="41" customFormat="1" ht="21" x14ac:dyDescent="0.35">
      <c r="A46" s="42"/>
      <c r="AD46" s="31"/>
      <c r="AE46" s="139"/>
      <c r="AG46" s="139"/>
      <c r="AI46" s="139"/>
      <c r="AK46" s="139"/>
      <c r="AM46" s="139"/>
      <c r="AO46" s="139"/>
      <c r="AQ46" s="139"/>
      <c r="AS46" s="139"/>
      <c r="AU46" s="139"/>
      <c r="AW46" s="139"/>
      <c r="AY46" s="139"/>
      <c r="BA46" s="139"/>
      <c r="BC46" s="139"/>
      <c r="BE46" s="139"/>
      <c r="BH46" s="31"/>
      <c r="BI46" s="31"/>
    </row>
    <row r="47" spans="1:61" s="41" customFormat="1" ht="21" x14ac:dyDescent="0.35">
      <c r="A47" s="42"/>
      <c r="AD47" s="31"/>
      <c r="AE47" s="139"/>
      <c r="AG47" s="139"/>
      <c r="AI47" s="139"/>
      <c r="AK47" s="139"/>
      <c r="AM47" s="139"/>
      <c r="AO47" s="139"/>
      <c r="AQ47" s="139"/>
      <c r="AS47" s="139"/>
      <c r="AU47" s="139"/>
      <c r="AW47" s="139"/>
      <c r="AY47" s="139"/>
      <c r="BA47" s="139"/>
      <c r="BC47" s="139"/>
      <c r="BE47" s="139"/>
      <c r="BH47" s="31"/>
      <c r="BI47" s="31"/>
    </row>
    <row r="48" spans="1:61" ht="21" x14ac:dyDescent="0.35">
      <c r="A48" s="11"/>
      <c r="BH48" s="31"/>
      <c r="BI48" s="31"/>
    </row>
    <row r="49" spans="1:1" x14ac:dyDescent="0.5">
      <c r="A49" s="11"/>
    </row>
    <row r="50" spans="1:1" x14ac:dyDescent="0.5">
      <c r="A50" s="11"/>
    </row>
    <row r="51" spans="1:1" x14ac:dyDescent="0.5">
      <c r="A51" s="11"/>
    </row>
    <row r="52" spans="1:1" x14ac:dyDescent="0.5">
      <c r="A52" s="11"/>
    </row>
    <row r="53" spans="1:1" x14ac:dyDescent="0.5">
      <c r="A53" s="11"/>
    </row>
    <row r="54" spans="1:1" x14ac:dyDescent="0.5">
      <c r="A54" s="11"/>
    </row>
    <row r="55" spans="1:1" x14ac:dyDescent="0.5">
      <c r="A55" s="11"/>
    </row>
    <row r="56" spans="1:1" x14ac:dyDescent="0.5">
      <c r="A56" s="11"/>
    </row>
    <row r="57" spans="1:1" x14ac:dyDescent="0.5">
      <c r="A57" s="11"/>
    </row>
    <row r="58" spans="1:1" x14ac:dyDescent="0.5">
      <c r="A58" s="11"/>
    </row>
    <row r="59" spans="1:1" x14ac:dyDescent="0.5">
      <c r="A59" s="11"/>
    </row>
    <row r="60" spans="1:1" x14ac:dyDescent="0.5">
      <c r="A60" s="11"/>
    </row>
    <row r="61" spans="1:1" x14ac:dyDescent="0.5">
      <c r="A61" s="11"/>
    </row>
    <row r="62" spans="1:1" x14ac:dyDescent="0.5">
      <c r="A62" s="11"/>
    </row>
    <row r="63" spans="1:1" x14ac:dyDescent="0.5">
      <c r="A63" s="11"/>
    </row>
    <row r="64" spans="1:1" x14ac:dyDescent="0.5">
      <c r="A64" s="11"/>
    </row>
    <row r="65" spans="1:1" x14ac:dyDescent="0.5">
      <c r="A65" s="11"/>
    </row>
    <row r="66" spans="1:1" x14ac:dyDescent="0.5">
      <c r="A66" s="11"/>
    </row>
    <row r="67" spans="1:1" x14ac:dyDescent="0.5">
      <c r="A67" s="11"/>
    </row>
    <row r="68" spans="1:1" x14ac:dyDescent="0.5">
      <c r="A68" s="11"/>
    </row>
    <row r="69" spans="1:1" x14ac:dyDescent="0.5">
      <c r="A69" s="11"/>
    </row>
    <row r="70" spans="1:1" x14ac:dyDescent="0.5">
      <c r="A70" s="11"/>
    </row>
    <row r="71" spans="1:1" x14ac:dyDescent="0.5">
      <c r="A71" s="11"/>
    </row>
    <row r="72" spans="1:1" x14ac:dyDescent="0.5">
      <c r="A72" s="11"/>
    </row>
    <row r="73" spans="1:1" x14ac:dyDescent="0.5">
      <c r="A73" s="11"/>
    </row>
    <row r="74" spans="1:1" x14ac:dyDescent="0.5">
      <c r="A74" s="11"/>
    </row>
    <row r="75" spans="1:1" x14ac:dyDescent="0.5">
      <c r="A75" s="11"/>
    </row>
    <row r="76" spans="1:1" x14ac:dyDescent="0.5">
      <c r="A76" s="11"/>
    </row>
    <row r="77" spans="1:1" x14ac:dyDescent="0.5">
      <c r="A77" s="11"/>
    </row>
    <row r="78" spans="1:1" x14ac:dyDescent="0.5">
      <c r="A78" s="11"/>
    </row>
    <row r="79" spans="1:1" x14ac:dyDescent="0.5">
      <c r="A79" s="11"/>
    </row>
    <row r="80" spans="1:1" x14ac:dyDescent="0.5">
      <c r="A80" s="11"/>
    </row>
    <row r="81" spans="1:1" x14ac:dyDescent="0.5">
      <c r="A81" s="11"/>
    </row>
    <row r="82" spans="1:1" x14ac:dyDescent="0.5">
      <c r="A82" s="11"/>
    </row>
    <row r="83" spans="1:1" x14ac:dyDescent="0.5">
      <c r="A83" s="11"/>
    </row>
    <row r="84" spans="1:1" x14ac:dyDescent="0.5">
      <c r="A84" s="11"/>
    </row>
    <row r="85" spans="1:1" x14ac:dyDescent="0.5">
      <c r="A85" s="11"/>
    </row>
    <row r="86" spans="1:1" x14ac:dyDescent="0.5">
      <c r="A86" s="11"/>
    </row>
    <row r="87" spans="1:1" x14ac:dyDescent="0.5">
      <c r="A87" s="11"/>
    </row>
    <row r="88" spans="1:1" x14ac:dyDescent="0.5">
      <c r="A88" s="11"/>
    </row>
    <row r="89" spans="1:1" x14ac:dyDescent="0.5">
      <c r="A89" s="11"/>
    </row>
    <row r="90" spans="1:1" x14ac:dyDescent="0.5">
      <c r="A90" s="11"/>
    </row>
  </sheetData>
  <mergeCells count="163">
    <mergeCell ref="C3:D3"/>
    <mergeCell ref="M3:N3"/>
    <mergeCell ref="W3:X3"/>
    <mergeCell ref="BE3:BF3"/>
    <mergeCell ref="AI1:AJ1"/>
    <mergeCell ref="AI2:AJ2"/>
    <mergeCell ref="AI4:AJ4"/>
    <mergeCell ref="AI5:AJ5"/>
    <mergeCell ref="BH4:BI5"/>
    <mergeCell ref="AC3:AD3"/>
    <mergeCell ref="E4:F4"/>
    <mergeCell ref="C2:F2"/>
    <mergeCell ref="C1:F1"/>
    <mergeCell ref="S3:T3"/>
    <mergeCell ref="Q3:R3"/>
    <mergeCell ref="K3:L3"/>
    <mergeCell ref="G3:H3"/>
    <mergeCell ref="O3:P3"/>
    <mergeCell ref="AE3:AF3"/>
    <mergeCell ref="AS3:AT3"/>
    <mergeCell ref="AO3:AP3"/>
    <mergeCell ref="AM3:AN3"/>
    <mergeCell ref="I3:J3"/>
    <mergeCell ref="AA3:AB3"/>
    <mergeCell ref="U3:V3"/>
    <mergeCell ref="AG3:AH3"/>
    <mergeCell ref="AQ3:AR3"/>
    <mergeCell ref="Y3:Z3"/>
    <mergeCell ref="BE6:BF6"/>
    <mergeCell ref="BC1:BD1"/>
    <mergeCell ref="BC2:BD2"/>
    <mergeCell ref="BC4:BD4"/>
    <mergeCell ref="BC5:BD5"/>
    <mergeCell ref="BC6:BD6"/>
    <mergeCell ref="AK1:AL1"/>
    <mergeCell ref="AK2:AL2"/>
    <mergeCell ref="AK4:AL4"/>
    <mergeCell ref="AK5:AL5"/>
    <mergeCell ref="AK6:AL6"/>
    <mergeCell ref="BA1:BB1"/>
    <mergeCell ref="BA2:BB2"/>
    <mergeCell ref="BA4:BB4"/>
    <mergeCell ref="BA5:BB5"/>
    <mergeCell ref="BA6:BB6"/>
    <mergeCell ref="BC3:BD3"/>
    <mergeCell ref="BA3:BB3"/>
    <mergeCell ref="AY3:AZ3"/>
    <mergeCell ref="AK3:AL3"/>
    <mergeCell ref="BE1:BF1"/>
    <mergeCell ref="BE2:BF2"/>
    <mergeCell ref="BE4:BF4"/>
    <mergeCell ref="BE5:BF5"/>
    <mergeCell ref="AY1:AZ1"/>
    <mergeCell ref="AY2:AZ2"/>
    <mergeCell ref="AY4:AZ4"/>
    <mergeCell ref="AY5:AZ5"/>
    <mergeCell ref="AY6:AZ6"/>
    <mergeCell ref="AG1:AH1"/>
    <mergeCell ref="AG2:AH2"/>
    <mergeCell ref="AG4:AH4"/>
    <mergeCell ref="AG5:AH5"/>
    <mergeCell ref="AG6:AH6"/>
    <mergeCell ref="AQ1:AR1"/>
    <mergeCell ref="AQ2:AR2"/>
    <mergeCell ref="AQ4:AR4"/>
    <mergeCell ref="AQ5:AR5"/>
    <mergeCell ref="AQ6:AR6"/>
    <mergeCell ref="AU6:AV6"/>
    <mergeCell ref="AW1:AX1"/>
    <mergeCell ref="AW2:AX2"/>
    <mergeCell ref="AW4:AX4"/>
    <mergeCell ref="AW5:AX5"/>
    <mergeCell ref="AW6:AX6"/>
    <mergeCell ref="AW3:AX3"/>
    <mergeCell ref="AU3:AV3"/>
    <mergeCell ref="AI3:AJ3"/>
    <mergeCell ref="C4:D4"/>
    <mergeCell ref="C5:D5"/>
    <mergeCell ref="C6:D6"/>
    <mergeCell ref="Y1:Z1"/>
    <mergeCell ref="Y2:Z2"/>
    <mergeCell ref="Y4:Z4"/>
    <mergeCell ref="Y5:Z5"/>
    <mergeCell ref="Y6:Z6"/>
    <mergeCell ref="W1:X1"/>
    <mergeCell ref="W2:X2"/>
    <mergeCell ref="W4:X4"/>
    <mergeCell ref="W5:X5"/>
    <mergeCell ref="W6:X6"/>
    <mergeCell ref="M1:N1"/>
    <mergeCell ref="M2:N2"/>
    <mergeCell ref="M4:N4"/>
    <mergeCell ref="M5:N5"/>
    <mergeCell ref="M6:N6"/>
    <mergeCell ref="U6:V6"/>
    <mergeCell ref="G5:H5"/>
    <mergeCell ref="G4:H4"/>
    <mergeCell ref="K4:L4"/>
    <mergeCell ref="Q4:R4"/>
    <mergeCell ref="G2:H2"/>
    <mergeCell ref="AC4:AD4"/>
    <mergeCell ref="AE4:AF4"/>
    <mergeCell ref="O4:P4"/>
    <mergeCell ref="AA6:AB6"/>
    <mergeCell ref="I6:J6"/>
    <mergeCell ref="AM6:AN6"/>
    <mergeCell ref="AO6:AP6"/>
    <mergeCell ref="AS6:AT6"/>
    <mergeCell ref="AC6:AD6"/>
    <mergeCell ref="AE6:AF6"/>
    <mergeCell ref="O6:P6"/>
    <mergeCell ref="K6:L6"/>
    <mergeCell ref="Q6:R6"/>
    <mergeCell ref="S6:T6"/>
    <mergeCell ref="AI6:AJ6"/>
    <mergeCell ref="AC1:AD1"/>
    <mergeCell ref="AE1:AF1"/>
    <mergeCell ref="O1:P1"/>
    <mergeCell ref="AA5:AB5"/>
    <mergeCell ref="I5:J5"/>
    <mergeCell ref="AM5:AN5"/>
    <mergeCell ref="AO5:AP5"/>
    <mergeCell ref="AS5:AT5"/>
    <mergeCell ref="AU5:AV5"/>
    <mergeCell ref="AS4:AT4"/>
    <mergeCell ref="AU4:AV4"/>
    <mergeCell ref="AC5:AD5"/>
    <mergeCell ref="AE5:AF5"/>
    <mergeCell ref="O5:P5"/>
    <mergeCell ref="K5:L5"/>
    <mergeCell ref="Q5:R5"/>
    <mergeCell ref="S5:T5"/>
    <mergeCell ref="U5:V5"/>
    <mergeCell ref="S4:T4"/>
    <mergeCell ref="U4:V4"/>
    <mergeCell ref="AA4:AB4"/>
    <mergeCell ref="I4:J4"/>
    <mergeCell ref="AM4:AN4"/>
    <mergeCell ref="AO4:AP4"/>
    <mergeCell ref="G1:H1"/>
    <mergeCell ref="K1:L1"/>
    <mergeCell ref="Q1:R1"/>
    <mergeCell ref="AA2:AB2"/>
    <mergeCell ref="I2:J2"/>
    <mergeCell ref="AM2:AN2"/>
    <mergeCell ref="AO2:AP2"/>
    <mergeCell ref="AS2:AT2"/>
    <mergeCell ref="AU2:AV2"/>
    <mergeCell ref="AS1:AT1"/>
    <mergeCell ref="AU1:AV1"/>
    <mergeCell ref="AC2:AD2"/>
    <mergeCell ref="AE2:AF2"/>
    <mergeCell ref="O2:P2"/>
    <mergeCell ref="K2:L2"/>
    <mergeCell ref="Q2:R2"/>
    <mergeCell ref="S2:T2"/>
    <mergeCell ref="U2:V2"/>
    <mergeCell ref="S1:T1"/>
    <mergeCell ref="U1:V1"/>
    <mergeCell ref="AA1:AB1"/>
    <mergeCell ref="I1:J1"/>
    <mergeCell ref="AM1:AN1"/>
    <mergeCell ref="AO1:A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89"/>
  <sheetViews>
    <sheetView zoomScale="70" zoomScaleNormal="70" workbookViewId="0">
      <selection activeCell="J17" sqref="J17"/>
    </sheetView>
  </sheetViews>
  <sheetFormatPr defaultRowHeight="21" x14ac:dyDescent="0.35"/>
  <cols>
    <col min="1" max="1" width="15.7109375" style="9" customWidth="1"/>
    <col min="2" max="2" width="2.42578125" customWidth="1"/>
    <col min="3" max="3" width="30.7109375" customWidth="1"/>
    <col min="4" max="14" width="30.7109375" style="1" customWidth="1"/>
    <col min="15" max="15" width="5.7109375" style="1" customWidth="1"/>
    <col min="16" max="25" width="30.7109375" customWidth="1"/>
    <col min="26" max="26" width="5.7109375" style="57" customWidth="1"/>
    <col min="27" max="40" width="30.7109375" customWidth="1"/>
    <col min="41" max="41" width="5.7109375" style="57" customWidth="1"/>
    <col min="42" max="57" width="30.7109375" customWidth="1"/>
    <col min="58" max="58" width="5.7109375" style="57" customWidth="1"/>
    <col min="59" max="72" width="30.7109375" customWidth="1"/>
    <col min="73" max="73" width="5.7109375" style="57" customWidth="1"/>
    <col min="74" max="81" width="30.7109375" customWidth="1"/>
    <col min="82" max="82" width="5.7109375" style="57" customWidth="1"/>
    <col min="83" max="84" width="30.7109375" customWidth="1"/>
    <col min="85" max="85" width="5.7109375" style="57" customWidth="1"/>
    <col min="86" max="87" width="30.7109375" customWidth="1"/>
    <col min="88" max="88" width="5.7109375" style="57" customWidth="1"/>
    <col min="89" max="90" width="30.7109375" customWidth="1"/>
    <col min="91" max="91" width="5.7109375" style="57" customWidth="1"/>
    <col min="92" max="93" width="30.7109375" customWidth="1"/>
    <col min="94" max="94" width="5.7109375" style="57" customWidth="1"/>
    <col min="95" max="96" width="30.7109375" customWidth="1"/>
    <col min="97" max="97" width="5.7109375" style="57" customWidth="1"/>
    <col min="98" max="111" width="30.7109375" customWidth="1"/>
    <col min="112" max="112" width="5.7109375" style="57" customWidth="1"/>
    <col min="113" max="114" width="30.7109375" customWidth="1"/>
    <col min="115" max="115" width="5.7109375" style="57" customWidth="1"/>
    <col min="116" max="117" width="30.7109375" customWidth="1"/>
    <col min="118" max="127" width="25.7109375" customWidth="1"/>
  </cols>
  <sheetData>
    <row r="1" spans="1:127" s="12" customFormat="1" ht="49.5" customHeight="1" x14ac:dyDescent="0.25">
      <c r="A1" s="75"/>
      <c r="B1" s="75"/>
      <c r="C1" s="160" t="s">
        <v>13</v>
      </c>
      <c r="D1" s="160"/>
      <c r="E1" s="160" t="s">
        <v>145</v>
      </c>
      <c r="F1" s="160"/>
      <c r="G1" s="160" t="s">
        <v>145</v>
      </c>
      <c r="H1" s="160"/>
      <c r="I1" s="160" t="s">
        <v>145</v>
      </c>
      <c r="J1" s="160"/>
      <c r="K1" s="160" t="s">
        <v>145</v>
      </c>
      <c r="L1" s="160"/>
      <c r="M1" s="160" t="s">
        <v>145</v>
      </c>
      <c r="N1" s="160"/>
      <c r="O1" s="77"/>
      <c r="P1" s="160" t="s">
        <v>13</v>
      </c>
      <c r="Q1" s="160"/>
      <c r="R1" s="160" t="s">
        <v>145</v>
      </c>
      <c r="S1" s="160"/>
      <c r="T1" s="160" t="s">
        <v>145</v>
      </c>
      <c r="U1" s="160"/>
      <c r="V1" s="160" t="s">
        <v>145</v>
      </c>
      <c r="W1" s="160"/>
      <c r="X1" s="160" t="s">
        <v>145</v>
      </c>
      <c r="Y1" s="160"/>
      <c r="Z1" s="88"/>
      <c r="AA1" s="160" t="s">
        <v>13</v>
      </c>
      <c r="AB1" s="160"/>
      <c r="AC1" s="160" t="s">
        <v>145</v>
      </c>
      <c r="AD1" s="160"/>
      <c r="AE1" s="160" t="s">
        <v>145</v>
      </c>
      <c r="AF1" s="160"/>
      <c r="AG1" s="160" t="s">
        <v>145</v>
      </c>
      <c r="AH1" s="160"/>
      <c r="AI1" s="160" t="s">
        <v>145</v>
      </c>
      <c r="AJ1" s="160"/>
      <c r="AK1" s="160" t="s">
        <v>145</v>
      </c>
      <c r="AL1" s="160"/>
      <c r="AM1" s="160" t="s">
        <v>145</v>
      </c>
      <c r="AN1" s="160"/>
      <c r="AO1" s="88"/>
      <c r="AP1" s="160" t="s">
        <v>13</v>
      </c>
      <c r="AQ1" s="160"/>
      <c r="AR1" s="160" t="s">
        <v>145</v>
      </c>
      <c r="AS1" s="160"/>
      <c r="AT1" s="160" t="s">
        <v>145</v>
      </c>
      <c r="AU1" s="160"/>
      <c r="AV1" s="160" t="s">
        <v>145</v>
      </c>
      <c r="AW1" s="160"/>
      <c r="AX1" s="160" t="s">
        <v>145</v>
      </c>
      <c r="AY1" s="160"/>
      <c r="AZ1" s="160" t="s">
        <v>145</v>
      </c>
      <c r="BA1" s="160"/>
      <c r="BB1" s="160" t="s">
        <v>145</v>
      </c>
      <c r="BC1" s="160"/>
      <c r="BD1" s="160" t="s">
        <v>145</v>
      </c>
      <c r="BE1" s="160"/>
      <c r="BF1" s="88"/>
      <c r="BG1" s="160" t="s">
        <v>13</v>
      </c>
      <c r="BH1" s="160"/>
      <c r="BI1" s="160" t="s">
        <v>145</v>
      </c>
      <c r="BJ1" s="160"/>
      <c r="BK1" s="160" t="s">
        <v>145</v>
      </c>
      <c r="BL1" s="160"/>
      <c r="BM1" s="160" t="s">
        <v>145</v>
      </c>
      <c r="BN1" s="160"/>
      <c r="BO1" s="160" t="s">
        <v>145</v>
      </c>
      <c r="BP1" s="160"/>
      <c r="BQ1" s="160" t="s">
        <v>145</v>
      </c>
      <c r="BR1" s="160"/>
      <c r="BS1" s="160" t="s">
        <v>145</v>
      </c>
      <c r="BT1" s="160"/>
      <c r="BU1" s="88"/>
      <c r="BV1" s="146" t="s">
        <v>14</v>
      </c>
      <c r="BW1" s="147"/>
      <c r="BX1" s="160" t="s">
        <v>145</v>
      </c>
      <c r="BY1" s="160"/>
      <c r="BZ1" s="160" t="s">
        <v>145</v>
      </c>
      <c r="CA1" s="160"/>
      <c r="CB1" s="160" t="s">
        <v>145</v>
      </c>
      <c r="CC1" s="160"/>
      <c r="CD1" s="88"/>
      <c r="CE1" s="146" t="s">
        <v>14</v>
      </c>
      <c r="CF1" s="147"/>
      <c r="CG1" s="88"/>
      <c r="CH1" s="146" t="s">
        <v>14</v>
      </c>
      <c r="CI1" s="147"/>
      <c r="CJ1" s="88"/>
      <c r="CK1" s="146" t="s">
        <v>14</v>
      </c>
      <c r="CL1" s="147"/>
      <c r="CM1" s="88"/>
      <c r="CN1" s="160" t="s">
        <v>15</v>
      </c>
      <c r="CO1" s="160"/>
      <c r="CP1" s="88"/>
      <c r="CQ1" s="160" t="s">
        <v>15</v>
      </c>
      <c r="CR1" s="160"/>
      <c r="CS1" s="88"/>
      <c r="CT1" s="160" t="s">
        <v>15</v>
      </c>
      <c r="CU1" s="160"/>
      <c r="CV1" s="160" t="s">
        <v>145</v>
      </c>
      <c r="CW1" s="160"/>
      <c r="CX1" s="160" t="s">
        <v>145</v>
      </c>
      <c r="CY1" s="160"/>
      <c r="CZ1" s="160" t="s">
        <v>145</v>
      </c>
      <c r="DA1" s="160"/>
      <c r="DB1" s="160" t="s">
        <v>145</v>
      </c>
      <c r="DC1" s="160"/>
      <c r="DD1" s="160" t="s">
        <v>145</v>
      </c>
      <c r="DE1" s="160"/>
      <c r="DF1" s="160" t="s">
        <v>145</v>
      </c>
      <c r="DG1" s="160"/>
      <c r="DH1" s="88"/>
      <c r="DI1" s="160" t="s">
        <v>15</v>
      </c>
      <c r="DJ1" s="160"/>
      <c r="DK1" s="88"/>
      <c r="DL1" s="160" t="s">
        <v>15</v>
      </c>
      <c r="DM1" s="160"/>
      <c r="DN1" s="160" t="s">
        <v>145</v>
      </c>
      <c r="DO1" s="160"/>
      <c r="DP1" s="160" t="s">
        <v>145</v>
      </c>
      <c r="DQ1" s="160"/>
      <c r="DR1" s="160" t="s">
        <v>145</v>
      </c>
      <c r="DS1" s="160"/>
      <c r="DT1" s="160" t="s">
        <v>145</v>
      </c>
      <c r="DU1" s="160"/>
      <c r="DV1" s="160" t="s">
        <v>145</v>
      </c>
      <c r="DW1" s="160"/>
    </row>
    <row r="2" spans="1:127" s="3" customFormat="1" ht="113.25" customHeight="1" x14ac:dyDescent="0.25">
      <c r="A2" s="13"/>
      <c r="B2" s="14"/>
      <c r="C2" s="159" t="s">
        <v>16</v>
      </c>
      <c r="D2" s="159"/>
      <c r="E2" s="159" t="s">
        <v>146</v>
      </c>
      <c r="F2" s="159"/>
      <c r="G2" s="159" t="s">
        <v>147</v>
      </c>
      <c r="H2" s="159"/>
      <c r="I2" s="159" t="s">
        <v>148</v>
      </c>
      <c r="J2" s="159"/>
      <c r="K2" s="159" t="s">
        <v>149</v>
      </c>
      <c r="L2" s="159"/>
      <c r="M2" s="159" t="s">
        <v>150</v>
      </c>
      <c r="N2" s="159"/>
      <c r="O2" s="78"/>
      <c r="P2" s="159" t="s">
        <v>17</v>
      </c>
      <c r="Q2" s="159"/>
      <c r="R2" s="159" t="s">
        <v>151</v>
      </c>
      <c r="S2" s="159"/>
      <c r="T2" s="159" t="s">
        <v>152</v>
      </c>
      <c r="U2" s="159"/>
      <c r="V2" s="159" t="s">
        <v>153</v>
      </c>
      <c r="W2" s="159"/>
      <c r="X2" s="159" t="s">
        <v>154</v>
      </c>
      <c r="Y2" s="159"/>
      <c r="Z2" s="89"/>
      <c r="AA2" s="149" t="s">
        <v>18</v>
      </c>
      <c r="AB2" s="150"/>
      <c r="AC2" s="149" t="s">
        <v>155</v>
      </c>
      <c r="AD2" s="150"/>
      <c r="AE2" s="149" t="s">
        <v>156</v>
      </c>
      <c r="AF2" s="150"/>
      <c r="AG2" s="149" t="s">
        <v>157</v>
      </c>
      <c r="AH2" s="150"/>
      <c r="AI2" s="149" t="s">
        <v>158</v>
      </c>
      <c r="AJ2" s="150"/>
      <c r="AK2" s="149" t="s">
        <v>159</v>
      </c>
      <c r="AL2" s="150"/>
      <c r="AM2" s="149" t="s">
        <v>160</v>
      </c>
      <c r="AN2" s="150"/>
      <c r="AO2" s="89"/>
      <c r="AP2" s="159" t="s">
        <v>19</v>
      </c>
      <c r="AQ2" s="159"/>
      <c r="AR2" s="159" t="s">
        <v>161</v>
      </c>
      <c r="AS2" s="159"/>
      <c r="AT2" s="159" t="s">
        <v>162</v>
      </c>
      <c r="AU2" s="159"/>
      <c r="AV2" s="159" t="s">
        <v>163</v>
      </c>
      <c r="AW2" s="159"/>
      <c r="AX2" s="159" t="s">
        <v>164</v>
      </c>
      <c r="AY2" s="159"/>
      <c r="AZ2" s="159" t="s">
        <v>165</v>
      </c>
      <c r="BA2" s="159"/>
      <c r="BB2" s="159" t="s">
        <v>166</v>
      </c>
      <c r="BC2" s="159"/>
      <c r="BD2" s="159" t="s">
        <v>167</v>
      </c>
      <c r="BE2" s="159"/>
      <c r="BF2" s="89"/>
      <c r="BG2" s="159" t="s">
        <v>20</v>
      </c>
      <c r="BH2" s="159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89"/>
      <c r="BV2" s="149" t="s">
        <v>21</v>
      </c>
      <c r="BW2" s="150"/>
      <c r="BX2" s="149" t="s">
        <v>168</v>
      </c>
      <c r="BY2" s="150"/>
      <c r="BZ2" s="149" t="s">
        <v>169</v>
      </c>
      <c r="CA2" s="150"/>
      <c r="CB2" s="149" t="s">
        <v>170</v>
      </c>
      <c r="CC2" s="150"/>
      <c r="CD2" s="89"/>
      <c r="CE2" s="149" t="s">
        <v>22</v>
      </c>
      <c r="CF2" s="150"/>
      <c r="CG2" s="89"/>
      <c r="CH2" s="149" t="s">
        <v>23</v>
      </c>
      <c r="CI2" s="150"/>
      <c r="CJ2" s="89"/>
      <c r="CK2" s="149" t="s">
        <v>24</v>
      </c>
      <c r="CL2" s="150"/>
      <c r="CM2" s="89"/>
      <c r="CN2" s="159" t="s">
        <v>25</v>
      </c>
      <c r="CO2" s="159"/>
      <c r="CP2" s="89"/>
      <c r="CQ2" s="159" t="s">
        <v>26</v>
      </c>
      <c r="CR2" s="159"/>
      <c r="CS2" s="89"/>
      <c r="CT2" s="159" t="s">
        <v>27</v>
      </c>
      <c r="CU2" s="159"/>
      <c r="CV2" s="159" t="s">
        <v>171</v>
      </c>
      <c r="CW2" s="159"/>
      <c r="CX2" s="159" t="s">
        <v>172</v>
      </c>
      <c r="CY2" s="159"/>
      <c r="CZ2" s="159" t="s">
        <v>173</v>
      </c>
      <c r="DA2" s="159"/>
      <c r="DB2" s="159" t="s">
        <v>174</v>
      </c>
      <c r="DC2" s="159"/>
      <c r="DD2" s="159" t="s">
        <v>175</v>
      </c>
      <c r="DE2" s="159"/>
      <c r="DF2" s="159" t="s">
        <v>176</v>
      </c>
      <c r="DG2" s="159"/>
      <c r="DH2" s="89"/>
      <c r="DI2" s="159" t="s">
        <v>26</v>
      </c>
      <c r="DJ2" s="159"/>
      <c r="DK2" s="89"/>
      <c r="DL2" s="159" t="s">
        <v>28</v>
      </c>
      <c r="DM2" s="159"/>
      <c r="DN2" s="159" t="s">
        <v>177</v>
      </c>
      <c r="DO2" s="159"/>
      <c r="DP2" s="159" t="s">
        <v>178</v>
      </c>
      <c r="DQ2" s="159"/>
      <c r="DR2" s="159" t="s">
        <v>179</v>
      </c>
      <c r="DS2" s="159"/>
      <c r="DT2" s="159" t="s">
        <v>180</v>
      </c>
      <c r="DU2" s="159"/>
      <c r="DV2" s="159" t="s">
        <v>181</v>
      </c>
      <c r="DW2" s="159"/>
    </row>
    <row r="3" spans="1:127" s="26" customFormat="1" ht="30" customHeight="1" x14ac:dyDescent="0.25">
      <c r="A3" s="76"/>
      <c r="B3" s="83"/>
      <c r="C3" s="190">
        <v>5065546</v>
      </c>
      <c r="D3" s="190"/>
      <c r="E3" s="83"/>
      <c r="F3" s="83"/>
      <c r="G3" s="83"/>
      <c r="H3" s="83"/>
      <c r="I3" s="83"/>
      <c r="J3" s="83"/>
      <c r="K3" s="83"/>
      <c r="L3" s="83"/>
      <c r="M3" s="83"/>
      <c r="N3" s="83"/>
      <c r="O3" s="79"/>
      <c r="P3" s="152">
        <v>5065547</v>
      </c>
      <c r="Q3" s="154"/>
      <c r="R3" s="72"/>
      <c r="S3" s="72"/>
      <c r="T3" s="72"/>
      <c r="U3" s="72"/>
      <c r="V3" s="72"/>
      <c r="W3" s="72"/>
      <c r="X3" s="72"/>
      <c r="Y3" s="72"/>
      <c r="Z3" s="90"/>
      <c r="AA3" s="152">
        <v>5008272</v>
      </c>
      <c r="AB3" s="153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90"/>
      <c r="AP3" s="152">
        <v>5065548</v>
      </c>
      <c r="AQ3" s="154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90"/>
      <c r="BG3" s="152">
        <v>5465545</v>
      </c>
      <c r="BH3" s="154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90"/>
      <c r="BV3" s="152">
        <v>5008273</v>
      </c>
      <c r="BW3" s="153"/>
      <c r="BX3" s="72"/>
      <c r="BY3" s="72"/>
      <c r="BZ3" s="72"/>
      <c r="CA3" s="72"/>
      <c r="CB3" s="72"/>
      <c r="CC3" s="72"/>
      <c r="CD3" s="90"/>
      <c r="CE3" s="152">
        <v>5018351</v>
      </c>
      <c r="CF3" s="153"/>
      <c r="CG3" s="90"/>
      <c r="CH3" s="152">
        <v>5018354</v>
      </c>
      <c r="CI3" s="153"/>
      <c r="CJ3" s="90"/>
      <c r="CK3" s="152">
        <v>5018350</v>
      </c>
      <c r="CL3" s="153"/>
      <c r="CM3" s="90"/>
      <c r="CN3" s="152">
        <v>5065543</v>
      </c>
      <c r="CO3" s="154"/>
      <c r="CP3" s="90"/>
      <c r="CQ3" s="152">
        <v>5065544</v>
      </c>
      <c r="CR3" s="154"/>
      <c r="CS3" s="90"/>
      <c r="CT3" s="152">
        <v>5065541</v>
      </c>
      <c r="CU3" s="154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90"/>
      <c r="DI3" s="152">
        <v>5065542</v>
      </c>
      <c r="DJ3" s="154"/>
      <c r="DK3" s="90"/>
      <c r="DL3" s="152">
        <v>5065540</v>
      </c>
      <c r="DM3" s="154"/>
    </row>
    <row r="4" spans="1:127" s="25" customFormat="1" ht="30" customHeight="1" x14ac:dyDescent="0.25">
      <c r="A4" s="76"/>
      <c r="B4" s="84"/>
      <c r="C4" s="189" t="s">
        <v>30</v>
      </c>
      <c r="D4" s="189"/>
      <c r="E4" s="84"/>
      <c r="F4" s="84"/>
      <c r="G4" s="84"/>
      <c r="H4" s="84"/>
      <c r="I4" s="84"/>
      <c r="J4" s="84"/>
      <c r="K4" s="84"/>
      <c r="L4" s="84"/>
      <c r="M4" s="84"/>
      <c r="N4" s="84"/>
      <c r="O4" s="80"/>
      <c r="P4" s="155" t="s">
        <v>31</v>
      </c>
      <c r="Q4" s="157"/>
      <c r="R4" s="73"/>
      <c r="S4" s="73"/>
      <c r="T4" s="73"/>
      <c r="U4" s="73"/>
      <c r="V4" s="73"/>
      <c r="W4" s="73"/>
      <c r="X4" s="73"/>
      <c r="Y4" s="73"/>
      <c r="Z4" s="56"/>
      <c r="AA4" s="155" t="s">
        <v>32</v>
      </c>
      <c r="AB4" s="156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56"/>
      <c r="AP4" s="155" t="s">
        <v>33</v>
      </c>
      <c r="AQ4" s="157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56"/>
      <c r="BG4" s="155" t="s">
        <v>34</v>
      </c>
      <c r="BH4" s="157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56"/>
      <c r="BV4" s="155" t="s">
        <v>35</v>
      </c>
      <c r="BW4" s="156"/>
      <c r="BX4" s="73"/>
      <c r="BY4" s="73"/>
      <c r="BZ4" s="73"/>
      <c r="CA4" s="73"/>
      <c r="CB4" s="73"/>
      <c r="CC4" s="73"/>
      <c r="CD4" s="56"/>
      <c r="CE4" s="155" t="s">
        <v>36</v>
      </c>
      <c r="CF4" s="156"/>
      <c r="CG4" s="56"/>
      <c r="CH4" s="155" t="s">
        <v>37</v>
      </c>
      <c r="CI4" s="156"/>
      <c r="CJ4" s="56"/>
      <c r="CK4" s="155" t="s">
        <v>38</v>
      </c>
      <c r="CL4" s="156"/>
      <c r="CM4" s="56"/>
      <c r="CN4" s="155" t="s">
        <v>39</v>
      </c>
      <c r="CO4" s="157"/>
      <c r="CP4" s="56"/>
      <c r="CQ4" s="155" t="s">
        <v>40</v>
      </c>
      <c r="CR4" s="157"/>
      <c r="CS4" s="56"/>
      <c r="CT4" s="155" t="s">
        <v>41</v>
      </c>
      <c r="CU4" s="157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G4" s="73"/>
      <c r="DH4" s="56"/>
      <c r="DI4" s="155" t="s">
        <v>42</v>
      </c>
      <c r="DJ4" s="157"/>
      <c r="DK4" s="56"/>
      <c r="DL4" s="155" t="s">
        <v>43</v>
      </c>
      <c r="DM4" s="157"/>
    </row>
    <row r="5" spans="1:127" s="8" customFormat="1" ht="30" customHeight="1" x14ac:dyDescent="0.25">
      <c r="A5" s="76"/>
      <c r="B5" s="85"/>
      <c r="C5" s="191"/>
      <c r="D5" s="191"/>
      <c r="E5" s="85"/>
      <c r="F5" s="85"/>
      <c r="G5" s="85"/>
      <c r="H5" s="85"/>
      <c r="I5" s="85"/>
      <c r="J5" s="85"/>
      <c r="K5" s="85"/>
      <c r="L5" s="85"/>
      <c r="M5" s="85"/>
      <c r="N5" s="85"/>
      <c r="O5" s="81"/>
      <c r="P5" s="144"/>
      <c r="Q5" s="145"/>
      <c r="R5" s="74"/>
      <c r="S5" s="74"/>
      <c r="T5" s="74"/>
      <c r="U5" s="74"/>
      <c r="V5" s="74"/>
      <c r="W5" s="74"/>
      <c r="X5" s="74"/>
      <c r="Y5" s="74"/>
      <c r="Z5" s="91"/>
      <c r="AA5" s="144"/>
      <c r="AB5" s="158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91"/>
      <c r="AP5" s="70"/>
      <c r="AQ5" s="85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91"/>
      <c r="BG5" s="144"/>
      <c r="BH5" s="145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91"/>
      <c r="BV5" s="144"/>
      <c r="BW5" s="158"/>
      <c r="BX5" s="74"/>
      <c r="BY5" s="74"/>
      <c r="BZ5" s="74"/>
      <c r="CA5" s="74"/>
      <c r="CB5" s="74"/>
      <c r="CC5" s="74"/>
      <c r="CD5" s="91"/>
      <c r="CE5" s="144"/>
      <c r="CF5" s="158"/>
      <c r="CG5" s="91"/>
      <c r="CH5" s="144"/>
      <c r="CI5" s="158"/>
      <c r="CJ5" s="91"/>
      <c r="CK5" s="144"/>
      <c r="CL5" s="158"/>
      <c r="CM5" s="91"/>
      <c r="CN5" s="144"/>
      <c r="CO5" s="145"/>
      <c r="CP5" s="91"/>
      <c r="CQ5" s="144"/>
      <c r="CR5" s="145"/>
      <c r="CS5" s="91"/>
      <c r="CT5" s="144"/>
      <c r="CU5" s="145"/>
      <c r="CV5" s="74"/>
      <c r="CW5" s="74"/>
      <c r="CX5" s="74"/>
      <c r="CY5" s="74"/>
      <c r="CZ5" s="74"/>
      <c r="DA5" s="74"/>
      <c r="DB5" s="74"/>
      <c r="DC5" s="74"/>
      <c r="DD5" s="74"/>
      <c r="DE5" s="74"/>
      <c r="DF5" s="74"/>
      <c r="DG5" s="74"/>
      <c r="DH5" s="91"/>
      <c r="DI5" s="144"/>
      <c r="DJ5" s="145"/>
      <c r="DK5" s="91"/>
      <c r="DL5" s="144"/>
      <c r="DM5" s="145"/>
    </row>
    <row r="6" spans="1:127" s="10" customFormat="1" ht="50.1" customHeight="1" x14ac:dyDescent="0.25">
      <c r="A6" s="66" t="s">
        <v>47</v>
      </c>
      <c r="B6" s="66"/>
      <c r="C6" s="76" t="s">
        <v>48</v>
      </c>
      <c r="D6" s="76" t="s">
        <v>49</v>
      </c>
      <c r="E6" s="76" t="s">
        <v>48</v>
      </c>
      <c r="F6" s="76" t="s">
        <v>49</v>
      </c>
      <c r="G6" s="76" t="s">
        <v>48</v>
      </c>
      <c r="H6" s="76" t="s">
        <v>49</v>
      </c>
      <c r="I6" s="76" t="s">
        <v>48</v>
      </c>
      <c r="J6" s="76" t="s">
        <v>49</v>
      </c>
      <c r="K6" s="76" t="s">
        <v>48</v>
      </c>
      <c r="L6" s="76" t="s">
        <v>49</v>
      </c>
      <c r="M6" s="76" t="s">
        <v>48</v>
      </c>
      <c r="N6" s="76" t="s">
        <v>49</v>
      </c>
      <c r="O6" s="82"/>
      <c r="P6" s="66" t="s">
        <v>48</v>
      </c>
      <c r="Q6" s="66" t="s">
        <v>49</v>
      </c>
      <c r="R6" s="66" t="s">
        <v>48</v>
      </c>
      <c r="S6" s="66" t="s">
        <v>49</v>
      </c>
      <c r="T6" s="66" t="s">
        <v>48</v>
      </c>
      <c r="U6" s="66" t="s">
        <v>49</v>
      </c>
      <c r="V6" s="66" t="s">
        <v>48</v>
      </c>
      <c r="W6" s="66" t="s">
        <v>49</v>
      </c>
      <c r="X6" s="66" t="s">
        <v>48</v>
      </c>
      <c r="Y6" s="86" t="s">
        <v>49</v>
      </c>
      <c r="Z6" s="67"/>
      <c r="AA6" s="87" t="s">
        <v>48</v>
      </c>
      <c r="AB6" s="66" t="s">
        <v>49</v>
      </c>
      <c r="AC6" s="87" t="s">
        <v>48</v>
      </c>
      <c r="AD6" s="66" t="s">
        <v>49</v>
      </c>
      <c r="AE6" s="87" t="s">
        <v>48</v>
      </c>
      <c r="AF6" s="66" t="s">
        <v>49</v>
      </c>
      <c r="AG6" s="87" t="s">
        <v>48</v>
      </c>
      <c r="AH6" s="66" t="s">
        <v>49</v>
      </c>
      <c r="AI6" s="87" t="s">
        <v>48</v>
      </c>
      <c r="AJ6" s="66" t="s">
        <v>49</v>
      </c>
      <c r="AK6" s="87" t="s">
        <v>48</v>
      </c>
      <c r="AL6" s="66" t="s">
        <v>49</v>
      </c>
      <c r="AM6" s="87" t="s">
        <v>48</v>
      </c>
      <c r="AN6" s="66" t="s">
        <v>49</v>
      </c>
      <c r="AO6" s="67"/>
      <c r="AP6" s="87" t="s">
        <v>48</v>
      </c>
      <c r="AQ6" s="66" t="s">
        <v>49</v>
      </c>
      <c r="AR6" s="87" t="s">
        <v>48</v>
      </c>
      <c r="AS6" s="66" t="s">
        <v>49</v>
      </c>
      <c r="AT6" s="87" t="s">
        <v>48</v>
      </c>
      <c r="AU6" s="66" t="s">
        <v>49</v>
      </c>
      <c r="AV6" s="87" t="s">
        <v>48</v>
      </c>
      <c r="AW6" s="66" t="s">
        <v>49</v>
      </c>
      <c r="AX6" s="87" t="s">
        <v>48</v>
      </c>
      <c r="AY6" s="66" t="s">
        <v>49</v>
      </c>
      <c r="AZ6" s="87" t="s">
        <v>48</v>
      </c>
      <c r="BA6" s="66" t="s">
        <v>49</v>
      </c>
      <c r="BB6" s="87" t="s">
        <v>48</v>
      </c>
      <c r="BC6" s="66" t="s">
        <v>49</v>
      </c>
      <c r="BD6" s="87" t="s">
        <v>48</v>
      </c>
      <c r="BE6" s="66" t="s">
        <v>49</v>
      </c>
      <c r="BF6" s="67"/>
      <c r="BG6" s="87" t="s">
        <v>48</v>
      </c>
      <c r="BH6" s="66" t="s">
        <v>49</v>
      </c>
      <c r="BI6" s="87" t="s">
        <v>48</v>
      </c>
      <c r="BJ6" s="66" t="s">
        <v>49</v>
      </c>
      <c r="BK6" s="87" t="s">
        <v>48</v>
      </c>
      <c r="BL6" s="66" t="s">
        <v>49</v>
      </c>
      <c r="BM6" s="87" t="s">
        <v>48</v>
      </c>
      <c r="BN6" s="66" t="s">
        <v>49</v>
      </c>
      <c r="BO6" s="87" t="s">
        <v>48</v>
      </c>
      <c r="BP6" s="66" t="s">
        <v>49</v>
      </c>
      <c r="BQ6" s="87" t="s">
        <v>48</v>
      </c>
      <c r="BR6" s="66" t="s">
        <v>49</v>
      </c>
      <c r="BS6" s="87" t="s">
        <v>48</v>
      </c>
      <c r="BT6" s="66" t="s">
        <v>49</v>
      </c>
      <c r="BU6" s="67"/>
      <c r="BV6" s="87" t="s">
        <v>48</v>
      </c>
      <c r="BW6" s="66" t="s">
        <v>49</v>
      </c>
      <c r="BX6" s="87" t="s">
        <v>48</v>
      </c>
      <c r="BY6" s="66" t="s">
        <v>49</v>
      </c>
      <c r="BZ6" s="87" t="s">
        <v>48</v>
      </c>
      <c r="CA6" s="66" t="s">
        <v>49</v>
      </c>
      <c r="CB6" s="87" t="s">
        <v>48</v>
      </c>
      <c r="CC6" s="86" t="s">
        <v>49</v>
      </c>
      <c r="CD6" s="67"/>
      <c r="CE6" s="87" t="s">
        <v>48</v>
      </c>
      <c r="CF6" s="86" t="s">
        <v>49</v>
      </c>
      <c r="CG6" s="67"/>
      <c r="CH6" s="87" t="s">
        <v>48</v>
      </c>
      <c r="CI6" s="86" t="s">
        <v>49</v>
      </c>
      <c r="CJ6" s="67"/>
      <c r="CK6" s="87" t="s">
        <v>48</v>
      </c>
      <c r="CL6" s="86" t="s">
        <v>49</v>
      </c>
      <c r="CM6" s="67"/>
      <c r="CN6" s="87" t="s">
        <v>48</v>
      </c>
      <c r="CO6" s="86" t="s">
        <v>49</v>
      </c>
      <c r="CP6" s="67"/>
      <c r="CQ6" s="87" t="s">
        <v>48</v>
      </c>
      <c r="CR6" s="86" t="s">
        <v>49</v>
      </c>
      <c r="CS6" s="67"/>
      <c r="CT6" s="87" t="s">
        <v>48</v>
      </c>
      <c r="CU6" s="66" t="s">
        <v>49</v>
      </c>
      <c r="CV6" s="66" t="s">
        <v>48</v>
      </c>
      <c r="CW6" s="66" t="s">
        <v>49</v>
      </c>
      <c r="CX6" s="66" t="s">
        <v>48</v>
      </c>
      <c r="CY6" s="66" t="s">
        <v>49</v>
      </c>
      <c r="CZ6" s="66" t="s">
        <v>48</v>
      </c>
      <c r="DA6" s="66" t="s">
        <v>49</v>
      </c>
      <c r="DB6" s="66" t="s">
        <v>48</v>
      </c>
      <c r="DC6" s="66" t="s">
        <v>49</v>
      </c>
      <c r="DD6" s="66" t="s">
        <v>48</v>
      </c>
      <c r="DE6" s="66" t="s">
        <v>49</v>
      </c>
      <c r="DF6" s="66" t="s">
        <v>48</v>
      </c>
      <c r="DG6" s="86" t="s">
        <v>49</v>
      </c>
      <c r="DH6" s="67"/>
      <c r="DI6" s="87" t="s">
        <v>48</v>
      </c>
      <c r="DJ6" s="86" t="s">
        <v>49</v>
      </c>
      <c r="DK6" s="67"/>
      <c r="DL6" s="87" t="s">
        <v>48</v>
      </c>
      <c r="DM6" s="66" t="s">
        <v>49</v>
      </c>
      <c r="DN6" s="87" t="s">
        <v>48</v>
      </c>
      <c r="DO6" s="66" t="s">
        <v>49</v>
      </c>
      <c r="DP6" s="87" t="s">
        <v>48</v>
      </c>
      <c r="DQ6" s="66" t="s">
        <v>49</v>
      </c>
      <c r="DR6" s="87" t="s">
        <v>48</v>
      </c>
      <c r="DS6" s="66" t="s">
        <v>49</v>
      </c>
      <c r="DT6" s="87" t="s">
        <v>48</v>
      </c>
      <c r="DU6" s="66" t="s">
        <v>49</v>
      </c>
      <c r="DV6" s="87" t="s">
        <v>48</v>
      </c>
      <c r="DW6" s="66" t="s">
        <v>49</v>
      </c>
    </row>
    <row r="7" spans="1:127" s="52" customFormat="1" ht="39.950000000000003" customHeight="1" x14ac:dyDescent="0.25">
      <c r="A7" s="51"/>
      <c r="C7" s="53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3"/>
      <c r="Q7" s="54"/>
      <c r="R7" s="54"/>
      <c r="S7" s="54"/>
      <c r="T7" s="54"/>
      <c r="U7" s="54"/>
      <c r="V7" s="54"/>
      <c r="W7" s="54"/>
      <c r="X7" s="54"/>
      <c r="Y7" s="54"/>
      <c r="Z7" s="54"/>
      <c r="AA7" s="53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3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3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3"/>
      <c r="BW7" s="54"/>
      <c r="BX7" s="54"/>
      <c r="BY7" s="54"/>
      <c r="BZ7" s="54"/>
      <c r="CA7" s="54"/>
      <c r="CB7" s="54"/>
      <c r="CC7" s="54"/>
      <c r="CD7" s="54"/>
      <c r="CE7" s="53"/>
      <c r="CF7" s="54"/>
      <c r="CG7" s="54"/>
      <c r="CH7" s="53"/>
      <c r="CI7" s="54"/>
      <c r="CJ7" s="54"/>
      <c r="CK7" s="53"/>
      <c r="CL7" s="54"/>
      <c r="CM7" s="54"/>
      <c r="CN7" s="53"/>
      <c r="CO7" s="54"/>
      <c r="CP7" s="54"/>
      <c r="CQ7" s="53"/>
      <c r="CR7" s="54"/>
      <c r="CS7" s="54"/>
      <c r="CT7" s="53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3"/>
      <c r="DJ7" s="54"/>
      <c r="DK7" s="54"/>
      <c r="DL7" s="53"/>
      <c r="DM7" s="54"/>
    </row>
    <row r="8" spans="1:127" s="52" customFormat="1" ht="39.950000000000003" customHeight="1" x14ac:dyDescent="0.25">
      <c r="A8" s="51"/>
      <c r="C8" s="55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5"/>
      <c r="Q8" s="54"/>
      <c r="R8" s="54"/>
      <c r="S8" s="54"/>
      <c r="T8" s="54"/>
      <c r="U8" s="54"/>
      <c r="V8" s="54"/>
      <c r="W8" s="54"/>
      <c r="X8" s="54"/>
      <c r="Y8" s="54"/>
      <c r="Z8" s="54"/>
      <c r="AA8" s="55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5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5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5"/>
      <c r="BW8" s="54"/>
      <c r="BX8" s="54"/>
      <c r="BY8" s="54"/>
      <c r="BZ8" s="54"/>
      <c r="CA8" s="54"/>
      <c r="CB8" s="54"/>
      <c r="CC8" s="54"/>
      <c r="CD8" s="54"/>
      <c r="CE8" s="55"/>
      <c r="CF8" s="54"/>
      <c r="CG8" s="54"/>
      <c r="CH8" s="55"/>
      <c r="CI8" s="54"/>
      <c r="CJ8" s="54"/>
      <c r="CK8" s="55"/>
      <c r="CL8" s="54"/>
      <c r="CM8" s="54"/>
      <c r="CN8" s="55"/>
      <c r="CO8" s="54"/>
      <c r="CP8" s="54"/>
      <c r="CQ8" s="55"/>
      <c r="CR8" s="54"/>
      <c r="CS8" s="54"/>
      <c r="CT8" s="55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5"/>
      <c r="DJ8" s="54"/>
      <c r="DK8" s="54"/>
      <c r="DL8" s="55"/>
      <c r="DM8" s="54"/>
    </row>
    <row r="9" spans="1:127" s="57" customFormat="1" ht="39.950000000000003" customHeight="1" x14ac:dyDescent="0.25">
      <c r="A9" s="51"/>
      <c r="C9" s="55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5"/>
      <c r="Q9" s="54"/>
      <c r="R9" s="54"/>
      <c r="S9" s="54"/>
      <c r="T9" s="54"/>
      <c r="U9" s="54"/>
      <c r="V9" s="54"/>
      <c r="W9" s="54"/>
      <c r="X9" s="54"/>
      <c r="Y9" s="54"/>
      <c r="Z9" s="54"/>
      <c r="AA9" s="55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5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5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5"/>
      <c r="BW9" s="54"/>
      <c r="BX9" s="54"/>
      <c r="BY9" s="54"/>
      <c r="BZ9" s="54"/>
      <c r="CA9" s="54"/>
      <c r="CB9" s="54"/>
      <c r="CC9" s="54"/>
      <c r="CD9" s="54"/>
      <c r="CE9" s="55"/>
      <c r="CF9" s="54"/>
      <c r="CG9" s="54"/>
      <c r="CH9" s="55"/>
      <c r="CI9" s="54"/>
      <c r="CJ9" s="54"/>
      <c r="CK9" s="55"/>
      <c r="CL9" s="54"/>
      <c r="CM9" s="54"/>
      <c r="CN9" s="55"/>
      <c r="CO9" s="54"/>
      <c r="CP9" s="54"/>
      <c r="CQ9" s="55"/>
      <c r="CR9" s="54"/>
      <c r="CS9" s="54"/>
      <c r="CT9" s="55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5"/>
      <c r="DJ9" s="54"/>
      <c r="DK9" s="54"/>
      <c r="DL9" s="55"/>
      <c r="DM9" s="54"/>
    </row>
    <row r="10" spans="1:127" s="57" customFormat="1" ht="39.950000000000003" customHeight="1" x14ac:dyDescent="0.25">
      <c r="A10" s="51"/>
      <c r="C10" s="55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5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5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5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5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5"/>
      <c r="BW10" s="54"/>
      <c r="BX10" s="54"/>
      <c r="BY10" s="54"/>
      <c r="BZ10" s="54"/>
      <c r="CA10" s="54"/>
      <c r="CB10" s="54"/>
      <c r="CC10" s="54"/>
      <c r="CD10" s="54"/>
      <c r="CE10" s="55"/>
      <c r="CF10" s="54"/>
      <c r="CG10" s="54"/>
      <c r="CH10" s="55"/>
      <c r="CI10" s="54"/>
      <c r="CJ10" s="54"/>
      <c r="CK10" s="55"/>
      <c r="CL10" s="54"/>
      <c r="CM10" s="54"/>
      <c r="CN10" s="55"/>
      <c r="CO10" s="54"/>
      <c r="CP10" s="54"/>
      <c r="CQ10" s="55"/>
      <c r="CR10" s="54"/>
      <c r="CS10" s="54"/>
      <c r="CT10" s="5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5"/>
      <c r="DJ10" s="54"/>
      <c r="DK10" s="54"/>
      <c r="DL10" s="55"/>
      <c r="DM10" s="54"/>
    </row>
    <row r="11" spans="1:127" s="57" customFormat="1" ht="39.950000000000003" customHeight="1" x14ac:dyDescent="0.25">
      <c r="A11" s="51"/>
      <c r="C11" s="55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5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5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5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5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5"/>
      <c r="BW11" s="54"/>
      <c r="BX11" s="54"/>
      <c r="BY11" s="54"/>
      <c r="BZ11" s="54"/>
      <c r="CA11" s="54"/>
      <c r="CB11" s="54"/>
      <c r="CC11" s="54"/>
      <c r="CD11" s="54"/>
      <c r="CE11" s="55"/>
      <c r="CF11" s="54"/>
      <c r="CG11" s="54"/>
      <c r="CH11" s="55"/>
      <c r="CI11" s="54"/>
      <c r="CJ11" s="54"/>
      <c r="CK11" s="55"/>
      <c r="CL11" s="54"/>
      <c r="CM11" s="54"/>
      <c r="CN11" s="55"/>
      <c r="CO11" s="54"/>
      <c r="CP11" s="54"/>
      <c r="CQ11" s="55"/>
      <c r="CR11" s="54"/>
      <c r="CS11" s="54"/>
      <c r="CT11" s="5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5"/>
      <c r="DJ11" s="54"/>
      <c r="DK11" s="54"/>
      <c r="DL11" s="55"/>
      <c r="DM11" s="54"/>
    </row>
    <row r="12" spans="1:127" s="57" customFormat="1" ht="39.950000000000003" customHeight="1" x14ac:dyDescent="0.25">
      <c r="A12" s="51"/>
      <c r="C12" s="55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5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5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5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5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5"/>
      <c r="BW12" s="54"/>
      <c r="BX12" s="54"/>
      <c r="BY12" s="54"/>
      <c r="BZ12" s="54"/>
      <c r="CA12" s="54"/>
      <c r="CB12" s="54"/>
      <c r="CC12" s="54"/>
      <c r="CD12" s="54"/>
      <c r="CE12" s="55"/>
      <c r="CF12" s="54"/>
      <c r="CG12" s="54"/>
      <c r="CH12" s="55"/>
      <c r="CI12" s="54"/>
      <c r="CJ12" s="54"/>
      <c r="CK12" s="55"/>
      <c r="CL12" s="54"/>
      <c r="CM12" s="54"/>
      <c r="CN12" s="55"/>
      <c r="CO12" s="54"/>
      <c r="CP12" s="54"/>
      <c r="CQ12" s="55"/>
      <c r="CR12" s="54"/>
      <c r="CS12" s="54"/>
      <c r="CT12" s="5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5"/>
      <c r="DJ12" s="54"/>
      <c r="DK12" s="54"/>
      <c r="DL12" s="55"/>
      <c r="DM12" s="54"/>
    </row>
    <row r="13" spans="1:127" s="57" customFormat="1" ht="39.950000000000003" customHeight="1" x14ac:dyDescent="0.25">
      <c r="A13" s="51"/>
      <c r="C13" s="55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5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5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5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5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5"/>
      <c r="BW13" s="54"/>
      <c r="BX13" s="54"/>
      <c r="BY13" s="54"/>
      <c r="BZ13" s="54"/>
      <c r="CA13" s="54"/>
      <c r="CB13" s="54"/>
      <c r="CC13" s="54"/>
      <c r="CD13" s="54"/>
      <c r="CE13" s="55"/>
      <c r="CF13" s="54"/>
      <c r="CG13" s="54"/>
      <c r="CH13" s="55"/>
      <c r="CI13" s="54"/>
      <c r="CJ13" s="54"/>
      <c r="CK13" s="55"/>
      <c r="CL13" s="54"/>
      <c r="CM13" s="54"/>
      <c r="CN13" s="55"/>
      <c r="CO13" s="54"/>
      <c r="CP13" s="54"/>
      <c r="CQ13" s="55"/>
      <c r="CR13" s="54"/>
      <c r="CS13" s="54"/>
      <c r="CT13" s="5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5"/>
      <c r="DJ13" s="54"/>
      <c r="DK13" s="54"/>
      <c r="DL13" s="55"/>
      <c r="DM13" s="54"/>
    </row>
    <row r="14" spans="1:127" s="57" customFormat="1" ht="39.950000000000003" customHeight="1" x14ac:dyDescent="0.25">
      <c r="A14" s="51"/>
      <c r="C14" s="55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5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5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5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5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5"/>
      <c r="BW14" s="54"/>
      <c r="BX14" s="54"/>
      <c r="BY14" s="54"/>
      <c r="BZ14" s="54"/>
      <c r="CA14" s="54"/>
      <c r="CB14" s="54"/>
      <c r="CC14" s="54"/>
      <c r="CD14" s="54"/>
      <c r="CE14" s="55"/>
      <c r="CF14" s="54"/>
      <c r="CG14" s="54"/>
      <c r="CH14" s="55"/>
      <c r="CI14" s="54"/>
      <c r="CJ14" s="54"/>
      <c r="CK14" s="55"/>
      <c r="CL14" s="54"/>
      <c r="CM14" s="54"/>
      <c r="CN14" s="55"/>
      <c r="CO14" s="54"/>
      <c r="CP14" s="54"/>
      <c r="CQ14" s="55"/>
      <c r="CR14" s="54"/>
      <c r="CS14" s="54"/>
      <c r="CT14" s="5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5"/>
      <c r="DJ14" s="54"/>
      <c r="DK14" s="54"/>
      <c r="DL14" s="55"/>
      <c r="DM14" s="54"/>
    </row>
    <row r="15" spans="1:127" s="57" customFormat="1" ht="39.950000000000003" customHeight="1" x14ac:dyDescent="0.25">
      <c r="A15" s="51"/>
      <c r="C15" s="55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5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5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5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5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5"/>
      <c r="BW15" s="54"/>
      <c r="BX15" s="54"/>
      <c r="BY15" s="54"/>
      <c r="BZ15" s="54"/>
      <c r="CA15" s="54"/>
      <c r="CB15" s="54"/>
      <c r="CC15" s="54"/>
      <c r="CD15" s="54"/>
      <c r="CE15" s="55"/>
      <c r="CF15" s="54"/>
      <c r="CG15" s="54"/>
      <c r="CH15" s="55"/>
      <c r="CI15" s="54"/>
      <c r="CJ15" s="54"/>
      <c r="CK15" s="55"/>
      <c r="CL15" s="54"/>
      <c r="CM15" s="54"/>
      <c r="CN15" s="55"/>
      <c r="CO15" s="54"/>
      <c r="CP15" s="54"/>
      <c r="CQ15" s="55"/>
      <c r="CR15" s="54"/>
      <c r="CS15" s="54"/>
      <c r="CT15" s="5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5"/>
      <c r="DJ15" s="54"/>
      <c r="DK15" s="54"/>
      <c r="DL15" s="55"/>
      <c r="DM15" s="54"/>
    </row>
    <row r="16" spans="1:127" s="57" customFormat="1" ht="39.950000000000003" customHeight="1" x14ac:dyDescent="0.25">
      <c r="A16" s="51"/>
      <c r="C16" s="55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5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5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5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5"/>
      <c r="BW16" s="54"/>
      <c r="BX16" s="54"/>
      <c r="BY16" s="54"/>
      <c r="BZ16" s="54"/>
      <c r="CA16" s="54"/>
      <c r="CB16" s="54"/>
      <c r="CC16" s="54"/>
      <c r="CD16" s="54"/>
      <c r="CE16" s="55"/>
      <c r="CF16" s="54"/>
      <c r="CG16" s="54"/>
      <c r="CH16" s="55"/>
      <c r="CI16" s="54"/>
      <c r="CJ16" s="54"/>
      <c r="CK16" s="55"/>
      <c r="CL16" s="54"/>
      <c r="CM16" s="54"/>
      <c r="CN16" s="55"/>
      <c r="CO16" s="54"/>
      <c r="CP16" s="54"/>
      <c r="CQ16" s="55"/>
      <c r="CR16" s="54"/>
      <c r="CS16" s="54"/>
      <c r="CT16" s="5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5"/>
      <c r="DJ16" s="54"/>
      <c r="DK16" s="54"/>
      <c r="DL16" s="55"/>
      <c r="DM16" s="54"/>
    </row>
    <row r="17" spans="1:117" s="57" customFormat="1" ht="39.950000000000003" customHeight="1" x14ac:dyDescent="0.25">
      <c r="A17" s="51"/>
      <c r="C17" s="55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5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5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5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5"/>
      <c r="BW17" s="54"/>
      <c r="BX17" s="54"/>
      <c r="BY17" s="54"/>
      <c r="BZ17" s="54"/>
      <c r="CA17" s="54"/>
      <c r="CB17" s="54"/>
      <c r="CC17" s="54"/>
      <c r="CD17" s="54"/>
      <c r="CE17" s="55"/>
      <c r="CF17" s="54"/>
      <c r="CG17" s="54"/>
      <c r="CH17" s="55"/>
      <c r="CI17" s="54"/>
      <c r="CJ17" s="54"/>
      <c r="CK17" s="55"/>
      <c r="CL17" s="54"/>
      <c r="CM17" s="54"/>
      <c r="CN17" s="55"/>
      <c r="CO17" s="54"/>
      <c r="CP17" s="54"/>
      <c r="CQ17" s="55"/>
      <c r="CR17" s="54"/>
      <c r="CS17" s="54"/>
      <c r="CT17" s="5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5"/>
      <c r="DJ17" s="54"/>
      <c r="DK17" s="54"/>
      <c r="DL17" s="55"/>
      <c r="DM17" s="54"/>
    </row>
    <row r="18" spans="1:117" s="57" customFormat="1" ht="39.950000000000003" customHeight="1" x14ac:dyDescent="0.25">
      <c r="A18" s="51"/>
      <c r="C18" s="55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5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5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5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5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5"/>
      <c r="BW18" s="54"/>
      <c r="BX18" s="54"/>
      <c r="BY18" s="54"/>
      <c r="BZ18" s="54"/>
      <c r="CA18" s="54"/>
      <c r="CB18" s="54"/>
      <c r="CC18" s="54"/>
      <c r="CD18" s="54"/>
      <c r="CE18" s="55"/>
      <c r="CF18" s="54"/>
      <c r="CG18" s="54"/>
      <c r="CH18" s="55"/>
      <c r="CI18" s="54"/>
      <c r="CJ18" s="54"/>
      <c r="CK18" s="55"/>
      <c r="CL18" s="54"/>
      <c r="CM18" s="54"/>
      <c r="CN18" s="55"/>
      <c r="CO18" s="54"/>
      <c r="CP18" s="54"/>
      <c r="CQ18" s="55"/>
      <c r="CR18" s="54"/>
      <c r="CS18" s="54"/>
      <c r="CT18" s="5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5"/>
      <c r="DJ18" s="54"/>
      <c r="DK18" s="54"/>
      <c r="DL18" s="55"/>
      <c r="DM18" s="54"/>
    </row>
    <row r="19" spans="1:117" s="57" customFormat="1" ht="39.950000000000003" customHeight="1" x14ac:dyDescent="0.25">
      <c r="A19" s="51"/>
      <c r="C19" s="55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5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5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5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5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5"/>
      <c r="BW19" s="54"/>
      <c r="BX19" s="54"/>
      <c r="BY19" s="54"/>
      <c r="BZ19" s="54"/>
      <c r="CA19" s="54"/>
      <c r="CB19" s="54"/>
      <c r="CC19" s="54"/>
      <c r="CD19" s="54"/>
      <c r="CE19" s="55"/>
      <c r="CF19" s="54"/>
      <c r="CG19" s="54"/>
      <c r="CH19" s="55"/>
      <c r="CI19" s="54"/>
      <c r="CJ19" s="54"/>
      <c r="CK19" s="55"/>
      <c r="CL19" s="54"/>
      <c r="CM19" s="54"/>
      <c r="CN19" s="55"/>
      <c r="CO19" s="54"/>
      <c r="CP19" s="54"/>
      <c r="CQ19" s="55"/>
      <c r="CR19" s="54"/>
      <c r="CS19" s="54"/>
      <c r="CT19" s="5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5"/>
      <c r="DJ19" s="54"/>
      <c r="DK19" s="54"/>
      <c r="DL19" s="55"/>
      <c r="DM19" s="54"/>
    </row>
    <row r="20" spans="1:117" s="57" customFormat="1" ht="39.950000000000003" customHeight="1" x14ac:dyDescent="0.25">
      <c r="A20" s="51"/>
      <c r="C20" s="55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5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5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5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5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5"/>
      <c r="BW20" s="54"/>
      <c r="BX20" s="54"/>
      <c r="BY20" s="54"/>
      <c r="BZ20" s="54"/>
      <c r="CA20" s="54"/>
      <c r="CB20" s="54"/>
      <c r="CC20" s="54"/>
      <c r="CD20" s="54"/>
      <c r="CE20" s="55"/>
      <c r="CF20" s="54"/>
      <c r="CG20" s="54"/>
      <c r="CH20" s="55"/>
      <c r="CI20" s="54"/>
      <c r="CJ20" s="54"/>
      <c r="CK20" s="55"/>
      <c r="CL20" s="54"/>
      <c r="CM20" s="54"/>
      <c r="CN20" s="55"/>
      <c r="CO20" s="54"/>
      <c r="CP20" s="54"/>
      <c r="CQ20" s="55"/>
      <c r="CR20" s="54"/>
      <c r="CS20" s="54"/>
      <c r="CT20" s="55"/>
      <c r="CU20" s="54"/>
      <c r="CV20" s="54"/>
      <c r="CW20" s="54"/>
      <c r="CX20" s="54"/>
      <c r="CY20" s="54"/>
      <c r="CZ20" s="54"/>
      <c r="DA20" s="54"/>
      <c r="DB20" s="54"/>
      <c r="DC20" s="54"/>
      <c r="DD20" s="54"/>
      <c r="DE20" s="54"/>
      <c r="DF20" s="54"/>
      <c r="DG20" s="54"/>
      <c r="DH20" s="54"/>
      <c r="DI20" s="55"/>
      <c r="DJ20" s="54"/>
      <c r="DK20" s="54"/>
      <c r="DL20" s="55"/>
      <c r="DM20" s="54"/>
    </row>
    <row r="21" spans="1:117" s="57" customFormat="1" ht="39.950000000000003" customHeight="1" x14ac:dyDescent="0.25">
      <c r="A21" s="51"/>
      <c r="C21" s="55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5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5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5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5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5"/>
      <c r="BW21" s="54"/>
      <c r="BX21" s="54"/>
      <c r="BY21" s="54"/>
      <c r="BZ21" s="54"/>
      <c r="CA21" s="54"/>
      <c r="CB21" s="54"/>
      <c r="CC21" s="54"/>
      <c r="CD21" s="54"/>
      <c r="CE21" s="55"/>
      <c r="CF21" s="54"/>
      <c r="CG21" s="54"/>
      <c r="CH21" s="55"/>
      <c r="CI21" s="54"/>
      <c r="CJ21" s="54"/>
      <c r="CK21" s="55"/>
      <c r="CL21" s="54"/>
      <c r="CM21" s="54"/>
      <c r="CN21" s="55"/>
      <c r="CO21" s="54"/>
      <c r="CP21" s="54"/>
      <c r="CQ21" s="55"/>
      <c r="CR21" s="54"/>
      <c r="CS21" s="54"/>
      <c r="CT21" s="55"/>
      <c r="CU21" s="54"/>
      <c r="CV21" s="54"/>
      <c r="CW21" s="54"/>
      <c r="CX21" s="54"/>
      <c r="CY21" s="54"/>
      <c r="CZ21" s="54"/>
      <c r="DA21" s="54"/>
      <c r="DB21" s="54"/>
      <c r="DC21" s="54"/>
      <c r="DD21" s="54"/>
      <c r="DE21" s="54"/>
      <c r="DF21" s="54"/>
      <c r="DG21" s="54"/>
      <c r="DH21" s="54"/>
      <c r="DI21" s="55"/>
      <c r="DJ21" s="54"/>
      <c r="DK21" s="54"/>
      <c r="DL21" s="55"/>
      <c r="DM21" s="54"/>
    </row>
    <row r="22" spans="1:117" s="57" customFormat="1" ht="39.950000000000003" customHeight="1" x14ac:dyDescent="0.25">
      <c r="A22" s="51"/>
      <c r="C22" s="55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5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5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5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5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5"/>
      <c r="BW22" s="54"/>
      <c r="BX22" s="54"/>
      <c r="BY22" s="54"/>
      <c r="BZ22" s="54"/>
      <c r="CA22" s="54"/>
      <c r="CB22" s="54"/>
      <c r="CC22" s="54"/>
      <c r="CD22" s="54"/>
      <c r="CE22" s="55"/>
      <c r="CF22" s="54"/>
      <c r="CG22" s="54"/>
      <c r="CH22" s="55"/>
      <c r="CI22" s="54"/>
      <c r="CJ22" s="54"/>
      <c r="CK22" s="55"/>
      <c r="CL22" s="54"/>
      <c r="CM22" s="54"/>
      <c r="CN22" s="55"/>
      <c r="CO22" s="54"/>
      <c r="CP22" s="54"/>
      <c r="CQ22" s="55"/>
      <c r="CR22" s="54"/>
      <c r="CS22" s="54"/>
      <c r="CT22" s="55"/>
      <c r="CU22" s="54"/>
      <c r="CV22" s="54"/>
      <c r="CW22" s="54"/>
      <c r="CX22" s="54"/>
      <c r="CY22" s="54"/>
      <c r="CZ22" s="54"/>
      <c r="DA22" s="54"/>
      <c r="DB22" s="54"/>
      <c r="DC22" s="54"/>
      <c r="DD22" s="54"/>
      <c r="DE22" s="54"/>
      <c r="DF22" s="54"/>
      <c r="DG22" s="54"/>
      <c r="DH22" s="54"/>
      <c r="DI22" s="55"/>
      <c r="DJ22" s="54"/>
      <c r="DK22" s="54"/>
      <c r="DL22" s="55"/>
      <c r="DM22" s="54"/>
    </row>
    <row r="23" spans="1:117" s="57" customFormat="1" ht="39.950000000000003" customHeight="1" x14ac:dyDescent="0.25">
      <c r="A23" s="51"/>
      <c r="C23" s="55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5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5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5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5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5"/>
      <c r="BW23" s="54"/>
      <c r="BX23" s="54"/>
      <c r="BY23" s="54"/>
      <c r="BZ23" s="54"/>
      <c r="CA23" s="54"/>
      <c r="CB23" s="54"/>
      <c r="CC23" s="54"/>
      <c r="CD23" s="54"/>
      <c r="CE23" s="55"/>
      <c r="CF23" s="54"/>
      <c r="CG23" s="54"/>
      <c r="CH23" s="55"/>
      <c r="CI23" s="54"/>
      <c r="CJ23" s="54"/>
      <c r="CK23" s="55"/>
      <c r="CL23" s="54"/>
      <c r="CM23" s="54"/>
      <c r="CN23" s="55"/>
      <c r="CO23" s="54"/>
      <c r="CP23" s="54"/>
      <c r="CQ23" s="55"/>
      <c r="CR23" s="54"/>
      <c r="CS23" s="54"/>
      <c r="CT23" s="55"/>
      <c r="CU23" s="54"/>
      <c r="CV23" s="54"/>
      <c r="CW23" s="54"/>
      <c r="CX23" s="54"/>
      <c r="CY23" s="54"/>
      <c r="CZ23" s="54"/>
      <c r="DA23" s="54"/>
      <c r="DB23" s="54"/>
      <c r="DC23" s="54"/>
      <c r="DD23" s="54"/>
      <c r="DE23" s="54"/>
      <c r="DF23" s="54"/>
      <c r="DG23" s="54"/>
      <c r="DH23" s="54"/>
      <c r="DI23" s="55"/>
      <c r="DJ23" s="54"/>
      <c r="DK23" s="54"/>
      <c r="DL23" s="55"/>
      <c r="DM23" s="54"/>
    </row>
    <row r="24" spans="1:117" s="57" customFormat="1" ht="39.950000000000003" customHeight="1" x14ac:dyDescent="0.25">
      <c r="A24" s="51"/>
      <c r="C24" s="55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5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5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5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5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5"/>
      <c r="BW24" s="54"/>
      <c r="BX24" s="54"/>
      <c r="BY24" s="54"/>
      <c r="BZ24" s="54"/>
      <c r="CA24" s="54"/>
      <c r="CB24" s="54"/>
      <c r="CC24" s="54"/>
      <c r="CD24" s="54"/>
      <c r="CE24" s="55"/>
      <c r="CF24" s="54"/>
      <c r="CG24" s="54"/>
      <c r="CH24" s="55"/>
      <c r="CI24" s="54"/>
      <c r="CJ24" s="54"/>
      <c r="CK24" s="55"/>
      <c r="CL24" s="54"/>
      <c r="CM24" s="54"/>
      <c r="CN24" s="55"/>
      <c r="CO24" s="54"/>
      <c r="CP24" s="54"/>
      <c r="CQ24" s="55"/>
      <c r="CR24" s="54"/>
      <c r="CS24" s="54"/>
      <c r="CT24" s="55"/>
      <c r="CU24" s="54"/>
      <c r="CV24" s="54"/>
      <c r="CW24" s="54"/>
      <c r="CX24" s="54"/>
      <c r="CY24" s="54"/>
      <c r="CZ24" s="54"/>
      <c r="DA24" s="54"/>
      <c r="DB24" s="54"/>
      <c r="DC24" s="54"/>
      <c r="DD24" s="54"/>
      <c r="DE24" s="54"/>
      <c r="DF24" s="54"/>
      <c r="DG24" s="54"/>
      <c r="DH24" s="54"/>
      <c r="DI24" s="55"/>
      <c r="DJ24" s="54"/>
      <c r="DK24" s="54"/>
      <c r="DL24" s="55"/>
      <c r="DM24" s="54"/>
    </row>
    <row r="25" spans="1:117" s="57" customFormat="1" ht="39.950000000000003" customHeight="1" x14ac:dyDescent="0.25">
      <c r="A25" s="51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4"/>
      <c r="CH25" s="54"/>
      <c r="CI25" s="54"/>
      <c r="CJ25" s="54"/>
      <c r="CK25" s="54"/>
      <c r="CL25" s="54"/>
      <c r="CM25" s="54"/>
      <c r="CN25" s="54"/>
      <c r="CO25" s="54"/>
      <c r="CP25" s="54"/>
      <c r="CQ25" s="54"/>
      <c r="CR25" s="54"/>
      <c r="CS25" s="54"/>
      <c r="CT25" s="54"/>
      <c r="CU25" s="54"/>
      <c r="CV25" s="54"/>
      <c r="CW25" s="54"/>
      <c r="CX25" s="54"/>
      <c r="CY25" s="54"/>
      <c r="CZ25" s="54"/>
      <c r="DA25" s="54"/>
      <c r="DB25" s="54"/>
      <c r="DC25" s="54"/>
      <c r="DD25" s="54"/>
      <c r="DE25" s="54"/>
      <c r="DF25" s="54"/>
      <c r="DG25" s="54"/>
      <c r="DH25" s="54"/>
      <c r="DI25" s="54"/>
      <c r="DJ25" s="54"/>
      <c r="DK25" s="54"/>
      <c r="DL25" s="54"/>
      <c r="DM25" s="54"/>
    </row>
    <row r="26" spans="1:117" s="57" customFormat="1" ht="39.950000000000003" customHeight="1" x14ac:dyDescent="0.25">
      <c r="A26" s="51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4"/>
      <c r="CH26" s="54"/>
      <c r="CI26" s="54"/>
      <c r="CJ26" s="54"/>
      <c r="CK26" s="54"/>
      <c r="CL26" s="54"/>
      <c r="CM26" s="54"/>
      <c r="CN26" s="54"/>
      <c r="CO26" s="54"/>
      <c r="CP26" s="54"/>
      <c r="CQ26" s="54"/>
      <c r="CR26" s="54"/>
      <c r="CS26" s="54"/>
      <c r="CT26" s="54"/>
      <c r="CU26" s="54"/>
      <c r="CV26" s="54"/>
      <c r="CW26" s="54"/>
      <c r="CX26" s="54"/>
      <c r="CY26" s="54"/>
      <c r="CZ26" s="54"/>
      <c r="DA26" s="54"/>
      <c r="DB26" s="54"/>
      <c r="DC26" s="54"/>
      <c r="DD26" s="54"/>
      <c r="DE26" s="54"/>
      <c r="DF26" s="54"/>
      <c r="DG26" s="54"/>
      <c r="DH26" s="54"/>
      <c r="DI26" s="54"/>
      <c r="DJ26" s="54"/>
      <c r="DK26" s="54"/>
      <c r="DL26" s="54"/>
      <c r="DM26" s="54"/>
    </row>
    <row r="27" spans="1:117" s="57" customFormat="1" ht="39.950000000000003" customHeight="1" x14ac:dyDescent="0.25">
      <c r="A27" s="51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4"/>
      <c r="DL27" s="54"/>
      <c r="DM27" s="54"/>
    </row>
    <row r="28" spans="1:117" s="57" customFormat="1" ht="39.950000000000003" customHeight="1" x14ac:dyDescent="0.25">
      <c r="A28" s="51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4"/>
      <c r="CH28" s="54"/>
      <c r="CI28" s="54"/>
      <c r="CJ28" s="54"/>
      <c r="CK28" s="54"/>
      <c r="CL28" s="54"/>
      <c r="CM28" s="54"/>
      <c r="CN28" s="54"/>
      <c r="CO28" s="54"/>
      <c r="CP28" s="54"/>
      <c r="CQ28" s="54"/>
      <c r="CR28" s="54"/>
      <c r="CS28" s="54"/>
      <c r="CT28" s="54"/>
      <c r="CU28" s="54"/>
      <c r="CV28" s="54"/>
      <c r="CW28" s="54"/>
      <c r="CX28" s="54"/>
      <c r="CY28" s="54"/>
      <c r="CZ28" s="54"/>
      <c r="DA28" s="54"/>
      <c r="DB28" s="54"/>
      <c r="DC28" s="54"/>
      <c r="DD28" s="54"/>
      <c r="DE28" s="54"/>
      <c r="DF28" s="54"/>
      <c r="DG28" s="54"/>
      <c r="DH28" s="54"/>
      <c r="DI28" s="54"/>
      <c r="DJ28" s="54"/>
      <c r="DK28" s="54"/>
      <c r="DL28" s="54"/>
      <c r="DM28" s="54"/>
    </row>
    <row r="29" spans="1:117" s="57" customFormat="1" ht="39.950000000000003" customHeight="1" x14ac:dyDescent="0.25">
      <c r="A29" s="51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  <c r="CK29" s="54"/>
      <c r="CL29" s="54"/>
      <c r="CM29" s="54"/>
      <c r="CN29" s="54"/>
      <c r="CO29" s="54"/>
      <c r="CP29" s="54"/>
      <c r="CQ29" s="54"/>
      <c r="CR29" s="54"/>
      <c r="CS29" s="54"/>
      <c r="CT29" s="54"/>
      <c r="CU29" s="54"/>
      <c r="CV29" s="54"/>
      <c r="CW29" s="54"/>
      <c r="CX29" s="54"/>
      <c r="CY29" s="54"/>
      <c r="CZ29" s="54"/>
      <c r="DA29" s="54"/>
      <c r="DB29" s="54"/>
      <c r="DC29" s="54"/>
      <c r="DD29" s="54"/>
      <c r="DE29" s="54"/>
      <c r="DF29" s="54"/>
      <c r="DG29" s="54"/>
      <c r="DH29" s="54"/>
      <c r="DI29" s="54"/>
      <c r="DJ29" s="54"/>
      <c r="DK29" s="54"/>
      <c r="DL29" s="54"/>
      <c r="DM29" s="54"/>
    </row>
    <row r="30" spans="1:117" s="57" customFormat="1" ht="39.950000000000003" customHeight="1" x14ac:dyDescent="0.25">
      <c r="A30" s="51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/>
      <c r="CD30" s="54"/>
      <c r="CE30" s="54"/>
      <c r="CF30" s="54"/>
      <c r="CG30" s="54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4"/>
      <c r="DE30" s="54"/>
      <c r="DF30" s="54"/>
      <c r="DG30" s="54"/>
      <c r="DH30" s="54"/>
      <c r="DI30" s="54"/>
      <c r="DJ30" s="54"/>
      <c r="DK30" s="54"/>
      <c r="DL30" s="54"/>
      <c r="DM30" s="54"/>
    </row>
    <row r="31" spans="1:117" s="57" customFormat="1" ht="39.950000000000003" customHeight="1" x14ac:dyDescent="0.25">
      <c r="A31" s="51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  <c r="CC31" s="54"/>
      <c r="CD31" s="54"/>
      <c r="CE31" s="54"/>
      <c r="CF31" s="54"/>
      <c r="CG31" s="54"/>
      <c r="CH31" s="54"/>
      <c r="CI31" s="54"/>
      <c r="CJ31" s="54"/>
      <c r="CK31" s="54"/>
      <c r="CL31" s="54"/>
      <c r="CM31" s="54"/>
      <c r="CN31" s="54"/>
      <c r="CO31" s="54"/>
      <c r="CP31" s="54"/>
      <c r="CQ31" s="54"/>
      <c r="CR31" s="54"/>
      <c r="CS31" s="54"/>
      <c r="CT31" s="54"/>
      <c r="CU31" s="54"/>
      <c r="CV31" s="54"/>
      <c r="CW31" s="54"/>
      <c r="CX31" s="54"/>
      <c r="CY31" s="54"/>
      <c r="CZ31" s="54"/>
      <c r="DA31" s="54"/>
      <c r="DB31" s="54"/>
      <c r="DC31" s="54"/>
      <c r="DD31" s="54"/>
      <c r="DE31" s="54"/>
      <c r="DF31" s="54"/>
      <c r="DG31" s="54"/>
      <c r="DH31" s="54"/>
      <c r="DI31" s="54"/>
      <c r="DJ31" s="54"/>
      <c r="DK31" s="54"/>
      <c r="DL31" s="54"/>
      <c r="DM31" s="54"/>
    </row>
    <row r="32" spans="1:117" s="57" customFormat="1" ht="39.950000000000003" customHeight="1" x14ac:dyDescent="0.25">
      <c r="A32" s="51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/>
      <c r="CV32" s="54"/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  <c r="DH32" s="54"/>
      <c r="DI32" s="54"/>
      <c r="DJ32" s="54"/>
      <c r="DK32" s="54"/>
      <c r="DL32" s="54"/>
      <c r="DM32" s="54"/>
    </row>
    <row r="33" spans="1:117" s="57" customFormat="1" ht="39.950000000000003" customHeight="1" x14ac:dyDescent="0.25">
      <c r="A33" s="51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54"/>
      <c r="CA33" s="54"/>
      <c r="CB33" s="54"/>
      <c r="CC33" s="54"/>
      <c r="CD33" s="54"/>
      <c r="CE33" s="54"/>
      <c r="CF33" s="54"/>
      <c r="CG33" s="54"/>
      <c r="CH33" s="54"/>
      <c r="CI33" s="54"/>
      <c r="CJ33" s="54"/>
      <c r="CK33" s="54"/>
      <c r="CL33" s="54"/>
      <c r="CM33" s="54"/>
      <c r="CN33" s="54"/>
      <c r="CO33" s="54"/>
      <c r="CP33" s="54"/>
      <c r="CQ33" s="54"/>
      <c r="CR33" s="54"/>
      <c r="CS33" s="54"/>
      <c r="CT33" s="54"/>
      <c r="CU33" s="54"/>
      <c r="CV33" s="54"/>
      <c r="CW33" s="54"/>
      <c r="CX33" s="54"/>
      <c r="CY33" s="54"/>
      <c r="CZ33" s="54"/>
      <c r="DA33" s="54"/>
      <c r="DB33" s="54"/>
      <c r="DC33" s="54"/>
      <c r="DD33" s="54"/>
      <c r="DE33" s="54"/>
      <c r="DF33" s="54"/>
      <c r="DG33" s="54"/>
      <c r="DH33" s="54"/>
      <c r="DI33" s="54"/>
      <c r="DJ33" s="54"/>
      <c r="DK33" s="54"/>
      <c r="DL33" s="54"/>
      <c r="DM33" s="54"/>
    </row>
    <row r="34" spans="1:117" s="57" customFormat="1" ht="39.950000000000003" customHeight="1" x14ac:dyDescent="0.25">
      <c r="A34" s="51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</row>
    <row r="35" spans="1:117" s="57" customFormat="1" ht="39.950000000000003" customHeight="1" x14ac:dyDescent="0.25">
      <c r="A35" s="51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4"/>
      <c r="CS35" s="54"/>
      <c r="CT35" s="54"/>
      <c r="CU35" s="54"/>
      <c r="CV35" s="54"/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/>
      <c r="DJ35" s="54"/>
      <c r="DK35" s="54"/>
      <c r="DL35" s="54"/>
      <c r="DM35" s="54"/>
    </row>
    <row r="36" spans="1:117" s="57" customFormat="1" ht="39.950000000000003" customHeight="1" x14ac:dyDescent="0.25">
      <c r="A36" s="51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/>
      <c r="CV36" s="54"/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  <c r="DH36" s="54"/>
      <c r="DI36" s="54"/>
      <c r="DJ36" s="54"/>
      <c r="DK36" s="54"/>
      <c r="DL36" s="54"/>
      <c r="DM36" s="54"/>
    </row>
    <row r="37" spans="1:117" s="57" customFormat="1" ht="39.950000000000003" customHeight="1" x14ac:dyDescent="0.25">
      <c r="A37" s="51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54"/>
      <c r="CA37" s="54"/>
      <c r="CB37" s="54"/>
      <c r="CC37" s="54"/>
      <c r="CD37" s="54"/>
      <c r="CE37" s="54"/>
      <c r="CF37" s="54"/>
      <c r="CG37" s="54"/>
      <c r="CH37" s="54"/>
      <c r="CI37" s="54"/>
      <c r="CJ37" s="54"/>
      <c r="CK37" s="54"/>
      <c r="CL37" s="54"/>
      <c r="CM37" s="54"/>
      <c r="CN37" s="54"/>
      <c r="CO37" s="54"/>
      <c r="CP37" s="54"/>
      <c r="CQ37" s="54"/>
      <c r="CR37" s="54"/>
      <c r="CS37" s="54"/>
      <c r="CT37" s="54"/>
      <c r="CU37" s="54"/>
      <c r="CV37" s="54"/>
      <c r="CW37" s="54"/>
      <c r="CX37" s="54"/>
      <c r="CY37" s="54"/>
      <c r="CZ37" s="54"/>
      <c r="DA37" s="54"/>
      <c r="DB37" s="54"/>
      <c r="DC37" s="54"/>
      <c r="DD37" s="54"/>
      <c r="DE37" s="54"/>
      <c r="DF37" s="54"/>
      <c r="DG37" s="54"/>
      <c r="DH37" s="54"/>
      <c r="DI37" s="54"/>
      <c r="DJ37" s="54"/>
      <c r="DK37" s="54"/>
      <c r="DL37" s="54"/>
      <c r="DM37" s="54"/>
    </row>
    <row r="38" spans="1:117" s="59" customFormat="1" ht="39.950000000000003" customHeight="1" x14ac:dyDescent="0.25">
      <c r="A38" s="58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W38" s="60"/>
      <c r="BX38" s="60"/>
      <c r="BY38" s="60"/>
      <c r="BZ38" s="60"/>
      <c r="CA38" s="60"/>
      <c r="CB38" s="60"/>
      <c r="CC38" s="60"/>
      <c r="CD38" s="60"/>
      <c r="CF38" s="60"/>
      <c r="CG38" s="60"/>
      <c r="CI38" s="60"/>
      <c r="CJ38" s="60"/>
      <c r="CL38" s="60"/>
      <c r="CM38" s="60"/>
      <c r="CO38" s="60"/>
      <c r="CP38" s="60"/>
      <c r="CR38" s="60"/>
      <c r="CS38" s="60"/>
      <c r="CU38" s="60"/>
      <c r="CV38" s="60"/>
      <c r="CW38" s="60"/>
      <c r="CX38" s="60"/>
      <c r="CY38" s="60"/>
      <c r="CZ38" s="60"/>
      <c r="DA38" s="60"/>
      <c r="DB38" s="60"/>
      <c r="DC38" s="60"/>
      <c r="DD38" s="60"/>
      <c r="DE38" s="60"/>
      <c r="DF38" s="60"/>
      <c r="DG38" s="60"/>
      <c r="DH38" s="60"/>
      <c r="DJ38" s="60"/>
      <c r="DK38" s="60"/>
      <c r="DM38" s="60"/>
    </row>
    <row r="39" spans="1:117" s="62" customFormat="1" ht="39.950000000000003" customHeight="1" x14ac:dyDescent="0.3">
      <c r="A39" s="61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1:117" s="62" customFormat="1" ht="39.950000000000003" customHeight="1" x14ac:dyDescent="0.3">
      <c r="A40" s="61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1:117" s="57" customFormat="1" ht="39.950000000000003" customHeight="1" x14ac:dyDescent="0.35">
      <c r="A41" s="64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</row>
    <row r="42" spans="1:117" s="57" customFormat="1" x14ac:dyDescent="0.35">
      <c r="A42" s="64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</row>
    <row r="43" spans="1:117" s="57" customFormat="1" x14ac:dyDescent="0.35">
      <c r="A43" s="64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</row>
    <row r="44" spans="1:117" s="57" customFormat="1" x14ac:dyDescent="0.35">
      <c r="A44" s="64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</row>
    <row r="45" spans="1:117" s="57" customFormat="1" x14ac:dyDescent="0.35">
      <c r="A45" s="64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</row>
    <row r="46" spans="1:117" s="57" customFormat="1" x14ac:dyDescent="0.35">
      <c r="A46" s="64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</row>
    <row r="47" spans="1:117" s="57" customFormat="1" x14ac:dyDescent="0.35">
      <c r="A47" s="64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</row>
    <row r="48" spans="1:117" s="57" customFormat="1" x14ac:dyDescent="0.35">
      <c r="A48" s="64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</row>
    <row r="49" spans="1:15" s="57" customFormat="1" x14ac:dyDescent="0.35">
      <c r="A49" s="64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</row>
    <row r="50" spans="1:15" s="57" customFormat="1" x14ac:dyDescent="0.35">
      <c r="A50" s="64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  <row r="51" spans="1:15" s="57" customFormat="1" x14ac:dyDescent="0.35">
      <c r="A51" s="64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52" spans="1:15" s="57" customFormat="1" x14ac:dyDescent="0.35">
      <c r="A52" s="64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</row>
    <row r="53" spans="1:15" s="57" customFormat="1" x14ac:dyDescent="0.35">
      <c r="A53" s="64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</row>
    <row r="54" spans="1:15" s="57" customFormat="1" x14ac:dyDescent="0.35">
      <c r="A54" s="64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</row>
    <row r="55" spans="1:15" s="57" customFormat="1" x14ac:dyDescent="0.35">
      <c r="A55" s="64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</row>
    <row r="56" spans="1:15" s="57" customFormat="1" x14ac:dyDescent="0.35">
      <c r="A56" s="64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x14ac:dyDescent="0.35">
      <c r="A57" s="11"/>
    </row>
    <row r="58" spans="1:15" x14ac:dyDescent="0.35">
      <c r="A58" s="11"/>
    </row>
    <row r="59" spans="1:15" x14ac:dyDescent="0.35">
      <c r="A59" s="11"/>
    </row>
    <row r="60" spans="1:15" x14ac:dyDescent="0.35">
      <c r="A60" s="11"/>
    </row>
    <row r="61" spans="1:15" x14ac:dyDescent="0.35">
      <c r="A61" s="11"/>
    </row>
    <row r="62" spans="1:15" x14ac:dyDescent="0.35">
      <c r="A62" s="11"/>
    </row>
    <row r="63" spans="1:15" x14ac:dyDescent="0.35">
      <c r="A63" s="11"/>
    </row>
    <row r="64" spans="1:15" x14ac:dyDescent="0.35">
      <c r="A64" s="11"/>
    </row>
    <row r="65" spans="1:1" x14ac:dyDescent="0.35">
      <c r="A65" s="11"/>
    </row>
    <row r="66" spans="1:1" x14ac:dyDescent="0.35">
      <c r="A66" s="11"/>
    </row>
    <row r="67" spans="1:1" x14ac:dyDescent="0.35">
      <c r="A67" s="11"/>
    </row>
    <row r="68" spans="1:1" x14ac:dyDescent="0.35">
      <c r="A68" s="11"/>
    </row>
    <row r="69" spans="1:1" x14ac:dyDescent="0.35">
      <c r="A69" s="11"/>
    </row>
    <row r="70" spans="1:1" x14ac:dyDescent="0.35">
      <c r="A70" s="11"/>
    </row>
    <row r="71" spans="1:1" x14ac:dyDescent="0.35">
      <c r="A71" s="11"/>
    </row>
    <row r="72" spans="1:1" x14ac:dyDescent="0.35">
      <c r="A72" s="11"/>
    </row>
    <row r="73" spans="1:1" x14ac:dyDescent="0.35">
      <c r="A73" s="11"/>
    </row>
    <row r="74" spans="1:1" x14ac:dyDescent="0.35">
      <c r="A74" s="11"/>
    </row>
    <row r="75" spans="1:1" x14ac:dyDescent="0.35">
      <c r="A75" s="11"/>
    </row>
    <row r="76" spans="1:1" x14ac:dyDescent="0.35">
      <c r="A76" s="11"/>
    </row>
    <row r="77" spans="1:1" x14ac:dyDescent="0.35">
      <c r="A77" s="11"/>
    </row>
    <row r="78" spans="1:1" x14ac:dyDescent="0.35">
      <c r="A78" s="11"/>
    </row>
    <row r="79" spans="1:1" x14ac:dyDescent="0.35">
      <c r="A79" s="11"/>
    </row>
    <row r="80" spans="1:1" x14ac:dyDescent="0.35">
      <c r="A80" s="11"/>
    </row>
    <row r="81" spans="1:1" x14ac:dyDescent="0.35">
      <c r="A81" s="11"/>
    </row>
    <row r="82" spans="1:1" x14ac:dyDescent="0.35">
      <c r="A82" s="11"/>
    </row>
    <row r="83" spans="1:1" x14ac:dyDescent="0.35">
      <c r="A83" s="11"/>
    </row>
    <row r="84" spans="1:1" x14ac:dyDescent="0.35">
      <c r="A84" s="11"/>
    </row>
    <row r="85" spans="1:1" x14ac:dyDescent="0.35">
      <c r="A85" s="11"/>
    </row>
    <row r="86" spans="1:1" x14ac:dyDescent="0.35">
      <c r="A86" s="11"/>
    </row>
    <row r="87" spans="1:1" x14ac:dyDescent="0.35">
      <c r="A87" s="11"/>
    </row>
    <row r="88" spans="1:1" x14ac:dyDescent="0.35">
      <c r="A88" s="11"/>
    </row>
    <row r="89" spans="1:1" x14ac:dyDescent="0.35">
      <c r="A89" s="11"/>
    </row>
  </sheetData>
  <mergeCells count="147">
    <mergeCell ref="DN1:DO1"/>
    <mergeCell ref="DP1:DQ1"/>
    <mergeCell ref="DR1:DS1"/>
    <mergeCell ref="DT1:DU1"/>
    <mergeCell ref="DV1:DW1"/>
    <mergeCell ref="DN2:DO2"/>
    <mergeCell ref="DP2:DQ2"/>
    <mergeCell ref="DR2:DS2"/>
    <mergeCell ref="DT2:DU2"/>
    <mergeCell ref="DV2:DW2"/>
    <mergeCell ref="DF2:DG2"/>
    <mergeCell ref="CV1:CW1"/>
    <mergeCell ref="CX1:CY1"/>
    <mergeCell ref="CZ1:DA1"/>
    <mergeCell ref="DB1:DC1"/>
    <mergeCell ref="DD1:DE1"/>
    <mergeCell ref="DF1:DG1"/>
    <mergeCell ref="CV2:CW2"/>
    <mergeCell ref="CX2:CY2"/>
    <mergeCell ref="CZ2:DA2"/>
    <mergeCell ref="DB2:DC2"/>
    <mergeCell ref="DD2:DE2"/>
    <mergeCell ref="BX2:BY2"/>
    <mergeCell ref="BZ2:CA2"/>
    <mergeCell ref="CB2:CC2"/>
    <mergeCell ref="BX1:BY1"/>
    <mergeCell ref="BZ1:CA1"/>
    <mergeCell ref="CB1:CC1"/>
    <mergeCell ref="BI1:BJ1"/>
    <mergeCell ref="BK1:BL1"/>
    <mergeCell ref="BM1:BN1"/>
    <mergeCell ref="BO1:BP1"/>
    <mergeCell ref="BQ1:BR1"/>
    <mergeCell ref="BB2:BC2"/>
    <mergeCell ref="BD2:BE2"/>
    <mergeCell ref="AR1:AS1"/>
    <mergeCell ref="AT1:AU1"/>
    <mergeCell ref="AV1:AW1"/>
    <mergeCell ref="AX1:AY1"/>
    <mergeCell ref="AZ1:BA1"/>
    <mergeCell ref="BB1:BC1"/>
    <mergeCell ref="BD1:BE1"/>
    <mergeCell ref="AR2:AS2"/>
    <mergeCell ref="AT2:AU2"/>
    <mergeCell ref="AV2:AW2"/>
    <mergeCell ref="AX2:AY2"/>
    <mergeCell ref="AZ2:BA2"/>
    <mergeCell ref="AI2:AJ2"/>
    <mergeCell ref="AK2:AL2"/>
    <mergeCell ref="AM2:AN2"/>
    <mergeCell ref="AI1:AJ1"/>
    <mergeCell ref="AK1:AL1"/>
    <mergeCell ref="AM1:AN1"/>
    <mergeCell ref="AC2:AD2"/>
    <mergeCell ref="AE2:AF2"/>
    <mergeCell ref="AG2:AH2"/>
    <mergeCell ref="R2:S2"/>
    <mergeCell ref="T2:U2"/>
    <mergeCell ref="V2:W2"/>
    <mergeCell ref="X2:Y2"/>
    <mergeCell ref="R1:S1"/>
    <mergeCell ref="T1:U1"/>
    <mergeCell ref="V1:W1"/>
    <mergeCell ref="X1:Y1"/>
    <mergeCell ref="E2:F2"/>
    <mergeCell ref="G2:H2"/>
    <mergeCell ref="I2:J2"/>
    <mergeCell ref="K2:L2"/>
    <mergeCell ref="M2:N2"/>
    <mergeCell ref="CQ5:CR5"/>
    <mergeCell ref="CT5:CU5"/>
    <mergeCell ref="DI5:DJ5"/>
    <mergeCell ref="DL5:DM5"/>
    <mergeCell ref="DL4:DM4"/>
    <mergeCell ref="CQ4:CR4"/>
    <mergeCell ref="CT4:CU4"/>
    <mergeCell ref="DI4:DJ4"/>
    <mergeCell ref="C5:D5"/>
    <mergeCell ref="P5:Q5"/>
    <mergeCell ref="AA5:AB5"/>
    <mergeCell ref="BG5:BH5"/>
    <mergeCell ref="BV5:BW5"/>
    <mergeCell ref="CE5:CF5"/>
    <mergeCell ref="CH5:CI5"/>
    <mergeCell ref="CK5:CL5"/>
    <mergeCell ref="CN5:CO5"/>
    <mergeCell ref="CH4:CI4"/>
    <mergeCell ref="CK4:CL4"/>
    <mergeCell ref="CN4:CO4"/>
    <mergeCell ref="DI3:DJ3"/>
    <mergeCell ref="DL3:DM3"/>
    <mergeCell ref="C4:D4"/>
    <mergeCell ref="P4:Q4"/>
    <mergeCell ref="AA4:AB4"/>
    <mergeCell ref="AP4:AQ4"/>
    <mergeCell ref="BG4:BH4"/>
    <mergeCell ref="BV4:BW4"/>
    <mergeCell ref="CE4:CF4"/>
    <mergeCell ref="CE3:CF3"/>
    <mergeCell ref="CH3:CI3"/>
    <mergeCell ref="CK3:CL3"/>
    <mergeCell ref="CN3:CO3"/>
    <mergeCell ref="CQ3:CR3"/>
    <mergeCell ref="CT3:CU3"/>
    <mergeCell ref="C3:D3"/>
    <mergeCell ref="P3:Q3"/>
    <mergeCell ref="AA3:AB3"/>
    <mergeCell ref="AP3:AQ3"/>
    <mergeCell ref="BG3:BH3"/>
    <mergeCell ref="BV3:BW3"/>
    <mergeCell ref="CK2:CL2"/>
    <mergeCell ref="CN2:CO2"/>
    <mergeCell ref="CQ2:CR2"/>
    <mergeCell ref="CT2:CU2"/>
    <mergeCell ref="DI2:DJ2"/>
    <mergeCell ref="DL2:DM2"/>
    <mergeCell ref="DI1:DJ1"/>
    <mergeCell ref="DL1:DM1"/>
    <mergeCell ref="C2:D2"/>
    <mergeCell ref="P2:Q2"/>
    <mergeCell ref="AA2:AB2"/>
    <mergeCell ref="AP2:AQ2"/>
    <mergeCell ref="BG2:BH2"/>
    <mergeCell ref="BV2:BW2"/>
    <mergeCell ref="CE2:CF2"/>
    <mergeCell ref="CH2:CI2"/>
    <mergeCell ref="CE1:CF1"/>
    <mergeCell ref="CH1:CI1"/>
    <mergeCell ref="CK1:CL1"/>
    <mergeCell ref="CN1:CO1"/>
    <mergeCell ref="CQ1:CR1"/>
    <mergeCell ref="CT1:CU1"/>
    <mergeCell ref="C1:D1"/>
    <mergeCell ref="P1:Q1"/>
    <mergeCell ref="AA1:AB1"/>
    <mergeCell ref="AP1:AQ1"/>
    <mergeCell ref="BG1:BH1"/>
    <mergeCell ref="BV1:BW1"/>
    <mergeCell ref="E1:F1"/>
    <mergeCell ref="G1:H1"/>
    <mergeCell ref="I1:J1"/>
    <mergeCell ref="K1:L1"/>
    <mergeCell ref="M1:N1"/>
    <mergeCell ref="AC1:AD1"/>
    <mergeCell ref="AE1:AF1"/>
    <mergeCell ref="AG1:AH1"/>
    <mergeCell ref="BS1:BT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88"/>
  <sheetViews>
    <sheetView topLeftCell="A2" zoomScale="55" zoomScaleNormal="55" workbookViewId="0">
      <pane xSplit="2" ySplit="3" topLeftCell="C20" activePane="bottomRight" state="frozen"/>
      <selection activeCell="A2" sqref="A2"/>
      <selection pane="topRight" activeCell="C2" sqref="C2"/>
      <selection pane="bottomLeft" activeCell="A5" sqref="A5"/>
      <selection pane="bottomRight" activeCell="P16" sqref="P16"/>
    </sheetView>
  </sheetViews>
  <sheetFormatPr defaultRowHeight="31.5" x14ac:dyDescent="0.5"/>
  <cols>
    <col min="1" max="1" width="25.7109375" style="9" customWidth="1"/>
    <col min="2" max="2" width="2.42578125" customWidth="1"/>
    <col min="3" max="4" width="25.7109375" customWidth="1"/>
    <col min="5" max="20" width="25.7109375" style="94" customWidth="1"/>
    <col min="21" max="21" width="5.7109375" style="94" customWidth="1"/>
    <col min="22" max="39" width="25.7109375" style="94" customWidth="1"/>
    <col min="40" max="40" width="5.7109375" style="94" customWidth="1"/>
    <col min="41" max="58" width="25.7109375" style="94" customWidth="1"/>
    <col min="59" max="59" width="5.7109375" style="94" customWidth="1"/>
    <col min="60" max="96" width="25.7109375" style="94" customWidth="1"/>
    <col min="97" max="101" width="25.7109375" customWidth="1"/>
  </cols>
  <sheetData>
    <row r="1" spans="1:97" s="12" customFormat="1" ht="49.5" customHeight="1" x14ac:dyDescent="0.25">
      <c r="A1" s="75"/>
      <c r="B1" s="75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</row>
    <row r="2" spans="1:97" s="98" customFormat="1" ht="113.25" customHeight="1" x14ac:dyDescent="0.25">
      <c r="A2" s="97"/>
      <c r="B2" s="110"/>
      <c r="C2" s="194" t="s">
        <v>182</v>
      </c>
      <c r="D2" s="194"/>
      <c r="E2" s="194" t="s">
        <v>183</v>
      </c>
      <c r="F2" s="194"/>
      <c r="G2" s="194" t="s">
        <v>184</v>
      </c>
      <c r="H2" s="194"/>
      <c r="I2" s="194" t="s">
        <v>185</v>
      </c>
      <c r="J2" s="194"/>
      <c r="K2" s="194" t="s">
        <v>186</v>
      </c>
      <c r="L2" s="194"/>
      <c r="M2" s="194" t="s">
        <v>187</v>
      </c>
      <c r="N2" s="194"/>
      <c r="O2" s="194" t="s">
        <v>188</v>
      </c>
      <c r="P2" s="194"/>
      <c r="Q2" s="194" t="s">
        <v>189</v>
      </c>
      <c r="R2" s="194"/>
      <c r="S2" s="194" t="s">
        <v>190</v>
      </c>
      <c r="T2" s="194"/>
      <c r="V2" s="194" t="s">
        <v>191</v>
      </c>
      <c r="W2" s="194"/>
      <c r="X2" s="194" t="s">
        <v>192</v>
      </c>
      <c r="Y2" s="194"/>
      <c r="Z2" s="194" t="s">
        <v>193</v>
      </c>
      <c r="AA2" s="194"/>
      <c r="AB2" s="194" t="s">
        <v>194</v>
      </c>
      <c r="AC2" s="194"/>
      <c r="AD2" s="194" t="s">
        <v>195</v>
      </c>
      <c r="AE2" s="194"/>
      <c r="AF2" s="194" t="s">
        <v>196</v>
      </c>
      <c r="AG2" s="194"/>
      <c r="AH2" s="194" t="s">
        <v>197</v>
      </c>
      <c r="AI2" s="194"/>
      <c r="AJ2" s="194" t="s">
        <v>198</v>
      </c>
      <c r="AK2" s="194"/>
      <c r="AL2" s="194" t="s">
        <v>199</v>
      </c>
      <c r="AM2" s="194"/>
      <c r="AO2" s="194" t="s">
        <v>200</v>
      </c>
      <c r="AP2" s="194"/>
      <c r="AQ2" s="194" t="s">
        <v>201</v>
      </c>
      <c r="AR2" s="194"/>
      <c r="AS2" s="194" t="s">
        <v>202</v>
      </c>
      <c r="AT2" s="194"/>
      <c r="AU2" s="194" t="s">
        <v>203</v>
      </c>
      <c r="AV2" s="194"/>
      <c r="AW2" s="194" t="s">
        <v>204</v>
      </c>
      <c r="AX2" s="194"/>
      <c r="AY2" s="194" t="s">
        <v>205</v>
      </c>
      <c r="AZ2" s="194"/>
      <c r="BA2" s="194" t="s">
        <v>206</v>
      </c>
      <c r="BB2" s="194"/>
      <c r="BC2" s="194" t="s">
        <v>207</v>
      </c>
      <c r="BD2" s="194"/>
      <c r="BE2" s="194" t="s">
        <v>208</v>
      </c>
      <c r="BF2" s="194"/>
      <c r="BH2" s="194" t="s">
        <v>52</v>
      </c>
      <c r="BI2" s="194"/>
      <c r="BJ2" s="194" t="s">
        <v>209</v>
      </c>
      <c r="BK2" s="194"/>
      <c r="BL2" s="194" t="s">
        <v>210</v>
      </c>
      <c r="BM2" s="194"/>
      <c r="BN2" s="194" t="s">
        <v>211</v>
      </c>
      <c r="BO2" s="194"/>
      <c r="BP2" s="194" t="s">
        <v>212</v>
      </c>
      <c r="BQ2" s="194"/>
      <c r="BR2" s="194" t="s">
        <v>213</v>
      </c>
      <c r="BS2" s="194"/>
      <c r="BT2" s="194" t="s">
        <v>214</v>
      </c>
      <c r="BU2" s="194"/>
      <c r="BV2" s="194" t="s">
        <v>215</v>
      </c>
      <c r="BW2" s="194"/>
      <c r="BX2" s="194" t="s">
        <v>216</v>
      </c>
      <c r="BY2" s="194"/>
      <c r="BZ2" s="194" t="s">
        <v>217</v>
      </c>
      <c r="CA2" s="194"/>
      <c r="CB2" s="194" t="s">
        <v>218</v>
      </c>
      <c r="CC2" s="194"/>
      <c r="CD2" s="194" t="s">
        <v>219</v>
      </c>
      <c r="CE2" s="194"/>
      <c r="CF2" s="194" t="s">
        <v>220</v>
      </c>
      <c r="CG2" s="194"/>
      <c r="CH2" s="194" t="s">
        <v>221</v>
      </c>
      <c r="CI2" s="194"/>
      <c r="CJ2" s="194" t="s">
        <v>222</v>
      </c>
      <c r="CK2" s="194"/>
      <c r="CL2" s="194" t="s">
        <v>223</v>
      </c>
      <c r="CM2" s="194"/>
      <c r="CN2" s="194" t="s">
        <v>224</v>
      </c>
      <c r="CO2" s="194"/>
      <c r="CP2" s="194" t="s">
        <v>225</v>
      </c>
      <c r="CQ2" s="194"/>
      <c r="CR2" s="194" t="s">
        <v>226</v>
      </c>
      <c r="CS2" s="194"/>
    </row>
    <row r="3" spans="1:97" s="96" customFormat="1" ht="49.5" customHeight="1" x14ac:dyDescent="0.25">
      <c r="A3" s="104"/>
      <c r="B3" s="111"/>
      <c r="C3" s="192"/>
      <c r="D3" s="192"/>
      <c r="E3" s="195" t="s">
        <v>59</v>
      </c>
      <c r="F3" s="195"/>
      <c r="G3" s="192"/>
      <c r="H3" s="192"/>
      <c r="I3" s="196" t="s">
        <v>61</v>
      </c>
      <c r="J3" s="196"/>
      <c r="K3" s="192"/>
      <c r="L3" s="192"/>
      <c r="M3" s="192"/>
      <c r="N3" s="192"/>
      <c r="O3" s="192"/>
      <c r="P3" s="192"/>
      <c r="Q3" s="193" t="s">
        <v>62</v>
      </c>
      <c r="R3" s="193"/>
      <c r="S3" s="192"/>
      <c r="T3" s="192"/>
      <c r="U3" s="95"/>
      <c r="V3" s="193" t="s">
        <v>57</v>
      </c>
      <c r="W3" s="193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2"/>
      <c r="AL3" s="192"/>
      <c r="AM3" s="192"/>
      <c r="AN3" s="95"/>
      <c r="AO3" s="195" t="s">
        <v>60</v>
      </c>
      <c r="AP3" s="195"/>
      <c r="AQ3" s="192"/>
      <c r="AR3" s="192"/>
      <c r="AS3" s="192"/>
      <c r="AT3" s="192"/>
      <c r="AU3" s="192"/>
      <c r="AV3" s="192"/>
      <c r="AW3" s="192"/>
      <c r="AX3" s="192"/>
      <c r="AY3" s="192"/>
      <c r="AZ3" s="192"/>
      <c r="BA3" s="192"/>
      <c r="BB3" s="192"/>
      <c r="BC3" s="192"/>
      <c r="BD3" s="192"/>
      <c r="BE3" s="192"/>
      <c r="BF3" s="192"/>
      <c r="BG3" s="95"/>
      <c r="BH3" s="195" t="s">
        <v>58</v>
      </c>
      <c r="BI3" s="195"/>
      <c r="BJ3" s="192"/>
      <c r="BK3" s="192"/>
      <c r="BL3" s="192"/>
      <c r="BM3" s="192"/>
      <c r="BN3" s="192"/>
      <c r="BO3" s="192"/>
      <c r="BP3" s="192"/>
      <c r="BQ3" s="192"/>
      <c r="BR3" s="192"/>
      <c r="BS3" s="192"/>
      <c r="BT3" s="192"/>
      <c r="BU3" s="192"/>
      <c r="BV3" s="192"/>
      <c r="BW3" s="192"/>
      <c r="BX3" s="192"/>
      <c r="BY3" s="192"/>
      <c r="BZ3" s="192"/>
      <c r="CA3" s="192"/>
      <c r="CB3" s="192"/>
      <c r="CC3" s="192"/>
      <c r="CD3" s="192"/>
      <c r="CE3" s="192"/>
      <c r="CF3" s="192"/>
      <c r="CG3" s="192"/>
      <c r="CH3" s="192"/>
      <c r="CI3" s="192"/>
      <c r="CJ3" s="192"/>
      <c r="CK3" s="192"/>
      <c r="CL3" s="192"/>
      <c r="CM3" s="192"/>
      <c r="CN3" s="192"/>
      <c r="CO3" s="192"/>
      <c r="CP3" s="192"/>
      <c r="CQ3" s="192"/>
      <c r="CR3" s="192"/>
      <c r="CS3" s="192"/>
    </row>
    <row r="4" spans="1:97" s="99" customFormat="1" ht="50.1" customHeight="1" x14ac:dyDescent="0.25">
      <c r="A4" s="100" t="s">
        <v>47</v>
      </c>
      <c r="B4" s="113"/>
      <c r="C4" s="100" t="s">
        <v>63</v>
      </c>
      <c r="D4" s="100" t="s">
        <v>227</v>
      </c>
      <c r="E4" s="100" t="s">
        <v>63</v>
      </c>
      <c r="F4" s="100" t="s">
        <v>227</v>
      </c>
      <c r="G4" s="100" t="s">
        <v>63</v>
      </c>
      <c r="H4" s="100" t="s">
        <v>227</v>
      </c>
      <c r="I4" s="100" t="s">
        <v>63</v>
      </c>
      <c r="J4" s="100" t="s">
        <v>227</v>
      </c>
      <c r="K4" s="100" t="s">
        <v>63</v>
      </c>
      <c r="L4" s="100" t="s">
        <v>227</v>
      </c>
      <c r="M4" s="100" t="s">
        <v>63</v>
      </c>
      <c r="N4" s="100" t="s">
        <v>227</v>
      </c>
      <c r="O4" s="100" t="s">
        <v>63</v>
      </c>
      <c r="P4" s="100" t="s">
        <v>227</v>
      </c>
      <c r="Q4" s="100" t="s">
        <v>63</v>
      </c>
      <c r="R4" s="100" t="s">
        <v>227</v>
      </c>
      <c r="S4" s="100" t="s">
        <v>63</v>
      </c>
      <c r="T4" s="100" t="s">
        <v>227</v>
      </c>
      <c r="V4" s="100" t="s">
        <v>63</v>
      </c>
      <c r="W4" s="100" t="s">
        <v>227</v>
      </c>
      <c r="X4" s="100" t="s">
        <v>63</v>
      </c>
      <c r="Y4" s="100" t="s">
        <v>227</v>
      </c>
      <c r="Z4" s="100" t="s">
        <v>63</v>
      </c>
      <c r="AA4" s="100" t="s">
        <v>227</v>
      </c>
      <c r="AB4" s="100" t="s">
        <v>63</v>
      </c>
      <c r="AC4" s="100" t="s">
        <v>227</v>
      </c>
      <c r="AD4" s="100" t="s">
        <v>63</v>
      </c>
      <c r="AE4" s="100" t="s">
        <v>227</v>
      </c>
      <c r="AF4" s="100" t="s">
        <v>63</v>
      </c>
      <c r="AG4" s="100" t="s">
        <v>227</v>
      </c>
      <c r="AH4" s="100" t="s">
        <v>63</v>
      </c>
      <c r="AI4" s="100" t="s">
        <v>227</v>
      </c>
      <c r="AJ4" s="100" t="s">
        <v>63</v>
      </c>
      <c r="AK4" s="100" t="s">
        <v>227</v>
      </c>
      <c r="AL4" s="100" t="s">
        <v>63</v>
      </c>
      <c r="AM4" s="100" t="s">
        <v>227</v>
      </c>
      <c r="AO4" s="100" t="s">
        <v>63</v>
      </c>
      <c r="AP4" s="100" t="s">
        <v>227</v>
      </c>
      <c r="AQ4" s="100" t="s">
        <v>63</v>
      </c>
      <c r="AR4" s="100" t="s">
        <v>227</v>
      </c>
      <c r="AS4" s="100" t="s">
        <v>63</v>
      </c>
      <c r="AT4" s="100" t="s">
        <v>227</v>
      </c>
      <c r="AU4" s="100" t="s">
        <v>63</v>
      </c>
      <c r="AV4" s="100" t="s">
        <v>227</v>
      </c>
      <c r="AW4" s="100" t="s">
        <v>63</v>
      </c>
      <c r="AX4" s="100" t="s">
        <v>227</v>
      </c>
      <c r="AY4" s="100" t="s">
        <v>63</v>
      </c>
      <c r="AZ4" s="100" t="s">
        <v>227</v>
      </c>
      <c r="BA4" s="100" t="s">
        <v>63</v>
      </c>
      <c r="BB4" s="100" t="s">
        <v>227</v>
      </c>
      <c r="BC4" s="100" t="s">
        <v>63</v>
      </c>
      <c r="BD4" s="100" t="s">
        <v>227</v>
      </c>
      <c r="BE4" s="100" t="s">
        <v>63</v>
      </c>
      <c r="BF4" s="100" t="s">
        <v>227</v>
      </c>
      <c r="BH4" s="100" t="s">
        <v>63</v>
      </c>
      <c r="BI4" s="100" t="s">
        <v>227</v>
      </c>
      <c r="BJ4" s="100" t="s">
        <v>63</v>
      </c>
      <c r="BK4" s="100" t="s">
        <v>227</v>
      </c>
      <c r="BL4" s="100" t="s">
        <v>63</v>
      </c>
      <c r="BM4" s="100" t="s">
        <v>227</v>
      </c>
      <c r="BN4" s="100" t="s">
        <v>63</v>
      </c>
      <c r="BO4" s="100" t="s">
        <v>227</v>
      </c>
      <c r="BP4" s="100" t="s">
        <v>63</v>
      </c>
      <c r="BQ4" s="100" t="s">
        <v>227</v>
      </c>
      <c r="BR4" s="100" t="s">
        <v>63</v>
      </c>
      <c r="BS4" s="100" t="s">
        <v>227</v>
      </c>
      <c r="BT4" s="100" t="s">
        <v>63</v>
      </c>
      <c r="BU4" s="100" t="s">
        <v>227</v>
      </c>
      <c r="BV4" s="100" t="s">
        <v>63</v>
      </c>
      <c r="BW4" s="100" t="s">
        <v>227</v>
      </c>
      <c r="BX4" s="100" t="s">
        <v>63</v>
      </c>
      <c r="BY4" s="100" t="s">
        <v>227</v>
      </c>
      <c r="BZ4" s="100" t="s">
        <v>63</v>
      </c>
      <c r="CA4" s="100" t="s">
        <v>227</v>
      </c>
      <c r="CB4" s="100" t="s">
        <v>63</v>
      </c>
      <c r="CC4" s="100" t="s">
        <v>227</v>
      </c>
      <c r="CD4" s="100" t="s">
        <v>63</v>
      </c>
      <c r="CE4" s="100" t="s">
        <v>227</v>
      </c>
      <c r="CF4" s="100" t="s">
        <v>63</v>
      </c>
      <c r="CG4" s="100" t="s">
        <v>227</v>
      </c>
      <c r="CH4" s="100" t="s">
        <v>63</v>
      </c>
      <c r="CI4" s="100" t="s">
        <v>227</v>
      </c>
      <c r="CJ4" s="100" t="s">
        <v>63</v>
      </c>
      <c r="CK4" s="100" t="s">
        <v>227</v>
      </c>
      <c r="CL4" s="100" t="s">
        <v>63</v>
      </c>
      <c r="CM4" s="100" t="s">
        <v>227</v>
      </c>
      <c r="CN4" s="100" t="s">
        <v>63</v>
      </c>
      <c r="CO4" s="100" t="s">
        <v>227</v>
      </c>
      <c r="CP4" s="100" t="s">
        <v>63</v>
      </c>
      <c r="CQ4" s="100" t="s">
        <v>227</v>
      </c>
      <c r="CR4" s="100" t="s">
        <v>63</v>
      </c>
      <c r="CS4" s="100" t="s">
        <v>227</v>
      </c>
    </row>
    <row r="5" spans="1:97" s="28" customFormat="1" ht="39.950000000000003" customHeight="1" x14ac:dyDescent="0.25">
      <c r="A5" s="101"/>
      <c r="B5" s="114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V5" s="27"/>
      <c r="W5" s="27"/>
      <c r="X5" s="105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106"/>
      <c r="AM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</row>
    <row r="6" spans="1:97" s="102" customFormat="1" ht="39.950000000000003" customHeight="1" x14ac:dyDescent="0.25">
      <c r="A6" s="101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V6" s="27"/>
      <c r="W6" s="27"/>
      <c r="X6" s="105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105"/>
      <c r="AM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</row>
    <row r="7" spans="1:97" s="102" customFormat="1" ht="39.950000000000003" customHeight="1" x14ac:dyDescent="0.25">
      <c r="A7" s="101"/>
      <c r="C7" s="27"/>
      <c r="D7" s="27"/>
      <c r="E7" s="27"/>
      <c r="F7" s="27"/>
      <c r="G7" s="27"/>
      <c r="H7" s="27"/>
      <c r="I7" s="27"/>
      <c r="J7" s="27"/>
      <c r="K7" s="27"/>
      <c r="L7" s="112"/>
      <c r="M7" s="27"/>
      <c r="N7" s="27"/>
      <c r="O7" s="27"/>
      <c r="P7" s="27"/>
      <c r="Q7" s="27"/>
      <c r="R7" s="27"/>
      <c r="S7" s="27"/>
      <c r="T7" s="27"/>
      <c r="V7" s="27"/>
      <c r="W7" s="27"/>
      <c r="X7" s="105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105"/>
      <c r="AM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</row>
    <row r="8" spans="1:97" s="103" customFormat="1" ht="39.950000000000003" customHeight="1" x14ac:dyDescent="0.5">
      <c r="A8" s="101"/>
      <c r="C8" s="108"/>
      <c r="D8" s="27"/>
      <c r="E8" s="108"/>
      <c r="F8" s="27"/>
      <c r="G8" s="108"/>
      <c r="H8" s="27"/>
      <c r="I8" s="108"/>
      <c r="J8" s="27"/>
      <c r="K8" s="108"/>
      <c r="L8" s="27"/>
      <c r="M8" s="108"/>
      <c r="N8" s="27"/>
      <c r="O8" s="27"/>
      <c r="P8" s="27"/>
      <c r="Q8" s="108"/>
      <c r="R8" s="27"/>
      <c r="S8" s="108"/>
      <c r="T8" s="27"/>
      <c r="V8" s="27"/>
      <c r="W8" s="27"/>
      <c r="X8" s="107"/>
      <c r="Y8" s="27"/>
      <c r="Z8" s="108"/>
      <c r="AA8" s="27"/>
      <c r="AB8" s="108"/>
      <c r="AC8" s="27"/>
      <c r="AD8" s="108"/>
      <c r="AE8" s="27"/>
      <c r="AF8" s="27"/>
      <c r="AG8" s="27"/>
      <c r="AH8" s="108"/>
      <c r="AI8" s="27"/>
      <c r="AJ8" s="108"/>
      <c r="AK8" s="27"/>
      <c r="AL8" s="107"/>
      <c r="AM8" s="27"/>
      <c r="AO8" s="108"/>
      <c r="AP8" s="27"/>
      <c r="AQ8" s="108"/>
      <c r="AR8" s="27"/>
      <c r="AS8" s="108"/>
      <c r="AT8" s="27"/>
      <c r="AU8" s="108"/>
      <c r="AV8" s="27"/>
      <c r="AW8" s="108"/>
      <c r="AX8" s="27"/>
      <c r="AY8" s="108"/>
      <c r="AZ8" s="27"/>
      <c r="BA8" s="108"/>
      <c r="BB8" s="27"/>
      <c r="BC8" s="108"/>
      <c r="BD8" s="27"/>
      <c r="BE8" s="108"/>
      <c r="BF8" s="27"/>
      <c r="BH8" s="108"/>
      <c r="BI8" s="27"/>
      <c r="BJ8" s="108"/>
      <c r="BK8" s="27"/>
      <c r="BL8" s="108"/>
      <c r="BM8" s="27"/>
      <c r="BN8" s="108"/>
      <c r="BO8" s="27"/>
      <c r="BP8" s="108"/>
      <c r="BQ8" s="27"/>
      <c r="BR8" s="108"/>
      <c r="BS8" s="27"/>
      <c r="BT8" s="27"/>
      <c r="BU8" s="27"/>
      <c r="BV8" s="108"/>
      <c r="BW8" s="27"/>
      <c r="BX8" s="108"/>
      <c r="BY8" s="27"/>
      <c r="BZ8" s="108"/>
      <c r="CA8" s="27"/>
      <c r="CB8" s="108"/>
      <c r="CC8" s="27"/>
      <c r="CD8" s="108"/>
      <c r="CE8" s="27"/>
      <c r="CF8" s="108"/>
      <c r="CG8" s="27"/>
      <c r="CH8" s="108"/>
      <c r="CI8" s="27"/>
      <c r="CJ8" s="108"/>
      <c r="CK8" s="27"/>
      <c r="CL8" s="108"/>
      <c r="CM8" s="27"/>
      <c r="CN8" s="108"/>
      <c r="CO8" s="27"/>
      <c r="CP8" s="108"/>
      <c r="CQ8" s="27"/>
      <c r="CR8" s="108"/>
      <c r="CS8" s="108"/>
    </row>
    <row r="9" spans="1:97" s="103" customFormat="1" ht="39.950000000000003" customHeight="1" x14ac:dyDescent="0.5">
      <c r="A9" s="101"/>
      <c r="C9" s="108"/>
      <c r="D9" s="27"/>
      <c r="E9" s="108"/>
      <c r="F9" s="27"/>
      <c r="G9" s="108"/>
      <c r="H9" s="27"/>
      <c r="I9" s="108"/>
      <c r="J9" s="27"/>
      <c r="K9" s="108"/>
      <c r="L9" s="27"/>
      <c r="M9" s="108"/>
      <c r="N9" s="27"/>
      <c r="O9" s="108"/>
      <c r="P9" s="27"/>
      <c r="Q9" s="108"/>
      <c r="R9" s="27"/>
      <c r="S9" s="108"/>
      <c r="T9" s="27"/>
      <c r="V9" s="108"/>
      <c r="W9" s="27"/>
      <c r="X9" s="107"/>
      <c r="Y9" s="27"/>
      <c r="Z9" s="108"/>
      <c r="AA9" s="27"/>
      <c r="AB9" s="108"/>
      <c r="AC9" s="27"/>
      <c r="AD9" s="108"/>
      <c r="AE9" s="27"/>
      <c r="AF9" s="27"/>
      <c r="AG9" s="27"/>
      <c r="AH9" s="108"/>
      <c r="AI9" s="27"/>
      <c r="AJ9" s="108"/>
      <c r="AK9" s="27"/>
      <c r="AL9" s="107"/>
      <c r="AM9" s="27"/>
      <c r="AO9" s="108"/>
      <c r="AP9" s="27"/>
      <c r="AQ9" s="108"/>
      <c r="AR9" s="27"/>
      <c r="AS9" s="108"/>
      <c r="AT9" s="27"/>
      <c r="AU9" s="108"/>
      <c r="AV9" s="27"/>
      <c r="AW9" s="108"/>
      <c r="AX9" s="27"/>
      <c r="AY9" s="108"/>
      <c r="AZ9" s="27"/>
      <c r="BA9" s="108"/>
      <c r="BB9" s="27"/>
      <c r="BC9" s="108"/>
      <c r="BD9" s="27"/>
      <c r="BE9" s="108"/>
      <c r="BF9" s="27"/>
      <c r="BH9" s="108"/>
      <c r="BI9" s="27"/>
      <c r="BJ9" s="108"/>
      <c r="BK9" s="27"/>
      <c r="BL9" s="108"/>
      <c r="BM9" s="27"/>
      <c r="BN9" s="108"/>
      <c r="BO9" s="27"/>
      <c r="BP9" s="108"/>
      <c r="BQ9" s="27"/>
      <c r="BR9" s="108"/>
      <c r="BS9" s="27"/>
      <c r="BT9" s="27"/>
      <c r="BU9" s="27"/>
      <c r="BV9" s="108"/>
      <c r="BW9" s="27"/>
      <c r="BX9" s="108"/>
      <c r="BY9" s="27"/>
      <c r="BZ9" s="108"/>
      <c r="CA9" s="27"/>
      <c r="CB9" s="108"/>
      <c r="CC9" s="27"/>
      <c r="CD9" s="108"/>
      <c r="CE9" s="27"/>
      <c r="CF9" s="108"/>
      <c r="CG9" s="27"/>
      <c r="CH9" s="108"/>
      <c r="CI9" s="27"/>
      <c r="CJ9" s="108"/>
      <c r="CK9" s="27"/>
      <c r="CL9" s="108"/>
      <c r="CM9" s="27"/>
      <c r="CN9" s="108"/>
      <c r="CO9" s="27"/>
      <c r="CP9" s="108"/>
      <c r="CQ9" s="27"/>
      <c r="CR9" s="108"/>
      <c r="CS9" s="108"/>
    </row>
    <row r="10" spans="1:97" s="103" customFormat="1" ht="39.950000000000003" customHeight="1" x14ac:dyDescent="0.5">
      <c r="A10" s="101"/>
      <c r="C10" s="108"/>
      <c r="D10" s="27"/>
      <c r="E10" s="108"/>
      <c r="F10" s="27"/>
      <c r="G10" s="108"/>
      <c r="H10" s="27"/>
      <c r="I10" s="108"/>
      <c r="J10" s="27"/>
      <c r="K10" s="108"/>
      <c r="L10" s="27"/>
      <c r="M10" s="108"/>
      <c r="N10" s="27"/>
      <c r="O10" s="108"/>
      <c r="P10" s="27"/>
      <c r="Q10" s="108"/>
      <c r="R10" s="27"/>
      <c r="S10" s="108"/>
      <c r="T10" s="27"/>
      <c r="V10" s="108"/>
      <c r="W10" s="27"/>
      <c r="X10" s="107"/>
      <c r="Y10" s="27"/>
      <c r="Z10" s="108"/>
      <c r="AA10" s="27"/>
      <c r="AB10" s="108"/>
      <c r="AC10" s="27"/>
      <c r="AD10" s="108"/>
      <c r="AE10" s="27"/>
      <c r="AF10" s="27"/>
      <c r="AG10" s="27"/>
      <c r="AH10" s="108"/>
      <c r="AI10" s="27"/>
      <c r="AJ10" s="108"/>
      <c r="AK10" s="27"/>
      <c r="AL10" s="107"/>
      <c r="AM10" s="27"/>
      <c r="AO10" s="108"/>
      <c r="AP10" s="27"/>
      <c r="AQ10" s="108"/>
      <c r="AR10" s="27"/>
      <c r="AS10" s="108"/>
      <c r="AT10" s="27"/>
      <c r="AU10" s="108"/>
      <c r="AV10" s="27"/>
      <c r="AW10" s="108"/>
      <c r="AX10" s="27"/>
      <c r="AY10" s="108"/>
      <c r="AZ10" s="27"/>
      <c r="BA10" s="108"/>
      <c r="BB10" s="27"/>
      <c r="BC10" s="108"/>
      <c r="BD10" s="27"/>
      <c r="BE10" s="108"/>
      <c r="BF10" s="27"/>
      <c r="BH10" s="108"/>
      <c r="BI10" s="27"/>
      <c r="BJ10" s="108"/>
      <c r="BK10" s="27"/>
      <c r="BL10" s="108"/>
      <c r="BM10" s="27"/>
      <c r="BN10" s="108"/>
      <c r="BO10" s="27"/>
      <c r="BP10" s="108"/>
      <c r="BQ10" s="27"/>
      <c r="BR10" s="108"/>
      <c r="BS10" s="27"/>
      <c r="BT10" s="27"/>
      <c r="BU10" s="27"/>
      <c r="BV10" s="108"/>
      <c r="BW10" s="27"/>
      <c r="BX10" s="108"/>
      <c r="BY10" s="27"/>
      <c r="BZ10" s="108"/>
      <c r="CA10" s="27"/>
      <c r="CB10" s="108"/>
      <c r="CC10" s="27"/>
      <c r="CD10" s="108"/>
      <c r="CE10" s="27"/>
      <c r="CF10" s="108"/>
      <c r="CG10" s="27"/>
      <c r="CH10" s="108"/>
      <c r="CI10" s="27"/>
      <c r="CJ10" s="108"/>
      <c r="CK10" s="27"/>
      <c r="CL10" s="108"/>
      <c r="CM10" s="27"/>
      <c r="CN10" s="108"/>
      <c r="CO10" s="27"/>
      <c r="CP10" s="108"/>
      <c r="CQ10" s="27"/>
      <c r="CR10" s="108"/>
      <c r="CS10" s="108"/>
    </row>
    <row r="11" spans="1:97" s="103" customFormat="1" ht="39.950000000000003" customHeight="1" x14ac:dyDescent="0.5">
      <c r="A11" s="101"/>
      <c r="C11" s="108"/>
      <c r="D11" s="27"/>
      <c r="E11" s="108"/>
      <c r="F11" s="27"/>
      <c r="G11" s="108"/>
      <c r="H11" s="27"/>
      <c r="I11" s="108"/>
      <c r="J11" s="27"/>
      <c r="K11" s="108"/>
      <c r="L11" s="27"/>
      <c r="M11" s="108"/>
      <c r="N11" s="27"/>
      <c r="O11" s="108"/>
      <c r="P11" s="27"/>
      <c r="Q11" s="108"/>
      <c r="R11" s="27"/>
      <c r="S11" s="108"/>
      <c r="T11" s="27"/>
      <c r="V11" s="108"/>
      <c r="W11" s="27"/>
      <c r="X11" s="107"/>
      <c r="Y11" s="27"/>
      <c r="Z11" s="108"/>
      <c r="AA11" s="27"/>
      <c r="AB11" s="108"/>
      <c r="AC11" s="27"/>
      <c r="AD11" s="108"/>
      <c r="AE11" s="27"/>
      <c r="AF11" s="27"/>
      <c r="AG11" s="27"/>
      <c r="AH11" s="108"/>
      <c r="AI11" s="27"/>
      <c r="AJ11" s="108"/>
      <c r="AK11" s="27"/>
      <c r="AL11" s="107"/>
      <c r="AM11" s="27"/>
      <c r="AO11" s="108"/>
      <c r="AP11" s="27"/>
      <c r="AQ11" s="108"/>
      <c r="AR11" s="27"/>
      <c r="AS11" s="108"/>
      <c r="AT11" s="27"/>
      <c r="AU11" s="108"/>
      <c r="AV11" s="27"/>
      <c r="AW11" s="108"/>
      <c r="AX11" s="27"/>
      <c r="AY11" s="108"/>
      <c r="AZ11" s="27"/>
      <c r="BA11" s="108"/>
      <c r="BB11" s="27"/>
      <c r="BC11" s="108"/>
      <c r="BD11" s="27"/>
      <c r="BE11" s="108"/>
      <c r="BF11" s="27"/>
      <c r="BH11" s="108"/>
      <c r="BI11" s="27"/>
      <c r="BJ11" s="108"/>
      <c r="BK11" s="27"/>
      <c r="BL11" s="108"/>
      <c r="BM11" s="27"/>
      <c r="BN11" s="108"/>
      <c r="BO11" s="27"/>
      <c r="BP11" s="108"/>
      <c r="BQ11" s="27"/>
      <c r="BR11" s="108"/>
      <c r="BS11" s="27"/>
      <c r="BT11" s="27"/>
      <c r="BU11" s="27"/>
      <c r="BV11" s="108"/>
      <c r="BW11" s="27"/>
      <c r="BX11" s="108"/>
      <c r="BY11" s="27"/>
      <c r="BZ11" s="108"/>
      <c r="CA11" s="27"/>
      <c r="CB11" s="108"/>
      <c r="CC11" s="27"/>
      <c r="CD11" s="108"/>
      <c r="CE11" s="27"/>
      <c r="CF11" s="108"/>
      <c r="CG11" s="27"/>
      <c r="CH11" s="108"/>
      <c r="CI11" s="27"/>
      <c r="CJ11" s="108"/>
      <c r="CK11" s="27"/>
      <c r="CL11" s="108"/>
      <c r="CM11" s="27"/>
      <c r="CN11" s="108"/>
      <c r="CO11" s="27"/>
      <c r="CP11" s="108"/>
      <c r="CQ11" s="27"/>
      <c r="CR11" s="108"/>
      <c r="CS11" s="108"/>
    </row>
    <row r="12" spans="1:97" s="103" customFormat="1" ht="39.950000000000003" customHeight="1" x14ac:dyDescent="0.5">
      <c r="A12" s="101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  <c r="CF12" s="108"/>
      <c r="CG12" s="108"/>
      <c r="CH12" s="108"/>
      <c r="CI12" s="108"/>
      <c r="CJ12" s="108"/>
      <c r="CK12" s="108"/>
      <c r="CL12" s="108"/>
      <c r="CM12" s="108"/>
      <c r="CN12" s="108"/>
      <c r="CO12" s="108"/>
      <c r="CP12" s="108"/>
      <c r="CQ12" s="108"/>
      <c r="CR12" s="108"/>
      <c r="CS12" s="108"/>
    </row>
    <row r="13" spans="1:97" s="103" customFormat="1" ht="39.950000000000003" customHeight="1" x14ac:dyDescent="0.5">
      <c r="A13" s="101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H13" s="108"/>
      <c r="BI13" s="108"/>
      <c r="BJ13" s="108"/>
      <c r="BK13" s="108"/>
      <c r="BL13" s="108"/>
      <c r="BM13" s="108"/>
      <c r="BN13" s="10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  <c r="CE13" s="108"/>
      <c r="CF13" s="108"/>
      <c r="CG13" s="108"/>
      <c r="CH13" s="108"/>
      <c r="CI13" s="108"/>
      <c r="CJ13" s="108"/>
      <c r="CK13" s="108"/>
      <c r="CL13" s="108"/>
      <c r="CM13" s="108"/>
      <c r="CN13" s="108"/>
      <c r="CO13" s="108"/>
      <c r="CP13" s="108"/>
      <c r="CQ13" s="108"/>
      <c r="CR13" s="108"/>
      <c r="CS13" s="108"/>
    </row>
    <row r="14" spans="1:97" s="103" customFormat="1" ht="39.950000000000003" customHeight="1" x14ac:dyDescent="0.5">
      <c r="A14" s="101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08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8"/>
      <c r="CR14" s="108"/>
      <c r="CS14" s="108"/>
    </row>
    <row r="15" spans="1:97" s="103" customFormat="1" ht="39.950000000000003" customHeight="1" x14ac:dyDescent="0.5">
      <c r="A15" s="101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  <c r="CF15" s="108"/>
      <c r="CG15" s="108"/>
      <c r="CH15" s="108"/>
      <c r="CI15" s="108"/>
      <c r="CJ15" s="108"/>
      <c r="CK15" s="108"/>
      <c r="CL15" s="108"/>
      <c r="CM15" s="108"/>
      <c r="CN15" s="108"/>
      <c r="CO15" s="108"/>
      <c r="CP15" s="108"/>
      <c r="CQ15" s="108"/>
      <c r="CR15" s="108"/>
      <c r="CS15" s="108"/>
    </row>
    <row r="16" spans="1:97" s="103" customFormat="1" ht="39.950000000000003" customHeight="1" x14ac:dyDescent="0.5">
      <c r="A16" s="101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  <c r="CF16" s="108"/>
      <c r="CG16" s="108"/>
      <c r="CH16" s="108"/>
      <c r="CI16" s="108"/>
      <c r="CJ16" s="108"/>
      <c r="CK16" s="108"/>
      <c r="CL16" s="108"/>
      <c r="CM16" s="108"/>
      <c r="CN16" s="108"/>
      <c r="CO16" s="108"/>
      <c r="CP16" s="108"/>
      <c r="CQ16" s="108"/>
      <c r="CR16" s="108"/>
      <c r="CS16" s="108"/>
    </row>
    <row r="17" spans="1:97" s="103" customFormat="1" ht="39.950000000000003" customHeight="1" x14ac:dyDescent="0.5">
      <c r="A17" s="101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8"/>
      <c r="CF17" s="108"/>
      <c r="CG17" s="108"/>
      <c r="CH17" s="108"/>
      <c r="CI17" s="108"/>
      <c r="CJ17" s="108"/>
      <c r="CK17" s="108"/>
      <c r="CL17" s="108"/>
      <c r="CM17" s="108"/>
      <c r="CN17" s="108"/>
      <c r="CO17" s="108"/>
      <c r="CP17" s="108"/>
      <c r="CQ17" s="108"/>
      <c r="CR17" s="108"/>
      <c r="CS17" s="108"/>
    </row>
    <row r="18" spans="1:97" s="103" customFormat="1" ht="39.950000000000003" customHeight="1" x14ac:dyDescent="0.5">
      <c r="A18" s="101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108"/>
      <c r="CF18" s="108"/>
      <c r="CG18" s="108"/>
      <c r="CH18" s="108"/>
      <c r="CI18" s="108"/>
      <c r="CJ18" s="108"/>
      <c r="CK18" s="108"/>
      <c r="CL18" s="108"/>
      <c r="CM18" s="108"/>
      <c r="CN18" s="108"/>
      <c r="CO18" s="108"/>
      <c r="CP18" s="108"/>
      <c r="CQ18" s="108"/>
      <c r="CR18" s="108"/>
      <c r="CS18" s="108"/>
    </row>
    <row r="19" spans="1:97" s="103" customFormat="1" ht="39.950000000000003" customHeight="1" x14ac:dyDescent="0.5">
      <c r="A19" s="101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  <c r="CF19" s="108"/>
      <c r="CG19" s="108"/>
      <c r="CH19" s="108"/>
      <c r="CI19" s="108"/>
      <c r="CJ19" s="108"/>
      <c r="CK19" s="108"/>
      <c r="CL19" s="108"/>
      <c r="CM19" s="108"/>
      <c r="CN19" s="108"/>
      <c r="CO19" s="108"/>
      <c r="CP19" s="108"/>
      <c r="CQ19" s="108"/>
      <c r="CR19" s="108"/>
      <c r="CS19" s="108"/>
    </row>
    <row r="20" spans="1:97" s="103" customFormat="1" ht="39.950000000000003" customHeight="1" x14ac:dyDescent="0.5">
      <c r="A20" s="101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108"/>
      <c r="CE20" s="108"/>
      <c r="CF20" s="108"/>
      <c r="CG20" s="108"/>
      <c r="CH20" s="108"/>
      <c r="CI20" s="108"/>
      <c r="CJ20" s="108"/>
      <c r="CK20" s="108"/>
      <c r="CL20" s="108"/>
      <c r="CM20" s="108"/>
      <c r="CN20" s="108"/>
      <c r="CO20" s="108"/>
      <c r="CP20" s="108"/>
      <c r="CQ20" s="108"/>
      <c r="CR20" s="108"/>
      <c r="CS20" s="108"/>
    </row>
    <row r="21" spans="1:97" s="103" customFormat="1" ht="39.950000000000003" customHeight="1" x14ac:dyDescent="0.5">
      <c r="A21" s="101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8"/>
      <c r="BH21" s="108"/>
      <c r="BI21" s="108"/>
      <c r="BJ21" s="108"/>
      <c r="BK21" s="108"/>
      <c r="BL21" s="108"/>
      <c r="BM21" s="108"/>
      <c r="BN21" s="10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C21" s="108"/>
      <c r="CD21" s="108"/>
      <c r="CE21" s="108"/>
      <c r="CF21" s="108"/>
      <c r="CG21" s="108"/>
      <c r="CH21" s="108"/>
      <c r="CI21" s="108"/>
      <c r="CJ21" s="108"/>
      <c r="CK21" s="108"/>
      <c r="CL21" s="108"/>
      <c r="CM21" s="108"/>
      <c r="CN21" s="108"/>
      <c r="CO21" s="108"/>
      <c r="CP21" s="108"/>
      <c r="CQ21" s="108"/>
      <c r="CR21" s="108"/>
      <c r="CS21" s="108"/>
    </row>
    <row r="22" spans="1:97" s="103" customFormat="1" ht="39.950000000000003" customHeight="1" x14ac:dyDescent="0.5">
      <c r="A22" s="101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  <c r="BF22" s="108"/>
      <c r="BH22" s="108"/>
      <c r="BI22" s="108"/>
      <c r="BJ22" s="108"/>
      <c r="BK22" s="108"/>
      <c r="BL22" s="108"/>
      <c r="BM22" s="108"/>
      <c r="BN22" s="108"/>
      <c r="BO22" s="108"/>
      <c r="BP22" s="108"/>
      <c r="BQ22" s="108"/>
      <c r="BR22" s="108"/>
      <c r="BS22" s="108"/>
      <c r="BT22" s="108"/>
      <c r="BU22" s="108"/>
      <c r="BV22" s="108"/>
      <c r="BW22" s="108"/>
      <c r="BX22" s="108"/>
      <c r="BY22" s="108"/>
      <c r="BZ22" s="108"/>
      <c r="CA22" s="108"/>
      <c r="CB22" s="108"/>
      <c r="CC22" s="108"/>
      <c r="CD22" s="108"/>
      <c r="CE22" s="108"/>
      <c r="CF22" s="108"/>
      <c r="CG22" s="108"/>
      <c r="CH22" s="108"/>
      <c r="CI22" s="108"/>
      <c r="CJ22" s="108"/>
      <c r="CK22" s="108"/>
      <c r="CL22" s="108"/>
      <c r="CM22" s="108"/>
      <c r="CN22" s="108"/>
      <c r="CO22" s="108"/>
      <c r="CP22" s="108"/>
      <c r="CQ22" s="108"/>
      <c r="CR22" s="108"/>
      <c r="CS22" s="108"/>
    </row>
    <row r="23" spans="1:97" s="103" customFormat="1" ht="39.950000000000003" customHeight="1" x14ac:dyDescent="0.5">
      <c r="A23" s="101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  <c r="BF23" s="108"/>
      <c r="BH23" s="108"/>
      <c r="BI23" s="108"/>
      <c r="BJ23" s="108"/>
      <c r="BK23" s="108"/>
      <c r="BL23" s="108"/>
      <c r="BM23" s="108"/>
      <c r="BN23" s="108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108"/>
      <c r="CB23" s="108"/>
      <c r="CC23" s="108"/>
      <c r="CD23" s="108"/>
      <c r="CE23" s="108"/>
      <c r="CF23" s="108"/>
      <c r="CG23" s="108"/>
      <c r="CH23" s="108"/>
      <c r="CI23" s="108"/>
      <c r="CJ23" s="108"/>
      <c r="CK23" s="108"/>
      <c r="CL23" s="108"/>
      <c r="CM23" s="108"/>
      <c r="CN23" s="108"/>
      <c r="CO23" s="108"/>
      <c r="CP23" s="108"/>
      <c r="CQ23" s="108"/>
      <c r="CR23" s="108"/>
      <c r="CS23" s="108"/>
    </row>
    <row r="24" spans="1:97" s="103" customFormat="1" ht="39.950000000000003" customHeight="1" x14ac:dyDescent="0.5">
      <c r="A24" s="101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H24" s="108"/>
      <c r="BI24" s="108"/>
      <c r="BJ24" s="108"/>
      <c r="BK24" s="108"/>
      <c r="BL24" s="108"/>
      <c r="BM24" s="108"/>
      <c r="BN24" s="108"/>
      <c r="BO24" s="108"/>
      <c r="BP24" s="108"/>
      <c r="BQ24" s="108"/>
      <c r="BR24" s="108"/>
      <c r="BS24" s="108"/>
      <c r="BT24" s="108"/>
      <c r="BU24" s="108"/>
      <c r="BV24" s="108"/>
      <c r="BW24" s="108"/>
      <c r="BX24" s="108"/>
      <c r="BY24" s="108"/>
      <c r="BZ24" s="108"/>
      <c r="CA24" s="108"/>
      <c r="CB24" s="108"/>
      <c r="CC24" s="108"/>
      <c r="CD24" s="108"/>
      <c r="CE24" s="108"/>
      <c r="CF24" s="108"/>
      <c r="CG24" s="108"/>
      <c r="CH24" s="108"/>
      <c r="CI24" s="108"/>
      <c r="CJ24" s="108"/>
      <c r="CK24" s="108"/>
      <c r="CL24" s="108"/>
      <c r="CM24" s="108"/>
      <c r="CN24" s="108"/>
      <c r="CO24" s="108"/>
      <c r="CP24" s="108"/>
      <c r="CQ24" s="108"/>
      <c r="CR24" s="108"/>
      <c r="CS24" s="108"/>
    </row>
    <row r="25" spans="1:97" s="92" customFormat="1" ht="39.950000000000003" customHeight="1" x14ac:dyDescent="0.5">
      <c r="A25" s="101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V25" s="108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  <c r="BH25" s="109"/>
      <c r="BI25" s="109"/>
      <c r="BJ25" s="109"/>
      <c r="BK25" s="109"/>
      <c r="BL25" s="109"/>
      <c r="BM25" s="109"/>
      <c r="BN25" s="109"/>
      <c r="BO25" s="109"/>
      <c r="BP25" s="109"/>
      <c r="BQ25" s="109"/>
      <c r="BR25" s="109"/>
      <c r="BS25" s="109"/>
      <c r="BT25" s="109"/>
      <c r="BU25" s="109"/>
      <c r="BV25" s="109"/>
      <c r="BW25" s="109"/>
      <c r="BX25" s="109"/>
      <c r="BY25" s="109"/>
      <c r="BZ25" s="109"/>
      <c r="CA25" s="109"/>
      <c r="CB25" s="109"/>
      <c r="CC25" s="109"/>
      <c r="CD25" s="109"/>
      <c r="CE25" s="109"/>
      <c r="CF25" s="109"/>
      <c r="CG25" s="109"/>
      <c r="CH25" s="109"/>
      <c r="CI25" s="109"/>
      <c r="CJ25" s="109"/>
      <c r="CK25" s="109"/>
      <c r="CL25" s="109"/>
      <c r="CM25" s="109"/>
      <c r="CN25" s="109"/>
      <c r="CO25" s="109"/>
      <c r="CP25" s="109"/>
      <c r="CQ25" s="109"/>
      <c r="CR25" s="109"/>
      <c r="CS25" s="109"/>
    </row>
    <row r="26" spans="1:97" s="57" customFormat="1" ht="39.950000000000003" customHeight="1" x14ac:dyDescent="0.5">
      <c r="A26" s="51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2"/>
      <c r="BF26" s="92"/>
      <c r="BG26" s="92"/>
      <c r="BH26" s="92"/>
      <c r="BI26" s="92"/>
      <c r="BJ26" s="92"/>
      <c r="BK26" s="92"/>
      <c r="BL26" s="92"/>
      <c r="BM26" s="92"/>
      <c r="BN26" s="92"/>
      <c r="BO26" s="92"/>
      <c r="BP26" s="92"/>
      <c r="BQ26" s="92"/>
      <c r="BR26" s="92"/>
      <c r="BS26" s="92"/>
      <c r="BT26" s="92"/>
      <c r="BU26" s="92"/>
      <c r="BV26" s="92"/>
      <c r="BW26" s="92"/>
      <c r="BX26" s="92"/>
      <c r="BY26" s="92"/>
      <c r="BZ26" s="92"/>
      <c r="CA26" s="92"/>
      <c r="CB26" s="92"/>
      <c r="CC26" s="92"/>
      <c r="CD26" s="92"/>
      <c r="CE26" s="92"/>
      <c r="CF26" s="92"/>
      <c r="CG26" s="92"/>
      <c r="CH26" s="92"/>
      <c r="CI26" s="92"/>
      <c r="CJ26" s="92"/>
      <c r="CK26" s="92"/>
      <c r="CL26" s="92"/>
      <c r="CM26" s="92"/>
      <c r="CN26" s="92"/>
      <c r="CO26" s="92"/>
      <c r="CP26" s="92"/>
      <c r="CQ26" s="92"/>
      <c r="CR26" s="92"/>
    </row>
    <row r="27" spans="1:97" s="57" customFormat="1" ht="39.950000000000003" customHeight="1" x14ac:dyDescent="0.5">
      <c r="A27" s="51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2"/>
      <c r="BF27" s="92"/>
      <c r="BG27" s="92"/>
      <c r="BH27" s="92"/>
      <c r="BI27" s="92"/>
      <c r="BJ27" s="92"/>
      <c r="BK27" s="92"/>
      <c r="BL27" s="92"/>
      <c r="BM27" s="92"/>
      <c r="BN27" s="92"/>
      <c r="BO27" s="92"/>
      <c r="BP27" s="92"/>
      <c r="BQ27" s="92"/>
      <c r="BR27" s="92"/>
      <c r="BS27" s="92"/>
      <c r="BT27" s="92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2"/>
      <c r="CF27" s="92"/>
      <c r="CG27" s="92"/>
      <c r="CH27" s="92"/>
      <c r="CI27" s="92"/>
      <c r="CJ27" s="92"/>
      <c r="CK27" s="92"/>
      <c r="CL27" s="92"/>
      <c r="CM27" s="92"/>
      <c r="CN27" s="92"/>
      <c r="CO27" s="92"/>
      <c r="CP27" s="92"/>
      <c r="CQ27" s="92"/>
      <c r="CR27" s="92"/>
    </row>
    <row r="28" spans="1:97" s="57" customFormat="1" ht="39.950000000000003" customHeight="1" x14ac:dyDescent="0.5">
      <c r="A28" s="51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2"/>
      <c r="BK28" s="92"/>
      <c r="BL28" s="92"/>
      <c r="BM28" s="92"/>
      <c r="BN28" s="92"/>
      <c r="BO28" s="92"/>
      <c r="BP28" s="92"/>
      <c r="BQ28" s="92"/>
      <c r="BR28" s="92"/>
      <c r="BS28" s="92"/>
      <c r="BT28" s="92"/>
      <c r="BU28" s="92"/>
      <c r="BV28" s="92"/>
      <c r="BW28" s="92"/>
      <c r="BX28" s="92"/>
      <c r="BY28" s="92"/>
      <c r="BZ28" s="92"/>
      <c r="CA28" s="92"/>
      <c r="CB28" s="92"/>
      <c r="CC28" s="92"/>
      <c r="CD28" s="92"/>
      <c r="CE28" s="92"/>
      <c r="CF28" s="92"/>
      <c r="CG28" s="92"/>
      <c r="CH28" s="92"/>
      <c r="CI28" s="92"/>
      <c r="CJ28" s="92"/>
      <c r="CK28" s="92"/>
      <c r="CL28" s="92"/>
      <c r="CM28" s="92"/>
      <c r="CN28" s="92"/>
      <c r="CO28" s="92"/>
      <c r="CP28" s="92"/>
      <c r="CQ28" s="92"/>
      <c r="CR28" s="92"/>
    </row>
    <row r="29" spans="1:97" s="57" customFormat="1" ht="39.950000000000003" customHeight="1" x14ac:dyDescent="0.5">
      <c r="A29" s="51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92"/>
      <c r="BL29" s="92"/>
      <c r="BM29" s="92"/>
      <c r="BN29" s="92"/>
      <c r="BO29" s="92"/>
      <c r="BP29" s="92"/>
      <c r="BQ29" s="92"/>
      <c r="BR29" s="92"/>
      <c r="BS29" s="92"/>
      <c r="BT29" s="92"/>
      <c r="BU29" s="92"/>
      <c r="BV29" s="92"/>
      <c r="BW29" s="92"/>
      <c r="BX29" s="92"/>
      <c r="BY29" s="92"/>
      <c r="BZ29" s="92"/>
      <c r="CA29" s="92"/>
      <c r="CB29" s="92"/>
      <c r="CC29" s="92"/>
      <c r="CD29" s="92"/>
      <c r="CE29" s="92"/>
      <c r="CF29" s="92"/>
      <c r="CG29" s="92"/>
      <c r="CH29" s="92"/>
      <c r="CI29" s="92"/>
      <c r="CJ29" s="92"/>
      <c r="CK29" s="92"/>
      <c r="CL29" s="92"/>
      <c r="CM29" s="92"/>
      <c r="CN29" s="92"/>
      <c r="CO29" s="92"/>
      <c r="CP29" s="92"/>
      <c r="CQ29" s="92"/>
      <c r="CR29" s="92"/>
    </row>
    <row r="30" spans="1:97" s="57" customFormat="1" ht="39.950000000000003" customHeight="1" x14ac:dyDescent="0.5">
      <c r="A30" s="51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92"/>
      <c r="BL30" s="92"/>
      <c r="BM30" s="92"/>
      <c r="BN30" s="92"/>
      <c r="BO30" s="92"/>
      <c r="BP30" s="92"/>
      <c r="BQ30" s="92"/>
      <c r="BR30" s="92"/>
      <c r="BS30" s="92"/>
      <c r="BT30" s="92"/>
      <c r="BU30" s="92"/>
      <c r="BV30" s="92"/>
      <c r="BW30" s="92"/>
      <c r="BX30" s="92"/>
      <c r="BY30" s="92"/>
      <c r="BZ30" s="92"/>
      <c r="CA30" s="92"/>
      <c r="CB30" s="92"/>
      <c r="CC30" s="92"/>
      <c r="CD30" s="92"/>
      <c r="CE30" s="92"/>
      <c r="CF30" s="92"/>
      <c r="CG30" s="92"/>
      <c r="CH30" s="92"/>
      <c r="CI30" s="92"/>
      <c r="CJ30" s="92"/>
      <c r="CK30" s="92"/>
      <c r="CL30" s="92"/>
      <c r="CM30" s="92"/>
      <c r="CN30" s="92"/>
      <c r="CO30" s="92"/>
      <c r="CP30" s="92"/>
      <c r="CQ30" s="92"/>
      <c r="CR30" s="92"/>
    </row>
    <row r="31" spans="1:97" s="57" customFormat="1" ht="39.950000000000003" customHeight="1" x14ac:dyDescent="0.5">
      <c r="A31" s="51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92"/>
      <c r="BL31" s="92"/>
      <c r="BM31" s="92"/>
      <c r="BN31" s="92"/>
      <c r="BO31" s="92"/>
      <c r="BP31" s="92"/>
      <c r="BQ31" s="92"/>
      <c r="BR31" s="92"/>
      <c r="BS31" s="92"/>
      <c r="BT31" s="92"/>
      <c r="BU31" s="92"/>
      <c r="BV31" s="92"/>
      <c r="BW31" s="92"/>
      <c r="BX31" s="92"/>
      <c r="BY31" s="92"/>
      <c r="BZ31" s="92"/>
      <c r="CA31" s="92"/>
      <c r="CB31" s="92"/>
      <c r="CC31" s="92"/>
      <c r="CD31" s="92"/>
      <c r="CE31" s="92"/>
      <c r="CF31" s="92"/>
      <c r="CG31" s="92"/>
      <c r="CH31" s="92"/>
      <c r="CI31" s="92"/>
      <c r="CJ31" s="92"/>
      <c r="CK31" s="92"/>
      <c r="CL31" s="92"/>
      <c r="CM31" s="92"/>
      <c r="CN31" s="92"/>
      <c r="CO31" s="92"/>
      <c r="CP31" s="92"/>
      <c r="CQ31" s="92"/>
      <c r="CR31" s="92"/>
    </row>
    <row r="32" spans="1:97" s="57" customFormat="1" ht="39.950000000000003" customHeight="1" x14ac:dyDescent="0.5">
      <c r="A32" s="51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  <c r="CH32" s="92"/>
      <c r="CI32" s="92"/>
      <c r="CJ32" s="92"/>
      <c r="CK32" s="92"/>
      <c r="CL32" s="92"/>
      <c r="CM32" s="92"/>
      <c r="CN32" s="92"/>
      <c r="CO32" s="92"/>
      <c r="CP32" s="92"/>
      <c r="CQ32" s="92"/>
      <c r="CR32" s="92"/>
    </row>
    <row r="33" spans="1:96" s="57" customFormat="1" ht="39.950000000000003" customHeight="1" x14ac:dyDescent="0.5">
      <c r="A33" s="51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2"/>
      <c r="BK33" s="92"/>
      <c r="BL33" s="92"/>
      <c r="BM33" s="92"/>
      <c r="BN33" s="92"/>
      <c r="BO33" s="92"/>
      <c r="BP33" s="92"/>
      <c r="BQ33" s="92"/>
      <c r="BR33" s="92"/>
      <c r="BS33" s="92"/>
      <c r="BT33" s="92"/>
      <c r="BU33" s="92"/>
      <c r="BV33" s="92"/>
      <c r="BW33" s="92"/>
      <c r="BX33" s="92"/>
      <c r="BY33" s="92"/>
      <c r="BZ33" s="92"/>
      <c r="CA33" s="92"/>
      <c r="CB33" s="92"/>
      <c r="CC33" s="92"/>
      <c r="CD33" s="92"/>
      <c r="CE33" s="92"/>
      <c r="CF33" s="92"/>
      <c r="CG33" s="92"/>
      <c r="CH33" s="92"/>
      <c r="CI33" s="92"/>
      <c r="CJ33" s="92"/>
      <c r="CK33" s="92"/>
      <c r="CL33" s="92"/>
      <c r="CM33" s="92"/>
      <c r="CN33" s="92"/>
      <c r="CO33" s="92"/>
      <c r="CP33" s="92"/>
      <c r="CQ33" s="92"/>
      <c r="CR33" s="92"/>
    </row>
    <row r="34" spans="1:96" s="57" customFormat="1" ht="39.950000000000003" customHeight="1" x14ac:dyDescent="0.5">
      <c r="A34" s="51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2"/>
      <c r="BT34" s="92"/>
      <c r="BU34" s="92"/>
      <c r="BV34" s="92"/>
      <c r="BW34" s="92"/>
      <c r="BX34" s="92"/>
      <c r="BY34" s="92"/>
      <c r="BZ34" s="92"/>
      <c r="CA34" s="92"/>
      <c r="CB34" s="92"/>
      <c r="CC34" s="92"/>
      <c r="CD34" s="92"/>
      <c r="CE34" s="92"/>
      <c r="CF34" s="92"/>
      <c r="CG34" s="92"/>
      <c r="CH34" s="92"/>
      <c r="CI34" s="92"/>
      <c r="CJ34" s="92"/>
      <c r="CK34" s="92"/>
      <c r="CL34" s="92"/>
      <c r="CM34" s="92"/>
      <c r="CN34" s="92"/>
      <c r="CO34" s="92"/>
      <c r="CP34" s="92"/>
      <c r="CQ34" s="92"/>
      <c r="CR34" s="92"/>
    </row>
    <row r="35" spans="1:96" s="57" customFormat="1" ht="39.950000000000003" customHeight="1" x14ac:dyDescent="0.5">
      <c r="A35" s="51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92"/>
      <c r="BR35" s="92"/>
      <c r="BS35" s="92"/>
      <c r="BT35" s="92"/>
      <c r="BU35" s="92"/>
      <c r="BV35" s="92"/>
      <c r="BW35" s="92"/>
      <c r="BX35" s="92"/>
      <c r="BY35" s="92"/>
      <c r="BZ35" s="92"/>
      <c r="CA35" s="92"/>
      <c r="CB35" s="92"/>
      <c r="CC35" s="92"/>
      <c r="CD35" s="92"/>
      <c r="CE35" s="92"/>
      <c r="CF35" s="92"/>
      <c r="CG35" s="92"/>
      <c r="CH35" s="92"/>
      <c r="CI35" s="92"/>
      <c r="CJ35" s="92"/>
      <c r="CK35" s="92"/>
      <c r="CL35" s="92"/>
      <c r="CM35" s="92"/>
      <c r="CN35" s="92"/>
      <c r="CO35" s="92"/>
      <c r="CP35" s="92"/>
      <c r="CQ35" s="92"/>
      <c r="CR35" s="92"/>
    </row>
    <row r="36" spans="1:96" s="57" customFormat="1" ht="39.950000000000003" customHeight="1" x14ac:dyDescent="0.5">
      <c r="A36" s="51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  <c r="CH36" s="92"/>
      <c r="CI36" s="92"/>
      <c r="CJ36" s="92"/>
      <c r="CK36" s="92"/>
      <c r="CL36" s="92"/>
      <c r="CM36" s="92"/>
      <c r="CN36" s="92"/>
      <c r="CO36" s="92"/>
      <c r="CP36" s="92"/>
      <c r="CQ36" s="92"/>
      <c r="CR36" s="92"/>
    </row>
    <row r="37" spans="1:96" s="59" customFormat="1" ht="39.950000000000003" customHeight="1" x14ac:dyDescent="0.5">
      <c r="A37" s="58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2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  <c r="BK37" s="93"/>
      <c r="BL37" s="93"/>
      <c r="BM37" s="93"/>
      <c r="BN37" s="93"/>
      <c r="BO37" s="93"/>
      <c r="BP37" s="93"/>
      <c r="BQ37" s="93"/>
      <c r="BR37" s="93"/>
      <c r="BS37" s="93"/>
      <c r="BT37" s="93"/>
      <c r="BU37" s="93"/>
      <c r="BV37" s="93"/>
      <c r="BW37" s="93"/>
      <c r="BX37" s="93"/>
      <c r="BY37" s="93"/>
      <c r="BZ37" s="93"/>
      <c r="CA37" s="93"/>
      <c r="CB37" s="93"/>
      <c r="CC37" s="93"/>
      <c r="CD37" s="93"/>
      <c r="CE37" s="93"/>
      <c r="CF37" s="93"/>
      <c r="CG37" s="93"/>
      <c r="CH37" s="93"/>
      <c r="CI37" s="93"/>
      <c r="CJ37" s="93"/>
      <c r="CK37" s="93"/>
      <c r="CL37" s="93"/>
      <c r="CM37" s="93"/>
      <c r="CN37" s="93"/>
      <c r="CO37" s="93"/>
      <c r="CP37" s="93"/>
      <c r="CQ37" s="93"/>
      <c r="CR37" s="93"/>
    </row>
    <row r="38" spans="1:96" s="62" customFormat="1" ht="39.950000000000003" customHeight="1" x14ac:dyDescent="0.5">
      <c r="A38" s="61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3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92"/>
      <c r="BL38" s="92"/>
      <c r="BM38" s="92"/>
      <c r="BN38" s="92"/>
      <c r="BO38" s="92"/>
      <c r="BP38" s="92"/>
      <c r="BQ38" s="92"/>
      <c r="BR38" s="92"/>
      <c r="BS38" s="92"/>
      <c r="BT38" s="92"/>
      <c r="BU38" s="92"/>
      <c r="BV38" s="92"/>
      <c r="BW38" s="92"/>
      <c r="BX38" s="92"/>
      <c r="BY38" s="92"/>
      <c r="BZ38" s="92"/>
      <c r="CA38" s="92"/>
      <c r="CB38" s="92"/>
      <c r="CC38" s="92"/>
      <c r="CD38" s="92"/>
      <c r="CE38" s="92"/>
      <c r="CF38" s="92"/>
      <c r="CG38" s="92"/>
      <c r="CH38" s="92"/>
      <c r="CI38" s="92"/>
      <c r="CJ38" s="92"/>
      <c r="CK38" s="92"/>
      <c r="CL38" s="92"/>
      <c r="CM38" s="92"/>
      <c r="CN38" s="92"/>
      <c r="CO38" s="92"/>
      <c r="CP38" s="92"/>
      <c r="CQ38" s="92"/>
      <c r="CR38" s="92"/>
    </row>
    <row r="39" spans="1:96" s="62" customFormat="1" ht="39.950000000000003" customHeight="1" x14ac:dyDescent="0.5">
      <c r="A39" s="61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2"/>
      <c r="BC39" s="92"/>
      <c r="BD39" s="92"/>
      <c r="BE39" s="92"/>
      <c r="BF39" s="92"/>
      <c r="BG39" s="92"/>
      <c r="BH39" s="92"/>
      <c r="BI39" s="92"/>
      <c r="BJ39" s="92"/>
      <c r="BK39" s="92"/>
      <c r="BL39" s="92"/>
      <c r="BM39" s="92"/>
      <c r="BN39" s="92"/>
      <c r="BO39" s="92"/>
      <c r="BP39" s="92"/>
      <c r="BQ39" s="92"/>
      <c r="BR39" s="92"/>
      <c r="BS39" s="92"/>
      <c r="BT39" s="92"/>
      <c r="BU39" s="92"/>
      <c r="BV39" s="92"/>
      <c r="BW39" s="92"/>
      <c r="BX39" s="92"/>
      <c r="BY39" s="92"/>
      <c r="BZ39" s="92"/>
      <c r="CA39" s="92"/>
      <c r="CB39" s="92"/>
      <c r="CC39" s="92"/>
      <c r="CD39" s="92"/>
      <c r="CE39" s="92"/>
      <c r="CF39" s="92"/>
      <c r="CG39" s="92"/>
      <c r="CH39" s="92"/>
      <c r="CI39" s="92"/>
      <c r="CJ39" s="92"/>
      <c r="CK39" s="92"/>
      <c r="CL39" s="92"/>
      <c r="CM39" s="92"/>
      <c r="CN39" s="92"/>
      <c r="CO39" s="92"/>
      <c r="CP39" s="92"/>
      <c r="CQ39" s="92"/>
      <c r="CR39" s="92"/>
    </row>
    <row r="40" spans="1:96" ht="39.950000000000003" customHeight="1" x14ac:dyDescent="0.5">
      <c r="A40" s="11"/>
      <c r="V40" s="92"/>
    </row>
    <row r="41" spans="1:96" x14ac:dyDescent="0.5">
      <c r="A41" s="11"/>
    </row>
    <row r="42" spans="1:96" x14ac:dyDescent="0.5">
      <c r="A42" s="11"/>
    </row>
    <row r="43" spans="1:96" x14ac:dyDescent="0.5">
      <c r="A43" s="11"/>
    </row>
    <row r="44" spans="1:96" x14ac:dyDescent="0.5">
      <c r="A44" s="11"/>
    </row>
    <row r="45" spans="1:96" x14ac:dyDescent="0.5">
      <c r="A45" s="11"/>
    </row>
    <row r="46" spans="1:96" x14ac:dyDescent="0.5">
      <c r="A46" s="11"/>
    </row>
    <row r="47" spans="1:96" x14ac:dyDescent="0.5">
      <c r="A47" s="11"/>
    </row>
    <row r="48" spans="1:96" x14ac:dyDescent="0.5">
      <c r="A48" s="11"/>
    </row>
    <row r="49" spans="1:1" x14ac:dyDescent="0.5">
      <c r="A49" s="11"/>
    </row>
    <row r="50" spans="1:1" x14ac:dyDescent="0.5">
      <c r="A50" s="11"/>
    </row>
    <row r="51" spans="1:1" x14ac:dyDescent="0.5">
      <c r="A51" s="11"/>
    </row>
    <row r="52" spans="1:1" x14ac:dyDescent="0.5">
      <c r="A52" s="11"/>
    </row>
    <row r="53" spans="1:1" x14ac:dyDescent="0.5">
      <c r="A53" s="11"/>
    </row>
    <row r="54" spans="1:1" x14ac:dyDescent="0.5">
      <c r="A54" s="11"/>
    </row>
    <row r="55" spans="1:1" x14ac:dyDescent="0.5">
      <c r="A55" s="11"/>
    </row>
    <row r="56" spans="1:1" x14ac:dyDescent="0.5">
      <c r="A56" s="11"/>
    </row>
    <row r="57" spans="1:1" x14ac:dyDescent="0.5">
      <c r="A57" s="11"/>
    </row>
    <row r="58" spans="1:1" x14ac:dyDescent="0.5">
      <c r="A58" s="11"/>
    </row>
    <row r="59" spans="1:1" x14ac:dyDescent="0.5">
      <c r="A59" s="11"/>
    </row>
    <row r="60" spans="1:1" x14ac:dyDescent="0.5">
      <c r="A60" s="11"/>
    </row>
    <row r="61" spans="1:1" x14ac:dyDescent="0.5">
      <c r="A61" s="11"/>
    </row>
    <row r="62" spans="1:1" x14ac:dyDescent="0.5">
      <c r="A62" s="11"/>
    </row>
    <row r="63" spans="1:1" x14ac:dyDescent="0.5">
      <c r="A63" s="11"/>
    </row>
    <row r="64" spans="1:1" x14ac:dyDescent="0.5">
      <c r="A64" s="11"/>
    </row>
    <row r="65" spans="1:1" x14ac:dyDescent="0.5">
      <c r="A65" s="11"/>
    </row>
    <row r="66" spans="1:1" x14ac:dyDescent="0.5">
      <c r="A66" s="11"/>
    </row>
    <row r="67" spans="1:1" x14ac:dyDescent="0.5">
      <c r="A67" s="11"/>
    </row>
    <row r="68" spans="1:1" x14ac:dyDescent="0.5">
      <c r="A68" s="11"/>
    </row>
    <row r="69" spans="1:1" x14ac:dyDescent="0.5">
      <c r="A69" s="11"/>
    </row>
    <row r="70" spans="1:1" x14ac:dyDescent="0.5">
      <c r="A70" s="11"/>
    </row>
    <row r="71" spans="1:1" x14ac:dyDescent="0.5">
      <c r="A71" s="11"/>
    </row>
    <row r="72" spans="1:1" x14ac:dyDescent="0.5">
      <c r="A72" s="11"/>
    </row>
    <row r="73" spans="1:1" x14ac:dyDescent="0.5">
      <c r="A73" s="11"/>
    </row>
    <row r="74" spans="1:1" x14ac:dyDescent="0.5">
      <c r="A74" s="11"/>
    </row>
    <row r="75" spans="1:1" x14ac:dyDescent="0.5">
      <c r="A75" s="11"/>
    </row>
    <row r="76" spans="1:1" x14ac:dyDescent="0.5">
      <c r="A76" s="11"/>
    </row>
    <row r="77" spans="1:1" x14ac:dyDescent="0.5">
      <c r="A77" s="11"/>
    </row>
    <row r="78" spans="1:1" x14ac:dyDescent="0.5">
      <c r="A78" s="11"/>
    </row>
    <row r="79" spans="1:1" x14ac:dyDescent="0.5">
      <c r="A79" s="11"/>
    </row>
    <row r="80" spans="1:1" x14ac:dyDescent="0.5">
      <c r="A80" s="11"/>
    </row>
    <row r="81" spans="1:1" x14ac:dyDescent="0.5">
      <c r="A81" s="11"/>
    </row>
    <row r="82" spans="1:1" x14ac:dyDescent="0.5">
      <c r="A82" s="11"/>
    </row>
    <row r="83" spans="1:1" x14ac:dyDescent="0.5">
      <c r="A83" s="11"/>
    </row>
    <row r="84" spans="1:1" x14ac:dyDescent="0.5">
      <c r="A84" s="11"/>
    </row>
    <row r="85" spans="1:1" x14ac:dyDescent="0.5">
      <c r="A85" s="11"/>
    </row>
    <row r="86" spans="1:1" x14ac:dyDescent="0.5">
      <c r="A86" s="11"/>
    </row>
    <row r="87" spans="1:1" x14ac:dyDescent="0.5">
      <c r="A87" s="11"/>
    </row>
    <row r="88" spans="1:1" x14ac:dyDescent="0.5">
      <c r="A88" s="11"/>
    </row>
  </sheetData>
  <mergeCells count="92">
    <mergeCell ref="CL3:CM3"/>
    <mergeCell ref="CN3:CO3"/>
    <mergeCell ref="CP3:CQ3"/>
    <mergeCell ref="CR3:CS3"/>
    <mergeCell ref="E2:F2"/>
    <mergeCell ref="CB3:CC3"/>
    <mergeCell ref="CD3:CE3"/>
    <mergeCell ref="CF3:CG3"/>
    <mergeCell ref="CH3:CI3"/>
    <mergeCell ref="CJ3:CK3"/>
    <mergeCell ref="BR3:BS3"/>
    <mergeCell ref="BT3:BU3"/>
    <mergeCell ref="BV3:BW3"/>
    <mergeCell ref="BX3:BY3"/>
    <mergeCell ref="BZ3:CA3"/>
    <mergeCell ref="BE3:BF3"/>
    <mergeCell ref="BJ3:BK3"/>
    <mergeCell ref="BL3:BM3"/>
    <mergeCell ref="BN3:BO3"/>
    <mergeCell ref="BP3:BQ3"/>
    <mergeCell ref="AU3:AV3"/>
    <mergeCell ref="AW3:AX3"/>
    <mergeCell ref="AY3:AZ3"/>
    <mergeCell ref="BA3:BB3"/>
    <mergeCell ref="BC3:BD3"/>
    <mergeCell ref="CR2:CS2"/>
    <mergeCell ref="C3:D3"/>
    <mergeCell ref="G3:H3"/>
    <mergeCell ref="K3:L3"/>
    <mergeCell ref="O3:P3"/>
    <mergeCell ref="S3:T3"/>
    <mergeCell ref="X3:Y3"/>
    <mergeCell ref="Z3:AA3"/>
    <mergeCell ref="AB3:AC3"/>
    <mergeCell ref="AD3:AE3"/>
    <mergeCell ref="AF3:AG3"/>
    <mergeCell ref="AH3:AI3"/>
    <mergeCell ref="AJ3:AK3"/>
    <mergeCell ref="AL3:AM3"/>
    <mergeCell ref="AQ3:AR3"/>
    <mergeCell ref="AS3:AT3"/>
    <mergeCell ref="CH2:CI2"/>
    <mergeCell ref="CJ2:CK2"/>
    <mergeCell ref="CL2:CM2"/>
    <mergeCell ref="CN2:CO2"/>
    <mergeCell ref="CP2:CQ2"/>
    <mergeCell ref="BX2:BY2"/>
    <mergeCell ref="BZ2:CA2"/>
    <mergeCell ref="CB2:CC2"/>
    <mergeCell ref="CD2:CE2"/>
    <mergeCell ref="CF2:CG2"/>
    <mergeCell ref="BN2:BO2"/>
    <mergeCell ref="BP2:BQ2"/>
    <mergeCell ref="BR2:BS2"/>
    <mergeCell ref="BT2:BU2"/>
    <mergeCell ref="BV2:BW2"/>
    <mergeCell ref="BC2:BD2"/>
    <mergeCell ref="BE2:BF2"/>
    <mergeCell ref="BH2:BI2"/>
    <mergeCell ref="BJ2:BK2"/>
    <mergeCell ref="BL2:BM2"/>
    <mergeCell ref="AS2:AT2"/>
    <mergeCell ref="AU2:AV2"/>
    <mergeCell ref="AW2:AX2"/>
    <mergeCell ref="AY2:AZ2"/>
    <mergeCell ref="BA2:BB2"/>
    <mergeCell ref="AF2:AG2"/>
    <mergeCell ref="AH2:AI2"/>
    <mergeCell ref="AL2:AM2"/>
    <mergeCell ref="AJ2:AK2"/>
    <mergeCell ref="AQ2:AR2"/>
    <mergeCell ref="C2:D2"/>
    <mergeCell ref="K2:L2"/>
    <mergeCell ref="M2:N2"/>
    <mergeCell ref="O2:P2"/>
    <mergeCell ref="Q2:R2"/>
    <mergeCell ref="M3:N3"/>
    <mergeCell ref="V3:W3"/>
    <mergeCell ref="V2:W2"/>
    <mergeCell ref="BH3:BI3"/>
    <mergeCell ref="E3:F3"/>
    <mergeCell ref="AO3:AP3"/>
    <mergeCell ref="AO2:AP2"/>
    <mergeCell ref="Q3:R3"/>
    <mergeCell ref="I3:J3"/>
    <mergeCell ref="I2:J2"/>
    <mergeCell ref="G2:H2"/>
    <mergeCell ref="S2:T2"/>
    <mergeCell ref="X2:Y2"/>
    <mergeCell ref="Z2:AA2"/>
    <mergeCell ref="AB2:AC2"/>
    <mergeCell ref="AD2:A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</vt:lpstr>
      <vt:lpstr>Total - FSH</vt:lpstr>
      <vt:lpstr>Total - FSP</vt:lpstr>
      <vt:lpstr>Athens Daily - EL</vt:lpstr>
      <vt:lpstr>Athens Daily - Water</vt:lpstr>
      <vt:lpstr>Athens Daily - Gas</vt:lpstr>
      <vt:lpstr>Submetering EL</vt:lpstr>
      <vt:lpstr>Submetering 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Chan</dc:creator>
  <cp:keywords/>
  <dc:description/>
  <cp:lastModifiedBy>Joe El Khoury</cp:lastModifiedBy>
  <cp:revision/>
  <dcterms:created xsi:type="dcterms:W3CDTF">2020-09-18T06:41:53Z</dcterms:created>
  <dcterms:modified xsi:type="dcterms:W3CDTF">2020-12-16T11:47:46Z</dcterms:modified>
  <cp:category/>
  <cp:contentStatus/>
</cp:coreProperties>
</file>